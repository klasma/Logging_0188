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45588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45588</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45588</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45588</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45588</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45588</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45588</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45588</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45588</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45588</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45588</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45588</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45588</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24687-2022</t>
        </is>
      </c>
      <c r="B37" s="1" t="n">
        <v>44727</v>
      </c>
      <c r="C37" s="1" t="n">
        <v>45588</v>
      </c>
      <c r="D37" t="inlineStr">
        <is>
          <t>STOCKHOLMS LÄN</t>
        </is>
      </c>
      <c r="E37" t="inlineStr">
        <is>
          <t>NORRTÄLJE</t>
        </is>
      </c>
      <c r="G37" t="n">
        <v>5.8</v>
      </c>
      <c r="H37" t="n">
        <v>3</v>
      </c>
      <c r="I37" t="n">
        <v>4</v>
      </c>
      <c r="J37" t="n">
        <v>0</v>
      </c>
      <c r="K37" t="n">
        <v>1</v>
      </c>
      <c r="L37" t="n">
        <v>0</v>
      </c>
      <c r="M37" t="n">
        <v>0</v>
      </c>
      <c r="N37" t="n">
        <v>0</v>
      </c>
      <c r="O37" t="n">
        <v>1</v>
      </c>
      <c r="P37" t="n">
        <v>1</v>
      </c>
      <c r="Q37" t="n">
        <v>8</v>
      </c>
      <c r="R37" s="2" t="inlineStr">
        <is>
          <t>Gul lammticka
Anisspindling
Diskvaxskivling
Fjällig taggsvamp s.str.
Rödgul trumpetsvamp
Tjäder
Blåsippa
Revlummer</t>
        </is>
      </c>
      <c r="S37">
        <f>HYPERLINK("https://klasma.github.io/Logging_0188/artfynd/A 24687-2022 artfynd.xlsx", "A 24687-2022")</f>
        <v/>
      </c>
      <c r="T37">
        <f>HYPERLINK("https://klasma.github.io/Logging_0188/kartor/A 24687-2022 karta.png", "A 24687-2022")</f>
        <v/>
      </c>
      <c r="V37">
        <f>HYPERLINK("https://klasma.github.io/Logging_0188/klagomål/A 24687-2022 FSC-klagomål.docx", "A 24687-2022")</f>
        <v/>
      </c>
      <c r="W37">
        <f>HYPERLINK("https://klasma.github.io/Logging_0188/klagomålsmail/A 24687-2022 FSC-klagomål mail.docx", "A 24687-2022")</f>
        <v/>
      </c>
      <c r="X37">
        <f>HYPERLINK("https://klasma.github.io/Logging_0188/tillsyn/A 24687-2022 tillsynsbegäran.docx", "A 24687-2022")</f>
        <v/>
      </c>
      <c r="Y37">
        <f>HYPERLINK("https://klasma.github.io/Logging_0188/tillsynsmail/A 24687-2022 tillsynsbegäran mail.docx", "A 24687-2022")</f>
        <v/>
      </c>
      <c r="Z37">
        <f>HYPERLINK("https://klasma.github.io/Logging_0188/fåglar/A 24687-2022 prioriterade fågelarter.docx", "A 24687-2022")</f>
        <v/>
      </c>
    </row>
    <row r="38" ht="15" customHeight="1">
      <c r="A38" t="inlineStr">
        <is>
          <t>A 47346-2021</t>
        </is>
      </c>
      <c r="B38" s="1" t="n">
        <v>44447</v>
      </c>
      <c r="C38" s="1" t="n">
        <v>45588</v>
      </c>
      <c r="D38" t="inlineStr">
        <is>
          <t>STOCKHOLMS LÄN</t>
        </is>
      </c>
      <c r="E38" t="inlineStr">
        <is>
          <t>NORRTÄLJE</t>
        </is>
      </c>
      <c r="G38" t="n">
        <v>5.5</v>
      </c>
      <c r="H38" t="n">
        <v>1</v>
      </c>
      <c r="I38" t="n">
        <v>4</v>
      </c>
      <c r="J38" t="n">
        <v>0</v>
      </c>
      <c r="K38" t="n">
        <v>2</v>
      </c>
      <c r="L38" t="n">
        <v>0</v>
      </c>
      <c r="M38" t="n">
        <v>0</v>
      </c>
      <c r="N38" t="n">
        <v>0</v>
      </c>
      <c r="O38" t="n">
        <v>2</v>
      </c>
      <c r="P38" t="n">
        <v>2</v>
      </c>
      <c r="Q38" t="n">
        <v>7</v>
      </c>
      <c r="R38" s="2" t="inlineStr">
        <is>
          <t>Grangråticka
Violgubbe
Anisspindling
Fjällig taggsvamp s.str.
Skarp dropptaggsvamp
Toppvaxskivling
Revlummer</t>
        </is>
      </c>
      <c r="S38">
        <f>HYPERLINK("https://klasma.github.io/Logging_0188/artfynd/A 47346-2021 artfynd.xlsx", "A 47346-2021")</f>
        <v/>
      </c>
      <c r="T38">
        <f>HYPERLINK("https://klasma.github.io/Logging_0188/kartor/A 47346-2021 karta.png", "A 47346-2021")</f>
        <v/>
      </c>
      <c r="V38">
        <f>HYPERLINK("https://klasma.github.io/Logging_0188/klagomål/A 47346-2021 FSC-klagomål.docx", "A 47346-2021")</f>
        <v/>
      </c>
      <c r="W38">
        <f>HYPERLINK("https://klasma.github.io/Logging_0188/klagomålsmail/A 47346-2021 FSC-klagomål mail.docx", "A 47346-2021")</f>
        <v/>
      </c>
      <c r="X38">
        <f>HYPERLINK("https://klasma.github.io/Logging_0188/tillsyn/A 47346-2021 tillsynsbegäran.docx", "A 47346-2021")</f>
        <v/>
      </c>
      <c r="Y38">
        <f>HYPERLINK("https://klasma.github.io/Logging_0188/tillsynsmail/A 47346-2021 tillsynsbegäran mail.docx", "A 47346-2021")</f>
        <v/>
      </c>
    </row>
    <row r="39" ht="15" customHeight="1">
      <c r="A39" t="inlineStr">
        <is>
          <t>A 8644-2022</t>
        </is>
      </c>
      <c r="B39" s="1" t="n">
        <v>44613</v>
      </c>
      <c r="C39" s="1" t="n">
        <v>45588</v>
      </c>
      <c r="D39" t="inlineStr">
        <is>
          <t>STOCKHOLMS LÄN</t>
        </is>
      </c>
      <c r="E39" t="inlineStr">
        <is>
          <t>NORRTÄLJE</t>
        </is>
      </c>
      <c r="G39" t="n">
        <v>5.7</v>
      </c>
      <c r="H39" t="n">
        <v>1</v>
      </c>
      <c r="I39" t="n">
        <v>4</v>
      </c>
      <c r="J39" t="n">
        <v>1</v>
      </c>
      <c r="K39" t="n">
        <v>1</v>
      </c>
      <c r="L39" t="n">
        <v>0</v>
      </c>
      <c r="M39" t="n">
        <v>0</v>
      </c>
      <c r="N39" t="n">
        <v>0</v>
      </c>
      <c r="O39" t="n">
        <v>2</v>
      </c>
      <c r="P39" t="n">
        <v>1</v>
      </c>
      <c r="Q39" t="n">
        <v>7</v>
      </c>
      <c r="R39" s="2" t="inlineStr">
        <is>
          <t>Vågticka
Såpfingersvamp
Blomkålssvamp
Diskvaxskivling
Grönpyrola
Hasselticka
Blåsippa</t>
        </is>
      </c>
      <c r="S39">
        <f>HYPERLINK("https://klasma.github.io/Logging_0188/artfynd/A 8644-2022 artfynd.xlsx", "A 8644-2022")</f>
        <v/>
      </c>
      <c r="T39">
        <f>HYPERLINK("https://klasma.github.io/Logging_0188/kartor/A 8644-2022 karta.png", "A 8644-2022")</f>
        <v/>
      </c>
      <c r="V39">
        <f>HYPERLINK("https://klasma.github.io/Logging_0188/klagomål/A 8644-2022 FSC-klagomål.docx", "A 8644-2022")</f>
        <v/>
      </c>
      <c r="W39">
        <f>HYPERLINK("https://klasma.github.io/Logging_0188/klagomålsmail/A 8644-2022 FSC-klagomål mail.docx", "A 8644-2022")</f>
        <v/>
      </c>
      <c r="X39">
        <f>HYPERLINK("https://klasma.github.io/Logging_0188/tillsyn/A 8644-2022 tillsynsbegäran.docx", "A 8644-2022")</f>
        <v/>
      </c>
      <c r="Y39">
        <f>HYPERLINK("https://klasma.github.io/Logging_0188/tillsynsmail/A 8644-2022 tillsynsbegäran mail.docx", "A 8644-2022")</f>
        <v/>
      </c>
    </row>
    <row r="40" ht="15" customHeight="1">
      <c r="A40" t="inlineStr">
        <is>
          <t>A 13933-2022</t>
        </is>
      </c>
      <c r="B40" s="1" t="n">
        <v>44650</v>
      </c>
      <c r="C40" s="1" t="n">
        <v>45588</v>
      </c>
      <c r="D40" t="inlineStr">
        <is>
          <t>STOCKHOLMS LÄN</t>
        </is>
      </c>
      <c r="E40" t="inlineStr">
        <is>
          <t>NORRTÄLJE</t>
        </is>
      </c>
      <c r="G40" t="n">
        <v>4.4</v>
      </c>
      <c r="H40" t="n">
        <v>3</v>
      </c>
      <c r="I40" t="n">
        <v>5</v>
      </c>
      <c r="J40" t="n">
        <v>1</v>
      </c>
      <c r="K40" t="n">
        <v>0</v>
      </c>
      <c r="L40" t="n">
        <v>0</v>
      </c>
      <c r="M40" t="n">
        <v>0</v>
      </c>
      <c r="N40" t="n">
        <v>0</v>
      </c>
      <c r="O40" t="n">
        <v>1</v>
      </c>
      <c r="P40" t="n">
        <v>0</v>
      </c>
      <c r="Q40" t="n">
        <v>7</v>
      </c>
      <c r="R40" s="2" t="inlineStr">
        <is>
          <t>Ullticka
Grön sköldmossa
Nästrot
Skogshakmossa
Tibast
Ögonpyrola
Blåsippa</t>
        </is>
      </c>
      <c r="S40">
        <f>HYPERLINK("https://klasma.github.io/Logging_0188/artfynd/A 13933-2022 artfynd.xlsx", "A 13933-2022")</f>
        <v/>
      </c>
      <c r="T40">
        <f>HYPERLINK("https://klasma.github.io/Logging_0188/kartor/A 13933-2022 karta.png", "A 13933-2022")</f>
        <v/>
      </c>
      <c r="V40">
        <f>HYPERLINK("https://klasma.github.io/Logging_0188/klagomål/A 13933-2022 FSC-klagomål.docx", "A 13933-2022")</f>
        <v/>
      </c>
      <c r="W40">
        <f>HYPERLINK("https://klasma.github.io/Logging_0188/klagomålsmail/A 13933-2022 FSC-klagomål mail.docx", "A 13933-2022")</f>
        <v/>
      </c>
      <c r="X40">
        <f>HYPERLINK("https://klasma.github.io/Logging_0188/tillsyn/A 13933-2022 tillsynsbegäran.docx", "A 13933-2022")</f>
        <v/>
      </c>
      <c r="Y40">
        <f>HYPERLINK("https://klasma.github.io/Logging_0188/tillsynsmail/A 13933-2022 tillsynsbegäran mail.docx", "A 13933-2022")</f>
        <v/>
      </c>
    </row>
    <row r="41" ht="15" customHeight="1">
      <c r="A41" t="inlineStr">
        <is>
          <t>A 24150-2022</t>
        </is>
      </c>
      <c r="B41" s="1" t="n">
        <v>44725</v>
      </c>
      <c r="C41" s="1" t="n">
        <v>45588</v>
      </c>
      <c r="D41" t="inlineStr">
        <is>
          <t>STOCKHOLMS LÄN</t>
        </is>
      </c>
      <c r="E41" t="inlineStr">
        <is>
          <t>NORRTÄLJE</t>
        </is>
      </c>
      <c r="G41" t="n">
        <v>7</v>
      </c>
      <c r="H41" t="n">
        <v>7</v>
      </c>
      <c r="I41" t="n">
        <v>0</v>
      </c>
      <c r="J41" t="n">
        <v>2</v>
      </c>
      <c r="K41" t="n">
        <v>0</v>
      </c>
      <c r="L41" t="n">
        <v>0</v>
      </c>
      <c r="M41" t="n">
        <v>0</v>
      </c>
      <c r="N41" t="n">
        <v>0</v>
      </c>
      <c r="O41" t="n">
        <v>2</v>
      </c>
      <c r="P41" t="n">
        <v>0</v>
      </c>
      <c r="Q41" t="n">
        <v>7</v>
      </c>
      <c r="R41" s="2" t="inlineStr">
        <is>
          <t>Brunlångöra
Nordfladdermus
Dvärgpipistrell
Gråskimlig fladdermus
Större brunfladdermus
Trollpipistrell
Vattenfladdermus</t>
        </is>
      </c>
      <c r="S41">
        <f>HYPERLINK("https://klasma.github.io/Logging_0188/artfynd/A 24150-2022 artfynd.xlsx", "A 24150-2022")</f>
        <v/>
      </c>
      <c r="T41">
        <f>HYPERLINK("https://klasma.github.io/Logging_0188/kartor/A 24150-2022 karta.png", "A 24150-2022")</f>
        <v/>
      </c>
      <c r="V41">
        <f>HYPERLINK("https://klasma.github.io/Logging_0188/klagomål/A 24150-2022 FSC-klagomål.docx", "A 24150-2022")</f>
        <v/>
      </c>
      <c r="W41">
        <f>HYPERLINK("https://klasma.github.io/Logging_0188/klagomålsmail/A 24150-2022 FSC-klagomål mail.docx", "A 24150-2022")</f>
        <v/>
      </c>
      <c r="X41">
        <f>HYPERLINK("https://klasma.github.io/Logging_0188/tillsyn/A 24150-2022 tillsynsbegäran.docx", "A 24150-2022")</f>
        <v/>
      </c>
      <c r="Y41">
        <f>HYPERLINK("https://klasma.github.io/Logging_0188/tillsynsmail/A 24150-2022 tillsynsbegäran mail.docx", "A 24150-2022")</f>
        <v/>
      </c>
    </row>
    <row r="42" ht="15" customHeight="1">
      <c r="A42" t="inlineStr">
        <is>
          <t>A 45811-2022</t>
        </is>
      </c>
      <c r="B42" s="1" t="n">
        <v>44846</v>
      </c>
      <c r="C42" s="1" t="n">
        <v>45588</v>
      </c>
      <c r="D42" t="inlineStr">
        <is>
          <t>STOCKHOLMS LÄN</t>
        </is>
      </c>
      <c r="E42" t="inlineStr">
        <is>
          <t>NORRTÄLJE</t>
        </is>
      </c>
      <c r="G42" t="n">
        <v>0.8</v>
      </c>
      <c r="H42" t="n">
        <v>0</v>
      </c>
      <c r="I42" t="n">
        <v>5</v>
      </c>
      <c r="J42" t="n">
        <v>0</v>
      </c>
      <c r="K42" t="n">
        <v>0</v>
      </c>
      <c r="L42" t="n">
        <v>1</v>
      </c>
      <c r="M42" t="n">
        <v>1</v>
      </c>
      <c r="N42" t="n">
        <v>0</v>
      </c>
      <c r="O42" t="n">
        <v>2</v>
      </c>
      <c r="P42" t="n">
        <v>2</v>
      </c>
      <c r="Q42" t="n">
        <v>7</v>
      </c>
      <c r="R42" s="2" t="inlineStr">
        <is>
          <t>Skogsalm
Ask
Hässleklocka
Myskmadra
Strävlosta
Tibast
Underviol</t>
        </is>
      </c>
      <c r="S42">
        <f>HYPERLINK("https://klasma.github.io/Logging_0188/artfynd/A 45811-2022 artfynd.xlsx", "A 45811-2022")</f>
        <v/>
      </c>
      <c r="T42">
        <f>HYPERLINK("https://klasma.github.io/Logging_0188/kartor/A 45811-2022 karta.png", "A 45811-2022")</f>
        <v/>
      </c>
      <c r="V42">
        <f>HYPERLINK("https://klasma.github.io/Logging_0188/klagomål/A 45811-2022 FSC-klagomål.docx", "A 45811-2022")</f>
        <v/>
      </c>
      <c r="W42">
        <f>HYPERLINK("https://klasma.github.io/Logging_0188/klagomålsmail/A 45811-2022 FSC-klagomål mail.docx", "A 45811-2022")</f>
        <v/>
      </c>
      <c r="X42">
        <f>HYPERLINK("https://klasma.github.io/Logging_0188/tillsyn/A 45811-2022 tillsynsbegäran.docx", "A 45811-2022")</f>
        <v/>
      </c>
      <c r="Y42">
        <f>HYPERLINK("https://klasma.github.io/Logging_0188/tillsynsmail/A 45811-2022 tillsynsbegäran mail.docx", "A 45811-2022")</f>
        <v/>
      </c>
    </row>
    <row r="43" ht="15" customHeight="1">
      <c r="A43" t="inlineStr">
        <is>
          <t>A 18284-2019</t>
        </is>
      </c>
      <c r="B43" s="1" t="n">
        <v>43558</v>
      </c>
      <c r="C43" s="1" t="n">
        <v>45588</v>
      </c>
      <c r="D43" t="inlineStr">
        <is>
          <t>STOCKHOLMS LÄN</t>
        </is>
      </c>
      <c r="E43" t="inlineStr">
        <is>
          <t>NORRTÄLJE</t>
        </is>
      </c>
      <c r="G43" t="n">
        <v>20.4</v>
      </c>
      <c r="H43" t="n">
        <v>0</v>
      </c>
      <c r="I43" t="n">
        <v>2</v>
      </c>
      <c r="J43" t="n">
        <v>3</v>
      </c>
      <c r="K43" t="n">
        <v>1</v>
      </c>
      <c r="L43" t="n">
        <v>0</v>
      </c>
      <c r="M43" t="n">
        <v>0</v>
      </c>
      <c r="N43" t="n">
        <v>0</v>
      </c>
      <c r="O43" t="n">
        <v>4</v>
      </c>
      <c r="P43" t="n">
        <v>1</v>
      </c>
      <c r="Q43" t="n">
        <v>6</v>
      </c>
      <c r="R43" s="2" t="inlineStr">
        <is>
          <t>Grangråticka
Motaggsvamp
Orange taggsvamp
Vedtrappmossa
Rödgul trumpetsvamp
Skarp dropptaggsvamp</t>
        </is>
      </c>
      <c r="S43">
        <f>HYPERLINK("https://klasma.github.io/Logging_0188/artfynd/A 18284-2019 artfynd.xlsx", "A 18284-2019")</f>
        <v/>
      </c>
      <c r="T43">
        <f>HYPERLINK("https://klasma.github.io/Logging_0188/kartor/A 18284-2019 karta.png", "A 18284-2019")</f>
        <v/>
      </c>
      <c r="V43">
        <f>HYPERLINK("https://klasma.github.io/Logging_0188/klagomål/A 18284-2019 FSC-klagomål.docx", "A 18284-2019")</f>
        <v/>
      </c>
      <c r="W43">
        <f>HYPERLINK("https://klasma.github.io/Logging_0188/klagomålsmail/A 18284-2019 FSC-klagomål mail.docx", "A 18284-2019")</f>
        <v/>
      </c>
      <c r="X43">
        <f>HYPERLINK("https://klasma.github.io/Logging_0188/tillsyn/A 18284-2019 tillsynsbegäran.docx", "A 18284-2019")</f>
        <v/>
      </c>
      <c r="Y43">
        <f>HYPERLINK("https://klasma.github.io/Logging_0188/tillsynsmail/A 18284-2019 tillsynsbegäran mail.docx", "A 18284-2019")</f>
        <v/>
      </c>
    </row>
    <row r="44" ht="15" customHeight="1">
      <c r="A44" t="inlineStr">
        <is>
          <t>A 20255-2019</t>
        </is>
      </c>
      <c r="B44" s="1" t="n">
        <v>43571</v>
      </c>
      <c r="C44" s="1" t="n">
        <v>45588</v>
      </c>
      <c r="D44" t="inlineStr">
        <is>
          <t>STOCKHOLMS LÄN</t>
        </is>
      </c>
      <c r="E44" t="inlineStr">
        <is>
          <t>NORRTÄLJE</t>
        </is>
      </c>
      <c r="F44" t="inlineStr">
        <is>
          <t>Kommuner</t>
        </is>
      </c>
      <c r="G44" t="n">
        <v>6.2</v>
      </c>
      <c r="H44" t="n">
        <v>3</v>
      </c>
      <c r="I44" t="n">
        <v>3</v>
      </c>
      <c r="J44" t="n">
        <v>1</v>
      </c>
      <c r="K44" t="n">
        <v>1</v>
      </c>
      <c r="L44" t="n">
        <v>0</v>
      </c>
      <c r="M44" t="n">
        <v>0</v>
      </c>
      <c r="N44" t="n">
        <v>0</v>
      </c>
      <c r="O44" t="n">
        <v>2</v>
      </c>
      <c r="P44" t="n">
        <v>1</v>
      </c>
      <c r="Q44" t="n">
        <v>6</v>
      </c>
      <c r="R44" s="2" t="inlineStr">
        <is>
          <t>Violettfläckig spindling
Kråka
Nästrot
Svart trolldruva
Underviol
Blåsippa</t>
        </is>
      </c>
      <c r="S44">
        <f>HYPERLINK("https://klasma.github.io/Logging_0188/artfynd/A 20255-2019 artfynd.xlsx", "A 20255-2019")</f>
        <v/>
      </c>
      <c r="T44">
        <f>HYPERLINK("https://klasma.github.io/Logging_0188/kartor/A 20255-2019 karta.png", "A 20255-2019")</f>
        <v/>
      </c>
      <c r="V44">
        <f>HYPERLINK("https://klasma.github.io/Logging_0188/klagomål/A 20255-2019 FSC-klagomål.docx", "A 20255-2019")</f>
        <v/>
      </c>
      <c r="W44">
        <f>HYPERLINK("https://klasma.github.io/Logging_0188/klagomålsmail/A 20255-2019 FSC-klagomål mail.docx", "A 20255-2019")</f>
        <v/>
      </c>
      <c r="X44">
        <f>HYPERLINK("https://klasma.github.io/Logging_0188/tillsyn/A 20255-2019 tillsynsbegäran.docx", "A 20255-2019")</f>
        <v/>
      </c>
      <c r="Y44">
        <f>HYPERLINK("https://klasma.github.io/Logging_0188/tillsynsmail/A 20255-2019 tillsynsbegäran mail.docx", "A 20255-2019")</f>
        <v/>
      </c>
      <c r="Z44">
        <f>HYPERLINK("https://klasma.github.io/Logging_0188/fåglar/A 20255-2019 prioriterade fågelarter.docx", "A 20255-2019")</f>
        <v/>
      </c>
    </row>
    <row r="45" ht="15" customHeight="1">
      <c r="A45" t="inlineStr">
        <is>
          <t>A 59328-2019</t>
        </is>
      </c>
      <c r="B45" s="1" t="n">
        <v>43775</v>
      </c>
      <c r="C45" s="1" t="n">
        <v>45588</v>
      </c>
      <c r="D45" t="inlineStr">
        <is>
          <t>STOCKHOLMS LÄN</t>
        </is>
      </c>
      <c r="E45" t="inlineStr">
        <is>
          <t>NORRTÄLJE</t>
        </is>
      </c>
      <c r="G45" t="n">
        <v>1.2</v>
      </c>
      <c r="H45" t="n">
        <v>0</v>
      </c>
      <c r="I45" t="n">
        <v>3</v>
      </c>
      <c r="J45" t="n">
        <v>1</v>
      </c>
      <c r="K45" t="n">
        <v>2</v>
      </c>
      <c r="L45" t="n">
        <v>0</v>
      </c>
      <c r="M45" t="n">
        <v>0</v>
      </c>
      <c r="N45" t="n">
        <v>0</v>
      </c>
      <c r="O45" t="n">
        <v>3</v>
      </c>
      <c r="P45" t="n">
        <v>2</v>
      </c>
      <c r="Q45" t="n">
        <v>6</v>
      </c>
      <c r="R45" s="2" t="inlineStr">
        <is>
          <t>Koppartaggsvamp
Violgubbe
Orange taggsvamp
Blåmossa
Bronshjon
Kattfotslav</t>
        </is>
      </c>
      <c r="S45">
        <f>HYPERLINK("https://klasma.github.io/Logging_0188/artfynd/A 59328-2019 artfynd.xlsx", "A 59328-2019")</f>
        <v/>
      </c>
      <c r="T45">
        <f>HYPERLINK("https://klasma.github.io/Logging_0188/kartor/A 59328-2019 karta.png", "A 59328-2019")</f>
        <v/>
      </c>
      <c r="V45">
        <f>HYPERLINK("https://klasma.github.io/Logging_0188/klagomål/A 59328-2019 FSC-klagomål.docx", "A 59328-2019")</f>
        <v/>
      </c>
      <c r="W45">
        <f>HYPERLINK("https://klasma.github.io/Logging_0188/klagomålsmail/A 59328-2019 FSC-klagomål mail.docx", "A 59328-2019")</f>
        <v/>
      </c>
      <c r="X45">
        <f>HYPERLINK("https://klasma.github.io/Logging_0188/tillsyn/A 59328-2019 tillsynsbegäran.docx", "A 59328-2019")</f>
        <v/>
      </c>
      <c r="Y45">
        <f>HYPERLINK("https://klasma.github.io/Logging_0188/tillsynsmail/A 59328-2019 tillsynsbegäran mail.docx", "A 59328-2019")</f>
        <v/>
      </c>
    </row>
    <row r="46" ht="15" customHeight="1">
      <c r="A46" t="inlineStr">
        <is>
          <t>A 73093-2021</t>
        </is>
      </c>
      <c r="B46" s="1" t="n">
        <v>44550</v>
      </c>
      <c r="C46" s="1" t="n">
        <v>45588</v>
      </c>
      <c r="D46" t="inlineStr">
        <is>
          <t>STOCKHOLMS LÄN</t>
        </is>
      </c>
      <c r="E46" t="inlineStr">
        <is>
          <t>NORRTÄLJE</t>
        </is>
      </c>
      <c r="G46" t="n">
        <v>5.1</v>
      </c>
      <c r="H46" t="n">
        <v>4</v>
      </c>
      <c r="I46" t="n">
        <v>5</v>
      </c>
      <c r="J46" t="n">
        <v>0</v>
      </c>
      <c r="K46" t="n">
        <v>0</v>
      </c>
      <c r="L46" t="n">
        <v>0</v>
      </c>
      <c r="M46" t="n">
        <v>0</v>
      </c>
      <c r="N46" t="n">
        <v>0</v>
      </c>
      <c r="O46" t="n">
        <v>0</v>
      </c>
      <c r="P46" t="n">
        <v>0</v>
      </c>
      <c r="Q46" t="n">
        <v>6</v>
      </c>
      <c r="R46" s="2" t="inlineStr">
        <is>
          <t>Guckusko
Nästrot
Skogsknipprot
Tibast
Vätteros
Blåsippa</t>
        </is>
      </c>
      <c r="S46">
        <f>HYPERLINK("https://klasma.github.io/Logging_0188/artfynd/A 73093-2021 artfynd.xlsx", "A 73093-2021")</f>
        <v/>
      </c>
      <c r="T46">
        <f>HYPERLINK("https://klasma.github.io/Logging_0188/kartor/A 73093-2021 karta.png", "A 73093-2021")</f>
        <v/>
      </c>
      <c r="V46">
        <f>HYPERLINK("https://klasma.github.io/Logging_0188/klagomål/A 73093-2021 FSC-klagomål.docx", "A 73093-2021")</f>
        <v/>
      </c>
      <c r="W46">
        <f>HYPERLINK("https://klasma.github.io/Logging_0188/klagomålsmail/A 73093-2021 FSC-klagomål mail.docx", "A 73093-2021")</f>
        <v/>
      </c>
      <c r="X46">
        <f>HYPERLINK("https://klasma.github.io/Logging_0188/tillsyn/A 73093-2021 tillsynsbegäran.docx", "A 73093-2021")</f>
        <v/>
      </c>
      <c r="Y46">
        <f>HYPERLINK("https://klasma.github.io/Logging_0188/tillsynsmail/A 73093-2021 tillsynsbegäran mail.docx", "A 73093-2021")</f>
        <v/>
      </c>
    </row>
    <row r="47" ht="15" customHeight="1">
      <c r="A47" t="inlineStr">
        <is>
          <t>A 21729-2023</t>
        </is>
      </c>
      <c r="B47" s="1" t="n">
        <v>45063</v>
      </c>
      <c r="C47" s="1" t="n">
        <v>45588</v>
      </c>
      <c r="D47" t="inlineStr">
        <is>
          <t>STOCKHOLMS LÄN</t>
        </is>
      </c>
      <c r="E47" t="inlineStr">
        <is>
          <t>NORRTÄLJE</t>
        </is>
      </c>
      <c r="G47" t="n">
        <v>17.2</v>
      </c>
      <c r="H47" t="n">
        <v>1</v>
      </c>
      <c r="I47" t="n">
        <v>0</v>
      </c>
      <c r="J47" t="n">
        <v>5</v>
      </c>
      <c r="K47" t="n">
        <v>0</v>
      </c>
      <c r="L47" t="n">
        <v>0</v>
      </c>
      <c r="M47" t="n">
        <v>0</v>
      </c>
      <c r="N47" t="n">
        <v>0</v>
      </c>
      <c r="O47" t="n">
        <v>5</v>
      </c>
      <c r="P47" t="n">
        <v>0</v>
      </c>
      <c r="Q47" t="n">
        <v>6</v>
      </c>
      <c r="R47" s="2" t="inlineStr">
        <is>
          <t>Backklöver
Gullklöver
Klofibbla
Pilblad
Slåtterfibbla
Adam och eva</t>
        </is>
      </c>
      <c r="S47">
        <f>HYPERLINK("https://klasma.github.io/Logging_0188/artfynd/A 21729-2023 artfynd.xlsx", "A 21729-2023")</f>
        <v/>
      </c>
      <c r="T47">
        <f>HYPERLINK("https://klasma.github.io/Logging_0188/kartor/A 21729-2023 karta.png", "A 21729-2023")</f>
        <v/>
      </c>
      <c r="V47">
        <f>HYPERLINK("https://klasma.github.io/Logging_0188/klagomål/A 21729-2023 FSC-klagomål.docx", "A 21729-2023")</f>
        <v/>
      </c>
      <c r="W47">
        <f>HYPERLINK("https://klasma.github.io/Logging_0188/klagomålsmail/A 21729-2023 FSC-klagomål mail.docx", "A 21729-2023")</f>
        <v/>
      </c>
      <c r="X47">
        <f>HYPERLINK("https://klasma.github.io/Logging_0188/tillsyn/A 21729-2023 tillsynsbegäran.docx", "A 21729-2023")</f>
        <v/>
      </c>
      <c r="Y47">
        <f>HYPERLINK("https://klasma.github.io/Logging_0188/tillsynsmail/A 21729-2023 tillsynsbegäran mail.docx", "A 21729-2023")</f>
        <v/>
      </c>
    </row>
    <row r="48" ht="15" customHeight="1">
      <c r="A48" t="inlineStr">
        <is>
          <t>A 34394-2023</t>
        </is>
      </c>
      <c r="B48" s="1" t="n">
        <v>45139</v>
      </c>
      <c r="C48" s="1" t="n">
        <v>45588</v>
      </c>
      <c r="D48" t="inlineStr">
        <is>
          <t>STOCKHOLMS LÄN</t>
        </is>
      </c>
      <c r="E48" t="inlineStr">
        <is>
          <t>NORRTÄLJE</t>
        </is>
      </c>
      <c r="G48" t="n">
        <v>8.5</v>
      </c>
      <c r="H48" t="n">
        <v>1</v>
      </c>
      <c r="I48" t="n">
        <v>2</v>
      </c>
      <c r="J48" t="n">
        <v>3</v>
      </c>
      <c r="K48" t="n">
        <v>0</v>
      </c>
      <c r="L48" t="n">
        <v>0</v>
      </c>
      <c r="M48" t="n">
        <v>0</v>
      </c>
      <c r="N48" t="n">
        <v>0</v>
      </c>
      <c r="O48" t="n">
        <v>3</v>
      </c>
      <c r="P48" t="n">
        <v>0</v>
      </c>
      <c r="Q48" t="n">
        <v>6</v>
      </c>
      <c r="R48" s="2" t="inlineStr">
        <is>
          <t>Grantaggsvamp
Motaggsvamp
Orange taggsvamp
Granriska
Grönpyrola
Blåsippa</t>
        </is>
      </c>
      <c r="S48">
        <f>HYPERLINK("https://klasma.github.io/Logging_0188/artfynd/A 34394-2023 artfynd.xlsx", "A 34394-2023")</f>
        <v/>
      </c>
      <c r="T48">
        <f>HYPERLINK("https://klasma.github.io/Logging_0188/kartor/A 34394-2023 karta.png", "A 34394-2023")</f>
        <v/>
      </c>
      <c r="V48">
        <f>HYPERLINK("https://klasma.github.io/Logging_0188/klagomål/A 34394-2023 FSC-klagomål.docx", "A 34394-2023")</f>
        <v/>
      </c>
      <c r="W48">
        <f>HYPERLINK("https://klasma.github.io/Logging_0188/klagomålsmail/A 34394-2023 FSC-klagomål mail.docx", "A 34394-2023")</f>
        <v/>
      </c>
      <c r="X48">
        <f>HYPERLINK("https://klasma.github.io/Logging_0188/tillsyn/A 34394-2023 tillsynsbegäran.docx", "A 34394-2023")</f>
        <v/>
      </c>
      <c r="Y48">
        <f>HYPERLINK("https://klasma.github.io/Logging_0188/tillsynsmail/A 34394-2023 tillsynsbegäran mail.docx", "A 34394-2023")</f>
        <v/>
      </c>
    </row>
    <row r="49" ht="15" customHeight="1">
      <c r="A49" t="inlineStr">
        <is>
          <t>A 51476-2023</t>
        </is>
      </c>
      <c r="B49" s="1" t="n">
        <v>45221</v>
      </c>
      <c r="C49" s="1" t="n">
        <v>45588</v>
      </c>
      <c r="D49" t="inlineStr">
        <is>
          <t>STOCKHOLMS LÄN</t>
        </is>
      </c>
      <c r="E49" t="inlineStr">
        <is>
          <t>NORRTÄLJE</t>
        </is>
      </c>
      <c r="G49" t="n">
        <v>4.6</v>
      </c>
      <c r="H49" t="n">
        <v>3</v>
      </c>
      <c r="I49" t="n">
        <v>3</v>
      </c>
      <c r="J49" t="n">
        <v>1</v>
      </c>
      <c r="K49" t="n">
        <v>1</v>
      </c>
      <c r="L49" t="n">
        <v>0</v>
      </c>
      <c r="M49" t="n">
        <v>0</v>
      </c>
      <c r="N49" t="n">
        <v>0</v>
      </c>
      <c r="O49" t="n">
        <v>2</v>
      </c>
      <c r="P49" t="n">
        <v>1</v>
      </c>
      <c r="Q49" t="n">
        <v>6</v>
      </c>
      <c r="R49" s="2" t="inlineStr">
        <is>
          <t>Knärot
Spillkråka
Grönpyrola
Rödgul trumpetsvamp
Vågbandad barkbock
Kungsfågel</t>
        </is>
      </c>
      <c r="S49">
        <f>HYPERLINK("https://klasma.github.io/Logging_0188/artfynd/A 51476-2023 artfynd.xlsx", "A 51476-2023")</f>
        <v/>
      </c>
      <c r="T49">
        <f>HYPERLINK("https://klasma.github.io/Logging_0188/kartor/A 51476-2023 karta.png", "A 51476-2023")</f>
        <v/>
      </c>
      <c r="U49">
        <f>HYPERLINK("https://klasma.github.io/Logging_0188/knärot/A 51476-2023 karta knärot.png", "A 51476-2023")</f>
        <v/>
      </c>
      <c r="V49">
        <f>HYPERLINK("https://klasma.github.io/Logging_0188/klagomål/A 51476-2023 FSC-klagomål.docx", "A 51476-2023")</f>
        <v/>
      </c>
      <c r="W49">
        <f>HYPERLINK("https://klasma.github.io/Logging_0188/klagomålsmail/A 51476-2023 FSC-klagomål mail.docx", "A 51476-2023")</f>
        <v/>
      </c>
      <c r="X49">
        <f>HYPERLINK("https://klasma.github.io/Logging_0188/tillsyn/A 51476-2023 tillsynsbegäran.docx", "A 51476-2023")</f>
        <v/>
      </c>
      <c r="Y49">
        <f>HYPERLINK("https://klasma.github.io/Logging_0188/tillsynsmail/A 51476-2023 tillsynsbegäran mail.docx", "A 51476-2023")</f>
        <v/>
      </c>
      <c r="Z49">
        <f>HYPERLINK("https://klasma.github.io/Logging_0188/fåglar/A 51476-2023 prioriterade fågelarter.docx", "A 51476-2023")</f>
        <v/>
      </c>
    </row>
    <row r="50" ht="15" customHeight="1">
      <c r="A50" t="inlineStr">
        <is>
          <t>A 45469-2019</t>
        </is>
      </c>
      <c r="B50" s="1" t="n">
        <v>43714</v>
      </c>
      <c r="C50" s="1" t="n">
        <v>45588</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45588</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45588</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45588</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45588</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28298-2024</t>
        </is>
      </c>
      <c r="B55" s="1" t="n">
        <v>45477</v>
      </c>
      <c r="C55" s="1" t="n">
        <v>45588</v>
      </c>
      <c r="D55" t="inlineStr">
        <is>
          <t>STOCKHOLMS LÄN</t>
        </is>
      </c>
      <c r="E55" t="inlineStr">
        <is>
          <t>NORRTÄLJE</t>
        </is>
      </c>
      <c r="G55" t="n">
        <v>4.4</v>
      </c>
      <c r="H55" t="n">
        <v>3</v>
      </c>
      <c r="I55" t="n">
        <v>1</v>
      </c>
      <c r="J55" t="n">
        <v>1</v>
      </c>
      <c r="K55" t="n">
        <v>1</v>
      </c>
      <c r="L55" t="n">
        <v>0</v>
      </c>
      <c r="M55" t="n">
        <v>0</v>
      </c>
      <c r="N55" t="n">
        <v>0</v>
      </c>
      <c r="O55" t="n">
        <v>2</v>
      </c>
      <c r="P55" t="n">
        <v>1</v>
      </c>
      <c r="Q55" t="n">
        <v>5</v>
      </c>
      <c r="R55" s="2" t="inlineStr">
        <is>
          <t>Tallbit
Mindre bastardsvärmare
Vätteros
Adam och eva
Gullviva</t>
        </is>
      </c>
      <c r="S55">
        <f>HYPERLINK("https://klasma.github.io/Logging_0188/artfynd/A 28298-2024 artfynd.xlsx", "A 28298-2024")</f>
        <v/>
      </c>
      <c r="T55">
        <f>HYPERLINK("https://klasma.github.io/Logging_0188/kartor/A 28298-2024 karta.png", "A 28298-2024")</f>
        <v/>
      </c>
      <c r="V55">
        <f>HYPERLINK("https://klasma.github.io/Logging_0188/klagomål/A 28298-2024 FSC-klagomål.docx", "A 28298-2024")</f>
        <v/>
      </c>
      <c r="W55">
        <f>HYPERLINK("https://klasma.github.io/Logging_0188/klagomålsmail/A 28298-2024 FSC-klagomål mail.docx", "A 28298-2024")</f>
        <v/>
      </c>
      <c r="X55">
        <f>HYPERLINK("https://klasma.github.io/Logging_0188/tillsyn/A 28298-2024 tillsynsbegäran.docx", "A 28298-2024")</f>
        <v/>
      </c>
      <c r="Y55">
        <f>HYPERLINK("https://klasma.github.io/Logging_0188/tillsynsmail/A 28298-2024 tillsynsbegäran mail.docx", "A 28298-2024")</f>
        <v/>
      </c>
      <c r="Z55">
        <f>HYPERLINK("https://klasma.github.io/Logging_0188/fåglar/A 28298-2024 prioriterade fågelarter.docx", "A 28298-2024")</f>
        <v/>
      </c>
    </row>
    <row r="56" ht="15" customHeight="1">
      <c r="A56" t="inlineStr">
        <is>
          <t>A 25507-2019</t>
        </is>
      </c>
      <c r="B56" s="1" t="n">
        <v>43606</v>
      </c>
      <c r="C56" s="1" t="n">
        <v>45588</v>
      </c>
      <c r="D56" t="inlineStr">
        <is>
          <t>STOCKHOLMS LÄN</t>
        </is>
      </c>
      <c r="E56" t="inlineStr">
        <is>
          <t>NORRTÄLJE</t>
        </is>
      </c>
      <c r="G56" t="n">
        <v>3.1</v>
      </c>
      <c r="H56" t="n">
        <v>1</v>
      </c>
      <c r="I56" t="n">
        <v>2</v>
      </c>
      <c r="J56" t="n">
        <v>0</v>
      </c>
      <c r="K56" t="n">
        <v>0</v>
      </c>
      <c r="L56" t="n">
        <v>1</v>
      </c>
      <c r="M56" t="n">
        <v>0</v>
      </c>
      <c r="N56" t="n">
        <v>0</v>
      </c>
      <c r="O56" t="n">
        <v>1</v>
      </c>
      <c r="P56" t="n">
        <v>1</v>
      </c>
      <c r="Q56" t="n">
        <v>4</v>
      </c>
      <c r="R56" s="2" t="inlineStr">
        <is>
          <t>Ask
Tibast
Vårärt
Blåsippa</t>
        </is>
      </c>
      <c r="S56">
        <f>HYPERLINK("https://klasma.github.io/Logging_0188/artfynd/A 25507-2019 artfynd.xlsx", "A 25507-2019")</f>
        <v/>
      </c>
      <c r="T56">
        <f>HYPERLINK("https://klasma.github.io/Logging_0188/kartor/A 25507-2019 karta.png", "A 25507-2019")</f>
        <v/>
      </c>
      <c r="V56">
        <f>HYPERLINK("https://klasma.github.io/Logging_0188/klagomål/A 25507-2019 FSC-klagomål.docx", "A 25507-2019")</f>
        <v/>
      </c>
      <c r="W56">
        <f>HYPERLINK("https://klasma.github.io/Logging_0188/klagomålsmail/A 25507-2019 FSC-klagomål mail.docx", "A 25507-2019")</f>
        <v/>
      </c>
      <c r="X56">
        <f>HYPERLINK("https://klasma.github.io/Logging_0188/tillsyn/A 25507-2019 tillsynsbegäran.docx", "A 25507-2019")</f>
        <v/>
      </c>
      <c r="Y56">
        <f>HYPERLINK("https://klasma.github.io/Logging_0188/tillsynsmail/A 25507-2019 tillsynsbegäran mail.docx", "A 25507-2019")</f>
        <v/>
      </c>
    </row>
    <row r="57" ht="15" customHeight="1">
      <c r="A57" t="inlineStr">
        <is>
          <t>A 28408-2019</t>
        </is>
      </c>
      <c r="B57" s="1" t="n">
        <v>43626</v>
      </c>
      <c r="C57" s="1" t="n">
        <v>45588</v>
      </c>
      <c r="D57" t="inlineStr">
        <is>
          <t>STOCKHOLMS LÄN</t>
        </is>
      </c>
      <c r="E57" t="inlineStr">
        <is>
          <t>NORRTÄLJE</t>
        </is>
      </c>
      <c r="G57" t="n">
        <v>1.1</v>
      </c>
      <c r="H57" t="n">
        <v>2</v>
      </c>
      <c r="I57" t="n">
        <v>2</v>
      </c>
      <c r="J57" t="n">
        <v>1</v>
      </c>
      <c r="K57" t="n">
        <v>1</v>
      </c>
      <c r="L57" t="n">
        <v>0</v>
      </c>
      <c r="M57" t="n">
        <v>0</v>
      </c>
      <c r="N57" t="n">
        <v>0</v>
      </c>
      <c r="O57" t="n">
        <v>2</v>
      </c>
      <c r="P57" t="n">
        <v>1</v>
      </c>
      <c r="Q57" t="n">
        <v>4</v>
      </c>
      <c r="R57" s="2" t="inlineStr">
        <is>
          <t>Knärot
Granticka
Grönpyrola
Nästrot</t>
        </is>
      </c>
      <c r="S57">
        <f>HYPERLINK("https://klasma.github.io/Logging_0188/artfynd/A 28408-2019 artfynd.xlsx", "A 28408-2019")</f>
        <v/>
      </c>
      <c r="T57">
        <f>HYPERLINK("https://klasma.github.io/Logging_0188/kartor/A 28408-2019 karta.png", "A 28408-2019")</f>
        <v/>
      </c>
      <c r="U57">
        <f>HYPERLINK("https://klasma.github.io/Logging_0188/knärot/A 28408-2019 karta knärot.png", "A 28408-2019")</f>
        <v/>
      </c>
      <c r="V57">
        <f>HYPERLINK("https://klasma.github.io/Logging_0188/klagomål/A 28408-2019 FSC-klagomål.docx", "A 28408-2019")</f>
        <v/>
      </c>
      <c r="W57">
        <f>HYPERLINK("https://klasma.github.io/Logging_0188/klagomålsmail/A 28408-2019 FSC-klagomål mail.docx", "A 28408-2019")</f>
        <v/>
      </c>
      <c r="X57">
        <f>HYPERLINK("https://klasma.github.io/Logging_0188/tillsyn/A 28408-2019 tillsynsbegäran.docx", "A 28408-2019")</f>
        <v/>
      </c>
      <c r="Y57">
        <f>HYPERLINK("https://klasma.github.io/Logging_0188/tillsynsmail/A 28408-2019 tillsynsbegäran mail.docx", "A 28408-2019")</f>
        <v/>
      </c>
    </row>
    <row r="58" ht="15" customHeight="1">
      <c r="A58" t="inlineStr">
        <is>
          <t>A 2803-2020</t>
        </is>
      </c>
      <c r="B58" s="1" t="n">
        <v>43850</v>
      </c>
      <c r="C58" s="1" t="n">
        <v>45588</v>
      </c>
      <c r="D58" t="inlineStr">
        <is>
          <t>STOCKHOLMS LÄN</t>
        </is>
      </c>
      <c r="E58" t="inlineStr">
        <is>
          <t>NORRTÄLJE</t>
        </is>
      </c>
      <c r="G58" t="n">
        <v>1.2</v>
      </c>
      <c r="H58" t="n">
        <v>2</v>
      </c>
      <c r="I58" t="n">
        <v>2</v>
      </c>
      <c r="J58" t="n">
        <v>0</v>
      </c>
      <c r="K58" t="n">
        <v>1</v>
      </c>
      <c r="L58" t="n">
        <v>0</v>
      </c>
      <c r="M58" t="n">
        <v>0</v>
      </c>
      <c r="N58" t="n">
        <v>0</v>
      </c>
      <c r="O58" t="n">
        <v>1</v>
      </c>
      <c r="P58" t="n">
        <v>1</v>
      </c>
      <c r="Q58" t="n">
        <v>4</v>
      </c>
      <c r="R58" s="2" t="inlineStr">
        <is>
          <t>Knärot
Brandticka
Tibast
Tjäder</t>
        </is>
      </c>
      <c r="S58">
        <f>HYPERLINK("https://klasma.github.io/Logging_0188/artfynd/A 2803-2020 artfynd.xlsx", "A 2803-2020")</f>
        <v/>
      </c>
      <c r="T58">
        <f>HYPERLINK("https://klasma.github.io/Logging_0188/kartor/A 2803-2020 karta.png", "A 2803-2020")</f>
        <v/>
      </c>
      <c r="U58">
        <f>HYPERLINK("https://klasma.github.io/Logging_0188/knärot/A 2803-2020 karta knärot.png", "A 2803-2020")</f>
        <v/>
      </c>
      <c r="V58">
        <f>HYPERLINK("https://klasma.github.io/Logging_0188/klagomål/A 2803-2020 FSC-klagomål.docx", "A 2803-2020")</f>
        <v/>
      </c>
      <c r="W58">
        <f>HYPERLINK("https://klasma.github.io/Logging_0188/klagomålsmail/A 2803-2020 FSC-klagomål mail.docx", "A 2803-2020")</f>
        <v/>
      </c>
      <c r="X58">
        <f>HYPERLINK("https://klasma.github.io/Logging_0188/tillsyn/A 2803-2020 tillsynsbegäran.docx", "A 2803-2020")</f>
        <v/>
      </c>
      <c r="Y58">
        <f>HYPERLINK("https://klasma.github.io/Logging_0188/tillsynsmail/A 2803-2020 tillsynsbegäran mail.docx", "A 2803-2020")</f>
        <v/>
      </c>
      <c r="Z58">
        <f>HYPERLINK("https://klasma.github.io/Logging_0188/fåglar/A 2803-2020 prioriterade fågelarter.docx", "A 2803-2020")</f>
        <v/>
      </c>
    </row>
    <row r="59" ht="15" customHeight="1">
      <c r="A59" t="inlineStr">
        <is>
          <t>A 5732-2020</t>
        </is>
      </c>
      <c r="B59" s="1" t="n">
        <v>43863</v>
      </c>
      <c r="C59" s="1" t="n">
        <v>45588</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45588</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45588</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45588</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19617-2019</t>
        </is>
      </c>
      <c r="B63" s="1" t="n">
        <v>43566</v>
      </c>
      <c r="C63" s="1" t="n">
        <v>45588</v>
      </c>
      <c r="D63" t="inlineStr">
        <is>
          <t>STOCKHOLMS LÄN</t>
        </is>
      </c>
      <c r="E63" t="inlineStr">
        <is>
          <t>NORRTÄLJE</t>
        </is>
      </c>
      <c r="G63" t="n">
        <v>16.1</v>
      </c>
      <c r="H63" t="n">
        <v>2</v>
      </c>
      <c r="I63" t="n">
        <v>1</v>
      </c>
      <c r="J63" t="n">
        <v>1</v>
      </c>
      <c r="K63" t="n">
        <v>0</v>
      </c>
      <c r="L63" t="n">
        <v>0</v>
      </c>
      <c r="M63" t="n">
        <v>0</v>
      </c>
      <c r="N63" t="n">
        <v>0</v>
      </c>
      <c r="O63" t="n">
        <v>1</v>
      </c>
      <c r="P63" t="n">
        <v>0</v>
      </c>
      <c r="Q63" t="n">
        <v>3</v>
      </c>
      <c r="R63" s="2" t="inlineStr">
        <is>
          <t>Havsörn
Myskbock
Blåsippa</t>
        </is>
      </c>
      <c r="S63">
        <f>HYPERLINK("https://klasma.github.io/Logging_0188/artfynd/A 19617-2019 artfynd.xlsx", "A 19617-2019")</f>
        <v/>
      </c>
      <c r="T63">
        <f>HYPERLINK("https://klasma.github.io/Logging_0188/kartor/A 19617-2019 karta.png", "A 19617-2019")</f>
        <v/>
      </c>
      <c r="V63">
        <f>HYPERLINK("https://klasma.github.io/Logging_0188/klagomål/A 19617-2019 FSC-klagomål.docx", "A 19617-2019")</f>
        <v/>
      </c>
      <c r="W63">
        <f>HYPERLINK("https://klasma.github.io/Logging_0188/klagomålsmail/A 19617-2019 FSC-klagomål mail.docx", "A 19617-2019")</f>
        <v/>
      </c>
      <c r="X63">
        <f>HYPERLINK("https://klasma.github.io/Logging_0188/tillsyn/A 19617-2019 tillsynsbegäran.docx", "A 19617-2019")</f>
        <v/>
      </c>
      <c r="Y63">
        <f>HYPERLINK("https://klasma.github.io/Logging_0188/tillsynsmail/A 19617-2019 tillsynsbegäran mail.docx", "A 19617-2019")</f>
        <v/>
      </c>
      <c r="Z63">
        <f>HYPERLINK("https://klasma.github.io/Logging_0188/fåglar/A 19617-2019 prioriterade fågelarter.docx", "A 19617-2019")</f>
        <v/>
      </c>
    </row>
    <row r="64" ht="15" customHeight="1">
      <c r="A64" t="inlineStr">
        <is>
          <t>A 28495-2020</t>
        </is>
      </c>
      <c r="B64" s="1" t="n">
        <v>43999</v>
      </c>
      <c r="C64" s="1" t="n">
        <v>45588</v>
      </c>
      <c r="D64" t="inlineStr">
        <is>
          <t>STOCKHOLMS LÄN</t>
        </is>
      </c>
      <c r="E64" t="inlineStr">
        <is>
          <t>NORRTÄLJE</t>
        </is>
      </c>
      <c r="G64" t="n">
        <v>0.5</v>
      </c>
      <c r="H64" t="n">
        <v>1</v>
      </c>
      <c r="I64" t="n">
        <v>0</v>
      </c>
      <c r="J64" t="n">
        <v>2</v>
      </c>
      <c r="K64" t="n">
        <v>0</v>
      </c>
      <c r="L64" t="n">
        <v>0</v>
      </c>
      <c r="M64" t="n">
        <v>0</v>
      </c>
      <c r="N64" t="n">
        <v>0</v>
      </c>
      <c r="O64" t="n">
        <v>2</v>
      </c>
      <c r="P64" t="n">
        <v>0</v>
      </c>
      <c r="Q64" t="n">
        <v>3</v>
      </c>
      <c r="R64" s="2" t="inlineStr">
        <is>
          <t>Backklöver
Slåtterfibbla
Grönvit nattviol</t>
        </is>
      </c>
      <c r="S64">
        <f>HYPERLINK("https://klasma.github.io/Logging_0188/artfynd/A 28495-2020 artfynd.xlsx", "A 28495-2020")</f>
        <v/>
      </c>
      <c r="T64">
        <f>HYPERLINK("https://klasma.github.io/Logging_0188/kartor/A 28495-2020 karta.png", "A 28495-2020")</f>
        <v/>
      </c>
      <c r="V64">
        <f>HYPERLINK("https://klasma.github.io/Logging_0188/klagomål/A 28495-2020 FSC-klagomål.docx", "A 28495-2020")</f>
        <v/>
      </c>
      <c r="W64">
        <f>HYPERLINK("https://klasma.github.io/Logging_0188/klagomålsmail/A 28495-2020 FSC-klagomål mail.docx", "A 28495-2020")</f>
        <v/>
      </c>
      <c r="X64">
        <f>HYPERLINK("https://klasma.github.io/Logging_0188/tillsyn/A 28495-2020 tillsynsbegäran.docx", "A 28495-2020")</f>
        <v/>
      </c>
      <c r="Y64">
        <f>HYPERLINK("https://klasma.github.io/Logging_0188/tillsynsmail/A 28495-2020 tillsynsbegäran mail.docx", "A 28495-2020")</f>
        <v/>
      </c>
    </row>
    <row r="65" ht="15" customHeight="1">
      <c r="A65" t="inlineStr">
        <is>
          <t>A 14560-2021</t>
        </is>
      </c>
      <c r="B65" s="1" t="n">
        <v>44279</v>
      </c>
      <c r="C65" s="1" t="n">
        <v>45588</v>
      </c>
      <c r="D65" t="inlineStr">
        <is>
          <t>STOCKHOLMS LÄN</t>
        </is>
      </c>
      <c r="E65" t="inlineStr">
        <is>
          <t>NORRTÄLJE</t>
        </is>
      </c>
      <c r="G65" t="n">
        <v>1.8</v>
      </c>
      <c r="H65" t="n">
        <v>0</v>
      </c>
      <c r="I65" t="n">
        <v>2</v>
      </c>
      <c r="J65" t="n">
        <v>1</v>
      </c>
      <c r="K65" t="n">
        <v>0</v>
      </c>
      <c r="L65" t="n">
        <v>0</v>
      </c>
      <c r="M65" t="n">
        <v>0</v>
      </c>
      <c r="N65" t="n">
        <v>0</v>
      </c>
      <c r="O65" t="n">
        <v>1</v>
      </c>
      <c r="P65" t="n">
        <v>0</v>
      </c>
      <c r="Q65" t="n">
        <v>3</v>
      </c>
      <c r="R65" s="2" t="inlineStr">
        <is>
          <t>Vit vedfingersvamp
Stor aspticka
Vedticka</t>
        </is>
      </c>
      <c r="S65">
        <f>HYPERLINK("https://klasma.github.io/Logging_0188/artfynd/A 14560-2021 artfynd.xlsx", "A 14560-2021")</f>
        <v/>
      </c>
      <c r="T65">
        <f>HYPERLINK("https://klasma.github.io/Logging_0188/kartor/A 14560-2021 karta.png", "A 14560-2021")</f>
        <v/>
      </c>
      <c r="V65">
        <f>HYPERLINK("https://klasma.github.io/Logging_0188/klagomål/A 14560-2021 FSC-klagomål.docx", "A 14560-2021")</f>
        <v/>
      </c>
      <c r="W65">
        <f>HYPERLINK("https://klasma.github.io/Logging_0188/klagomålsmail/A 14560-2021 FSC-klagomål mail.docx", "A 14560-2021")</f>
        <v/>
      </c>
      <c r="X65">
        <f>HYPERLINK("https://klasma.github.io/Logging_0188/tillsyn/A 14560-2021 tillsynsbegäran.docx", "A 14560-2021")</f>
        <v/>
      </c>
      <c r="Y65">
        <f>HYPERLINK("https://klasma.github.io/Logging_0188/tillsynsmail/A 14560-2021 tillsynsbegäran mail.docx", "A 14560-2021")</f>
        <v/>
      </c>
    </row>
    <row r="66" ht="15" customHeight="1">
      <c r="A66" t="inlineStr">
        <is>
          <t>A 17673-2021</t>
        </is>
      </c>
      <c r="B66" s="1" t="n">
        <v>44300</v>
      </c>
      <c r="C66" s="1" t="n">
        <v>45588</v>
      </c>
      <c r="D66" t="inlineStr">
        <is>
          <t>STOCKHOLMS LÄN</t>
        </is>
      </c>
      <c r="E66" t="inlineStr">
        <is>
          <t>NORRTÄLJE</t>
        </is>
      </c>
      <c r="G66" t="n">
        <v>10.4</v>
      </c>
      <c r="H66" t="n">
        <v>3</v>
      </c>
      <c r="I66" t="n">
        <v>0</v>
      </c>
      <c r="J66" t="n">
        <v>2</v>
      </c>
      <c r="K66" t="n">
        <v>0</v>
      </c>
      <c r="L66" t="n">
        <v>0</v>
      </c>
      <c r="M66" t="n">
        <v>0</v>
      </c>
      <c r="N66" t="n">
        <v>0</v>
      </c>
      <c r="O66" t="n">
        <v>2</v>
      </c>
      <c r="P66" t="n">
        <v>0</v>
      </c>
      <c r="Q66" t="n">
        <v>3</v>
      </c>
      <c r="R66" s="2" t="inlineStr">
        <is>
          <t>Grönsångare
Havsörn
Blåsippa</t>
        </is>
      </c>
      <c r="S66">
        <f>HYPERLINK("https://klasma.github.io/Logging_0188/artfynd/A 17673-2021 artfynd.xlsx", "A 17673-2021")</f>
        <v/>
      </c>
      <c r="T66">
        <f>HYPERLINK("https://klasma.github.io/Logging_0188/kartor/A 17673-2021 karta.png", "A 17673-2021")</f>
        <v/>
      </c>
      <c r="V66">
        <f>HYPERLINK("https://klasma.github.io/Logging_0188/klagomål/A 17673-2021 FSC-klagomål.docx", "A 17673-2021")</f>
        <v/>
      </c>
      <c r="W66">
        <f>HYPERLINK("https://klasma.github.io/Logging_0188/klagomålsmail/A 17673-2021 FSC-klagomål mail.docx", "A 17673-2021")</f>
        <v/>
      </c>
      <c r="X66">
        <f>HYPERLINK("https://klasma.github.io/Logging_0188/tillsyn/A 17673-2021 tillsynsbegäran.docx", "A 17673-2021")</f>
        <v/>
      </c>
      <c r="Y66">
        <f>HYPERLINK("https://klasma.github.io/Logging_0188/tillsynsmail/A 17673-2021 tillsynsbegäran mail.docx", "A 17673-2021")</f>
        <v/>
      </c>
      <c r="Z66">
        <f>HYPERLINK("https://klasma.github.io/Logging_0188/fåglar/A 17673-2021 prioriterade fågelarter.docx", "A 17673-2021")</f>
        <v/>
      </c>
    </row>
    <row r="67" ht="15" customHeight="1">
      <c r="A67" t="inlineStr">
        <is>
          <t>A 65629-2021</t>
        </is>
      </c>
      <c r="B67" s="1" t="n">
        <v>44516</v>
      </c>
      <c r="C67" s="1" t="n">
        <v>45588</v>
      </c>
      <c r="D67" t="inlineStr">
        <is>
          <t>STOCKHOLMS LÄN</t>
        </is>
      </c>
      <c r="E67" t="inlineStr">
        <is>
          <t>NORRTÄLJE</t>
        </is>
      </c>
      <c r="G67" t="n">
        <v>3</v>
      </c>
      <c r="H67" t="n">
        <v>0</v>
      </c>
      <c r="I67" t="n">
        <v>1</v>
      </c>
      <c r="J67" t="n">
        <v>2</v>
      </c>
      <c r="K67" t="n">
        <v>0</v>
      </c>
      <c r="L67" t="n">
        <v>0</v>
      </c>
      <c r="M67" t="n">
        <v>0</v>
      </c>
      <c r="N67" t="n">
        <v>0</v>
      </c>
      <c r="O67" t="n">
        <v>2</v>
      </c>
      <c r="P67" t="n">
        <v>0</v>
      </c>
      <c r="Q67" t="n">
        <v>3</v>
      </c>
      <c r="R67" s="2" t="inlineStr">
        <is>
          <t>Granticka
Ullticka
Granbarkgnagare</t>
        </is>
      </c>
      <c r="S67">
        <f>HYPERLINK("https://klasma.github.io/Logging_0188/artfynd/A 65629-2021 artfynd.xlsx", "A 65629-2021")</f>
        <v/>
      </c>
      <c r="T67">
        <f>HYPERLINK("https://klasma.github.io/Logging_0188/kartor/A 65629-2021 karta.png", "A 65629-2021")</f>
        <v/>
      </c>
      <c r="V67">
        <f>HYPERLINK("https://klasma.github.io/Logging_0188/klagomål/A 65629-2021 FSC-klagomål.docx", "A 65629-2021")</f>
        <v/>
      </c>
      <c r="W67">
        <f>HYPERLINK("https://klasma.github.io/Logging_0188/klagomålsmail/A 65629-2021 FSC-klagomål mail.docx", "A 65629-2021")</f>
        <v/>
      </c>
      <c r="X67">
        <f>HYPERLINK("https://klasma.github.io/Logging_0188/tillsyn/A 65629-2021 tillsynsbegäran.docx", "A 65629-2021")</f>
        <v/>
      </c>
      <c r="Y67">
        <f>HYPERLINK("https://klasma.github.io/Logging_0188/tillsynsmail/A 65629-2021 tillsynsbegäran mail.docx", "A 65629-2021")</f>
        <v/>
      </c>
    </row>
    <row r="68" ht="15" customHeight="1">
      <c r="A68" t="inlineStr">
        <is>
          <t>A 12215-2022</t>
        </is>
      </c>
      <c r="B68" s="1" t="n">
        <v>44637</v>
      </c>
      <c r="C68" s="1" t="n">
        <v>45588</v>
      </c>
      <c r="D68" t="inlineStr">
        <is>
          <t>STOCKHOLMS LÄN</t>
        </is>
      </c>
      <c r="E68" t="inlineStr">
        <is>
          <t>NORRTÄLJE</t>
        </is>
      </c>
      <c r="G68" t="n">
        <v>3.1</v>
      </c>
      <c r="H68" t="n">
        <v>3</v>
      </c>
      <c r="I68" t="n">
        <v>3</v>
      </c>
      <c r="J68" t="n">
        <v>0</v>
      </c>
      <c r="K68" t="n">
        <v>0</v>
      </c>
      <c r="L68" t="n">
        <v>0</v>
      </c>
      <c r="M68" t="n">
        <v>0</v>
      </c>
      <c r="N68" t="n">
        <v>0</v>
      </c>
      <c r="O68" t="n">
        <v>0</v>
      </c>
      <c r="P68" t="n">
        <v>0</v>
      </c>
      <c r="Q68" t="n">
        <v>3</v>
      </c>
      <c r="R68" s="2" t="inlineStr">
        <is>
          <t>Guckusko
Skogsknipprot
Tvåblad</t>
        </is>
      </c>
      <c r="S68">
        <f>HYPERLINK("https://klasma.github.io/Logging_0188/artfynd/A 12215-2022 artfynd.xlsx", "A 12215-2022")</f>
        <v/>
      </c>
      <c r="T68">
        <f>HYPERLINK("https://klasma.github.io/Logging_0188/kartor/A 12215-2022 karta.png", "A 12215-2022")</f>
        <v/>
      </c>
      <c r="V68">
        <f>HYPERLINK("https://klasma.github.io/Logging_0188/klagomål/A 12215-2022 FSC-klagomål.docx", "A 12215-2022")</f>
        <v/>
      </c>
      <c r="W68">
        <f>HYPERLINK("https://klasma.github.io/Logging_0188/klagomålsmail/A 12215-2022 FSC-klagomål mail.docx", "A 12215-2022")</f>
        <v/>
      </c>
      <c r="X68">
        <f>HYPERLINK("https://klasma.github.io/Logging_0188/tillsyn/A 12215-2022 tillsynsbegäran.docx", "A 12215-2022")</f>
        <v/>
      </c>
      <c r="Y68">
        <f>HYPERLINK("https://klasma.github.io/Logging_0188/tillsynsmail/A 12215-2022 tillsynsbegäran mail.docx", "A 12215-2022")</f>
        <v/>
      </c>
    </row>
    <row r="69" ht="15" customHeight="1">
      <c r="A69" t="inlineStr">
        <is>
          <t>A 20185-2022</t>
        </is>
      </c>
      <c r="B69" s="1" t="n">
        <v>44698</v>
      </c>
      <c r="C69" s="1" t="n">
        <v>45588</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28836-2022</t>
        </is>
      </c>
      <c r="B70" s="1" t="n">
        <v>44749</v>
      </c>
      <c r="C70" s="1" t="n">
        <v>45588</v>
      </c>
      <c r="D70" t="inlineStr">
        <is>
          <t>STOCKHOLMS LÄN</t>
        </is>
      </c>
      <c r="E70" t="inlineStr">
        <is>
          <t>NORRTÄLJE</t>
        </is>
      </c>
      <c r="G70" t="n">
        <v>25</v>
      </c>
      <c r="H70" t="n">
        <v>2</v>
      </c>
      <c r="I70" t="n">
        <v>0</v>
      </c>
      <c r="J70" t="n">
        <v>2</v>
      </c>
      <c r="K70" t="n">
        <v>0</v>
      </c>
      <c r="L70" t="n">
        <v>0</v>
      </c>
      <c r="M70" t="n">
        <v>0</v>
      </c>
      <c r="N70" t="n">
        <v>0</v>
      </c>
      <c r="O70" t="n">
        <v>2</v>
      </c>
      <c r="P70" t="n">
        <v>0</v>
      </c>
      <c r="Q70" t="n">
        <v>3</v>
      </c>
      <c r="R70" s="2" t="inlineStr">
        <is>
          <t>Backklöver
Svartvit flugsnappare
Skogsödla</t>
        </is>
      </c>
      <c r="S70">
        <f>HYPERLINK("https://klasma.github.io/Logging_0188/artfynd/A 28836-2022 artfynd.xlsx", "A 28836-2022")</f>
        <v/>
      </c>
      <c r="T70">
        <f>HYPERLINK("https://klasma.github.io/Logging_0188/kartor/A 28836-2022 karta.png", "A 28836-2022")</f>
        <v/>
      </c>
      <c r="V70">
        <f>HYPERLINK("https://klasma.github.io/Logging_0188/klagomål/A 28836-2022 FSC-klagomål.docx", "A 28836-2022")</f>
        <v/>
      </c>
      <c r="W70">
        <f>HYPERLINK("https://klasma.github.io/Logging_0188/klagomålsmail/A 28836-2022 FSC-klagomål mail.docx", "A 28836-2022")</f>
        <v/>
      </c>
      <c r="X70">
        <f>HYPERLINK("https://klasma.github.io/Logging_0188/tillsyn/A 28836-2022 tillsynsbegäran.docx", "A 28836-2022")</f>
        <v/>
      </c>
      <c r="Y70">
        <f>HYPERLINK("https://klasma.github.io/Logging_0188/tillsynsmail/A 28836-2022 tillsynsbegäran mail.docx", "A 28836-2022")</f>
        <v/>
      </c>
      <c r="Z70">
        <f>HYPERLINK("https://klasma.github.io/Logging_0188/fåglar/A 28836-2022 prioriterade fågelarter.docx", "A 28836-2022")</f>
        <v/>
      </c>
    </row>
    <row r="71" ht="15" customHeight="1">
      <c r="A71" t="inlineStr">
        <is>
          <t>A 45113-2022</t>
        </is>
      </c>
      <c r="B71" s="1" t="n">
        <v>44843</v>
      </c>
      <c r="C71" s="1" t="n">
        <v>45588</v>
      </c>
      <c r="D71" t="inlineStr">
        <is>
          <t>STOCKHOLMS LÄN</t>
        </is>
      </c>
      <c r="E71" t="inlineStr">
        <is>
          <t>NORRTÄLJE</t>
        </is>
      </c>
      <c r="G71" t="n">
        <v>1.7</v>
      </c>
      <c r="H71" t="n">
        <v>0</v>
      </c>
      <c r="I71" t="n">
        <v>1</v>
      </c>
      <c r="J71" t="n">
        <v>1</v>
      </c>
      <c r="K71" t="n">
        <v>1</v>
      </c>
      <c r="L71" t="n">
        <v>0</v>
      </c>
      <c r="M71" t="n">
        <v>0</v>
      </c>
      <c r="N71" t="n">
        <v>0</v>
      </c>
      <c r="O71" t="n">
        <v>2</v>
      </c>
      <c r="P71" t="n">
        <v>1</v>
      </c>
      <c r="Q71" t="n">
        <v>3</v>
      </c>
      <c r="R71" s="2" t="inlineStr">
        <is>
          <t>Violett fingersvamp
Kandelabersvamp
Slät lönnlav</t>
        </is>
      </c>
      <c r="S71">
        <f>HYPERLINK("https://klasma.github.io/Logging_0188/artfynd/A 45113-2022 artfynd.xlsx", "A 45113-2022")</f>
        <v/>
      </c>
      <c r="T71">
        <f>HYPERLINK("https://klasma.github.io/Logging_0188/kartor/A 45113-2022 karta.png", "A 45113-2022")</f>
        <v/>
      </c>
      <c r="V71">
        <f>HYPERLINK("https://klasma.github.io/Logging_0188/klagomål/A 45113-2022 FSC-klagomål.docx", "A 45113-2022")</f>
        <v/>
      </c>
      <c r="W71">
        <f>HYPERLINK("https://klasma.github.io/Logging_0188/klagomålsmail/A 45113-2022 FSC-klagomål mail.docx", "A 45113-2022")</f>
        <v/>
      </c>
      <c r="X71">
        <f>HYPERLINK("https://klasma.github.io/Logging_0188/tillsyn/A 45113-2022 tillsynsbegäran.docx", "A 45113-2022")</f>
        <v/>
      </c>
      <c r="Y71">
        <f>HYPERLINK("https://klasma.github.io/Logging_0188/tillsynsmail/A 45113-2022 tillsynsbegäran mail.docx", "A 45113-2022")</f>
        <v/>
      </c>
    </row>
    <row r="72" ht="15" customHeight="1">
      <c r="A72" t="inlineStr">
        <is>
          <t>A 50618-2022</t>
        </is>
      </c>
      <c r="B72" s="1" t="n">
        <v>44866</v>
      </c>
      <c r="C72" s="1" t="n">
        <v>45588</v>
      </c>
      <c r="D72" t="inlineStr">
        <is>
          <t>STOCKHOLMS LÄN</t>
        </is>
      </c>
      <c r="E72" t="inlineStr">
        <is>
          <t>NORRTÄLJE</t>
        </is>
      </c>
      <c r="G72" t="n">
        <v>7.8</v>
      </c>
      <c r="H72" t="n">
        <v>2</v>
      </c>
      <c r="I72" t="n">
        <v>2</v>
      </c>
      <c r="J72" t="n">
        <v>0</v>
      </c>
      <c r="K72" t="n">
        <v>0</v>
      </c>
      <c r="L72" t="n">
        <v>0</v>
      </c>
      <c r="M72" t="n">
        <v>0</v>
      </c>
      <c r="N72" t="n">
        <v>0</v>
      </c>
      <c r="O72" t="n">
        <v>0</v>
      </c>
      <c r="P72" t="n">
        <v>0</v>
      </c>
      <c r="Q72" t="n">
        <v>3</v>
      </c>
      <c r="R72" s="2" t="inlineStr">
        <is>
          <t>Skogsknipprot
Vårärt
Blåsippa</t>
        </is>
      </c>
      <c r="S72">
        <f>HYPERLINK("https://klasma.github.io/Logging_0188/artfynd/A 50618-2022 artfynd.xlsx", "A 50618-2022")</f>
        <v/>
      </c>
      <c r="T72">
        <f>HYPERLINK("https://klasma.github.io/Logging_0188/kartor/A 50618-2022 karta.png", "A 50618-2022")</f>
        <v/>
      </c>
      <c r="V72">
        <f>HYPERLINK("https://klasma.github.io/Logging_0188/klagomål/A 50618-2022 FSC-klagomål.docx", "A 50618-2022")</f>
        <v/>
      </c>
      <c r="W72">
        <f>HYPERLINK("https://klasma.github.io/Logging_0188/klagomålsmail/A 50618-2022 FSC-klagomål mail.docx", "A 50618-2022")</f>
        <v/>
      </c>
      <c r="X72">
        <f>HYPERLINK("https://klasma.github.io/Logging_0188/tillsyn/A 50618-2022 tillsynsbegäran.docx", "A 50618-2022")</f>
        <v/>
      </c>
      <c r="Y72">
        <f>HYPERLINK("https://klasma.github.io/Logging_0188/tillsynsmail/A 50618-2022 tillsynsbegäran mail.docx", "A 50618-2022")</f>
        <v/>
      </c>
    </row>
    <row r="73" ht="15" customHeight="1">
      <c r="A73" t="inlineStr">
        <is>
          <t>A 2851-2023</t>
        </is>
      </c>
      <c r="B73" s="1" t="n">
        <v>44945</v>
      </c>
      <c r="C73" s="1" t="n">
        <v>45588</v>
      </c>
      <c r="D73" t="inlineStr">
        <is>
          <t>STOCKHOLMS LÄN</t>
        </is>
      </c>
      <c r="E73" t="inlineStr">
        <is>
          <t>NORRTÄLJE</t>
        </is>
      </c>
      <c r="G73" t="n">
        <v>5.8</v>
      </c>
      <c r="H73" t="n">
        <v>1</v>
      </c>
      <c r="I73" t="n">
        <v>1</v>
      </c>
      <c r="J73" t="n">
        <v>2</v>
      </c>
      <c r="K73" t="n">
        <v>0</v>
      </c>
      <c r="L73" t="n">
        <v>0</v>
      </c>
      <c r="M73" t="n">
        <v>0</v>
      </c>
      <c r="N73" t="n">
        <v>0</v>
      </c>
      <c r="O73" t="n">
        <v>2</v>
      </c>
      <c r="P73" t="n">
        <v>0</v>
      </c>
      <c r="Q73" t="n">
        <v>3</v>
      </c>
      <c r="R73" s="2" t="inlineStr">
        <is>
          <t>Gulsparv
Vedflikmossa
Terpentinmossa</t>
        </is>
      </c>
      <c r="S73">
        <f>HYPERLINK("https://klasma.github.io/Logging_0188/artfynd/A 2851-2023 artfynd.xlsx", "A 2851-2023")</f>
        <v/>
      </c>
      <c r="T73">
        <f>HYPERLINK("https://klasma.github.io/Logging_0188/kartor/A 2851-2023 karta.png", "A 2851-2023")</f>
        <v/>
      </c>
      <c r="V73">
        <f>HYPERLINK("https://klasma.github.io/Logging_0188/klagomål/A 2851-2023 FSC-klagomål.docx", "A 2851-2023")</f>
        <v/>
      </c>
      <c r="W73">
        <f>HYPERLINK("https://klasma.github.io/Logging_0188/klagomålsmail/A 2851-2023 FSC-klagomål mail.docx", "A 2851-2023")</f>
        <v/>
      </c>
      <c r="X73">
        <f>HYPERLINK("https://klasma.github.io/Logging_0188/tillsyn/A 2851-2023 tillsynsbegäran.docx", "A 2851-2023")</f>
        <v/>
      </c>
      <c r="Y73">
        <f>HYPERLINK("https://klasma.github.io/Logging_0188/tillsynsmail/A 2851-2023 tillsynsbegäran mail.docx", "A 2851-2023")</f>
        <v/>
      </c>
      <c r="Z73">
        <f>HYPERLINK("https://klasma.github.io/Logging_0188/fåglar/A 2851-2023 prioriterade fågelarter.docx", "A 2851-2023")</f>
        <v/>
      </c>
    </row>
    <row r="74" ht="15" customHeight="1">
      <c r="A74" t="inlineStr">
        <is>
          <t>A 17916-2023</t>
        </is>
      </c>
      <c r="B74" s="1" t="n">
        <v>45040</v>
      </c>
      <c r="C74" s="1" t="n">
        <v>45588</v>
      </c>
      <c r="D74" t="inlineStr">
        <is>
          <t>STOCKHOLMS LÄN</t>
        </is>
      </c>
      <c r="E74" t="inlineStr">
        <is>
          <t>NORRTÄLJE</t>
        </is>
      </c>
      <c r="G74" t="n">
        <v>9.1</v>
      </c>
      <c r="H74" t="n">
        <v>1</v>
      </c>
      <c r="I74" t="n">
        <v>2</v>
      </c>
      <c r="J74" t="n">
        <v>0</v>
      </c>
      <c r="K74" t="n">
        <v>0</v>
      </c>
      <c r="L74" t="n">
        <v>0</v>
      </c>
      <c r="M74" t="n">
        <v>0</v>
      </c>
      <c r="N74" t="n">
        <v>0</v>
      </c>
      <c r="O74" t="n">
        <v>0</v>
      </c>
      <c r="P74" t="n">
        <v>0</v>
      </c>
      <c r="Q74" t="n">
        <v>3</v>
      </c>
      <c r="R74" s="2" t="inlineStr">
        <is>
          <t>Skarp dropptaggsvamp
Sårläka
Blåsippa</t>
        </is>
      </c>
      <c r="S74">
        <f>HYPERLINK("https://klasma.github.io/Logging_0188/artfynd/A 17916-2023 artfynd.xlsx", "A 17916-2023")</f>
        <v/>
      </c>
      <c r="T74">
        <f>HYPERLINK("https://klasma.github.io/Logging_0188/kartor/A 17916-2023 karta.png", "A 17916-2023")</f>
        <v/>
      </c>
      <c r="V74">
        <f>HYPERLINK("https://klasma.github.io/Logging_0188/klagomål/A 17916-2023 FSC-klagomål.docx", "A 17916-2023")</f>
        <v/>
      </c>
      <c r="W74">
        <f>HYPERLINK("https://klasma.github.io/Logging_0188/klagomålsmail/A 17916-2023 FSC-klagomål mail.docx", "A 17916-2023")</f>
        <v/>
      </c>
      <c r="X74">
        <f>HYPERLINK("https://klasma.github.io/Logging_0188/tillsyn/A 17916-2023 tillsynsbegäran.docx", "A 17916-2023")</f>
        <v/>
      </c>
      <c r="Y74">
        <f>HYPERLINK("https://klasma.github.io/Logging_0188/tillsynsmail/A 17916-2023 tillsynsbegäran mail.docx", "A 17916-2023")</f>
        <v/>
      </c>
    </row>
    <row r="75" ht="15" customHeight="1">
      <c r="A75" t="inlineStr">
        <is>
          <t>A 36662-2023</t>
        </is>
      </c>
      <c r="B75" s="1" t="n">
        <v>45153</v>
      </c>
      <c r="C75" s="1" t="n">
        <v>45588</v>
      </c>
      <c r="D75" t="inlineStr">
        <is>
          <t>STOCKHOLMS LÄN</t>
        </is>
      </c>
      <c r="E75" t="inlineStr">
        <is>
          <t>NORRTÄLJE</t>
        </is>
      </c>
      <c r="G75" t="n">
        <v>3.1</v>
      </c>
      <c r="H75" t="n">
        <v>1</v>
      </c>
      <c r="I75" t="n">
        <v>2</v>
      </c>
      <c r="J75" t="n">
        <v>1</v>
      </c>
      <c r="K75" t="n">
        <v>0</v>
      </c>
      <c r="L75" t="n">
        <v>0</v>
      </c>
      <c r="M75" t="n">
        <v>0</v>
      </c>
      <c r="N75" t="n">
        <v>0</v>
      </c>
      <c r="O75" t="n">
        <v>1</v>
      </c>
      <c r="P75" t="n">
        <v>0</v>
      </c>
      <c r="Q75" t="n">
        <v>3</v>
      </c>
      <c r="R75" s="2" t="inlineStr">
        <is>
          <t>Svartvit taggsvamp
Skogsknipprot
Svavelriska</t>
        </is>
      </c>
      <c r="S75">
        <f>HYPERLINK("https://klasma.github.io/Logging_0188/artfynd/A 36662-2023 artfynd.xlsx", "A 36662-2023")</f>
        <v/>
      </c>
      <c r="T75">
        <f>HYPERLINK("https://klasma.github.io/Logging_0188/kartor/A 36662-2023 karta.png", "A 36662-2023")</f>
        <v/>
      </c>
      <c r="V75">
        <f>HYPERLINK("https://klasma.github.io/Logging_0188/klagomål/A 36662-2023 FSC-klagomål.docx", "A 36662-2023")</f>
        <v/>
      </c>
      <c r="W75">
        <f>HYPERLINK("https://klasma.github.io/Logging_0188/klagomålsmail/A 36662-2023 FSC-klagomål mail.docx", "A 36662-2023")</f>
        <v/>
      </c>
      <c r="X75">
        <f>HYPERLINK("https://klasma.github.io/Logging_0188/tillsyn/A 36662-2023 tillsynsbegäran.docx", "A 36662-2023")</f>
        <v/>
      </c>
      <c r="Y75">
        <f>HYPERLINK("https://klasma.github.io/Logging_0188/tillsynsmail/A 36662-2023 tillsynsbegäran mail.docx", "A 36662-2023")</f>
        <v/>
      </c>
    </row>
    <row r="76" ht="15" customHeight="1">
      <c r="A76" t="inlineStr">
        <is>
          <t>A 43304-2023</t>
        </is>
      </c>
      <c r="B76" s="1" t="n">
        <v>45183</v>
      </c>
      <c r="C76" s="1" t="n">
        <v>45588</v>
      </c>
      <c r="D76" t="inlineStr">
        <is>
          <t>STOCKHOLMS LÄN</t>
        </is>
      </c>
      <c r="E76" t="inlineStr">
        <is>
          <t>NORRTÄLJE</t>
        </is>
      </c>
      <c r="G76" t="n">
        <v>1.5</v>
      </c>
      <c r="H76" t="n">
        <v>0</v>
      </c>
      <c r="I76" t="n">
        <v>0</v>
      </c>
      <c r="J76" t="n">
        <v>2</v>
      </c>
      <c r="K76" t="n">
        <v>1</v>
      </c>
      <c r="L76" t="n">
        <v>0</v>
      </c>
      <c r="M76" t="n">
        <v>0</v>
      </c>
      <c r="N76" t="n">
        <v>0</v>
      </c>
      <c r="O76" t="n">
        <v>3</v>
      </c>
      <c r="P76" t="n">
        <v>1</v>
      </c>
      <c r="Q76" t="n">
        <v>3</v>
      </c>
      <c r="R76" s="2" t="inlineStr">
        <is>
          <t>Spricktaggsvamp
Kungsspindling
Persiljespindling</t>
        </is>
      </c>
      <c r="S76">
        <f>HYPERLINK("https://klasma.github.io/Logging_0188/artfynd/A 43304-2023 artfynd.xlsx", "A 43304-2023")</f>
        <v/>
      </c>
      <c r="T76">
        <f>HYPERLINK("https://klasma.github.io/Logging_0188/kartor/A 43304-2023 karta.png", "A 43304-2023")</f>
        <v/>
      </c>
      <c r="V76">
        <f>HYPERLINK("https://klasma.github.io/Logging_0188/klagomål/A 43304-2023 FSC-klagomål.docx", "A 43304-2023")</f>
        <v/>
      </c>
      <c r="W76">
        <f>HYPERLINK("https://klasma.github.io/Logging_0188/klagomålsmail/A 43304-2023 FSC-klagomål mail.docx", "A 43304-2023")</f>
        <v/>
      </c>
      <c r="X76">
        <f>HYPERLINK("https://klasma.github.io/Logging_0188/tillsyn/A 43304-2023 tillsynsbegäran.docx", "A 43304-2023")</f>
        <v/>
      </c>
      <c r="Y76">
        <f>HYPERLINK("https://klasma.github.io/Logging_0188/tillsynsmail/A 43304-2023 tillsynsbegäran mail.docx", "A 43304-2023")</f>
        <v/>
      </c>
    </row>
    <row r="77" ht="15" customHeight="1">
      <c r="A77" t="inlineStr">
        <is>
          <t>A 52011-2023</t>
        </is>
      </c>
      <c r="B77" s="1" t="n">
        <v>45223</v>
      </c>
      <c r="C77" s="1" t="n">
        <v>45588</v>
      </c>
      <c r="D77" t="inlineStr">
        <is>
          <t>STOCKHOLMS LÄN</t>
        </is>
      </c>
      <c r="E77" t="inlineStr">
        <is>
          <t>NORRTÄLJE</t>
        </is>
      </c>
      <c r="F77" t="inlineStr">
        <is>
          <t>Övriga Aktiebolag</t>
        </is>
      </c>
      <c r="G77" t="n">
        <v>16.6</v>
      </c>
      <c r="H77" t="n">
        <v>0</v>
      </c>
      <c r="I77" t="n">
        <v>2</v>
      </c>
      <c r="J77" t="n">
        <v>1</v>
      </c>
      <c r="K77" t="n">
        <v>0</v>
      </c>
      <c r="L77" t="n">
        <v>0</v>
      </c>
      <c r="M77" t="n">
        <v>0</v>
      </c>
      <c r="N77" t="n">
        <v>0</v>
      </c>
      <c r="O77" t="n">
        <v>1</v>
      </c>
      <c r="P77" t="n">
        <v>0</v>
      </c>
      <c r="Q77" t="n">
        <v>3</v>
      </c>
      <c r="R77" s="2" t="inlineStr">
        <is>
          <t>Vedtrappmossa
Mörk husmossa
Skogshakmossa</t>
        </is>
      </c>
      <c r="S77">
        <f>HYPERLINK("https://klasma.github.io/Logging_0188/artfynd/A 52011-2023 artfynd.xlsx", "A 52011-2023")</f>
        <v/>
      </c>
      <c r="T77">
        <f>HYPERLINK("https://klasma.github.io/Logging_0188/kartor/A 52011-2023 karta.png", "A 52011-2023")</f>
        <v/>
      </c>
      <c r="V77">
        <f>HYPERLINK("https://klasma.github.io/Logging_0188/klagomål/A 52011-2023 FSC-klagomål.docx", "A 52011-2023")</f>
        <v/>
      </c>
      <c r="W77">
        <f>HYPERLINK("https://klasma.github.io/Logging_0188/klagomålsmail/A 52011-2023 FSC-klagomål mail.docx", "A 52011-2023")</f>
        <v/>
      </c>
      <c r="X77">
        <f>HYPERLINK("https://klasma.github.io/Logging_0188/tillsyn/A 52011-2023 tillsynsbegäran.docx", "A 52011-2023")</f>
        <v/>
      </c>
      <c r="Y77">
        <f>HYPERLINK("https://klasma.github.io/Logging_0188/tillsynsmail/A 52011-2023 tillsynsbegäran mail.docx", "A 52011-2023")</f>
        <v/>
      </c>
    </row>
    <row r="78" ht="15" customHeight="1">
      <c r="A78" t="inlineStr">
        <is>
          <t>A 23830-2019</t>
        </is>
      </c>
      <c r="B78" s="1" t="n">
        <v>43595</v>
      </c>
      <c r="C78" s="1" t="n">
        <v>45588</v>
      </c>
      <c r="D78" t="inlineStr">
        <is>
          <t>STOCKHOLMS LÄN</t>
        </is>
      </c>
      <c r="E78" t="inlineStr">
        <is>
          <t>NORRTÄLJE</t>
        </is>
      </c>
      <c r="G78" t="n">
        <v>3</v>
      </c>
      <c r="H78" t="n">
        <v>2</v>
      </c>
      <c r="I78" t="n">
        <v>1</v>
      </c>
      <c r="J78" t="n">
        <v>0</v>
      </c>
      <c r="K78" t="n">
        <v>0</v>
      </c>
      <c r="L78" t="n">
        <v>0</v>
      </c>
      <c r="M78" t="n">
        <v>0</v>
      </c>
      <c r="N78" t="n">
        <v>0</v>
      </c>
      <c r="O78" t="n">
        <v>0</v>
      </c>
      <c r="P78" t="n">
        <v>0</v>
      </c>
      <c r="Q78" t="n">
        <v>2</v>
      </c>
      <c r="R78" s="2" t="inlineStr">
        <is>
          <t>Guckusko
Grönvit nattviol</t>
        </is>
      </c>
      <c r="S78">
        <f>HYPERLINK("https://klasma.github.io/Logging_0188/artfynd/A 23830-2019 artfynd.xlsx", "A 23830-2019")</f>
        <v/>
      </c>
      <c r="T78">
        <f>HYPERLINK("https://klasma.github.io/Logging_0188/kartor/A 23830-2019 karta.png", "A 23830-2019")</f>
        <v/>
      </c>
      <c r="V78">
        <f>HYPERLINK("https://klasma.github.io/Logging_0188/klagomål/A 23830-2019 FSC-klagomål.docx", "A 23830-2019")</f>
        <v/>
      </c>
      <c r="W78">
        <f>HYPERLINK("https://klasma.github.io/Logging_0188/klagomålsmail/A 23830-2019 FSC-klagomål mail.docx", "A 23830-2019")</f>
        <v/>
      </c>
      <c r="X78">
        <f>HYPERLINK("https://klasma.github.io/Logging_0188/tillsyn/A 23830-2019 tillsynsbegäran.docx", "A 23830-2019")</f>
        <v/>
      </c>
      <c r="Y78">
        <f>HYPERLINK("https://klasma.github.io/Logging_0188/tillsynsmail/A 23830-2019 tillsynsbegäran mail.docx", "A 23830-2019")</f>
        <v/>
      </c>
    </row>
    <row r="79" ht="15" customHeight="1">
      <c r="A79" t="inlineStr">
        <is>
          <t>A 47875-2019</t>
        </is>
      </c>
      <c r="B79" s="1" t="n">
        <v>43725</v>
      </c>
      <c r="C79" s="1" t="n">
        <v>45588</v>
      </c>
      <c r="D79" t="inlineStr">
        <is>
          <t>STOCKHOLMS LÄN</t>
        </is>
      </c>
      <c r="E79" t="inlineStr">
        <is>
          <t>NORRTÄLJE</t>
        </is>
      </c>
      <c r="G79" t="n">
        <v>10.9</v>
      </c>
      <c r="H79" t="n">
        <v>1</v>
      </c>
      <c r="I79" t="n">
        <v>0</v>
      </c>
      <c r="J79" t="n">
        <v>1</v>
      </c>
      <c r="K79" t="n">
        <v>0</v>
      </c>
      <c r="L79" t="n">
        <v>0</v>
      </c>
      <c r="M79" t="n">
        <v>0</v>
      </c>
      <c r="N79" t="n">
        <v>0</v>
      </c>
      <c r="O79" t="n">
        <v>1</v>
      </c>
      <c r="P79" t="n">
        <v>0</v>
      </c>
      <c r="Q79" t="n">
        <v>2</v>
      </c>
      <c r="R79" s="2" t="inlineStr">
        <is>
          <t>Vippärt
Mattlummer</t>
        </is>
      </c>
      <c r="S79">
        <f>HYPERLINK("https://klasma.github.io/Logging_0188/artfynd/A 47875-2019 artfynd.xlsx", "A 47875-2019")</f>
        <v/>
      </c>
      <c r="T79">
        <f>HYPERLINK("https://klasma.github.io/Logging_0188/kartor/A 47875-2019 karta.png", "A 47875-2019")</f>
        <v/>
      </c>
      <c r="V79">
        <f>HYPERLINK("https://klasma.github.io/Logging_0188/klagomål/A 47875-2019 FSC-klagomål.docx", "A 47875-2019")</f>
        <v/>
      </c>
      <c r="W79">
        <f>HYPERLINK("https://klasma.github.io/Logging_0188/klagomålsmail/A 47875-2019 FSC-klagomål mail.docx", "A 47875-2019")</f>
        <v/>
      </c>
      <c r="X79">
        <f>HYPERLINK("https://klasma.github.io/Logging_0188/tillsyn/A 47875-2019 tillsynsbegäran.docx", "A 47875-2019")</f>
        <v/>
      </c>
      <c r="Y79">
        <f>HYPERLINK("https://klasma.github.io/Logging_0188/tillsynsmail/A 47875-2019 tillsynsbegäran mail.docx", "A 47875-2019")</f>
        <v/>
      </c>
    </row>
    <row r="80" ht="15" customHeight="1">
      <c r="A80" t="inlineStr">
        <is>
          <t>A 2810-2020</t>
        </is>
      </c>
      <c r="B80" s="1" t="n">
        <v>43850</v>
      </c>
      <c r="C80" s="1" t="n">
        <v>45588</v>
      </c>
      <c r="D80" t="inlineStr">
        <is>
          <t>STOCKHOLMS LÄN</t>
        </is>
      </c>
      <c r="E80" t="inlineStr">
        <is>
          <t>NORRTÄLJE</t>
        </is>
      </c>
      <c r="G80" t="n">
        <v>0.9</v>
      </c>
      <c r="H80" t="n">
        <v>1</v>
      </c>
      <c r="I80" t="n">
        <v>1</v>
      </c>
      <c r="J80" t="n">
        <v>0</v>
      </c>
      <c r="K80" t="n">
        <v>1</v>
      </c>
      <c r="L80" t="n">
        <v>0</v>
      </c>
      <c r="M80" t="n">
        <v>0</v>
      </c>
      <c r="N80" t="n">
        <v>0</v>
      </c>
      <c r="O80" t="n">
        <v>1</v>
      </c>
      <c r="P80" t="n">
        <v>1</v>
      </c>
      <c r="Q80" t="n">
        <v>2</v>
      </c>
      <c r="R80" s="2" t="inlineStr">
        <is>
          <t>Knärot
Grönpyrola</t>
        </is>
      </c>
      <c r="S80">
        <f>HYPERLINK("https://klasma.github.io/Logging_0188/artfynd/A 2810-2020 artfynd.xlsx", "A 2810-2020")</f>
        <v/>
      </c>
      <c r="T80">
        <f>HYPERLINK("https://klasma.github.io/Logging_0188/kartor/A 2810-2020 karta.png", "A 2810-2020")</f>
        <v/>
      </c>
      <c r="U80">
        <f>HYPERLINK("https://klasma.github.io/Logging_0188/knärot/A 2810-2020 karta knärot.png", "A 2810-2020")</f>
        <v/>
      </c>
      <c r="V80">
        <f>HYPERLINK("https://klasma.github.io/Logging_0188/klagomål/A 2810-2020 FSC-klagomål.docx", "A 2810-2020")</f>
        <v/>
      </c>
      <c r="W80">
        <f>HYPERLINK("https://klasma.github.io/Logging_0188/klagomålsmail/A 2810-2020 FSC-klagomål mail.docx", "A 2810-2020")</f>
        <v/>
      </c>
      <c r="X80">
        <f>HYPERLINK("https://klasma.github.io/Logging_0188/tillsyn/A 2810-2020 tillsynsbegäran.docx", "A 2810-2020")</f>
        <v/>
      </c>
      <c r="Y80">
        <f>HYPERLINK("https://klasma.github.io/Logging_0188/tillsynsmail/A 2810-2020 tillsynsbegäran mail.docx", "A 2810-2020")</f>
        <v/>
      </c>
    </row>
    <row r="81" ht="15" customHeight="1">
      <c r="A81" t="inlineStr">
        <is>
          <t>A 6272-2020</t>
        </is>
      </c>
      <c r="B81" s="1" t="n">
        <v>43866</v>
      </c>
      <c r="C81" s="1" t="n">
        <v>45588</v>
      </c>
      <c r="D81" t="inlineStr">
        <is>
          <t>STOCKHOLMS LÄN</t>
        </is>
      </c>
      <c r="E81" t="inlineStr">
        <is>
          <t>NORRTÄLJE</t>
        </is>
      </c>
      <c r="F81" t="inlineStr">
        <is>
          <t>Övriga statliga verk och myndigheter</t>
        </is>
      </c>
      <c r="G81" t="n">
        <v>1.9</v>
      </c>
      <c r="H81" t="n">
        <v>1</v>
      </c>
      <c r="I81" t="n">
        <v>1</v>
      </c>
      <c r="J81" t="n">
        <v>1</v>
      </c>
      <c r="K81" t="n">
        <v>0</v>
      </c>
      <c r="L81" t="n">
        <v>0</v>
      </c>
      <c r="M81" t="n">
        <v>0</v>
      </c>
      <c r="N81" t="n">
        <v>0</v>
      </c>
      <c r="O81" t="n">
        <v>1</v>
      </c>
      <c r="P81" t="n">
        <v>0</v>
      </c>
      <c r="Q81" t="n">
        <v>2</v>
      </c>
      <c r="R81" s="2" t="inlineStr">
        <is>
          <t>Silversmygare
Nästrot</t>
        </is>
      </c>
      <c r="S81">
        <f>HYPERLINK("https://klasma.github.io/Logging_0188/artfynd/A 6272-2020 artfynd.xlsx", "A 6272-2020")</f>
        <v/>
      </c>
      <c r="T81">
        <f>HYPERLINK("https://klasma.github.io/Logging_0188/kartor/A 6272-2020 karta.png", "A 6272-2020")</f>
        <v/>
      </c>
      <c r="V81">
        <f>HYPERLINK("https://klasma.github.io/Logging_0188/klagomål/A 6272-2020 FSC-klagomål.docx", "A 6272-2020")</f>
        <v/>
      </c>
      <c r="W81">
        <f>HYPERLINK("https://klasma.github.io/Logging_0188/klagomålsmail/A 6272-2020 FSC-klagomål mail.docx", "A 6272-2020")</f>
        <v/>
      </c>
      <c r="X81">
        <f>HYPERLINK("https://klasma.github.io/Logging_0188/tillsyn/A 6272-2020 tillsynsbegäran.docx", "A 6272-2020")</f>
        <v/>
      </c>
      <c r="Y81">
        <f>HYPERLINK("https://klasma.github.io/Logging_0188/tillsynsmail/A 6272-2020 tillsynsbegäran mail.docx", "A 6272-2020")</f>
        <v/>
      </c>
    </row>
    <row r="82" ht="15" customHeight="1">
      <c r="A82" t="inlineStr">
        <is>
          <t>A 19565-2020</t>
        </is>
      </c>
      <c r="B82" s="1" t="n">
        <v>43936</v>
      </c>
      <c r="C82" s="1" t="n">
        <v>45588</v>
      </c>
      <c r="D82" t="inlineStr">
        <is>
          <t>STOCKHOLMS LÄN</t>
        </is>
      </c>
      <c r="E82" t="inlineStr">
        <is>
          <t>NORRTÄLJE</t>
        </is>
      </c>
      <c r="G82" t="n">
        <v>2.4</v>
      </c>
      <c r="H82" t="n">
        <v>0</v>
      </c>
      <c r="I82" t="n">
        <v>2</v>
      </c>
      <c r="J82" t="n">
        <v>0</v>
      </c>
      <c r="K82" t="n">
        <v>0</v>
      </c>
      <c r="L82" t="n">
        <v>0</v>
      </c>
      <c r="M82" t="n">
        <v>0</v>
      </c>
      <c r="N82" t="n">
        <v>0</v>
      </c>
      <c r="O82" t="n">
        <v>0</v>
      </c>
      <c r="P82" t="n">
        <v>0</v>
      </c>
      <c r="Q82" t="n">
        <v>2</v>
      </c>
      <c r="R82" s="2" t="inlineStr">
        <is>
          <t>Mörk husmossa
Rödgul trumpetsvamp</t>
        </is>
      </c>
      <c r="S82">
        <f>HYPERLINK("https://klasma.github.io/Logging_0188/artfynd/A 19565-2020 artfynd.xlsx", "A 19565-2020")</f>
        <v/>
      </c>
      <c r="T82">
        <f>HYPERLINK("https://klasma.github.io/Logging_0188/kartor/A 19565-2020 karta.png", "A 19565-2020")</f>
        <v/>
      </c>
      <c r="V82">
        <f>HYPERLINK("https://klasma.github.io/Logging_0188/klagomål/A 19565-2020 FSC-klagomål.docx", "A 19565-2020")</f>
        <v/>
      </c>
      <c r="W82">
        <f>HYPERLINK("https://klasma.github.io/Logging_0188/klagomålsmail/A 19565-2020 FSC-klagomål mail.docx", "A 19565-2020")</f>
        <v/>
      </c>
      <c r="X82">
        <f>HYPERLINK("https://klasma.github.io/Logging_0188/tillsyn/A 19565-2020 tillsynsbegäran.docx", "A 19565-2020")</f>
        <v/>
      </c>
      <c r="Y82">
        <f>HYPERLINK("https://klasma.github.io/Logging_0188/tillsynsmail/A 19565-2020 tillsynsbegäran mail.docx", "A 19565-2020")</f>
        <v/>
      </c>
    </row>
    <row r="83" ht="15" customHeight="1">
      <c r="A83" t="inlineStr">
        <is>
          <t>A 31803-2021</t>
        </is>
      </c>
      <c r="B83" s="1" t="n">
        <v>44370</v>
      </c>
      <c r="C83" s="1" t="n">
        <v>45588</v>
      </c>
      <c r="D83" t="inlineStr">
        <is>
          <t>STOCKHOLMS LÄN</t>
        </is>
      </c>
      <c r="E83" t="inlineStr">
        <is>
          <t>NORRTÄLJE</t>
        </is>
      </c>
      <c r="G83" t="n">
        <v>4.6</v>
      </c>
      <c r="H83" t="n">
        <v>0</v>
      </c>
      <c r="I83" t="n">
        <v>1</v>
      </c>
      <c r="J83" t="n">
        <v>1</v>
      </c>
      <c r="K83" t="n">
        <v>0</v>
      </c>
      <c r="L83" t="n">
        <v>0</v>
      </c>
      <c r="M83" t="n">
        <v>0</v>
      </c>
      <c r="N83" t="n">
        <v>0</v>
      </c>
      <c r="O83" t="n">
        <v>1</v>
      </c>
      <c r="P83" t="n">
        <v>0</v>
      </c>
      <c r="Q83" t="n">
        <v>2</v>
      </c>
      <c r="R83" s="2" t="inlineStr">
        <is>
          <t>Slåtterfibbla
Vårärt</t>
        </is>
      </c>
      <c r="S83">
        <f>HYPERLINK("https://klasma.github.io/Logging_0188/artfynd/A 31803-2021 artfynd.xlsx", "A 31803-2021")</f>
        <v/>
      </c>
      <c r="T83">
        <f>HYPERLINK("https://klasma.github.io/Logging_0188/kartor/A 31803-2021 karta.png", "A 31803-2021")</f>
        <v/>
      </c>
      <c r="V83">
        <f>HYPERLINK("https://klasma.github.io/Logging_0188/klagomål/A 31803-2021 FSC-klagomål.docx", "A 31803-2021")</f>
        <v/>
      </c>
      <c r="W83">
        <f>HYPERLINK("https://klasma.github.io/Logging_0188/klagomålsmail/A 31803-2021 FSC-klagomål mail.docx", "A 31803-2021")</f>
        <v/>
      </c>
      <c r="X83">
        <f>HYPERLINK("https://klasma.github.io/Logging_0188/tillsyn/A 31803-2021 tillsynsbegäran.docx", "A 31803-2021")</f>
        <v/>
      </c>
      <c r="Y83">
        <f>HYPERLINK("https://klasma.github.io/Logging_0188/tillsynsmail/A 31803-2021 tillsynsbegäran mail.docx", "A 31803-2021")</f>
        <v/>
      </c>
    </row>
    <row r="84" ht="15" customHeight="1">
      <c r="A84" t="inlineStr">
        <is>
          <t>A 40072-2021</t>
        </is>
      </c>
      <c r="B84" s="1" t="n">
        <v>44418</v>
      </c>
      <c r="C84" s="1" t="n">
        <v>45588</v>
      </c>
      <c r="D84" t="inlineStr">
        <is>
          <t>STOCKHOLMS LÄN</t>
        </is>
      </c>
      <c r="E84" t="inlineStr">
        <is>
          <t>NORRTÄLJE</t>
        </is>
      </c>
      <c r="G84" t="n">
        <v>1.1</v>
      </c>
      <c r="H84" t="n">
        <v>2</v>
      </c>
      <c r="I84" t="n">
        <v>0</v>
      </c>
      <c r="J84" t="n">
        <v>2</v>
      </c>
      <c r="K84" t="n">
        <v>0</v>
      </c>
      <c r="L84" t="n">
        <v>0</v>
      </c>
      <c r="M84" t="n">
        <v>0</v>
      </c>
      <c r="N84" t="n">
        <v>0</v>
      </c>
      <c r="O84" t="n">
        <v>2</v>
      </c>
      <c r="P84" t="n">
        <v>0</v>
      </c>
      <c r="Q84" t="n">
        <v>2</v>
      </c>
      <c r="R84" s="2" t="inlineStr">
        <is>
          <t>Rördrom
Slaguggla</t>
        </is>
      </c>
      <c r="S84">
        <f>HYPERLINK("https://klasma.github.io/Logging_0188/artfynd/A 40072-2021 artfynd.xlsx", "A 40072-2021")</f>
        <v/>
      </c>
      <c r="T84">
        <f>HYPERLINK("https://klasma.github.io/Logging_0188/kartor/A 40072-2021 karta.png", "A 40072-2021")</f>
        <v/>
      </c>
      <c r="V84">
        <f>HYPERLINK("https://klasma.github.io/Logging_0188/klagomål/A 40072-2021 FSC-klagomål.docx", "A 40072-2021")</f>
        <v/>
      </c>
      <c r="W84">
        <f>HYPERLINK("https://klasma.github.io/Logging_0188/klagomålsmail/A 40072-2021 FSC-klagomål mail.docx", "A 40072-2021")</f>
        <v/>
      </c>
      <c r="X84">
        <f>HYPERLINK("https://klasma.github.io/Logging_0188/tillsyn/A 40072-2021 tillsynsbegäran.docx", "A 40072-2021")</f>
        <v/>
      </c>
      <c r="Y84">
        <f>HYPERLINK("https://klasma.github.io/Logging_0188/tillsynsmail/A 40072-2021 tillsynsbegäran mail.docx", "A 40072-2021")</f>
        <v/>
      </c>
      <c r="Z84">
        <f>HYPERLINK("https://klasma.github.io/Logging_0188/fåglar/A 40072-2021 prioriterade fågelarter.docx", "A 40072-2021")</f>
        <v/>
      </c>
    </row>
    <row r="85" ht="15" customHeight="1">
      <c r="A85" t="inlineStr">
        <is>
          <t>A 58676-2021</t>
        </is>
      </c>
      <c r="B85" s="1" t="n">
        <v>44489</v>
      </c>
      <c r="C85" s="1" t="n">
        <v>45588</v>
      </c>
      <c r="D85" t="inlineStr">
        <is>
          <t>STOCKHOLMS LÄN</t>
        </is>
      </c>
      <c r="E85" t="inlineStr">
        <is>
          <t>NORRTÄLJE</t>
        </is>
      </c>
      <c r="G85" t="n">
        <v>0.6</v>
      </c>
      <c r="H85" t="n">
        <v>2</v>
      </c>
      <c r="I85" t="n">
        <v>0</v>
      </c>
      <c r="J85" t="n">
        <v>0</v>
      </c>
      <c r="K85" t="n">
        <v>0</v>
      </c>
      <c r="L85" t="n">
        <v>0</v>
      </c>
      <c r="M85" t="n">
        <v>0</v>
      </c>
      <c r="N85" t="n">
        <v>0</v>
      </c>
      <c r="O85" t="n">
        <v>0</v>
      </c>
      <c r="P85" t="n">
        <v>0</v>
      </c>
      <c r="Q85" t="n">
        <v>2</v>
      </c>
      <c r="R85" s="2" t="inlineStr">
        <is>
          <t>Nattviol
Blåsippa</t>
        </is>
      </c>
      <c r="S85">
        <f>HYPERLINK("https://klasma.github.io/Logging_0188/artfynd/A 58676-2021 artfynd.xlsx", "A 58676-2021")</f>
        <v/>
      </c>
      <c r="T85">
        <f>HYPERLINK("https://klasma.github.io/Logging_0188/kartor/A 58676-2021 karta.png", "A 58676-2021")</f>
        <v/>
      </c>
      <c r="V85">
        <f>HYPERLINK("https://klasma.github.io/Logging_0188/klagomål/A 58676-2021 FSC-klagomål.docx", "A 58676-2021")</f>
        <v/>
      </c>
      <c r="W85">
        <f>HYPERLINK("https://klasma.github.io/Logging_0188/klagomålsmail/A 58676-2021 FSC-klagomål mail.docx", "A 58676-2021")</f>
        <v/>
      </c>
      <c r="X85">
        <f>HYPERLINK("https://klasma.github.io/Logging_0188/tillsyn/A 58676-2021 tillsynsbegäran.docx", "A 58676-2021")</f>
        <v/>
      </c>
      <c r="Y85">
        <f>HYPERLINK("https://klasma.github.io/Logging_0188/tillsynsmail/A 58676-2021 tillsynsbegäran mail.docx", "A 58676-2021")</f>
        <v/>
      </c>
    </row>
    <row r="86" ht="15" customHeight="1">
      <c r="A86" t="inlineStr">
        <is>
          <t>A 16260-2022</t>
        </is>
      </c>
      <c r="B86" s="1" t="n">
        <v>44670</v>
      </c>
      <c r="C86" s="1" t="n">
        <v>45588</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19862-2022</t>
        </is>
      </c>
      <c r="B87" s="1" t="n">
        <v>44696</v>
      </c>
      <c r="C87" s="1" t="n">
        <v>45588</v>
      </c>
      <c r="D87" t="inlineStr">
        <is>
          <t>STOCKHOLMS LÄN</t>
        </is>
      </c>
      <c r="E87" t="inlineStr">
        <is>
          <t>NORRTÄLJE</t>
        </is>
      </c>
      <c r="G87" t="n">
        <v>6</v>
      </c>
      <c r="H87" t="n">
        <v>1</v>
      </c>
      <c r="I87" t="n">
        <v>0</v>
      </c>
      <c r="J87" t="n">
        <v>1</v>
      </c>
      <c r="K87" t="n">
        <v>0</v>
      </c>
      <c r="L87" t="n">
        <v>0</v>
      </c>
      <c r="M87" t="n">
        <v>0</v>
      </c>
      <c r="N87" t="n">
        <v>0</v>
      </c>
      <c r="O87" t="n">
        <v>1</v>
      </c>
      <c r="P87" t="n">
        <v>0</v>
      </c>
      <c r="Q87" t="n">
        <v>2</v>
      </c>
      <c r="R87" s="2" t="inlineStr">
        <is>
          <t>Granticka
Blåsippa</t>
        </is>
      </c>
      <c r="S87">
        <f>HYPERLINK("https://klasma.github.io/Logging_0188/artfynd/A 19862-2022 artfynd.xlsx", "A 19862-2022")</f>
        <v/>
      </c>
      <c r="T87">
        <f>HYPERLINK("https://klasma.github.io/Logging_0188/kartor/A 19862-2022 karta.png", "A 19862-2022")</f>
        <v/>
      </c>
      <c r="V87">
        <f>HYPERLINK("https://klasma.github.io/Logging_0188/klagomål/A 19862-2022 FSC-klagomål.docx", "A 19862-2022")</f>
        <v/>
      </c>
      <c r="W87">
        <f>HYPERLINK("https://klasma.github.io/Logging_0188/klagomålsmail/A 19862-2022 FSC-klagomål mail.docx", "A 19862-2022")</f>
        <v/>
      </c>
      <c r="X87">
        <f>HYPERLINK("https://klasma.github.io/Logging_0188/tillsyn/A 19862-2022 tillsynsbegäran.docx", "A 19862-2022")</f>
        <v/>
      </c>
      <c r="Y87">
        <f>HYPERLINK("https://klasma.github.io/Logging_0188/tillsynsmail/A 19862-2022 tillsynsbegäran mail.docx", "A 19862-2022")</f>
        <v/>
      </c>
    </row>
    <row r="88" ht="15" customHeight="1">
      <c r="A88" t="inlineStr">
        <is>
          <t>A 27742-2022</t>
        </is>
      </c>
      <c r="B88" s="1" t="n">
        <v>44743</v>
      </c>
      <c r="C88" s="1" t="n">
        <v>45588</v>
      </c>
      <c r="D88" t="inlineStr">
        <is>
          <t>STOCKHOLMS LÄN</t>
        </is>
      </c>
      <c r="E88" t="inlineStr">
        <is>
          <t>NORRTÄLJE</t>
        </is>
      </c>
      <c r="G88" t="n">
        <v>3.9</v>
      </c>
      <c r="H88" t="n">
        <v>1</v>
      </c>
      <c r="I88" t="n">
        <v>1</v>
      </c>
      <c r="J88" t="n">
        <v>0</v>
      </c>
      <c r="K88" t="n">
        <v>0</v>
      </c>
      <c r="L88" t="n">
        <v>0</v>
      </c>
      <c r="M88" t="n">
        <v>0</v>
      </c>
      <c r="N88" t="n">
        <v>0</v>
      </c>
      <c r="O88" t="n">
        <v>0</v>
      </c>
      <c r="P88" t="n">
        <v>0</v>
      </c>
      <c r="Q88" t="n">
        <v>2</v>
      </c>
      <c r="R88" s="2" t="inlineStr">
        <is>
          <t>Svavelriska
Blåsippa</t>
        </is>
      </c>
      <c r="S88">
        <f>HYPERLINK("https://klasma.github.io/Logging_0188/artfynd/A 27742-2022 artfynd.xlsx", "A 27742-2022")</f>
        <v/>
      </c>
      <c r="T88">
        <f>HYPERLINK("https://klasma.github.io/Logging_0188/kartor/A 27742-2022 karta.png", "A 27742-2022")</f>
        <v/>
      </c>
      <c r="V88">
        <f>HYPERLINK("https://klasma.github.io/Logging_0188/klagomål/A 27742-2022 FSC-klagomål.docx", "A 27742-2022")</f>
        <v/>
      </c>
      <c r="W88">
        <f>HYPERLINK("https://klasma.github.io/Logging_0188/klagomålsmail/A 27742-2022 FSC-klagomål mail.docx", "A 27742-2022")</f>
        <v/>
      </c>
      <c r="X88">
        <f>HYPERLINK("https://klasma.github.io/Logging_0188/tillsyn/A 27742-2022 tillsynsbegäran.docx", "A 27742-2022")</f>
        <v/>
      </c>
      <c r="Y88">
        <f>HYPERLINK("https://klasma.github.io/Logging_0188/tillsynsmail/A 27742-2022 tillsynsbegäran mail.docx", "A 27742-2022")</f>
        <v/>
      </c>
    </row>
    <row r="89" ht="15" customHeight="1">
      <c r="A89" t="inlineStr">
        <is>
          <t>A 30693-2022</t>
        </is>
      </c>
      <c r="B89" s="1" t="n">
        <v>44763</v>
      </c>
      <c r="C89" s="1" t="n">
        <v>45588</v>
      </c>
      <c r="D89" t="inlineStr">
        <is>
          <t>STOCKHOLMS LÄN</t>
        </is>
      </c>
      <c r="E89" t="inlineStr">
        <is>
          <t>NORRTÄLJE</t>
        </is>
      </c>
      <c r="F89" t="inlineStr">
        <is>
          <t>Sveaskog</t>
        </is>
      </c>
      <c r="G89" t="n">
        <v>3.4</v>
      </c>
      <c r="H89" t="n">
        <v>2</v>
      </c>
      <c r="I89" t="n">
        <v>0</v>
      </c>
      <c r="J89" t="n">
        <v>1</v>
      </c>
      <c r="K89" t="n">
        <v>0</v>
      </c>
      <c r="L89" t="n">
        <v>0</v>
      </c>
      <c r="M89" t="n">
        <v>0</v>
      </c>
      <c r="N89" t="n">
        <v>0</v>
      </c>
      <c r="O89" t="n">
        <v>1</v>
      </c>
      <c r="P89" t="n">
        <v>0</v>
      </c>
      <c r="Q89" t="n">
        <v>2</v>
      </c>
      <c r="R89" s="2" t="inlineStr">
        <is>
          <t>Gulsparv
Gullviva</t>
        </is>
      </c>
      <c r="S89">
        <f>HYPERLINK("https://klasma.github.io/Logging_0188/artfynd/A 30693-2022 artfynd.xlsx", "A 30693-2022")</f>
        <v/>
      </c>
      <c r="T89">
        <f>HYPERLINK("https://klasma.github.io/Logging_0188/kartor/A 30693-2022 karta.png", "A 30693-2022")</f>
        <v/>
      </c>
      <c r="V89">
        <f>HYPERLINK("https://klasma.github.io/Logging_0188/klagomål/A 30693-2022 FSC-klagomål.docx", "A 30693-2022")</f>
        <v/>
      </c>
      <c r="W89">
        <f>HYPERLINK("https://klasma.github.io/Logging_0188/klagomålsmail/A 30693-2022 FSC-klagomål mail.docx", "A 30693-2022")</f>
        <v/>
      </c>
      <c r="X89">
        <f>HYPERLINK("https://klasma.github.io/Logging_0188/tillsyn/A 30693-2022 tillsynsbegäran.docx", "A 30693-2022")</f>
        <v/>
      </c>
      <c r="Y89">
        <f>HYPERLINK("https://klasma.github.io/Logging_0188/tillsynsmail/A 30693-2022 tillsynsbegäran mail.docx", "A 30693-2022")</f>
        <v/>
      </c>
      <c r="Z89">
        <f>HYPERLINK("https://klasma.github.io/Logging_0188/fåglar/A 30693-2022 prioriterade fågelarter.docx", "A 30693-2022")</f>
        <v/>
      </c>
    </row>
    <row r="90" ht="15" customHeight="1">
      <c r="A90" t="inlineStr">
        <is>
          <t>A 38597-2022</t>
        </is>
      </c>
      <c r="B90" s="1" t="n">
        <v>44813</v>
      </c>
      <c r="C90" s="1" t="n">
        <v>45588</v>
      </c>
      <c r="D90" t="inlineStr">
        <is>
          <t>STOCKHOLMS LÄN</t>
        </is>
      </c>
      <c r="E90" t="inlineStr">
        <is>
          <t>NORRTÄLJE</t>
        </is>
      </c>
      <c r="G90" t="n">
        <v>13.2</v>
      </c>
      <c r="H90" t="n">
        <v>1</v>
      </c>
      <c r="I90" t="n">
        <v>1</v>
      </c>
      <c r="J90" t="n">
        <v>0</v>
      </c>
      <c r="K90" t="n">
        <v>0</v>
      </c>
      <c r="L90" t="n">
        <v>1</v>
      </c>
      <c r="M90" t="n">
        <v>0</v>
      </c>
      <c r="N90" t="n">
        <v>0</v>
      </c>
      <c r="O90" t="n">
        <v>1</v>
      </c>
      <c r="P90" t="n">
        <v>1</v>
      </c>
      <c r="Q90" t="n">
        <v>2</v>
      </c>
      <c r="R90" s="2" t="inlineStr">
        <is>
          <t>Asknätfjäril
Scharlakansvårskål agg.</t>
        </is>
      </c>
      <c r="S90">
        <f>HYPERLINK("https://klasma.github.io/Logging_0188/artfynd/A 38597-2022 artfynd.xlsx", "A 38597-2022")</f>
        <v/>
      </c>
      <c r="T90">
        <f>HYPERLINK("https://klasma.github.io/Logging_0188/kartor/A 38597-2022 karta.png", "A 38597-2022")</f>
        <v/>
      </c>
      <c r="V90">
        <f>HYPERLINK("https://klasma.github.io/Logging_0188/klagomål/A 38597-2022 FSC-klagomål.docx", "A 38597-2022")</f>
        <v/>
      </c>
      <c r="W90">
        <f>HYPERLINK("https://klasma.github.io/Logging_0188/klagomålsmail/A 38597-2022 FSC-klagomål mail.docx", "A 38597-2022")</f>
        <v/>
      </c>
      <c r="X90">
        <f>HYPERLINK("https://klasma.github.io/Logging_0188/tillsyn/A 38597-2022 tillsynsbegäran.docx", "A 38597-2022")</f>
        <v/>
      </c>
      <c r="Y90">
        <f>HYPERLINK("https://klasma.github.io/Logging_0188/tillsynsmail/A 38597-2022 tillsynsbegäran mail.docx", "A 38597-2022")</f>
        <v/>
      </c>
    </row>
    <row r="91" ht="15" customHeight="1">
      <c r="A91" t="inlineStr">
        <is>
          <t>A 52124-2022</t>
        </is>
      </c>
      <c r="B91" s="1" t="n">
        <v>44868</v>
      </c>
      <c r="C91" s="1" t="n">
        <v>45588</v>
      </c>
      <c r="D91" t="inlineStr">
        <is>
          <t>STOCKHOLMS LÄN</t>
        </is>
      </c>
      <c r="E91" t="inlineStr">
        <is>
          <t>NORRTÄLJE</t>
        </is>
      </c>
      <c r="G91" t="n">
        <v>4.8</v>
      </c>
      <c r="H91" t="n">
        <v>1</v>
      </c>
      <c r="I91" t="n">
        <v>0</v>
      </c>
      <c r="J91" t="n">
        <v>1</v>
      </c>
      <c r="K91" t="n">
        <v>0</v>
      </c>
      <c r="L91" t="n">
        <v>0</v>
      </c>
      <c r="M91" t="n">
        <v>0</v>
      </c>
      <c r="N91" t="n">
        <v>0</v>
      </c>
      <c r="O91" t="n">
        <v>1</v>
      </c>
      <c r="P91" t="n">
        <v>0</v>
      </c>
      <c r="Q91" t="n">
        <v>2</v>
      </c>
      <c r="R91" s="2" t="inlineStr">
        <is>
          <t>Kandelabersvamp
Blåsippa</t>
        </is>
      </c>
      <c r="S91">
        <f>HYPERLINK("https://klasma.github.io/Logging_0188/artfynd/A 52124-2022 artfynd.xlsx", "A 52124-2022")</f>
        <v/>
      </c>
      <c r="T91">
        <f>HYPERLINK("https://klasma.github.io/Logging_0188/kartor/A 52124-2022 karta.png", "A 52124-2022")</f>
        <v/>
      </c>
      <c r="V91">
        <f>HYPERLINK("https://klasma.github.io/Logging_0188/klagomål/A 52124-2022 FSC-klagomål.docx", "A 52124-2022")</f>
        <v/>
      </c>
      <c r="W91">
        <f>HYPERLINK("https://klasma.github.io/Logging_0188/klagomålsmail/A 52124-2022 FSC-klagomål mail.docx", "A 52124-2022")</f>
        <v/>
      </c>
      <c r="X91">
        <f>HYPERLINK("https://klasma.github.io/Logging_0188/tillsyn/A 52124-2022 tillsynsbegäran.docx", "A 52124-2022")</f>
        <v/>
      </c>
      <c r="Y91">
        <f>HYPERLINK("https://klasma.github.io/Logging_0188/tillsynsmail/A 52124-2022 tillsynsbegäran mail.docx", "A 52124-2022")</f>
        <v/>
      </c>
    </row>
    <row r="92" ht="15" customHeight="1">
      <c r="A92" t="inlineStr">
        <is>
          <t>A 51980-2022</t>
        </is>
      </c>
      <c r="B92" s="1" t="n">
        <v>44872</v>
      </c>
      <c r="C92" s="1" t="n">
        <v>45588</v>
      </c>
      <c r="D92" t="inlineStr">
        <is>
          <t>STOCKHOLMS LÄN</t>
        </is>
      </c>
      <c r="E92" t="inlineStr">
        <is>
          <t>NORRTÄLJE</t>
        </is>
      </c>
      <c r="G92" t="n">
        <v>7.9</v>
      </c>
      <c r="H92" t="n">
        <v>1</v>
      </c>
      <c r="I92" t="n">
        <v>2</v>
      </c>
      <c r="J92" t="n">
        <v>0</v>
      </c>
      <c r="K92" t="n">
        <v>0</v>
      </c>
      <c r="L92" t="n">
        <v>0</v>
      </c>
      <c r="M92" t="n">
        <v>0</v>
      </c>
      <c r="N92" t="n">
        <v>0</v>
      </c>
      <c r="O92" t="n">
        <v>0</v>
      </c>
      <c r="P92" t="n">
        <v>0</v>
      </c>
      <c r="Q92" t="n">
        <v>2</v>
      </c>
      <c r="R92" s="2" t="inlineStr">
        <is>
          <t>Rödgul trumpetsvamp
Skogsknipprot</t>
        </is>
      </c>
      <c r="S92">
        <f>HYPERLINK("https://klasma.github.io/Logging_0188/artfynd/A 51980-2022 artfynd.xlsx", "A 51980-2022")</f>
        <v/>
      </c>
      <c r="T92">
        <f>HYPERLINK("https://klasma.github.io/Logging_0188/kartor/A 51980-2022 karta.png", "A 51980-2022")</f>
        <v/>
      </c>
      <c r="V92">
        <f>HYPERLINK("https://klasma.github.io/Logging_0188/klagomål/A 51980-2022 FSC-klagomål.docx", "A 51980-2022")</f>
        <v/>
      </c>
      <c r="W92">
        <f>HYPERLINK("https://klasma.github.io/Logging_0188/klagomålsmail/A 51980-2022 FSC-klagomål mail.docx", "A 51980-2022")</f>
        <v/>
      </c>
      <c r="X92">
        <f>HYPERLINK("https://klasma.github.io/Logging_0188/tillsyn/A 51980-2022 tillsynsbegäran.docx", "A 51980-2022")</f>
        <v/>
      </c>
      <c r="Y92">
        <f>HYPERLINK("https://klasma.github.io/Logging_0188/tillsynsmail/A 51980-2022 tillsynsbegäran mail.docx", "A 51980-2022")</f>
        <v/>
      </c>
    </row>
    <row r="93" ht="15" customHeight="1">
      <c r="A93" t="inlineStr">
        <is>
          <t>A 7341-2023</t>
        </is>
      </c>
      <c r="B93" s="1" t="n">
        <v>44971</v>
      </c>
      <c r="C93" s="1" t="n">
        <v>45588</v>
      </c>
      <c r="D93" t="inlineStr">
        <is>
          <t>STOCKHOLMS LÄN</t>
        </is>
      </c>
      <c r="E93" t="inlineStr">
        <is>
          <t>NORRTÄLJE</t>
        </is>
      </c>
      <c r="F93" t="inlineStr">
        <is>
          <t>Holmen skog AB</t>
        </is>
      </c>
      <c r="G93" t="n">
        <v>10.7</v>
      </c>
      <c r="H93" t="n">
        <v>0</v>
      </c>
      <c r="I93" t="n">
        <v>0</v>
      </c>
      <c r="J93" t="n">
        <v>2</v>
      </c>
      <c r="K93" t="n">
        <v>0</v>
      </c>
      <c r="L93" t="n">
        <v>0</v>
      </c>
      <c r="M93" t="n">
        <v>0</v>
      </c>
      <c r="N93" t="n">
        <v>0</v>
      </c>
      <c r="O93" t="n">
        <v>2</v>
      </c>
      <c r="P93" t="n">
        <v>0</v>
      </c>
      <c r="Q93" t="n">
        <v>2</v>
      </c>
      <c r="R93" s="2" t="inlineStr">
        <is>
          <t>Mindre bastardsvärmare
Smalsprötad bastardsvärmare</t>
        </is>
      </c>
      <c r="S93">
        <f>HYPERLINK("https://klasma.github.io/Logging_0188/artfynd/A 7341-2023 artfynd.xlsx", "A 7341-2023")</f>
        <v/>
      </c>
      <c r="T93">
        <f>HYPERLINK("https://klasma.github.io/Logging_0188/kartor/A 7341-2023 karta.png", "A 7341-2023")</f>
        <v/>
      </c>
      <c r="V93">
        <f>HYPERLINK("https://klasma.github.io/Logging_0188/klagomål/A 7341-2023 FSC-klagomål.docx", "A 7341-2023")</f>
        <v/>
      </c>
      <c r="W93">
        <f>HYPERLINK("https://klasma.github.io/Logging_0188/klagomålsmail/A 7341-2023 FSC-klagomål mail.docx", "A 7341-2023")</f>
        <v/>
      </c>
      <c r="X93">
        <f>HYPERLINK("https://klasma.github.io/Logging_0188/tillsyn/A 7341-2023 tillsynsbegäran.docx", "A 7341-2023")</f>
        <v/>
      </c>
      <c r="Y93">
        <f>HYPERLINK("https://klasma.github.io/Logging_0188/tillsynsmail/A 7341-2023 tillsynsbegäran mail.docx", "A 7341-2023")</f>
        <v/>
      </c>
    </row>
    <row r="94" ht="15" customHeight="1">
      <c r="A94" t="inlineStr">
        <is>
          <t>A 10136-2023</t>
        </is>
      </c>
      <c r="B94" s="1" t="n">
        <v>44986</v>
      </c>
      <c r="C94" s="1" t="n">
        <v>45588</v>
      </c>
      <c r="D94" t="inlineStr">
        <is>
          <t>STOCKHOLMS LÄN</t>
        </is>
      </c>
      <c r="E94" t="inlineStr">
        <is>
          <t>NORRTÄLJE</t>
        </is>
      </c>
      <c r="F94" t="inlineStr">
        <is>
          <t>Övriga statliga verk och myndigheter</t>
        </is>
      </c>
      <c r="G94" t="n">
        <v>3.6</v>
      </c>
      <c r="H94" t="n">
        <v>0</v>
      </c>
      <c r="I94" t="n">
        <v>0</v>
      </c>
      <c r="J94" t="n">
        <v>1</v>
      </c>
      <c r="K94" t="n">
        <v>1</v>
      </c>
      <c r="L94" t="n">
        <v>0</v>
      </c>
      <c r="M94" t="n">
        <v>0</v>
      </c>
      <c r="N94" t="n">
        <v>0</v>
      </c>
      <c r="O94" t="n">
        <v>2</v>
      </c>
      <c r="P94" t="n">
        <v>1</v>
      </c>
      <c r="Q94" t="n">
        <v>2</v>
      </c>
      <c r="R94" s="2" t="inlineStr">
        <is>
          <t>Svartfjällig musseron
Persiljespindling</t>
        </is>
      </c>
      <c r="S94">
        <f>HYPERLINK("https://klasma.github.io/Logging_0188/artfynd/A 10136-2023 artfynd.xlsx", "A 10136-2023")</f>
        <v/>
      </c>
      <c r="T94">
        <f>HYPERLINK("https://klasma.github.io/Logging_0188/kartor/A 10136-2023 karta.png", "A 10136-2023")</f>
        <v/>
      </c>
      <c r="V94">
        <f>HYPERLINK("https://klasma.github.io/Logging_0188/klagomål/A 10136-2023 FSC-klagomål.docx", "A 10136-2023")</f>
        <v/>
      </c>
      <c r="W94">
        <f>HYPERLINK("https://klasma.github.io/Logging_0188/klagomålsmail/A 10136-2023 FSC-klagomål mail.docx", "A 10136-2023")</f>
        <v/>
      </c>
      <c r="X94">
        <f>HYPERLINK("https://klasma.github.io/Logging_0188/tillsyn/A 10136-2023 tillsynsbegäran.docx", "A 10136-2023")</f>
        <v/>
      </c>
      <c r="Y94">
        <f>HYPERLINK("https://klasma.github.io/Logging_0188/tillsynsmail/A 10136-2023 tillsynsbegäran mail.docx", "A 10136-2023")</f>
        <v/>
      </c>
    </row>
    <row r="95" ht="15" customHeight="1">
      <c r="A95" t="inlineStr">
        <is>
          <t>A 21748-2023</t>
        </is>
      </c>
      <c r="B95" s="1" t="n">
        <v>45065</v>
      </c>
      <c r="C95" s="1" t="n">
        <v>45588</v>
      </c>
      <c r="D95" t="inlineStr">
        <is>
          <t>STOCKHOLMS LÄN</t>
        </is>
      </c>
      <c r="E95" t="inlineStr">
        <is>
          <t>NORRTÄLJE</t>
        </is>
      </c>
      <c r="F95" t="inlineStr">
        <is>
          <t>Holmen skog AB</t>
        </is>
      </c>
      <c r="G95" t="n">
        <v>2.4</v>
      </c>
      <c r="H95" t="n">
        <v>0</v>
      </c>
      <c r="I95" t="n">
        <v>2</v>
      </c>
      <c r="J95" t="n">
        <v>0</v>
      </c>
      <c r="K95" t="n">
        <v>0</v>
      </c>
      <c r="L95" t="n">
        <v>0</v>
      </c>
      <c r="M95" t="n">
        <v>0</v>
      </c>
      <c r="N95" t="n">
        <v>0</v>
      </c>
      <c r="O95" t="n">
        <v>0</v>
      </c>
      <c r="P95" t="n">
        <v>0</v>
      </c>
      <c r="Q95" t="n">
        <v>2</v>
      </c>
      <c r="R95" s="2" t="inlineStr">
        <is>
          <t>Aspvedgnagare
Tibast</t>
        </is>
      </c>
      <c r="S95">
        <f>HYPERLINK("https://klasma.github.io/Logging_0188/artfynd/A 21748-2023 artfynd.xlsx", "A 21748-2023")</f>
        <v/>
      </c>
      <c r="T95">
        <f>HYPERLINK("https://klasma.github.io/Logging_0188/kartor/A 21748-2023 karta.png", "A 21748-2023")</f>
        <v/>
      </c>
      <c r="V95">
        <f>HYPERLINK("https://klasma.github.io/Logging_0188/klagomål/A 21748-2023 FSC-klagomål.docx", "A 21748-2023")</f>
        <v/>
      </c>
      <c r="W95">
        <f>HYPERLINK("https://klasma.github.io/Logging_0188/klagomålsmail/A 21748-2023 FSC-klagomål mail.docx", "A 21748-2023")</f>
        <v/>
      </c>
      <c r="X95">
        <f>HYPERLINK("https://klasma.github.io/Logging_0188/tillsyn/A 21748-2023 tillsynsbegäran.docx", "A 21748-2023")</f>
        <v/>
      </c>
      <c r="Y95">
        <f>HYPERLINK("https://klasma.github.io/Logging_0188/tillsynsmail/A 21748-2023 tillsynsbegäran mail.docx", "A 21748-2023")</f>
        <v/>
      </c>
    </row>
    <row r="96" ht="15" customHeight="1">
      <c r="A96" t="inlineStr">
        <is>
          <t>A 23861-2023</t>
        </is>
      </c>
      <c r="B96" s="1" t="n">
        <v>45078</v>
      </c>
      <c r="C96" s="1" t="n">
        <v>45588</v>
      </c>
      <c r="D96" t="inlineStr">
        <is>
          <t>STOCKHOLMS LÄN</t>
        </is>
      </c>
      <c r="E96" t="inlineStr">
        <is>
          <t>NORRTÄLJE</t>
        </is>
      </c>
      <c r="G96" t="n">
        <v>3.3</v>
      </c>
      <c r="H96" t="n">
        <v>1</v>
      </c>
      <c r="I96" t="n">
        <v>1</v>
      </c>
      <c r="J96" t="n">
        <v>0</v>
      </c>
      <c r="K96" t="n">
        <v>0</v>
      </c>
      <c r="L96" t="n">
        <v>0</v>
      </c>
      <c r="M96" t="n">
        <v>0</v>
      </c>
      <c r="N96" t="n">
        <v>0</v>
      </c>
      <c r="O96" t="n">
        <v>0</v>
      </c>
      <c r="P96" t="n">
        <v>0</v>
      </c>
      <c r="Q96" t="n">
        <v>2</v>
      </c>
      <c r="R96" s="2" t="inlineStr">
        <is>
          <t>Tibast
Blåsippa</t>
        </is>
      </c>
      <c r="S96">
        <f>HYPERLINK("https://klasma.github.io/Logging_0188/artfynd/A 23861-2023 artfynd.xlsx", "A 23861-2023")</f>
        <v/>
      </c>
      <c r="T96">
        <f>HYPERLINK("https://klasma.github.io/Logging_0188/kartor/A 23861-2023 karta.png", "A 23861-2023")</f>
        <v/>
      </c>
      <c r="V96">
        <f>HYPERLINK("https://klasma.github.io/Logging_0188/klagomål/A 23861-2023 FSC-klagomål.docx", "A 23861-2023")</f>
        <v/>
      </c>
      <c r="W96">
        <f>HYPERLINK("https://klasma.github.io/Logging_0188/klagomålsmail/A 23861-2023 FSC-klagomål mail.docx", "A 23861-2023")</f>
        <v/>
      </c>
      <c r="X96">
        <f>HYPERLINK("https://klasma.github.io/Logging_0188/tillsyn/A 23861-2023 tillsynsbegäran.docx", "A 23861-2023")</f>
        <v/>
      </c>
      <c r="Y96">
        <f>HYPERLINK("https://klasma.github.io/Logging_0188/tillsynsmail/A 23861-2023 tillsynsbegäran mail.docx", "A 23861-2023")</f>
        <v/>
      </c>
    </row>
    <row r="97" ht="15" customHeight="1">
      <c r="A97" t="inlineStr">
        <is>
          <t>A 33287-2023</t>
        </is>
      </c>
      <c r="B97" s="1" t="n">
        <v>45127</v>
      </c>
      <c r="C97" s="1" t="n">
        <v>45588</v>
      </c>
      <c r="D97" t="inlineStr">
        <is>
          <t>STOCKHOLMS LÄN</t>
        </is>
      </c>
      <c r="E97" t="inlineStr">
        <is>
          <t>NORRTÄLJE</t>
        </is>
      </c>
      <c r="F97" t="inlineStr">
        <is>
          <t>Holmen skog AB</t>
        </is>
      </c>
      <c r="G97" t="n">
        <v>3.3</v>
      </c>
      <c r="H97" t="n">
        <v>0</v>
      </c>
      <c r="I97" t="n">
        <v>0</v>
      </c>
      <c r="J97" t="n">
        <v>2</v>
      </c>
      <c r="K97" t="n">
        <v>0</v>
      </c>
      <c r="L97" t="n">
        <v>0</v>
      </c>
      <c r="M97" t="n">
        <v>0</v>
      </c>
      <c r="N97" t="n">
        <v>0</v>
      </c>
      <c r="O97" t="n">
        <v>2</v>
      </c>
      <c r="P97" t="n">
        <v>0</v>
      </c>
      <c r="Q97" t="n">
        <v>2</v>
      </c>
      <c r="R97" s="2" t="inlineStr">
        <is>
          <t>Smalsprötad bastardsvärmare
Violettkantad guldvinge</t>
        </is>
      </c>
      <c r="S97">
        <f>HYPERLINK("https://klasma.github.io/Logging_0188/artfynd/A 33287-2023 artfynd.xlsx", "A 33287-2023")</f>
        <v/>
      </c>
      <c r="T97">
        <f>HYPERLINK("https://klasma.github.io/Logging_0188/kartor/A 33287-2023 karta.png", "A 33287-2023")</f>
        <v/>
      </c>
      <c r="V97">
        <f>HYPERLINK("https://klasma.github.io/Logging_0188/klagomål/A 33287-2023 FSC-klagomål.docx", "A 33287-2023")</f>
        <v/>
      </c>
      <c r="W97">
        <f>HYPERLINK("https://klasma.github.io/Logging_0188/klagomålsmail/A 33287-2023 FSC-klagomål mail.docx", "A 33287-2023")</f>
        <v/>
      </c>
      <c r="X97">
        <f>HYPERLINK("https://klasma.github.io/Logging_0188/tillsyn/A 33287-2023 tillsynsbegäran.docx", "A 33287-2023")</f>
        <v/>
      </c>
      <c r="Y97">
        <f>HYPERLINK("https://klasma.github.io/Logging_0188/tillsynsmail/A 33287-2023 tillsynsbegäran mail.docx", "A 33287-2023")</f>
        <v/>
      </c>
    </row>
    <row r="98" ht="15" customHeight="1">
      <c r="A98" t="inlineStr">
        <is>
          <t>A 51220-2023</t>
        </is>
      </c>
      <c r="B98" s="1" t="n">
        <v>45219</v>
      </c>
      <c r="C98" s="1" t="n">
        <v>45588</v>
      </c>
      <c r="D98" t="inlineStr">
        <is>
          <t>STOCKHOLMS LÄN</t>
        </is>
      </c>
      <c r="E98" t="inlineStr">
        <is>
          <t>NORRTÄLJE</t>
        </is>
      </c>
      <c r="G98" t="n">
        <v>7.7</v>
      </c>
      <c r="H98" t="n">
        <v>1</v>
      </c>
      <c r="I98" t="n">
        <v>0</v>
      </c>
      <c r="J98" t="n">
        <v>1</v>
      </c>
      <c r="K98" t="n">
        <v>0</v>
      </c>
      <c r="L98" t="n">
        <v>0</v>
      </c>
      <c r="M98" t="n">
        <v>0</v>
      </c>
      <c r="N98" t="n">
        <v>0</v>
      </c>
      <c r="O98" t="n">
        <v>1</v>
      </c>
      <c r="P98" t="n">
        <v>0</v>
      </c>
      <c r="Q98" t="n">
        <v>2</v>
      </c>
      <c r="R98" s="2" t="inlineStr">
        <is>
          <t>Ullticka
Blåsippa</t>
        </is>
      </c>
      <c r="S98">
        <f>HYPERLINK("https://klasma.github.io/Logging_0188/artfynd/A 51220-2023 artfynd.xlsx", "A 51220-2023")</f>
        <v/>
      </c>
      <c r="T98">
        <f>HYPERLINK("https://klasma.github.io/Logging_0188/kartor/A 51220-2023 karta.png", "A 51220-2023")</f>
        <v/>
      </c>
      <c r="V98">
        <f>HYPERLINK("https://klasma.github.io/Logging_0188/klagomål/A 51220-2023 FSC-klagomål.docx", "A 51220-2023")</f>
        <v/>
      </c>
      <c r="W98">
        <f>HYPERLINK("https://klasma.github.io/Logging_0188/klagomålsmail/A 51220-2023 FSC-klagomål mail.docx", "A 51220-2023")</f>
        <v/>
      </c>
      <c r="X98">
        <f>HYPERLINK("https://klasma.github.io/Logging_0188/tillsyn/A 51220-2023 tillsynsbegäran.docx", "A 51220-2023")</f>
        <v/>
      </c>
      <c r="Y98">
        <f>HYPERLINK("https://klasma.github.io/Logging_0188/tillsynsmail/A 51220-2023 tillsynsbegäran mail.docx", "A 51220-2023")</f>
        <v/>
      </c>
    </row>
    <row r="99" ht="15" customHeight="1">
      <c r="A99" t="inlineStr">
        <is>
          <t>A 52825-2023</t>
        </is>
      </c>
      <c r="B99" s="1" t="n">
        <v>45226</v>
      </c>
      <c r="C99" s="1" t="n">
        <v>45588</v>
      </c>
      <c r="D99" t="inlineStr">
        <is>
          <t>STOCKHOLMS LÄN</t>
        </is>
      </c>
      <c r="E99" t="inlineStr">
        <is>
          <t>NORRTÄLJE</t>
        </is>
      </c>
      <c r="G99" t="n">
        <v>1</v>
      </c>
      <c r="H99" t="n">
        <v>0</v>
      </c>
      <c r="I99" t="n">
        <v>2</v>
      </c>
      <c r="J99" t="n">
        <v>0</v>
      </c>
      <c r="K99" t="n">
        <v>0</v>
      </c>
      <c r="L99" t="n">
        <v>0</v>
      </c>
      <c r="M99" t="n">
        <v>0</v>
      </c>
      <c r="N99" t="n">
        <v>0</v>
      </c>
      <c r="O99" t="n">
        <v>0</v>
      </c>
      <c r="P99" t="n">
        <v>0</v>
      </c>
      <c r="Q99" t="n">
        <v>2</v>
      </c>
      <c r="R99" s="2" t="inlineStr">
        <is>
          <t>Fjällig taggsvamp s.str.
Strimspindling</t>
        </is>
      </c>
      <c r="S99">
        <f>HYPERLINK("https://klasma.github.io/Logging_0188/artfynd/A 52825-2023 artfynd.xlsx", "A 52825-2023")</f>
        <v/>
      </c>
      <c r="T99">
        <f>HYPERLINK("https://klasma.github.io/Logging_0188/kartor/A 52825-2023 karta.png", "A 52825-2023")</f>
        <v/>
      </c>
      <c r="V99">
        <f>HYPERLINK("https://klasma.github.io/Logging_0188/klagomål/A 52825-2023 FSC-klagomål.docx", "A 52825-2023")</f>
        <v/>
      </c>
      <c r="W99">
        <f>HYPERLINK("https://klasma.github.io/Logging_0188/klagomålsmail/A 52825-2023 FSC-klagomål mail.docx", "A 52825-2023")</f>
        <v/>
      </c>
      <c r="X99">
        <f>HYPERLINK("https://klasma.github.io/Logging_0188/tillsyn/A 52825-2023 tillsynsbegäran.docx", "A 52825-2023")</f>
        <v/>
      </c>
      <c r="Y99">
        <f>HYPERLINK("https://klasma.github.io/Logging_0188/tillsynsmail/A 52825-2023 tillsynsbegäran mail.docx", "A 52825-2023")</f>
        <v/>
      </c>
    </row>
    <row r="100" ht="15" customHeight="1">
      <c r="A100" t="inlineStr">
        <is>
          <t>A 4909-2024</t>
        </is>
      </c>
      <c r="B100" s="1" t="n">
        <v>45329</v>
      </c>
      <c r="C100" s="1" t="n">
        <v>45588</v>
      </c>
      <c r="D100" t="inlineStr">
        <is>
          <t>STOCKHOLMS LÄN</t>
        </is>
      </c>
      <c r="E100" t="inlineStr">
        <is>
          <t>NORRTÄLJE</t>
        </is>
      </c>
      <c r="G100" t="n">
        <v>4.1</v>
      </c>
      <c r="H100" t="n">
        <v>0</v>
      </c>
      <c r="I100" t="n">
        <v>2</v>
      </c>
      <c r="J100" t="n">
        <v>0</v>
      </c>
      <c r="K100" t="n">
        <v>0</v>
      </c>
      <c r="L100" t="n">
        <v>0</v>
      </c>
      <c r="M100" t="n">
        <v>0</v>
      </c>
      <c r="N100" t="n">
        <v>0</v>
      </c>
      <c r="O100" t="n">
        <v>0</v>
      </c>
      <c r="P100" t="n">
        <v>0</v>
      </c>
      <c r="Q100" t="n">
        <v>2</v>
      </c>
      <c r="R100" s="2" t="inlineStr">
        <is>
          <t>Fjällig taggsvamp s.str.
Rödgul trumpetsvamp</t>
        </is>
      </c>
      <c r="S100">
        <f>HYPERLINK("https://klasma.github.io/Logging_0188/artfynd/A 4909-2024 artfynd.xlsx", "A 4909-2024")</f>
        <v/>
      </c>
      <c r="T100">
        <f>HYPERLINK("https://klasma.github.io/Logging_0188/kartor/A 4909-2024 karta.png", "A 4909-2024")</f>
        <v/>
      </c>
      <c r="V100">
        <f>HYPERLINK("https://klasma.github.io/Logging_0188/klagomål/A 4909-2024 FSC-klagomål.docx", "A 4909-2024")</f>
        <v/>
      </c>
      <c r="W100">
        <f>HYPERLINK("https://klasma.github.io/Logging_0188/klagomålsmail/A 4909-2024 FSC-klagomål mail.docx", "A 4909-2024")</f>
        <v/>
      </c>
      <c r="X100">
        <f>HYPERLINK("https://klasma.github.io/Logging_0188/tillsyn/A 4909-2024 tillsynsbegäran.docx", "A 4909-2024")</f>
        <v/>
      </c>
      <c r="Y100">
        <f>HYPERLINK("https://klasma.github.io/Logging_0188/tillsynsmail/A 4909-2024 tillsynsbegäran mail.docx", "A 4909-2024")</f>
        <v/>
      </c>
    </row>
    <row r="101" ht="15" customHeight="1">
      <c r="A101" t="inlineStr">
        <is>
          <t>A 11995-2024</t>
        </is>
      </c>
      <c r="B101" s="1" t="n">
        <v>45377</v>
      </c>
      <c r="C101" s="1" t="n">
        <v>45588</v>
      </c>
      <c r="D101" t="inlineStr">
        <is>
          <t>STOCKHOLMS LÄN</t>
        </is>
      </c>
      <c r="E101" t="inlineStr">
        <is>
          <t>NORRTÄLJE</t>
        </is>
      </c>
      <c r="G101" t="n">
        <v>4.7</v>
      </c>
      <c r="H101" t="n">
        <v>0</v>
      </c>
      <c r="I101" t="n">
        <v>1</v>
      </c>
      <c r="J101" t="n">
        <v>1</v>
      </c>
      <c r="K101" t="n">
        <v>0</v>
      </c>
      <c r="L101" t="n">
        <v>0</v>
      </c>
      <c r="M101" t="n">
        <v>0</v>
      </c>
      <c r="N101" t="n">
        <v>0</v>
      </c>
      <c r="O101" t="n">
        <v>1</v>
      </c>
      <c r="P101" t="n">
        <v>0</v>
      </c>
      <c r="Q101" t="n">
        <v>2</v>
      </c>
      <c r="R101" s="2" t="inlineStr">
        <is>
          <t>Tallticka
Svavelriska</t>
        </is>
      </c>
      <c r="S101">
        <f>HYPERLINK("https://klasma.github.io/Logging_0188/artfynd/A 11995-2024 artfynd.xlsx", "A 11995-2024")</f>
        <v/>
      </c>
      <c r="T101">
        <f>HYPERLINK("https://klasma.github.io/Logging_0188/kartor/A 11995-2024 karta.png", "A 11995-2024")</f>
        <v/>
      </c>
      <c r="V101">
        <f>HYPERLINK("https://klasma.github.io/Logging_0188/klagomål/A 11995-2024 FSC-klagomål.docx", "A 11995-2024")</f>
        <v/>
      </c>
      <c r="W101">
        <f>HYPERLINK("https://klasma.github.io/Logging_0188/klagomålsmail/A 11995-2024 FSC-klagomål mail.docx", "A 11995-2024")</f>
        <v/>
      </c>
      <c r="X101">
        <f>HYPERLINK("https://klasma.github.io/Logging_0188/tillsyn/A 11995-2024 tillsynsbegäran.docx", "A 11995-2024")</f>
        <v/>
      </c>
      <c r="Y101">
        <f>HYPERLINK("https://klasma.github.io/Logging_0188/tillsynsmail/A 11995-2024 tillsynsbegäran mail.docx", "A 11995-2024")</f>
        <v/>
      </c>
    </row>
    <row r="102" ht="15" customHeight="1">
      <c r="A102" t="inlineStr">
        <is>
          <t>A 13150-2024</t>
        </is>
      </c>
      <c r="B102" s="1" t="n">
        <v>45386</v>
      </c>
      <c r="C102" s="1" t="n">
        <v>45588</v>
      </c>
      <c r="D102" t="inlineStr">
        <is>
          <t>STOCKHOLMS LÄN</t>
        </is>
      </c>
      <c r="E102" t="inlineStr">
        <is>
          <t>NORRTÄLJE</t>
        </is>
      </c>
      <c r="G102" t="n">
        <v>7.4</v>
      </c>
      <c r="H102" t="n">
        <v>0</v>
      </c>
      <c r="I102" t="n">
        <v>1</v>
      </c>
      <c r="J102" t="n">
        <v>1</v>
      </c>
      <c r="K102" t="n">
        <v>0</v>
      </c>
      <c r="L102" t="n">
        <v>0</v>
      </c>
      <c r="M102" t="n">
        <v>0</v>
      </c>
      <c r="N102" t="n">
        <v>0</v>
      </c>
      <c r="O102" t="n">
        <v>1</v>
      </c>
      <c r="P102" t="n">
        <v>0</v>
      </c>
      <c r="Q102" t="n">
        <v>2</v>
      </c>
      <c r="R102" s="2" t="inlineStr">
        <is>
          <t>Orange taggsvamp
Mönjevaxskivling</t>
        </is>
      </c>
      <c r="S102">
        <f>HYPERLINK("https://klasma.github.io/Logging_0188/artfynd/A 13150-2024 artfynd.xlsx", "A 13150-2024")</f>
        <v/>
      </c>
      <c r="T102">
        <f>HYPERLINK("https://klasma.github.io/Logging_0188/kartor/A 13150-2024 karta.png", "A 13150-2024")</f>
        <v/>
      </c>
      <c r="V102">
        <f>HYPERLINK("https://klasma.github.io/Logging_0188/klagomål/A 13150-2024 FSC-klagomål.docx", "A 13150-2024")</f>
        <v/>
      </c>
      <c r="W102">
        <f>HYPERLINK("https://klasma.github.io/Logging_0188/klagomålsmail/A 13150-2024 FSC-klagomål mail.docx", "A 13150-2024")</f>
        <v/>
      </c>
      <c r="X102">
        <f>HYPERLINK("https://klasma.github.io/Logging_0188/tillsyn/A 13150-2024 tillsynsbegäran.docx", "A 13150-2024")</f>
        <v/>
      </c>
      <c r="Y102">
        <f>HYPERLINK("https://klasma.github.io/Logging_0188/tillsynsmail/A 13150-2024 tillsynsbegäran mail.docx", "A 13150-2024")</f>
        <v/>
      </c>
    </row>
    <row r="103" ht="15" customHeight="1">
      <c r="A103" t="inlineStr">
        <is>
          <t>A 24025-2024</t>
        </is>
      </c>
      <c r="B103" s="1" t="n">
        <v>45456</v>
      </c>
      <c r="C103" s="1" t="n">
        <v>45588</v>
      </c>
      <c r="D103" t="inlineStr">
        <is>
          <t>STOCKHOLMS LÄN</t>
        </is>
      </c>
      <c r="E103" t="inlineStr">
        <is>
          <t>NORRTÄLJE</t>
        </is>
      </c>
      <c r="G103" t="n">
        <v>6</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HYPERLINK("https://klasma.github.io/Logging_0188/artfynd/A 24025-2024 artfynd.xlsx", "A 24025-2024")</f>
        <v/>
      </c>
      <c r="T103">
        <f>HYPERLINK("https://klasma.github.io/Logging_0188/kartor/A 24025-2024 karta.png", "A 24025-2024")</f>
        <v/>
      </c>
      <c r="V103">
        <f>HYPERLINK("https://klasma.github.io/Logging_0188/klagomål/A 24025-2024 FSC-klagomål.docx", "A 24025-2024")</f>
        <v/>
      </c>
      <c r="W103">
        <f>HYPERLINK("https://klasma.github.io/Logging_0188/klagomålsmail/A 24025-2024 FSC-klagomål mail.docx", "A 24025-2024")</f>
        <v/>
      </c>
      <c r="X103">
        <f>HYPERLINK("https://klasma.github.io/Logging_0188/tillsyn/A 24025-2024 tillsynsbegäran.docx", "A 24025-2024")</f>
        <v/>
      </c>
      <c r="Y103">
        <f>HYPERLINK("https://klasma.github.io/Logging_0188/tillsynsmail/A 24025-2024 tillsynsbegäran mail.docx", "A 24025-2024")</f>
        <v/>
      </c>
    </row>
    <row r="104" ht="15" customHeight="1">
      <c r="A104" t="inlineStr">
        <is>
          <t>A 20740-2019</t>
        </is>
      </c>
      <c r="B104" s="1" t="n">
        <v>43573</v>
      </c>
      <c r="C104" s="1" t="n">
        <v>45588</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45588</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45588</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45588</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45588</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45588</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45588</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45588</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45588</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45588</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45588</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45588</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45588</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45588</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45588</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45588</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45588</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45588</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45588</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45588</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45588</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45588</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45588</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45588</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45588</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45588</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45588</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45588</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45588</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45588</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45588</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45588</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45588</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45588</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45588</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45588</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45588</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45588</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45588</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45588</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45588</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45588</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45588</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45588</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45588</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45588</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45588</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45588</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45588</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45588</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45588</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45588</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45588</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45588</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45588</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45588</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45588</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45588</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45588</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45588</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45588</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45588</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45588</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45588</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45588</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45588</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45588</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45588</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45588</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45588</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45588</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45588</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45588</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45588</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45588</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47274-2024</t>
        </is>
      </c>
      <c r="B179" s="1" t="n">
        <v>45586</v>
      </c>
      <c r="C179" s="1" t="n">
        <v>45588</v>
      </c>
      <c r="D179" t="inlineStr">
        <is>
          <t>STOCKHOLMS LÄN</t>
        </is>
      </c>
      <c r="E179" t="inlineStr">
        <is>
          <t>NORRTÄLJE</t>
        </is>
      </c>
      <c r="G179" t="n">
        <v>20.1</v>
      </c>
      <c r="H179" t="n">
        <v>1</v>
      </c>
      <c r="I179" t="n">
        <v>0</v>
      </c>
      <c r="J179" t="n">
        <v>0</v>
      </c>
      <c r="K179" t="n">
        <v>0</v>
      </c>
      <c r="L179" t="n">
        <v>0</v>
      </c>
      <c r="M179" t="n">
        <v>0</v>
      </c>
      <c r="N179" t="n">
        <v>0</v>
      </c>
      <c r="O179" t="n">
        <v>0</v>
      </c>
      <c r="P179" t="n">
        <v>0</v>
      </c>
      <c r="Q179" t="n">
        <v>1</v>
      </c>
      <c r="R179" s="2" t="inlineStr">
        <is>
          <t>Blåsippa</t>
        </is>
      </c>
      <c r="S179">
        <f>HYPERLINK("https://klasma.github.io/Logging_0188/artfynd/A 47274-2024 artfynd.xlsx", "A 47274-2024")</f>
        <v/>
      </c>
      <c r="T179">
        <f>HYPERLINK("https://klasma.github.io/Logging_0188/kartor/A 47274-2024 karta.png", "A 47274-2024")</f>
        <v/>
      </c>
      <c r="V179">
        <f>HYPERLINK("https://klasma.github.io/Logging_0188/klagomål/A 47274-2024 FSC-klagomål.docx", "A 47274-2024")</f>
        <v/>
      </c>
      <c r="W179">
        <f>HYPERLINK("https://klasma.github.io/Logging_0188/klagomålsmail/A 47274-2024 FSC-klagomål mail.docx", "A 47274-2024")</f>
        <v/>
      </c>
      <c r="X179">
        <f>HYPERLINK("https://klasma.github.io/Logging_0188/tillsyn/A 47274-2024 tillsynsbegäran.docx", "A 47274-2024")</f>
        <v/>
      </c>
      <c r="Y179">
        <f>HYPERLINK("https://klasma.github.io/Logging_0188/tillsynsmail/A 47274-2024 tillsynsbegäran mail.docx", "A 47274-2024")</f>
        <v/>
      </c>
    </row>
    <row r="180" ht="15" customHeight="1">
      <c r="A180" t="inlineStr">
        <is>
          <t>A 17752-2019</t>
        </is>
      </c>
      <c r="B180" s="1" t="n">
        <v>43556</v>
      </c>
      <c r="C180" s="1" t="n">
        <v>45588</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17795-2019</t>
        </is>
      </c>
      <c r="B181" s="1" t="n">
        <v>43556</v>
      </c>
      <c r="C181" s="1" t="n">
        <v>45588</v>
      </c>
      <c r="D181" t="inlineStr">
        <is>
          <t>STOCKHOLMS LÄN</t>
        </is>
      </c>
      <c r="E181" t="inlineStr">
        <is>
          <t>NORRTÄLJE</t>
        </is>
      </c>
      <c r="G181" t="n">
        <v>0.8</v>
      </c>
      <c r="H181" t="n">
        <v>0</v>
      </c>
      <c r="I181" t="n">
        <v>0</v>
      </c>
      <c r="J181" t="n">
        <v>0</v>
      </c>
      <c r="K181" t="n">
        <v>0</v>
      </c>
      <c r="L181" t="n">
        <v>0</v>
      </c>
      <c r="M181" t="n">
        <v>0</v>
      </c>
      <c r="N181" t="n">
        <v>0</v>
      </c>
      <c r="O181" t="n">
        <v>0</v>
      </c>
      <c r="P181" t="n">
        <v>0</v>
      </c>
      <c r="Q181" t="n">
        <v>0</v>
      </c>
      <c r="R181" s="2" t="inlineStr"/>
    </row>
    <row r="182" ht="15" customHeight="1">
      <c r="A182" t="inlineStr">
        <is>
          <t>A 17757-2019</t>
        </is>
      </c>
      <c r="B182" s="1" t="n">
        <v>43556</v>
      </c>
      <c r="C182" s="1" t="n">
        <v>45588</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17963-2019</t>
        </is>
      </c>
      <c r="B183" s="1" t="n">
        <v>43557</v>
      </c>
      <c r="C183" s="1" t="n">
        <v>45588</v>
      </c>
      <c r="D183" t="inlineStr">
        <is>
          <t>STOCKHOLMS LÄN</t>
        </is>
      </c>
      <c r="E183" t="inlineStr">
        <is>
          <t>NORRTÄLJE</t>
        </is>
      </c>
      <c r="G183" t="n">
        <v>0.9</v>
      </c>
      <c r="H183" t="n">
        <v>0</v>
      </c>
      <c r="I183" t="n">
        <v>0</v>
      </c>
      <c r="J183" t="n">
        <v>0</v>
      </c>
      <c r="K183" t="n">
        <v>0</v>
      </c>
      <c r="L183" t="n">
        <v>0</v>
      </c>
      <c r="M183" t="n">
        <v>0</v>
      </c>
      <c r="N183" t="n">
        <v>0</v>
      </c>
      <c r="O183" t="n">
        <v>0</v>
      </c>
      <c r="P183" t="n">
        <v>0</v>
      </c>
      <c r="Q183" t="n">
        <v>0</v>
      </c>
      <c r="R183" s="2" t="inlineStr"/>
    </row>
    <row r="184" ht="15" customHeight="1">
      <c r="A184" t="inlineStr">
        <is>
          <t>A 18378-2019</t>
        </is>
      </c>
      <c r="B184" s="1" t="n">
        <v>43559</v>
      </c>
      <c r="C184" s="1" t="n">
        <v>45588</v>
      </c>
      <c r="D184" t="inlineStr">
        <is>
          <t>STOCKHOLMS LÄN</t>
        </is>
      </c>
      <c r="E184" t="inlineStr">
        <is>
          <t>NORRTÄLJE</t>
        </is>
      </c>
      <c r="G184" t="n">
        <v>5.8</v>
      </c>
      <c r="H184" t="n">
        <v>0</v>
      </c>
      <c r="I184" t="n">
        <v>0</v>
      </c>
      <c r="J184" t="n">
        <v>0</v>
      </c>
      <c r="K184" t="n">
        <v>0</v>
      </c>
      <c r="L184" t="n">
        <v>0</v>
      </c>
      <c r="M184" t="n">
        <v>0</v>
      </c>
      <c r="N184" t="n">
        <v>0</v>
      </c>
      <c r="O184" t="n">
        <v>0</v>
      </c>
      <c r="P184" t="n">
        <v>0</v>
      </c>
      <c r="Q184" t="n">
        <v>0</v>
      </c>
      <c r="R184" s="2" t="inlineStr"/>
    </row>
    <row r="185" ht="15" customHeight="1">
      <c r="A185" t="inlineStr">
        <is>
          <t>A 18664-2019</t>
        </is>
      </c>
      <c r="B185" s="1" t="n">
        <v>43560</v>
      </c>
      <c r="C185" s="1" t="n">
        <v>45588</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18767-2019</t>
        </is>
      </c>
      <c r="B186" s="1" t="n">
        <v>43560</v>
      </c>
      <c r="C186" s="1" t="n">
        <v>45588</v>
      </c>
      <c r="D186" t="inlineStr">
        <is>
          <t>STOCKHOLMS LÄN</t>
        </is>
      </c>
      <c r="E186" t="inlineStr">
        <is>
          <t>NORRTÄLJE</t>
        </is>
      </c>
      <c r="G186" t="n">
        <v>4</v>
      </c>
      <c r="H186" t="n">
        <v>0</v>
      </c>
      <c r="I186" t="n">
        <v>0</v>
      </c>
      <c r="J186" t="n">
        <v>0</v>
      </c>
      <c r="K186" t="n">
        <v>0</v>
      </c>
      <c r="L186" t="n">
        <v>0</v>
      </c>
      <c r="M186" t="n">
        <v>0</v>
      </c>
      <c r="N186" t="n">
        <v>0</v>
      </c>
      <c r="O186" t="n">
        <v>0</v>
      </c>
      <c r="P186" t="n">
        <v>0</v>
      </c>
      <c r="Q186" t="n">
        <v>0</v>
      </c>
      <c r="R186" s="2" t="inlineStr"/>
    </row>
    <row r="187" ht="15" customHeight="1">
      <c r="A187" t="inlineStr">
        <is>
          <t>A 18820-2019</t>
        </is>
      </c>
      <c r="B187" s="1" t="n">
        <v>43563</v>
      </c>
      <c r="C187" s="1" t="n">
        <v>45588</v>
      </c>
      <c r="D187" t="inlineStr">
        <is>
          <t>STOCKHOLMS LÄN</t>
        </is>
      </c>
      <c r="E187" t="inlineStr">
        <is>
          <t>NORRTÄLJE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18890-2019</t>
        </is>
      </c>
      <c r="B188" s="1" t="n">
        <v>43563</v>
      </c>
      <c r="C188" s="1" t="n">
        <v>45588</v>
      </c>
      <c r="D188" t="inlineStr">
        <is>
          <t>STOCKHOLMS LÄN</t>
        </is>
      </c>
      <c r="E188" t="inlineStr">
        <is>
          <t>NORRTÄLJE</t>
        </is>
      </c>
      <c r="G188" t="n">
        <v>4.7</v>
      </c>
      <c r="H188" t="n">
        <v>0</v>
      </c>
      <c r="I188" t="n">
        <v>0</v>
      </c>
      <c r="J188" t="n">
        <v>0</v>
      </c>
      <c r="K188" t="n">
        <v>0</v>
      </c>
      <c r="L188" t="n">
        <v>0</v>
      </c>
      <c r="M188" t="n">
        <v>0</v>
      </c>
      <c r="N188" t="n">
        <v>0</v>
      </c>
      <c r="O188" t="n">
        <v>0</v>
      </c>
      <c r="P188" t="n">
        <v>0</v>
      </c>
      <c r="Q188" t="n">
        <v>0</v>
      </c>
      <c r="R188" s="2" t="inlineStr"/>
    </row>
    <row r="189" ht="15" customHeight="1">
      <c r="A189" t="inlineStr">
        <is>
          <t>A 18909-2019</t>
        </is>
      </c>
      <c r="B189" s="1" t="n">
        <v>43563</v>
      </c>
      <c r="C189" s="1" t="n">
        <v>45588</v>
      </c>
      <c r="D189" t="inlineStr">
        <is>
          <t>STOCKHOLMS LÄN</t>
        </is>
      </c>
      <c r="E189" t="inlineStr">
        <is>
          <t>NORRTÄLJE</t>
        </is>
      </c>
      <c r="G189" t="n">
        <v>2.9</v>
      </c>
      <c r="H189" t="n">
        <v>0</v>
      </c>
      <c r="I189" t="n">
        <v>0</v>
      </c>
      <c r="J189" t="n">
        <v>0</v>
      </c>
      <c r="K189" t="n">
        <v>0</v>
      </c>
      <c r="L189" t="n">
        <v>0</v>
      </c>
      <c r="M189" t="n">
        <v>0</v>
      </c>
      <c r="N189" t="n">
        <v>0</v>
      </c>
      <c r="O189" t="n">
        <v>0</v>
      </c>
      <c r="P189" t="n">
        <v>0</v>
      </c>
      <c r="Q189" t="n">
        <v>0</v>
      </c>
      <c r="R189" s="2" t="inlineStr"/>
    </row>
    <row r="190" ht="15" customHeight="1">
      <c r="A190" t="inlineStr">
        <is>
          <t>A 19026-2019</t>
        </is>
      </c>
      <c r="B190" s="1" t="n">
        <v>43563</v>
      </c>
      <c r="C190" s="1" t="n">
        <v>45588</v>
      </c>
      <c r="D190" t="inlineStr">
        <is>
          <t>STOCKHOLMS LÄN</t>
        </is>
      </c>
      <c r="E190" t="inlineStr">
        <is>
          <t>NORRTÄLJE</t>
        </is>
      </c>
      <c r="G190" t="n">
        <v>4.4</v>
      </c>
      <c r="H190" t="n">
        <v>0</v>
      </c>
      <c r="I190" t="n">
        <v>0</v>
      </c>
      <c r="J190" t="n">
        <v>0</v>
      </c>
      <c r="K190" t="n">
        <v>0</v>
      </c>
      <c r="L190" t="n">
        <v>0</v>
      </c>
      <c r="M190" t="n">
        <v>0</v>
      </c>
      <c r="N190" t="n">
        <v>0</v>
      </c>
      <c r="O190" t="n">
        <v>0</v>
      </c>
      <c r="P190" t="n">
        <v>0</v>
      </c>
      <c r="Q190" t="n">
        <v>0</v>
      </c>
      <c r="R190" s="2" t="inlineStr"/>
    </row>
    <row r="191" ht="15" customHeight="1">
      <c r="A191" t="inlineStr">
        <is>
          <t>A 19014-2019</t>
        </is>
      </c>
      <c r="B191" s="1" t="n">
        <v>43563</v>
      </c>
      <c r="C191" s="1" t="n">
        <v>45588</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19247-2019</t>
        </is>
      </c>
      <c r="B192" s="1" t="n">
        <v>43564</v>
      </c>
      <c r="C192" s="1" t="n">
        <v>45588</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19255-2019</t>
        </is>
      </c>
      <c r="B193" s="1" t="n">
        <v>43564</v>
      </c>
      <c r="C193" s="1" t="n">
        <v>45588</v>
      </c>
      <c r="D193" t="inlineStr">
        <is>
          <t>STOCKHOLMS LÄN</t>
        </is>
      </c>
      <c r="E193" t="inlineStr">
        <is>
          <t>NORRTÄLJE</t>
        </is>
      </c>
      <c r="G193" t="n">
        <v>2.6</v>
      </c>
      <c r="H193" t="n">
        <v>0</v>
      </c>
      <c r="I193" t="n">
        <v>0</v>
      </c>
      <c r="J193" t="n">
        <v>0</v>
      </c>
      <c r="K193" t="n">
        <v>0</v>
      </c>
      <c r="L193" t="n">
        <v>0</v>
      </c>
      <c r="M193" t="n">
        <v>0</v>
      </c>
      <c r="N193" t="n">
        <v>0</v>
      </c>
      <c r="O193" t="n">
        <v>0</v>
      </c>
      <c r="P193" t="n">
        <v>0</v>
      </c>
      <c r="Q193" t="n">
        <v>0</v>
      </c>
      <c r="R193" s="2" t="inlineStr"/>
    </row>
    <row r="194" ht="15" customHeight="1">
      <c r="A194" t="inlineStr">
        <is>
          <t>A 19302-2019</t>
        </is>
      </c>
      <c r="B194" s="1" t="n">
        <v>43565</v>
      </c>
      <c r="C194" s="1" t="n">
        <v>45588</v>
      </c>
      <c r="D194" t="inlineStr">
        <is>
          <t>STOCKHOLMS LÄN</t>
        </is>
      </c>
      <c r="E194" t="inlineStr">
        <is>
          <t>NORRTÄLJE</t>
        </is>
      </c>
      <c r="F194" t="inlineStr">
        <is>
          <t>Kommuner</t>
        </is>
      </c>
      <c r="G194" t="n">
        <v>4.2</v>
      </c>
      <c r="H194" t="n">
        <v>0</v>
      </c>
      <c r="I194" t="n">
        <v>0</v>
      </c>
      <c r="J194" t="n">
        <v>0</v>
      </c>
      <c r="K194" t="n">
        <v>0</v>
      </c>
      <c r="L194" t="n">
        <v>0</v>
      </c>
      <c r="M194" t="n">
        <v>0</v>
      </c>
      <c r="N194" t="n">
        <v>0</v>
      </c>
      <c r="O194" t="n">
        <v>0</v>
      </c>
      <c r="P194" t="n">
        <v>0</v>
      </c>
      <c r="Q194" t="n">
        <v>0</v>
      </c>
      <c r="R194" s="2" t="inlineStr"/>
    </row>
    <row r="195" ht="15" customHeight="1">
      <c r="A195" t="inlineStr">
        <is>
          <t>A 19301-2019</t>
        </is>
      </c>
      <c r="B195" s="1" t="n">
        <v>43565</v>
      </c>
      <c r="C195" s="1" t="n">
        <v>45588</v>
      </c>
      <c r="D195" t="inlineStr">
        <is>
          <t>STOCKHOLMS LÄN</t>
        </is>
      </c>
      <c r="E195" t="inlineStr">
        <is>
          <t>NORRTÄLJE</t>
        </is>
      </c>
      <c r="F195" t="inlineStr">
        <is>
          <t>Kommuner</t>
        </is>
      </c>
      <c r="G195" t="n">
        <v>3.9</v>
      </c>
      <c r="H195" t="n">
        <v>0</v>
      </c>
      <c r="I195" t="n">
        <v>0</v>
      </c>
      <c r="J195" t="n">
        <v>0</v>
      </c>
      <c r="K195" t="n">
        <v>0</v>
      </c>
      <c r="L195" t="n">
        <v>0</v>
      </c>
      <c r="M195" t="n">
        <v>0</v>
      </c>
      <c r="N195" t="n">
        <v>0</v>
      </c>
      <c r="O195" t="n">
        <v>0</v>
      </c>
      <c r="P195" t="n">
        <v>0</v>
      </c>
      <c r="Q195" t="n">
        <v>0</v>
      </c>
      <c r="R195" s="2" t="inlineStr"/>
    </row>
    <row r="196" ht="15" customHeight="1">
      <c r="A196" t="inlineStr">
        <is>
          <t>A 19297-2019</t>
        </is>
      </c>
      <c r="B196" s="1" t="n">
        <v>43565</v>
      </c>
      <c r="C196" s="1" t="n">
        <v>45588</v>
      </c>
      <c r="D196" t="inlineStr">
        <is>
          <t>STOCKHOLMS LÄN</t>
        </is>
      </c>
      <c r="E196" t="inlineStr">
        <is>
          <t>NORRTÄLJE</t>
        </is>
      </c>
      <c r="F196" t="inlineStr">
        <is>
          <t>Kommuner</t>
        </is>
      </c>
      <c r="G196" t="n">
        <v>1.2</v>
      </c>
      <c r="H196" t="n">
        <v>0</v>
      </c>
      <c r="I196" t="n">
        <v>0</v>
      </c>
      <c r="J196" t="n">
        <v>0</v>
      </c>
      <c r="K196" t="n">
        <v>0</v>
      </c>
      <c r="L196" t="n">
        <v>0</v>
      </c>
      <c r="M196" t="n">
        <v>0</v>
      </c>
      <c r="N196" t="n">
        <v>0</v>
      </c>
      <c r="O196" t="n">
        <v>0</v>
      </c>
      <c r="P196" t="n">
        <v>0</v>
      </c>
      <c r="Q196" t="n">
        <v>0</v>
      </c>
      <c r="R196" s="2" t="inlineStr"/>
    </row>
    <row r="197" ht="15" customHeight="1">
      <c r="A197" t="inlineStr">
        <is>
          <t>A 19537-2019</t>
        </is>
      </c>
      <c r="B197" s="1" t="n">
        <v>43565</v>
      </c>
      <c r="C197" s="1" t="n">
        <v>45588</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19539-2019</t>
        </is>
      </c>
      <c r="B198" s="1" t="n">
        <v>43565</v>
      </c>
      <c r="C198" s="1" t="n">
        <v>45588</v>
      </c>
      <c r="D198" t="inlineStr">
        <is>
          <t>STOCKHOLMS LÄN</t>
        </is>
      </c>
      <c r="E198" t="inlineStr">
        <is>
          <t>NORRTÄLJE</t>
        </is>
      </c>
      <c r="G198" t="n">
        <v>2.4</v>
      </c>
      <c r="H198" t="n">
        <v>0</v>
      </c>
      <c r="I198" t="n">
        <v>0</v>
      </c>
      <c r="J198" t="n">
        <v>0</v>
      </c>
      <c r="K198" t="n">
        <v>0</v>
      </c>
      <c r="L198" t="n">
        <v>0</v>
      </c>
      <c r="M198" t="n">
        <v>0</v>
      </c>
      <c r="N198" t="n">
        <v>0</v>
      </c>
      <c r="O198" t="n">
        <v>0</v>
      </c>
      <c r="P198" t="n">
        <v>0</v>
      </c>
      <c r="Q198" t="n">
        <v>0</v>
      </c>
      <c r="R198" s="2" t="inlineStr"/>
    </row>
    <row r="199" ht="15" customHeight="1">
      <c r="A199" t="inlineStr">
        <is>
          <t>A 19540-2019</t>
        </is>
      </c>
      <c r="B199" s="1" t="n">
        <v>43565</v>
      </c>
      <c r="C199" s="1" t="n">
        <v>45588</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19638-2019</t>
        </is>
      </c>
      <c r="B200" s="1" t="n">
        <v>43566</v>
      </c>
      <c r="C200" s="1" t="n">
        <v>45588</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19593-2019</t>
        </is>
      </c>
      <c r="B201" s="1" t="n">
        <v>43566</v>
      </c>
      <c r="C201" s="1" t="n">
        <v>45588</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19872-2019</t>
        </is>
      </c>
      <c r="B202" s="1" t="n">
        <v>43567</v>
      </c>
      <c r="C202" s="1" t="n">
        <v>45588</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19811-2019</t>
        </is>
      </c>
      <c r="B203" s="1" t="n">
        <v>43567</v>
      </c>
      <c r="C203" s="1" t="n">
        <v>45588</v>
      </c>
      <c r="D203" t="inlineStr">
        <is>
          <t>STOCKHOLMS LÄN</t>
        </is>
      </c>
      <c r="E203" t="inlineStr">
        <is>
          <t>NORRTÄLJE</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19812-2019</t>
        </is>
      </c>
      <c r="B204" s="1" t="n">
        <v>43567</v>
      </c>
      <c r="C204" s="1" t="n">
        <v>45588</v>
      </c>
      <c r="D204" t="inlineStr">
        <is>
          <t>STOCKHOLMS LÄN</t>
        </is>
      </c>
      <c r="E204" t="inlineStr">
        <is>
          <t>NORRTÄLJE</t>
        </is>
      </c>
      <c r="F204" t="inlineStr">
        <is>
          <t>Kommuner</t>
        </is>
      </c>
      <c r="G204" t="n">
        <v>1.5</v>
      </c>
      <c r="H204" t="n">
        <v>0</v>
      </c>
      <c r="I204" t="n">
        <v>0</v>
      </c>
      <c r="J204" t="n">
        <v>0</v>
      </c>
      <c r="K204" t="n">
        <v>0</v>
      </c>
      <c r="L204" t="n">
        <v>0</v>
      </c>
      <c r="M204" t="n">
        <v>0</v>
      </c>
      <c r="N204" t="n">
        <v>0</v>
      </c>
      <c r="O204" t="n">
        <v>0</v>
      </c>
      <c r="P204" t="n">
        <v>0</v>
      </c>
      <c r="Q204" t="n">
        <v>0</v>
      </c>
      <c r="R204" s="2" t="inlineStr"/>
    </row>
    <row r="205" ht="15" customHeight="1">
      <c r="A205" t="inlineStr">
        <is>
          <t>A 19931-2019</t>
        </is>
      </c>
      <c r="B205" s="1" t="n">
        <v>43568</v>
      </c>
      <c r="C205" s="1" t="n">
        <v>45588</v>
      </c>
      <c r="D205" t="inlineStr">
        <is>
          <t>STOCKHOLMS LÄN</t>
        </is>
      </c>
      <c r="E205" t="inlineStr">
        <is>
          <t>NORRTÄLJE</t>
        </is>
      </c>
      <c r="G205" t="n">
        <v>4.2</v>
      </c>
      <c r="H205" t="n">
        <v>0</v>
      </c>
      <c r="I205" t="n">
        <v>0</v>
      </c>
      <c r="J205" t="n">
        <v>0</v>
      </c>
      <c r="K205" t="n">
        <v>0</v>
      </c>
      <c r="L205" t="n">
        <v>0</v>
      </c>
      <c r="M205" t="n">
        <v>0</v>
      </c>
      <c r="N205" t="n">
        <v>0</v>
      </c>
      <c r="O205" t="n">
        <v>0</v>
      </c>
      <c r="P205" t="n">
        <v>0</v>
      </c>
      <c r="Q205" t="n">
        <v>0</v>
      </c>
      <c r="R205" s="2" t="inlineStr"/>
    </row>
    <row r="206" ht="15" customHeight="1">
      <c r="A206" t="inlineStr">
        <is>
          <t>A 20033-2019</t>
        </is>
      </c>
      <c r="B206" s="1" t="n">
        <v>43570</v>
      </c>
      <c r="C206" s="1" t="n">
        <v>45588</v>
      </c>
      <c r="D206" t="inlineStr">
        <is>
          <t>STOCKHOLMS LÄN</t>
        </is>
      </c>
      <c r="E206" t="inlineStr">
        <is>
          <t>NORRTÄLJE</t>
        </is>
      </c>
      <c r="G206" t="n">
        <v>1.3</v>
      </c>
      <c r="H206" t="n">
        <v>0</v>
      </c>
      <c r="I206" t="n">
        <v>0</v>
      </c>
      <c r="J206" t="n">
        <v>0</v>
      </c>
      <c r="K206" t="n">
        <v>0</v>
      </c>
      <c r="L206" t="n">
        <v>0</v>
      </c>
      <c r="M206" t="n">
        <v>0</v>
      </c>
      <c r="N206" t="n">
        <v>0</v>
      </c>
      <c r="O206" t="n">
        <v>0</v>
      </c>
      <c r="P206" t="n">
        <v>0</v>
      </c>
      <c r="Q206" t="n">
        <v>0</v>
      </c>
      <c r="R206" s="2" t="inlineStr"/>
    </row>
    <row r="207" ht="15" customHeight="1">
      <c r="A207" t="inlineStr">
        <is>
          <t>A 20020-2019</t>
        </is>
      </c>
      <c r="B207" s="1" t="n">
        <v>43570</v>
      </c>
      <c r="C207" s="1" t="n">
        <v>45588</v>
      </c>
      <c r="D207" t="inlineStr">
        <is>
          <t>STOCKHOLMS LÄN</t>
        </is>
      </c>
      <c r="E207" t="inlineStr">
        <is>
          <t>NORRTÄLJE</t>
        </is>
      </c>
      <c r="G207" t="n">
        <v>0.9</v>
      </c>
      <c r="H207" t="n">
        <v>0</v>
      </c>
      <c r="I207" t="n">
        <v>0</v>
      </c>
      <c r="J207" t="n">
        <v>0</v>
      </c>
      <c r="K207" t="n">
        <v>0</v>
      </c>
      <c r="L207" t="n">
        <v>0</v>
      </c>
      <c r="M207" t="n">
        <v>0</v>
      </c>
      <c r="N207" t="n">
        <v>0</v>
      </c>
      <c r="O207" t="n">
        <v>0</v>
      </c>
      <c r="P207" t="n">
        <v>0</v>
      </c>
      <c r="Q207" t="n">
        <v>0</v>
      </c>
      <c r="R207" s="2" t="inlineStr"/>
    </row>
    <row r="208" ht="15" customHeight="1">
      <c r="A208" t="inlineStr">
        <is>
          <t>A 20051-2019</t>
        </is>
      </c>
      <c r="B208" s="1" t="n">
        <v>43570</v>
      </c>
      <c r="C208" s="1" t="n">
        <v>45588</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20137-2019</t>
        </is>
      </c>
      <c r="B209" s="1" t="n">
        <v>43570</v>
      </c>
      <c r="C209" s="1" t="n">
        <v>45588</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20007-2019</t>
        </is>
      </c>
      <c r="B210" s="1" t="n">
        <v>43570</v>
      </c>
      <c r="C210" s="1" t="n">
        <v>45588</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20052-2019</t>
        </is>
      </c>
      <c r="B211" s="1" t="n">
        <v>43570</v>
      </c>
      <c r="C211" s="1" t="n">
        <v>45588</v>
      </c>
      <c r="D211" t="inlineStr">
        <is>
          <t>STOCKHOLMS LÄN</t>
        </is>
      </c>
      <c r="E211" t="inlineStr">
        <is>
          <t>NORRTÄLJE</t>
        </is>
      </c>
      <c r="G211" t="n">
        <v>0.5</v>
      </c>
      <c r="H211" t="n">
        <v>0</v>
      </c>
      <c r="I211" t="n">
        <v>0</v>
      </c>
      <c r="J211" t="n">
        <v>0</v>
      </c>
      <c r="K211" t="n">
        <v>0</v>
      </c>
      <c r="L211" t="n">
        <v>0</v>
      </c>
      <c r="M211" t="n">
        <v>0</v>
      </c>
      <c r="N211" t="n">
        <v>0</v>
      </c>
      <c r="O211" t="n">
        <v>0</v>
      </c>
      <c r="P211" t="n">
        <v>0</v>
      </c>
      <c r="Q211" t="n">
        <v>0</v>
      </c>
      <c r="R211" s="2" t="inlineStr"/>
    </row>
    <row r="212" ht="15" customHeight="1">
      <c r="A212" t="inlineStr">
        <is>
          <t>A 20159-2019</t>
        </is>
      </c>
      <c r="B212" s="1" t="n">
        <v>43570</v>
      </c>
      <c r="C212" s="1" t="n">
        <v>45588</v>
      </c>
      <c r="D212" t="inlineStr">
        <is>
          <t>STOCKHOLMS LÄN</t>
        </is>
      </c>
      <c r="E212" t="inlineStr">
        <is>
          <t>NORRTÄLJE</t>
        </is>
      </c>
      <c r="F212" t="inlineStr">
        <is>
          <t>Kommuner</t>
        </is>
      </c>
      <c r="G212" t="n">
        <v>2</v>
      </c>
      <c r="H212" t="n">
        <v>0</v>
      </c>
      <c r="I212" t="n">
        <v>0</v>
      </c>
      <c r="J212" t="n">
        <v>0</v>
      </c>
      <c r="K212" t="n">
        <v>0</v>
      </c>
      <c r="L212" t="n">
        <v>0</v>
      </c>
      <c r="M212" t="n">
        <v>0</v>
      </c>
      <c r="N212" t="n">
        <v>0</v>
      </c>
      <c r="O212" t="n">
        <v>0</v>
      </c>
      <c r="P212" t="n">
        <v>0</v>
      </c>
      <c r="Q212" t="n">
        <v>0</v>
      </c>
      <c r="R212" s="2" t="inlineStr"/>
    </row>
    <row r="213" ht="15" customHeight="1">
      <c r="A213" t="inlineStr">
        <is>
          <t>A 20181-2019</t>
        </is>
      </c>
      <c r="B213" s="1" t="n">
        <v>43570</v>
      </c>
      <c r="C213" s="1" t="n">
        <v>45588</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20184-2019</t>
        </is>
      </c>
      <c r="B214" s="1" t="n">
        <v>43570</v>
      </c>
      <c r="C214" s="1" t="n">
        <v>45588</v>
      </c>
      <c r="D214" t="inlineStr">
        <is>
          <t>STOCKHOLMS LÄN</t>
        </is>
      </c>
      <c r="E214" t="inlineStr">
        <is>
          <t>NORRTÄLJE</t>
        </is>
      </c>
      <c r="G214" t="n">
        <v>2.8</v>
      </c>
      <c r="H214" t="n">
        <v>0</v>
      </c>
      <c r="I214" t="n">
        <v>0</v>
      </c>
      <c r="J214" t="n">
        <v>0</v>
      </c>
      <c r="K214" t="n">
        <v>0</v>
      </c>
      <c r="L214" t="n">
        <v>0</v>
      </c>
      <c r="M214" t="n">
        <v>0</v>
      </c>
      <c r="N214" t="n">
        <v>0</v>
      </c>
      <c r="O214" t="n">
        <v>0</v>
      </c>
      <c r="P214" t="n">
        <v>0</v>
      </c>
      <c r="Q214" t="n">
        <v>0</v>
      </c>
      <c r="R214" s="2" t="inlineStr"/>
    </row>
    <row r="215" ht="15" customHeight="1">
      <c r="A215" t="inlineStr">
        <is>
          <t>A 20193-2019</t>
        </is>
      </c>
      <c r="B215" s="1" t="n">
        <v>43570</v>
      </c>
      <c r="C215" s="1" t="n">
        <v>45588</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20090-2019</t>
        </is>
      </c>
      <c r="B216" s="1" t="n">
        <v>43570</v>
      </c>
      <c r="C216" s="1" t="n">
        <v>45588</v>
      </c>
      <c r="D216" t="inlineStr">
        <is>
          <t>STOCKHOLMS LÄN</t>
        </is>
      </c>
      <c r="E216" t="inlineStr">
        <is>
          <t>NORRTÄLJE</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20165-2019</t>
        </is>
      </c>
      <c r="B217" s="1" t="n">
        <v>43570</v>
      </c>
      <c r="C217" s="1" t="n">
        <v>45588</v>
      </c>
      <c r="D217" t="inlineStr">
        <is>
          <t>STOCKHOLMS LÄN</t>
        </is>
      </c>
      <c r="E217" t="inlineStr">
        <is>
          <t>NORRTÄLJE</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20023-2019</t>
        </is>
      </c>
      <c r="B218" s="1" t="n">
        <v>43570</v>
      </c>
      <c r="C218" s="1" t="n">
        <v>45588</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20531-2019</t>
        </is>
      </c>
      <c r="B219" s="1" t="n">
        <v>43572</v>
      </c>
      <c r="C219" s="1" t="n">
        <v>45588</v>
      </c>
      <c r="D219" t="inlineStr">
        <is>
          <t>STOCKHOLMS LÄN</t>
        </is>
      </c>
      <c r="E219" t="inlineStr">
        <is>
          <t>NORRTÄLJE</t>
        </is>
      </c>
      <c r="G219" t="n">
        <v>2</v>
      </c>
      <c r="H219" t="n">
        <v>0</v>
      </c>
      <c r="I219" t="n">
        <v>0</v>
      </c>
      <c r="J219" t="n">
        <v>0</v>
      </c>
      <c r="K219" t="n">
        <v>0</v>
      </c>
      <c r="L219" t="n">
        <v>0</v>
      </c>
      <c r="M219" t="n">
        <v>0</v>
      </c>
      <c r="N219" t="n">
        <v>0</v>
      </c>
      <c r="O219" t="n">
        <v>0</v>
      </c>
      <c r="P219" t="n">
        <v>0</v>
      </c>
      <c r="Q219" t="n">
        <v>0</v>
      </c>
      <c r="R219" s="2" t="inlineStr"/>
    </row>
    <row r="220" ht="15" customHeight="1">
      <c r="A220" t="inlineStr">
        <is>
          <t>A 20743-2019</t>
        </is>
      </c>
      <c r="B220" s="1" t="n">
        <v>43573</v>
      </c>
      <c r="C220" s="1" t="n">
        <v>45588</v>
      </c>
      <c r="D220" t="inlineStr">
        <is>
          <t>STOCKHOLMS LÄN</t>
        </is>
      </c>
      <c r="E220" t="inlineStr">
        <is>
          <t>NORRTÄLJE</t>
        </is>
      </c>
      <c r="G220" t="n">
        <v>2.2</v>
      </c>
      <c r="H220" t="n">
        <v>0</v>
      </c>
      <c r="I220" t="n">
        <v>0</v>
      </c>
      <c r="J220" t="n">
        <v>0</v>
      </c>
      <c r="K220" t="n">
        <v>0</v>
      </c>
      <c r="L220" t="n">
        <v>0</v>
      </c>
      <c r="M220" t="n">
        <v>0</v>
      </c>
      <c r="N220" t="n">
        <v>0</v>
      </c>
      <c r="O220" t="n">
        <v>0</v>
      </c>
      <c r="P220" t="n">
        <v>0</v>
      </c>
      <c r="Q220" t="n">
        <v>0</v>
      </c>
      <c r="R220" s="2" t="inlineStr"/>
    </row>
    <row r="221" ht="15" customHeight="1">
      <c r="A221" t="inlineStr">
        <is>
          <t>A 20809-2019</t>
        </is>
      </c>
      <c r="B221" s="1" t="n">
        <v>43573</v>
      </c>
      <c r="C221" s="1" t="n">
        <v>45588</v>
      </c>
      <c r="D221" t="inlineStr">
        <is>
          <t>STOCKHOLMS LÄN</t>
        </is>
      </c>
      <c r="E221" t="inlineStr">
        <is>
          <t>NORRTÄLJE</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20925-2019</t>
        </is>
      </c>
      <c r="B222" s="1" t="n">
        <v>43578</v>
      </c>
      <c r="C222" s="1" t="n">
        <v>45588</v>
      </c>
      <c r="D222" t="inlineStr">
        <is>
          <t>STOCKHOLMS LÄN</t>
        </is>
      </c>
      <c r="E222" t="inlineStr">
        <is>
          <t>NORRTÄLJE</t>
        </is>
      </c>
      <c r="G222" t="n">
        <v>5</v>
      </c>
      <c r="H222" t="n">
        <v>0</v>
      </c>
      <c r="I222" t="n">
        <v>0</v>
      </c>
      <c r="J222" t="n">
        <v>0</v>
      </c>
      <c r="K222" t="n">
        <v>0</v>
      </c>
      <c r="L222" t="n">
        <v>0</v>
      </c>
      <c r="M222" t="n">
        <v>0</v>
      </c>
      <c r="N222" t="n">
        <v>0</v>
      </c>
      <c r="O222" t="n">
        <v>0</v>
      </c>
      <c r="P222" t="n">
        <v>0</v>
      </c>
      <c r="Q222" t="n">
        <v>0</v>
      </c>
      <c r="R222" s="2" t="inlineStr"/>
    </row>
    <row r="223" ht="15" customHeight="1">
      <c r="A223" t="inlineStr">
        <is>
          <t>A 21062-2019</t>
        </is>
      </c>
      <c r="B223" s="1" t="n">
        <v>43578</v>
      </c>
      <c r="C223" s="1" t="n">
        <v>45588</v>
      </c>
      <c r="D223" t="inlineStr">
        <is>
          <t>STOCKHOLMS LÄN</t>
        </is>
      </c>
      <c r="E223" t="inlineStr">
        <is>
          <t>NORRTÄLJE</t>
        </is>
      </c>
      <c r="G223" t="n">
        <v>2.7</v>
      </c>
      <c r="H223" t="n">
        <v>0</v>
      </c>
      <c r="I223" t="n">
        <v>0</v>
      </c>
      <c r="J223" t="n">
        <v>0</v>
      </c>
      <c r="K223" t="n">
        <v>0</v>
      </c>
      <c r="L223" t="n">
        <v>0</v>
      </c>
      <c r="M223" t="n">
        <v>0</v>
      </c>
      <c r="N223" t="n">
        <v>0</v>
      </c>
      <c r="O223" t="n">
        <v>0</v>
      </c>
      <c r="P223" t="n">
        <v>0</v>
      </c>
      <c r="Q223" t="n">
        <v>0</v>
      </c>
      <c r="R223" s="2" t="inlineStr"/>
    </row>
    <row r="224" ht="15" customHeight="1">
      <c r="A224" t="inlineStr">
        <is>
          <t>A 21441-2019</t>
        </is>
      </c>
      <c r="B224" s="1" t="n">
        <v>43580</v>
      </c>
      <c r="C224" s="1" t="n">
        <v>45588</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21521-2019</t>
        </is>
      </c>
      <c r="B225" s="1" t="n">
        <v>43580</v>
      </c>
      <c r="C225" s="1" t="n">
        <v>45588</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21508-2019</t>
        </is>
      </c>
      <c r="B226" s="1" t="n">
        <v>43580</v>
      </c>
      <c r="C226" s="1" t="n">
        <v>45588</v>
      </c>
      <c r="D226" t="inlineStr">
        <is>
          <t>STOCKHOLMS LÄN</t>
        </is>
      </c>
      <c r="E226" t="inlineStr">
        <is>
          <t>NORRTÄLJE</t>
        </is>
      </c>
      <c r="G226" t="n">
        <v>1.2</v>
      </c>
      <c r="H226" t="n">
        <v>0</v>
      </c>
      <c r="I226" t="n">
        <v>0</v>
      </c>
      <c r="J226" t="n">
        <v>0</v>
      </c>
      <c r="K226" t="n">
        <v>0</v>
      </c>
      <c r="L226" t="n">
        <v>0</v>
      </c>
      <c r="M226" t="n">
        <v>0</v>
      </c>
      <c r="N226" t="n">
        <v>0</v>
      </c>
      <c r="O226" t="n">
        <v>0</v>
      </c>
      <c r="P226" t="n">
        <v>0</v>
      </c>
      <c r="Q226" t="n">
        <v>0</v>
      </c>
      <c r="R226" s="2" t="inlineStr"/>
    </row>
    <row r="227" ht="15" customHeight="1">
      <c r="A227" t="inlineStr">
        <is>
          <t>A 21457-2019</t>
        </is>
      </c>
      <c r="B227" s="1" t="n">
        <v>43580</v>
      </c>
      <c r="C227" s="1" t="n">
        <v>45588</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21501-2019</t>
        </is>
      </c>
      <c r="B228" s="1" t="n">
        <v>43580</v>
      </c>
      <c r="C228" s="1" t="n">
        <v>45588</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21616-2019</t>
        </is>
      </c>
      <c r="B229" s="1" t="n">
        <v>43581</v>
      </c>
      <c r="C229" s="1" t="n">
        <v>45588</v>
      </c>
      <c r="D229" t="inlineStr">
        <is>
          <t>STOCKHOLMS LÄN</t>
        </is>
      </c>
      <c r="E229" t="inlineStr">
        <is>
          <t>NORRTÄLJE</t>
        </is>
      </c>
      <c r="G229" t="n">
        <v>5.3</v>
      </c>
      <c r="H229" t="n">
        <v>0</v>
      </c>
      <c r="I229" t="n">
        <v>0</v>
      </c>
      <c r="J229" t="n">
        <v>0</v>
      </c>
      <c r="K229" t="n">
        <v>0</v>
      </c>
      <c r="L229" t="n">
        <v>0</v>
      </c>
      <c r="M229" t="n">
        <v>0</v>
      </c>
      <c r="N229" t="n">
        <v>0</v>
      </c>
      <c r="O229" t="n">
        <v>0</v>
      </c>
      <c r="P229" t="n">
        <v>0</v>
      </c>
      <c r="Q229" t="n">
        <v>0</v>
      </c>
      <c r="R229" s="2" t="inlineStr"/>
    </row>
    <row r="230" ht="15" customHeight="1">
      <c r="A230" t="inlineStr">
        <is>
          <t>A 21662-2019</t>
        </is>
      </c>
      <c r="B230" s="1" t="n">
        <v>43581</v>
      </c>
      <c r="C230" s="1" t="n">
        <v>45588</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21720-2019</t>
        </is>
      </c>
      <c r="B231" s="1" t="n">
        <v>43581</v>
      </c>
      <c r="C231" s="1" t="n">
        <v>45588</v>
      </c>
      <c r="D231" t="inlineStr">
        <is>
          <t>STOCKHOLMS LÄN</t>
        </is>
      </c>
      <c r="E231" t="inlineStr">
        <is>
          <t>NORRTÄLJE</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21692-2019</t>
        </is>
      </c>
      <c r="B232" s="1" t="n">
        <v>43581</v>
      </c>
      <c r="C232" s="1" t="n">
        <v>45588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21811-2019</t>
        </is>
      </c>
      <c r="B233" s="1" t="n">
        <v>43582</v>
      </c>
      <c r="C233" s="1" t="n">
        <v>45588</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22207-2019</t>
        </is>
      </c>
      <c r="B234" s="1" t="n">
        <v>43585</v>
      </c>
      <c r="C234" s="1" t="n">
        <v>45588</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22211-2019</t>
        </is>
      </c>
      <c r="B235" s="1" t="n">
        <v>43585</v>
      </c>
      <c r="C235" s="1" t="n">
        <v>45588</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22254-2019</t>
        </is>
      </c>
      <c r="B236" s="1" t="n">
        <v>43585</v>
      </c>
      <c r="C236" s="1" t="n">
        <v>45588</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22218-2019</t>
        </is>
      </c>
      <c r="B237" s="1" t="n">
        <v>43585</v>
      </c>
      <c r="C237" s="1" t="n">
        <v>45588</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22331-2019</t>
        </is>
      </c>
      <c r="B238" s="1" t="n">
        <v>43586</v>
      </c>
      <c r="C238" s="1" t="n">
        <v>45588</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22359-2019</t>
        </is>
      </c>
      <c r="B239" s="1" t="n">
        <v>43587</v>
      </c>
      <c r="C239" s="1" t="n">
        <v>45588</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22422-2019</t>
        </is>
      </c>
      <c r="B240" s="1" t="n">
        <v>43587</v>
      </c>
      <c r="C240" s="1" t="n">
        <v>45588</v>
      </c>
      <c r="D240" t="inlineStr">
        <is>
          <t>STOCKHOLMS LÄN</t>
        </is>
      </c>
      <c r="E240" t="inlineStr">
        <is>
          <t>NORRTÄLJE</t>
        </is>
      </c>
      <c r="G240" t="n">
        <v>1.5</v>
      </c>
      <c r="H240" t="n">
        <v>0</v>
      </c>
      <c r="I240" t="n">
        <v>0</v>
      </c>
      <c r="J240" t="n">
        <v>0</v>
      </c>
      <c r="K240" t="n">
        <v>0</v>
      </c>
      <c r="L240" t="n">
        <v>0</v>
      </c>
      <c r="M240" t="n">
        <v>0</v>
      </c>
      <c r="N240" t="n">
        <v>0</v>
      </c>
      <c r="O240" t="n">
        <v>0</v>
      </c>
      <c r="P240" t="n">
        <v>0</v>
      </c>
      <c r="Q240" t="n">
        <v>0</v>
      </c>
      <c r="R240" s="2" t="inlineStr"/>
    </row>
    <row r="241" ht="15" customHeight="1">
      <c r="A241" t="inlineStr">
        <is>
          <t>A 22490-2019</t>
        </is>
      </c>
      <c r="B241" s="1" t="n">
        <v>43587</v>
      </c>
      <c r="C241" s="1" t="n">
        <v>45588</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22496-2019</t>
        </is>
      </c>
      <c r="B242" s="1" t="n">
        <v>43587</v>
      </c>
      <c r="C242" s="1" t="n">
        <v>45588</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23711-2019</t>
        </is>
      </c>
      <c r="B243" s="1" t="n">
        <v>43594</v>
      </c>
      <c r="C243" s="1" t="n">
        <v>45588</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23710-2019</t>
        </is>
      </c>
      <c r="B244" s="1" t="n">
        <v>43594</v>
      </c>
      <c r="C244" s="1" t="n">
        <v>45588</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23862-2019</t>
        </is>
      </c>
      <c r="B245" s="1" t="n">
        <v>43595</v>
      </c>
      <c r="C245" s="1" t="n">
        <v>45588</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23878-2019</t>
        </is>
      </c>
      <c r="B246" s="1" t="n">
        <v>43595</v>
      </c>
      <c r="C246" s="1" t="n">
        <v>45588</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23961-2019</t>
        </is>
      </c>
      <c r="B247" s="1" t="n">
        <v>43597</v>
      </c>
      <c r="C247" s="1" t="n">
        <v>45588</v>
      </c>
      <c r="D247" t="inlineStr">
        <is>
          <t>STOCKHOLMS LÄN</t>
        </is>
      </c>
      <c r="E247" t="inlineStr">
        <is>
          <t>NORRTÄLJE</t>
        </is>
      </c>
      <c r="G247" t="n">
        <v>17.6</v>
      </c>
      <c r="H247" t="n">
        <v>0</v>
      </c>
      <c r="I247" t="n">
        <v>0</v>
      </c>
      <c r="J247" t="n">
        <v>0</v>
      </c>
      <c r="K247" t="n">
        <v>0</v>
      </c>
      <c r="L247" t="n">
        <v>0</v>
      </c>
      <c r="M247" t="n">
        <v>0</v>
      </c>
      <c r="N247" t="n">
        <v>0</v>
      </c>
      <c r="O247" t="n">
        <v>0</v>
      </c>
      <c r="P247" t="n">
        <v>0</v>
      </c>
      <c r="Q247" t="n">
        <v>0</v>
      </c>
      <c r="R247" s="2" t="inlineStr"/>
    </row>
    <row r="248" ht="15" customHeight="1">
      <c r="A248" t="inlineStr">
        <is>
          <t>A 23965-2019</t>
        </is>
      </c>
      <c r="B248" s="1" t="n">
        <v>43597</v>
      </c>
      <c r="C248" s="1" t="n">
        <v>45588</v>
      </c>
      <c r="D248" t="inlineStr">
        <is>
          <t>STOCKHOLMS LÄN</t>
        </is>
      </c>
      <c r="E248" t="inlineStr">
        <is>
          <t>NORRTÄLJE</t>
        </is>
      </c>
      <c r="G248" t="n">
        <v>6.1</v>
      </c>
      <c r="H248" t="n">
        <v>0</v>
      </c>
      <c r="I248" t="n">
        <v>0</v>
      </c>
      <c r="J248" t="n">
        <v>0</v>
      </c>
      <c r="K248" t="n">
        <v>0</v>
      </c>
      <c r="L248" t="n">
        <v>0</v>
      </c>
      <c r="M248" t="n">
        <v>0</v>
      </c>
      <c r="N248" t="n">
        <v>0</v>
      </c>
      <c r="O248" t="n">
        <v>0</v>
      </c>
      <c r="P248" t="n">
        <v>0</v>
      </c>
      <c r="Q248" t="n">
        <v>0</v>
      </c>
      <c r="R248" s="2" t="inlineStr"/>
    </row>
    <row r="249" ht="15" customHeight="1">
      <c r="A249" t="inlineStr">
        <is>
          <t>A 23963-2019</t>
        </is>
      </c>
      <c r="B249" s="1" t="n">
        <v>43597</v>
      </c>
      <c r="C249" s="1" t="n">
        <v>45588</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24124-2019</t>
        </is>
      </c>
      <c r="B250" s="1" t="n">
        <v>43598</v>
      </c>
      <c r="C250" s="1" t="n">
        <v>45588</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24058-2019</t>
        </is>
      </c>
      <c r="B251" s="1" t="n">
        <v>43598</v>
      </c>
      <c r="C251" s="1" t="n">
        <v>45588</v>
      </c>
      <c r="D251" t="inlineStr">
        <is>
          <t>STOCKHOLMS LÄN</t>
        </is>
      </c>
      <c r="E251" t="inlineStr">
        <is>
          <t>NORRTÄLJE</t>
        </is>
      </c>
      <c r="G251" t="n">
        <v>2.5</v>
      </c>
      <c r="H251" t="n">
        <v>0</v>
      </c>
      <c r="I251" t="n">
        <v>0</v>
      </c>
      <c r="J251" t="n">
        <v>0</v>
      </c>
      <c r="K251" t="n">
        <v>0</v>
      </c>
      <c r="L251" t="n">
        <v>0</v>
      </c>
      <c r="M251" t="n">
        <v>0</v>
      </c>
      <c r="N251" t="n">
        <v>0</v>
      </c>
      <c r="O251" t="n">
        <v>0</v>
      </c>
      <c r="P251" t="n">
        <v>0</v>
      </c>
      <c r="Q251" t="n">
        <v>0</v>
      </c>
      <c r="R251" s="2" t="inlineStr"/>
    </row>
    <row r="252" ht="15" customHeight="1">
      <c r="A252" t="inlineStr">
        <is>
          <t>A 24562-2019</t>
        </is>
      </c>
      <c r="B252" s="1" t="n">
        <v>43600</v>
      </c>
      <c r="C252" s="1" t="n">
        <v>45588</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24721-2019</t>
        </is>
      </c>
      <c r="B253" s="1" t="n">
        <v>43601</v>
      </c>
      <c r="C253" s="1" t="n">
        <v>45588</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25284-2019</t>
        </is>
      </c>
      <c r="B254" s="1" t="n">
        <v>43605</v>
      </c>
      <c r="C254" s="1" t="n">
        <v>45588</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25535-2019</t>
        </is>
      </c>
      <c r="B255" s="1" t="n">
        <v>43606</v>
      </c>
      <c r="C255" s="1" t="n">
        <v>45588</v>
      </c>
      <c r="D255" t="inlineStr">
        <is>
          <t>STOCKHOLMS LÄN</t>
        </is>
      </c>
      <c r="E255" t="inlineStr">
        <is>
          <t>NORRTÄLJE</t>
        </is>
      </c>
      <c r="G255" t="n">
        <v>1.7</v>
      </c>
      <c r="H255" t="n">
        <v>0</v>
      </c>
      <c r="I255" t="n">
        <v>0</v>
      </c>
      <c r="J255" t="n">
        <v>0</v>
      </c>
      <c r="K255" t="n">
        <v>0</v>
      </c>
      <c r="L255" t="n">
        <v>0</v>
      </c>
      <c r="M255" t="n">
        <v>0</v>
      </c>
      <c r="N255" t="n">
        <v>0</v>
      </c>
      <c r="O255" t="n">
        <v>0</v>
      </c>
      <c r="P255" t="n">
        <v>0</v>
      </c>
      <c r="Q255" t="n">
        <v>0</v>
      </c>
      <c r="R255" s="2" t="inlineStr"/>
    </row>
    <row r="256" ht="15" customHeight="1">
      <c r="A256" t="inlineStr">
        <is>
          <t>A 25316-2019</t>
        </is>
      </c>
      <c r="B256" s="1" t="n">
        <v>43606</v>
      </c>
      <c r="C256" s="1" t="n">
        <v>45588</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26374-2019</t>
        </is>
      </c>
      <c r="B257" s="1" t="n">
        <v>43606</v>
      </c>
      <c r="C257" s="1" t="n">
        <v>45588</v>
      </c>
      <c r="D257" t="inlineStr">
        <is>
          <t>STOCKHOLMS LÄN</t>
        </is>
      </c>
      <c r="E257" t="inlineStr">
        <is>
          <t>NORRTÄLJE</t>
        </is>
      </c>
      <c r="G257" t="n">
        <v>11.6</v>
      </c>
      <c r="H257" t="n">
        <v>0</v>
      </c>
      <c r="I257" t="n">
        <v>0</v>
      </c>
      <c r="J257" t="n">
        <v>0</v>
      </c>
      <c r="K257" t="n">
        <v>0</v>
      </c>
      <c r="L257" t="n">
        <v>0</v>
      </c>
      <c r="M257" t="n">
        <v>0</v>
      </c>
      <c r="N257" t="n">
        <v>0</v>
      </c>
      <c r="O257" t="n">
        <v>0</v>
      </c>
      <c r="P257" t="n">
        <v>0</v>
      </c>
      <c r="Q257" t="n">
        <v>0</v>
      </c>
      <c r="R257" s="2" t="inlineStr"/>
    </row>
    <row r="258" ht="15" customHeight="1">
      <c r="A258" t="inlineStr">
        <is>
          <t>A 25315-2019</t>
        </is>
      </c>
      <c r="B258" s="1" t="n">
        <v>43606</v>
      </c>
      <c r="C258" s="1" t="n">
        <v>45588</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25625-2019</t>
        </is>
      </c>
      <c r="B259" s="1" t="n">
        <v>43607</v>
      </c>
      <c r="C259" s="1" t="n">
        <v>45588</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26272-2019</t>
        </is>
      </c>
      <c r="B260" s="1" t="n">
        <v>43611</v>
      </c>
      <c r="C260" s="1" t="n">
        <v>45588</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26620-2019</t>
        </is>
      </c>
      <c r="B261" s="1" t="n">
        <v>43612</v>
      </c>
      <c r="C261" s="1" t="n">
        <v>45588</v>
      </c>
      <c r="D261" t="inlineStr">
        <is>
          <t>STOCKHOLMS LÄN</t>
        </is>
      </c>
      <c r="E261" t="inlineStr">
        <is>
          <t>NORRTÄLJE</t>
        </is>
      </c>
      <c r="G261" t="n">
        <v>0.5</v>
      </c>
      <c r="H261" t="n">
        <v>0</v>
      </c>
      <c r="I261" t="n">
        <v>0</v>
      </c>
      <c r="J261" t="n">
        <v>0</v>
      </c>
      <c r="K261" t="n">
        <v>0</v>
      </c>
      <c r="L261" t="n">
        <v>0</v>
      </c>
      <c r="M261" t="n">
        <v>0</v>
      </c>
      <c r="N261" t="n">
        <v>0</v>
      </c>
      <c r="O261" t="n">
        <v>0</v>
      </c>
      <c r="P261" t="n">
        <v>0</v>
      </c>
      <c r="Q261" t="n">
        <v>0</v>
      </c>
      <c r="R261" s="2" t="inlineStr"/>
    </row>
    <row r="262" ht="15" customHeight="1">
      <c r="A262" t="inlineStr">
        <is>
          <t>A 26391-2019</t>
        </is>
      </c>
      <c r="B262" s="1" t="n">
        <v>43612</v>
      </c>
      <c r="C262" s="1" t="n">
        <v>45588</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26933-2019</t>
        </is>
      </c>
      <c r="B263" s="1" t="n">
        <v>43613</v>
      </c>
      <c r="C263" s="1" t="n">
        <v>45588</v>
      </c>
      <c r="D263" t="inlineStr">
        <is>
          <t>STOCKHOLMS LÄN</t>
        </is>
      </c>
      <c r="E263" t="inlineStr">
        <is>
          <t>NORRTÄLJE</t>
        </is>
      </c>
      <c r="G263" t="n">
        <v>2.8</v>
      </c>
      <c r="H263" t="n">
        <v>0</v>
      </c>
      <c r="I263" t="n">
        <v>0</v>
      </c>
      <c r="J263" t="n">
        <v>0</v>
      </c>
      <c r="K263" t="n">
        <v>0</v>
      </c>
      <c r="L263" t="n">
        <v>0</v>
      </c>
      <c r="M263" t="n">
        <v>0</v>
      </c>
      <c r="N263" t="n">
        <v>0</v>
      </c>
      <c r="O263" t="n">
        <v>0</v>
      </c>
      <c r="P263" t="n">
        <v>0</v>
      </c>
      <c r="Q263" t="n">
        <v>0</v>
      </c>
      <c r="R263" s="2" t="inlineStr"/>
    </row>
    <row r="264" ht="15" customHeight="1">
      <c r="A264" t="inlineStr">
        <is>
          <t>A 26830-2019</t>
        </is>
      </c>
      <c r="B264" s="1" t="n">
        <v>43613</v>
      </c>
      <c r="C264" s="1" t="n">
        <v>45588</v>
      </c>
      <c r="D264" t="inlineStr">
        <is>
          <t>STOCKHOLMS LÄN</t>
        </is>
      </c>
      <c r="E264" t="inlineStr">
        <is>
          <t>NORRTÄLJE</t>
        </is>
      </c>
      <c r="G264" t="n">
        <v>2.1</v>
      </c>
      <c r="H264" t="n">
        <v>0</v>
      </c>
      <c r="I264" t="n">
        <v>0</v>
      </c>
      <c r="J264" t="n">
        <v>0</v>
      </c>
      <c r="K264" t="n">
        <v>0</v>
      </c>
      <c r="L264" t="n">
        <v>0</v>
      </c>
      <c r="M264" t="n">
        <v>0</v>
      </c>
      <c r="N264" t="n">
        <v>0</v>
      </c>
      <c r="O264" t="n">
        <v>0</v>
      </c>
      <c r="P264" t="n">
        <v>0</v>
      </c>
      <c r="Q264" t="n">
        <v>0</v>
      </c>
      <c r="R264" s="2" t="inlineStr"/>
    </row>
    <row r="265" ht="15" customHeight="1">
      <c r="A265" t="inlineStr">
        <is>
          <t>A 27095-2019</t>
        </is>
      </c>
      <c r="B265" s="1" t="n">
        <v>43614</v>
      </c>
      <c r="C265" s="1" t="n">
        <v>45588</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28157-2019</t>
        </is>
      </c>
      <c r="B266" s="1" t="n">
        <v>43614</v>
      </c>
      <c r="C266" s="1" t="n">
        <v>45588</v>
      </c>
      <c r="D266" t="inlineStr">
        <is>
          <t>STOCKHOLMS LÄN</t>
        </is>
      </c>
      <c r="E266" t="inlineStr">
        <is>
          <t>NORRTÄLJE</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27264-2019</t>
        </is>
      </c>
      <c r="B267" s="1" t="n">
        <v>43615</v>
      </c>
      <c r="C267" s="1" t="n">
        <v>45588</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27971-2019</t>
        </is>
      </c>
      <c r="B268" s="1" t="n">
        <v>43620</v>
      </c>
      <c r="C268" s="1" t="n">
        <v>45588</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27967-2019</t>
        </is>
      </c>
      <c r="B269" s="1" t="n">
        <v>43620</v>
      </c>
      <c r="C269" s="1" t="n">
        <v>45588</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28121-2019</t>
        </is>
      </c>
      <c r="B270" s="1" t="n">
        <v>43621</v>
      </c>
      <c r="C270" s="1" t="n">
        <v>45588</v>
      </c>
      <c r="D270" t="inlineStr">
        <is>
          <t>STOCKHOLMS LÄN</t>
        </is>
      </c>
      <c r="E270" t="inlineStr">
        <is>
          <t>NORRTÄLJE</t>
        </is>
      </c>
      <c r="F270" t="inlineStr">
        <is>
          <t>Kyrkan</t>
        </is>
      </c>
      <c r="G270" t="n">
        <v>2.5</v>
      </c>
      <c r="H270" t="n">
        <v>0</v>
      </c>
      <c r="I270" t="n">
        <v>0</v>
      </c>
      <c r="J270" t="n">
        <v>0</v>
      </c>
      <c r="K270" t="n">
        <v>0</v>
      </c>
      <c r="L270" t="n">
        <v>0</v>
      </c>
      <c r="M270" t="n">
        <v>0</v>
      </c>
      <c r="N270" t="n">
        <v>0</v>
      </c>
      <c r="O270" t="n">
        <v>0</v>
      </c>
      <c r="P270" t="n">
        <v>0</v>
      </c>
      <c r="Q270" t="n">
        <v>0</v>
      </c>
      <c r="R270" s="2" t="inlineStr"/>
    </row>
    <row r="271" ht="15" customHeight="1">
      <c r="A271" t="inlineStr">
        <is>
          <t>A 28289-2019</t>
        </is>
      </c>
      <c r="B271" s="1" t="n">
        <v>43623</v>
      </c>
      <c r="C271" s="1" t="n">
        <v>45588</v>
      </c>
      <c r="D271" t="inlineStr">
        <is>
          <t>STOCKHOLMS LÄN</t>
        </is>
      </c>
      <c r="E271" t="inlineStr">
        <is>
          <t>NORRTÄLJE</t>
        </is>
      </c>
      <c r="G271" t="n">
        <v>7.7</v>
      </c>
      <c r="H271" t="n">
        <v>0</v>
      </c>
      <c r="I271" t="n">
        <v>0</v>
      </c>
      <c r="J271" t="n">
        <v>0</v>
      </c>
      <c r="K271" t="n">
        <v>0</v>
      </c>
      <c r="L271" t="n">
        <v>0</v>
      </c>
      <c r="M271" t="n">
        <v>0</v>
      </c>
      <c r="N271" t="n">
        <v>0</v>
      </c>
      <c r="O271" t="n">
        <v>0</v>
      </c>
      <c r="P271" t="n">
        <v>0</v>
      </c>
      <c r="Q271" t="n">
        <v>0</v>
      </c>
      <c r="R271" s="2" t="inlineStr"/>
    </row>
    <row r="272" ht="15" customHeight="1">
      <c r="A272" t="inlineStr">
        <is>
          <t>A 28519-2019</t>
        </is>
      </c>
      <c r="B272" s="1" t="n">
        <v>43626</v>
      </c>
      <c r="C272" s="1" t="n">
        <v>45588</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28495-2019</t>
        </is>
      </c>
      <c r="B273" s="1" t="n">
        <v>43626</v>
      </c>
      <c r="C273" s="1" t="n">
        <v>45588</v>
      </c>
      <c r="D273" t="inlineStr">
        <is>
          <t>STOCKHOLMS LÄN</t>
        </is>
      </c>
      <c r="E273" t="inlineStr">
        <is>
          <t>NORRTÄLJE</t>
        </is>
      </c>
      <c r="G273" t="n">
        <v>14.7</v>
      </c>
      <c r="H273" t="n">
        <v>0</v>
      </c>
      <c r="I273" t="n">
        <v>0</v>
      </c>
      <c r="J273" t="n">
        <v>0</v>
      </c>
      <c r="K273" t="n">
        <v>0</v>
      </c>
      <c r="L273" t="n">
        <v>0</v>
      </c>
      <c r="M273" t="n">
        <v>0</v>
      </c>
      <c r="N273" t="n">
        <v>0</v>
      </c>
      <c r="O273" t="n">
        <v>0</v>
      </c>
      <c r="P273" t="n">
        <v>0</v>
      </c>
      <c r="Q273" t="n">
        <v>0</v>
      </c>
      <c r="R273" s="2" t="inlineStr"/>
    </row>
    <row r="274" ht="15" customHeight="1">
      <c r="A274" t="inlineStr">
        <is>
          <t>A 28394-2019</t>
        </is>
      </c>
      <c r="B274" s="1" t="n">
        <v>43626</v>
      </c>
      <c r="C274" s="1" t="n">
        <v>45588</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29260-2019</t>
        </is>
      </c>
      <c r="B275" s="1" t="n">
        <v>43629</v>
      </c>
      <c r="C275" s="1" t="n">
        <v>45588</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29312-2019</t>
        </is>
      </c>
      <c r="B276" s="1" t="n">
        <v>43629</v>
      </c>
      <c r="C276" s="1" t="n">
        <v>45588</v>
      </c>
      <c r="D276" t="inlineStr">
        <is>
          <t>STOCKHOLMS LÄN</t>
        </is>
      </c>
      <c r="E276" t="inlineStr">
        <is>
          <t>NORRTÄLJE</t>
        </is>
      </c>
      <c r="G276" t="n">
        <v>7.1</v>
      </c>
      <c r="H276" t="n">
        <v>0</v>
      </c>
      <c r="I276" t="n">
        <v>0</v>
      </c>
      <c r="J276" t="n">
        <v>0</v>
      </c>
      <c r="K276" t="n">
        <v>0</v>
      </c>
      <c r="L276" t="n">
        <v>0</v>
      </c>
      <c r="M276" t="n">
        <v>0</v>
      </c>
      <c r="N276" t="n">
        <v>0</v>
      </c>
      <c r="O276" t="n">
        <v>0</v>
      </c>
      <c r="P276" t="n">
        <v>0</v>
      </c>
      <c r="Q276" t="n">
        <v>0</v>
      </c>
      <c r="R276" s="2" t="inlineStr"/>
    </row>
    <row r="277" ht="15" customHeight="1">
      <c r="A277" t="inlineStr">
        <is>
          <t>A 29759-2019</t>
        </is>
      </c>
      <c r="B277" s="1" t="n">
        <v>43631</v>
      </c>
      <c r="C277" s="1" t="n">
        <v>45588</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30000-2019</t>
        </is>
      </c>
      <c r="B278" s="1" t="n">
        <v>43633</v>
      </c>
      <c r="C278" s="1" t="n">
        <v>45588</v>
      </c>
      <c r="D278" t="inlineStr">
        <is>
          <t>STOCKHOLMS LÄN</t>
        </is>
      </c>
      <c r="E278" t="inlineStr">
        <is>
          <t>NORRTÄLJE</t>
        </is>
      </c>
      <c r="G278" t="n">
        <v>5.4</v>
      </c>
      <c r="H278" t="n">
        <v>0</v>
      </c>
      <c r="I278" t="n">
        <v>0</v>
      </c>
      <c r="J278" t="n">
        <v>0</v>
      </c>
      <c r="K278" t="n">
        <v>0</v>
      </c>
      <c r="L278" t="n">
        <v>0</v>
      </c>
      <c r="M278" t="n">
        <v>0</v>
      </c>
      <c r="N278" t="n">
        <v>0</v>
      </c>
      <c r="O278" t="n">
        <v>0</v>
      </c>
      <c r="P278" t="n">
        <v>0</v>
      </c>
      <c r="Q278" t="n">
        <v>0</v>
      </c>
      <c r="R278" s="2" t="inlineStr"/>
    </row>
    <row r="279" ht="15" customHeight="1">
      <c r="A279" t="inlineStr">
        <is>
          <t>A 30833-2019</t>
        </is>
      </c>
      <c r="B279" s="1" t="n">
        <v>43636</v>
      </c>
      <c r="C279" s="1" t="n">
        <v>45588</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31215-2019</t>
        </is>
      </c>
      <c r="B280" s="1" t="n">
        <v>43640</v>
      </c>
      <c r="C280" s="1" t="n">
        <v>45588</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31017-2019</t>
        </is>
      </c>
      <c r="B281" s="1" t="n">
        <v>43640</v>
      </c>
      <c r="C281" s="1" t="n">
        <v>45588</v>
      </c>
      <c r="D281" t="inlineStr">
        <is>
          <t>STOCKHOLMS LÄN</t>
        </is>
      </c>
      <c r="E281" t="inlineStr">
        <is>
          <t>NORRTÄLJE</t>
        </is>
      </c>
      <c r="G281" t="n">
        <v>3.4</v>
      </c>
      <c r="H281" t="n">
        <v>0</v>
      </c>
      <c r="I281" t="n">
        <v>0</v>
      </c>
      <c r="J281" t="n">
        <v>0</v>
      </c>
      <c r="K281" t="n">
        <v>0</v>
      </c>
      <c r="L281" t="n">
        <v>0</v>
      </c>
      <c r="M281" t="n">
        <v>0</v>
      </c>
      <c r="N281" t="n">
        <v>0</v>
      </c>
      <c r="O281" t="n">
        <v>0</v>
      </c>
      <c r="P281" t="n">
        <v>0</v>
      </c>
      <c r="Q281" t="n">
        <v>0</v>
      </c>
      <c r="R281" s="2" t="inlineStr"/>
    </row>
    <row r="282" ht="15" customHeight="1">
      <c r="A282" t="inlineStr">
        <is>
          <t>A 31966-2019</t>
        </is>
      </c>
      <c r="B282" s="1" t="n">
        <v>43643</v>
      </c>
      <c r="C282" s="1" t="n">
        <v>45588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32725-2019</t>
        </is>
      </c>
      <c r="B283" s="1" t="n">
        <v>43647</v>
      </c>
      <c r="C283" s="1" t="n">
        <v>45588</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32726-2019</t>
        </is>
      </c>
      <c r="B284" s="1" t="n">
        <v>43647</v>
      </c>
      <c r="C284" s="1" t="n">
        <v>45588</v>
      </c>
      <c r="D284" t="inlineStr">
        <is>
          <t>STOCKHOLMS LÄN</t>
        </is>
      </c>
      <c r="E284" t="inlineStr">
        <is>
          <t>NORRTÄLJE</t>
        </is>
      </c>
      <c r="G284" t="n">
        <v>1</v>
      </c>
      <c r="H284" t="n">
        <v>0</v>
      </c>
      <c r="I284" t="n">
        <v>0</v>
      </c>
      <c r="J284" t="n">
        <v>0</v>
      </c>
      <c r="K284" t="n">
        <v>0</v>
      </c>
      <c r="L284" t="n">
        <v>0</v>
      </c>
      <c r="M284" t="n">
        <v>0</v>
      </c>
      <c r="N284" t="n">
        <v>0</v>
      </c>
      <c r="O284" t="n">
        <v>0</v>
      </c>
      <c r="P284" t="n">
        <v>0</v>
      </c>
      <c r="Q284" t="n">
        <v>0</v>
      </c>
      <c r="R284" s="2" t="inlineStr"/>
    </row>
    <row r="285" ht="15" customHeight="1">
      <c r="A285" t="inlineStr">
        <is>
          <t>A 33207-2019</t>
        </is>
      </c>
      <c r="B285" s="1" t="n">
        <v>43649</v>
      </c>
      <c r="C285" s="1" t="n">
        <v>45588</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33955-2019</t>
        </is>
      </c>
      <c r="B286" s="1" t="n">
        <v>43654</v>
      </c>
      <c r="C286" s="1" t="n">
        <v>45588</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33966-2019</t>
        </is>
      </c>
      <c r="B287" s="1" t="n">
        <v>43654</v>
      </c>
      <c r="C287" s="1" t="n">
        <v>45588</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35247-2019</t>
        </is>
      </c>
      <c r="B288" s="1" t="n">
        <v>43656</v>
      </c>
      <c r="C288" s="1" t="n">
        <v>45588</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35244-2019</t>
        </is>
      </c>
      <c r="B289" s="1" t="n">
        <v>43656</v>
      </c>
      <c r="C289" s="1" t="n">
        <v>45588</v>
      </c>
      <c r="D289" t="inlineStr">
        <is>
          <t>STOCKHOLMS LÄN</t>
        </is>
      </c>
      <c r="E289" t="inlineStr">
        <is>
          <t>NORRTÄLJE</t>
        </is>
      </c>
      <c r="G289" t="n">
        <v>1.9</v>
      </c>
      <c r="H289" t="n">
        <v>0</v>
      </c>
      <c r="I289" t="n">
        <v>0</v>
      </c>
      <c r="J289" t="n">
        <v>0</v>
      </c>
      <c r="K289" t="n">
        <v>0</v>
      </c>
      <c r="L289" t="n">
        <v>0</v>
      </c>
      <c r="M289" t="n">
        <v>0</v>
      </c>
      <c r="N289" t="n">
        <v>0</v>
      </c>
      <c r="O289" t="n">
        <v>0</v>
      </c>
      <c r="P289" t="n">
        <v>0</v>
      </c>
      <c r="Q289" t="n">
        <v>0</v>
      </c>
      <c r="R289" s="2" t="inlineStr"/>
    </row>
    <row r="290" ht="15" customHeight="1">
      <c r="A290" t="inlineStr">
        <is>
          <t>A 35249-2019</t>
        </is>
      </c>
      <c r="B290" s="1" t="n">
        <v>43656</v>
      </c>
      <c r="C290" s="1" t="n">
        <v>45588</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35251-2019</t>
        </is>
      </c>
      <c r="B291" s="1" t="n">
        <v>43656</v>
      </c>
      <c r="C291" s="1" t="n">
        <v>45588</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35492-2019</t>
        </is>
      </c>
      <c r="B292" s="1" t="n">
        <v>43663</v>
      </c>
      <c r="C292" s="1" t="n">
        <v>45588</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35770-2019</t>
        </is>
      </c>
      <c r="B293" s="1" t="n">
        <v>43665</v>
      </c>
      <c r="C293" s="1" t="n">
        <v>45588</v>
      </c>
      <c r="D293" t="inlineStr">
        <is>
          <t>STOCKHOLMS LÄN</t>
        </is>
      </c>
      <c r="E293" t="inlineStr">
        <is>
          <t>NORRTÄLJE</t>
        </is>
      </c>
      <c r="G293" t="n">
        <v>6.3</v>
      </c>
      <c r="H293" t="n">
        <v>0</v>
      </c>
      <c r="I293" t="n">
        <v>0</v>
      </c>
      <c r="J293" t="n">
        <v>0</v>
      </c>
      <c r="K293" t="n">
        <v>0</v>
      </c>
      <c r="L293" t="n">
        <v>0</v>
      </c>
      <c r="M293" t="n">
        <v>0</v>
      </c>
      <c r="N293" t="n">
        <v>0</v>
      </c>
      <c r="O293" t="n">
        <v>0</v>
      </c>
      <c r="P293" t="n">
        <v>0</v>
      </c>
      <c r="Q293" t="n">
        <v>0</v>
      </c>
      <c r="R293" s="2" t="inlineStr"/>
    </row>
    <row r="294" ht="15" customHeight="1">
      <c r="A294" t="inlineStr">
        <is>
          <t>A 35766-2019</t>
        </is>
      </c>
      <c r="B294" s="1" t="n">
        <v>43665</v>
      </c>
      <c r="C294" s="1" t="n">
        <v>45588</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36418-2019</t>
        </is>
      </c>
      <c r="B295" s="1" t="n">
        <v>43670</v>
      </c>
      <c r="C295" s="1" t="n">
        <v>45588</v>
      </c>
      <c r="D295" t="inlineStr">
        <is>
          <t>STOCKHOLMS LÄN</t>
        </is>
      </c>
      <c r="E295" t="inlineStr">
        <is>
          <t>NORRTÄLJE</t>
        </is>
      </c>
      <c r="G295" t="n">
        <v>16.8</v>
      </c>
      <c r="H295" t="n">
        <v>0</v>
      </c>
      <c r="I295" t="n">
        <v>0</v>
      </c>
      <c r="J295" t="n">
        <v>0</v>
      </c>
      <c r="K295" t="n">
        <v>0</v>
      </c>
      <c r="L295" t="n">
        <v>0</v>
      </c>
      <c r="M295" t="n">
        <v>0</v>
      </c>
      <c r="N295" t="n">
        <v>0</v>
      </c>
      <c r="O295" t="n">
        <v>0</v>
      </c>
      <c r="P295" t="n">
        <v>0</v>
      </c>
      <c r="Q295" t="n">
        <v>0</v>
      </c>
      <c r="R295" s="2" t="inlineStr"/>
    </row>
    <row r="296" ht="15" customHeight="1">
      <c r="A296" t="inlineStr">
        <is>
          <t>A 37401-2019</t>
        </is>
      </c>
      <c r="B296" s="1" t="n">
        <v>43678</v>
      </c>
      <c r="C296" s="1" t="n">
        <v>45588</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37662-2019</t>
        </is>
      </c>
      <c r="B297" s="1" t="n">
        <v>43682</v>
      </c>
      <c r="C297" s="1" t="n">
        <v>45588</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38144-2019</t>
        </is>
      </c>
      <c r="B298" s="1" t="n">
        <v>43684</v>
      </c>
      <c r="C298" s="1" t="n">
        <v>45588</v>
      </c>
      <c r="D298" t="inlineStr">
        <is>
          <t>STOCKHOLMS LÄN</t>
        </is>
      </c>
      <c r="E298" t="inlineStr">
        <is>
          <t>NORRTÄLJE</t>
        </is>
      </c>
      <c r="G298" t="n">
        <v>3.6</v>
      </c>
      <c r="H298" t="n">
        <v>0</v>
      </c>
      <c r="I298" t="n">
        <v>0</v>
      </c>
      <c r="J298" t="n">
        <v>0</v>
      </c>
      <c r="K298" t="n">
        <v>0</v>
      </c>
      <c r="L298" t="n">
        <v>0</v>
      </c>
      <c r="M298" t="n">
        <v>0</v>
      </c>
      <c r="N298" t="n">
        <v>0</v>
      </c>
      <c r="O298" t="n">
        <v>0</v>
      </c>
      <c r="P298" t="n">
        <v>0</v>
      </c>
      <c r="Q298" t="n">
        <v>0</v>
      </c>
      <c r="R298" s="2" t="inlineStr"/>
    </row>
    <row r="299" ht="15" customHeight="1">
      <c r="A299" t="inlineStr">
        <is>
          <t>A 38139-2019</t>
        </is>
      </c>
      <c r="B299" s="1" t="n">
        <v>43684</v>
      </c>
      <c r="C299" s="1" t="n">
        <v>45588</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38145-2019</t>
        </is>
      </c>
      <c r="B300" s="1" t="n">
        <v>43684</v>
      </c>
      <c r="C300" s="1" t="n">
        <v>45588</v>
      </c>
      <c r="D300" t="inlineStr">
        <is>
          <t>STOCKHOLMS LÄN</t>
        </is>
      </c>
      <c r="E300" t="inlineStr">
        <is>
          <t>NORRTÄLJE</t>
        </is>
      </c>
      <c r="G300" t="n">
        <v>9.9</v>
      </c>
      <c r="H300" t="n">
        <v>0</v>
      </c>
      <c r="I300" t="n">
        <v>0</v>
      </c>
      <c r="J300" t="n">
        <v>0</v>
      </c>
      <c r="K300" t="n">
        <v>0</v>
      </c>
      <c r="L300" t="n">
        <v>0</v>
      </c>
      <c r="M300" t="n">
        <v>0</v>
      </c>
      <c r="N300" t="n">
        <v>0</v>
      </c>
      <c r="O300" t="n">
        <v>0</v>
      </c>
      <c r="P300" t="n">
        <v>0</v>
      </c>
      <c r="Q300" t="n">
        <v>0</v>
      </c>
      <c r="R300" s="2" t="inlineStr"/>
    </row>
    <row r="301" ht="15" customHeight="1">
      <c r="A301" t="inlineStr">
        <is>
          <t>A 38140-2019</t>
        </is>
      </c>
      <c r="B301" s="1" t="n">
        <v>43684</v>
      </c>
      <c r="C301" s="1" t="n">
        <v>45588</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38143-2019</t>
        </is>
      </c>
      <c r="B302" s="1" t="n">
        <v>43684</v>
      </c>
      <c r="C302" s="1" t="n">
        <v>45588</v>
      </c>
      <c r="D302" t="inlineStr">
        <is>
          <t>STOCKHOLMS LÄN</t>
        </is>
      </c>
      <c r="E302" t="inlineStr">
        <is>
          <t>NORRTÄLJE</t>
        </is>
      </c>
      <c r="G302" t="n">
        <v>12.7</v>
      </c>
      <c r="H302" t="n">
        <v>0</v>
      </c>
      <c r="I302" t="n">
        <v>0</v>
      </c>
      <c r="J302" t="n">
        <v>0</v>
      </c>
      <c r="K302" t="n">
        <v>0</v>
      </c>
      <c r="L302" t="n">
        <v>0</v>
      </c>
      <c r="M302" t="n">
        <v>0</v>
      </c>
      <c r="N302" t="n">
        <v>0</v>
      </c>
      <c r="O302" t="n">
        <v>0</v>
      </c>
      <c r="P302" t="n">
        <v>0</v>
      </c>
      <c r="Q302" t="n">
        <v>0</v>
      </c>
      <c r="R302" s="2" t="inlineStr"/>
    </row>
    <row r="303" ht="15" customHeight="1">
      <c r="A303" t="inlineStr">
        <is>
          <t>A 38506-2019</t>
        </is>
      </c>
      <c r="B303" s="1" t="n">
        <v>43685</v>
      </c>
      <c r="C303" s="1" t="n">
        <v>45588</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38605-2019</t>
        </is>
      </c>
      <c r="B304" s="1" t="n">
        <v>43686</v>
      </c>
      <c r="C304" s="1" t="n">
        <v>45588</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38737-2019</t>
        </is>
      </c>
      <c r="B305" s="1" t="n">
        <v>43686</v>
      </c>
      <c r="C305" s="1" t="n">
        <v>45588</v>
      </c>
      <c r="D305" t="inlineStr">
        <is>
          <t>STOCKHOLMS LÄN</t>
        </is>
      </c>
      <c r="E305" t="inlineStr">
        <is>
          <t>NORRTÄLJE</t>
        </is>
      </c>
      <c r="G305" t="n">
        <v>4.7</v>
      </c>
      <c r="H305" t="n">
        <v>0</v>
      </c>
      <c r="I305" t="n">
        <v>0</v>
      </c>
      <c r="J305" t="n">
        <v>0</v>
      </c>
      <c r="K305" t="n">
        <v>0</v>
      </c>
      <c r="L305" t="n">
        <v>0</v>
      </c>
      <c r="M305" t="n">
        <v>0</v>
      </c>
      <c r="N305" t="n">
        <v>0</v>
      </c>
      <c r="O305" t="n">
        <v>0</v>
      </c>
      <c r="P305" t="n">
        <v>0</v>
      </c>
      <c r="Q305" t="n">
        <v>0</v>
      </c>
      <c r="R305" s="2" t="inlineStr"/>
    </row>
    <row r="306" ht="15" customHeight="1">
      <c r="A306" t="inlineStr">
        <is>
          <t>A 40571-2019</t>
        </is>
      </c>
      <c r="B306" s="1" t="n">
        <v>43696</v>
      </c>
      <c r="C306" s="1" t="n">
        <v>45588</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42330-2019</t>
        </is>
      </c>
      <c r="B307" s="1" t="n">
        <v>43703</v>
      </c>
      <c r="C307" s="1" t="n">
        <v>45588</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43379-2019</t>
        </is>
      </c>
      <c r="B308" s="1" t="n">
        <v>43703</v>
      </c>
      <c r="C308" s="1" t="n">
        <v>45588</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43296-2019</t>
        </is>
      </c>
      <c r="B309" s="1" t="n">
        <v>43706</v>
      </c>
      <c r="C309" s="1" t="n">
        <v>45588</v>
      </c>
      <c r="D309" t="inlineStr">
        <is>
          <t>STOCKHOLMS LÄN</t>
        </is>
      </c>
      <c r="E309" t="inlineStr">
        <is>
          <t>NORRTÄLJE</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44643-2019</t>
        </is>
      </c>
      <c r="B310" s="1" t="n">
        <v>43712</v>
      </c>
      <c r="C310" s="1" t="n">
        <v>45588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45463-2019</t>
        </is>
      </c>
      <c r="B311" s="1" t="n">
        <v>43714</v>
      </c>
      <c r="C311" s="1" t="n">
        <v>45588</v>
      </c>
      <c r="D311" t="inlineStr">
        <is>
          <t>STOCKHOLMS LÄN</t>
        </is>
      </c>
      <c r="E311" t="inlineStr">
        <is>
          <t>NORRTÄLJE</t>
        </is>
      </c>
      <c r="F311" t="inlineStr">
        <is>
          <t>Övriga statliga verk och myndigheter</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45477-2019</t>
        </is>
      </c>
      <c r="B312" s="1" t="n">
        <v>43714</v>
      </c>
      <c r="C312" s="1" t="n">
        <v>45588</v>
      </c>
      <c r="D312" t="inlineStr">
        <is>
          <t>STOCKHOLMS LÄN</t>
        </is>
      </c>
      <c r="E312" t="inlineStr">
        <is>
          <t>NORRTÄLJE</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46327-2019</t>
        </is>
      </c>
      <c r="B313" s="1" t="n">
        <v>43718</v>
      </c>
      <c r="C313" s="1" t="n">
        <v>45588</v>
      </c>
      <c r="D313" t="inlineStr">
        <is>
          <t>STOCKHOLMS LÄN</t>
        </is>
      </c>
      <c r="E313" t="inlineStr">
        <is>
          <t>NORRTÄLJE</t>
        </is>
      </c>
      <c r="G313" t="n">
        <v>2.4</v>
      </c>
      <c r="H313" t="n">
        <v>0</v>
      </c>
      <c r="I313" t="n">
        <v>0</v>
      </c>
      <c r="J313" t="n">
        <v>0</v>
      </c>
      <c r="K313" t="n">
        <v>0</v>
      </c>
      <c r="L313" t="n">
        <v>0</v>
      </c>
      <c r="M313" t="n">
        <v>0</v>
      </c>
      <c r="N313" t="n">
        <v>0</v>
      </c>
      <c r="O313" t="n">
        <v>0</v>
      </c>
      <c r="P313" t="n">
        <v>0</v>
      </c>
      <c r="Q313" t="n">
        <v>0</v>
      </c>
      <c r="R313" s="2" t="inlineStr"/>
    </row>
    <row r="314" ht="15" customHeight="1">
      <c r="A314" t="inlineStr">
        <is>
          <t>A 47876-2019</t>
        </is>
      </c>
      <c r="B314" s="1" t="n">
        <v>43725</v>
      </c>
      <c r="C314" s="1" t="n">
        <v>45588</v>
      </c>
      <c r="D314" t="inlineStr">
        <is>
          <t>STOCKHOLMS LÄN</t>
        </is>
      </c>
      <c r="E314" t="inlineStr">
        <is>
          <t>NORRTÄLJE</t>
        </is>
      </c>
      <c r="G314" t="n">
        <v>11.4</v>
      </c>
      <c r="H314" t="n">
        <v>0</v>
      </c>
      <c r="I314" t="n">
        <v>0</v>
      </c>
      <c r="J314" t="n">
        <v>0</v>
      </c>
      <c r="K314" t="n">
        <v>0</v>
      </c>
      <c r="L314" t="n">
        <v>0</v>
      </c>
      <c r="M314" t="n">
        <v>0</v>
      </c>
      <c r="N314" t="n">
        <v>0</v>
      </c>
      <c r="O314" t="n">
        <v>0</v>
      </c>
      <c r="P314" t="n">
        <v>0</v>
      </c>
      <c r="Q314" t="n">
        <v>0</v>
      </c>
      <c r="R314" s="2" t="inlineStr"/>
    </row>
    <row r="315" ht="15" customHeight="1">
      <c r="A315" t="inlineStr">
        <is>
          <t>A 47877-2019</t>
        </is>
      </c>
      <c r="B315" s="1" t="n">
        <v>43725</v>
      </c>
      <c r="C315" s="1" t="n">
        <v>45588</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47903-2019</t>
        </is>
      </c>
      <c r="B316" s="1" t="n">
        <v>43725</v>
      </c>
      <c r="C316" s="1" t="n">
        <v>45588</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47901-2019</t>
        </is>
      </c>
      <c r="B317" s="1" t="n">
        <v>43725</v>
      </c>
      <c r="C317" s="1" t="n">
        <v>45588</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47939-2019</t>
        </is>
      </c>
      <c r="B318" s="1" t="n">
        <v>43725</v>
      </c>
      <c r="C318" s="1" t="n">
        <v>45588</v>
      </c>
      <c r="D318" t="inlineStr">
        <is>
          <t>STOCKHOLMS LÄN</t>
        </is>
      </c>
      <c r="E318" t="inlineStr">
        <is>
          <t>NORRTÄLJE</t>
        </is>
      </c>
      <c r="G318" t="n">
        <v>4.5</v>
      </c>
      <c r="H318" t="n">
        <v>0</v>
      </c>
      <c r="I318" t="n">
        <v>0</v>
      </c>
      <c r="J318" t="n">
        <v>0</v>
      </c>
      <c r="K318" t="n">
        <v>0</v>
      </c>
      <c r="L318" t="n">
        <v>0</v>
      </c>
      <c r="M318" t="n">
        <v>0</v>
      </c>
      <c r="N318" t="n">
        <v>0</v>
      </c>
      <c r="O318" t="n">
        <v>0</v>
      </c>
      <c r="P318" t="n">
        <v>0</v>
      </c>
      <c r="Q318" t="n">
        <v>0</v>
      </c>
      <c r="R318" s="2" t="inlineStr"/>
    </row>
    <row r="319" ht="15" customHeight="1">
      <c r="A319" t="inlineStr">
        <is>
          <t>A 47941-2019</t>
        </is>
      </c>
      <c r="B319" s="1" t="n">
        <v>43725</v>
      </c>
      <c r="C319" s="1" t="n">
        <v>45588</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47879-2019</t>
        </is>
      </c>
      <c r="B320" s="1" t="n">
        <v>43725</v>
      </c>
      <c r="C320" s="1" t="n">
        <v>45588</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48730-2019</t>
        </is>
      </c>
      <c r="B321" s="1" t="n">
        <v>43728</v>
      </c>
      <c r="C321" s="1" t="n">
        <v>45588</v>
      </c>
      <c r="D321" t="inlineStr">
        <is>
          <t>STOCKHOLMS LÄN</t>
        </is>
      </c>
      <c r="E321" t="inlineStr">
        <is>
          <t>NORRTÄLJE</t>
        </is>
      </c>
      <c r="F321" t="inlineStr">
        <is>
          <t>Övriga statliga verk och myndigheter</t>
        </is>
      </c>
      <c r="G321" t="n">
        <v>1.3</v>
      </c>
      <c r="H321" t="n">
        <v>0</v>
      </c>
      <c r="I321" t="n">
        <v>0</v>
      </c>
      <c r="J321" t="n">
        <v>0</v>
      </c>
      <c r="K321" t="n">
        <v>0</v>
      </c>
      <c r="L321" t="n">
        <v>0</v>
      </c>
      <c r="M321" t="n">
        <v>0</v>
      </c>
      <c r="N321" t="n">
        <v>0</v>
      </c>
      <c r="O321" t="n">
        <v>0</v>
      </c>
      <c r="P321" t="n">
        <v>0</v>
      </c>
      <c r="Q321" t="n">
        <v>0</v>
      </c>
      <c r="R321" s="2" t="inlineStr"/>
    </row>
    <row r="322" ht="15" customHeight="1">
      <c r="A322" t="inlineStr">
        <is>
          <t>A 49252-2019</t>
        </is>
      </c>
      <c r="B322" s="1" t="n">
        <v>43731</v>
      </c>
      <c r="C322" s="1" t="n">
        <v>45588</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51940-2019</t>
        </is>
      </c>
      <c r="B323" s="1" t="n">
        <v>43741</v>
      </c>
      <c r="C323" s="1" t="n">
        <v>45588</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51942-2019</t>
        </is>
      </c>
      <c r="B324" s="1" t="n">
        <v>43741</v>
      </c>
      <c r="C324" s="1" t="n">
        <v>45588</v>
      </c>
      <c r="D324" t="inlineStr">
        <is>
          <t>STOCKHOLMS LÄN</t>
        </is>
      </c>
      <c r="E324" t="inlineStr">
        <is>
          <t>NORRTÄLJE</t>
        </is>
      </c>
      <c r="G324" t="n">
        <v>5.6</v>
      </c>
      <c r="H324" t="n">
        <v>0</v>
      </c>
      <c r="I324" t="n">
        <v>0</v>
      </c>
      <c r="J324" t="n">
        <v>0</v>
      </c>
      <c r="K324" t="n">
        <v>0</v>
      </c>
      <c r="L324" t="n">
        <v>0</v>
      </c>
      <c r="M324" t="n">
        <v>0</v>
      </c>
      <c r="N324" t="n">
        <v>0</v>
      </c>
      <c r="O324" t="n">
        <v>0</v>
      </c>
      <c r="P324" t="n">
        <v>0</v>
      </c>
      <c r="Q324" t="n">
        <v>0</v>
      </c>
      <c r="R324" s="2" t="inlineStr"/>
    </row>
    <row r="325" ht="15" customHeight="1">
      <c r="A325" t="inlineStr">
        <is>
          <t>A 55481-2019</t>
        </is>
      </c>
      <c r="B325" s="1" t="n">
        <v>43759</v>
      </c>
      <c r="C325" s="1" t="n">
        <v>45588</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55891-2019</t>
        </is>
      </c>
      <c r="B326" s="1" t="n">
        <v>43761</v>
      </c>
      <c r="C326" s="1" t="n">
        <v>45588</v>
      </c>
      <c r="D326" t="inlineStr">
        <is>
          <t>STOCKHOLMS LÄN</t>
        </is>
      </c>
      <c r="E326" t="inlineStr">
        <is>
          <t>NORRTÄLJE</t>
        </is>
      </c>
      <c r="G326" t="n">
        <v>7.6</v>
      </c>
      <c r="H326" t="n">
        <v>0</v>
      </c>
      <c r="I326" t="n">
        <v>0</v>
      </c>
      <c r="J326" t="n">
        <v>0</v>
      </c>
      <c r="K326" t="n">
        <v>0</v>
      </c>
      <c r="L326" t="n">
        <v>0</v>
      </c>
      <c r="M326" t="n">
        <v>0</v>
      </c>
      <c r="N326" t="n">
        <v>0</v>
      </c>
      <c r="O326" t="n">
        <v>0</v>
      </c>
      <c r="P326" t="n">
        <v>0</v>
      </c>
      <c r="Q326" t="n">
        <v>0</v>
      </c>
      <c r="R326" s="2" t="inlineStr"/>
    </row>
    <row r="327" ht="15" customHeight="1">
      <c r="A327" t="inlineStr">
        <is>
          <t>A 56349-2019</t>
        </is>
      </c>
      <c r="B327" s="1" t="n">
        <v>43762</v>
      </c>
      <c r="C327" s="1" t="n">
        <v>45588</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57759-2019</t>
        </is>
      </c>
      <c r="B328" s="1" t="n">
        <v>43763</v>
      </c>
      <c r="C328" s="1" t="n">
        <v>45588</v>
      </c>
      <c r="D328" t="inlineStr">
        <is>
          <t>STOCKHOLMS LÄN</t>
        </is>
      </c>
      <c r="E328" t="inlineStr">
        <is>
          <t>NORRTÄLJE</t>
        </is>
      </c>
      <c r="F328" t="inlineStr">
        <is>
          <t>Övriga Aktiebolag</t>
        </is>
      </c>
      <c r="G328" t="n">
        <v>7.3</v>
      </c>
      <c r="H328" t="n">
        <v>0</v>
      </c>
      <c r="I328" t="n">
        <v>0</v>
      </c>
      <c r="J328" t="n">
        <v>0</v>
      </c>
      <c r="K328" t="n">
        <v>0</v>
      </c>
      <c r="L328" t="n">
        <v>0</v>
      </c>
      <c r="M328" t="n">
        <v>0</v>
      </c>
      <c r="N328" t="n">
        <v>0</v>
      </c>
      <c r="O328" t="n">
        <v>0</v>
      </c>
      <c r="P328" t="n">
        <v>0</v>
      </c>
      <c r="Q328" t="n">
        <v>0</v>
      </c>
      <c r="R328" s="2" t="inlineStr"/>
    </row>
    <row r="329" ht="15" customHeight="1">
      <c r="A329" t="inlineStr">
        <is>
          <t>A 57063-2019</t>
        </is>
      </c>
      <c r="B329" s="1" t="n">
        <v>43766</v>
      </c>
      <c r="C329" s="1" t="n">
        <v>45588</v>
      </c>
      <c r="D329" t="inlineStr">
        <is>
          <t>STOCKHOLMS LÄN</t>
        </is>
      </c>
      <c r="E329" t="inlineStr">
        <is>
          <t>NORRTÄLJE</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56950-2019</t>
        </is>
      </c>
      <c r="B330" s="1" t="n">
        <v>43766</v>
      </c>
      <c r="C330" s="1" t="n">
        <v>45588</v>
      </c>
      <c r="D330" t="inlineStr">
        <is>
          <t>STOCKHOLMS LÄN</t>
        </is>
      </c>
      <c r="E330" t="inlineStr">
        <is>
          <t>NORRTÄLJE</t>
        </is>
      </c>
      <c r="G330" t="n">
        <v>1.2</v>
      </c>
      <c r="H330" t="n">
        <v>0</v>
      </c>
      <c r="I330" t="n">
        <v>0</v>
      </c>
      <c r="J330" t="n">
        <v>0</v>
      </c>
      <c r="K330" t="n">
        <v>0</v>
      </c>
      <c r="L330" t="n">
        <v>0</v>
      </c>
      <c r="M330" t="n">
        <v>0</v>
      </c>
      <c r="N330" t="n">
        <v>0</v>
      </c>
      <c r="O330" t="n">
        <v>0</v>
      </c>
      <c r="P330" t="n">
        <v>0</v>
      </c>
      <c r="Q330" t="n">
        <v>0</v>
      </c>
      <c r="R330" s="2" t="inlineStr"/>
    </row>
    <row r="331" ht="15" customHeight="1">
      <c r="A331" t="inlineStr">
        <is>
          <t>A 57605-2019</t>
        </is>
      </c>
      <c r="B331" s="1" t="n">
        <v>43768</v>
      </c>
      <c r="C331" s="1" t="n">
        <v>45588</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58064-2019</t>
        </is>
      </c>
      <c r="B332" s="1" t="n">
        <v>43769</v>
      </c>
      <c r="C332" s="1" t="n">
        <v>45588</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58631-2019</t>
        </is>
      </c>
      <c r="B333" s="1" t="n">
        <v>43773</v>
      </c>
      <c r="C333" s="1" t="n">
        <v>45588</v>
      </c>
      <c r="D333" t="inlineStr">
        <is>
          <t>STOCKHOLMS LÄN</t>
        </is>
      </c>
      <c r="E333" t="inlineStr">
        <is>
          <t>NORRTÄLJE</t>
        </is>
      </c>
      <c r="G333" t="n">
        <v>6</v>
      </c>
      <c r="H333" t="n">
        <v>0</v>
      </c>
      <c r="I333" t="n">
        <v>0</v>
      </c>
      <c r="J333" t="n">
        <v>0</v>
      </c>
      <c r="K333" t="n">
        <v>0</v>
      </c>
      <c r="L333" t="n">
        <v>0</v>
      </c>
      <c r="M333" t="n">
        <v>0</v>
      </c>
      <c r="N333" t="n">
        <v>0</v>
      </c>
      <c r="O333" t="n">
        <v>0</v>
      </c>
      <c r="P333" t="n">
        <v>0</v>
      </c>
      <c r="Q333" t="n">
        <v>0</v>
      </c>
      <c r="R333" s="2" t="inlineStr"/>
    </row>
    <row r="334" ht="15" customHeight="1">
      <c r="A334" t="inlineStr">
        <is>
          <t>A 60214-2019</t>
        </is>
      </c>
      <c r="B334" s="1" t="n">
        <v>43780</v>
      </c>
      <c r="C334" s="1" t="n">
        <v>45588</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60208-2019</t>
        </is>
      </c>
      <c r="B335" s="1" t="n">
        <v>43780</v>
      </c>
      <c r="C335" s="1" t="n">
        <v>45588</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60842-2019</t>
        </is>
      </c>
      <c r="B336" s="1" t="n">
        <v>43781</v>
      </c>
      <c r="C336" s="1" t="n">
        <v>45588</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60844-2019</t>
        </is>
      </c>
      <c r="B337" s="1" t="n">
        <v>43781</v>
      </c>
      <c r="C337" s="1" t="n">
        <v>45588</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61657-2019</t>
        </is>
      </c>
      <c r="B338" s="1" t="n">
        <v>43784</v>
      </c>
      <c r="C338" s="1" t="n">
        <v>45588</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62848-2019</t>
        </is>
      </c>
      <c r="B339" s="1" t="n">
        <v>43790</v>
      </c>
      <c r="C339" s="1" t="n">
        <v>45588</v>
      </c>
      <c r="D339" t="inlineStr">
        <is>
          <t>STOCKHOLMS LÄN</t>
        </is>
      </c>
      <c r="E339" t="inlineStr">
        <is>
          <t>NORRTÄLJE</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62980-2019</t>
        </is>
      </c>
      <c r="B340" s="1" t="n">
        <v>43790</v>
      </c>
      <c r="C340" s="1" t="n">
        <v>45588</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63513-2019</t>
        </is>
      </c>
      <c r="B341" s="1" t="n">
        <v>43794</v>
      </c>
      <c r="C341" s="1" t="n">
        <v>45588</v>
      </c>
      <c r="D341" t="inlineStr">
        <is>
          <t>STOCKHOLMS LÄN</t>
        </is>
      </c>
      <c r="E341" t="inlineStr">
        <is>
          <t>NORRTÄLJE</t>
        </is>
      </c>
      <c r="G341" t="n">
        <v>9</v>
      </c>
      <c r="H341" t="n">
        <v>0</v>
      </c>
      <c r="I341" t="n">
        <v>0</v>
      </c>
      <c r="J341" t="n">
        <v>0</v>
      </c>
      <c r="K341" t="n">
        <v>0</v>
      </c>
      <c r="L341" t="n">
        <v>0</v>
      </c>
      <c r="M341" t="n">
        <v>0</v>
      </c>
      <c r="N341" t="n">
        <v>0</v>
      </c>
      <c r="O341" t="n">
        <v>0</v>
      </c>
      <c r="P341" t="n">
        <v>0</v>
      </c>
      <c r="Q341" t="n">
        <v>0</v>
      </c>
      <c r="R341" s="2" t="inlineStr"/>
    </row>
    <row r="342" ht="15" customHeight="1">
      <c r="A342" t="inlineStr">
        <is>
          <t>A 63529-2019</t>
        </is>
      </c>
      <c r="B342" s="1" t="n">
        <v>43794</v>
      </c>
      <c r="C342" s="1" t="n">
        <v>45588</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63495-2019</t>
        </is>
      </c>
      <c r="B343" s="1" t="n">
        <v>43794</v>
      </c>
      <c r="C343" s="1" t="n">
        <v>45588</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63504-2019</t>
        </is>
      </c>
      <c r="B344" s="1" t="n">
        <v>43794</v>
      </c>
      <c r="C344" s="1" t="n">
        <v>45588</v>
      </c>
      <c r="D344" t="inlineStr">
        <is>
          <t>STOCKHOLMS LÄN</t>
        </is>
      </c>
      <c r="E344" t="inlineStr">
        <is>
          <t>NORRTÄLJE</t>
        </is>
      </c>
      <c r="G344" t="n">
        <v>2.3</v>
      </c>
      <c r="H344" t="n">
        <v>0</v>
      </c>
      <c r="I344" t="n">
        <v>0</v>
      </c>
      <c r="J344" t="n">
        <v>0</v>
      </c>
      <c r="K344" t="n">
        <v>0</v>
      </c>
      <c r="L344" t="n">
        <v>0</v>
      </c>
      <c r="M344" t="n">
        <v>0</v>
      </c>
      <c r="N344" t="n">
        <v>0</v>
      </c>
      <c r="O344" t="n">
        <v>0</v>
      </c>
      <c r="P344" t="n">
        <v>0</v>
      </c>
      <c r="Q344" t="n">
        <v>0</v>
      </c>
      <c r="R344" s="2" t="inlineStr"/>
    </row>
    <row r="345" ht="15" customHeight="1">
      <c r="A345" t="inlineStr">
        <is>
          <t>A 63528-2019</t>
        </is>
      </c>
      <c r="B345" s="1" t="n">
        <v>43794</v>
      </c>
      <c r="C345" s="1" t="n">
        <v>45588</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63515-2019</t>
        </is>
      </c>
      <c r="B346" s="1" t="n">
        <v>43794</v>
      </c>
      <c r="C346" s="1" t="n">
        <v>45588</v>
      </c>
      <c r="D346" t="inlineStr">
        <is>
          <t>STOCKHOLMS LÄN</t>
        </is>
      </c>
      <c r="E346" t="inlineStr">
        <is>
          <t>NORRTÄLJE</t>
        </is>
      </c>
      <c r="G346" t="n">
        <v>7.1</v>
      </c>
      <c r="H346" t="n">
        <v>0</v>
      </c>
      <c r="I346" t="n">
        <v>0</v>
      </c>
      <c r="J346" t="n">
        <v>0</v>
      </c>
      <c r="K346" t="n">
        <v>0</v>
      </c>
      <c r="L346" t="n">
        <v>0</v>
      </c>
      <c r="M346" t="n">
        <v>0</v>
      </c>
      <c r="N346" t="n">
        <v>0</v>
      </c>
      <c r="O346" t="n">
        <v>0</v>
      </c>
      <c r="P346" t="n">
        <v>0</v>
      </c>
      <c r="Q346" t="n">
        <v>0</v>
      </c>
      <c r="R346" s="2" t="inlineStr"/>
    </row>
    <row r="347" ht="15" customHeight="1">
      <c r="A347" t="inlineStr">
        <is>
          <t>A 64293-2019</t>
        </is>
      </c>
      <c r="B347" s="1" t="n">
        <v>43797</v>
      </c>
      <c r="C347" s="1" t="n">
        <v>45588</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65640-2019</t>
        </is>
      </c>
      <c r="B348" s="1" t="n">
        <v>43804</v>
      </c>
      <c r="C348" s="1" t="n">
        <v>45588</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65998-2019</t>
        </is>
      </c>
      <c r="B349" s="1" t="n">
        <v>43805</v>
      </c>
      <c r="C349" s="1" t="n">
        <v>45588</v>
      </c>
      <c r="D349" t="inlineStr">
        <is>
          <t>STOCKHOLMS LÄN</t>
        </is>
      </c>
      <c r="E349" t="inlineStr">
        <is>
          <t>NORRTÄLJE</t>
        </is>
      </c>
      <c r="G349" t="n">
        <v>6.5</v>
      </c>
      <c r="H349" t="n">
        <v>0</v>
      </c>
      <c r="I349" t="n">
        <v>0</v>
      </c>
      <c r="J349" t="n">
        <v>0</v>
      </c>
      <c r="K349" t="n">
        <v>0</v>
      </c>
      <c r="L349" t="n">
        <v>0</v>
      </c>
      <c r="M349" t="n">
        <v>0</v>
      </c>
      <c r="N349" t="n">
        <v>0</v>
      </c>
      <c r="O349" t="n">
        <v>0</v>
      </c>
      <c r="P349" t="n">
        <v>0</v>
      </c>
      <c r="Q349" t="n">
        <v>0</v>
      </c>
      <c r="R349" s="2" t="inlineStr"/>
    </row>
    <row r="350" ht="15" customHeight="1">
      <c r="A350" t="inlineStr">
        <is>
          <t>A 66604-2019</t>
        </is>
      </c>
      <c r="B350" s="1" t="n">
        <v>43809</v>
      </c>
      <c r="C350" s="1" t="n">
        <v>45588</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67158-2019</t>
        </is>
      </c>
      <c r="B351" s="1" t="n">
        <v>43811</v>
      </c>
      <c r="C351" s="1" t="n">
        <v>45588</v>
      </c>
      <c r="D351" t="inlineStr">
        <is>
          <t>STOCKHOLMS LÄN</t>
        </is>
      </c>
      <c r="E351" t="inlineStr">
        <is>
          <t>NORRTÄLJE</t>
        </is>
      </c>
      <c r="G351" t="n">
        <v>4.4</v>
      </c>
      <c r="H351" t="n">
        <v>0</v>
      </c>
      <c r="I351" t="n">
        <v>0</v>
      </c>
      <c r="J351" t="n">
        <v>0</v>
      </c>
      <c r="K351" t="n">
        <v>0</v>
      </c>
      <c r="L351" t="n">
        <v>0</v>
      </c>
      <c r="M351" t="n">
        <v>0</v>
      </c>
      <c r="N351" t="n">
        <v>0</v>
      </c>
      <c r="O351" t="n">
        <v>0</v>
      </c>
      <c r="P351" t="n">
        <v>0</v>
      </c>
      <c r="Q351" t="n">
        <v>0</v>
      </c>
      <c r="R351" s="2" t="inlineStr"/>
    </row>
    <row r="352" ht="15" customHeight="1">
      <c r="A352" t="inlineStr">
        <is>
          <t>A 67324-2019</t>
        </is>
      </c>
      <c r="B352" s="1" t="n">
        <v>43812</v>
      </c>
      <c r="C352" s="1" t="n">
        <v>45588</v>
      </c>
      <c r="D352" t="inlineStr">
        <is>
          <t>STOCKHOLMS LÄN</t>
        </is>
      </c>
      <c r="E352" t="inlineStr">
        <is>
          <t>NORRTÄLJE</t>
        </is>
      </c>
      <c r="G352" t="n">
        <v>7.7</v>
      </c>
      <c r="H352" t="n">
        <v>0</v>
      </c>
      <c r="I352" t="n">
        <v>0</v>
      </c>
      <c r="J352" t="n">
        <v>0</v>
      </c>
      <c r="K352" t="n">
        <v>0</v>
      </c>
      <c r="L352" t="n">
        <v>0</v>
      </c>
      <c r="M352" t="n">
        <v>0</v>
      </c>
      <c r="N352" t="n">
        <v>0</v>
      </c>
      <c r="O352" t="n">
        <v>0</v>
      </c>
      <c r="P352" t="n">
        <v>0</v>
      </c>
      <c r="Q352" t="n">
        <v>0</v>
      </c>
      <c r="R352" s="2" t="inlineStr"/>
    </row>
    <row r="353" ht="15" customHeight="1">
      <c r="A353" t="inlineStr">
        <is>
          <t>A 68865-2019</t>
        </is>
      </c>
      <c r="B353" s="1" t="n">
        <v>43821</v>
      </c>
      <c r="C353" s="1" t="n">
        <v>45588</v>
      </c>
      <c r="D353" t="inlineStr">
        <is>
          <t>STOCKHOLMS LÄN</t>
        </is>
      </c>
      <c r="E353" t="inlineStr">
        <is>
          <t>NORRTÄLJE</t>
        </is>
      </c>
      <c r="G353" t="n">
        <v>1.8</v>
      </c>
      <c r="H353" t="n">
        <v>0</v>
      </c>
      <c r="I353" t="n">
        <v>0</v>
      </c>
      <c r="J353" t="n">
        <v>0</v>
      </c>
      <c r="K353" t="n">
        <v>0</v>
      </c>
      <c r="L353" t="n">
        <v>0</v>
      </c>
      <c r="M353" t="n">
        <v>0</v>
      </c>
      <c r="N353" t="n">
        <v>0</v>
      </c>
      <c r="O353" t="n">
        <v>0</v>
      </c>
      <c r="P353" t="n">
        <v>0</v>
      </c>
      <c r="Q353" t="n">
        <v>0</v>
      </c>
      <c r="R353" s="2" t="inlineStr"/>
    </row>
    <row r="354" ht="15" customHeight="1">
      <c r="A354" t="inlineStr">
        <is>
          <t>A 1099-2020</t>
        </is>
      </c>
      <c r="B354" s="1" t="n">
        <v>43822</v>
      </c>
      <c r="C354" s="1" t="n">
        <v>45588</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4475-2020</t>
        </is>
      </c>
      <c r="B355" s="1" t="n">
        <v>43849</v>
      </c>
      <c r="C355" s="1" t="n">
        <v>45588</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3882-2020</t>
        </is>
      </c>
      <c r="B356" s="1" t="n">
        <v>43854</v>
      </c>
      <c r="C356" s="1" t="n">
        <v>45588</v>
      </c>
      <c r="D356" t="inlineStr">
        <is>
          <t>STOCKHOLMS LÄN</t>
        </is>
      </c>
      <c r="E356" t="inlineStr">
        <is>
          <t>NORRTÄLJE</t>
        </is>
      </c>
      <c r="G356" t="n">
        <v>5.9</v>
      </c>
      <c r="H356" t="n">
        <v>0</v>
      </c>
      <c r="I356" t="n">
        <v>0</v>
      </c>
      <c r="J356" t="n">
        <v>0</v>
      </c>
      <c r="K356" t="n">
        <v>0</v>
      </c>
      <c r="L356" t="n">
        <v>0</v>
      </c>
      <c r="M356" t="n">
        <v>0</v>
      </c>
      <c r="N356" t="n">
        <v>0</v>
      </c>
      <c r="O356" t="n">
        <v>0</v>
      </c>
      <c r="P356" t="n">
        <v>0</v>
      </c>
      <c r="Q356" t="n">
        <v>0</v>
      </c>
      <c r="R356" s="2" t="inlineStr"/>
    </row>
    <row r="357" ht="15" customHeight="1">
      <c r="A357" t="inlineStr">
        <is>
          <t>A 4094-2020</t>
        </is>
      </c>
      <c r="B357" s="1" t="n">
        <v>43857</v>
      </c>
      <c r="C357" s="1" t="n">
        <v>45588</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4950-2020</t>
        </is>
      </c>
      <c r="B358" s="1" t="n">
        <v>43859</v>
      </c>
      <c r="C358" s="1" t="n">
        <v>45588</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5084-2020</t>
        </is>
      </c>
      <c r="B359" s="1" t="n">
        <v>43859</v>
      </c>
      <c r="C359" s="1" t="n">
        <v>45588</v>
      </c>
      <c r="D359" t="inlineStr">
        <is>
          <t>STOCKHOLMS LÄN</t>
        </is>
      </c>
      <c r="E359" t="inlineStr">
        <is>
          <t>NORRTÄLJE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4952-2020</t>
        </is>
      </c>
      <c r="B360" s="1" t="n">
        <v>43859</v>
      </c>
      <c r="C360" s="1" t="n">
        <v>45588</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5735-2020</t>
        </is>
      </c>
      <c r="B361" s="1" t="n">
        <v>43863</v>
      </c>
      <c r="C361" s="1" t="n">
        <v>45588</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5733-2020</t>
        </is>
      </c>
      <c r="B362" s="1" t="n">
        <v>43863</v>
      </c>
      <c r="C362" s="1" t="n">
        <v>45588</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5739-2020</t>
        </is>
      </c>
      <c r="B363" s="1" t="n">
        <v>43863</v>
      </c>
      <c r="C363" s="1" t="n">
        <v>45588</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7471-2020</t>
        </is>
      </c>
      <c r="B364" s="1" t="n">
        <v>43871</v>
      </c>
      <c r="C364" s="1" t="n">
        <v>45588</v>
      </c>
      <c r="D364" t="inlineStr">
        <is>
          <t>STOCKHOLMS LÄN</t>
        </is>
      </c>
      <c r="E364" t="inlineStr">
        <is>
          <t>NORRTÄLJE</t>
        </is>
      </c>
      <c r="G364" t="n">
        <v>7.8</v>
      </c>
      <c r="H364" t="n">
        <v>0</v>
      </c>
      <c r="I364" t="n">
        <v>0</v>
      </c>
      <c r="J364" t="n">
        <v>0</v>
      </c>
      <c r="K364" t="n">
        <v>0</v>
      </c>
      <c r="L364" t="n">
        <v>0</v>
      </c>
      <c r="M364" t="n">
        <v>0</v>
      </c>
      <c r="N364" t="n">
        <v>0</v>
      </c>
      <c r="O364" t="n">
        <v>0</v>
      </c>
      <c r="P364" t="n">
        <v>0</v>
      </c>
      <c r="Q364" t="n">
        <v>0</v>
      </c>
      <c r="R364" s="2" t="inlineStr"/>
    </row>
    <row r="365" ht="15" customHeight="1">
      <c r="A365" t="inlineStr">
        <is>
          <t>A 9845-2020</t>
        </is>
      </c>
      <c r="B365" s="1" t="n">
        <v>43881</v>
      </c>
      <c r="C365" s="1" t="n">
        <v>45588</v>
      </c>
      <c r="D365" t="inlineStr">
        <is>
          <t>STOCKHOLMS LÄN</t>
        </is>
      </c>
      <c r="E365" t="inlineStr">
        <is>
          <t>NORRTÄLJE</t>
        </is>
      </c>
      <c r="G365" t="n">
        <v>0.4</v>
      </c>
      <c r="H365" t="n">
        <v>0</v>
      </c>
      <c r="I365" t="n">
        <v>0</v>
      </c>
      <c r="J365" t="n">
        <v>0</v>
      </c>
      <c r="K365" t="n">
        <v>0</v>
      </c>
      <c r="L365" t="n">
        <v>0</v>
      </c>
      <c r="M365" t="n">
        <v>0</v>
      </c>
      <c r="N365" t="n">
        <v>0</v>
      </c>
      <c r="O365" t="n">
        <v>0</v>
      </c>
      <c r="P365" t="n">
        <v>0</v>
      </c>
      <c r="Q365" t="n">
        <v>0</v>
      </c>
      <c r="R365" s="2" t="inlineStr"/>
    </row>
    <row r="366" ht="15" customHeight="1">
      <c r="A366" t="inlineStr">
        <is>
          <t>A 10618-2020</t>
        </is>
      </c>
      <c r="B366" s="1" t="n">
        <v>43887</v>
      </c>
      <c r="C366" s="1" t="n">
        <v>45588</v>
      </c>
      <c r="D366" t="inlineStr">
        <is>
          <t>STOCKHOLMS LÄN</t>
        </is>
      </c>
      <c r="E366" t="inlineStr">
        <is>
          <t>NORRTÄLJE</t>
        </is>
      </c>
      <c r="G366" t="n">
        <v>0.5</v>
      </c>
      <c r="H366" t="n">
        <v>0</v>
      </c>
      <c r="I366" t="n">
        <v>0</v>
      </c>
      <c r="J366" t="n">
        <v>0</v>
      </c>
      <c r="K366" t="n">
        <v>0</v>
      </c>
      <c r="L366" t="n">
        <v>0</v>
      </c>
      <c r="M366" t="n">
        <v>0</v>
      </c>
      <c r="N366" t="n">
        <v>0</v>
      </c>
      <c r="O366" t="n">
        <v>0</v>
      </c>
      <c r="P366" t="n">
        <v>0</v>
      </c>
      <c r="Q366" t="n">
        <v>0</v>
      </c>
      <c r="R366" s="2" t="inlineStr"/>
    </row>
    <row r="367" ht="15" customHeight="1">
      <c r="A367" t="inlineStr">
        <is>
          <t>A 11184-2020</t>
        </is>
      </c>
      <c r="B367" s="1" t="n">
        <v>43892</v>
      </c>
      <c r="C367" s="1" t="n">
        <v>45588</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11576-2020</t>
        </is>
      </c>
      <c r="B368" s="1" t="n">
        <v>43893</v>
      </c>
      <c r="C368" s="1" t="n">
        <v>45588</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12113-2020</t>
        </is>
      </c>
      <c r="B369" s="1" t="n">
        <v>43895</v>
      </c>
      <c r="C369" s="1" t="n">
        <v>45588</v>
      </c>
      <c r="D369" t="inlineStr">
        <is>
          <t>STOCKHOLMS LÄN</t>
        </is>
      </c>
      <c r="E369" t="inlineStr">
        <is>
          <t>NORRTÄLJE</t>
        </is>
      </c>
      <c r="G369" t="n">
        <v>2.6</v>
      </c>
      <c r="H369" t="n">
        <v>0</v>
      </c>
      <c r="I369" t="n">
        <v>0</v>
      </c>
      <c r="J369" t="n">
        <v>0</v>
      </c>
      <c r="K369" t="n">
        <v>0</v>
      </c>
      <c r="L369" t="n">
        <v>0</v>
      </c>
      <c r="M369" t="n">
        <v>0</v>
      </c>
      <c r="N369" t="n">
        <v>0</v>
      </c>
      <c r="O369" t="n">
        <v>0</v>
      </c>
      <c r="P369" t="n">
        <v>0</v>
      </c>
      <c r="Q369" t="n">
        <v>0</v>
      </c>
      <c r="R369" s="2" t="inlineStr"/>
    </row>
    <row r="370" ht="15" customHeight="1">
      <c r="A370" t="inlineStr">
        <is>
          <t>A 12970-2020</t>
        </is>
      </c>
      <c r="B370" s="1" t="n">
        <v>43900</v>
      </c>
      <c r="C370" s="1" t="n">
        <v>45588</v>
      </c>
      <c r="D370" t="inlineStr">
        <is>
          <t>STOCKHOLMS LÄN</t>
        </is>
      </c>
      <c r="E370" t="inlineStr">
        <is>
          <t>NORRTÄLJE</t>
        </is>
      </c>
      <c r="F370" t="inlineStr">
        <is>
          <t>Kommuner</t>
        </is>
      </c>
      <c r="G370" t="n">
        <v>3</v>
      </c>
      <c r="H370" t="n">
        <v>0</v>
      </c>
      <c r="I370" t="n">
        <v>0</v>
      </c>
      <c r="J370" t="n">
        <v>0</v>
      </c>
      <c r="K370" t="n">
        <v>0</v>
      </c>
      <c r="L370" t="n">
        <v>0</v>
      </c>
      <c r="M370" t="n">
        <v>0</v>
      </c>
      <c r="N370" t="n">
        <v>0</v>
      </c>
      <c r="O370" t="n">
        <v>0</v>
      </c>
      <c r="P370" t="n">
        <v>0</v>
      </c>
      <c r="Q370" t="n">
        <v>0</v>
      </c>
      <c r="R370" s="2" t="inlineStr"/>
    </row>
    <row r="371" ht="15" customHeight="1">
      <c r="A371" t="inlineStr">
        <is>
          <t>A 13230-2020</t>
        </is>
      </c>
      <c r="B371" s="1" t="n">
        <v>43901</v>
      </c>
      <c r="C371" s="1" t="n">
        <v>45588</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13287-2020</t>
        </is>
      </c>
      <c r="B372" s="1" t="n">
        <v>43901</v>
      </c>
      <c r="C372" s="1" t="n">
        <v>45588</v>
      </c>
      <c r="D372" t="inlineStr">
        <is>
          <t>STOCKHOLMS LÄN</t>
        </is>
      </c>
      <c r="E372" t="inlineStr">
        <is>
          <t>NORRTÄLJE</t>
        </is>
      </c>
      <c r="F372" t="inlineStr">
        <is>
          <t>Kommuner</t>
        </is>
      </c>
      <c r="G372" t="n">
        <v>3.2</v>
      </c>
      <c r="H372" t="n">
        <v>0</v>
      </c>
      <c r="I372" t="n">
        <v>0</v>
      </c>
      <c r="J372" t="n">
        <v>0</v>
      </c>
      <c r="K372" t="n">
        <v>0</v>
      </c>
      <c r="L372" t="n">
        <v>0</v>
      </c>
      <c r="M372" t="n">
        <v>0</v>
      </c>
      <c r="N372" t="n">
        <v>0</v>
      </c>
      <c r="O372" t="n">
        <v>0</v>
      </c>
      <c r="P372" t="n">
        <v>0</v>
      </c>
      <c r="Q372" t="n">
        <v>0</v>
      </c>
      <c r="R372" s="2" t="inlineStr"/>
    </row>
    <row r="373" ht="15" customHeight="1">
      <c r="A373" t="inlineStr">
        <is>
          <t>A 13281-2020</t>
        </is>
      </c>
      <c r="B373" s="1" t="n">
        <v>43901</v>
      </c>
      <c r="C373" s="1" t="n">
        <v>45588</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13501-2020</t>
        </is>
      </c>
      <c r="B374" s="1" t="n">
        <v>43902</v>
      </c>
      <c r="C374" s="1" t="n">
        <v>45588</v>
      </c>
      <c r="D374" t="inlineStr">
        <is>
          <t>STOCKHOLMS LÄN</t>
        </is>
      </c>
      <c r="E374" t="inlineStr">
        <is>
          <t>NORRTÄLJE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13506-2020</t>
        </is>
      </c>
      <c r="B375" s="1" t="n">
        <v>43902</v>
      </c>
      <c r="C375" s="1" t="n">
        <v>45588</v>
      </c>
      <c r="D375" t="inlineStr">
        <is>
          <t>STOCKHOLMS LÄN</t>
        </is>
      </c>
      <c r="E375" t="inlineStr">
        <is>
          <t>NORRTÄLJE</t>
        </is>
      </c>
      <c r="G375" t="n">
        <v>5.7</v>
      </c>
      <c r="H375" t="n">
        <v>0</v>
      </c>
      <c r="I375" t="n">
        <v>0</v>
      </c>
      <c r="J375" t="n">
        <v>0</v>
      </c>
      <c r="K375" t="n">
        <v>0</v>
      </c>
      <c r="L375" t="n">
        <v>0</v>
      </c>
      <c r="M375" t="n">
        <v>0</v>
      </c>
      <c r="N375" t="n">
        <v>0</v>
      </c>
      <c r="O375" t="n">
        <v>0</v>
      </c>
      <c r="P375" t="n">
        <v>0</v>
      </c>
      <c r="Q375" t="n">
        <v>0</v>
      </c>
      <c r="R375" s="2" t="inlineStr"/>
    </row>
    <row r="376" ht="15" customHeight="1">
      <c r="A376" t="inlineStr">
        <is>
          <t>A 14525-2020</t>
        </is>
      </c>
      <c r="B376" s="1" t="n">
        <v>43908</v>
      </c>
      <c r="C376" s="1" t="n">
        <v>45588</v>
      </c>
      <c r="D376" t="inlineStr">
        <is>
          <t>STOCKHOLMS LÄN</t>
        </is>
      </c>
      <c r="E376" t="inlineStr">
        <is>
          <t>NORRTÄLJE</t>
        </is>
      </c>
      <c r="G376" t="n">
        <v>10.2</v>
      </c>
      <c r="H376" t="n">
        <v>0</v>
      </c>
      <c r="I376" t="n">
        <v>0</v>
      </c>
      <c r="J376" t="n">
        <v>0</v>
      </c>
      <c r="K376" t="n">
        <v>0</v>
      </c>
      <c r="L376" t="n">
        <v>0</v>
      </c>
      <c r="M376" t="n">
        <v>0</v>
      </c>
      <c r="N376" t="n">
        <v>0</v>
      </c>
      <c r="O376" t="n">
        <v>0</v>
      </c>
      <c r="P376" t="n">
        <v>0</v>
      </c>
      <c r="Q376" t="n">
        <v>0</v>
      </c>
      <c r="R376" s="2" t="inlineStr"/>
    </row>
    <row r="377" ht="15" customHeight="1">
      <c r="A377" t="inlineStr">
        <is>
          <t>A 14565-2020</t>
        </is>
      </c>
      <c r="B377" s="1" t="n">
        <v>43908</v>
      </c>
      <c r="C377" s="1" t="n">
        <v>45588</v>
      </c>
      <c r="D377" t="inlineStr">
        <is>
          <t>STOCKHOLMS LÄN</t>
        </is>
      </c>
      <c r="E377" t="inlineStr">
        <is>
          <t>NORRTÄLJE</t>
        </is>
      </c>
      <c r="G377" t="n">
        <v>3.4</v>
      </c>
      <c r="H377" t="n">
        <v>0</v>
      </c>
      <c r="I377" t="n">
        <v>0</v>
      </c>
      <c r="J377" t="n">
        <v>0</v>
      </c>
      <c r="K377" t="n">
        <v>0</v>
      </c>
      <c r="L377" t="n">
        <v>0</v>
      </c>
      <c r="M377" t="n">
        <v>0</v>
      </c>
      <c r="N377" t="n">
        <v>0</v>
      </c>
      <c r="O377" t="n">
        <v>0</v>
      </c>
      <c r="P377" t="n">
        <v>0</v>
      </c>
      <c r="Q377" t="n">
        <v>0</v>
      </c>
      <c r="R377" s="2" t="inlineStr"/>
    </row>
    <row r="378" ht="15" customHeight="1">
      <c r="A378" t="inlineStr">
        <is>
          <t>A 14831-2020</t>
        </is>
      </c>
      <c r="B378" s="1" t="n">
        <v>43909</v>
      </c>
      <c r="C378" s="1" t="n">
        <v>45588</v>
      </c>
      <c r="D378" t="inlineStr">
        <is>
          <t>STOCKHOLMS LÄN</t>
        </is>
      </c>
      <c r="E378" t="inlineStr">
        <is>
          <t>NORRTÄLJE</t>
        </is>
      </c>
      <c r="G378" t="n">
        <v>11.4</v>
      </c>
      <c r="H378" t="n">
        <v>0</v>
      </c>
      <c r="I378" t="n">
        <v>0</v>
      </c>
      <c r="J378" t="n">
        <v>0</v>
      </c>
      <c r="K378" t="n">
        <v>0</v>
      </c>
      <c r="L378" t="n">
        <v>0</v>
      </c>
      <c r="M378" t="n">
        <v>0</v>
      </c>
      <c r="N378" t="n">
        <v>0</v>
      </c>
      <c r="O378" t="n">
        <v>0</v>
      </c>
      <c r="P378" t="n">
        <v>0</v>
      </c>
      <c r="Q378" t="n">
        <v>0</v>
      </c>
      <c r="R378" s="2" t="inlineStr"/>
    </row>
    <row r="379" ht="15" customHeight="1">
      <c r="A379" t="inlineStr">
        <is>
          <t>A 15663-2020</t>
        </is>
      </c>
      <c r="B379" s="1" t="n">
        <v>43915</v>
      </c>
      <c r="C379" s="1" t="n">
        <v>45588</v>
      </c>
      <c r="D379" t="inlineStr">
        <is>
          <t>STOCKHOLMS LÄN</t>
        </is>
      </c>
      <c r="E379" t="inlineStr">
        <is>
          <t>NORRTÄLJE</t>
        </is>
      </c>
      <c r="G379" t="n">
        <v>11.1</v>
      </c>
      <c r="H379" t="n">
        <v>0</v>
      </c>
      <c r="I379" t="n">
        <v>0</v>
      </c>
      <c r="J379" t="n">
        <v>0</v>
      </c>
      <c r="K379" t="n">
        <v>0</v>
      </c>
      <c r="L379" t="n">
        <v>0</v>
      </c>
      <c r="M379" t="n">
        <v>0</v>
      </c>
      <c r="N379" t="n">
        <v>0</v>
      </c>
      <c r="O379" t="n">
        <v>0</v>
      </c>
      <c r="P379" t="n">
        <v>0</v>
      </c>
      <c r="Q379" t="n">
        <v>0</v>
      </c>
      <c r="R379" s="2" t="inlineStr"/>
    </row>
    <row r="380" ht="15" customHeight="1">
      <c r="A380" t="inlineStr">
        <is>
          <t>A 16273-2020</t>
        </is>
      </c>
      <c r="B380" s="1" t="n">
        <v>43917</v>
      </c>
      <c r="C380" s="1" t="n">
        <v>45588</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17965-2020</t>
        </is>
      </c>
      <c r="B381" s="1" t="n">
        <v>43925</v>
      </c>
      <c r="C381" s="1" t="n">
        <v>45588</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19258-2020</t>
        </is>
      </c>
      <c r="B382" s="1" t="n">
        <v>43937</v>
      </c>
      <c r="C382" s="1" t="n">
        <v>45588</v>
      </c>
      <c r="D382" t="inlineStr">
        <is>
          <t>STOCKHOLMS LÄN</t>
        </is>
      </c>
      <c r="E382" t="inlineStr">
        <is>
          <t>NORRTÄLJE</t>
        </is>
      </c>
      <c r="F382" t="inlineStr">
        <is>
          <t>Övriga statliga verk och myndigheter</t>
        </is>
      </c>
      <c r="G382" t="n">
        <v>2.9</v>
      </c>
      <c r="H382" t="n">
        <v>0</v>
      </c>
      <c r="I382" t="n">
        <v>0</v>
      </c>
      <c r="J382" t="n">
        <v>0</v>
      </c>
      <c r="K382" t="n">
        <v>0</v>
      </c>
      <c r="L382" t="n">
        <v>0</v>
      </c>
      <c r="M382" t="n">
        <v>0</v>
      </c>
      <c r="N382" t="n">
        <v>0</v>
      </c>
      <c r="O382" t="n">
        <v>0</v>
      </c>
      <c r="P382" t="n">
        <v>0</v>
      </c>
      <c r="Q382" t="n">
        <v>0</v>
      </c>
      <c r="R382" s="2" t="inlineStr"/>
    </row>
    <row r="383" ht="15" customHeight="1">
      <c r="A383" t="inlineStr">
        <is>
          <t>A 20257-2020</t>
        </is>
      </c>
      <c r="B383" s="1" t="n">
        <v>43944</v>
      </c>
      <c r="C383" s="1" t="n">
        <v>45588</v>
      </c>
      <c r="D383" t="inlineStr">
        <is>
          <t>STOCKHOLMS LÄN</t>
        </is>
      </c>
      <c r="E383" t="inlineStr">
        <is>
          <t>NORRTÄLJE</t>
        </is>
      </c>
      <c r="G383" t="n">
        <v>80.09999999999999</v>
      </c>
      <c r="H383" t="n">
        <v>0</v>
      </c>
      <c r="I383" t="n">
        <v>0</v>
      </c>
      <c r="J383" t="n">
        <v>0</v>
      </c>
      <c r="K383" t="n">
        <v>0</v>
      </c>
      <c r="L383" t="n">
        <v>0</v>
      </c>
      <c r="M383" t="n">
        <v>0</v>
      </c>
      <c r="N383" t="n">
        <v>0</v>
      </c>
      <c r="O383" t="n">
        <v>0</v>
      </c>
      <c r="P383" t="n">
        <v>0</v>
      </c>
      <c r="Q383" t="n">
        <v>0</v>
      </c>
      <c r="R383" s="2" t="inlineStr"/>
    </row>
    <row r="384" ht="15" customHeight="1">
      <c r="A384" t="inlineStr">
        <is>
          <t>A 21849-2020</t>
        </is>
      </c>
      <c r="B384" s="1" t="n">
        <v>43958</v>
      </c>
      <c r="C384" s="1" t="n">
        <v>45588</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21875-2020</t>
        </is>
      </c>
      <c r="B385" s="1" t="n">
        <v>43958</v>
      </c>
      <c r="C385" s="1" t="n">
        <v>45588</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23751-2020</t>
        </is>
      </c>
      <c r="B386" s="1" t="n">
        <v>43970</v>
      </c>
      <c r="C386" s="1" t="n">
        <v>45588</v>
      </c>
      <c r="D386" t="inlineStr">
        <is>
          <t>STOCKHOLMS LÄN</t>
        </is>
      </c>
      <c r="E386" t="inlineStr">
        <is>
          <t>NORRTÄLJE</t>
        </is>
      </c>
      <c r="G386" t="n">
        <v>5.6</v>
      </c>
      <c r="H386" t="n">
        <v>0</v>
      </c>
      <c r="I386" t="n">
        <v>0</v>
      </c>
      <c r="J386" t="n">
        <v>0</v>
      </c>
      <c r="K386" t="n">
        <v>0</v>
      </c>
      <c r="L386" t="n">
        <v>0</v>
      </c>
      <c r="M386" t="n">
        <v>0</v>
      </c>
      <c r="N386" t="n">
        <v>0</v>
      </c>
      <c r="O386" t="n">
        <v>0</v>
      </c>
      <c r="P386" t="n">
        <v>0</v>
      </c>
      <c r="Q386" t="n">
        <v>0</v>
      </c>
      <c r="R386" s="2" t="inlineStr"/>
    </row>
    <row r="387" ht="15" customHeight="1">
      <c r="A387" t="inlineStr">
        <is>
          <t>A 24136-2020</t>
        </is>
      </c>
      <c r="B387" s="1" t="n">
        <v>43973</v>
      </c>
      <c r="C387" s="1" t="n">
        <v>45588</v>
      </c>
      <c r="D387" t="inlineStr">
        <is>
          <t>STOCKHOLMS LÄN</t>
        </is>
      </c>
      <c r="E387" t="inlineStr">
        <is>
          <t>NORRTÄLJE</t>
        </is>
      </c>
      <c r="G387" t="n">
        <v>4.1</v>
      </c>
      <c r="H387" t="n">
        <v>0</v>
      </c>
      <c r="I387" t="n">
        <v>0</v>
      </c>
      <c r="J387" t="n">
        <v>0</v>
      </c>
      <c r="K387" t="n">
        <v>0</v>
      </c>
      <c r="L387" t="n">
        <v>0</v>
      </c>
      <c r="M387" t="n">
        <v>0</v>
      </c>
      <c r="N387" t="n">
        <v>0</v>
      </c>
      <c r="O387" t="n">
        <v>0</v>
      </c>
      <c r="P387" t="n">
        <v>0</v>
      </c>
      <c r="Q387" t="n">
        <v>0</v>
      </c>
      <c r="R387" s="2" t="inlineStr"/>
    </row>
    <row r="388" ht="15" customHeight="1">
      <c r="A388" t="inlineStr">
        <is>
          <t>A 25584-2020</t>
        </is>
      </c>
      <c r="B388" s="1" t="n">
        <v>43983</v>
      </c>
      <c r="C388" s="1" t="n">
        <v>45588</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25589-2020</t>
        </is>
      </c>
      <c r="B389" s="1" t="n">
        <v>43983</v>
      </c>
      <c r="C389" s="1" t="n">
        <v>45588</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25897-2020</t>
        </is>
      </c>
      <c r="B390" s="1" t="n">
        <v>43984</v>
      </c>
      <c r="C390" s="1" t="n">
        <v>45588</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30600-2020</t>
        </is>
      </c>
      <c r="B391" s="1" t="n">
        <v>44008</v>
      </c>
      <c r="C391" s="1" t="n">
        <v>45588</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31783-2020</t>
        </is>
      </c>
      <c r="B392" s="1" t="n">
        <v>44014</v>
      </c>
      <c r="C392" s="1" t="n">
        <v>45588</v>
      </c>
      <c r="D392" t="inlineStr">
        <is>
          <t>STOCKHOLMS LÄN</t>
        </is>
      </c>
      <c r="E392" t="inlineStr">
        <is>
          <t>NORRTÄLJE</t>
        </is>
      </c>
      <c r="G392" t="n">
        <v>4.8</v>
      </c>
      <c r="H392" t="n">
        <v>0</v>
      </c>
      <c r="I392" t="n">
        <v>0</v>
      </c>
      <c r="J392" t="n">
        <v>0</v>
      </c>
      <c r="K392" t="n">
        <v>0</v>
      </c>
      <c r="L392" t="n">
        <v>0</v>
      </c>
      <c r="M392" t="n">
        <v>0</v>
      </c>
      <c r="N392" t="n">
        <v>0</v>
      </c>
      <c r="O392" t="n">
        <v>0</v>
      </c>
      <c r="P392" t="n">
        <v>0</v>
      </c>
      <c r="Q392" t="n">
        <v>0</v>
      </c>
      <c r="R392" s="2" t="inlineStr"/>
    </row>
    <row r="393" ht="15" customHeight="1">
      <c r="A393" t="inlineStr">
        <is>
          <t>A 33749-2020</t>
        </is>
      </c>
      <c r="B393" s="1" t="n">
        <v>44026</v>
      </c>
      <c r="C393" s="1" t="n">
        <v>45588</v>
      </c>
      <c r="D393" t="inlineStr">
        <is>
          <t>STOCKHOLMS LÄN</t>
        </is>
      </c>
      <c r="E393" t="inlineStr">
        <is>
          <t>NORRTÄLJE</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34651-2020</t>
        </is>
      </c>
      <c r="B394" s="1" t="n">
        <v>44034</v>
      </c>
      <c r="C394" s="1" t="n">
        <v>45588</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34650-2020</t>
        </is>
      </c>
      <c r="B395" s="1" t="n">
        <v>44034</v>
      </c>
      <c r="C395" s="1" t="n">
        <v>45588</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36314-2020</t>
        </is>
      </c>
      <c r="B396" s="1" t="n">
        <v>44049</v>
      </c>
      <c r="C396" s="1" t="n">
        <v>45588</v>
      </c>
      <c r="D396" t="inlineStr">
        <is>
          <t>STOCKHOLMS LÄN</t>
        </is>
      </c>
      <c r="E396" t="inlineStr">
        <is>
          <t>NORRTÄLJE</t>
        </is>
      </c>
      <c r="G396" t="n">
        <v>5</v>
      </c>
      <c r="H396" t="n">
        <v>0</v>
      </c>
      <c r="I396" t="n">
        <v>0</v>
      </c>
      <c r="J396" t="n">
        <v>0</v>
      </c>
      <c r="K396" t="n">
        <v>0</v>
      </c>
      <c r="L396" t="n">
        <v>0</v>
      </c>
      <c r="M396" t="n">
        <v>0</v>
      </c>
      <c r="N396" t="n">
        <v>0</v>
      </c>
      <c r="O396" t="n">
        <v>0</v>
      </c>
      <c r="P396" t="n">
        <v>0</v>
      </c>
      <c r="Q396" t="n">
        <v>0</v>
      </c>
      <c r="R396" s="2" t="inlineStr"/>
    </row>
    <row r="397" ht="15" customHeight="1">
      <c r="A397" t="inlineStr">
        <is>
          <t>A 36359-2020</t>
        </is>
      </c>
      <c r="B397" s="1" t="n">
        <v>44049</v>
      </c>
      <c r="C397" s="1" t="n">
        <v>45588</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40837-2020</t>
        </is>
      </c>
      <c r="B398" s="1" t="n">
        <v>44067</v>
      </c>
      <c r="C398" s="1" t="n">
        <v>45588</v>
      </c>
      <c r="D398" t="inlineStr">
        <is>
          <t>STOCKHOLMS LÄN</t>
        </is>
      </c>
      <c r="E398" t="inlineStr">
        <is>
          <t>NORRTÄLJE</t>
        </is>
      </c>
      <c r="G398" t="n">
        <v>20.6</v>
      </c>
      <c r="H398" t="n">
        <v>0</v>
      </c>
      <c r="I398" t="n">
        <v>0</v>
      </c>
      <c r="J398" t="n">
        <v>0</v>
      </c>
      <c r="K398" t="n">
        <v>0</v>
      </c>
      <c r="L398" t="n">
        <v>0</v>
      </c>
      <c r="M398" t="n">
        <v>0</v>
      </c>
      <c r="N398" t="n">
        <v>0</v>
      </c>
      <c r="O398" t="n">
        <v>0</v>
      </c>
      <c r="P398" t="n">
        <v>0</v>
      </c>
      <c r="Q398" t="n">
        <v>0</v>
      </c>
      <c r="R398" s="2" t="inlineStr"/>
    </row>
    <row r="399" ht="15" customHeight="1">
      <c r="A399" t="inlineStr">
        <is>
          <t>A 40661-2020</t>
        </is>
      </c>
      <c r="B399" s="1" t="n">
        <v>44069</v>
      </c>
      <c r="C399" s="1" t="n">
        <v>45588</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42247-2020</t>
        </is>
      </c>
      <c r="B400" s="1" t="n">
        <v>44074</v>
      </c>
      <c r="C400" s="1" t="n">
        <v>45588</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42256-2020</t>
        </is>
      </c>
      <c r="B401" s="1" t="n">
        <v>44074</v>
      </c>
      <c r="C401" s="1" t="n">
        <v>45588</v>
      </c>
      <c r="D401" t="inlineStr">
        <is>
          <t>STOCKHOLMS LÄN</t>
        </is>
      </c>
      <c r="E401" t="inlineStr">
        <is>
          <t>NORRTÄLJE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41694-2020</t>
        </is>
      </c>
      <c r="B402" s="1" t="n">
        <v>44074</v>
      </c>
      <c r="C402" s="1" t="n">
        <v>45588</v>
      </c>
      <c r="D402" t="inlineStr">
        <is>
          <t>STOCKHOLMS LÄN</t>
        </is>
      </c>
      <c r="E402" t="inlineStr">
        <is>
          <t>NORRTÄLJE</t>
        </is>
      </c>
      <c r="G402" t="n">
        <v>3</v>
      </c>
      <c r="H402" t="n">
        <v>0</v>
      </c>
      <c r="I402" t="n">
        <v>0</v>
      </c>
      <c r="J402" t="n">
        <v>0</v>
      </c>
      <c r="K402" t="n">
        <v>0</v>
      </c>
      <c r="L402" t="n">
        <v>0</v>
      </c>
      <c r="M402" t="n">
        <v>0</v>
      </c>
      <c r="N402" t="n">
        <v>0</v>
      </c>
      <c r="O402" t="n">
        <v>0</v>
      </c>
      <c r="P402" t="n">
        <v>0</v>
      </c>
      <c r="Q402" t="n">
        <v>0</v>
      </c>
      <c r="R402" s="2" t="inlineStr"/>
    </row>
    <row r="403" ht="15" customHeight="1">
      <c r="A403" t="inlineStr">
        <is>
          <t>A 42365-2020</t>
        </is>
      </c>
      <c r="B403" s="1" t="n">
        <v>44076</v>
      </c>
      <c r="C403" s="1" t="n">
        <v>45588</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42361-2020</t>
        </is>
      </c>
      <c r="B404" s="1" t="n">
        <v>44076</v>
      </c>
      <c r="C404" s="1" t="n">
        <v>45588</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42455-2020</t>
        </is>
      </c>
      <c r="B405" s="1" t="n">
        <v>44076</v>
      </c>
      <c r="C405" s="1" t="n">
        <v>45588</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43751-2020</t>
        </is>
      </c>
      <c r="B406" s="1" t="n">
        <v>44082</v>
      </c>
      <c r="C406" s="1" t="n">
        <v>45588</v>
      </c>
      <c r="D406" t="inlineStr">
        <is>
          <t>STOCKHOLMS LÄN</t>
        </is>
      </c>
      <c r="E406" t="inlineStr">
        <is>
          <t>NORRTÄLJE</t>
        </is>
      </c>
      <c r="G406" t="n">
        <v>8</v>
      </c>
      <c r="H406" t="n">
        <v>0</v>
      </c>
      <c r="I406" t="n">
        <v>0</v>
      </c>
      <c r="J406" t="n">
        <v>0</v>
      </c>
      <c r="K406" t="n">
        <v>0</v>
      </c>
      <c r="L406" t="n">
        <v>0</v>
      </c>
      <c r="M406" t="n">
        <v>0</v>
      </c>
      <c r="N406" t="n">
        <v>0</v>
      </c>
      <c r="O406" t="n">
        <v>0</v>
      </c>
      <c r="P406" t="n">
        <v>0</v>
      </c>
      <c r="Q406" t="n">
        <v>0</v>
      </c>
      <c r="R406" s="2" t="inlineStr"/>
    </row>
    <row r="407" ht="15" customHeight="1">
      <c r="A407" t="inlineStr">
        <is>
          <t>A 44096-2020</t>
        </is>
      </c>
      <c r="B407" s="1" t="n">
        <v>44083</v>
      </c>
      <c r="C407" s="1" t="n">
        <v>45588</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44071-2020</t>
        </is>
      </c>
      <c r="B408" s="1" t="n">
        <v>44083</v>
      </c>
      <c r="C408" s="1" t="n">
        <v>45588</v>
      </c>
      <c r="D408" t="inlineStr">
        <is>
          <t>STOCKHOLMS LÄN</t>
        </is>
      </c>
      <c r="E408" t="inlineStr">
        <is>
          <t>NORRTÄLJE</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44183-2020</t>
        </is>
      </c>
      <c r="B409" s="1" t="n">
        <v>44083</v>
      </c>
      <c r="C409" s="1" t="n">
        <v>45588</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44792-2020</t>
        </is>
      </c>
      <c r="B410" s="1" t="n">
        <v>44085</v>
      </c>
      <c r="C410" s="1" t="n">
        <v>45588</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45988-2020</t>
        </is>
      </c>
      <c r="B411" s="1" t="n">
        <v>44091</v>
      </c>
      <c r="C411" s="1" t="n">
        <v>45588</v>
      </c>
      <c r="D411" t="inlineStr">
        <is>
          <t>STOCKHOLMS LÄN</t>
        </is>
      </c>
      <c r="E411" t="inlineStr">
        <is>
          <t>NORRTÄLJE</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46556-2020</t>
        </is>
      </c>
      <c r="B412" s="1" t="n">
        <v>44095</v>
      </c>
      <c r="C412" s="1" t="n">
        <v>45588</v>
      </c>
      <c r="D412" t="inlineStr">
        <is>
          <t>STOCKHOLMS LÄN</t>
        </is>
      </c>
      <c r="E412" t="inlineStr">
        <is>
          <t>NORRTÄLJE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47291-2020</t>
        </is>
      </c>
      <c r="B413" s="1" t="n">
        <v>44097</v>
      </c>
      <c r="C413" s="1" t="n">
        <v>45588</v>
      </c>
      <c r="D413" t="inlineStr">
        <is>
          <t>STOCKHOLMS LÄN</t>
        </is>
      </c>
      <c r="E413" t="inlineStr">
        <is>
          <t>NORRTÄLJE</t>
        </is>
      </c>
      <c r="F413" t="inlineStr">
        <is>
          <t>Holmen skog AB</t>
        </is>
      </c>
      <c r="G413" t="n">
        <v>0.8</v>
      </c>
      <c r="H413" t="n">
        <v>0</v>
      </c>
      <c r="I413" t="n">
        <v>0</v>
      </c>
      <c r="J413" t="n">
        <v>0</v>
      </c>
      <c r="K413" t="n">
        <v>0</v>
      </c>
      <c r="L413" t="n">
        <v>0</v>
      </c>
      <c r="M413" t="n">
        <v>0</v>
      </c>
      <c r="N413" t="n">
        <v>0</v>
      </c>
      <c r="O413" t="n">
        <v>0</v>
      </c>
      <c r="P413" t="n">
        <v>0</v>
      </c>
      <c r="Q413" t="n">
        <v>0</v>
      </c>
      <c r="R413" s="2" t="inlineStr"/>
    </row>
    <row r="414" ht="15" customHeight="1">
      <c r="A414" t="inlineStr">
        <is>
          <t>A 48392-2020</t>
        </is>
      </c>
      <c r="B414" s="1" t="n">
        <v>44097</v>
      </c>
      <c r="C414" s="1" t="n">
        <v>45588</v>
      </c>
      <c r="D414" t="inlineStr">
        <is>
          <t>STOCKHOLMS LÄN</t>
        </is>
      </c>
      <c r="E414" t="inlineStr">
        <is>
          <t>NORRTÄLJE</t>
        </is>
      </c>
      <c r="G414" t="n">
        <v>12.5</v>
      </c>
      <c r="H414" t="n">
        <v>0</v>
      </c>
      <c r="I414" t="n">
        <v>0</v>
      </c>
      <c r="J414" t="n">
        <v>0</v>
      </c>
      <c r="K414" t="n">
        <v>0</v>
      </c>
      <c r="L414" t="n">
        <v>0</v>
      </c>
      <c r="M414" t="n">
        <v>0</v>
      </c>
      <c r="N414" t="n">
        <v>0</v>
      </c>
      <c r="O414" t="n">
        <v>0</v>
      </c>
      <c r="P414" t="n">
        <v>0</v>
      </c>
      <c r="Q414" t="n">
        <v>0</v>
      </c>
      <c r="R414" s="2" t="inlineStr"/>
    </row>
    <row r="415" ht="15" customHeight="1">
      <c r="A415" t="inlineStr">
        <is>
          <t>A 47869-2020</t>
        </is>
      </c>
      <c r="B415" s="1" t="n">
        <v>44098</v>
      </c>
      <c r="C415" s="1" t="n">
        <v>45588</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47868-2020</t>
        </is>
      </c>
      <c r="B416" s="1" t="n">
        <v>44098</v>
      </c>
      <c r="C416" s="1" t="n">
        <v>45588</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48066-2020</t>
        </is>
      </c>
      <c r="B417" s="1" t="n">
        <v>44100</v>
      </c>
      <c r="C417" s="1" t="n">
        <v>45588</v>
      </c>
      <c r="D417" t="inlineStr">
        <is>
          <t>STOCKHOLMS LÄN</t>
        </is>
      </c>
      <c r="E417" t="inlineStr">
        <is>
          <t>NORRTÄLJE</t>
        </is>
      </c>
      <c r="G417" t="n">
        <v>3.7</v>
      </c>
      <c r="H417" t="n">
        <v>0</v>
      </c>
      <c r="I417" t="n">
        <v>0</v>
      </c>
      <c r="J417" t="n">
        <v>0</v>
      </c>
      <c r="K417" t="n">
        <v>0</v>
      </c>
      <c r="L417" t="n">
        <v>0</v>
      </c>
      <c r="M417" t="n">
        <v>0</v>
      </c>
      <c r="N417" t="n">
        <v>0</v>
      </c>
      <c r="O417" t="n">
        <v>0</v>
      </c>
      <c r="P417" t="n">
        <v>0</v>
      </c>
      <c r="Q417" t="n">
        <v>0</v>
      </c>
      <c r="R417" s="2" t="inlineStr"/>
    </row>
    <row r="418" ht="15" customHeight="1">
      <c r="A418" t="inlineStr">
        <is>
          <t>A 48071-2020</t>
        </is>
      </c>
      <c r="B418" s="1" t="n">
        <v>44100</v>
      </c>
      <c r="C418" s="1" t="n">
        <v>45588</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48496-2020</t>
        </is>
      </c>
      <c r="B419" s="1" t="n">
        <v>44103</v>
      </c>
      <c r="C419" s="1" t="n">
        <v>45588</v>
      </c>
      <c r="D419" t="inlineStr">
        <is>
          <t>STOCKHOLMS LÄN</t>
        </is>
      </c>
      <c r="E419" t="inlineStr">
        <is>
          <t>NORRTÄLJE</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48522-2020</t>
        </is>
      </c>
      <c r="B420" s="1" t="n">
        <v>44103</v>
      </c>
      <c r="C420" s="1" t="n">
        <v>45588</v>
      </c>
      <c r="D420" t="inlineStr">
        <is>
          <t>STOCKHOLMS LÄN</t>
        </is>
      </c>
      <c r="E420" t="inlineStr">
        <is>
          <t>NORRTÄLJE</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49334-2020</t>
        </is>
      </c>
      <c r="B421" s="1" t="n">
        <v>44105</v>
      </c>
      <c r="C421" s="1" t="n">
        <v>45588</v>
      </c>
      <c r="D421" t="inlineStr">
        <is>
          <t>STOCKHOLMS LÄN</t>
        </is>
      </c>
      <c r="E421" t="inlineStr">
        <is>
          <t>NORRTÄLJE</t>
        </is>
      </c>
      <c r="G421" t="n">
        <v>1.5</v>
      </c>
      <c r="H421" t="n">
        <v>0</v>
      </c>
      <c r="I421" t="n">
        <v>0</v>
      </c>
      <c r="J421" t="n">
        <v>0</v>
      </c>
      <c r="K421" t="n">
        <v>0</v>
      </c>
      <c r="L421" t="n">
        <v>0</v>
      </c>
      <c r="M421" t="n">
        <v>0</v>
      </c>
      <c r="N421" t="n">
        <v>0</v>
      </c>
      <c r="O421" t="n">
        <v>0</v>
      </c>
      <c r="P421" t="n">
        <v>0</v>
      </c>
      <c r="Q421" t="n">
        <v>0</v>
      </c>
      <c r="R421" s="2" t="inlineStr"/>
    </row>
    <row r="422" ht="15" customHeight="1">
      <c r="A422" t="inlineStr">
        <is>
          <t>A 49327-2020</t>
        </is>
      </c>
      <c r="B422" s="1" t="n">
        <v>44105</v>
      </c>
      <c r="C422" s="1" t="n">
        <v>45588</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49898-2020</t>
        </is>
      </c>
      <c r="B423" s="1" t="n">
        <v>44108</v>
      </c>
      <c r="C423" s="1" t="n">
        <v>45588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50497-2020</t>
        </is>
      </c>
      <c r="B424" s="1" t="n">
        <v>44110</v>
      </c>
      <c r="C424" s="1" t="n">
        <v>45588</v>
      </c>
      <c r="D424" t="inlineStr">
        <is>
          <t>STOCKHOLMS LÄN</t>
        </is>
      </c>
      <c r="E424" t="inlineStr">
        <is>
          <t>NORRTÄLJE</t>
        </is>
      </c>
      <c r="F424" t="inlineStr">
        <is>
          <t>Holmen skog AB</t>
        </is>
      </c>
      <c r="G424" t="n">
        <v>4.3</v>
      </c>
      <c r="H424" t="n">
        <v>0</v>
      </c>
      <c r="I424" t="n">
        <v>0</v>
      </c>
      <c r="J424" t="n">
        <v>0</v>
      </c>
      <c r="K424" t="n">
        <v>0</v>
      </c>
      <c r="L424" t="n">
        <v>0</v>
      </c>
      <c r="M424" t="n">
        <v>0</v>
      </c>
      <c r="N424" t="n">
        <v>0</v>
      </c>
      <c r="O424" t="n">
        <v>0</v>
      </c>
      <c r="P424" t="n">
        <v>0</v>
      </c>
      <c r="Q424" t="n">
        <v>0</v>
      </c>
      <c r="R424" s="2" t="inlineStr"/>
    </row>
    <row r="425" ht="15" customHeight="1">
      <c r="A425" t="inlineStr">
        <is>
          <t>A 50738-2020</t>
        </is>
      </c>
      <c r="B425" s="1" t="n">
        <v>44111</v>
      </c>
      <c r="C425" s="1" t="n">
        <v>45588</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50746-2020</t>
        </is>
      </c>
      <c r="B426" s="1" t="n">
        <v>44111</v>
      </c>
      <c r="C426" s="1" t="n">
        <v>45588</v>
      </c>
      <c r="D426" t="inlineStr">
        <is>
          <t>STOCKHOLMS LÄN</t>
        </is>
      </c>
      <c r="E426" t="inlineStr">
        <is>
          <t>NORRTÄLJE</t>
        </is>
      </c>
      <c r="G426" t="n">
        <v>4.9</v>
      </c>
      <c r="H426" t="n">
        <v>0</v>
      </c>
      <c r="I426" t="n">
        <v>0</v>
      </c>
      <c r="J426" t="n">
        <v>0</v>
      </c>
      <c r="K426" t="n">
        <v>0</v>
      </c>
      <c r="L426" t="n">
        <v>0</v>
      </c>
      <c r="M426" t="n">
        <v>0</v>
      </c>
      <c r="N426" t="n">
        <v>0</v>
      </c>
      <c r="O426" t="n">
        <v>0</v>
      </c>
      <c r="P426" t="n">
        <v>0</v>
      </c>
      <c r="Q426" t="n">
        <v>0</v>
      </c>
      <c r="R426" s="2" t="inlineStr"/>
    </row>
    <row r="427" ht="15" customHeight="1">
      <c r="A427" t="inlineStr">
        <is>
          <t>A 50742-2020</t>
        </is>
      </c>
      <c r="B427" s="1" t="n">
        <v>44111</v>
      </c>
      <c r="C427" s="1" t="n">
        <v>45588</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51720-2020</t>
        </is>
      </c>
      <c r="B428" s="1" t="n">
        <v>44113</v>
      </c>
      <c r="C428" s="1" t="n">
        <v>45588</v>
      </c>
      <c r="D428" t="inlineStr">
        <is>
          <t>STOCKHOLMS LÄN</t>
        </is>
      </c>
      <c r="E428" t="inlineStr">
        <is>
          <t>NORRTÄLJE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51787-2020</t>
        </is>
      </c>
      <c r="B429" s="1" t="n">
        <v>44116</v>
      </c>
      <c r="C429" s="1" t="n">
        <v>45588</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51798-2020</t>
        </is>
      </c>
      <c r="B430" s="1" t="n">
        <v>44116</v>
      </c>
      <c r="C430" s="1" t="n">
        <v>45588</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53768-2020</t>
        </is>
      </c>
      <c r="B431" s="1" t="n">
        <v>44123</v>
      </c>
      <c r="C431" s="1" t="n">
        <v>45588</v>
      </c>
      <c r="D431" t="inlineStr">
        <is>
          <t>STOCKHOLMS LÄN</t>
        </is>
      </c>
      <c r="E431" t="inlineStr">
        <is>
          <t>NORRTÄLJE</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53652-2020</t>
        </is>
      </c>
      <c r="B432" s="1" t="n">
        <v>44124</v>
      </c>
      <c r="C432" s="1" t="n">
        <v>45588</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53690-2020</t>
        </is>
      </c>
      <c r="B433" s="1" t="n">
        <v>44124</v>
      </c>
      <c r="C433" s="1" t="n">
        <v>45588</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53607-2020</t>
        </is>
      </c>
      <c r="B434" s="1" t="n">
        <v>44124</v>
      </c>
      <c r="C434" s="1" t="n">
        <v>45588</v>
      </c>
      <c r="D434" t="inlineStr">
        <is>
          <t>STOCKHOLMS LÄN</t>
        </is>
      </c>
      <c r="E434" t="inlineStr">
        <is>
          <t>NORRTÄLJE</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55089-2020</t>
        </is>
      </c>
      <c r="B435" s="1" t="n">
        <v>44130</v>
      </c>
      <c r="C435" s="1" t="n">
        <v>45588</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55895-2020</t>
        </is>
      </c>
      <c r="B436" s="1" t="n">
        <v>44132</v>
      </c>
      <c r="C436" s="1" t="n">
        <v>45588</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55890-2020</t>
        </is>
      </c>
      <c r="B437" s="1" t="n">
        <v>44132</v>
      </c>
      <c r="C437" s="1" t="n">
        <v>45588</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55982-2020</t>
        </is>
      </c>
      <c r="B438" s="1" t="n">
        <v>44132</v>
      </c>
      <c r="C438" s="1" t="n">
        <v>45588</v>
      </c>
      <c r="D438" t="inlineStr">
        <is>
          <t>STOCKHOLMS LÄN</t>
        </is>
      </c>
      <c r="E438" t="inlineStr">
        <is>
          <t>NORRTÄLJE</t>
        </is>
      </c>
      <c r="G438" t="n">
        <v>11.3</v>
      </c>
      <c r="H438" t="n">
        <v>0</v>
      </c>
      <c r="I438" t="n">
        <v>0</v>
      </c>
      <c r="J438" t="n">
        <v>0</v>
      </c>
      <c r="K438" t="n">
        <v>0</v>
      </c>
      <c r="L438" t="n">
        <v>0</v>
      </c>
      <c r="M438" t="n">
        <v>0</v>
      </c>
      <c r="N438" t="n">
        <v>0</v>
      </c>
      <c r="O438" t="n">
        <v>0</v>
      </c>
      <c r="P438" t="n">
        <v>0</v>
      </c>
      <c r="Q438" t="n">
        <v>0</v>
      </c>
      <c r="R438" s="2" t="inlineStr"/>
    </row>
    <row r="439" ht="15" customHeight="1">
      <c r="A439" t="inlineStr">
        <is>
          <t>A 56166-2020</t>
        </is>
      </c>
      <c r="B439" s="1" t="n">
        <v>44133</v>
      </c>
      <c r="C439" s="1" t="n">
        <v>45588</v>
      </c>
      <c r="D439" t="inlineStr">
        <is>
          <t>STOCKHOLMS LÄN</t>
        </is>
      </c>
      <c r="E439" t="inlineStr">
        <is>
          <t>NORRTÄLJE</t>
        </is>
      </c>
      <c r="G439" t="n">
        <v>4.4</v>
      </c>
      <c r="H439" t="n">
        <v>0</v>
      </c>
      <c r="I439" t="n">
        <v>0</v>
      </c>
      <c r="J439" t="n">
        <v>0</v>
      </c>
      <c r="K439" t="n">
        <v>0</v>
      </c>
      <c r="L439" t="n">
        <v>0</v>
      </c>
      <c r="M439" t="n">
        <v>0</v>
      </c>
      <c r="N439" t="n">
        <v>0</v>
      </c>
      <c r="O439" t="n">
        <v>0</v>
      </c>
      <c r="P439" t="n">
        <v>0</v>
      </c>
      <c r="Q439" t="n">
        <v>0</v>
      </c>
      <c r="R439" s="2" t="inlineStr"/>
    </row>
    <row r="440" ht="15" customHeight="1">
      <c r="A440" t="inlineStr">
        <is>
          <t>A 56323-2020</t>
        </is>
      </c>
      <c r="B440" s="1" t="n">
        <v>44134</v>
      </c>
      <c r="C440" s="1" t="n">
        <v>45588</v>
      </c>
      <c r="D440" t="inlineStr">
        <is>
          <t>STOCKHOLMS LÄN</t>
        </is>
      </c>
      <c r="E440" t="inlineStr">
        <is>
          <t>NORRTÄLJE</t>
        </is>
      </c>
      <c r="G440" t="n">
        <v>2.4</v>
      </c>
      <c r="H440" t="n">
        <v>0</v>
      </c>
      <c r="I440" t="n">
        <v>0</v>
      </c>
      <c r="J440" t="n">
        <v>0</v>
      </c>
      <c r="K440" t="n">
        <v>0</v>
      </c>
      <c r="L440" t="n">
        <v>0</v>
      </c>
      <c r="M440" t="n">
        <v>0</v>
      </c>
      <c r="N440" t="n">
        <v>0</v>
      </c>
      <c r="O440" t="n">
        <v>0</v>
      </c>
      <c r="P440" t="n">
        <v>0</v>
      </c>
      <c r="Q440" t="n">
        <v>0</v>
      </c>
      <c r="R440" s="2" t="inlineStr"/>
    </row>
    <row r="441" ht="15" customHeight="1">
      <c r="A441" t="inlineStr">
        <is>
          <t>A 57216-2020</t>
        </is>
      </c>
      <c r="B441" s="1" t="n">
        <v>44139</v>
      </c>
      <c r="C441" s="1" t="n">
        <v>45588</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57957-2020</t>
        </is>
      </c>
      <c r="B442" s="1" t="n">
        <v>44143</v>
      </c>
      <c r="C442" s="1" t="n">
        <v>45588</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57987-2020</t>
        </is>
      </c>
      <c r="B443" s="1" t="n">
        <v>44143</v>
      </c>
      <c r="C443" s="1" t="n">
        <v>45588</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58493-2020</t>
        </is>
      </c>
      <c r="B444" s="1" t="n">
        <v>44145</v>
      </c>
      <c r="C444" s="1" t="n">
        <v>45588</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58661-2020</t>
        </is>
      </c>
      <c r="B445" s="1" t="n">
        <v>44145</v>
      </c>
      <c r="C445" s="1" t="n">
        <v>45588</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58665-2020</t>
        </is>
      </c>
      <c r="B446" s="1" t="n">
        <v>44145</v>
      </c>
      <c r="C446" s="1" t="n">
        <v>45588</v>
      </c>
      <c r="D446" t="inlineStr">
        <is>
          <t>STOCKHOLMS LÄN</t>
        </is>
      </c>
      <c r="E446" t="inlineStr">
        <is>
          <t>NORRTÄLJE</t>
        </is>
      </c>
      <c r="G446" t="n">
        <v>5.2</v>
      </c>
      <c r="H446" t="n">
        <v>0</v>
      </c>
      <c r="I446" t="n">
        <v>0</v>
      </c>
      <c r="J446" t="n">
        <v>0</v>
      </c>
      <c r="K446" t="n">
        <v>0</v>
      </c>
      <c r="L446" t="n">
        <v>0</v>
      </c>
      <c r="M446" t="n">
        <v>0</v>
      </c>
      <c r="N446" t="n">
        <v>0</v>
      </c>
      <c r="O446" t="n">
        <v>0</v>
      </c>
      <c r="P446" t="n">
        <v>0</v>
      </c>
      <c r="Q446" t="n">
        <v>0</v>
      </c>
      <c r="R446" s="2" t="inlineStr"/>
    </row>
    <row r="447" ht="15" customHeight="1">
      <c r="A447" t="inlineStr">
        <is>
          <t>A 58888-2020</t>
        </is>
      </c>
      <c r="B447" s="1" t="n">
        <v>44146</v>
      </c>
      <c r="C447" s="1" t="n">
        <v>45588</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60321-2020</t>
        </is>
      </c>
      <c r="B448" s="1" t="n">
        <v>44152</v>
      </c>
      <c r="C448" s="1" t="n">
        <v>45588</v>
      </c>
      <c r="D448" t="inlineStr">
        <is>
          <t>STOCKHOLMS LÄN</t>
        </is>
      </c>
      <c r="E448" t="inlineStr">
        <is>
          <t>NORRTÄLJE</t>
        </is>
      </c>
      <c r="F448" t="inlineStr">
        <is>
          <t>Holmen skog AB</t>
        </is>
      </c>
      <c r="G448" t="n">
        <v>3.4</v>
      </c>
      <c r="H448" t="n">
        <v>0</v>
      </c>
      <c r="I448" t="n">
        <v>0</v>
      </c>
      <c r="J448" t="n">
        <v>0</v>
      </c>
      <c r="K448" t="n">
        <v>0</v>
      </c>
      <c r="L448" t="n">
        <v>0</v>
      </c>
      <c r="M448" t="n">
        <v>0</v>
      </c>
      <c r="N448" t="n">
        <v>0</v>
      </c>
      <c r="O448" t="n">
        <v>0</v>
      </c>
      <c r="P448" t="n">
        <v>0</v>
      </c>
      <c r="Q448" t="n">
        <v>0</v>
      </c>
      <c r="R448" s="2" t="inlineStr"/>
    </row>
    <row r="449" ht="15" customHeight="1">
      <c r="A449" t="inlineStr">
        <is>
          <t>A 60542-2020</t>
        </is>
      </c>
      <c r="B449" s="1" t="n">
        <v>44153</v>
      </c>
      <c r="C449" s="1" t="n">
        <v>45588</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60977-2020</t>
        </is>
      </c>
      <c r="B450" s="1" t="n">
        <v>44154</v>
      </c>
      <c r="C450" s="1" t="n">
        <v>45588</v>
      </c>
      <c r="D450" t="inlineStr">
        <is>
          <t>STOCKHOLMS LÄN</t>
        </is>
      </c>
      <c r="E450" t="inlineStr">
        <is>
          <t>NORRTÄLJE</t>
        </is>
      </c>
      <c r="F450" t="inlineStr">
        <is>
          <t>Holmen skog AB</t>
        </is>
      </c>
      <c r="G450" t="n">
        <v>0.8</v>
      </c>
      <c r="H450" t="n">
        <v>0</v>
      </c>
      <c r="I450" t="n">
        <v>0</v>
      </c>
      <c r="J450" t="n">
        <v>0</v>
      </c>
      <c r="K450" t="n">
        <v>0</v>
      </c>
      <c r="L450" t="n">
        <v>0</v>
      </c>
      <c r="M450" t="n">
        <v>0</v>
      </c>
      <c r="N450" t="n">
        <v>0</v>
      </c>
      <c r="O450" t="n">
        <v>0</v>
      </c>
      <c r="P450" t="n">
        <v>0</v>
      </c>
      <c r="Q450" t="n">
        <v>0</v>
      </c>
      <c r="R450" s="2" t="inlineStr"/>
    </row>
    <row r="451" ht="15" customHeight="1">
      <c r="A451" t="inlineStr">
        <is>
          <t>A 60891-2020</t>
        </is>
      </c>
      <c r="B451" s="1" t="n">
        <v>44154</v>
      </c>
      <c r="C451" s="1" t="n">
        <v>45588</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60961-2020</t>
        </is>
      </c>
      <c r="B452" s="1" t="n">
        <v>44154</v>
      </c>
      <c r="C452" s="1" t="n">
        <v>45588</v>
      </c>
      <c r="D452" t="inlineStr">
        <is>
          <t>STOCKHOLMS LÄN</t>
        </is>
      </c>
      <c r="E452" t="inlineStr">
        <is>
          <t>NORRTÄLJE</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61195-2020</t>
        </is>
      </c>
      <c r="B453" s="1" t="n">
        <v>44155</v>
      </c>
      <c r="C453" s="1" t="n">
        <v>45588</v>
      </c>
      <c r="D453" t="inlineStr">
        <is>
          <t>STOCKHOLMS LÄN</t>
        </is>
      </c>
      <c r="E453" t="inlineStr">
        <is>
          <t>NORRTÄLJE</t>
        </is>
      </c>
      <c r="G453" t="n">
        <v>7.8</v>
      </c>
      <c r="H453" t="n">
        <v>0</v>
      </c>
      <c r="I453" t="n">
        <v>0</v>
      </c>
      <c r="J453" t="n">
        <v>0</v>
      </c>
      <c r="K453" t="n">
        <v>0</v>
      </c>
      <c r="L453" t="n">
        <v>0</v>
      </c>
      <c r="M453" t="n">
        <v>0</v>
      </c>
      <c r="N453" t="n">
        <v>0</v>
      </c>
      <c r="O453" t="n">
        <v>0</v>
      </c>
      <c r="P453" t="n">
        <v>0</v>
      </c>
      <c r="Q453" t="n">
        <v>0</v>
      </c>
      <c r="R453" s="2" t="inlineStr"/>
    </row>
    <row r="454" ht="15" customHeight="1">
      <c r="A454" t="inlineStr">
        <is>
          <t>A 61221-2020</t>
        </is>
      </c>
      <c r="B454" s="1" t="n">
        <v>44155</v>
      </c>
      <c r="C454" s="1" t="n">
        <v>45588</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61363-2020</t>
        </is>
      </c>
      <c r="B455" s="1" t="n">
        <v>44155</v>
      </c>
      <c r="C455" s="1" t="n">
        <v>45588</v>
      </c>
      <c r="D455" t="inlineStr">
        <is>
          <t>STOCKHOLMS LÄN</t>
        </is>
      </c>
      <c r="E455" t="inlineStr">
        <is>
          <t>NORRTÄLJE</t>
        </is>
      </c>
      <c r="G455" t="n">
        <v>2.3</v>
      </c>
      <c r="H455" t="n">
        <v>0</v>
      </c>
      <c r="I455" t="n">
        <v>0</v>
      </c>
      <c r="J455" t="n">
        <v>0</v>
      </c>
      <c r="K455" t="n">
        <v>0</v>
      </c>
      <c r="L455" t="n">
        <v>0</v>
      </c>
      <c r="M455" t="n">
        <v>0</v>
      </c>
      <c r="N455" t="n">
        <v>0</v>
      </c>
      <c r="O455" t="n">
        <v>0</v>
      </c>
      <c r="P455" t="n">
        <v>0</v>
      </c>
      <c r="Q455" t="n">
        <v>0</v>
      </c>
      <c r="R455" s="2" t="inlineStr"/>
    </row>
    <row r="456" ht="15" customHeight="1">
      <c r="A456" t="inlineStr">
        <is>
          <t>A 61469-2020</t>
        </is>
      </c>
      <c r="B456" s="1" t="n">
        <v>44155</v>
      </c>
      <c r="C456" s="1" t="n">
        <v>45588</v>
      </c>
      <c r="D456" t="inlineStr">
        <is>
          <t>STOCKHOLMS LÄN</t>
        </is>
      </c>
      <c r="E456" t="inlineStr">
        <is>
          <t>NORRTÄLJE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61192-2020</t>
        </is>
      </c>
      <c r="B457" s="1" t="n">
        <v>44155</v>
      </c>
      <c r="C457" s="1" t="n">
        <v>45588</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62460-2020</t>
        </is>
      </c>
      <c r="B458" s="1" t="n">
        <v>44160</v>
      </c>
      <c r="C458" s="1" t="n">
        <v>45588</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62854-2020</t>
        </is>
      </c>
      <c r="B459" s="1" t="n">
        <v>44161</v>
      </c>
      <c r="C459" s="1" t="n">
        <v>45588</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63824-2020</t>
        </is>
      </c>
      <c r="B460" s="1" t="n">
        <v>44162</v>
      </c>
      <c r="C460" s="1" t="n">
        <v>45588</v>
      </c>
      <c r="D460" t="inlineStr">
        <is>
          <t>STOCKHOLMS LÄN</t>
        </is>
      </c>
      <c r="E460" t="inlineStr">
        <is>
          <t>NORRTÄLJE</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66372-2020</t>
        </is>
      </c>
      <c r="B461" s="1" t="n">
        <v>44176</v>
      </c>
      <c r="C461" s="1" t="n">
        <v>45588</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66907-2020</t>
        </is>
      </c>
      <c r="B462" s="1" t="n">
        <v>44176</v>
      </c>
      <c r="C462" s="1" t="n">
        <v>45588</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67393-2020</t>
        </is>
      </c>
      <c r="B463" s="1" t="n">
        <v>44181</v>
      </c>
      <c r="C463" s="1" t="n">
        <v>45588</v>
      </c>
      <c r="D463" t="inlineStr">
        <is>
          <t>STOCKHOLMS LÄN</t>
        </is>
      </c>
      <c r="E463" t="inlineStr">
        <is>
          <t>NORRTÄLJE</t>
        </is>
      </c>
      <c r="G463" t="n">
        <v>5.5</v>
      </c>
      <c r="H463" t="n">
        <v>0</v>
      </c>
      <c r="I463" t="n">
        <v>0</v>
      </c>
      <c r="J463" t="n">
        <v>0</v>
      </c>
      <c r="K463" t="n">
        <v>0</v>
      </c>
      <c r="L463" t="n">
        <v>0</v>
      </c>
      <c r="M463" t="n">
        <v>0</v>
      </c>
      <c r="N463" t="n">
        <v>0</v>
      </c>
      <c r="O463" t="n">
        <v>0</v>
      </c>
      <c r="P463" t="n">
        <v>0</v>
      </c>
      <c r="Q463" t="n">
        <v>0</v>
      </c>
      <c r="R463" s="2" t="inlineStr"/>
    </row>
    <row r="464" ht="15" customHeight="1">
      <c r="A464" t="inlineStr">
        <is>
          <t>A 68081-2020</t>
        </is>
      </c>
      <c r="B464" s="1" t="n">
        <v>44183</v>
      </c>
      <c r="C464" s="1" t="n">
        <v>45588</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367-2021</t>
        </is>
      </c>
      <c r="B465" s="1" t="n">
        <v>44201</v>
      </c>
      <c r="C465" s="1" t="n">
        <v>45588</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348-2021</t>
        </is>
      </c>
      <c r="B466" s="1" t="n">
        <v>44201</v>
      </c>
      <c r="C466" s="1" t="n">
        <v>45588</v>
      </c>
      <c r="D466" t="inlineStr">
        <is>
          <t>STOCKHOLMS LÄN</t>
        </is>
      </c>
      <c r="E466" t="inlineStr">
        <is>
          <t>NORRTÄLJE</t>
        </is>
      </c>
      <c r="G466" t="n">
        <v>0.1</v>
      </c>
      <c r="H466" t="n">
        <v>0</v>
      </c>
      <c r="I466" t="n">
        <v>0</v>
      </c>
      <c r="J466" t="n">
        <v>0</v>
      </c>
      <c r="K466" t="n">
        <v>0</v>
      </c>
      <c r="L466" t="n">
        <v>0</v>
      </c>
      <c r="M466" t="n">
        <v>0</v>
      </c>
      <c r="N466" t="n">
        <v>0</v>
      </c>
      <c r="O466" t="n">
        <v>0</v>
      </c>
      <c r="P466" t="n">
        <v>0</v>
      </c>
      <c r="Q466" t="n">
        <v>0</v>
      </c>
      <c r="R466" s="2" t="inlineStr"/>
    </row>
    <row r="467" ht="15" customHeight="1">
      <c r="A467" t="inlineStr">
        <is>
          <t>A 1637-2021</t>
        </is>
      </c>
      <c r="B467" s="1" t="n">
        <v>44209</v>
      </c>
      <c r="C467" s="1" t="n">
        <v>45588</v>
      </c>
      <c r="D467" t="inlineStr">
        <is>
          <t>STOCKHOLMS LÄN</t>
        </is>
      </c>
      <c r="E467" t="inlineStr">
        <is>
          <t>NORRTÄLJE</t>
        </is>
      </c>
      <c r="G467" t="n">
        <v>1.6</v>
      </c>
      <c r="H467" t="n">
        <v>0</v>
      </c>
      <c r="I467" t="n">
        <v>0</v>
      </c>
      <c r="J467" t="n">
        <v>0</v>
      </c>
      <c r="K467" t="n">
        <v>0</v>
      </c>
      <c r="L467" t="n">
        <v>0</v>
      </c>
      <c r="M467" t="n">
        <v>0</v>
      </c>
      <c r="N467" t="n">
        <v>0</v>
      </c>
      <c r="O467" t="n">
        <v>0</v>
      </c>
      <c r="P467" t="n">
        <v>0</v>
      </c>
      <c r="Q467" t="n">
        <v>0</v>
      </c>
      <c r="R467" s="2" t="inlineStr"/>
    </row>
    <row r="468" ht="15" customHeight="1">
      <c r="A468" t="inlineStr">
        <is>
          <t>A 1970-2021</t>
        </is>
      </c>
      <c r="B468" s="1" t="n">
        <v>44210</v>
      </c>
      <c r="C468" s="1" t="n">
        <v>45588</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2447-2021</t>
        </is>
      </c>
      <c r="B469" s="1" t="n">
        <v>44214</v>
      </c>
      <c r="C469" s="1" t="n">
        <v>45588</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2976-2021</t>
        </is>
      </c>
      <c r="B470" s="1" t="n">
        <v>44216</v>
      </c>
      <c r="C470" s="1" t="n">
        <v>45588</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3143-2021</t>
        </is>
      </c>
      <c r="B471" s="1" t="n">
        <v>44217</v>
      </c>
      <c r="C471" s="1" t="n">
        <v>45588</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3386-2021</t>
        </is>
      </c>
      <c r="B472" s="1" t="n">
        <v>44218</v>
      </c>
      <c r="C472" s="1" t="n">
        <v>45588</v>
      </c>
      <c r="D472" t="inlineStr">
        <is>
          <t>STOCKHOLMS LÄN</t>
        </is>
      </c>
      <c r="E472" t="inlineStr">
        <is>
          <t>NORRTÄLJE</t>
        </is>
      </c>
      <c r="G472" t="n">
        <v>8</v>
      </c>
      <c r="H472" t="n">
        <v>0</v>
      </c>
      <c r="I472" t="n">
        <v>0</v>
      </c>
      <c r="J472" t="n">
        <v>0</v>
      </c>
      <c r="K472" t="n">
        <v>0</v>
      </c>
      <c r="L472" t="n">
        <v>0</v>
      </c>
      <c r="M472" t="n">
        <v>0</v>
      </c>
      <c r="N472" t="n">
        <v>0</v>
      </c>
      <c r="O472" t="n">
        <v>0</v>
      </c>
      <c r="P472" t="n">
        <v>0</v>
      </c>
      <c r="Q472" t="n">
        <v>0</v>
      </c>
      <c r="R472" s="2" t="inlineStr"/>
    </row>
    <row r="473" ht="15" customHeight="1">
      <c r="A473" t="inlineStr">
        <is>
          <t>A 4634-2021</t>
        </is>
      </c>
      <c r="B473" s="1" t="n">
        <v>44224</v>
      </c>
      <c r="C473" s="1" t="n">
        <v>45588</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4632-2021</t>
        </is>
      </c>
      <c r="B474" s="1" t="n">
        <v>44224</v>
      </c>
      <c r="C474" s="1" t="n">
        <v>45588</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5037-2021</t>
        </is>
      </c>
      <c r="B475" s="1" t="n">
        <v>44228</v>
      </c>
      <c r="C475" s="1" t="n">
        <v>45588</v>
      </c>
      <c r="D475" t="inlineStr">
        <is>
          <t>STOCKHOLMS LÄN</t>
        </is>
      </c>
      <c r="E475" t="inlineStr">
        <is>
          <t>NORRTÄLJE</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5562-2021</t>
        </is>
      </c>
      <c r="B476" s="1" t="n">
        <v>44230</v>
      </c>
      <c r="C476" s="1" t="n">
        <v>45588</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5566-2021</t>
        </is>
      </c>
      <c r="B477" s="1" t="n">
        <v>44230</v>
      </c>
      <c r="C477" s="1" t="n">
        <v>45588</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5950-2021</t>
        </is>
      </c>
      <c r="B478" s="1" t="n">
        <v>44231</v>
      </c>
      <c r="C478" s="1" t="n">
        <v>45588</v>
      </c>
      <c r="D478" t="inlineStr">
        <is>
          <t>STOCKHOLMS LÄN</t>
        </is>
      </c>
      <c r="E478" t="inlineStr">
        <is>
          <t>NORRTÄLJE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6049-2021</t>
        </is>
      </c>
      <c r="B479" s="1" t="n">
        <v>44231</v>
      </c>
      <c r="C479" s="1" t="n">
        <v>45588</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7903-2021</t>
        </is>
      </c>
      <c r="B480" s="1" t="n">
        <v>44243</v>
      </c>
      <c r="C480" s="1" t="n">
        <v>45588</v>
      </c>
      <c r="D480" t="inlineStr">
        <is>
          <t>STOCKHOLMS LÄN</t>
        </is>
      </c>
      <c r="E480" t="inlineStr">
        <is>
          <t>NORRTÄLJE</t>
        </is>
      </c>
      <c r="G480" t="n">
        <v>3.5</v>
      </c>
      <c r="H480" t="n">
        <v>0</v>
      </c>
      <c r="I480" t="n">
        <v>0</v>
      </c>
      <c r="J480" t="n">
        <v>0</v>
      </c>
      <c r="K480" t="n">
        <v>0</v>
      </c>
      <c r="L480" t="n">
        <v>0</v>
      </c>
      <c r="M480" t="n">
        <v>0</v>
      </c>
      <c r="N480" t="n">
        <v>0</v>
      </c>
      <c r="O480" t="n">
        <v>0</v>
      </c>
      <c r="P480" t="n">
        <v>0</v>
      </c>
      <c r="Q480" t="n">
        <v>0</v>
      </c>
      <c r="R480" s="2" t="inlineStr"/>
    </row>
    <row r="481" ht="15" customHeight="1">
      <c r="A481" t="inlineStr">
        <is>
          <t>A 7999-2021</t>
        </is>
      </c>
      <c r="B481" s="1" t="n">
        <v>44243</v>
      </c>
      <c r="C481" s="1" t="n">
        <v>45588</v>
      </c>
      <c r="D481" t="inlineStr">
        <is>
          <t>STOCKHOLMS LÄN</t>
        </is>
      </c>
      <c r="E481" t="inlineStr">
        <is>
          <t>NORRTÄLJE</t>
        </is>
      </c>
      <c r="G481" t="n">
        <v>6.8</v>
      </c>
      <c r="H481" t="n">
        <v>0</v>
      </c>
      <c r="I481" t="n">
        <v>0</v>
      </c>
      <c r="J481" t="n">
        <v>0</v>
      </c>
      <c r="K481" t="n">
        <v>0</v>
      </c>
      <c r="L481" t="n">
        <v>0</v>
      </c>
      <c r="M481" t="n">
        <v>0</v>
      </c>
      <c r="N481" t="n">
        <v>0</v>
      </c>
      <c r="O481" t="n">
        <v>0</v>
      </c>
      <c r="P481" t="n">
        <v>0</v>
      </c>
      <c r="Q481" t="n">
        <v>0</v>
      </c>
      <c r="R481" s="2" t="inlineStr"/>
    </row>
    <row r="482" ht="15" customHeight="1">
      <c r="A482" t="inlineStr">
        <is>
          <t>A 8338-2021</t>
        </is>
      </c>
      <c r="B482" s="1" t="n">
        <v>44244</v>
      </c>
      <c r="C482" s="1" t="n">
        <v>45588</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9467-2021</t>
        </is>
      </c>
      <c r="B483" s="1" t="n">
        <v>44251</v>
      </c>
      <c r="C483" s="1" t="n">
        <v>45588</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9469-2021</t>
        </is>
      </c>
      <c r="B484" s="1" t="n">
        <v>44251</v>
      </c>
      <c r="C484" s="1" t="n">
        <v>45588</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9446-2021</t>
        </is>
      </c>
      <c r="B485" s="1" t="n">
        <v>44251</v>
      </c>
      <c r="C485" s="1" t="n">
        <v>45588</v>
      </c>
      <c r="D485" t="inlineStr">
        <is>
          <t>STOCKHOLMS LÄN</t>
        </is>
      </c>
      <c r="E485" t="inlineStr">
        <is>
          <t>NORRTÄLJE</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9719-2021</t>
        </is>
      </c>
      <c r="B486" s="1" t="n">
        <v>44252</v>
      </c>
      <c r="C486" s="1" t="n">
        <v>45588</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9703-2021</t>
        </is>
      </c>
      <c r="B487" s="1" t="n">
        <v>44252</v>
      </c>
      <c r="C487" s="1" t="n">
        <v>45588</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10687-2021</t>
        </is>
      </c>
      <c r="B488" s="1" t="n">
        <v>44258</v>
      </c>
      <c r="C488" s="1" t="n">
        <v>45588</v>
      </c>
      <c r="D488" t="inlineStr">
        <is>
          <t>STOCKHOLMS LÄN</t>
        </is>
      </c>
      <c r="E488" t="inlineStr">
        <is>
          <t>NORRTÄLJE</t>
        </is>
      </c>
      <c r="F488" t="inlineStr">
        <is>
          <t>Holmen skog AB</t>
        </is>
      </c>
      <c r="G488" t="n">
        <v>2</v>
      </c>
      <c r="H488" t="n">
        <v>0</v>
      </c>
      <c r="I488" t="n">
        <v>0</v>
      </c>
      <c r="J488" t="n">
        <v>0</v>
      </c>
      <c r="K488" t="n">
        <v>0</v>
      </c>
      <c r="L488" t="n">
        <v>0</v>
      </c>
      <c r="M488" t="n">
        <v>0</v>
      </c>
      <c r="N488" t="n">
        <v>0</v>
      </c>
      <c r="O488" t="n">
        <v>0</v>
      </c>
      <c r="P488" t="n">
        <v>0</v>
      </c>
      <c r="Q488" t="n">
        <v>0</v>
      </c>
      <c r="R488" s="2" t="inlineStr"/>
    </row>
    <row r="489" ht="15" customHeight="1">
      <c r="A489" t="inlineStr">
        <is>
          <t>A 10684-2021</t>
        </is>
      </c>
      <c r="B489" s="1" t="n">
        <v>44258</v>
      </c>
      <c r="C489" s="1" t="n">
        <v>45588</v>
      </c>
      <c r="D489" t="inlineStr">
        <is>
          <t>STOCKHOLMS LÄN</t>
        </is>
      </c>
      <c r="E489" t="inlineStr">
        <is>
          <t>NORRTÄLJE</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11122-2021</t>
        </is>
      </c>
      <c r="B490" s="1" t="n">
        <v>44260</v>
      </c>
      <c r="C490" s="1" t="n">
        <v>45588</v>
      </c>
      <c r="D490" t="inlineStr">
        <is>
          <t>STOCKHOLMS LÄN</t>
        </is>
      </c>
      <c r="E490" t="inlineStr">
        <is>
          <t>NORRTÄLJE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11438-2021</t>
        </is>
      </c>
      <c r="B491" s="1" t="n">
        <v>44263</v>
      </c>
      <c r="C491" s="1" t="n">
        <v>45588</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11988-2021</t>
        </is>
      </c>
      <c r="B492" s="1" t="n">
        <v>44266</v>
      </c>
      <c r="C492" s="1" t="n">
        <v>45588</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12031-2021</t>
        </is>
      </c>
      <c r="B493" s="1" t="n">
        <v>44266</v>
      </c>
      <c r="C493" s="1" t="n">
        <v>45588</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12111-2021</t>
        </is>
      </c>
      <c r="B494" s="1" t="n">
        <v>44266</v>
      </c>
      <c r="C494" s="1" t="n">
        <v>45588</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12132-2021</t>
        </is>
      </c>
      <c r="B495" s="1" t="n">
        <v>44266</v>
      </c>
      <c r="C495" s="1" t="n">
        <v>45588</v>
      </c>
      <c r="D495" t="inlineStr">
        <is>
          <t>STOCKHOLMS LÄN</t>
        </is>
      </c>
      <c r="E495" t="inlineStr">
        <is>
          <t>NORRTÄLJE</t>
        </is>
      </c>
      <c r="G495" t="n">
        <v>4</v>
      </c>
      <c r="H495" t="n">
        <v>0</v>
      </c>
      <c r="I495" t="n">
        <v>0</v>
      </c>
      <c r="J495" t="n">
        <v>0</v>
      </c>
      <c r="K495" t="n">
        <v>0</v>
      </c>
      <c r="L495" t="n">
        <v>0</v>
      </c>
      <c r="M495" t="n">
        <v>0</v>
      </c>
      <c r="N495" t="n">
        <v>0</v>
      </c>
      <c r="O495" t="n">
        <v>0</v>
      </c>
      <c r="P495" t="n">
        <v>0</v>
      </c>
      <c r="Q495" t="n">
        <v>0</v>
      </c>
      <c r="R495" s="2" t="inlineStr"/>
    </row>
    <row r="496" ht="15" customHeight="1">
      <c r="A496" t="inlineStr">
        <is>
          <t>A 12564-2021</t>
        </is>
      </c>
      <c r="B496" s="1" t="n">
        <v>44270</v>
      </c>
      <c r="C496" s="1" t="n">
        <v>45588</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12779-2021</t>
        </is>
      </c>
      <c r="B497" s="1" t="n">
        <v>44270</v>
      </c>
      <c r="C497" s="1" t="n">
        <v>45588</v>
      </c>
      <c r="D497" t="inlineStr">
        <is>
          <t>STOCKHOLMS LÄN</t>
        </is>
      </c>
      <c r="E497" t="inlineStr">
        <is>
          <t>NORRTÄLJE</t>
        </is>
      </c>
      <c r="G497" t="n">
        <v>10.8</v>
      </c>
      <c r="H497" t="n">
        <v>0</v>
      </c>
      <c r="I497" t="n">
        <v>0</v>
      </c>
      <c r="J497" t="n">
        <v>0</v>
      </c>
      <c r="K497" t="n">
        <v>0</v>
      </c>
      <c r="L497" t="n">
        <v>0</v>
      </c>
      <c r="M497" t="n">
        <v>0</v>
      </c>
      <c r="N497" t="n">
        <v>0</v>
      </c>
      <c r="O497" t="n">
        <v>0</v>
      </c>
      <c r="P497" t="n">
        <v>0</v>
      </c>
      <c r="Q497" t="n">
        <v>0</v>
      </c>
      <c r="R497" s="2" t="inlineStr"/>
    </row>
    <row r="498" ht="15" customHeight="1">
      <c r="A498" t="inlineStr">
        <is>
          <t>A 12782-2021</t>
        </is>
      </c>
      <c r="B498" s="1" t="n">
        <v>44270</v>
      </c>
      <c r="C498" s="1" t="n">
        <v>45588</v>
      </c>
      <c r="D498" t="inlineStr">
        <is>
          <t>STOCKHOLMS LÄN</t>
        </is>
      </c>
      <c r="E498" t="inlineStr">
        <is>
          <t>NORRTÄLJE</t>
        </is>
      </c>
      <c r="G498" t="n">
        <v>3.8</v>
      </c>
      <c r="H498" t="n">
        <v>0</v>
      </c>
      <c r="I498" t="n">
        <v>0</v>
      </c>
      <c r="J498" t="n">
        <v>0</v>
      </c>
      <c r="K498" t="n">
        <v>0</v>
      </c>
      <c r="L498" t="n">
        <v>0</v>
      </c>
      <c r="M498" t="n">
        <v>0</v>
      </c>
      <c r="N498" t="n">
        <v>0</v>
      </c>
      <c r="O498" t="n">
        <v>0</v>
      </c>
      <c r="P498" t="n">
        <v>0</v>
      </c>
      <c r="Q498" t="n">
        <v>0</v>
      </c>
      <c r="R498" s="2" t="inlineStr"/>
    </row>
    <row r="499" ht="15" customHeight="1">
      <c r="A499" t="inlineStr">
        <is>
          <t>A 13051-2021</t>
        </is>
      </c>
      <c r="B499" s="1" t="n">
        <v>44272</v>
      </c>
      <c r="C499" s="1" t="n">
        <v>45588</v>
      </c>
      <c r="D499" t="inlineStr">
        <is>
          <t>STOCKHOLMS LÄN</t>
        </is>
      </c>
      <c r="E499" t="inlineStr">
        <is>
          <t>NORRTÄLJE</t>
        </is>
      </c>
      <c r="G499" t="n">
        <v>9.1</v>
      </c>
      <c r="H499" t="n">
        <v>0</v>
      </c>
      <c r="I499" t="n">
        <v>0</v>
      </c>
      <c r="J499" t="n">
        <v>0</v>
      </c>
      <c r="K499" t="n">
        <v>0</v>
      </c>
      <c r="L499" t="n">
        <v>0</v>
      </c>
      <c r="M499" t="n">
        <v>0</v>
      </c>
      <c r="N499" t="n">
        <v>0</v>
      </c>
      <c r="O499" t="n">
        <v>0</v>
      </c>
      <c r="P499" t="n">
        <v>0</v>
      </c>
      <c r="Q499" t="n">
        <v>0</v>
      </c>
      <c r="R499" s="2" t="inlineStr"/>
    </row>
    <row r="500" ht="15" customHeight="1">
      <c r="A500" t="inlineStr">
        <is>
          <t>A 13148-2021</t>
        </is>
      </c>
      <c r="B500" s="1" t="n">
        <v>44272</v>
      </c>
      <c r="C500" s="1" t="n">
        <v>45588</v>
      </c>
      <c r="D500" t="inlineStr">
        <is>
          <t>STOCKHOLMS LÄN</t>
        </is>
      </c>
      <c r="E500" t="inlineStr">
        <is>
          <t>NORRTÄLJE</t>
        </is>
      </c>
      <c r="G500" t="n">
        <v>12.4</v>
      </c>
      <c r="H500" t="n">
        <v>0</v>
      </c>
      <c r="I500" t="n">
        <v>0</v>
      </c>
      <c r="J500" t="n">
        <v>0</v>
      </c>
      <c r="K500" t="n">
        <v>0</v>
      </c>
      <c r="L500" t="n">
        <v>0</v>
      </c>
      <c r="M500" t="n">
        <v>0</v>
      </c>
      <c r="N500" t="n">
        <v>0</v>
      </c>
      <c r="O500" t="n">
        <v>0</v>
      </c>
      <c r="P500" t="n">
        <v>0</v>
      </c>
      <c r="Q500" t="n">
        <v>0</v>
      </c>
      <c r="R500" s="2" t="inlineStr"/>
    </row>
    <row r="501" ht="15" customHeight="1">
      <c r="A501" t="inlineStr">
        <is>
          <t>A 13736-2021</t>
        </is>
      </c>
      <c r="B501" s="1" t="n">
        <v>44274</v>
      </c>
      <c r="C501" s="1" t="n">
        <v>45588</v>
      </c>
      <c r="D501" t="inlineStr">
        <is>
          <t>STOCKHOLMS LÄN</t>
        </is>
      </c>
      <c r="E501" t="inlineStr">
        <is>
          <t>NORRTÄLJE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13752-2021</t>
        </is>
      </c>
      <c r="B502" s="1" t="n">
        <v>44274</v>
      </c>
      <c r="C502" s="1" t="n">
        <v>45588</v>
      </c>
      <c r="D502" t="inlineStr">
        <is>
          <t>STOCKHOLMS LÄN</t>
        </is>
      </c>
      <c r="E502" t="inlineStr">
        <is>
          <t>NORRTÄLJE</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45588</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14922-2021</t>
        </is>
      </c>
      <c r="B504" s="1" t="n">
        <v>44281</v>
      </c>
      <c r="C504" s="1" t="n">
        <v>45588</v>
      </c>
      <c r="D504" t="inlineStr">
        <is>
          <t>STOCKHOLMS LÄN</t>
        </is>
      </c>
      <c r="E504" t="inlineStr">
        <is>
          <t>NORRTÄLJE</t>
        </is>
      </c>
      <c r="G504" t="n">
        <v>4.8</v>
      </c>
      <c r="H504" t="n">
        <v>0</v>
      </c>
      <c r="I504" t="n">
        <v>0</v>
      </c>
      <c r="J504" t="n">
        <v>0</v>
      </c>
      <c r="K504" t="n">
        <v>0</v>
      </c>
      <c r="L504" t="n">
        <v>0</v>
      </c>
      <c r="M504" t="n">
        <v>0</v>
      </c>
      <c r="N504" t="n">
        <v>0</v>
      </c>
      <c r="O504" t="n">
        <v>0</v>
      </c>
      <c r="P504" t="n">
        <v>0</v>
      </c>
      <c r="Q504" t="n">
        <v>0</v>
      </c>
      <c r="R504" s="2" t="inlineStr"/>
    </row>
    <row r="505" ht="15" customHeight="1">
      <c r="A505" t="inlineStr">
        <is>
          <t>A 14933-2021</t>
        </is>
      </c>
      <c r="B505" s="1" t="n">
        <v>44281</v>
      </c>
      <c r="C505" s="1" t="n">
        <v>45588</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15289-2021</t>
        </is>
      </c>
      <c r="B506" s="1" t="n">
        <v>44284</v>
      </c>
      <c r="C506" s="1" t="n">
        <v>45588</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15441-2021</t>
        </is>
      </c>
      <c r="B507" s="1" t="n">
        <v>44284</v>
      </c>
      <c r="C507" s="1" t="n">
        <v>45588</v>
      </c>
      <c r="D507" t="inlineStr">
        <is>
          <t>STOCKHOLMS LÄN</t>
        </is>
      </c>
      <c r="E507" t="inlineStr">
        <is>
          <t>NORRTÄLJE</t>
        </is>
      </c>
      <c r="G507" t="n">
        <v>27</v>
      </c>
      <c r="H507" t="n">
        <v>0</v>
      </c>
      <c r="I507" t="n">
        <v>0</v>
      </c>
      <c r="J507" t="n">
        <v>0</v>
      </c>
      <c r="K507" t="n">
        <v>0</v>
      </c>
      <c r="L507" t="n">
        <v>0</v>
      </c>
      <c r="M507" t="n">
        <v>0</v>
      </c>
      <c r="N507" t="n">
        <v>0</v>
      </c>
      <c r="O507" t="n">
        <v>0</v>
      </c>
      <c r="P507" t="n">
        <v>0</v>
      </c>
      <c r="Q507" t="n">
        <v>0</v>
      </c>
      <c r="R507" s="2" t="inlineStr"/>
    </row>
    <row r="508" ht="15" customHeight="1">
      <c r="A508" t="inlineStr">
        <is>
          <t>A 15552-2021</t>
        </is>
      </c>
      <c r="B508" s="1" t="n">
        <v>44285</v>
      </c>
      <c r="C508" s="1" t="n">
        <v>45588</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16668-2021</t>
        </is>
      </c>
      <c r="B509" s="1" t="n">
        <v>44294</v>
      </c>
      <c r="C509" s="1" t="n">
        <v>45588</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17460-2021</t>
        </is>
      </c>
      <c r="B510" s="1" t="n">
        <v>44299</v>
      </c>
      <c r="C510" s="1" t="n">
        <v>45588</v>
      </c>
      <c r="D510" t="inlineStr">
        <is>
          <t>STOCKHOLMS LÄN</t>
        </is>
      </c>
      <c r="E510" t="inlineStr">
        <is>
          <t>NORRTÄLJE</t>
        </is>
      </c>
      <c r="G510" t="n">
        <v>3.2</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45588</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18580-2021</t>
        </is>
      </c>
      <c r="B512" s="1" t="n">
        <v>44306</v>
      </c>
      <c r="C512" s="1" t="n">
        <v>45588</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18609-2021</t>
        </is>
      </c>
      <c r="B513" s="1" t="n">
        <v>44306</v>
      </c>
      <c r="C513" s="1" t="n">
        <v>45588</v>
      </c>
      <c r="D513" t="inlineStr">
        <is>
          <t>STOCKHOLMS LÄN</t>
        </is>
      </c>
      <c r="E513" t="inlineStr">
        <is>
          <t>NORRTÄLJE</t>
        </is>
      </c>
      <c r="G513" t="n">
        <v>9.5</v>
      </c>
      <c r="H513" t="n">
        <v>0</v>
      </c>
      <c r="I513" t="n">
        <v>0</v>
      </c>
      <c r="J513" t="n">
        <v>0</v>
      </c>
      <c r="K513" t="n">
        <v>0</v>
      </c>
      <c r="L513" t="n">
        <v>0</v>
      </c>
      <c r="M513" t="n">
        <v>0</v>
      </c>
      <c r="N513" t="n">
        <v>0</v>
      </c>
      <c r="O513" t="n">
        <v>0</v>
      </c>
      <c r="P513" t="n">
        <v>0</v>
      </c>
      <c r="Q513" t="n">
        <v>0</v>
      </c>
      <c r="R513" s="2" t="inlineStr"/>
    </row>
    <row r="514" ht="15" customHeight="1">
      <c r="A514" t="inlineStr">
        <is>
          <t>A 18539-2021</t>
        </is>
      </c>
      <c r="B514" s="1" t="n">
        <v>44306</v>
      </c>
      <c r="C514" s="1" t="n">
        <v>45588</v>
      </c>
      <c r="D514" t="inlineStr">
        <is>
          <t>STOCKHOLMS LÄN</t>
        </is>
      </c>
      <c r="E514" t="inlineStr">
        <is>
          <t>NORRTÄLJE</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18570-2021</t>
        </is>
      </c>
      <c r="B515" s="1" t="n">
        <v>44306</v>
      </c>
      <c r="C515" s="1" t="n">
        <v>45588</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19283-2021</t>
        </is>
      </c>
      <c r="B516" s="1" t="n">
        <v>44309</v>
      </c>
      <c r="C516" s="1" t="n">
        <v>45588</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19400-2021</t>
        </is>
      </c>
      <c r="B517" s="1" t="n">
        <v>44309</v>
      </c>
      <c r="C517" s="1" t="n">
        <v>45588</v>
      </c>
      <c r="D517" t="inlineStr">
        <is>
          <t>STOCKHOLMS LÄN</t>
        </is>
      </c>
      <c r="E517" t="inlineStr">
        <is>
          <t>NORRTÄLJE</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19307-2021</t>
        </is>
      </c>
      <c r="B518" s="1" t="n">
        <v>44309</v>
      </c>
      <c r="C518" s="1" t="n">
        <v>45588</v>
      </c>
      <c r="D518" t="inlineStr">
        <is>
          <t>STOCKHOLMS LÄN</t>
        </is>
      </c>
      <c r="E518" t="inlineStr">
        <is>
          <t>NORRTÄLJE</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19398-2021</t>
        </is>
      </c>
      <c r="B519" s="1" t="n">
        <v>44309</v>
      </c>
      <c r="C519" s="1" t="n">
        <v>45588</v>
      </c>
      <c r="D519" t="inlineStr">
        <is>
          <t>STOCKHOLMS LÄN</t>
        </is>
      </c>
      <c r="E519" t="inlineStr">
        <is>
          <t>NORRTÄLJE</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20073-2021</t>
        </is>
      </c>
      <c r="B520" s="1" t="n">
        <v>44314</v>
      </c>
      <c r="C520" s="1" t="n">
        <v>45588</v>
      </c>
      <c r="D520" t="inlineStr">
        <is>
          <t>STOCKHOLMS LÄN</t>
        </is>
      </c>
      <c r="E520" t="inlineStr">
        <is>
          <t>NORRTÄLJE</t>
        </is>
      </c>
      <c r="G520" t="n">
        <v>4.6</v>
      </c>
      <c r="H520" t="n">
        <v>0</v>
      </c>
      <c r="I520" t="n">
        <v>0</v>
      </c>
      <c r="J520" t="n">
        <v>0</v>
      </c>
      <c r="K520" t="n">
        <v>0</v>
      </c>
      <c r="L520" t="n">
        <v>0</v>
      </c>
      <c r="M520" t="n">
        <v>0</v>
      </c>
      <c r="N520" t="n">
        <v>0</v>
      </c>
      <c r="O520" t="n">
        <v>0</v>
      </c>
      <c r="P520" t="n">
        <v>0</v>
      </c>
      <c r="Q520" t="n">
        <v>0</v>
      </c>
      <c r="R520" s="2" t="inlineStr"/>
    </row>
    <row r="521" ht="15" customHeight="1">
      <c r="A521" t="inlineStr">
        <is>
          <t>A 20473-2021</t>
        </is>
      </c>
      <c r="B521" s="1" t="n">
        <v>44315</v>
      </c>
      <c r="C521" s="1" t="n">
        <v>45588</v>
      </c>
      <c r="D521" t="inlineStr">
        <is>
          <t>STOCKHOLMS LÄN</t>
        </is>
      </c>
      <c r="E521" t="inlineStr">
        <is>
          <t>NORRTÄLJE</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21291-2021</t>
        </is>
      </c>
      <c r="B522" s="1" t="n">
        <v>44319</v>
      </c>
      <c r="C522" s="1" t="n">
        <v>45588</v>
      </c>
      <c r="D522" t="inlineStr">
        <is>
          <t>STOCKHOLMS LÄN</t>
        </is>
      </c>
      <c r="E522" t="inlineStr">
        <is>
          <t>NORRTÄLJE</t>
        </is>
      </c>
      <c r="G522" t="n">
        <v>12.7</v>
      </c>
      <c r="H522" t="n">
        <v>0</v>
      </c>
      <c r="I522" t="n">
        <v>0</v>
      </c>
      <c r="J522" t="n">
        <v>0</v>
      </c>
      <c r="K522" t="n">
        <v>0</v>
      </c>
      <c r="L522" t="n">
        <v>0</v>
      </c>
      <c r="M522" t="n">
        <v>0</v>
      </c>
      <c r="N522" t="n">
        <v>0</v>
      </c>
      <c r="O522" t="n">
        <v>0</v>
      </c>
      <c r="P522" t="n">
        <v>0</v>
      </c>
      <c r="Q522" t="n">
        <v>0</v>
      </c>
      <c r="R522" s="2" t="inlineStr"/>
    </row>
    <row r="523" ht="15" customHeight="1">
      <c r="A523" t="inlineStr">
        <is>
          <t>A 21529-2021</t>
        </is>
      </c>
      <c r="B523" s="1" t="n">
        <v>44321</v>
      </c>
      <c r="C523" s="1" t="n">
        <v>45588</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22832-2021</t>
        </is>
      </c>
      <c r="B524" s="1" t="n">
        <v>44325</v>
      </c>
      <c r="C524" s="1" t="n">
        <v>45588</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22816-2021</t>
        </is>
      </c>
      <c r="B525" s="1" t="n">
        <v>44325</v>
      </c>
      <c r="C525" s="1" t="n">
        <v>45588</v>
      </c>
      <c r="D525" t="inlineStr">
        <is>
          <t>STOCKHOLMS LÄN</t>
        </is>
      </c>
      <c r="E525" t="inlineStr">
        <is>
          <t>NORRTÄLJE</t>
        </is>
      </c>
      <c r="G525" t="n">
        <v>4.5</v>
      </c>
      <c r="H525" t="n">
        <v>0</v>
      </c>
      <c r="I525" t="n">
        <v>0</v>
      </c>
      <c r="J525" t="n">
        <v>0</v>
      </c>
      <c r="K525" t="n">
        <v>0</v>
      </c>
      <c r="L525" t="n">
        <v>0</v>
      </c>
      <c r="M525" t="n">
        <v>0</v>
      </c>
      <c r="N525" t="n">
        <v>0</v>
      </c>
      <c r="O525" t="n">
        <v>0</v>
      </c>
      <c r="P525" t="n">
        <v>0</v>
      </c>
      <c r="Q525" t="n">
        <v>0</v>
      </c>
      <c r="R525" s="2" t="inlineStr"/>
    </row>
    <row r="526" ht="15" customHeight="1">
      <c r="A526" t="inlineStr">
        <is>
          <t>A 22369-2021</t>
        </is>
      </c>
      <c r="B526" s="1" t="n">
        <v>44326</v>
      </c>
      <c r="C526" s="1" t="n">
        <v>45588</v>
      </c>
      <c r="D526" t="inlineStr">
        <is>
          <t>STOCKHOLMS LÄN</t>
        </is>
      </c>
      <c r="E526" t="inlineStr">
        <is>
          <t>NORRTÄLJE</t>
        </is>
      </c>
      <c r="F526" t="inlineStr">
        <is>
          <t>Holmen skog AB</t>
        </is>
      </c>
      <c r="G526" t="n">
        <v>3.4</v>
      </c>
      <c r="H526" t="n">
        <v>0</v>
      </c>
      <c r="I526" t="n">
        <v>0</v>
      </c>
      <c r="J526" t="n">
        <v>0</v>
      </c>
      <c r="K526" t="n">
        <v>0</v>
      </c>
      <c r="L526" t="n">
        <v>0</v>
      </c>
      <c r="M526" t="n">
        <v>0</v>
      </c>
      <c r="N526" t="n">
        <v>0</v>
      </c>
      <c r="O526" t="n">
        <v>0</v>
      </c>
      <c r="P526" t="n">
        <v>0</v>
      </c>
      <c r="Q526" t="n">
        <v>0</v>
      </c>
      <c r="R526" s="2" t="inlineStr"/>
    </row>
    <row r="527" ht="15" customHeight="1">
      <c r="A527" t="inlineStr">
        <is>
          <t>A 22421-2021</t>
        </is>
      </c>
      <c r="B527" s="1" t="n">
        <v>44326</v>
      </c>
      <c r="C527" s="1" t="n">
        <v>45588</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22412-2021</t>
        </is>
      </c>
      <c r="B528" s="1" t="n">
        <v>44326</v>
      </c>
      <c r="C528" s="1" t="n">
        <v>45588</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23123-2021</t>
        </is>
      </c>
      <c r="B529" s="1" t="n">
        <v>44330</v>
      </c>
      <c r="C529" s="1" t="n">
        <v>45588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23096-2021</t>
        </is>
      </c>
      <c r="B530" s="1" t="n">
        <v>44330</v>
      </c>
      <c r="C530" s="1" t="n">
        <v>45588</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23122-2021</t>
        </is>
      </c>
      <c r="B531" s="1" t="n">
        <v>44330</v>
      </c>
      <c r="C531" s="1" t="n">
        <v>45588</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23453-2021</t>
        </is>
      </c>
      <c r="B532" s="1" t="n">
        <v>44333</v>
      </c>
      <c r="C532" s="1" t="n">
        <v>45588</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24082-2021</t>
        </is>
      </c>
      <c r="B533" s="1" t="n">
        <v>44336</v>
      </c>
      <c r="C533" s="1" t="n">
        <v>45588</v>
      </c>
      <c r="D533" t="inlineStr">
        <is>
          <t>STOCKHOLMS LÄN</t>
        </is>
      </c>
      <c r="E533" t="inlineStr">
        <is>
          <t>NORRTÄLJE</t>
        </is>
      </c>
      <c r="G533" t="n">
        <v>6.8</v>
      </c>
      <c r="H533" t="n">
        <v>0</v>
      </c>
      <c r="I533" t="n">
        <v>0</v>
      </c>
      <c r="J533" t="n">
        <v>0</v>
      </c>
      <c r="K533" t="n">
        <v>0</v>
      </c>
      <c r="L533" t="n">
        <v>0</v>
      </c>
      <c r="M533" t="n">
        <v>0</v>
      </c>
      <c r="N533" t="n">
        <v>0</v>
      </c>
      <c r="O533" t="n">
        <v>0</v>
      </c>
      <c r="P533" t="n">
        <v>0</v>
      </c>
      <c r="Q533" t="n">
        <v>0</v>
      </c>
      <c r="R533" s="2" t="inlineStr"/>
    </row>
    <row r="534" ht="15" customHeight="1">
      <c r="A534" t="inlineStr">
        <is>
          <t>A 25463-2021</t>
        </is>
      </c>
      <c r="B534" s="1" t="n">
        <v>44342</v>
      </c>
      <c r="C534" s="1" t="n">
        <v>45588</v>
      </c>
      <c r="D534" t="inlineStr">
        <is>
          <t>STOCKHOLMS LÄN</t>
        </is>
      </c>
      <c r="E534" t="inlineStr">
        <is>
          <t>NORRTÄLJE</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27217-2021</t>
        </is>
      </c>
      <c r="B535" s="1" t="n">
        <v>44350</v>
      </c>
      <c r="C535" s="1" t="n">
        <v>45588</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27214-2021</t>
        </is>
      </c>
      <c r="B536" s="1" t="n">
        <v>44350</v>
      </c>
      <c r="C536" s="1" t="n">
        <v>45588</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29357-2021</t>
        </is>
      </c>
      <c r="B537" s="1" t="n">
        <v>44361</v>
      </c>
      <c r="C537" s="1" t="n">
        <v>45588</v>
      </c>
      <c r="D537" t="inlineStr">
        <is>
          <t>STOCKHOLMS LÄN</t>
        </is>
      </c>
      <c r="E537" t="inlineStr">
        <is>
          <t>NORRTÄLJE</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29680-2021</t>
        </is>
      </c>
      <c r="B538" s="1" t="n">
        <v>44362</v>
      </c>
      <c r="C538" s="1" t="n">
        <v>45588</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29684-2021</t>
        </is>
      </c>
      <c r="B539" s="1" t="n">
        <v>44362</v>
      </c>
      <c r="C539" s="1" t="n">
        <v>45588</v>
      </c>
      <c r="D539" t="inlineStr">
        <is>
          <t>STOCKHOLMS LÄN</t>
        </is>
      </c>
      <c r="E539" t="inlineStr">
        <is>
          <t>NORRTÄLJE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30129-2021</t>
        </is>
      </c>
      <c r="B540" s="1" t="n">
        <v>44363</v>
      </c>
      <c r="C540" s="1" t="n">
        <v>45588</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31688-2021</t>
        </is>
      </c>
      <c r="B541" s="1" t="n">
        <v>44369</v>
      </c>
      <c r="C541" s="1" t="n">
        <v>45588</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32002-2021</t>
        </is>
      </c>
      <c r="B542" s="1" t="n">
        <v>44370</v>
      </c>
      <c r="C542" s="1" t="n">
        <v>45588</v>
      </c>
      <c r="D542" t="inlineStr">
        <is>
          <t>STOCKHOLMS LÄN</t>
        </is>
      </c>
      <c r="E542" t="inlineStr">
        <is>
          <t>NORRTÄLJE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32051-2021</t>
        </is>
      </c>
      <c r="B543" s="1" t="n">
        <v>44370</v>
      </c>
      <c r="C543" s="1" t="n">
        <v>45588</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32055-2021</t>
        </is>
      </c>
      <c r="B544" s="1" t="n">
        <v>44370</v>
      </c>
      <c r="C544" s="1" t="n">
        <v>45588</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32561-2021</t>
        </is>
      </c>
      <c r="B545" s="1" t="n">
        <v>44375</v>
      </c>
      <c r="C545" s="1" t="n">
        <v>45588</v>
      </c>
      <c r="D545" t="inlineStr">
        <is>
          <t>STOCKHOLMS LÄN</t>
        </is>
      </c>
      <c r="E545" t="inlineStr">
        <is>
          <t>NORRTÄLJE</t>
        </is>
      </c>
      <c r="G545" t="n">
        <v>3.4</v>
      </c>
      <c r="H545" t="n">
        <v>0</v>
      </c>
      <c r="I545" t="n">
        <v>0</v>
      </c>
      <c r="J545" t="n">
        <v>0</v>
      </c>
      <c r="K545" t="n">
        <v>0</v>
      </c>
      <c r="L545" t="n">
        <v>0</v>
      </c>
      <c r="M545" t="n">
        <v>0</v>
      </c>
      <c r="N545" t="n">
        <v>0</v>
      </c>
      <c r="O545" t="n">
        <v>0</v>
      </c>
      <c r="P545" t="n">
        <v>0</v>
      </c>
      <c r="Q545" t="n">
        <v>0</v>
      </c>
      <c r="R545" s="2" t="inlineStr"/>
    </row>
    <row r="546" ht="15" customHeight="1">
      <c r="A546" t="inlineStr">
        <is>
          <t>A 32857-2021</t>
        </is>
      </c>
      <c r="B546" s="1" t="n">
        <v>44375</v>
      </c>
      <c r="C546" s="1" t="n">
        <v>45588</v>
      </c>
      <c r="D546" t="inlineStr">
        <is>
          <t>STOCKHOLMS LÄN</t>
        </is>
      </c>
      <c r="E546" t="inlineStr">
        <is>
          <t>NORRTÄLJE</t>
        </is>
      </c>
      <c r="G546" t="n">
        <v>2.9</v>
      </c>
      <c r="H546" t="n">
        <v>0</v>
      </c>
      <c r="I546" t="n">
        <v>0</v>
      </c>
      <c r="J546" t="n">
        <v>0</v>
      </c>
      <c r="K546" t="n">
        <v>0</v>
      </c>
      <c r="L546" t="n">
        <v>0</v>
      </c>
      <c r="M546" t="n">
        <v>0</v>
      </c>
      <c r="N546" t="n">
        <v>0</v>
      </c>
      <c r="O546" t="n">
        <v>0</v>
      </c>
      <c r="P546" t="n">
        <v>0</v>
      </c>
      <c r="Q546" t="n">
        <v>0</v>
      </c>
      <c r="R546" s="2" t="inlineStr"/>
    </row>
    <row r="547" ht="15" customHeight="1">
      <c r="A547" t="inlineStr">
        <is>
          <t>A 33053-2021</t>
        </is>
      </c>
      <c r="B547" s="1" t="n">
        <v>44376</v>
      </c>
      <c r="C547" s="1" t="n">
        <v>45588</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33046-2021</t>
        </is>
      </c>
      <c r="B548" s="1" t="n">
        <v>44376</v>
      </c>
      <c r="C548" s="1" t="n">
        <v>45588</v>
      </c>
      <c r="D548" t="inlineStr">
        <is>
          <t>STOCKHOLMS LÄN</t>
        </is>
      </c>
      <c r="E548" t="inlineStr">
        <is>
          <t>NORRTÄLJE</t>
        </is>
      </c>
      <c r="G548" t="n">
        <v>2.1</v>
      </c>
      <c r="H548" t="n">
        <v>0</v>
      </c>
      <c r="I548" t="n">
        <v>0</v>
      </c>
      <c r="J548" t="n">
        <v>0</v>
      </c>
      <c r="K548" t="n">
        <v>0</v>
      </c>
      <c r="L548" t="n">
        <v>0</v>
      </c>
      <c r="M548" t="n">
        <v>0</v>
      </c>
      <c r="N548" t="n">
        <v>0</v>
      </c>
      <c r="O548" t="n">
        <v>0</v>
      </c>
      <c r="P548" t="n">
        <v>0</v>
      </c>
      <c r="Q548" t="n">
        <v>0</v>
      </c>
      <c r="R548" s="2" t="inlineStr"/>
    </row>
    <row r="549" ht="15" customHeight="1">
      <c r="A549" t="inlineStr">
        <is>
          <t>A 33040-2021</t>
        </is>
      </c>
      <c r="B549" s="1" t="n">
        <v>44376</v>
      </c>
      <c r="C549" s="1" t="n">
        <v>45588</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34520-2021</t>
        </is>
      </c>
      <c r="B550" s="1" t="n">
        <v>44379</v>
      </c>
      <c r="C550" s="1" t="n">
        <v>45588</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34432-2021</t>
        </is>
      </c>
      <c r="B551" s="1" t="n">
        <v>44380</v>
      </c>
      <c r="C551" s="1" t="n">
        <v>45588</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34431-2021</t>
        </is>
      </c>
      <c r="B552" s="1" t="n">
        <v>44380</v>
      </c>
      <c r="C552" s="1" t="n">
        <v>45588</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34436-2021</t>
        </is>
      </c>
      <c r="B553" s="1" t="n">
        <v>44380</v>
      </c>
      <c r="C553" s="1" t="n">
        <v>45588</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34731-2021</t>
        </is>
      </c>
      <c r="B554" s="1" t="n">
        <v>44382</v>
      </c>
      <c r="C554" s="1" t="n">
        <v>45588</v>
      </c>
      <c r="D554" t="inlineStr">
        <is>
          <t>STOCKHOLMS LÄN</t>
        </is>
      </c>
      <c r="E554" t="inlineStr">
        <is>
          <t>NORRTÄLJE</t>
        </is>
      </c>
      <c r="G554" t="n">
        <v>0.2</v>
      </c>
      <c r="H554" t="n">
        <v>0</v>
      </c>
      <c r="I554" t="n">
        <v>0</v>
      </c>
      <c r="J554" t="n">
        <v>0</v>
      </c>
      <c r="K554" t="n">
        <v>0</v>
      </c>
      <c r="L554" t="n">
        <v>0</v>
      </c>
      <c r="M554" t="n">
        <v>0</v>
      </c>
      <c r="N554" t="n">
        <v>0</v>
      </c>
      <c r="O554" t="n">
        <v>0</v>
      </c>
      <c r="P554" t="n">
        <v>0</v>
      </c>
      <c r="Q554" t="n">
        <v>0</v>
      </c>
      <c r="R554" s="2" t="inlineStr"/>
    </row>
    <row r="555" ht="15" customHeight="1">
      <c r="A555" t="inlineStr">
        <is>
          <t>A 34792-2021</t>
        </is>
      </c>
      <c r="B555" s="1" t="n">
        <v>44383</v>
      </c>
      <c r="C555" s="1" t="n">
        <v>45588</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36246-2021</t>
        </is>
      </c>
      <c r="B556" s="1" t="n">
        <v>44390</v>
      </c>
      <c r="C556" s="1" t="n">
        <v>45588</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v>
      </c>
      <c r="C557" s="1" t="n">
        <v>45588</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37085-2021</t>
        </is>
      </c>
      <c r="B558" s="1" t="n">
        <v>44395</v>
      </c>
      <c r="C558" s="1" t="n">
        <v>45588</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37344-2021</t>
        </is>
      </c>
      <c r="B559" s="1" t="n">
        <v>44397</v>
      </c>
      <c r="C559" s="1" t="n">
        <v>45588</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37415-2021</t>
        </is>
      </c>
      <c r="B560" s="1" t="n">
        <v>44397</v>
      </c>
      <c r="C560" s="1" t="n">
        <v>45588</v>
      </c>
      <c r="D560" t="inlineStr">
        <is>
          <t>STOCKHOLMS LÄN</t>
        </is>
      </c>
      <c r="E560" t="inlineStr">
        <is>
          <t>NORRTÄLJE</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37444-2021</t>
        </is>
      </c>
      <c r="B561" s="1" t="n">
        <v>44398</v>
      </c>
      <c r="C561" s="1" t="n">
        <v>45588</v>
      </c>
      <c r="D561" t="inlineStr">
        <is>
          <t>STOCKHOLMS LÄN</t>
        </is>
      </c>
      <c r="E561" t="inlineStr">
        <is>
          <t>NORRTÄLJE</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37462-2021</t>
        </is>
      </c>
      <c r="B562" s="1" t="n">
        <v>44398</v>
      </c>
      <c r="C562" s="1" t="n">
        <v>45588</v>
      </c>
      <c r="D562" t="inlineStr">
        <is>
          <t>STOCKHOLMS LÄN</t>
        </is>
      </c>
      <c r="E562" t="inlineStr">
        <is>
          <t>NORRTÄLJE</t>
        </is>
      </c>
      <c r="G562" t="n">
        <v>3.5</v>
      </c>
      <c r="H562" t="n">
        <v>0</v>
      </c>
      <c r="I562" t="n">
        <v>0</v>
      </c>
      <c r="J562" t="n">
        <v>0</v>
      </c>
      <c r="K562" t="n">
        <v>0</v>
      </c>
      <c r="L562" t="n">
        <v>0</v>
      </c>
      <c r="M562" t="n">
        <v>0</v>
      </c>
      <c r="N562" t="n">
        <v>0</v>
      </c>
      <c r="O562" t="n">
        <v>0</v>
      </c>
      <c r="P562" t="n">
        <v>0</v>
      </c>
      <c r="Q562" t="n">
        <v>0</v>
      </c>
      <c r="R562" s="2" t="inlineStr"/>
    </row>
    <row r="563" ht="15" customHeight="1">
      <c r="A563" t="inlineStr">
        <is>
          <t>A 37530-2021</t>
        </is>
      </c>
      <c r="B563" s="1" t="n">
        <v>44399</v>
      </c>
      <c r="C563" s="1" t="n">
        <v>45588</v>
      </c>
      <c r="D563" t="inlineStr">
        <is>
          <t>STOCKHOLMS LÄN</t>
        </is>
      </c>
      <c r="E563" t="inlineStr">
        <is>
          <t>NORRTÄLJE</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37522-2021</t>
        </is>
      </c>
      <c r="B564" s="1" t="n">
        <v>44399</v>
      </c>
      <c r="C564" s="1" t="n">
        <v>45588</v>
      </c>
      <c r="D564" t="inlineStr">
        <is>
          <t>STOCKHOLMS LÄN</t>
        </is>
      </c>
      <c r="E564" t="inlineStr">
        <is>
          <t>NORRTÄLJE</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37525-2021</t>
        </is>
      </c>
      <c r="B565" s="1" t="n">
        <v>44399</v>
      </c>
      <c r="C565" s="1" t="n">
        <v>45588</v>
      </c>
      <c r="D565" t="inlineStr">
        <is>
          <t>STOCKHOLMS LÄN</t>
        </is>
      </c>
      <c r="E565" t="inlineStr">
        <is>
          <t>NORRTÄLJE</t>
        </is>
      </c>
      <c r="F565" t="inlineStr">
        <is>
          <t>Holmen skog AB</t>
        </is>
      </c>
      <c r="G565" t="n">
        <v>2.5</v>
      </c>
      <c r="H565" t="n">
        <v>0</v>
      </c>
      <c r="I565" t="n">
        <v>0</v>
      </c>
      <c r="J565" t="n">
        <v>0</v>
      </c>
      <c r="K565" t="n">
        <v>0</v>
      </c>
      <c r="L565" t="n">
        <v>0</v>
      </c>
      <c r="M565" t="n">
        <v>0</v>
      </c>
      <c r="N565" t="n">
        <v>0</v>
      </c>
      <c r="O565" t="n">
        <v>0</v>
      </c>
      <c r="P565" t="n">
        <v>0</v>
      </c>
      <c r="Q565" t="n">
        <v>0</v>
      </c>
      <c r="R565" s="2" t="inlineStr"/>
    </row>
    <row r="566" ht="15" customHeight="1">
      <c r="A566" t="inlineStr">
        <is>
          <t>A 37712-2021</t>
        </is>
      </c>
      <c r="B566" s="1" t="n">
        <v>44400</v>
      </c>
      <c r="C566" s="1" t="n">
        <v>45588</v>
      </c>
      <c r="D566" t="inlineStr">
        <is>
          <t>STOCKHOLMS LÄN</t>
        </is>
      </c>
      <c r="E566" t="inlineStr">
        <is>
          <t>NORRTÄLJE</t>
        </is>
      </c>
      <c r="G566" t="n">
        <v>22.9</v>
      </c>
      <c r="H566" t="n">
        <v>0</v>
      </c>
      <c r="I566" t="n">
        <v>0</v>
      </c>
      <c r="J566" t="n">
        <v>0</v>
      </c>
      <c r="K566" t="n">
        <v>0</v>
      </c>
      <c r="L566" t="n">
        <v>0</v>
      </c>
      <c r="M566" t="n">
        <v>0</v>
      </c>
      <c r="N566" t="n">
        <v>0</v>
      </c>
      <c r="O566" t="n">
        <v>0</v>
      </c>
      <c r="P566" t="n">
        <v>0</v>
      </c>
      <c r="Q566" t="n">
        <v>0</v>
      </c>
      <c r="R566" s="2" t="inlineStr"/>
    </row>
    <row r="567" ht="15" customHeight="1">
      <c r="A567" t="inlineStr">
        <is>
          <t>A 37859-2021</t>
        </is>
      </c>
      <c r="B567" s="1" t="n">
        <v>44403</v>
      </c>
      <c r="C567" s="1" t="n">
        <v>45588</v>
      </c>
      <c r="D567" t="inlineStr">
        <is>
          <t>STOCKHOLMS LÄN</t>
        </is>
      </c>
      <c r="E567" t="inlineStr">
        <is>
          <t>NORRTÄLJE</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39157-2021</t>
        </is>
      </c>
      <c r="B568" s="1" t="n">
        <v>44412</v>
      </c>
      <c r="C568" s="1" t="n">
        <v>45588</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39496-2021</t>
        </is>
      </c>
      <c r="B569" s="1" t="n">
        <v>44414</v>
      </c>
      <c r="C569" s="1" t="n">
        <v>45588</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v>
      </c>
      <c r="C570" s="1" t="n">
        <v>45588</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40425-2021</t>
        </is>
      </c>
      <c r="B571" s="1" t="n">
        <v>44419</v>
      </c>
      <c r="C571" s="1" t="n">
        <v>45588</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40542-2021</t>
        </is>
      </c>
      <c r="B572" s="1" t="n">
        <v>44420</v>
      </c>
      <c r="C572" s="1" t="n">
        <v>45588</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40546-2021</t>
        </is>
      </c>
      <c r="B573" s="1" t="n">
        <v>44420</v>
      </c>
      <c r="C573" s="1" t="n">
        <v>45588</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41595-2021</t>
        </is>
      </c>
      <c r="B574" s="1" t="n">
        <v>44425</v>
      </c>
      <c r="C574" s="1" t="n">
        <v>45588</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41823-2021</t>
        </is>
      </c>
      <c r="B575" s="1" t="n">
        <v>44425</v>
      </c>
      <c r="C575" s="1" t="n">
        <v>45588</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41822-2021</t>
        </is>
      </c>
      <c r="B576" s="1" t="n">
        <v>44425</v>
      </c>
      <c r="C576" s="1" t="n">
        <v>45588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42396-2021</t>
        </is>
      </c>
      <c r="B577" s="1" t="n">
        <v>44427</v>
      </c>
      <c r="C577" s="1" t="n">
        <v>45588</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43478-2021</t>
        </is>
      </c>
      <c r="B578" s="1" t="n">
        <v>44432</v>
      </c>
      <c r="C578" s="1" t="n">
        <v>45588</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44274-2021</t>
        </is>
      </c>
      <c r="B579" s="1" t="n">
        <v>44435</v>
      </c>
      <c r="C579" s="1" t="n">
        <v>45588</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47344-2021</t>
        </is>
      </c>
      <c r="B580" s="1" t="n">
        <v>44447</v>
      </c>
      <c r="C580" s="1" t="n">
        <v>45588</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47349-2021</t>
        </is>
      </c>
      <c r="B581" s="1" t="n">
        <v>44447</v>
      </c>
      <c r="C581" s="1" t="n">
        <v>45588</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47691-2021</t>
        </is>
      </c>
      <c r="B582" s="1" t="n">
        <v>44448</v>
      </c>
      <c r="C582" s="1" t="n">
        <v>45588</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48384-2021</t>
        </is>
      </c>
      <c r="B583" s="1" t="n">
        <v>44451</v>
      </c>
      <c r="C583" s="1" t="n">
        <v>45588</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45588</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48932-2021</t>
        </is>
      </c>
      <c r="B585" s="1" t="n">
        <v>44453</v>
      </c>
      <c r="C585" s="1" t="n">
        <v>45588</v>
      </c>
      <c r="D585" t="inlineStr">
        <is>
          <t>STOCKHOLMS LÄN</t>
        </is>
      </c>
      <c r="E585" t="inlineStr">
        <is>
          <t>NORRTÄLJE</t>
        </is>
      </c>
      <c r="G585" t="n">
        <v>11.2</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45588</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50038-2021</t>
        </is>
      </c>
      <c r="B587" s="1" t="n">
        <v>44456</v>
      </c>
      <c r="C587" s="1" t="n">
        <v>45588</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50108-2021</t>
        </is>
      </c>
      <c r="B588" s="1" t="n">
        <v>44456</v>
      </c>
      <c r="C588" s="1" t="n">
        <v>45588</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50252-2021</t>
        </is>
      </c>
      <c r="B589" s="1" t="n">
        <v>44458</v>
      </c>
      <c r="C589" s="1" t="n">
        <v>45588</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50602-2021</t>
        </is>
      </c>
      <c r="B590" s="1" t="n">
        <v>44459</v>
      </c>
      <c r="C590" s="1" t="n">
        <v>45588</v>
      </c>
      <c r="D590" t="inlineStr">
        <is>
          <t>STOCKHOLMS LÄN</t>
        </is>
      </c>
      <c r="E590" t="inlineStr">
        <is>
          <t>NORRTÄLJE</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51279-2021</t>
        </is>
      </c>
      <c r="B591" s="1" t="n">
        <v>44461</v>
      </c>
      <c r="C591" s="1" t="n">
        <v>45588</v>
      </c>
      <c r="D591" t="inlineStr">
        <is>
          <t>STOCKHOLMS LÄN</t>
        </is>
      </c>
      <c r="E591" t="inlineStr">
        <is>
          <t>NORRTÄLJE</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51315-2021</t>
        </is>
      </c>
      <c r="B592" s="1" t="n">
        <v>44461</v>
      </c>
      <c r="C592" s="1" t="n">
        <v>45588</v>
      </c>
      <c r="D592" t="inlineStr">
        <is>
          <t>STOCKHOLMS LÄN</t>
        </is>
      </c>
      <c r="E592" t="inlineStr">
        <is>
          <t>NORRTÄLJE</t>
        </is>
      </c>
      <c r="F592" t="inlineStr">
        <is>
          <t>Holmen skog AB</t>
        </is>
      </c>
      <c r="G592" t="n">
        <v>2.2</v>
      </c>
      <c r="H592" t="n">
        <v>0</v>
      </c>
      <c r="I592" t="n">
        <v>0</v>
      </c>
      <c r="J592" t="n">
        <v>0</v>
      </c>
      <c r="K592" t="n">
        <v>0</v>
      </c>
      <c r="L592" t="n">
        <v>0</v>
      </c>
      <c r="M592" t="n">
        <v>0</v>
      </c>
      <c r="N592" t="n">
        <v>0</v>
      </c>
      <c r="O592" t="n">
        <v>0</v>
      </c>
      <c r="P592" t="n">
        <v>0</v>
      </c>
      <c r="Q592" t="n">
        <v>0</v>
      </c>
      <c r="R592" s="2" t="inlineStr"/>
    </row>
    <row r="593" ht="15" customHeight="1">
      <c r="A593" t="inlineStr">
        <is>
          <t>A 52090-2021</t>
        </is>
      </c>
      <c r="B593" s="1" t="n">
        <v>44463</v>
      </c>
      <c r="C593" s="1" t="n">
        <v>45588</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52449-2021</t>
        </is>
      </c>
      <c r="B594" s="1" t="n">
        <v>44466</v>
      </c>
      <c r="C594" s="1" t="n">
        <v>45588</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54276-2021</t>
        </is>
      </c>
      <c r="B595" s="1" t="n">
        <v>44470</v>
      </c>
      <c r="C595" s="1" t="n">
        <v>45588</v>
      </c>
      <c r="D595" t="inlineStr">
        <is>
          <t>STOCKHOLMS LÄN</t>
        </is>
      </c>
      <c r="E595" t="inlineStr">
        <is>
          <t>NORRTÄLJE</t>
        </is>
      </c>
      <c r="G595" t="n">
        <v>7.3</v>
      </c>
      <c r="H595" t="n">
        <v>0</v>
      </c>
      <c r="I595" t="n">
        <v>0</v>
      </c>
      <c r="J595" t="n">
        <v>0</v>
      </c>
      <c r="K595" t="n">
        <v>0</v>
      </c>
      <c r="L595" t="n">
        <v>0</v>
      </c>
      <c r="M595" t="n">
        <v>0</v>
      </c>
      <c r="N595" t="n">
        <v>0</v>
      </c>
      <c r="O595" t="n">
        <v>0</v>
      </c>
      <c r="P595" t="n">
        <v>0</v>
      </c>
      <c r="Q595" t="n">
        <v>0</v>
      </c>
      <c r="R595" s="2" t="inlineStr"/>
    </row>
    <row r="596" ht="15" customHeight="1">
      <c r="A596" t="inlineStr">
        <is>
          <t>A 54273-2021</t>
        </is>
      </c>
      <c r="B596" s="1" t="n">
        <v>44470</v>
      </c>
      <c r="C596" s="1" t="n">
        <v>45588</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54272-2021</t>
        </is>
      </c>
      <c r="B597" s="1" t="n">
        <v>44470</v>
      </c>
      <c r="C597" s="1" t="n">
        <v>45588</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54396-2021</t>
        </is>
      </c>
      <c r="B598" s="1" t="n">
        <v>44472</v>
      </c>
      <c r="C598" s="1" t="n">
        <v>45588</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55058-2021</t>
        </is>
      </c>
      <c r="B599" s="1" t="n">
        <v>44474</v>
      </c>
      <c r="C599" s="1" t="n">
        <v>45588</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56219-2021</t>
        </is>
      </c>
      <c r="B600" s="1" t="n">
        <v>44477</v>
      </c>
      <c r="C600" s="1" t="n">
        <v>45588</v>
      </c>
      <c r="D600" t="inlineStr">
        <is>
          <t>STOCKHOLMS LÄN</t>
        </is>
      </c>
      <c r="E600" t="inlineStr">
        <is>
          <t>NORRTÄLJE</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56225-2021</t>
        </is>
      </c>
      <c r="B601" s="1" t="n">
        <v>44478</v>
      </c>
      <c r="C601" s="1" t="n">
        <v>45588</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56878-2021</t>
        </is>
      </c>
      <c r="B602" s="1" t="n">
        <v>44481</v>
      </c>
      <c r="C602" s="1" t="n">
        <v>45588</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45588</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57507-2021</t>
        </is>
      </c>
      <c r="B604" s="1" t="n">
        <v>44483</v>
      </c>
      <c r="C604" s="1" t="n">
        <v>45588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58989-2021</t>
        </is>
      </c>
      <c r="B605" s="1" t="n">
        <v>44490</v>
      </c>
      <c r="C605" s="1" t="n">
        <v>45588</v>
      </c>
      <c r="D605" t="inlineStr">
        <is>
          <t>STOCKHOLMS LÄN</t>
        </is>
      </c>
      <c r="E605" t="inlineStr">
        <is>
          <t>NORRTÄLJE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58990-2021</t>
        </is>
      </c>
      <c r="B606" s="1" t="n">
        <v>44490</v>
      </c>
      <c r="C606" s="1" t="n">
        <v>45588</v>
      </c>
      <c r="D606" t="inlineStr">
        <is>
          <t>STOCKHOLMS LÄN</t>
        </is>
      </c>
      <c r="E606" t="inlineStr">
        <is>
          <t>NORRTÄLJE</t>
        </is>
      </c>
      <c r="G606" t="n">
        <v>4.2</v>
      </c>
      <c r="H606" t="n">
        <v>0</v>
      </c>
      <c r="I606" t="n">
        <v>0</v>
      </c>
      <c r="J606" t="n">
        <v>0</v>
      </c>
      <c r="K606" t="n">
        <v>0</v>
      </c>
      <c r="L606" t="n">
        <v>0</v>
      </c>
      <c r="M606" t="n">
        <v>0</v>
      </c>
      <c r="N606" t="n">
        <v>0</v>
      </c>
      <c r="O606" t="n">
        <v>0</v>
      </c>
      <c r="P606" t="n">
        <v>0</v>
      </c>
      <c r="Q606" t="n">
        <v>0</v>
      </c>
      <c r="R606" s="2" t="inlineStr"/>
    </row>
    <row r="607" ht="15" customHeight="1">
      <c r="A607" t="inlineStr">
        <is>
          <t>A 60217-2021</t>
        </is>
      </c>
      <c r="B607" s="1" t="n">
        <v>44495</v>
      </c>
      <c r="C607" s="1" t="n">
        <v>45588</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60184-2021</t>
        </is>
      </c>
      <c r="B608" s="1" t="n">
        <v>44495</v>
      </c>
      <c r="C608" s="1" t="n">
        <v>45588</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60186-2021</t>
        </is>
      </c>
      <c r="B609" s="1" t="n">
        <v>44495</v>
      </c>
      <c r="C609" s="1" t="n">
        <v>45588</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60209-2021</t>
        </is>
      </c>
      <c r="B610" s="1" t="n">
        <v>44495</v>
      </c>
      <c r="C610" s="1" t="n">
        <v>45588</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60671-2021</t>
        </is>
      </c>
      <c r="B611" s="1" t="n">
        <v>44496</v>
      </c>
      <c r="C611" s="1" t="n">
        <v>45588</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60733-2021</t>
        </is>
      </c>
      <c r="B612" s="1" t="n">
        <v>44496</v>
      </c>
      <c r="C612" s="1" t="n">
        <v>45588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60813-2021</t>
        </is>
      </c>
      <c r="B613" s="1" t="n">
        <v>44496</v>
      </c>
      <c r="C613" s="1" t="n">
        <v>45588</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60822-2021</t>
        </is>
      </c>
      <c r="B614" s="1" t="n">
        <v>44496</v>
      </c>
      <c r="C614" s="1" t="n">
        <v>45588</v>
      </c>
      <c r="D614" t="inlineStr">
        <is>
          <t>STOCKHOLMS LÄN</t>
        </is>
      </c>
      <c r="E614" t="inlineStr">
        <is>
          <t>NORRTÄLJE</t>
        </is>
      </c>
      <c r="G614" t="n">
        <v>7.6</v>
      </c>
      <c r="H614" t="n">
        <v>0</v>
      </c>
      <c r="I614" t="n">
        <v>0</v>
      </c>
      <c r="J614" t="n">
        <v>0</v>
      </c>
      <c r="K614" t="n">
        <v>0</v>
      </c>
      <c r="L614" t="n">
        <v>0</v>
      </c>
      <c r="M614" t="n">
        <v>0</v>
      </c>
      <c r="N614" t="n">
        <v>0</v>
      </c>
      <c r="O614" t="n">
        <v>0</v>
      </c>
      <c r="P614" t="n">
        <v>0</v>
      </c>
      <c r="Q614" t="n">
        <v>0</v>
      </c>
      <c r="R614" s="2" t="inlineStr"/>
    </row>
    <row r="615" ht="15" customHeight="1">
      <c r="A615" t="inlineStr">
        <is>
          <t>A 62030-2021</t>
        </is>
      </c>
      <c r="B615" s="1" t="n">
        <v>44502</v>
      </c>
      <c r="C615" s="1" t="n">
        <v>45588</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63530-2021</t>
        </is>
      </c>
      <c r="B616" s="1" t="n">
        <v>44508</v>
      </c>
      <c r="C616" s="1" t="n">
        <v>45588</v>
      </c>
      <c r="D616" t="inlineStr">
        <is>
          <t>STOCKHOLMS LÄN</t>
        </is>
      </c>
      <c r="E616" t="inlineStr">
        <is>
          <t>NORRTÄLJE</t>
        </is>
      </c>
      <c r="G616" t="n">
        <v>8.9</v>
      </c>
      <c r="H616" t="n">
        <v>0</v>
      </c>
      <c r="I616" t="n">
        <v>0</v>
      </c>
      <c r="J616" t="n">
        <v>0</v>
      </c>
      <c r="K616" t="n">
        <v>0</v>
      </c>
      <c r="L616" t="n">
        <v>0</v>
      </c>
      <c r="M616" t="n">
        <v>0</v>
      </c>
      <c r="N616" t="n">
        <v>0</v>
      </c>
      <c r="O616" t="n">
        <v>0</v>
      </c>
      <c r="P616" t="n">
        <v>0</v>
      </c>
      <c r="Q616" t="n">
        <v>0</v>
      </c>
      <c r="R616" s="2" t="inlineStr"/>
    </row>
    <row r="617" ht="15" customHeight="1">
      <c r="A617" t="inlineStr">
        <is>
          <t>A 64137-2021</t>
        </is>
      </c>
      <c r="B617" s="1" t="n">
        <v>44510</v>
      </c>
      <c r="C617" s="1" t="n">
        <v>45588</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64212-2021</t>
        </is>
      </c>
      <c r="B618" s="1" t="n">
        <v>44510</v>
      </c>
      <c r="C618" s="1" t="n">
        <v>45588</v>
      </c>
      <c r="D618" t="inlineStr">
        <is>
          <t>STOCKHOLMS LÄN</t>
        </is>
      </c>
      <c r="E618" t="inlineStr">
        <is>
          <t>NORRTÄLJE</t>
        </is>
      </c>
      <c r="G618" t="n">
        <v>28.7</v>
      </c>
      <c r="H618" t="n">
        <v>0</v>
      </c>
      <c r="I618" t="n">
        <v>0</v>
      </c>
      <c r="J618" t="n">
        <v>0</v>
      </c>
      <c r="K618" t="n">
        <v>0</v>
      </c>
      <c r="L618" t="n">
        <v>0</v>
      </c>
      <c r="M618" t="n">
        <v>0</v>
      </c>
      <c r="N618" t="n">
        <v>0</v>
      </c>
      <c r="O618" t="n">
        <v>0</v>
      </c>
      <c r="P618" t="n">
        <v>0</v>
      </c>
      <c r="Q618" t="n">
        <v>0</v>
      </c>
      <c r="R618" s="2" t="inlineStr"/>
    </row>
    <row r="619" ht="15" customHeight="1">
      <c r="A619" t="inlineStr">
        <is>
          <t>A 64074-2021</t>
        </is>
      </c>
      <c r="B619" s="1" t="n">
        <v>44510</v>
      </c>
      <c r="C619" s="1" t="n">
        <v>45588</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64145-2021</t>
        </is>
      </c>
      <c r="B620" s="1" t="n">
        <v>44510</v>
      </c>
      <c r="C620" s="1" t="n">
        <v>45588</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64600-2021</t>
        </is>
      </c>
      <c r="B621" s="1" t="n">
        <v>44511</v>
      </c>
      <c r="C621" s="1" t="n">
        <v>45588</v>
      </c>
      <c r="D621" t="inlineStr">
        <is>
          <t>STOCKHOLMS LÄN</t>
        </is>
      </c>
      <c r="E621" t="inlineStr">
        <is>
          <t>NORRTÄLJE</t>
        </is>
      </c>
      <c r="G621" t="n">
        <v>6.2</v>
      </c>
      <c r="H621" t="n">
        <v>0</v>
      </c>
      <c r="I621" t="n">
        <v>0</v>
      </c>
      <c r="J621" t="n">
        <v>0</v>
      </c>
      <c r="K621" t="n">
        <v>0</v>
      </c>
      <c r="L621" t="n">
        <v>0</v>
      </c>
      <c r="M621" t="n">
        <v>0</v>
      </c>
      <c r="N621" t="n">
        <v>0</v>
      </c>
      <c r="O621" t="n">
        <v>0</v>
      </c>
      <c r="P621" t="n">
        <v>0</v>
      </c>
      <c r="Q621" t="n">
        <v>0</v>
      </c>
      <c r="R621" s="2" t="inlineStr"/>
    </row>
    <row r="622" ht="15" customHeight="1">
      <c r="A622" t="inlineStr">
        <is>
          <t>A 64599-2021</t>
        </is>
      </c>
      <c r="B622" s="1" t="n">
        <v>44511</v>
      </c>
      <c r="C622" s="1" t="n">
        <v>45588</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64628-2021</t>
        </is>
      </c>
      <c r="B623" s="1" t="n">
        <v>44511</v>
      </c>
      <c r="C623" s="1" t="n">
        <v>45588</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64915-2021</t>
        </is>
      </c>
      <c r="B624" s="1" t="n">
        <v>44512</v>
      </c>
      <c r="C624" s="1" t="n">
        <v>45588</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65359-2021</t>
        </is>
      </c>
      <c r="B625" s="1" t="n">
        <v>44515</v>
      </c>
      <c r="C625" s="1" t="n">
        <v>45588</v>
      </c>
      <c r="D625" t="inlineStr">
        <is>
          <t>STOCKHOLMS LÄN</t>
        </is>
      </c>
      <c r="E625" t="inlineStr">
        <is>
          <t>NORRTÄLJE</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65499-2021</t>
        </is>
      </c>
      <c r="B626" s="1" t="n">
        <v>44516</v>
      </c>
      <c r="C626" s="1" t="n">
        <v>45588</v>
      </c>
      <c r="D626" t="inlineStr">
        <is>
          <t>STOCKHOLMS LÄN</t>
        </is>
      </c>
      <c r="E626" t="inlineStr">
        <is>
          <t>NORRTÄLJE</t>
        </is>
      </c>
      <c r="F626" t="inlineStr">
        <is>
          <t>Kommuner</t>
        </is>
      </c>
      <c r="G626" t="n">
        <v>5.2</v>
      </c>
      <c r="H626" t="n">
        <v>0</v>
      </c>
      <c r="I626" t="n">
        <v>0</v>
      </c>
      <c r="J626" t="n">
        <v>0</v>
      </c>
      <c r="K626" t="n">
        <v>0</v>
      </c>
      <c r="L626" t="n">
        <v>0</v>
      </c>
      <c r="M626" t="n">
        <v>0</v>
      </c>
      <c r="N626" t="n">
        <v>0</v>
      </c>
      <c r="O626" t="n">
        <v>0</v>
      </c>
      <c r="P626" t="n">
        <v>0</v>
      </c>
      <c r="Q626" t="n">
        <v>0</v>
      </c>
      <c r="R626" s="2" t="inlineStr"/>
    </row>
    <row r="627" ht="15" customHeight="1">
      <c r="A627" t="inlineStr">
        <is>
          <t>A 65513-2021</t>
        </is>
      </c>
      <c r="B627" s="1" t="n">
        <v>44516</v>
      </c>
      <c r="C627" s="1" t="n">
        <v>45588</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65511-2021</t>
        </is>
      </c>
      <c r="B628" s="1" t="n">
        <v>44516</v>
      </c>
      <c r="C628" s="1" t="n">
        <v>45588</v>
      </c>
      <c r="D628" t="inlineStr">
        <is>
          <t>STOCKHOLMS LÄN</t>
        </is>
      </c>
      <c r="E628" t="inlineStr">
        <is>
          <t>NORRTÄLJE</t>
        </is>
      </c>
      <c r="F628" t="inlineStr">
        <is>
          <t>Kommuner</t>
        </is>
      </c>
      <c r="G628" t="n">
        <v>2.8</v>
      </c>
      <c r="H628" t="n">
        <v>0</v>
      </c>
      <c r="I628" t="n">
        <v>0</v>
      </c>
      <c r="J628" t="n">
        <v>0</v>
      </c>
      <c r="K628" t="n">
        <v>0</v>
      </c>
      <c r="L628" t="n">
        <v>0</v>
      </c>
      <c r="M628" t="n">
        <v>0</v>
      </c>
      <c r="N628" t="n">
        <v>0</v>
      </c>
      <c r="O628" t="n">
        <v>0</v>
      </c>
      <c r="P628" t="n">
        <v>0</v>
      </c>
      <c r="Q628" t="n">
        <v>0</v>
      </c>
      <c r="R628" s="2" t="inlineStr"/>
    </row>
    <row r="629" ht="15" customHeight="1">
      <c r="A629" t="inlineStr">
        <is>
          <t>A 65501-2021</t>
        </is>
      </c>
      <c r="B629" s="1" t="n">
        <v>44516</v>
      </c>
      <c r="C629" s="1" t="n">
        <v>45588</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65509-2021</t>
        </is>
      </c>
      <c r="B630" s="1" t="n">
        <v>44516</v>
      </c>
      <c r="C630" s="1" t="n">
        <v>45588</v>
      </c>
      <c r="D630" t="inlineStr">
        <is>
          <t>STOCKHOLMS LÄN</t>
        </is>
      </c>
      <c r="E630" t="inlineStr">
        <is>
          <t>NORRTÄLJE</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65611-2021</t>
        </is>
      </c>
      <c r="B631" s="1" t="n">
        <v>44516</v>
      </c>
      <c r="C631" s="1" t="n">
        <v>45588</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65737-2021</t>
        </is>
      </c>
      <c r="B632" s="1" t="n">
        <v>44516</v>
      </c>
      <c r="C632" s="1" t="n">
        <v>45588</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66450-2021</t>
        </is>
      </c>
      <c r="B633" s="1" t="n">
        <v>44518</v>
      </c>
      <c r="C633" s="1" t="n">
        <v>45588</v>
      </c>
      <c r="D633" t="inlineStr">
        <is>
          <t>STOCKHOLMS LÄN</t>
        </is>
      </c>
      <c r="E633" t="inlineStr">
        <is>
          <t>NORRTÄLJE</t>
        </is>
      </c>
      <c r="G633" t="n">
        <v>9.1</v>
      </c>
      <c r="H633" t="n">
        <v>0</v>
      </c>
      <c r="I633" t="n">
        <v>0</v>
      </c>
      <c r="J633" t="n">
        <v>0</v>
      </c>
      <c r="K633" t="n">
        <v>0</v>
      </c>
      <c r="L633" t="n">
        <v>0</v>
      </c>
      <c r="M633" t="n">
        <v>0</v>
      </c>
      <c r="N633" t="n">
        <v>0</v>
      </c>
      <c r="O633" t="n">
        <v>0</v>
      </c>
      <c r="P633" t="n">
        <v>0</v>
      </c>
      <c r="Q633" t="n">
        <v>0</v>
      </c>
      <c r="R633" s="2" t="inlineStr"/>
    </row>
    <row r="634" ht="15" customHeight="1">
      <c r="A634" t="inlineStr">
        <is>
          <t>A 66608-2021</t>
        </is>
      </c>
      <c r="B634" s="1" t="n">
        <v>44519</v>
      </c>
      <c r="C634" s="1" t="n">
        <v>45588</v>
      </c>
      <c r="D634" t="inlineStr">
        <is>
          <t>STOCKHOLMS LÄN</t>
        </is>
      </c>
      <c r="E634" t="inlineStr">
        <is>
          <t>NORRTÄLJE</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66592-2021</t>
        </is>
      </c>
      <c r="B635" s="1" t="n">
        <v>44519</v>
      </c>
      <c r="C635" s="1" t="n">
        <v>45588</v>
      </c>
      <c r="D635" t="inlineStr">
        <is>
          <t>STOCKHOLMS LÄN</t>
        </is>
      </c>
      <c r="E635" t="inlineStr">
        <is>
          <t>NORRTÄLJE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66769-2021</t>
        </is>
      </c>
      <c r="B636" s="1" t="n">
        <v>44521</v>
      </c>
      <c r="C636" s="1" t="n">
        <v>45588</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67285-2021</t>
        </is>
      </c>
      <c r="B637" s="1" t="n">
        <v>44523</v>
      </c>
      <c r="C637" s="1" t="n">
        <v>45588</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67525-2021</t>
        </is>
      </c>
      <c r="B638" s="1" t="n">
        <v>44524</v>
      </c>
      <c r="C638" s="1" t="n">
        <v>45588</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67598-2021</t>
        </is>
      </c>
      <c r="B639" s="1" t="n">
        <v>44524</v>
      </c>
      <c r="C639" s="1" t="n">
        <v>45588</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67921-2021</t>
        </is>
      </c>
      <c r="B640" s="1" t="n">
        <v>44525</v>
      </c>
      <c r="C640" s="1" t="n">
        <v>45588</v>
      </c>
      <c r="D640" t="inlineStr">
        <is>
          <t>STOCKHOLMS LÄN</t>
        </is>
      </c>
      <c r="E640" t="inlineStr">
        <is>
          <t>NORRTÄLJE</t>
        </is>
      </c>
      <c r="G640" t="n">
        <v>6.3</v>
      </c>
      <c r="H640" t="n">
        <v>0</v>
      </c>
      <c r="I640" t="n">
        <v>0</v>
      </c>
      <c r="J640" t="n">
        <v>0</v>
      </c>
      <c r="K640" t="n">
        <v>0</v>
      </c>
      <c r="L640" t="n">
        <v>0</v>
      </c>
      <c r="M640" t="n">
        <v>0</v>
      </c>
      <c r="N640" t="n">
        <v>0</v>
      </c>
      <c r="O640" t="n">
        <v>0</v>
      </c>
      <c r="P640" t="n">
        <v>0</v>
      </c>
      <c r="Q640" t="n">
        <v>0</v>
      </c>
      <c r="R640" s="2" t="inlineStr"/>
    </row>
    <row r="641" ht="15" customHeight="1">
      <c r="A641" t="inlineStr">
        <is>
          <t>A 67990-2021</t>
        </is>
      </c>
      <c r="B641" s="1" t="n">
        <v>44525</v>
      </c>
      <c r="C641" s="1" t="n">
        <v>45588</v>
      </c>
      <c r="D641" t="inlineStr">
        <is>
          <t>STOCKHOLMS LÄN</t>
        </is>
      </c>
      <c r="E641" t="inlineStr">
        <is>
          <t>NORRTÄLJE</t>
        </is>
      </c>
      <c r="F641" t="inlineStr">
        <is>
          <t>Sveaskog</t>
        </is>
      </c>
      <c r="G641" t="n">
        <v>7.8</v>
      </c>
      <c r="H641" t="n">
        <v>0</v>
      </c>
      <c r="I641" t="n">
        <v>0</v>
      </c>
      <c r="J641" t="n">
        <v>0</v>
      </c>
      <c r="K641" t="n">
        <v>0</v>
      </c>
      <c r="L641" t="n">
        <v>0</v>
      </c>
      <c r="M641" t="n">
        <v>0</v>
      </c>
      <c r="N641" t="n">
        <v>0</v>
      </c>
      <c r="O641" t="n">
        <v>0</v>
      </c>
      <c r="P641" t="n">
        <v>0</v>
      </c>
      <c r="Q641" t="n">
        <v>0</v>
      </c>
      <c r="R641" s="2" t="inlineStr"/>
    </row>
    <row r="642" ht="15" customHeight="1">
      <c r="A642" t="inlineStr">
        <is>
          <t>A 67992-2021</t>
        </is>
      </c>
      <c r="B642" s="1" t="n">
        <v>44525</v>
      </c>
      <c r="C642" s="1" t="n">
        <v>45588</v>
      </c>
      <c r="D642" t="inlineStr">
        <is>
          <t>STOCKHOLMS LÄN</t>
        </is>
      </c>
      <c r="E642" t="inlineStr">
        <is>
          <t>NORRTÄLJE</t>
        </is>
      </c>
      <c r="F642" t="inlineStr">
        <is>
          <t>Sveaskog</t>
        </is>
      </c>
      <c r="G642" t="n">
        <v>4.6</v>
      </c>
      <c r="H642" t="n">
        <v>0</v>
      </c>
      <c r="I642" t="n">
        <v>0</v>
      </c>
      <c r="J642" t="n">
        <v>0</v>
      </c>
      <c r="K642" t="n">
        <v>0</v>
      </c>
      <c r="L642" t="n">
        <v>0</v>
      </c>
      <c r="M642" t="n">
        <v>0</v>
      </c>
      <c r="N642" t="n">
        <v>0</v>
      </c>
      <c r="O642" t="n">
        <v>0</v>
      </c>
      <c r="P642" t="n">
        <v>0</v>
      </c>
      <c r="Q642" t="n">
        <v>0</v>
      </c>
      <c r="R642" s="2" t="inlineStr"/>
    </row>
    <row r="643" ht="15" customHeight="1">
      <c r="A643" t="inlineStr">
        <is>
          <t>A 67993-2021</t>
        </is>
      </c>
      <c r="B643" s="1" t="n">
        <v>44525</v>
      </c>
      <c r="C643" s="1" t="n">
        <v>45588</v>
      </c>
      <c r="D643" t="inlineStr">
        <is>
          <t>STOCKHOLMS LÄN</t>
        </is>
      </c>
      <c r="E643" t="inlineStr">
        <is>
          <t>NORRTÄLJE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45588</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68361-2021</t>
        </is>
      </c>
      <c r="B645" s="1" t="n">
        <v>44528</v>
      </c>
      <c r="C645" s="1" t="n">
        <v>45588</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69034-2021</t>
        </is>
      </c>
      <c r="B646" s="1" t="n">
        <v>44529</v>
      </c>
      <c r="C646" s="1" t="n">
        <v>45588</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69539-2021</t>
        </is>
      </c>
      <c r="B647" s="1" t="n">
        <v>44531</v>
      </c>
      <c r="C647" s="1" t="n">
        <v>45588</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69723-2021</t>
        </is>
      </c>
      <c r="B648" s="1" t="n">
        <v>44532</v>
      </c>
      <c r="C648" s="1" t="n">
        <v>45588</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69816-2021</t>
        </is>
      </c>
      <c r="B649" s="1" t="n">
        <v>44532</v>
      </c>
      <c r="C649" s="1" t="n">
        <v>45588</v>
      </c>
      <c r="D649" t="inlineStr">
        <is>
          <t>STOCKHOLMS LÄN</t>
        </is>
      </c>
      <c r="E649" t="inlineStr">
        <is>
          <t>NORRTÄLJE</t>
        </is>
      </c>
      <c r="G649" t="n">
        <v>4.9</v>
      </c>
      <c r="H649" t="n">
        <v>0</v>
      </c>
      <c r="I649" t="n">
        <v>0</v>
      </c>
      <c r="J649" t="n">
        <v>0</v>
      </c>
      <c r="K649" t="n">
        <v>0</v>
      </c>
      <c r="L649" t="n">
        <v>0</v>
      </c>
      <c r="M649" t="n">
        <v>0</v>
      </c>
      <c r="N649" t="n">
        <v>0</v>
      </c>
      <c r="O649" t="n">
        <v>0</v>
      </c>
      <c r="P649" t="n">
        <v>0</v>
      </c>
      <c r="Q649" t="n">
        <v>0</v>
      </c>
      <c r="R649" s="2" t="inlineStr"/>
    </row>
    <row r="650" ht="15" customHeight="1">
      <c r="A650" t="inlineStr">
        <is>
          <t>A 70170-2021</t>
        </is>
      </c>
      <c r="B650" s="1" t="n">
        <v>44533</v>
      </c>
      <c r="C650" s="1" t="n">
        <v>45588</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69988-2021</t>
        </is>
      </c>
      <c r="B651" s="1" t="n">
        <v>44533</v>
      </c>
      <c r="C651" s="1" t="n">
        <v>45588</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70469-2021</t>
        </is>
      </c>
      <c r="B652" s="1" t="n">
        <v>44536</v>
      </c>
      <c r="C652" s="1" t="n">
        <v>45588</v>
      </c>
      <c r="D652" t="inlineStr">
        <is>
          <t>STOCKHOLMS LÄN</t>
        </is>
      </c>
      <c r="E652" t="inlineStr">
        <is>
          <t>NORRTÄLJE</t>
        </is>
      </c>
      <c r="F652" t="inlineStr">
        <is>
          <t>Holmen skog AB</t>
        </is>
      </c>
      <c r="G652" t="n">
        <v>2.5</v>
      </c>
      <c r="H652" t="n">
        <v>0</v>
      </c>
      <c r="I652" t="n">
        <v>0</v>
      </c>
      <c r="J652" t="n">
        <v>0</v>
      </c>
      <c r="K652" t="n">
        <v>0</v>
      </c>
      <c r="L652" t="n">
        <v>0</v>
      </c>
      <c r="M652" t="n">
        <v>0</v>
      </c>
      <c r="N652" t="n">
        <v>0</v>
      </c>
      <c r="O652" t="n">
        <v>0</v>
      </c>
      <c r="P652" t="n">
        <v>0</v>
      </c>
      <c r="Q652" t="n">
        <v>0</v>
      </c>
      <c r="R652" s="2" t="inlineStr"/>
    </row>
    <row r="653" ht="15" customHeight="1">
      <c r="A653" t="inlineStr">
        <is>
          <t>A 71325-2021</t>
        </is>
      </c>
      <c r="B653" s="1" t="n">
        <v>44539</v>
      </c>
      <c r="C653" s="1" t="n">
        <v>45588</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71552-2021</t>
        </is>
      </c>
      <c r="B654" s="1" t="n">
        <v>44540</v>
      </c>
      <c r="C654" s="1" t="n">
        <v>45588</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71479-2021</t>
        </is>
      </c>
      <c r="B655" s="1" t="n">
        <v>44540</v>
      </c>
      <c r="C655" s="1" t="n">
        <v>45588</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71543-2021</t>
        </is>
      </c>
      <c r="B656" s="1" t="n">
        <v>44540</v>
      </c>
      <c r="C656" s="1" t="n">
        <v>45588</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71873-2021</t>
        </is>
      </c>
      <c r="B657" s="1" t="n">
        <v>44543</v>
      </c>
      <c r="C657" s="1" t="n">
        <v>45588</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71876-2021</t>
        </is>
      </c>
      <c r="B658" s="1" t="n">
        <v>44543</v>
      </c>
      <c r="C658" s="1" t="n">
        <v>45588</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45588</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71871-2021</t>
        </is>
      </c>
      <c r="B660" s="1" t="n">
        <v>44543</v>
      </c>
      <c r="C660" s="1" t="n">
        <v>45588</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71878-2021</t>
        </is>
      </c>
      <c r="B661" s="1" t="n">
        <v>44543</v>
      </c>
      <c r="C661" s="1" t="n">
        <v>45588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72085-2021</t>
        </is>
      </c>
      <c r="B662" s="1" t="n">
        <v>44544</v>
      </c>
      <c r="C662" s="1" t="n">
        <v>45588</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72202-2021</t>
        </is>
      </c>
      <c r="B663" s="1" t="n">
        <v>44544</v>
      </c>
      <c r="C663" s="1" t="n">
        <v>45588</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72308-2021</t>
        </is>
      </c>
      <c r="B664" s="1" t="n">
        <v>44545</v>
      </c>
      <c r="C664" s="1" t="n">
        <v>45588</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72343-2021</t>
        </is>
      </c>
      <c r="B665" s="1" t="n">
        <v>44545</v>
      </c>
      <c r="C665" s="1" t="n">
        <v>45588</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72357-2021</t>
        </is>
      </c>
      <c r="B666" s="1" t="n">
        <v>44545</v>
      </c>
      <c r="C666" s="1" t="n">
        <v>45588</v>
      </c>
      <c r="D666" t="inlineStr">
        <is>
          <t>STOCKHOLMS LÄN</t>
        </is>
      </c>
      <c r="E666" t="inlineStr">
        <is>
          <t>NORRTÄLJE</t>
        </is>
      </c>
      <c r="G666" t="n">
        <v>5.1</v>
      </c>
      <c r="H666" t="n">
        <v>0</v>
      </c>
      <c r="I666" t="n">
        <v>0</v>
      </c>
      <c r="J666" t="n">
        <v>0</v>
      </c>
      <c r="K666" t="n">
        <v>0</v>
      </c>
      <c r="L666" t="n">
        <v>0</v>
      </c>
      <c r="M666" t="n">
        <v>0</v>
      </c>
      <c r="N666" t="n">
        <v>0</v>
      </c>
      <c r="O666" t="n">
        <v>0</v>
      </c>
      <c r="P666" t="n">
        <v>0</v>
      </c>
      <c r="Q666" t="n">
        <v>0</v>
      </c>
      <c r="R666" s="2" t="inlineStr"/>
    </row>
    <row r="667" ht="15" customHeight="1">
      <c r="A667" t="inlineStr">
        <is>
          <t>A 72355-2021</t>
        </is>
      </c>
      <c r="B667" s="1" t="n">
        <v>44545</v>
      </c>
      <c r="C667" s="1" t="n">
        <v>45588</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72353-2021</t>
        </is>
      </c>
      <c r="B668" s="1" t="n">
        <v>44545</v>
      </c>
      <c r="C668" s="1" t="n">
        <v>45588</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72747-2021</t>
        </is>
      </c>
      <c r="B669" s="1" t="n">
        <v>44546</v>
      </c>
      <c r="C669" s="1" t="n">
        <v>45588</v>
      </c>
      <c r="D669" t="inlineStr">
        <is>
          <t>STOCKHOLMS LÄN</t>
        </is>
      </c>
      <c r="E669" t="inlineStr">
        <is>
          <t>NORRTÄLJE</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72704-2021</t>
        </is>
      </c>
      <c r="B670" s="1" t="n">
        <v>44546</v>
      </c>
      <c r="C670" s="1" t="n">
        <v>45588</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72890-2021</t>
        </is>
      </c>
      <c r="B671" s="1" t="n">
        <v>44547</v>
      </c>
      <c r="C671" s="1" t="n">
        <v>45588</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73311-2021</t>
        </is>
      </c>
      <c r="B672" s="1" t="n">
        <v>44549</v>
      </c>
      <c r="C672" s="1" t="n">
        <v>45588</v>
      </c>
      <c r="D672" t="inlineStr">
        <is>
          <t>STOCKHOLMS LÄN</t>
        </is>
      </c>
      <c r="E672" t="inlineStr">
        <is>
          <t>NORRTÄLJE</t>
        </is>
      </c>
      <c r="G672" t="n">
        <v>5.2</v>
      </c>
      <c r="H672" t="n">
        <v>0</v>
      </c>
      <c r="I672" t="n">
        <v>0</v>
      </c>
      <c r="J672" t="n">
        <v>0</v>
      </c>
      <c r="K672" t="n">
        <v>0</v>
      </c>
      <c r="L672" t="n">
        <v>0</v>
      </c>
      <c r="M672" t="n">
        <v>0</v>
      </c>
      <c r="N672" t="n">
        <v>0</v>
      </c>
      <c r="O672" t="n">
        <v>0</v>
      </c>
      <c r="P672" t="n">
        <v>0</v>
      </c>
      <c r="Q672" t="n">
        <v>0</v>
      </c>
      <c r="R672" s="2" t="inlineStr"/>
    </row>
    <row r="673" ht="15" customHeight="1">
      <c r="A673" t="inlineStr">
        <is>
          <t>A 73307-2021</t>
        </is>
      </c>
      <c r="B673" s="1" t="n">
        <v>44549</v>
      </c>
      <c r="C673" s="1" t="n">
        <v>45588</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73271-2021</t>
        </is>
      </c>
      <c r="B674" s="1" t="n">
        <v>44550</v>
      </c>
      <c r="C674" s="1" t="n">
        <v>45588</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73504-2021</t>
        </is>
      </c>
      <c r="B675" s="1" t="n">
        <v>44551</v>
      </c>
      <c r="C675" s="1" t="n">
        <v>45588</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73855-2021</t>
        </is>
      </c>
      <c r="B676" s="1" t="n">
        <v>44552</v>
      </c>
      <c r="C676" s="1" t="n">
        <v>45588</v>
      </c>
      <c r="D676" t="inlineStr">
        <is>
          <t>STOCKHOLMS LÄN</t>
        </is>
      </c>
      <c r="E676" t="inlineStr">
        <is>
          <t>NORRTÄLJE</t>
        </is>
      </c>
      <c r="F676" t="inlineStr">
        <is>
          <t>Övriga Aktiebolag</t>
        </is>
      </c>
      <c r="G676" t="n">
        <v>4</v>
      </c>
      <c r="H676" t="n">
        <v>0</v>
      </c>
      <c r="I676" t="n">
        <v>0</v>
      </c>
      <c r="J676" t="n">
        <v>0</v>
      </c>
      <c r="K676" t="n">
        <v>0</v>
      </c>
      <c r="L676" t="n">
        <v>0</v>
      </c>
      <c r="M676" t="n">
        <v>0</v>
      </c>
      <c r="N676" t="n">
        <v>0</v>
      </c>
      <c r="O676" t="n">
        <v>0</v>
      </c>
      <c r="P676" t="n">
        <v>0</v>
      </c>
      <c r="Q676" t="n">
        <v>0</v>
      </c>
      <c r="R676" s="2" t="inlineStr"/>
    </row>
    <row r="677" ht="15" customHeight="1">
      <c r="A677" t="inlineStr">
        <is>
          <t>A 73992-2021</t>
        </is>
      </c>
      <c r="B677" s="1" t="n">
        <v>44556</v>
      </c>
      <c r="C677" s="1" t="n">
        <v>45588</v>
      </c>
      <c r="D677" t="inlineStr">
        <is>
          <t>STOCKHOLMS LÄN</t>
        </is>
      </c>
      <c r="E677" t="inlineStr">
        <is>
          <t>NORRTÄLJE</t>
        </is>
      </c>
      <c r="G677" t="n">
        <v>12.5</v>
      </c>
      <c r="H677" t="n">
        <v>0</v>
      </c>
      <c r="I677" t="n">
        <v>0</v>
      </c>
      <c r="J677" t="n">
        <v>0</v>
      </c>
      <c r="K677" t="n">
        <v>0</v>
      </c>
      <c r="L677" t="n">
        <v>0</v>
      </c>
      <c r="M677" t="n">
        <v>0</v>
      </c>
      <c r="N677" t="n">
        <v>0</v>
      </c>
      <c r="O677" t="n">
        <v>0</v>
      </c>
      <c r="P677" t="n">
        <v>0</v>
      </c>
      <c r="Q677" t="n">
        <v>0</v>
      </c>
      <c r="R677" s="2" t="inlineStr"/>
    </row>
    <row r="678" ht="15" customHeight="1">
      <c r="A678" t="inlineStr">
        <is>
          <t>A 73993-2021</t>
        </is>
      </c>
      <c r="B678" s="1" t="n">
        <v>44556</v>
      </c>
      <c r="C678" s="1" t="n">
        <v>45588</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74468-2021</t>
        </is>
      </c>
      <c r="B679" s="1" t="n">
        <v>44560</v>
      </c>
      <c r="C679" s="1" t="n">
        <v>45588</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185-2022</t>
        </is>
      </c>
      <c r="B680" s="1" t="n">
        <v>44564</v>
      </c>
      <c r="C680" s="1" t="n">
        <v>45588</v>
      </c>
      <c r="D680" t="inlineStr">
        <is>
          <t>STOCKHOLMS LÄN</t>
        </is>
      </c>
      <c r="E680" t="inlineStr">
        <is>
          <t>NORRTÄLJE</t>
        </is>
      </c>
      <c r="G680" t="n">
        <v>3.8</v>
      </c>
      <c r="H680" t="n">
        <v>0</v>
      </c>
      <c r="I680" t="n">
        <v>0</v>
      </c>
      <c r="J680" t="n">
        <v>0</v>
      </c>
      <c r="K680" t="n">
        <v>0</v>
      </c>
      <c r="L680" t="n">
        <v>0</v>
      </c>
      <c r="M680" t="n">
        <v>0</v>
      </c>
      <c r="N680" t="n">
        <v>0</v>
      </c>
      <c r="O680" t="n">
        <v>0</v>
      </c>
      <c r="P680" t="n">
        <v>0</v>
      </c>
      <c r="Q680" t="n">
        <v>0</v>
      </c>
      <c r="R680" s="2" t="inlineStr"/>
    </row>
    <row r="681" ht="15" customHeight="1">
      <c r="A681" t="inlineStr">
        <is>
          <t>A 190-2022</t>
        </is>
      </c>
      <c r="B681" s="1" t="n">
        <v>44564</v>
      </c>
      <c r="C681" s="1" t="n">
        <v>45588</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187-2022</t>
        </is>
      </c>
      <c r="B682" s="1" t="n">
        <v>44564</v>
      </c>
      <c r="C682" s="1" t="n">
        <v>45588</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77-2022</t>
        </is>
      </c>
      <c r="B683" s="1" t="n">
        <v>44564</v>
      </c>
      <c r="C683" s="1" t="n">
        <v>45588</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459-2022</t>
        </is>
      </c>
      <c r="B684" s="1" t="n">
        <v>44565</v>
      </c>
      <c r="C684" s="1" t="n">
        <v>45588</v>
      </c>
      <c r="D684" t="inlineStr">
        <is>
          <t>STOCKHOLMS LÄN</t>
        </is>
      </c>
      <c r="E684" t="inlineStr">
        <is>
          <t>NORRTÄLJE</t>
        </is>
      </c>
      <c r="F684" t="inlineStr">
        <is>
          <t>Övriga Aktiebolag</t>
        </is>
      </c>
      <c r="G684" t="n">
        <v>17.3</v>
      </c>
      <c r="H684" t="n">
        <v>0</v>
      </c>
      <c r="I684" t="n">
        <v>0</v>
      </c>
      <c r="J684" t="n">
        <v>0</v>
      </c>
      <c r="K684" t="n">
        <v>0</v>
      </c>
      <c r="L684" t="n">
        <v>0</v>
      </c>
      <c r="M684" t="n">
        <v>0</v>
      </c>
      <c r="N684" t="n">
        <v>0</v>
      </c>
      <c r="O684" t="n">
        <v>0</v>
      </c>
      <c r="P684" t="n">
        <v>0</v>
      </c>
      <c r="Q684" t="n">
        <v>0</v>
      </c>
      <c r="R684" s="2" t="inlineStr"/>
    </row>
    <row r="685" ht="15" customHeight="1">
      <c r="A685" t="inlineStr">
        <is>
          <t>A 1058-2022</t>
        </is>
      </c>
      <c r="B685" s="1" t="n">
        <v>44571</v>
      </c>
      <c r="C685" s="1" t="n">
        <v>45588</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1051-2022</t>
        </is>
      </c>
      <c r="B686" s="1" t="n">
        <v>44571</v>
      </c>
      <c r="C686" s="1" t="n">
        <v>45588</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1054-2022</t>
        </is>
      </c>
      <c r="B687" s="1" t="n">
        <v>44571</v>
      </c>
      <c r="C687" s="1" t="n">
        <v>45588</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45588</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1704-2022</t>
        </is>
      </c>
      <c r="B689" s="1" t="n">
        <v>44574</v>
      </c>
      <c r="C689" s="1" t="n">
        <v>45588</v>
      </c>
      <c r="D689" t="inlineStr">
        <is>
          <t>STOCKHOLMS LÄN</t>
        </is>
      </c>
      <c r="E689" t="inlineStr">
        <is>
          <t>NORRTÄLJE</t>
        </is>
      </c>
      <c r="G689" t="n">
        <v>6.2</v>
      </c>
      <c r="H689" t="n">
        <v>0</v>
      </c>
      <c r="I689" t="n">
        <v>0</v>
      </c>
      <c r="J689" t="n">
        <v>0</v>
      </c>
      <c r="K689" t="n">
        <v>0</v>
      </c>
      <c r="L689" t="n">
        <v>0</v>
      </c>
      <c r="M689" t="n">
        <v>0</v>
      </c>
      <c r="N689" t="n">
        <v>0</v>
      </c>
      <c r="O689" t="n">
        <v>0</v>
      </c>
      <c r="P689" t="n">
        <v>0</v>
      </c>
      <c r="Q689" t="n">
        <v>0</v>
      </c>
      <c r="R689" s="2" t="inlineStr"/>
    </row>
    <row r="690" ht="15" customHeight="1">
      <c r="A690" t="inlineStr">
        <is>
          <t>A 1968-2022</t>
        </is>
      </c>
      <c r="B690" s="1" t="n">
        <v>44575</v>
      </c>
      <c r="C690" s="1" t="n">
        <v>45588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2182-2022</t>
        </is>
      </c>
      <c r="B691" s="1" t="n">
        <v>44578</v>
      </c>
      <c r="C691" s="1" t="n">
        <v>45588</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2549-2022</t>
        </is>
      </c>
      <c r="B692" s="1" t="n">
        <v>44580</v>
      </c>
      <c r="C692" s="1" t="n">
        <v>45588</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2732-2022</t>
        </is>
      </c>
      <c r="B693" s="1" t="n">
        <v>44580</v>
      </c>
      <c r="C693" s="1" t="n">
        <v>45588</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2888-2022</t>
        </is>
      </c>
      <c r="B694" s="1" t="n">
        <v>44581</v>
      </c>
      <c r="C694" s="1" t="n">
        <v>45588</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2977-2022</t>
        </is>
      </c>
      <c r="B695" s="1" t="n">
        <v>44581</v>
      </c>
      <c r="C695" s="1" t="n">
        <v>45588</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3300-2022</t>
        </is>
      </c>
      <c r="B696" s="1" t="n">
        <v>44584</v>
      </c>
      <c r="C696" s="1" t="n">
        <v>45588</v>
      </c>
      <c r="D696" t="inlineStr">
        <is>
          <t>STOCKHOLMS LÄN</t>
        </is>
      </c>
      <c r="E696" t="inlineStr">
        <is>
          <t>NORRTÄLJE</t>
        </is>
      </c>
      <c r="G696" t="n">
        <v>0.4</v>
      </c>
      <c r="H696" t="n">
        <v>0</v>
      </c>
      <c r="I696" t="n">
        <v>0</v>
      </c>
      <c r="J696" t="n">
        <v>0</v>
      </c>
      <c r="K696" t="n">
        <v>0</v>
      </c>
      <c r="L696" t="n">
        <v>0</v>
      </c>
      <c r="M696" t="n">
        <v>0</v>
      </c>
      <c r="N696" t="n">
        <v>0</v>
      </c>
      <c r="O696" t="n">
        <v>0</v>
      </c>
      <c r="P696" t="n">
        <v>0</v>
      </c>
      <c r="Q696" t="n">
        <v>0</v>
      </c>
      <c r="R696" s="2" t="inlineStr"/>
    </row>
    <row r="697" ht="15" customHeight="1">
      <c r="A697" t="inlineStr">
        <is>
          <t>A 3310-2022</t>
        </is>
      </c>
      <c r="B697" s="1" t="n">
        <v>44584</v>
      </c>
      <c r="C697" s="1" t="n">
        <v>45588</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3396-2022</t>
        </is>
      </c>
      <c r="B698" s="1" t="n">
        <v>44585</v>
      </c>
      <c r="C698" s="1" t="n">
        <v>45588</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3509-2022</t>
        </is>
      </c>
      <c r="B699" s="1" t="n">
        <v>44585</v>
      </c>
      <c r="C699" s="1" t="n">
        <v>45588</v>
      </c>
      <c r="D699" t="inlineStr">
        <is>
          <t>STOCKHOLMS LÄN</t>
        </is>
      </c>
      <c r="E699" t="inlineStr">
        <is>
          <t>NORRTÄLJE</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4860-2022</t>
        </is>
      </c>
      <c r="B700" s="1" t="n">
        <v>44592</v>
      </c>
      <c r="C700" s="1" t="n">
        <v>45588</v>
      </c>
      <c r="D700" t="inlineStr">
        <is>
          <t>STOCKHOLMS LÄN</t>
        </is>
      </c>
      <c r="E700" t="inlineStr">
        <is>
          <t>NORRTÄLJE</t>
        </is>
      </c>
      <c r="G700" t="n">
        <v>22.3</v>
      </c>
      <c r="H700" t="n">
        <v>0</v>
      </c>
      <c r="I700" t="n">
        <v>0</v>
      </c>
      <c r="J700" t="n">
        <v>0</v>
      </c>
      <c r="K700" t="n">
        <v>0</v>
      </c>
      <c r="L700" t="n">
        <v>0</v>
      </c>
      <c r="M700" t="n">
        <v>0</v>
      </c>
      <c r="N700" t="n">
        <v>0</v>
      </c>
      <c r="O700" t="n">
        <v>0</v>
      </c>
      <c r="P700" t="n">
        <v>0</v>
      </c>
      <c r="Q700" t="n">
        <v>0</v>
      </c>
      <c r="R700" s="2" t="inlineStr"/>
    </row>
    <row r="701" ht="15" customHeight="1">
      <c r="A701" t="inlineStr">
        <is>
          <t>A 5351-2022</t>
        </is>
      </c>
      <c r="B701" s="1" t="n">
        <v>44594</v>
      </c>
      <c r="C701" s="1" t="n">
        <v>45588</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5513-2022</t>
        </is>
      </c>
      <c r="B702" s="1" t="n">
        <v>44595</v>
      </c>
      <c r="C702" s="1" t="n">
        <v>45588</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5611-2022</t>
        </is>
      </c>
      <c r="B703" s="1" t="n">
        <v>44595</v>
      </c>
      <c r="C703" s="1" t="n">
        <v>45588</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45588</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5867-2022</t>
        </is>
      </c>
      <c r="B705" s="1" t="n">
        <v>44596</v>
      </c>
      <c r="C705" s="1" t="n">
        <v>45588</v>
      </c>
      <c r="D705" t="inlineStr">
        <is>
          <t>STOCKHOLMS LÄN</t>
        </is>
      </c>
      <c r="E705" t="inlineStr">
        <is>
          <t>NORRTÄLJE</t>
        </is>
      </c>
      <c r="F705" t="inlineStr">
        <is>
          <t>Naturvårdsverket</t>
        </is>
      </c>
      <c r="G705" t="n">
        <v>1.6</v>
      </c>
      <c r="H705" t="n">
        <v>0</v>
      </c>
      <c r="I705" t="n">
        <v>0</v>
      </c>
      <c r="J705" t="n">
        <v>0</v>
      </c>
      <c r="K705" t="n">
        <v>0</v>
      </c>
      <c r="L705" t="n">
        <v>0</v>
      </c>
      <c r="M705" t="n">
        <v>0</v>
      </c>
      <c r="N705" t="n">
        <v>0</v>
      </c>
      <c r="O705" t="n">
        <v>0</v>
      </c>
      <c r="P705" t="n">
        <v>0</v>
      </c>
      <c r="Q705" t="n">
        <v>0</v>
      </c>
      <c r="R705" s="2" t="inlineStr"/>
    </row>
    <row r="706" ht="15" customHeight="1">
      <c r="A706" t="inlineStr">
        <is>
          <t>A 6070-2022</t>
        </is>
      </c>
      <c r="B706" s="1" t="n">
        <v>44599</v>
      </c>
      <c r="C706" s="1" t="n">
        <v>45588</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6332-2022</t>
        </is>
      </c>
      <c r="B707" s="1" t="n">
        <v>44600</v>
      </c>
      <c r="C707" s="1" t="n">
        <v>45588</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7301-2022</t>
        </is>
      </c>
      <c r="B708" s="1" t="n">
        <v>44606</v>
      </c>
      <c r="C708" s="1" t="n">
        <v>45588</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7565-2022</t>
        </is>
      </c>
      <c r="B709" s="1" t="n">
        <v>44607</v>
      </c>
      <c r="C709" s="1" t="n">
        <v>45588</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8024-2022</t>
        </is>
      </c>
      <c r="B710" s="1" t="n">
        <v>44609</v>
      </c>
      <c r="C710" s="1" t="n">
        <v>45588</v>
      </c>
      <c r="D710" t="inlineStr">
        <is>
          <t>STOCKHOLMS LÄN</t>
        </is>
      </c>
      <c r="E710" t="inlineStr">
        <is>
          <t>NORRTÄLJE</t>
        </is>
      </c>
      <c r="F710" t="inlineStr">
        <is>
          <t>Kyrkan</t>
        </is>
      </c>
      <c r="G710" t="n">
        <v>28.2</v>
      </c>
      <c r="H710" t="n">
        <v>0</v>
      </c>
      <c r="I710" t="n">
        <v>0</v>
      </c>
      <c r="J710" t="n">
        <v>0</v>
      </c>
      <c r="K710" t="n">
        <v>0</v>
      </c>
      <c r="L710" t="n">
        <v>0</v>
      </c>
      <c r="M710" t="n">
        <v>0</v>
      </c>
      <c r="N710" t="n">
        <v>0</v>
      </c>
      <c r="O710" t="n">
        <v>0</v>
      </c>
      <c r="P710" t="n">
        <v>0</v>
      </c>
      <c r="Q710" t="n">
        <v>0</v>
      </c>
      <c r="R710" s="2" t="inlineStr"/>
    </row>
    <row r="711" ht="15" customHeight="1">
      <c r="A711" t="inlineStr">
        <is>
          <t>A 8049-2022</t>
        </is>
      </c>
      <c r="B711" s="1" t="n">
        <v>44609</v>
      </c>
      <c r="C711" s="1" t="n">
        <v>45588</v>
      </c>
      <c r="D711" t="inlineStr">
        <is>
          <t>STOCKHOLMS LÄN</t>
        </is>
      </c>
      <c r="E711" t="inlineStr">
        <is>
          <t>NORRTÄLJE</t>
        </is>
      </c>
      <c r="F711" t="inlineStr">
        <is>
          <t>Holmen skog AB</t>
        </is>
      </c>
      <c r="G711" t="n">
        <v>3</v>
      </c>
      <c r="H711" t="n">
        <v>0</v>
      </c>
      <c r="I711" t="n">
        <v>0</v>
      </c>
      <c r="J711" t="n">
        <v>0</v>
      </c>
      <c r="K711" t="n">
        <v>0</v>
      </c>
      <c r="L711" t="n">
        <v>0</v>
      </c>
      <c r="M711" t="n">
        <v>0</v>
      </c>
      <c r="N711" t="n">
        <v>0</v>
      </c>
      <c r="O711" t="n">
        <v>0</v>
      </c>
      <c r="P711" t="n">
        <v>0</v>
      </c>
      <c r="Q711" t="n">
        <v>0</v>
      </c>
      <c r="R711" s="2" t="inlineStr"/>
    </row>
    <row r="712" ht="15" customHeight="1">
      <c r="A712" t="inlineStr">
        <is>
          <t>A 8160-2022</t>
        </is>
      </c>
      <c r="B712" s="1" t="n">
        <v>44609</v>
      </c>
      <c r="C712" s="1" t="n">
        <v>45588</v>
      </c>
      <c r="D712" t="inlineStr">
        <is>
          <t>STOCKHOLMS LÄN</t>
        </is>
      </c>
      <c r="E712" t="inlineStr">
        <is>
          <t>NORRTÄLJE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8433-2022</t>
        </is>
      </c>
      <c r="B713" s="1" t="n">
        <v>44611</v>
      </c>
      <c r="C713" s="1" t="n">
        <v>45588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9668-2022</t>
        </is>
      </c>
      <c r="B714" s="1" t="n">
        <v>44617</v>
      </c>
      <c r="C714" s="1" t="n">
        <v>45588</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9654-2022</t>
        </is>
      </c>
      <c r="B715" s="1" t="n">
        <v>44617</v>
      </c>
      <c r="C715" s="1" t="n">
        <v>45588</v>
      </c>
      <c r="D715" t="inlineStr">
        <is>
          <t>STOCKHOLMS LÄN</t>
        </is>
      </c>
      <c r="E715" t="inlineStr">
        <is>
          <t>NORRTÄLJE</t>
        </is>
      </c>
      <c r="G715" t="n">
        <v>6.4</v>
      </c>
      <c r="H715" t="n">
        <v>0</v>
      </c>
      <c r="I715" t="n">
        <v>0</v>
      </c>
      <c r="J715" t="n">
        <v>0</v>
      </c>
      <c r="K715" t="n">
        <v>0</v>
      </c>
      <c r="L715" t="n">
        <v>0</v>
      </c>
      <c r="M715" t="n">
        <v>0</v>
      </c>
      <c r="N715" t="n">
        <v>0</v>
      </c>
      <c r="O715" t="n">
        <v>0</v>
      </c>
      <c r="P715" t="n">
        <v>0</v>
      </c>
      <c r="Q715" t="n">
        <v>0</v>
      </c>
      <c r="R715" s="2" t="inlineStr"/>
    </row>
    <row r="716" ht="15" customHeight="1">
      <c r="A716" t="inlineStr">
        <is>
          <t>A 9749-2022</t>
        </is>
      </c>
      <c r="B716" s="1" t="n">
        <v>44618</v>
      </c>
      <c r="C716" s="1" t="n">
        <v>45588</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9988-2022</t>
        </is>
      </c>
      <c r="B717" s="1" t="n">
        <v>44621</v>
      </c>
      <c r="C717" s="1" t="n">
        <v>45588</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10090-2022</t>
        </is>
      </c>
      <c r="B718" s="1" t="n">
        <v>44621</v>
      </c>
      <c r="C718" s="1" t="n">
        <v>45588</v>
      </c>
      <c r="D718" t="inlineStr">
        <is>
          <t>STOCKHOLMS LÄN</t>
        </is>
      </c>
      <c r="E718" t="inlineStr">
        <is>
          <t>NORRTÄLJE</t>
        </is>
      </c>
      <c r="G718" t="n">
        <v>5.2</v>
      </c>
      <c r="H718" t="n">
        <v>0</v>
      </c>
      <c r="I718" t="n">
        <v>0</v>
      </c>
      <c r="J718" t="n">
        <v>0</v>
      </c>
      <c r="K718" t="n">
        <v>0</v>
      </c>
      <c r="L718" t="n">
        <v>0</v>
      </c>
      <c r="M718" t="n">
        <v>0</v>
      </c>
      <c r="N718" t="n">
        <v>0</v>
      </c>
      <c r="O718" t="n">
        <v>0</v>
      </c>
      <c r="P718" t="n">
        <v>0</v>
      </c>
      <c r="Q718" t="n">
        <v>0</v>
      </c>
      <c r="R718" s="2" t="inlineStr"/>
    </row>
    <row r="719" ht="15" customHeight="1">
      <c r="A719" t="inlineStr">
        <is>
          <t>A 10098-2022</t>
        </is>
      </c>
      <c r="B719" s="1" t="n">
        <v>44621</v>
      </c>
      <c r="C719" s="1" t="n">
        <v>45588</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10521-2022</t>
        </is>
      </c>
      <c r="B720" s="1" t="n">
        <v>44623</v>
      </c>
      <c r="C720" s="1" t="n">
        <v>45588</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10653-2022</t>
        </is>
      </c>
      <c r="B721" s="1" t="n">
        <v>44624</v>
      </c>
      <c r="C721" s="1" t="n">
        <v>45588</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10710-2022</t>
        </is>
      </c>
      <c r="B722" s="1" t="n">
        <v>44626</v>
      </c>
      <c r="C722" s="1" t="n">
        <v>45588</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10711-2022</t>
        </is>
      </c>
      <c r="B723" s="1" t="n">
        <v>44626</v>
      </c>
      <c r="C723" s="1" t="n">
        <v>45588</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11150-2022</t>
        </is>
      </c>
      <c r="B724" s="1" t="n">
        <v>44629</v>
      </c>
      <c r="C724" s="1" t="n">
        <v>45588</v>
      </c>
      <c r="D724" t="inlineStr">
        <is>
          <t>STOCKHOLMS LÄN</t>
        </is>
      </c>
      <c r="E724" t="inlineStr">
        <is>
          <t>NORRTÄLJE</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11229-2022</t>
        </is>
      </c>
      <c r="B725" s="1" t="n">
        <v>44629</v>
      </c>
      <c r="C725" s="1" t="n">
        <v>45588</v>
      </c>
      <c r="D725" t="inlineStr">
        <is>
          <t>STOCKHOLMS LÄN</t>
        </is>
      </c>
      <c r="E725" t="inlineStr">
        <is>
          <t>NORRTÄLJE</t>
        </is>
      </c>
      <c r="F725" t="inlineStr">
        <is>
          <t>Övriga Aktiebolag</t>
        </is>
      </c>
      <c r="G725" t="n">
        <v>4.1</v>
      </c>
      <c r="H725" t="n">
        <v>0</v>
      </c>
      <c r="I725" t="n">
        <v>0</v>
      </c>
      <c r="J725" t="n">
        <v>0</v>
      </c>
      <c r="K725" t="n">
        <v>0</v>
      </c>
      <c r="L725" t="n">
        <v>0</v>
      </c>
      <c r="M725" t="n">
        <v>0</v>
      </c>
      <c r="N725" t="n">
        <v>0</v>
      </c>
      <c r="O725" t="n">
        <v>0</v>
      </c>
      <c r="P725" t="n">
        <v>0</v>
      </c>
      <c r="Q725" t="n">
        <v>0</v>
      </c>
      <c r="R725" s="2" t="inlineStr"/>
    </row>
    <row r="726" ht="15" customHeight="1">
      <c r="A726" t="inlineStr">
        <is>
          <t>A 11533-2022</t>
        </is>
      </c>
      <c r="B726" s="1" t="n">
        <v>44631</v>
      </c>
      <c r="C726" s="1" t="n">
        <v>45588</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11821-2022</t>
        </is>
      </c>
      <c r="B727" s="1" t="n">
        <v>44634</v>
      </c>
      <c r="C727" s="1" t="n">
        <v>45588</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11900-2022</t>
        </is>
      </c>
      <c r="B728" s="1" t="n">
        <v>44635</v>
      </c>
      <c r="C728" s="1" t="n">
        <v>45588</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45588</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12270-2022</t>
        </is>
      </c>
      <c r="B730" s="1" t="n">
        <v>44637</v>
      </c>
      <c r="C730" s="1" t="n">
        <v>45588</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12314-2022</t>
        </is>
      </c>
      <c r="B731" s="1" t="n">
        <v>44637</v>
      </c>
      <c r="C731" s="1" t="n">
        <v>45588</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12268-2022</t>
        </is>
      </c>
      <c r="B732" s="1" t="n">
        <v>44637</v>
      </c>
      <c r="C732" s="1" t="n">
        <v>45588</v>
      </c>
      <c r="D732" t="inlineStr">
        <is>
          <t>STOCKHOLMS LÄN</t>
        </is>
      </c>
      <c r="E732" t="inlineStr">
        <is>
          <t>NORRTÄLJE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12357-2022</t>
        </is>
      </c>
      <c r="B733" s="1" t="n">
        <v>44637</v>
      </c>
      <c r="C733" s="1" t="n">
        <v>45588</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62765-2022</t>
        </is>
      </c>
      <c r="B734" s="1" t="n">
        <v>44637</v>
      </c>
      <c r="C734" s="1" t="n">
        <v>45588</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12874-2022</t>
        </is>
      </c>
      <c r="B735" s="1" t="n">
        <v>44642</v>
      </c>
      <c r="C735" s="1" t="n">
        <v>45588</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12816-2022</t>
        </is>
      </c>
      <c r="B736" s="1" t="n">
        <v>44642</v>
      </c>
      <c r="C736" s="1" t="n">
        <v>45588</v>
      </c>
      <c r="D736" t="inlineStr">
        <is>
          <t>STOCKHOLMS LÄN</t>
        </is>
      </c>
      <c r="E736" t="inlineStr">
        <is>
          <t>NORRTÄLJE</t>
        </is>
      </c>
      <c r="G736" t="n">
        <v>4.4</v>
      </c>
      <c r="H736" t="n">
        <v>0</v>
      </c>
      <c r="I736" t="n">
        <v>0</v>
      </c>
      <c r="J736" t="n">
        <v>0</v>
      </c>
      <c r="K736" t="n">
        <v>0</v>
      </c>
      <c r="L736" t="n">
        <v>0</v>
      </c>
      <c r="M736" t="n">
        <v>0</v>
      </c>
      <c r="N736" t="n">
        <v>0</v>
      </c>
      <c r="O736" t="n">
        <v>0</v>
      </c>
      <c r="P736" t="n">
        <v>0</v>
      </c>
      <c r="Q736" t="n">
        <v>0</v>
      </c>
      <c r="R736" s="2" t="inlineStr"/>
    </row>
    <row r="737" ht="15" customHeight="1">
      <c r="A737" t="inlineStr">
        <is>
          <t>A 12877-2022</t>
        </is>
      </c>
      <c r="B737" s="1" t="n">
        <v>44642</v>
      </c>
      <c r="C737" s="1" t="n">
        <v>45588</v>
      </c>
      <c r="D737" t="inlineStr">
        <is>
          <t>STOCKHOLMS LÄN</t>
        </is>
      </c>
      <c r="E737" t="inlineStr">
        <is>
          <t>NORRTÄLJE</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12875-2022</t>
        </is>
      </c>
      <c r="B738" s="1" t="n">
        <v>44642</v>
      </c>
      <c r="C738" s="1" t="n">
        <v>45588</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13077-2022</t>
        </is>
      </c>
      <c r="B739" s="1" t="n">
        <v>44643</v>
      </c>
      <c r="C739" s="1" t="n">
        <v>45588</v>
      </c>
      <c r="D739" t="inlineStr">
        <is>
          <t>STOCKHOLMS LÄN</t>
        </is>
      </c>
      <c r="E739" t="inlineStr">
        <is>
          <t>NORRTÄLJE</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13053-2022</t>
        </is>
      </c>
      <c r="B740" s="1" t="n">
        <v>44643</v>
      </c>
      <c r="C740" s="1" t="n">
        <v>45588</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13089-2022</t>
        </is>
      </c>
      <c r="B741" s="1" t="n">
        <v>44643</v>
      </c>
      <c r="C741" s="1" t="n">
        <v>45588</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13106-2022</t>
        </is>
      </c>
      <c r="B742" s="1" t="n">
        <v>44644</v>
      </c>
      <c r="C742" s="1" t="n">
        <v>45588</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13278-2022</t>
        </is>
      </c>
      <c r="B743" s="1" t="n">
        <v>44644</v>
      </c>
      <c r="C743" s="1" t="n">
        <v>45588</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13276-2022</t>
        </is>
      </c>
      <c r="B744" s="1" t="n">
        <v>44644</v>
      </c>
      <c r="C744" s="1" t="n">
        <v>45588</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13395-2022</t>
        </is>
      </c>
      <c r="B745" s="1" t="n">
        <v>44645</v>
      </c>
      <c r="C745" s="1" t="n">
        <v>45588</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13696-2022</t>
        </is>
      </c>
      <c r="B746" s="1" t="n">
        <v>44648</v>
      </c>
      <c r="C746" s="1" t="n">
        <v>45588</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13701-2022</t>
        </is>
      </c>
      <c r="B747" s="1" t="n">
        <v>44648</v>
      </c>
      <c r="C747" s="1" t="n">
        <v>45588</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13718-2022</t>
        </is>
      </c>
      <c r="B748" s="1" t="n">
        <v>44649</v>
      </c>
      <c r="C748" s="1" t="n">
        <v>45588</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14036-2022</t>
        </is>
      </c>
      <c r="B749" s="1" t="n">
        <v>44650</v>
      </c>
      <c r="C749" s="1" t="n">
        <v>45588</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14033-2022</t>
        </is>
      </c>
      <c r="B750" s="1" t="n">
        <v>44650</v>
      </c>
      <c r="C750" s="1" t="n">
        <v>45588</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14034-2022</t>
        </is>
      </c>
      <c r="B751" s="1" t="n">
        <v>44650</v>
      </c>
      <c r="C751" s="1" t="n">
        <v>45588</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14051-2022</t>
        </is>
      </c>
      <c r="B752" s="1" t="n">
        <v>44651</v>
      </c>
      <c r="C752" s="1" t="n">
        <v>45588</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14166-2022</t>
        </is>
      </c>
      <c r="B753" s="1" t="n">
        <v>44651</v>
      </c>
      <c r="C753" s="1" t="n">
        <v>45588</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14543-2022</t>
        </is>
      </c>
      <c r="B754" s="1" t="n">
        <v>44655</v>
      </c>
      <c r="C754" s="1" t="n">
        <v>45588</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14724-2022</t>
        </is>
      </c>
      <c r="B755" s="1" t="n">
        <v>44656</v>
      </c>
      <c r="C755" s="1" t="n">
        <v>45588</v>
      </c>
      <c r="D755" t="inlineStr">
        <is>
          <t>STOCKHOLMS LÄN</t>
        </is>
      </c>
      <c r="E755" t="inlineStr">
        <is>
          <t>NORRTÄLJE</t>
        </is>
      </c>
      <c r="F755" t="inlineStr">
        <is>
          <t>Sveaskog</t>
        </is>
      </c>
      <c r="G755" t="n">
        <v>9</v>
      </c>
      <c r="H755" t="n">
        <v>0</v>
      </c>
      <c r="I755" t="n">
        <v>0</v>
      </c>
      <c r="J755" t="n">
        <v>0</v>
      </c>
      <c r="K755" t="n">
        <v>0</v>
      </c>
      <c r="L755" t="n">
        <v>0</v>
      </c>
      <c r="M755" t="n">
        <v>0</v>
      </c>
      <c r="N755" t="n">
        <v>0</v>
      </c>
      <c r="O755" t="n">
        <v>0</v>
      </c>
      <c r="P755" t="n">
        <v>0</v>
      </c>
      <c r="Q755" t="n">
        <v>0</v>
      </c>
      <c r="R755" s="2" t="inlineStr"/>
    </row>
    <row r="756" ht="15" customHeight="1">
      <c r="A756" t="inlineStr">
        <is>
          <t>A 14716-2022</t>
        </is>
      </c>
      <c r="B756" s="1" t="n">
        <v>44656</v>
      </c>
      <c r="C756" s="1" t="n">
        <v>45588</v>
      </c>
      <c r="D756" t="inlineStr">
        <is>
          <t>STOCKHOLMS LÄN</t>
        </is>
      </c>
      <c r="E756" t="inlineStr">
        <is>
          <t>NORRTÄLJE</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14869-2022</t>
        </is>
      </c>
      <c r="B757" s="1" t="n">
        <v>44656</v>
      </c>
      <c r="C757" s="1" t="n">
        <v>45588</v>
      </c>
      <c r="D757" t="inlineStr">
        <is>
          <t>STOCKHOLMS LÄN</t>
        </is>
      </c>
      <c r="E757" t="inlineStr">
        <is>
          <t>NORRTÄLJE</t>
        </is>
      </c>
      <c r="F757" t="inlineStr">
        <is>
          <t>Holmen skog AB</t>
        </is>
      </c>
      <c r="G757" t="n">
        <v>9.1</v>
      </c>
      <c r="H757" t="n">
        <v>0</v>
      </c>
      <c r="I757" t="n">
        <v>0</v>
      </c>
      <c r="J757" t="n">
        <v>0</v>
      </c>
      <c r="K757" t="n">
        <v>0</v>
      </c>
      <c r="L757" t="n">
        <v>0</v>
      </c>
      <c r="M757" t="n">
        <v>0</v>
      </c>
      <c r="N757" t="n">
        <v>0</v>
      </c>
      <c r="O757" t="n">
        <v>0</v>
      </c>
      <c r="P757" t="n">
        <v>0</v>
      </c>
      <c r="Q757" t="n">
        <v>0</v>
      </c>
      <c r="R757" s="2" t="inlineStr"/>
    </row>
    <row r="758" ht="15" customHeight="1">
      <c r="A758" t="inlineStr">
        <is>
          <t>A 15225-2022</t>
        </is>
      </c>
      <c r="B758" s="1" t="n">
        <v>44658</v>
      </c>
      <c r="C758" s="1" t="n">
        <v>45588</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15226-2022</t>
        </is>
      </c>
      <c r="B759" s="1" t="n">
        <v>44658</v>
      </c>
      <c r="C759" s="1" t="n">
        <v>45588</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15861-2022</t>
        </is>
      </c>
      <c r="B760" s="1" t="n">
        <v>44664</v>
      </c>
      <c r="C760" s="1" t="n">
        <v>45588</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16117-2022</t>
        </is>
      </c>
      <c r="B761" s="1" t="n">
        <v>44665</v>
      </c>
      <c r="C761" s="1" t="n">
        <v>45588</v>
      </c>
      <c r="D761" t="inlineStr">
        <is>
          <t>STOCKHOLMS LÄN</t>
        </is>
      </c>
      <c r="E761" t="inlineStr">
        <is>
          <t>NORRTÄLJE</t>
        </is>
      </c>
      <c r="G761" t="n">
        <v>8.1</v>
      </c>
      <c r="H761" t="n">
        <v>0</v>
      </c>
      <c r="I761" t="n">
        <v>0</v>
      </c>
      <c r="J761" t="n">
        <v>0</v>
      </c>
      <c r="K761" t="n">
        <v>0</v>
      </c>
      <c r="L761" t="n">
        <v>0</v>
      </c>
      <c r="M761" t="n">
        <v>0</v>
      </c>
      <c r="N761" t="n">
        <v>0</v>
      </c>
      <c r="O761" t="n">
        <v>0</v>
      </c>
      <c r="P761" t="n">
        <v>0</v>
      </c>
      <c r="Q761" t="n">
        <v>0</v>
      </c>
      <c r="R761" s="2" t="inlineStr"/>
    </row>
    <row r="762" ht="15" customHeight="1">
      <c r="A762" t="inlineStr">
        <is>
          <t>A 16119-2022</t>
        </is>
      </c>
      <c r="B762" s="1" t="n">
        <v>44665</v>
      </c>
      <c r="C762" s="1" t="n">
        <v>45588</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16132-2022</t>
        </is>
      </c>
      <c r="B763" s="1" t="n">
        <v>44665</v>
      </c>
      <c r="C763" s="1" t="n">
        <v>45588</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16224-2022</t>
        </is>
      </c>
      <c r="B764" s="1" t="n">
        <v>44670</v>
      </c>
      <c r="C764" s="1" t="n">
        <v>45588</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16202-2022</t>
        </is>
      </c>
      <c r="B765" s="1" t="n">
        <v>44670</v>
      </c>
      <c r="C765" s="1" t="n">
        <v>45588</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16229-2022</t>
        </is>
      </c>
      <c r="B766" s="1" t="n">
        <v>44670</v>
      </c>
      <c r="C766" s="1" t="n">
        <v>45588</v>
      </c>
      <c r="D766" t="inlineStr">
        <is>
          <t>STOCKHOLMS LÄN</t>
        </is>
      </c>
      <c r="E766" t="inlineStr">
        <is>
          <t>NORRTÄLJE</t>
        </is>
      </c>
      <c r="G766" t="n">
        <v>7.4</v>
      </c>
      <c r="H766" t="n">
        <v>0</v>
      </c>
      <c r="I766" t="n">
        <v>0</v>
      </c>
      <c r="J766" t="n">
        <v>0</v>
      </c>
      <c r="K766" t="n">
        <v>0</v>
      </c>
      <c r="L766" t="n">
        <v>0</v>
      </c>
      <c r="M766" t="n">
        <v>0</v>
      </c>
      <c r="N766" t="n">
        <v>0</v>
      </c>
      <c r="O766" t="n">
        <v>0</v>
      </c>
      <c r="P766" t="n">
        <v>0</v>
      </c>
      <c r="Q766" t="n">
        <v>0</v>
      </c>
      <c r="R766" s="2" t="inlineStr"/>
    </row>
    <row r="767" ht="15" customHeight="1">
      <c r="A767" t="inlineStr">
        <is>
          <t>A 16442-2022</t>
        </is>
      </c>
      <c r="B767" s="1" t="n">
        <v>44671</v>
      </c>
      <c r="C767" s="1" t="n">
        <v>45588</v>
      </c>
      <c r="D767" t="inlineStr">
        <is>
          <t>STOCKHOLMS LÄN</t>
        </is>
      </c>
      <c r="E767" t="inlineStr">
        <is>
          <t>NORRTÄLJE</t>
        </is>
      </c>
      <c r="G767" t="n">
        <v>4.8</v>
      </c>
      <c r="H767" t="n">
        <v>0</v>
      </c>
      <c r="I767" t="n">
        <v>0</v>
      </c>
      <c r="J767" t="n">
        <v>0</v>
      </c>
      <c r="K767" t="n">
        <v>0</v>
      </c>
      <c r="L767" t="n">
        <v>0</v>
      </c>
      <c r="M767" t="n">
        <v>0</v>
      </c>
      <c r="N767" t="n">
        <v>0</v>
      </c>
      <c r="O767" t="n">
        <v>0</v>
      </c>
      <c r="P767" t="n">
        <v>0</v>
      </c>
      <c r="Q767" t="n">
        <v>0</v>
      </c>
      <c r="R767" s="2" t="inlineStr"/>
    </row>
    <row r="768" ht="15" customHeight="1">
      <c r="A768" t="inlineStr">
        <is>
          <t>A 16534-2022</t>
        </is>
      </c>
      <c r="B768" s="1" t="n">
        <v>44672</v>
      </c>
      <c r="C768" s="1" t="n">
        <v>45588</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16835-2022</t>
        </is>
      </c>
      <c r="B769" s="1" t="n">
        <v>44673</v>
      </c>
      <c r="C769" s="1" t="n">
        <v>45588</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17391-2022</t>
        </is>
      </c>
      <c r="B770" s="1" t="n">
        <v>44678</v>
      </c>
      <c r="C770" s="1" t="n">
        <v>45588</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17388-2022</t>
        </is>
      </c>
      <c r="B771" s="1" t="n">
        <v>44678</v>
      </c>
      <c r="C771" s="1" t="n">
        <v>45588</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17390-2022</t>
        </is>
      </c>
      <c r="B772" s="1" t="n">
        <v>44678</v>
      </c>
      <c r="C772" s="1" t="n">
        <v>45588</v>
      </c>
      <c r="D772" t="inlineStr">
        <is>
          <t>STOCKHOLMS LÄN</t>
        </is>
      </c>
      <c r="E772" t="inlineStr">
        <is>
          <t>NORRTÄLJE</t>
        </is>
      </c>
      <c r="G772" t="n">
        <v>4.9</v>
      </c>
      <c r="H772" t="n">
        <v>0</v>
      </c>
      <c r="I772" t="n">
        <v>0</v>
      </c>
      <c r="J772" t="n">
        <v>0</v>
      </c>
      <c r="K772" t="n">
        <v>0</v>
      </c>
      <c r="L772" t="n">
        <v>0</v>
      </c>
      <c r="M772" t="n">
        <v>0</v>
      </c>
      <c r="N772" t="n">
        <v>0</v>
      </c>
      <c r="O772" t="n">
        <v>0</v>
      </c>
      <c r="P772" t="n">
        <v>0</v>
      </c>
      <c r="Q772" t="n">
        <v>0</v>
      </c>
      <c r="R772" s="2" t="inlineStr"/>
    </row>
    <row r="773" ht="15" customHeight="1">
      <c r="A773" t="inlineStr">
        <is>
          <t>A 17612-2022</t>
        </is>
      </c>
      <c r="B773" s="1" t="n">
        <v>44680</v>
      </c>
      <c r="C773" s="1" t="n">
        <v>45588</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17629-2022</t>
        </is>
      </c>
      <c r="B774" s="1" t="n">
        <v>44680</v>
      </c>
      <c r="C774" s="1" t="n">
        <v>45588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v>
      </c>
      <c r="C775" s="1" t="n">
        <v>45588</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v>
      </c>
      <c r="C776" s="1" t="n">
        <v>45588</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17773-2022</t>
        </is>
      </c>
      <c r="B777" s="1" t="n">
        <v>44682</v>
      </c>
      <c r="C777" s="1" t="n">
        <v>45588</v>
      </c>
      <c r="D777" t="inlineStr">
        <is>
          <t>STOCKHOLMS LÄN</t>
        </is>
      </c>
      <c r="E777" t="inlineStr">
        <is>
          <t>NORRTÄLJE</t>
        </is>
      </c>
      <c r="G777" t="n">
        <v>10.8</v>
      </c>
      <c r="H777" t="n">
        <v>0</v>
      </c>
      <c r="I777" t="n">
        <v>0</v>
      </c>
      <c r="J777" t="n">
        <v>0</v>
      </c>
      <c r="K777" t="n">
        <v>0</v>
      </c>
      <c r="L777" t="n">
        <v>0</v>
      </c>
      <c r="M777" t="n">
        <v>0</v>
      </c>
      <c r="N777" t="n">
        <v>0</v>
      </c>
      <c r="O777" t="n">
        <v>0</v>
      </c>
      <c r="P777" t="n">
        <v>0</v>
      </c>
      <c r="Q777" t="n">
        <v>0</v>
      </c>
      <c r="R777" s="2" t="inlineStr"/>
    </row>
    <row r="778" ht="15" customHeight="1">
      <c r="A778" t="inlineStr">
        <is>
          <t>A 17772-2022</t>
        </is>
      </c>
      <c r="B778" s="1" t="n">
        <v>44682</v>
      </c>
      <c r="C778" s="1" t="n">
        <v>45588</v>
      </c>
      <c r="D778" t="inlineStr">
        <is>
          <t>STOCKHOLMS LÄN</t>
        </is>
      </c>
      <c r="E778" t="inlineStr">
        <is>
          <t>NORRTÄLJE</t>
        </is>
      </c>
      <c r="G778" t="n">
        <v>4</v>
      </c>
      <c r="H778" t="n">
        <v>0</v>
      </c>
      <c r="I778" t="n">
        <v>0</v>
      </c>
      <c r="J778" t="n">
        <v>0</v>
      </c>
      <c r="K778" t="n">
        <v>0</v>
      </c>
      <c r="L778" t="n">
        <v>0</v>
      </c>
      <c r="M778" t="n">
        <v>0</v>
      </c>
      <c r="N778" t="n">
        <v>0</v>
      </c>
      <c r="O778" t="n">
        <v>0</v>
      </c>
      <c r="P778" t="n">
        <v>0</v>
      </c>
      <c r="Q778" t="n">
        <v>0</v>
      </c>
      <c r="R778" s="2" t="inlineStr"/>
    </row>
    <row r="779" ht="15" customHeight="1">
      <c r="A779" t="inlineStr">
        <is>
          <t>A 17777-2022</t>
        </is>
      </c>
      <c r="B779" s="1" t="n">
        <v>44682</v>
      </c>
      <c r="C779" s="1" t="n">
        <v>45588</v>
      </c>
      <c r="D779" t="inlineStr">
        <is>
          <t>STOCKHOLMS LÄN</t>
        </is>
      </c>
      <c r="E779" t="inlineStr">
        <is>
          <t>NORRTÄLJE</t>
        </is>
      </c>
      <c r="G779" t="n">
        <v>3.7</v>
      </c>
      <c r="H779" t="n">
        <v>0</v>
      </c>
      <c r="I779" t="n">
        <v>0</v>
      </c>
      <c r="J779" t="n">
        <v>0</v>
      </c>
      <c r="K779" t="n">
        <v>0</v>
      </c>
      <c r="L779" t="n">
        <v>0</v>
      </c>
      <c r="M779" t="n">
        <v>0</v>
      </c>
      <c r="N779" t="n">
        <v>0</v>
      </c>
      <c r="O779" t="n">
        <v>0</v>
      </c>
      <c r="P779" t="n">
        <v>0</v>
      </c>
      <c r="Q779" t="n">
        <v>0</v>
      </c>
      <c r="R779" s="2" t="inlineStr"/>
    </row>
    <row r="780" ht="15" customHeight="1">
      <c r="A780" t="inlineStr">
        <is>
          <t>A 17803-2022</t>
        </is>
      </c>
      <c r="B780" s="1" t="n">
        <v>44683</v>
      </c>
      <c r="C780" s="1" t="n">
        <v>45588</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17952-2022</t>
        </is>
      </c>
      <c r="B781" s="1" t="n">
        <v>44683</v>
      </c>
      <c r="C781" s="1" t="n">
        <v>45588</v>
      </c>
      <c r="D781" t="inlineStr">
        <is>
          <t>STOCKHOLMS LÄN</t>
        </is>
      </c>
      <c r="E781" t="inlineStr">
        <is>
          <t>NORRTÄLJE</t>
        </is>
      </c>
      <c r="G781" t="n">
        <v>51.1</v>
      </c>
      <c r="H781" t="n">
        <v>0</v>
      </c>
      <c r="I781" t="n">
        <v>0</v>
      </c>
      <c r="J781" t="n">
        <v>0</v>
      </c>
      <c r="K781" t="n">
        <v>0</v>
      </c>
      <c r="L781" t="n">
        <v>0</v>
      </c>
      <c r="M781" t="n">
        <v>0</v>
      </c>
      <c r="N781" t="n">
        <v>0</v>
      </c>
      <c r="O781" t="n">
        <v>0</v>
      </c>
      <c r="P781" t="n">
        <v>0</v>
      </c>
      <c r="Q781" t="n">
        <v>0</v>
      </c>
      <c r="R781" s="2" t="inlineStr"/>
    </row>
    <row r="782" ht="15" customHeight="1">
      <c r="A782" t="inlineStr">
        <is>
          <t>A 18092-2022</t>
        </is>
      </c>
      <c r="B782" s="1" t="n">
        <v>44684</v>
      </c>
      <c r="C782" s="1" t="n">
        <v>45588</v>
      </c>
      <c r="D782" t="inlineStr">
        <is>
          <t>STOCKHOLMS LÄN</t>
        </is>
      </c>
      <c r="E782" t="inlineStr">
        <is>
          <t>NORRTÄLJE</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18103-2022</t>
        </is>
      </c>
      <c r="B783" s="1" t="n">
        <v>44684</v>
      </c>
      <c r="C783" s="1" t="n">
        <v>45588</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18350-2022</t>
        </is>
      </c>
      <c r="B784" s="1" t="n">
        <v>44685</v>
      </c>
      <c r="C784" s="1" t="n">
        <v>45588</v>
      </c>
      <c r="D784" t="inlineStr">
        <is>
          <t>STOCKHOLMS LÄN</t>
        </is>
      </c>
      <c r="E784" t="inlineStr">
        <is>
          <t>NORRTÄLJE</t>
        </is>
      </c>
      <c r="F784" t="inlineStr">
        <is>
          <t>Holmen skog AB</t>
        </is>
      </c>
      <c r="G784" t="n">
        <v>7.1</v>
      </c>
      <c r="H784" t="n">
        <v>0</v>
      </c>
      <c r="I784" t="n">
        <v>0</v>
      </c>
      <c r="J784" t="n">
        <v>0</v>
      </c>
      <c r="K784" t="n">
        <v>0</v>
      </c>
      <c r="L784" t="n">
        <v>0</v>
      </c>
      <c r="M784" t="n">
        <v>0</v>
      </c>
      <c r="N784" t="n">
        <v>0</v>
      </c>
      <c r="O784" t="n">
        <v>0</v>
      </c>
      <c r="P784" t="n">
        <v>0</v>
      </c>
      <c r="Q784" t="n">
        <v>0</v>
      </c>
      <c r="R784" s="2" t="inlineStr"/>
    </row>
    <row r="785" ht="15" customHeight="1">
      <c r="A785" t="inlineStr">
        <is>
          <t>A 18546-2022</t>
        </is>
      </c>
      <c r="B785" s="1" t="n">
        <v>44686</v>
      </c>
      <c r="C785" s="1" t="n">
        <v>45588</v>
      </c>
      <c r="D785" t="inlineStr">
        <is>
          <t>STOCKHOLMS LÄN</t>
        </is>
      </c>
      <c r="E785" t="inlineStr">
        <is>
          <t>NORRTÄLJE</t>
        </is>
      </c>
      <c r="G785" t="n">
        <v>15.2</v>
      </c>
      <c r="H785" t="n">
        <v>0</v>
      </c>
      <c r="I785" t="n">
        <v>0</v>
      </c>
      <c r="J785" t="n">
        <v>0</v>
      </c>
      <c r="K785" t="n">
        <v>0</v>
      </c>
      <c r="L785" t="n">
        <v>0</v>
      </c>
      <c r="M785" t="n">
        <v>0</v>
      </c>
      <c r="N785" t="n">
        <v>0</v>
      </c>
      <c r="O785" t="n">
        <v>0</v>
      </c>
      <c r="P785" t="n">
        <v>0</v>
      </c>
      <c r="Q785" t="n">
        <v>0</v>
      </c>
      <c r="R785" s="2" t="inlineStr"/>
    </row>
    <row r="786" ht="15" customHeight="1">
      <c r="A786" t="inlineStr">
        <is>
          <t>A 18665-2022</t>
        </is>
      </c>
      <c r="B786" s="1" t="n">
        <v>44687</v>
      </c>
      <c r="C786" s="1" t="n">
        <v>45588</v>
      </c>
      <c r="D786" t="inlineStr">
        <is>
          <t>STOCKHOLMS LÄN</t>
        </is>
      </c>
      <c r="E786" t="inlineStr">
        <is>
          <t>NORRTÄLJE</t>
        </is>
      </c>
      <c r="F786" t="inlineStr">
        <is>
          <t>Kyrkan</t>
        </is>
      </c>
      <c r="G786" t="n">
        <v>1.1</v>
      </c>
      <c r="H786" t="n">
        <v>0</v>
      </c>
      <c r="I786" t="n">
        <v>0</v>
      </c>
      <c r="J786" t="n">
        <v>0</v>
      </c>
      <c r="K786" t="n">
        <v>0</v>
      </c>
      <c r="L786" t="n">
        <v>0</v>
      </c>
      <c r="M786" t="n">
        <v>0</v>
      </c>
      <c r="N786" t="n">
        <v>0</v>
      </c>
      <c r="O786" t="n">
        <v>0</v>
      </c>
      <c r="P786" t="n">
        <v>0</v>
      </c>
      <c r="Q786" t="n">
        <v>0</v>
      </c>
      <c r="R786" s="2" t="inlineStr"/>
    </row>
    <row r="787" ht="15" customHeight="1">
      <c r="A787" t="inlineStr">
        <is>
          <t>A 18787-2022</t>
        </is>
      </c>
      <c r="B787" s="1" t="n">
        <v>44687</v>
      </c>
      <c r="C787" s="1" t="n">
        <v>45588</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18846-2022</t>
        </is>
      </c>
      <c r="B788" s="1" t="n">
        <v>44690</v>
      </c>
      <c r="C788" s="1" t="n">
        <v>45588</v>
      </c>
      <c r="D788" t="inlineStr">
        <is>
          <t>STOCKHOLMS LÄN</t>
        </is>
      </c>
      <c r="E788" t="inlineStr">
        <is>
          <t>NORRTÄLJE</t>
        </is>
      </c>
      <c r="G788" t="n">
        <v>7</v>
      </c>
      <c r="H788" t="n">
        <v>0</v>
      </c>
      <c r="I788" t="n">
        <v>0</v>
      </c>
      <c r="J788" t="n">
        <v>0</v>
      </c>
      <c r="K788" t="n">
        <v>0</v>
      </c>
      <c r="L788" t="n">
        <v>0</v>
      </c>
      <c r="M788" t="n">
        <v>0</v>
      </c>
      <c r="N788" t="n">
        <v>0</v>
      </c>
      <c r="O788" t="n">
        <v>0</v>
      </c>
      <c r="P788" t="n">
        <v>0</v>
      </c>
      <c r="Q788" t="n">
        <v>0</v>
      </c>
      <c r="R788" s="2" t="inlineStr"/>
    </row>
    <row r="789" ht="15" customHeight="1">
      <c r="A789" t="inlineStr">
        <is>
          <t>A 18905-2022</t>
        </is>
      </c>
      <c r="B789" s="1" t="n">
        <v>44690</v>
      </c>
      <c r="C789" s="1" t="n">
        <v>45588</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18894-2022</t>
        </is>
      </c>
      <c r="B790" s="1" t="n">
        <v>44690</v>
      </c>
      <c r="C790" s="1" t="n">
        <v>45588</v>
      </c>
      <c r="D790" t="inlineStr">
        <is>
          <t>STOCKHOLMS LÄN</t>
        </is>
      </c>
      <c r="E790" t="inlineStr">
        <is>
          <t>NORRTÄLJE</t>
        </is>
      </c>
      <c r="G790" t="n">
        <v>3.6</v>
      </c>
      <c r="H790" t="n">
        <v>0</v>
      </c>
      <c r="I790" t="n">
        <v>0</v>
      </c>
      <c r="J790" t="n">
        <v>0</v>
      </c>
      <c r="K790" t="n">
        <v>0</v>
      </c>
      <c r="L790" t="n">
        <v>0</v>
      </c>
      <c r="M790" t="n">
        <v>0</v>
      </c>
      <c r="N790" t="n">
        <v>0</v>
      </c>
      <c r="O790" t="n">
        <v>0</v>
      </c>
      <c r="P790" t="n">
        <v>0</v>
      </c>
      <c r="Q790" t="n">
        <v>0</v>
      </c>
      <c r="R790" s="2" t="inlineStr"/>
    </row>
    <row r="791" ht="15" customHeight="1">
      <c r="A791" t="inlineStr">
        <is>
          <t>A 19116-2022</t>
        </is>
      </c>
      <c r="B791" s="1" t="n">
        <v>44691</v>
      </c>
      <c r="C791" s="1" t="n">
        <v>45588</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19118-2022</t>
        </is>
      </c>
      <c r="B792" s="1" t="n">
        <v>44691</v>
      </c>
      <c r="C792" s="1" t="n">
        <v>45588</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19580-2022</t>
        </is>
      </c>
      <c r="B793" s="1" t="n">
        <v>44693</v>
      </c>
      <c r="C793" s="1" t="n">
        <v>45588</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19729-2022</t>
        </is>
      </c>
      <c r="B794" s="1" t="n">
        <v>44694</v>
      </c>
      <c r="C794" s="1" t="n">
        <v>45588</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19728-2022</t>
        </is>
      </c>
      <c r="B795" s="1" t="n">
        <v>44694</v>
      </c>
      <c r="C795" s="1" t="n">
        <v>45588</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19982-2022</t>
        </is>
      </c>
      <c r="B796" s="1" t="n">
        <v>44697</v>
      </c>
      <c r="C796" s="1" t="n">
        <v>45588</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19983-2022</t>
        </is>
      </c>
      <c r="B797" s="1" t="n">
        <v>44697</v>
      </c>
      <c r="C797" s="1" t="n">
        <v>45588</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20121-2022</t>
        </is>
      </c>
      <c r="B798" s="1" t="n">
        <v>44698</v>
      </c>
      <c r="C798" s="1" t="n">
        <v>45588</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20129-2022</t>
        </is>
      </c>
      <c r="B799" s="1" t="n">
        <v>44698</v>
      </c>
      <c r="C799" s="1" t="n">
        <v>45588</v>
      </c>
      <c r="D799" t="inlineStr">
        <is>
          <t>STOCKHOLMS LÄN</t>
        </is>
      </c>
      <c r="E799" t="inlineStr">
        <is>
          <t>NORRTÄLJE</t>
        </is>
      </c>
      <c r="G799" t="n">
        <v>3.7</v>
      </c>
      <c r="H799" t="n">
        <v>0</v>
      </c>
      <c r="I799" t="n">
        <v>0</v>
      </c>
      <c r="J799" t="n">
        <v>0</v>
      </c>
      <c r="K799" t="n">
        <v>0</v>
      </c>
      <c r="L799" t="n">
        <v>0</v>
      </c>
      <c r="M799" t="n">
        <v>0</v>
      </c>
      <c r="N799" t="n">
        <v>0</v>
      </c>
      <c r="O799" t="n">
        <v>0</v>
      </c>
      <c r="P799" t="n">
        <v>0</v>
      </c>
      <c r="Q799" t="n">
        <v>0</v>
      </c>
      <c r="R799" s="2" t="inlineStr"/>
    </row>
    <row r="800" ht="15" customHeight="1">
      <c r="A800" t="inlineStr">
        <is>
          <t>A 20291-2022</t>
        </is>
      </c>
      <c r="B800" s="1" t="n">
        <v>44698</v>
      </c>
      <c r="C800" s="1" t="n">
        <v>45588</v>
      </c>
      <c r="D800" t="inlineStr">
        <is>
          <t>STOCKHOLMS LÄN</t>
        </is>
      </c>
      <c r="E800" t="inlineStr">
        <is>
          <t>NORRTÄLJE</t>
        </is>
      </c>
      <c r="F800" t="inlineStr">
        <is>
          <t>Naturvårdsverket</t>
        </is>
      </c>
      <c r="G800" t="n">
        <v>2</v>
      </c>
      <c r="H800" t="n">
        <v>0</v>
      </c>
      <c r="I800" t="n">
        <v>0</v>
      </c>
      <c r="J800" t="n">
        <v>0</v>
      </c>
      <c r="K800" t="n">
        <v>0</v>
      </c>
      <c r="L800" t="n">
        <v>0</v>
      </c>
      <c r="M800" t="n">
        <v>0</v>
      </c>
      <c r="N800" t="n">
        <v>0</v>
      </c>
      <c r="O800" t="n">
        <v>0</v>
      </c>
      <c r="P800" t="n">
        <v>0</v>
      </c>
      <c r="Q800" t="n">
        <v>0</v>
      </c>
      <c r="R800" s="2" t="inlineStr"/>
    </row>
    <row r="801" ht="15" customHeight="1">
      <c r="A801" t="inlineStr">
        <is>
          <t>A 20294-2022</t>
        </is>
      </c>
      <c r="B801" s="1" t="n">
        <v>44698</v>
      </c>
      <c r="C801" s="1" t="n">
        <v>45588</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20295-2022</t>
        </is>
      </c>
      <c r="B802" s="1" t="n">
        <v>44698</v>
      </c>
      <c r="C802" s="1" t="n">
        <v>45588</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20618-2022</t>
        </is>
      </c>
      <c r="B803" s="1" t="n">
        <v>44700</v>
      </c>
      <c r="C803" s="1" t="n">
        <v>45588</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21102-2022</t>
        </is>
      </c>
      <c r="B804" s="1" t="n">
        <v>44704</v>
      </c>
      <c r="C804" s="1" t="n">
        <v>45588</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21158-2022</t>
        </is>
      </c>
      <c r="B805" s="1" t="n">
        <v>44704</v>
      </c>
      <c r="C805" s="1" t="n">
        <v>45588</v>
      </c>
      <c r="D805" t="inlineStr">
        <is>
          <t>STOCKHOLMS LÄN</t>
        </is>
      </c>
      <c r="E805" t="inlineStr">
        <is>
          <t>NORRTÄLJE</t>
        </is>
      </c>
      <c r="G805" t="n">
        <v>17.8</v>
      </c>
      <c r="H805" t="n">
        <v>0</v>
      </c>
      <c r="I805" t="n">
        <v>0</v>
      </c>
      <c r="J805" t="n">
        <v>0</v>
      </c>
      <c r="K805" t="n">
        <v>0</v>
      </c>
      <c r="L805" t="n">
        <v>0</v>
      </c>
      <c r="M805" t="n">
        <v>0</v>
      </c>
      <c r="N805" t="n">
        <v>0</v>
      </c>
      <c r="O805" t="n">
        <v>0</v>
      </c>
      <c r="P805" t="n">
        <v>0</v>
      </c>
      <c r="Q805" t="n">
        <v>0</v>
      </c>
      <c r="R805" s="2" t="inlineStr"/>
    </row>
    <row r="806" ht="15" customHeight="1">
      <c r="A806" t="inlineStr">
        <is>
          <t>A 21174-2022</t>
        </is>
      </c>
      <c r="B806" s="1" t="n">
        <v>44704</v>
      </c>
      <c r="C806" s="1" t="n">
        <v>45588</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21480-2022</t>
        </is>
      </c>
      <c r="B807" s="1" t="n">
        <v>44704</v>
      </c>
      <c r="C807" s="1" t="n">
        <v>45588</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21178-2022</t>
        </is>
      </c>
      <c r="B808" s="1" t="n">
        <v>44704</v>
      </c>
      <c r="C808" s="1" t="n">
        <v>45588</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21329-2022</t>
        </is>
      </c>
      <c r="B809" s="1" t="n">
        <v>44705</v>
      </c>
      <c r="C809" s="1" t="n">
        <v>45588</v>
      </c>
      <c r="D809" t="inlineStr">
        <is>
          <t>STOCKHOLMS LÄN</t>
        </is>
      </c>
      <c r="E809" t="inlineStr">
        <is>
          <t>NORRTÄLJE</t>
        </is>
      </c>
      <c r="G809" t="n">
        <v>4.1</v>
      </c>
      <c r="H809" t="n">
        <v>0</v>
      </c>
      <c r="I809" t="n">
        <v>0</v>
      </c>
      <c r="J809" t="n">
        <v>0</v>
      </c>
      <c r="K809" t="n">
        <v>0</v>
      </c>
      <c r="L809" t="n">
        <v>0</v>
      </c>
      <c r="M809" t="n">
        <v>0</v>
      </c>
      <c r="N809" t="n">
        <v>0</v>
      </c>
      <c r="O809" t="n">
        <v>0</v>
      </c>
      <c r="P809" t="n">
        <v>0</v>
      </c>
      <c r="Q809" t="n">
        <v>0</v>
      </c>
      <c r="R809" s="2" t="inlineStr"/>
    </row>
    <row r="810" ht="15" customHeight="1">
      <c r="A810" t="inlineStr">
        <is>
          <t>A 21739-2022</t>
        </is>
      </c>
      <c r="B810" s="1" t="n">
        <v>44708</v>
      </c>
      <c r="C810" s="1" t="n">
        <v>45588</v>
      </c>
      <c r="D810" t="inlineStr">
        <is>
          <t>STOCKHOLMS LÄN</t>
        </is>
      </c>
      <c r="E810" t="inlineStr">
        <is>
          <t>NORRTÄLJE</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21723-2022</t>
        </is>
      </c>
      <c r="B811" s="1" t="n">
        <v>44708</v>
      </c>
      <c r="C811" s="1" t="n">
        <v>45588</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21726-2022</t>
        </is>
      </c>
      <c r="B812" s="1" t="n">
        <v>44708</v>
      </c>
      <c r="C812" s="1" t="n">
        <v>45588</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21803-2022</t>
        </is>
      </c>
      <c r="B813" s="1" t="n">
        <v>44708</v>
      </c>
      <c r="C813" s="1" t="n">
        <v>45588</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21970-2022</t>
        </is>
      </c>
      <c r="B814" s="1" t="n">
        <v>44711</v>
      </c>
      <c r="C814" s="1" t="n">
        <v>45588</v>
      </c>
      <c r="D814" t="inlineStr">
        <is>
          <t>STOCKHOLMS LÄN</t>
        </is>
      </c>
      <c r="E814" t="inlineStr">
        <is>
          <t>NORRTÄLJE</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22072-2022</t>
        </is>
      </c>
      <c r="B815" s="1" t="n">
        <v>44711</v>
      </c>
      <c r="C815" s="1" t="n">
        <v>45588</v>
      </c>
      <c r="D815" t="inlineStr">
        <is>
          <t>STOCKHOLMS LÄN</t>
        </is>
      </c>
      <c r="E815" t="inlineStr">
        <is>
          <t>NORRTÄLJE</t>
        </is>
      </c>
      <c r="G815" t="n">
        <v>9.6</v>
      </c>
      <c r="H815" t="n">
        <v>0</v>
      </c>
      <c r="I815" t="n">
        <v>0</v>
      </c>
      <c r="J815" t="n">
        <v>0</v>
      </c>
      <c r="K815" t="n">
        <v>0</v>
      </c>
      <c r="L815" t="n">
        <v>0</v>
      </c>
      <c r="M815" t="n">
        <v>0</v>
      </c>
      <c r="N815" t="n">
        <v>0</v>
      </c>
      <c r="O815" t="n">
        <v>0</v>
      </c>
      <c r="P815" t="n">
        <v>0</v>
      </c>
      <c r="Q815" t="n">
        <v>0</v>
      </c>
      <c r="R815" s="2" t="inlineStr"/>
    </row>
    <row r="816" ht="15" customHeight="1">
      <c r="A816" t="inlineStr">
        <is>
          <t>A 22071-2022</t>
        </is>
      </c>
      <c r="B816" s="1" t="n">
        <v>44711</v>
      </c>
      <c r="C816" s="1" t="n">
        <v>45588</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22269-2022</t>
        </is>
      </c>
      <c r="B817" s="1" t="n">
        <v>44712</v>
      </c>
      <c r="C817" s="1" t="n">
        <v>45588</v>
      </c>
      <c r="D817" t="inlineStr">
        <is>
          <t>STOCKHOLMS LÄN</t>
        </is>
      </c>
      <c r="E817" t="inlineStr">
        <is>
          <t>NORRTÄLJE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22316-2022</t>
        </is>
      </c>
      <c r="B818" s="1" t="n">
        <v>44712</v>
      </c>
      <c r="C818" s="1" t="n">
        <v>45588</v>
      </c>
      <c r="D818" t="inlineStr">
        <is>
          <t>STOCKHOLMS LÄN</t>
        </is>
      </c>
      <c r="E818" t="inlineStr">
        <is>
          <t>NORRTÄLJE</t>
        </is>
      </c>
      <c r="G818" t="n">
        <v>6.3</v>
      </c>
      <c r="H818" t="n">
        <v>0</v>
      </c>
      <c r="I818" t="n">
        <v>0</v>
      </c>
      <c r="J818" t="n">
        <v>0</v>
      </c>
      <c r="K818" t="n">
        <v>0</v>
      </c>
      <c r="L818" t="n">
        <v>0</v>
      </c>
      <c r="M818" t="n">
        <v>0</v>
      </c>
      <c r="N818" t="n">
        <v>0</v>
      </c>
      <c r="O818" t="n">
        <v>0</v>
      </c>
      <c r="P818" t="n">
        <v>0</v>
      </c>
      <c r="Q818" t="n">
        <v>0</v>
      </c>
      <c r="R818" s="2" t="inlineStr"/>
    </row>
    <row r="819" ht="15" customHeight="1">
      <c r="A819" t="inlineStr">
        <is>
          <t>A 22503-2022</t>
        </is>
      </c>
      <c r="B819" s="1" t="n">
        <v>44713</v>
      </c>
      <c r="C819" s="1" t="n">
        <v>45588</v>
      </c>
      <c r="D819" t="inlineStr">
        <is>
          <t>STOCKHOLMS LÄN</t>
        </is>
      </c>
      <c r="E819" t="inlineStr">
        <is>
          <t>NORRTÄLJE</t>
        </is>
      </c>
      <c r="G819" t="n">
        <v>5.1</v>
      </c>
      <c r="H819" t="n">
        <v>0</v>
      </c>
      <c r="I819" t="n">
        <v>0</v>
      </c>
      <c r="J819" t="n">
        <v>0</v>
      </c>
      <c r="K819" t="n">
        <v>0</v>
      </c>
      <c r="L819" t="n">
        <v>0</v>
      </c>
      <c r="M819" t="n">
        <v>0</v>
      </c>
      <c r="N819" t="n">
        <v>0</v>
      </c>
      <c r="O819" t="n">
        <v>0</v>
      </c>
      <c r="P819" t="n">
        <v>0</v>
      </c>
      <c r="Q819" t="n">
        <v>0</v>
      </c>
      <c r="R819" s="2" t="inlineStr"/>
    </row>
    <row r="820" ht="15" customHeight="1">
      <c r="A820" t="inlineStr">
        <is>
          <t>A 22697-2022</t>
        </is>
      </c>
      <c r="B820" s="1" t="n">
        <v>44714</v>
      </c>
      <c r="C820" s="1" t="n">
        <v>45588</v>
      </c>
      <c r="D820" t="inlineStr">
        <is>
          <t>STOCKHOLMS LÄN</t>
        </is>
      </c>
      <c r="E820" t="inlineStr">
        <is>
          <t>NORRTÄLJE</t>
        </is>
      </c>
      <c r="G820" t="n">
        <v>5.6</v>
      </c>
      <c r="H820" t="n">
        <v>0</v>
      </c>
      <c r="I820" t="n">
        <v>0</v>
      </c>
      <c r="J820" t="n">
        <v>0</v>
      </c>
      <c r="K820" t="n">
        <v>0</v>
      </c>
      <c r="L820" t="n">
        <v>0</v>
      </c>
      <c r="M820" t="n">
        <v>0</v>
      </c>
      <c r="N820" t="n">
        <v>0</v>
      </c>
      <c r="O820" t="n">
        <v>0</v>
      </c>
      <c r="P820" t="n">
        <v>0</v>
      </c>
      <c r="Q820" t="n">
        <v>0</v>
      </c>
      <c r="R820" s="2" t="inlineStr"/>
    </row>
    <row r="821" ht="15" customHeight="1">
      <c r="A821" t="inlineStr">
        <is>
          <t>A 22628-2022</t>
        </is>
      </c>
      <c r="B821" s="1" t="n">
        <v>44714</v>
      </c>
      <c r="C821" s="1" t="n">
        <v>45588</v>
      </c>
      <c r="D821" t="inlineStr">
        <is>
          <t>STOCKHOLMS LÄN</t>
        </is>
      </c>
      <c r="E821" t="inlineStr">
        <is>
          <t>NORRTÄLJE</t>
        </is>
      </c>
      <c r="G821" t="n">
        <v>11.4</v>
      </c>
      <c r="H821" t="n">
        <v>0</v>
      </c>
      <c r="I821" t="n">
        <v>0</v>
      </c>
      <c r="J821" t="n">
        <v>0</v>
      </c>
      <c r="K821" t="n">
        <v>0</v>
      </c>
      <c r="L821" t="n">
        <v>0</v>
      </c>
      <c r="M821" t="n">
        <v>0</v>
      </c>
      <c r="N821" t="n">
        <v>0</v>
      </c>
      <c r="O821" t="n">
        <v>0</v>
      </c>
      <c r="P821" t="n">
        <v>0</v>
      </c>
      <c r="Q821" t="n">
        <v>0</v>
      </c>
      <c r="R821" s="2" t="inlineStr"/>
    </row>
    <row r="822" ht="15" customHeight="1">
      <c r="A822" t="inlineStr">
        <is>
          <t>A 22636-2022</t>
        </is>
      </c>
      <c r="B822" s="1" t="n">
        <v>44714</v>
      </c>
      <c r="C822" s="1" t="n">
        <v>45588</v>
      </c>
      <c r="D822" t="inlineStr">
        <is>
          <t>STOCKHOLMS LÄN</t>
        </is>
      </c>
      <c r="E822" t="inlineStr">
        <is>
          <t>NORRTÄLJE</t>
        </is>
      </c>
      <c r="G822" t="n">
        <v>16.6</v>
      </c>
      <c r="H822" t="n">
        <v>0</v>
      </c>
      <c r="I822" t="n">
        <v>0</v>
      </c>
      <c r="J822" t="n">
        <v>0</v>
      </c>
      <c r="K822" t="n">
        <v>0</v>
      </c>
      <c r="L822" t="n">
        <v>0</v>
      </c>
      <c r="M822" t="n">
        <v>0</v>
      </c>
      <c r="N822" t="n">
        <v>0</v>
      </c>
      <c r="O822" t="n">
        <v>0</v>
      </c>
      <c r="P822" t="n">
        <v>0</v>
      </c>
      <c r="Q822" t="n">
        <v>0</v>
      </c>
      <c r="R822" s="2" t="inlineStr"/>
    </row>
    <row r="823" ht="15" customHeight="1">
      <c r="A823" t="inlineStr">
        <is>
          <t>A 22716-2022</t>
        </is>
      </c>
      <c r="B823" s="1" t="n">
        <v>44714</v>
      </c>
      <c r="C823" s="1" t="n">
        <v>45588</v>
      </c>
      <c r="D823" t="inlineStr">
        <is>
          <t>STOCKHOLMS LÄN</t>
        </is>
      </c>
      <c r="E823" t="inlineStr">
        <is>
          <t>NORRTÄLJE</t>
        </is>
      </c>
      <c r="G823" t="n">
        <v>13.5</v>
      </c>
      <c r="H823" t="n">
        <v>0</v>
      </c>
      <c r="I823" t="n">
        <v>0</v>
      </c>
      <c r="J823" t="n">
        <v>0</v>
      </c>
      <c r="K823" t="n">
        <v>0</v>
      </c>
      <c r="L823" t="n">
        <v>0</v>
      </c>
      <c r="M823" t="n">
        <v>0</v>
      </c>
      <c r="N823" t="n">
        <v>0</v>
      </c>
      <c r="O823" t="n">
        <v>0</v>
      </c>
      <c r="P823" t="n">
        <v>0</v>
      </c>
      <c r="Q823" t="n">
        <v>0</v>
      </c>
      <c r="R823" s="2" t="inlineStr"/>
    </row>
    <row r="824" ht="15" customHeight="1">
      <c r="A824" t="inlineStr">
        <is>
          <t>A 22756-2022</t>
        </is>
      </c>
      <c r="B824" s="1" t="n">
        <v>44715</v>
      </c>
      <c r="C824" s="1" t="n">
        <v>45588</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45588</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23770-2022</t>
        </is>
      </c>
      <c r="B826" s="1" t="n">
        <v>44722</v>
      </c>
      <c r="C826" s="1" t="n">
        <v>45588</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23801-2022</t>
        </is>
      </c>
      <c r="B827" s="1" t="n">
        <v>44722</v>
      </c>
      <c r="C827" s="1" t="n">
        <v>45588</v>
      </c>
      <c r="D827" t="inlineStr">
        <is>
          <t>STOCKHOLMS LÄN</t>
        </is>
      </c>
      <c r="E827" t="inlineStr">
        <is>
          <t>NORRTÄLJE</t>
        </is>
      </c>
      <c r="G827" t="n">
        <v>6.8</v>
      </c>
      <c r="H827" t="n">
        <v>0</v>
      </c>
      <c r="I827" t="n">
        <v>0</v>
      </c>
      <c r="J827" t="n">
        <v>0</v>
      </c>
      <c r="K827" t="n">
        <v>0</v>
      </c>
      <c r="L827" t="n">
        <v>0</v>
      </c>
      <c r="M827" t="n">
        <v>0</v>
      </c>
      <c r="N827" t="n">
        <v>0</v>
      </c>
      <c r="O827" t="n">
        <v>0</v>
      </c>
      <c r="P827" t="n">
        <v>0</v>
      </c>
      <c r="Q827" t="n">
        <v>0</v>
      </c>
      <c r="R827" s="2" t="inlineStr"/>
    </row>
    <row r="828" ht="15" customHeight="1">
      <c r="A828" t="inlineStr">
        <is>
          <t>A 24101-2022</t>
        </is>
      </c>
      <c r="B828" s="1" t="n">
        <v>44725</v>
      </c>
      <c r="C828" s="1" t="n">
        <v>45588</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24162-2022</t>
        </is>
      </c>
      <c r="B829" s="1" t="n">
        <v>44725</v>
      </c>
      <c r="C829" s="1" t="n">
        <v>45588</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24167-2022</t>
        </is>
      </c>
      <c r="B830" s="1" t="n">
        <v>44725</v>
      </c>
      <c r="C830" s="1" t="n">
        <v>45588</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24152-2022</t>
        </is>
      </c>
      <c r="B831" s="1" t="n">
        <v>44725</v>
      </c>
      <c r="C831" s="1" t="n">
        <v>45588</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24534-2022</t>
        </is>
      </c>
      <c r="B832" s="1" t="n">
        <v>44727</v>
      </c>
      <c r="C832" s="1" t="n">
        <v>45588</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24977-2022</t>
        </is>
      </c>
      <c r="B833" s="1" t="n">
        <v>44728</v>
      </c>
      <c r="C833" s="1" t="n">
        <v>45588</v>
      </c>
      <c r="D833" t="inlineStr">
        <is>
          <t>STOCKHOLMS LÄN</t>
        </is>
      </c>
      <c r="E833" t="inlineStr">
        <is>
          <t>NORRTÄLJE</t>
        </is>
      </c>
      <c r="F833" t="inlineStr">
        <is>
          <t>Kyrkan</t>
        </is>
      </c>
      <c r="G833" t="n">
        <v>1</v>
      </c>
      <c r="H833" t="n">
        <v>0</v>
      </c>
      <c r="I833" t="n">
        <v>0</v>
      </c>
      <c r="J833" t="n">
        <v>0</v>
      </c>
      <c r="K833" t="n">
        <v>0</v>
      </c>
      <c r="L833" t="n">
        <v>0</v>
      </c>
      <c r="M833" t="n">
        <v>0</v>
      </c>
      <c r="N833" t="n">
        <v>0</v>
      </c>
      <c r="O833" t="n">
        <v>0</v>
      </c>
      <c r="P833" t="n">
        <v>0</v>
      </c>
      <c r="Q833" t="n">
        <v>0</v>
      </c>
      <c r="R833" s="2" t="inlineStr"/>
    </row>
    <row r="834" ht="15" customHeight="1">
      <c r="A834" t="inlineStr">
        <is>
          <t>A 25525-2022</t>
        </is>
      </c>
      <c r="B834" s="1" t="n">
        <v>44732</v>
      </c>
      <c r="C834" s="1" t="n">
        <v>45588</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25621-2022</t>
        </is>
      </c>
      <c r="B835" s="1" t="n">
        <v>44732</v>
      </c>
      <c r="C835" s="1" t="n">
        <v>45588</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25619-2022</t>
        </is>
      </c>
      <c r="B836" s="1" t="n">
        <v>44732</v>
      </c>
      <c r="C836" s="1" t="n">
        <v>45588</v>
      </c>
      <c r="D836" t="inlineStr">
        <is>
          <t>STOCKHOLMS LÄN</t>
        </is>
      </c>
      <c r="E836" t="inlineStr">
        <is>
          <t>NORRTÄLJE</t>
        </is>
      </c>
      <c r="G836" t="n">
        <v>3.9</v>
      </c>
      <c r="H836" t="n">
        <v>0</v>
      </c>
      <c r="I836" t="n">
        <v>0</v>
      </c>
      <c r="J836" t="n">
        <v>0</v>
      </c>
      <c r="K836" t="n">
        <v>0</v>
      </c>
      <c r="L836" t="n">
        <v>0</v>
      </c>
      <c r="M836" t="n">
        <v>0</v>
      </c>
      <c r="N836" t="n">
        <v>0</v>
      </c>
      <c r="O836" t="n">
        <v>0</v>
      </c>
      <c r="P836" t="n">
        <v>0</v>
      </c>
      <c r="Q836" t="n">
        <v>0</v>
      </c>
      <c r="R836" s="2" t="inlineStr"/>
    </row>
    <row r="837" ht="15" customHeight="1">
      <c r="A837" t="inlineStr">
        <is>
          <t>A 26328-2022</t>
        </is>
      </c>
      <c r="B837" s="1" t="n">
        <v>44735</v>
      </c>
      <c r="C837" s="1" t="n">
        <v>45588</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26335-2022</t>
        </is>
      </c>
      <c r="B838" s="1" t="n">
        <v>44735</v>
      </c>
      <c r="C838" s="1" t="n">
        <v>45588</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27538-2022</t>
        </is>
      </c>
      <c r="B839" s="1" t="n">
        <v>44742</v>
      </c>
      <c r="C839" s="1" t="n">
        <v>45588</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27715-2022</t>
        </is>
      </c>
      <c r="B840" s="1" t="n">
        <v>44743</v>
      </c>
      <c r="C840" s="1" t="n">
        <v>45588</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27827-2022</t>
        </is>
      </c>
      <c r="B841" s="1" t="n">
        <v>44743</v>
      </c>
      <c r="C841" s="1" t="n">
        <v>45588</v>
      </c>
      <c r="D841" t="inlineStr">
        <is>
          <t>STOCKHOLMS LÄN</t>
        </is>
      </c>
      <c r="E841" t="inlineStr">
        <is>
          <t>NORRTÄLJE</t>
        </is>
      </c>
      <c r="F841" t="inlineStr">
        <is>
          <t>Holmen skog AB</t>
        </is>
      </c>
      <c r="G841" t="n">
        <v>4.7</v>
      </c>
      <c r="H841" t="n">
        <v>0</v>
      </c>
      <c r="I841" t="n">
        <v>0</v>
      </c>
      <c r="J841" t="n">
        <v>0</v>
      </c>
      <c r="K841" t="n">
        <v>0</v>
      </c>
      <c r="L841" t="n">
        <v>0</v>
      </c>
      <c r="M841" t="n">
        <v>0</v>
      </c>
      <c r="N841" t="n">
        <v>0</v>
      </c>
      <c r="O841" t="n">
        <v>0</v>
      </c>
      <c r="P841" t="n">
        <v>0</v>
      </c>
      <c r="Q841" t="n">
        <v>0</v>
      </c>
      <c r="R841" s="2" t="inlineStr"/>
    </row>
    <row r="842" ht="15" customHeight="1">
      <c r="A842" t="inlineStr">
        <is>
          <t>A 27870-2022</t>
        </is>
      </c>
      <c r="B842" s="1" t="n">
        <v>44743</v>
      </c>
      <c r="C842" s="1" t="n">
        <v>45588</v>
      </c>
      <c r="D842" t="inlineStr">
        <is>
          <t>STOCKHOLMS LÄN</t>
        </is>
      </c>
      <c r="E842" t="inlineStr">
        <is>
          <t>NORRTÄLJE</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27828-2022</t>
        </is>
      </c>
      <c r="B843" s="1" t="n">
        <v>44743</v>
      </c>
      <c r="C843" s="1" t="n">
        <v>45588</v>
      </c>
      <c r="D843" t="inlineStr">
        <is>
          <t>STOCKHOLMS LÄN</t>
        </is>
      </c>
      <c r="E843" t="inlineStr">
        <is>
          <t>NORRTÄLJE</t>
        </is>
      </c>
      <c r="F843" t="inlineStr">
        <is>
          <t>Kommuner</t>
        </is>
      </c>
      <c r="G843" t="n">
        <v>1.6</v>
      </c>
      <c r="H843" t="n">
        <v>0</v>
      </c>
      <c r="I843" t="n">
        <v>0</v>
      </c>
      <c r="J843" t="n">
        <v>0</v>
      </c>
      <c r="K843" t="n">
        <v>0</v>
      </c>
      <c r="L843" t="n">
        <v>0</v>
      </c>
      <c r="M843" t="n">
        <v>0</v>
      </c>
      <c r="N843" t="n">
        <v>0</v>
      </c>
      <c r="O843" t="n">
        <v>0</v>
      </c>
      <c r="P843" t="n">
        <v>0</v>
      </c>
      <c r="Q843" t="n">
        <v>0</v>
      </c>
      <c r="R843" s="2" t="inlineStr"/>
    </row>
    <row r="844" ht="15" customHeight="1">
      <c r="A844" t="inlineStr">
        <is>
          <t>A 27824-2022</t>
        </is>
      </c>
      <c r="B844" s="1" t="n">
        <v>44743</v>
      </c>
      <c r="C844" s="1" t="n">
        <v>45588</v>
      </c>
      <c r="D844" t="inlineStr">
        <is>
          <t>STOCKHOLMS LÄN</t>
        </is>
      </c>
      <c r="E844" t="inlineStr">
        <is>
          <t>NORRTÄLJE</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27831-2022</t>
        </is>
      </c>
      <c r="B845" s="1" t="n">
        <v>44743</v>
      </c>
      <c r="C845" s="1" t="n">
        <v>45588</v>
      </c>
      <c r="D845" t="inlineStr">
        <is>
          <t>STOCKHOLMS LÄN</t>
        </is>
      </c>
      <c r="E845" t="inlineStr">
        <is>
          <t>NORRTÄLJE</t>
        </is>
      </c>
      <c r="F845" t="inlineStr">
        <is>
          <t>Kommuner</t>
        </is>
      </c>
      <c r="G845" t="n">
        <v>4</v>
      </c>
      <c r="H845" t="n">
        <v>0</v>
      </c>
      <c r="I845" t="n">
        <v>0</v>
      </c>
      <c r="J845" t="n">
        <v>0</v>
      </c>
      <c r="K845" t="n">
        <v>0</v>
      </c>
      <c r="L845" t="n">
        <v>0</v>
      </c>
      <c r="M845" t="n">
        <v>0</v>
      </c>
      <c r="N845" t="n">
        <v>0</v>
      </c>
      <c r="O845" t="n">
        <v>0</v>
      </c>
      <c r="P845" t="n">
        <v>0</v>
      </c>
      <c r="Q845" t="n">
        <v>0</v>
      </c>
      <c r="R845" s="2" t="inlineStr"/>
    </row>
    <row r="846" ht="15" customHeight="1">
      <c r="A846" t="inlineStr">
        <is>
          <t>A 27885-2022</t>
        </is>
      </c>
      <c r="B846" s="1" t="n">
        <v>44743</v>
      </c>
      <c r="C846" s="1" t="n">
        <v>45588</v>
      </c>
      <c r="D846" t="inlineStr">
        <is>
          <t>STOCKHOLMS LÄN</t>
        </is>
      </c>
      <c r="E846" t="inlineStr">
        <is>
          <t>NORRTÄLJE</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27867-2022</t>
        </is>
      </c>
      <c r="B847" s="1" t="n">
        <v>44743</v>
      </c>
      <c r="C847" s="1" t="n">
        <v>45588</v>
      </c>
      <c r="D847" t="inlineStr">
        <is>
          <t>STOCKHOLMS LÄN</t>
        </is>
      </c>
      <c r="E847" t="inlineStr">
        <is>
          <t>NORRTÄLJE</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28042-2022</t>
        </is>
      </c>
      <c r="B848" s="1" t="n">
        <v>44744</v>
      </c>
      <c r="C848" s="1" t="n">
        <v>45588</v>
      </c>
      <c r="D848" t="inlineStr">
        <is>
          <t>STOCKHOLMS LÄN</t>
        </is>
      </c>
      <c r="E848" t="inlineStr">
        <is>
          <t>NORRTÄLJE</t>
        </is>
      </c>
      <c r="G848" t="n">
        <v>0.2</v>
      </c>
      <c r="H848" t="n">
        <v>0</v>
      </c>
      <c r="I848" t="n">
        <v>0</v>
      </c>
      <c r="J848" t="n">
        <v>0</v>
      </c>
      <c r="K848" t="n">
        <v>0</v>
      </c>
      <c r="L848" t="n">
        <v>0</v>
      </c>
      <c r="M848" t="n">
        <v>0</v>
      </c>
      <c r="N848" t="n">
        <v>0</v>
      </c>
      <c r="O848" t="n">
        <v>0</v>
      </c>
      <c r="P848" t="n">
        <v>0</v>
      </c>
      <c r="Q848" t="n">
        <v>0</v>
      </c>
      <c r="R848" s="2" t="inlineStr"/>
    </row>
    <row r="849" ht="15" customHeight="1">
      <c r="A849" t="inlineStr">
        <is>
          <t>A 28100-2022</t>
        </is>
      </c>
      <c r="B849" s="1" t="n">
        <v>44746</v>
      </c>
      <c r="C849" s="1" t="n">
        <v>45588</v>
      </c>
      <c r="D849" t="inlineStr">
        <is>
          <t>STOCKHOLMS LÄN</t>
        </is>
      </c>
      <c r="E849" t="inlineStr">
        <is>
          <t>NORRTÄLJE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28182-2022</t>
        </is>
      </c>
      <c r="B850" s="1" t="n">
        <v>44746</v>
      </c>
      <c r="C850" s="1" t="n">
        <v>45588</v>
      </c>
      <c r="D850" t="inlineStr">
        <is>
          <t>STOCKHOLMS LÄN</t>
        </is>
      </c>
      <c r="E850" t="inlineStr">
        <is>
          <t>NORRTÄLJE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28209-2022</t>
        </is>
      </c>
      <c r="B851" s="1" t="n">
        <v>44746</v>
      </c>
      <c r="C851" s="1" t="n">
        <v>45588</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28365-2022</t>
        </is>
      </c>
      <c r="B852" s="1" t="n">
        <v>44747</v>
      </c>
      <c r="C852" s="1" t="n">
        <v>45588</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28900-2022</t>
        </is>
      </c>
      <c r="B853" s="1" t="n">
        <v>44749</v>
      </c>
      <c r="C853" s="1" t="n">
        <v>45588</v>
      </c>
      <c r="D853" t="inlineStr">
        <is>
          <t>STOCKHOLMS LÄN</t>
        </is>
      </c>
      <c r="E853" t="inlineStr">
        <is>
          <t>NORRTÄLJE</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28959-2022</t>
        </is>
      </c>
      <c r="B854" s="1" t="n">
        <v>44749</v>
      </c>
      <c r="C854" s="1" t="n">
        <v>45588</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29070-2022</t>
        </is>
      </c>
      <c r="B855" s="1" t="n">
        <v>44750</v>
      </c>
      <c r="C855" s="1" t="n">
        <v>45588</v>
      </c>
      <c r="D855" t="inlineStr">
        <is>
          <t>STOCKHOLMS LÄN</t>
        </is>
      </c>
      <c r="E855" t="inlineStr">
        <is>
          <t>NORRTÄLJE</t>
        </is>
      </c>
      <c r="G855" t="n">
        <v>3.4</v>
      </c>
      <c r="H855" t="n">
        <v>0</v>
      </c>
      <c r="I855" t="n">
        <v>0</v>
      </c>
      <c r="J855" t="n">
        <v>0</v>
      </c>
      <c r="K855" t="n">
        <v>0</v>
      </c>
      <c r="L855" t="n">
        <v>0</v>
      </c>
      <c r="M855" t="n">
        <v>0</v>
      </c>
      <c r="N855" t="n">
        <v>0</v>
      </c>
      <c r="O855" t="n">
        <v>0</v>
      </c>
      <c r="P855" t="n">
        <v>0</v>
      </c>
      <c r="Q855" t="n">
        <v>0</v>
      </c>
      <c r="R855" s="2" t="inlineStr"/>
    </row>
    <row r="856" ht="15" customHeight="1">
      <c r="A856" t="inlineStr">
        <is>
          <t>A 29266-2022</t>
        </is>
      </c>
      <c r="B856" s="1" t="n">
        <v>44750</v>
      </c>
      <c r="C856" s="1" t="n">
        <v>45588</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29278-2022</t>
        </is>
      </c>
      <c r="B857" s="1" t="n">
        <v>44750</v>
      </c>
      <c r="C857" s="1" t="n">
        <v>45588</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29362-2022</t>
        </is>
      </c>
      <c r="B858" s="1" t="n">
        <v>44753</v>
      </c>
      <c r="C858" s="1" t="n">
        <v>45588</v>
      </c>
      <c r="D858" t="inlineStr">
        <is>
          <t>STOCKHOLMS LÄN</t>
        </is>
      </c>
      <c r="E858" t="inlineStr">
        <is>
          <t>NORRTÄLJE</t>
        </is>
      </c>
      <c r="G858" t="n">
        <v>3.8</v>
      </c>
      <c r="H858" t="n">
        <v>0</v>
      </c>
      <c r="I858" t="n">
        <v>0</v>
      </c>
      <c r="J858" t="n">
        <v>0</v>
      </c>
      <c r="K858" t="n">
        <v>0</v>
      </c>
      <c r="L858" t="n">
        <v>0</v>
      </c>
      <c r="M858" t="n">
        <v>0</v>
      </c>
      <c r="N858" t="n">
        <v>0</v>
      </c>
      <c r="O858" t="n">
        <v>0</v>
      </c>
      <c r="P858" t="n">
        <v>0</v>
      </c>
      <c r="Q858" t="n">
        <v>0</v>
      </c>
      <c r="R858" s="2" t="inlineStr"/>
    </row>
    <row r="859" ht="15" customHeight="1">
      <c r="A859" t="inlineStr">
        <is>
          <t>A 29395-2022</t>
        </is>
      </c>
      <c r="B859" s="1" t="n">
        <v>44753</v>
      </c>
      <c r="C859" s="1" t="n">
        <v>45588</v>
      </c>
      <c r="D859" t="inlineStr">
        <is>
          <t>STOCKHOLMS LÄN</t>
        </is>
      </c>
      <c r="E859" t="inlineStr">
        <is>
          <t>NORRTÄLJE</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29868-2022</t>
        </is>
      </c>
      <c r="B860" s="1" t="n">
        <v>44756</v>
      </c>
      <c r="C860" s="1" t="n">
        <v>45588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30151-2022</t>
        </is>
      </c>
      <c r="B861" s="1" t="n">
        <v>44757</v>
      </c>
      <c r="C861" s="1" t="n">
        <v>45588</v>
      </c>
      <c r="D861" t="inlineStr">
        <is>
          <t>STOCKHOLMS LÄN</t>
        </is>
      </c>
      <c r="E861" t="inlineStr">
        <is>
          <t>NORRTÄLJE</t>
        </is>
      </c>
      <c r="G861" t="n">
        <v>12.6</v>
      </c>
      <c r="H861" t="n">
        <v>0</v>
      </c>
      <c r="I861" t="n">
        <v>0</v>
      </c>
      <c r="J861" t="n">
        <v>0</v>
      </c>
      <c r="K861" t="n">
        <v>0</v>
      </c>
      <c r="L861" t="n">
        <v>0</v>
      </c>
      <c r="M861" t="n">
        <v>0</v>
      </c>
      <c r="N861" t="n">
        <v>0</v>
      </c>
      <c r="O861" t="n">
        <v>0</v>
      </c>
      <c r="P861" t="n">
        <v>0</v>
      </c>
      <c r="Q861" t="n">
        <v>0</v>
      </c>
      <c r="R861" s="2" t="inlineStr"/>
    </row>
    <row r="862" ht="15" customHeight="1">
      <c r="A862" t="inlineStr">
        <is>
          <t>A 30164-2022</t>
        </is>
      </c>
      <c r="B862" s="1" t="n">
        <v>44757</v>
      </c>
      <c r="C862" s="1" t="n">
        <v>45588</v>
      </c>
      <c r="D862" t="inlineStr">
        <is>
          <t>STOCKHOLMS LÄN</t>
        </is>
      </c>
      <c r="E862" t="inlineStr">
        <is>
          <t>NORRTÄLJE</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30171-2022</t>
        </is>
      </c>
      <c r="B863" s="1" t="n">
        <v>44757</v>
      </c>
      <c r="C863" s="1" t="n">
        <v>45588</v>
      </c>
      <c r="D863" t="inlineStr">
        <is>
          <t>STOCKHOLMS LÄN</t>
        </is>
      </c>
      <c r="E863" t="inlineStr">
        <is>
          <t>NORRTÄLJE</t>
        </is>
      </c>
      <c r="F863" t="inlineStr">
        <is>
          <t>Holmen skog AB</t>
        </is>
      </c>
      <c r="G863" t="n">
        <v>6.3</v>
      </c>
      <c r="H863" t="n">
        <v>0</v>
      </c>
      <c r="I863" t="n">
        <v>0</v>
      </c>
      <c r="J863" t="n">
        <v>0</v>
      </c>
      <c r="K863" t="n">
        <v>0</v>
      </c>
      <c r="L863" t="n">
        <v>0</v>
      </c>
      <c r="M863" t="n">
        <v>0</v>
      </c>
      <c r="N863" t="n">
        <v>0</v>
      </c>
      <c r="O863" t="n">
        <v>0</v>
      </c>
      <c r="P863" t="n">
        <v>0</v>
      </c>
      <c r="Q863" t="n">
        <v>0</v>
      </c>
      <c r="R863" s="2" t="inlineStr"/>
    </row>
    <row r="864" ht="15" customHeight="1">
      <c r="A864" t="inlineStr">
        <is>
          <t>A 30283-2022</t>
        </is>
      </c>
      <c r="B864" s="1" t="n">
        <v>44760</v>
      </c>
      <c r="C864" s="1" t="n">
        <v>45588</v>
      </c>
      <c r="D864" t="inlineStr">
        <is>
          <t>STOCKHOLMS LÄN</t>
        </is>
      </c>
      <c r="E864" t="inlineStr">
        <is>
          <t>NORRTÄLJE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30338-2022</t>
        </is>
      </c>
      <c r="B865" s="1" t="n">
        <v>44760</v>
      </c>
      <c r="C865" s="1" t="n">
        <v>45588</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30286-2022</t>
        </is>
      </c>
      <c r="B866" s="1" t="n">
        <v>44760</v>
      </c>
      <c r="C866" s="1" t="n">
        <v>45588</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30290-2022</t>
        </is>
      </c>
      <c r="B867" s="1" t="n">
        <v>44760</v>
      </c>
      <c r="C867" s="1" t="n">
        <v>45588</v>
      </c>
      <c r="D867" t="inlineStr">
        <is>
          <t>STOCKHOLMS LÄN</t>
        </is>
      </c>
      <c r="E867" t="inlineStr">
        <is>
          <t>NORRTÄLJE</t>
        </is>
      </c>
      <c r="G867" t="n">
        <v>4.8</v>
      </c>
      <c r="H867" t="n">
        <v>0</v>
      </c>
      <c r="I867" t="n">
        <v>0</v>
      </c>
      <c r="J867" t="n">
        <v>0</v>
      </c>
      <c r="K867" t="n">
        <v>0</v>
      </c>
      <c r="L867" t="n">
        <v>0</v>
      </c>
      <c r="M867" t="n">
        <v>0</v>
      </c>
      <c r="N867" t="n">
        <v>0</v>
      </c>
      <c r="O867" t="n">
        <v>0</v>
      </c>
      <c r="P867" t="n">
        <v>0</v>
      </c>
      <c r="Q867" t="n">
        <v>0</v>
      </c>
      <c r="R867" s="2" t="inlineStr"/>
    </row>
    <row r="868" ht="15" customHeight="1">
      <c r="A868" t="inlineStr">
        <is>
          <t>A 30620-2022</t>
        </is>
      </c>
      <c r="B868" s="1" t="n">
        <v>44763</v>
      </c>
      <c r="C868" s="1" t="n">
        <v>45588</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30624-2022</t>
        </is>
      </c>
      <c r="B869" s="1" t="n">
        <v>44763</v>
      </c>
      <c r="C869" s="1" t="n">
        <v>45588</v>
      </c>
      <c r="D869" t="inlineStr">
        <is>
          <t>STOCKHOLMS LÄN</t>
        </is>
      </c>
      <c r="E869" t="inlineStr">
        <is>
          <t>NORRTÄLJE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30758-2022</t>
        </is>
      </c>
      <c r="B870" s="1" t="n">
        <v>44764</v>
      </c>
      <c r="C870" s="1" t="n">
        <v>45588</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30740-2022</t>
        </is>
      </c>
      <c r="B871" s="1" t="n">
        <v>44764</v>
      </c>
      <c r="C871" s="1" t="n">
        <v>45588</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30750-2022</t>
        </is>
      </c>
      <c r="B872" s="1" t="n">
        <v>44764</v>
      </c>
      <c r="C872" s="1" t="n">
        <v>45588</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30802-2022</t>
        </is>
      </c>
      <c r="B873" s="1" t="n">
        <v>44764</v>
      </c>
      <c r="C873" s="1" t="n">
        <v>45588</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30886-2022</t>
        </is>
      </c>
      <c r="B874" s="1" t="n">
        <v>44767</v>
      </c>
      <c r="C874" s="1" t="n">
        <v>45588</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31102-2022</t>
        </is>
      </c>
      <c r="B875" s="1" t="n">
        <v>44769</v>
      </c>
      <c r="C875" s="1" t="n">
        <v>45588</v>
      </c>
      <c r="D875" t="inlineStr">
        <is>
          <t>STOCKHOLMS LÄN</t>
        </is>
      </c>
      <c r="E875" t="inlineStr">
        <is>
          <t>NORRTÄLJE</t>
        </is>
      </c>
      <c r="G875" t="n">
        <v>3.7</v>
      </c>
      <c r="H875" t="n">
        <v>0</v>
      </c>
      <c r="I875" t="n">
        <v>0</v>
      </c>
      <c r="J875" t="n">
        <v>0</v>
      </c>
      <c r="K875" t="n">
        <v>0</v>
      </c>
      <c r="L875" t="n">
        <v>0</v>
      </c>
      <c r="M875" t="n">
        <v>0</v>
      </c>
      <c r="N875" t="n">
        <v>0</v>
      </c>
      <c r="O875" t="n">
        <v>0</v>
      </c>
      <c r="P875" t="n">
        <v>0</v>
      </c>
      <c r="Q875" t="n">
        <v>0</v>
      </c>
      <c r="R875" s="2" t="inlineStr"/>
    </row>
    <row r="876" ht="15" customHeight="1">
      <c r="A876" t="inlineStr">
        <is>
          <t>A 31092-2022</t>
        </is>
      </c>
      <c r="B876" s="1" t="n">
        <v>44769</v>
      </c>
      <c r="C876" s="1" t="n">
        <v>45588</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31052-2022</t>
        </is>
      </c>
      <c r="B877" s="1" t="n">
        <v>44769</v>
      </c>
      <c r="C877" s="1" t="n">
        <v>45588</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31105-2022</t>
        </is>
      </c>
      <c r="B878" s="1" t="n">
        <v>44769</v>
      </c>
      <c r="C878" s="1" t="n">
        <v>45588</v>
      </c>
      <c r="D878" t="inlineStr">
        <is>
          <t>STOCKHOLMS LÄN</t>
        </is>
      </c>
      <c r="E878" t="inlineStr">
        <is>
          <t>NORRTÄLJE</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31107-2022</t>
        </is>
      </c>
      <c r="B879" s="1" t="n">
        <v>44769</v>
      </c>
      <c r="C879" s="1" t="n">
        <v>45588</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31057-2022</t>
        </is>
      </c>
      <c r="B880" s="1" t="n">
        <v>44769</v>
      </c>
      <c r="C880" s="1" t="n">
        <v>45588</v>
      </c>
      <c r="D880" t="inlineStr">
        <is>
          <t>STOCKHOLMS LÄN</t>
        </is>
      </c>
      <c r="E880" t="inlineStr">
        <is>
          <t>NORRTÄLJE</t>
        </is>
      </c>
      <c r="G880" t="n">
        <v>6.5</v>
      </c>
      <c r="H880" t="n">
        <v>0</v>
      </c>
      <c r="I880" t="n">
        <v>0</v>
      </c>
      <c r="J880" t="n">
        <v>0</v>
      </c>
      <c r="K880" t="n">
        <v>0</v>
      </c>
      <c r="L880" t="n">
        <v>0</v>
      </c>
      <c r="M880" t="n">
        <v>0</v>
      </c>
      <c r="N880" t="n">
        <v>0</v>
      </c>
      <c r="O880" t="n">
        <v>0</v>
      </c>
      <c r="P880" t="n">
        <v>0</v>
      </c>
      <c r="Q880" t="n">
        <v>0</v>
      </c>
      <c r="R880" s="2" t="inlineStr"/>
    </row>
    <row r="881" ht="15" customHeight="1">
      <c r="A881" t="inlineStr">
        <is>
          <t>A 31236-2022</t>
        </is>
      </c>
      <c r="B881" s="1" t="n">
        <v>44771</v>
      </c>
      <c r="C881" s="1" t="n">
        <v>45588</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31281-2022</t>
        </is>
      </c>
      <c r="B882" s="1" t="n">
        <v>44771</v>
      </c>
      <c r="C882" s="1" t="n">
        <v>45588</v>
      </c>
      <c r="D882" t="inlineStr">
        <is>
          <t>STOCKHOLMS LÄN</t>
        </is>
      </c>
      <c r="E882" t="inlineStr">
        <is>
          <t>NORRTÄLJE</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31283-2022</t>
        </is>
      </c>
      <c r="B883" s="1" t="n">
        <v>44771</v>
      </c>
      <c r="C883" s="1" t="n">
        <v>45588</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31559-2022</t>
        </is>
      </c>
      <c r="B884" s="1" t="n">
        <v>44775</v>
      </c>
      <c r="C884" s="1" t="n">
        <v>45588</v>
      </c>
      <c r="D884" t="inlineStr">
        <is>
          <t>STOCKHOLMS LÄN</t>
        </is>
      </c>
      <c r="E884" t="inlineStr">
        <is>
          <t>NORRTÄLJE</t>
        </is>
      </c>
      <c r="G884" t="n">
        <v>5.6</v>
      </c>
      <c r="H884" t="n">
        <v>0</v>
      </c>
      <c r="I884" t="n">
        <v>0</v>
      </c>
      <c r="J884" t="n">
        <v>0</v>
      </c>
      <c r="K884" t="n">
        <v>0</v>
      </c>
      <c r="L884" t="n">
        <v>0</v>
      </c>
      <c r="M884" t="n">
        <v>0</v>
      </c>
      <c r="N884" t="n">
        <v>0</v>
      </c>
      <c r="O884" t="n">
        <v>0</v>
      </c>
      <c r="P884" t="n">
        <v>0</v>
      </c>
      <c r="Q884" t="n">
        <v>0</v>
      </c>
      <c r="R884" s="2" t="inlineStr"/>
    </row>
    <row r="885" ht="15" customHeight="1">
      <c r="A885" t="inlineStr">
        <is>
          <t>A 31807-2022</t>
        </is>
      </c>
      <c r="B885" s="1" t="n">
        <v>44776</v>
      </c>
      <c r="C885" s="1" t="n">
        <v>45588</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31938-2022</t>
        </is>
      </c>
      <c r="B886" s="1" t="n">
        <v>44777</v>
      </c>
      <c r="C886" s="1" t="n">
        <v>45588</v>
      </c>
      <c r="D886" t="inlineStr">
        <is>
          <t>STOCKHOLMS LÄN</t>
        </is>
      </c>
      <c r="E886" t="inlineStr">
        <is>
          <t>NORRTÄLJE</t>
        </is>
      </c>
      <c r="G886" t="n">
        <v>7.8</v>
      </c>
      <c r="H886" t="n">
        <v>0</v>
      </c>
      <c r="I886" t="n">
        <v>0</v>
      </c>
      <c r="J886" t="n">
        <v>0</v>
      </c>
      <c r="K886" t="n">
        <v>0</v>
      </c>
      <c r="L886" t="n">
        <v>0</v>
      </c>
      <c r="M886" t="n">
        <v>0</v>
      </c>
      <c r="N886" t="n">
        <v>0</v>
      </c>
      <c r="O886" t="n">
        <v>0</v>
      </c>
      <c r="P886" t="n">
        <v>0</v>
      </c>
      <c r="Q886" t="n">
        <v>0</v>
      </c>
      <c r="R886" s="2" t="inlineStr"/>
    </row>
    <row r="887" ht="15" customHeight="1">
      <c r="A887" t="inlineStr">
        <is>
          <t>A 31936-2022</t>
        </is>
      </c>
      <c r="B887" s="1" t="n">
        <v>44777</v>
      </c>
      <c r="C887" s="1" t="n">
        <v>45588</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31924-2022</t>
        </is>
      </c>
      <c r="B888" s="1" t="n">
        <v>44777</v>
      </c>
      <c r="C888" s="1" t="n">
        <v>45588</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31939-2022</t>
        </is>
      </c>
      <c r="B889" s="1" t="n">
        <v>44777</v>
      </c>
      <c r="C889" s="1" t="n">
        <v>45588</v>
      </c>
      <c r="D889" t="inlineStr">
        <is>
          <t>STOCKHOLMS LÄN</t>
        </is>
      </c>
      <c r="E889" t="inlineStr">
        <is>
          <t>NORRTÄLJE</t>
        </is>
      </c>
      <c r="G889" t="n">
        <v>13.5</v>
      </c>
      <c r="H889" t="n">
        <v>0</v>
      </c>
      <c r="I889" t="n">
        <v>0</v>
      </c>
      <c r="J889" t="n">
        <v>0</v>
      </c>
      <c r="K889" t="n">
        <v>0</v>
      </c>
      <c r="L889" t="n">
        <v>0</v>
      </c>
      <c r="M889" t="n">
        <v>0</v>
      </c>
      <c r="N889" t="n">
        <v>0</v>
      </c>
      <c r="O889" t="n">
        <v>0</v>
      </c>
      <c r="P889" t="n">
        <v>0</v>
      </c>
      <c r="Q889" t="n">
        <v>0</v>
      </c>
      <c r="R889" s="2" t="inlineStr"/>
    </row>
    <row r="890" ht="15" customHeight="1">
      <c r="A890" t="inlineStr">
        <is>
          <t>A 31926-2022</t>
        </is>
      </c>
      <c r="B890" s="1" t="n">
        <v>44777</v>
      </c>
      <c r="C890" s="1" t="n">
        <v>45588</v>
      </c>
      <c r="D890" t="inlineStr">
        <is>
          <t>STOCKHOLMS LÄN</t>
        </is>
      </c>
      <c r="E890" t="inlineStr">
        <is>
          <t>NORRTÄLJE</t>
        </is>
      </c>
      <c r="G890" t="n">
        <v>5.2</v>
      </c>
      <c r="H890" t="n">
        <v>0</v>
      </c>
      <c r="I890" t="n">
        <v>0</v>
      </c>
      <c r="J890" t="n">
        <v>0</v>
      </c>
      <c r="K890" t="n">
        <v>0</v>
      </c>
      <c r="L890" t="n">
        <v>0</v>
      </c>
      <c r="M890" t="n">
        <v>0</v>
      </c>
      <c r="N890" t="n">
        <v>0</v>
      </c>
      <c r="O890" t="n">
        <v>0</v>
      </c>
      <c r="P890" t="n">
        <v>0</v>
      </c>
      <c r="Q890" t="n">
        <v>0</v>
      </c>
      <c r="R890" s="2" t="inlineStr"/>
    </row>
    <row r="891" ht="15" customHeight="1">
      <c r="A891" t="inlineStr">
        <is>
          <t>A 31934-2022</t>
        </is>
      </c>
      <c r="B891" s="1" t="n">
        <v>44777</v>
      </c>
      <c r="C891" s="1" t="n">
        <v>45588</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32103-2022</t>
        </is>
      </c>
      <c r="B892" s="1" t="n">
        <v>44778</v>
      </c>
      <c r="C892" s="1" t="n">
        <v>45588</v>
      </c>
      <c r="D892" t="inlineStr">
        <is>
          <t>STOCKHOLMS LÄN</t>
        </is>
      </c>
      <c r="E892" t="inlineStr">
        <is>
          <t>NORRTÄLJE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32111-2022</t>
        </is>
      </c>
      <c r="B893" s="1" t="n">
        <v>44779</v>
      </c>
      <c r="C893" s="1" t="n">
        <v>45588</v>
      </c>
      <c r="D893" t="inlineStr">
        <is>
          <t>STOCKHOLMS LÄN</t>
        </is>
      </c>
      <c r="E893" t="inlineStr">
        <is>
          <t>NORRTÄLJE</t>
        </is>
      </c>
      <c r="G893" t="n">
        <v>3.1</v>
      </c>
      <c r="H893" t="n">
        <v>0</v>
      </c>
      <c r="I893" t="n">
        <v>0</v>
      </c>
      <c r="J893" t="n">
        <v>0</v>
      </c>
      <c r="K893" t="n">
        <v>0</v>
      </c>
      <c r="L893" t="n">
        <v>0</v>
      </c>
      <c r="M893" t="n">
        <v>0</v>
      </c>
      <c r="N893" t="n">
        <v>0</v>
      </c>
      <c r="O893" t="n">
        <v>0</v>
      </c>
      <c r="P893" t="n">
        <v>0</v>
      </c>
      <c r="Q893" t="n">
        <v>0</v>
      </c>
      <c r="R893" s="2" t="inlineStr"/>
    </row>
    <row r="894" ht="15" customHeight="1">
      <c r="A894" t="inlineStr">
        <is>
          <t>A 32101-2022</t>
        </is>
      </c>
      <c r="B894" s="1" t="n">
        <v>44778</v>
      </c>
      <c r="C894" s="1" t="n">
        <v>45588</v>
      </c>
      <c r="D894" t="inlineStr">
        <is>
          <t>STOCKHOLMS LÄN</t>
        </is>
      </c>
      <c r="E894" t="inlineStr">
        <is>
          <t>NORRTÄLJE</t>
        </is>
      </c>
      <c r="G894" t="n">
        <v>4.4</v>
      </c>
      <c r="H894" t="n">
        <v>0</v>
      </c>
      <c r="I894" t="n">
        <v>0</v>
      </c>
      <c r="J894" t="n">
        <v>0</v>
      </c>
      <c r="K894" t="n">
        <v>0</v>
      </c>
      <c r="L894" t="n">
        <v>0</v>
      </c>
      <c r="M894" t="n">
        <v>0</v>
      </c>
      <c r="N894" t="n">
        <v>0</v>
      </c>
      <c r="O894" t="n">
        <v>0</v>
      </c>
      <c r="P894" t="n">
        <v>0</v>
      </c>
      <c r="Q894" t="n">
        <v>0</v>
      </c>
      <c r="R894" s="2" t="inlineStr"/>
    </row>
    <row r="895" ht="15" customHeight="1">
      <c r="A895" t="inlineStr">
        <is>
          <t>A 32100-2022</t>
        </is>
      </c>
      <c r="B895" s="1" t="n">
        <v>44778</v>
      </c>
      <c r="C895" s="1" t="n">
        <v>45588</v>
      </c>
      <c r="D895" t="inlineStr">
        <is>
          <t>STOCKHOLMS LÄN</t>
        </is>
      </c>
      <c r="E895" t="inlineStr">
        <is>
          <t>NORRTÄLJE</t>
        </is>
      </c>
      <c r="G895" t="n">
        <v>3.3</v>
      </c>
      <c r="H895" t="n">
        <v>0</v>
      </c>
      <c r="I895" t="n">
        <v>0</v>
      </c>
      <c r="J895" t="n">
        <v>0</v>
      </c>
      <c r="K895" t="n">
        <v>0</v>
      </c>
      <c r="L895" t="n">
        <v>0</v>
      </c>
      <c r="M895" t="n">
        <v>0</v>
      </c>
      <c r="N895" t="n">
        <v>0</v>
      </c>
      <c r="O895" t="n">
        <v>0</v>
      </c>
      <c r="P895" t="n">
        <v>0</v>
      </c>
      <c r="Q895" t="n">
        <v>0</v>
      </c>
      <c r="R895" s="2" t="inlineStr"/>
    </row>
    <row r="896" ht="15" customHeight="1">
      <c r="A896" t="inlineStr">
        <is>
          <t>A 32102-2022</t>
        </is>
      </c>
      <c r="B896" s="1" t="n">
        <v>44778</v>
      </c>
      <c r="C896" s="1" t="n">
        <v>45588</v>
      </c>
      <c r="D896" t="inlineStr">
        <is>
          <t>STOCKHOLMS LÄN</t>
        </is>
      </c>
      <c r="E896" t="inlineStr">
        <is>
          <t>NORRTÄLJE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32514-2022</t>
        </is>
      </c>
      <c r="B897" s="1" t="n">
        <v>44782</v>
      </c>
      <c r="C897" s="1" t="n">
        <v>45588</v>
      </c>
      <c r="D897" t="inlineStr">
        <is>
          <t>STOCKHOLMS LÄN</t>
        </is>
      </c>
      <c r="E897" t="inlineStr">
        <is>
          <t>NORRTÄLJE</t>
        </is>
      </c>
      <c r="G897" t="n">
        <v>5.1</v>
      </c>
      <c r="H897" t="n">
        <v>0</v>
      </c>
      <c r="I897" t="n">
        <v>0</v>
      </c>
      <c r="J897" t="n">
        <v>0</v>
      </c>
      <c r="K897" t="n">
        <v>0</v>
      </c>
      <c r="L897" t="n">
        <v>0</v>
      </c>
      <c r="M897" t="n">
        <v>0</v>
      </c>
      <c r="N897" t="n">
        <v>0</v>
      </c>
      <c r="O897" t="n">
        <v>0</v>
      </c>
      <c r="P897" t="n">
        <v>0</v>
      </c>
      <c r="Q897" t="n">
        <v>0</v>
      </c>
      <c r="R897" s="2" t="inlineStr"/>
    </row>
    <row r="898" ht="15" customHeight="1">
      <c r="A898" t="inlineStr">
        <is>
          <t>A 32705-2022</t>
        </is>
      </c>
      <c r="B898" s="1" t="n">
        <v>44783</v>
      </c>
      <c r="C898" s="1" t="n">
        <v>45588</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33055-2022</t>
        </is>
      </c>
      <c r="B899" s="1" t="n">
        <v>44785</v>
      </c>
      <c r="C899" s="1" t="n">
        <v>45588</v>
      </c>
      <c r="D899" t="inlineStr">
        <is>
          <t>STOCKHOLMS LÄN</t>
        </is>
      </c>
      <c r="E899" t="inlineStr">
        <is>
          <t>NORRTÄLJE</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33149-2022</t>
        </is>
      </c>
      <c r="B900" s="1" t="n">
        <v>44785</v>
      </c>
      <c r="C900" s="1" t="n">
        <v>45588</v>
      </c>
      <c r="D900" t="inlineStr">
        <is>
          <t>STOCKHOLMS LÄN</t>
        </is>
      </c>
      <c r="E900" t="inlineStr">
        <is>
          <t>NORRTÄLJE</t>
        </is>
      </c>
      <c r="F900" t="inlineStr">
        <is>
          <t>Holmen skog AB</t>
        </is>
      </c>
      <c r="G900" t="n">
        <v>4.4</v>
      </c>
      <c r="H900" t="n">
        <v>0</v>
      </c>
      <c r="I900" t="n">
        <v>0</v>
      </c>
      <c r="J900" t="n">
        <v>0</v>
      </c>
      <c r="K900" t="n">
        <v>0</v>
      </c>
      <c r="L900" t="n">
        <v>0</v>
      </c>
      <c r="M900" t="n">
        <v>0</v>
      </c>
      <c r="N900" t="n">
        <v>0</v>
      </c>
      <c r="O900" t="n">
        <v>0</v>
      </c>
      <c r="P900" t="n">
        <v>0</v>
      </c>
      <c r="Q900" t="n">
        <v>0</v>
      </c>
      <c r="R900" s="2" t="inlineStr"/>
    </row>
    <row r="901" ht="15" customHeight="1">
      <c r="A901" t="inlineStr">
        <is>
          <t>A 33445-2022</t>
        </is>
      </c>
      <c r="B901" s="1" t="n">
        <v>44788</v>
      </c>
      <c r="C901" s="1" t="n">
        <v>45588</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33793-2022</t>
        </is>
      </c>
      <c r="B902" s="1" t="n">
        <v>44790</v>
      </c>
      <c r="C902" s="1" t="n">
        <v>45588</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33895-2022</t>
        </is>
      </c>
      <c r="B903" s="1" t="n">
        <v>44790</v>
      </c>
      <c r="C903" s="1" t="n">
        <v>45588</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34773-2022</t>
        </is>
      </c>
      <c r="B904" s="1" t="n">
        <v>44795</v>
      </c>
      <c r="C904" s="1" t="n">
        <v>45588</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35121-2022</t>
        </is>
      </c>
      <c r="B905" s="1" t="n">
        <v>44797</v>
      </c>
      <c r="C905" s="1" t="n">
        <v>45588</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45588</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35156-2022</t>
        </is>
      </c>
      <c r="B907" s="1" t="n">
        <v>44797</v>
      </c>
      <c r="C907" s="1" t="n">
        <v>45588</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35708-2022</t>
        </is>
      </c>
      <c r="B908" s="1" t="n">
        <v>44799</v>
      </c>
      <c r="C908" s="1" t="n">
        <v>45588</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36269-2022</t>
        </is>
      </c>
      <c r="B909" s="1" t="n">
        <v>44803</v>
      </c>
      <c r="C909" s="1" t="n">
        <v>45588</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36308-2022</t>
        </is>
      </c>
      <c r="B910" s="1" t="n">
        <v>44803</v>
      </c>
      <c r="C910" s="1" t="n">
        <v>45588</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36975-2022</t>
        </is>
      </c>
      <c r="B911" s="1" t="n">
        <v>44806</v>
      </c>
      <c r="C911" s="1" t="n">
        <v>45588</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37550-2022</t>
        </is>
      </c>
      <c r="B912" s="1" t="n">
        <v>44809</v>
      </c>
      <c r="C912" s="1" t="n">
        <v>45588</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37679-2022</t>
        </is>
      </c>
      <c r="B913" s="1" t="n">
        <v>44810</v>
      </c>
      <c r="C913" s="1" t="n">
        <v>45588</v>
      </c>
      <c r="D913" t="inlineStr">
        <is>
          <t>STOCKHOLMS LÄN</t>
        </is>
      </c>
      <c r="E913" t="inlineStr">
        <is>
          <t>NORRTÄLJE</t>
        </is>
      </c>
      <c r="G913" t="n">
        <v>3.1</v>
      </c>
      <c r="H913" t="n">
        <v>0</v>
      </c>
      <c r="I913" t="n">
        <v>0</v>
      </c>
      <c r="J913" t="n">
        <v>0</v>
      </c>
      <c r="K913" t="n">
        <v>0</v>
      </c>
      <c r="L913" t="n">
        <v>0</v>
      </c>
      <c r="M913" t="n">
        <v>0</v>
      </c>
      <c r="N913" t="n">
        <v>0</v>
      </c>
      <c r="O913" t="n">
        <v>0</v>
      </c>
      <c r="P913" t="n">
        <v>0</v>
      </c>
      <c r="Q913" t="n">
        <v>0</v>
      </c>
      <c r="R913" s="2" t="inlineStr"/>
    </row>
    <row r="914" ht="15" customHeight="1">
      <c r="A914" t="inlineStr">
        <is>
          <t>A 37815-2022</t>
        </is>
      </c>
      <c r="B914" s="1" t="n">
        <v>44810</v>
      </c>
      <c r="C914" s="1" t="n">
        <v>45588</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38449-2022</t>
        </is>
      </c>
      <c r="B915" s="1" t="n">
        <v>44813</v>
      </c>
      <c r="C915" s="1" t="n">
        <v>45588</v>
      </c>
      <c r="D915" t="inlineStr">
        <is>
          <t>STOCKHOLMS LÄN</t>
        </is>
      </c>
      <c r="E915" t="inlineStr">
        <is>
          <t>NORRTÄLJE</t>
        </is>
      </c>
      <c r="G915" t="n">
        <v>4.2</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45588</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38590-2022</t>
        </is>
      </c>
      <c r="B917" s="1" t="n">
        <v>44813</v>
      </c>
      <c r="C917" s="1" t="n">
        <v>45588</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38610-2022</t>
        </is>
      </c>
      <c r="B918" s="1" t="n">
        <v>44813</v>
      </c>
      <c r="C918" s="1" t="n">
        <v>45588</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38720-2022</t>
        </is>
      </c>
      <c r="B919" s="1" t="n">
        <v>44815</v>
      </c>
      <c r="C919" s="1" t="n">
        <v>45588</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38721-2022</t>
        </is>
      </c>
      <c r="B920" s="1" t="n">
        <v>44815</v>
      </c>
      <c r="C920" s="1" t="n">
        <v>45588</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38927-2022</t>
        </is>
      </c>
      <c r="B921" s="1" t="n">
        <v>44816</v>
      </c>
      <c r="C921" s="1" t="n">
        <v>45588</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45588</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38990-2022</t>
        </is>
      </c>
      <c r="B923" s="1" t="n">
        <v>44816</v>
      </c>
      <c r="C923" s="1" t="n">
        <v>45588</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38991-2022</t>
        </is>
      </c>
      <c r="B924" s="1" t="n">
        <v>44816</v>
      </c>
      <c r="C924" s="1" t="n">
        <v>45588</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38985-2022</t>
        </is>
      </c>
      <c r="B925" s="1" t="n">
        <v>44816</v>
      </c>
      <c r="C925" s="1" t="n">
        <v>45588</v>
      </c>
      <c r="D925" t="inlineStr">
        <is>
          <t>STOCKHOLMS LÄN</t>
        </is>
      </c>
      <c r="E925" t="inlineStr">
        <is>
          <t>NORRTÄLJE</t>
        </is>
      </c>
      <c r="G925" t="n">
        <v>10.1</v>
      </c>
      <c r="H925" t="n">
        <v>0</v>
      </c>
      <c r="I925" t="n">
        <v>0</v>
      </c>
      <c r="J925" t="n">
        <v>0</v>
      </c>
      <c r="K925" t="n">
        <v>0</v>
      </c>
      <c r="L925" t="n">
        <v>0</v>
      </c>
      <c r="M925" t="n">
        <v>0</v>
      </c>
      <c r="N925" t="n">
        <v>0</v>
      </c>
      <c r="O925" t="n">
        <v>0</v>
      </c>
      <c r="P925" t="n">
        <v>0</v>
      </c>
      <c r="Q925" t="n">
        <v>0</v>
      </c>
      <c r="R925" s="2" t="inlineStr"/>
    </row>
    <row r="926" ht="15" customHeight="1">
      <c r="A926" t="inlineStr">
        <is>
          <t>A 38992-2022</t>
        </is>
      </c>
      <c r="B926" s="1" t="n">
        <v>44817</v>
      </c>
      <c r="C926" s="1" t="n">
        <v>45588</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39213-2022</t>
        </is>
      </c>
      <c r="B927" s="1" t="n">
        <v>44817</v>
      </c>
      <c r="C927" s="1" t="n">
        <v>45588</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39319-2022</t>
        </is>
      </c>
      <c r="B928" s="1" t="n">
        <v>44817</v>
      </c>
      <c r="C928" s="1" t="n">
        <v>45588</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39318-2022</t>
        </is>
      </c>
      <c r="B929" s="1" t="n">
        <v>44817</v>
      </c>
      <c r="C929" s="1" t="n">
        <v>45588</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39854-2022</t>
        </is>
      </c>
      <c r="B930" s="1" t="n">
        <v>44819</v>
      </c>
      <c r="C930" s="1" t="n">
        <v>45588</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39869-2022</t>
        </is>
      </c>
      <c r="B931" s="1" t="n">
        <v>44819</v>
      </c>
      <c r="C931" s="1" t="n">
        <v>45588</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39867-2022</t>
        </is>
      </c>
      <c r="B932" s="1" t="n">
        <v>44819</v>
      </c>
      <c r="C932" s="1" t="n">
        <v>45588</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40504-2022</t>
        </is>
      </c>
      <c r="B933" s="1" t="n">
        <v>44823</v>
      </c>
      <c r="C933" s="1" t="n">
        <v>45588</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40503-2022</t>
        </is>
      </c>
      <c r="B934" s="1" t="n">
        <v>44823</v>
      </c>
      <c r="C934" s="1" t="n">
        <v>45588</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40656-2022</t>
        </is>
      </c>
      <c r="B935" s="1" t="n">
        <v>44824</v>
      </c>
      <c r="C935" s="1" t="n">
        <v>45588</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40751-2022</t>
        </is>
      </c>
      <c r="B936" s="1" t="n">
        <v>44824</v>
      </c>
      <c r="C936" s="1" t="n">
        <v>45588</v>
      </c>
      <c r="D936" t="inlineStr">
        <is>
          <t>STOCKHOLMS LÄN</t>
        </is>
      </c>
      <c r="E936" t="inlineStr">
        <is>
          <t>NORRTÄLJE</t>
        </is>
      </c>
      <c r="G936" t="n">
        <v>6.1</v>
      </c>
      <c r="H936" t="n">
        <v>0</v>
      </c>
      <c r="I936" t="n">
        <v>0</v>
      </c>
      <c r="J936" t="n">
        <v>0</v>
      </c>
      <c r="K936" t="n">
        <v>0</v>
      </c>
      <c r="L936" t="n">
        <v>0</v>
      </c>
      <c r="M936" t="n">
        <v>0</v>
      </c>
      <c r="N936" t="n">
        <v>0</v>
      </c>
      <c r="O936" t="n">
        <v>0</v>
      </c>
      <c r="P936" t="n">
        <v>0</v>
      </c>
      <c r="Q936" t="n">
        <v>0</v>
      </c>
      <c r="R936" s="2" t="inlineStr"/>
    </row>
    <row r="937" ht="15" customHeight="1">
      <c r="A937" t="inlineStr">
        <is>
          <t>A 41398-2022</t>
        </is>
      </c>
      <c r="B937" s="1" t="n">
        <v>44826</v>
      </c>
      <c r="C937" s="1" t="n">
        <v>45588</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41320-2022</t>
        </is>
      </c>
      <c r="B938" s="1" t="n">
        <v>44826</v>
      </c>
      <c r="C938" s="1" t="n">
        <v>45588</v>
      </c>
      <c r="D938" t="inlineStr">
        <is>
          <t>STOCKHOLMS LÄN</t>
        </is>
      </c>
      <c r="E938" t="inlineStr">
        <is>
          <t>NORRTÄLJE</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42087-2022</t>
        </is>
      </c>
      <c r="B939" s="1" t="n">
        <v>44830</v>
      </c>
      <c r="C939" s="1" t="n">
        <v>45588</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42112-2022</t>
        </is>
      </c>
      <c r="B940" s="1" t="n">
        <v>44830</v>
      </c>
      <c r="C940" s="1" t="n">
        <v>45588</v>
      </c>
      <c r="D940" t="inlineStr">
        <is>
          <t>STOCKHOLMS LÄN</t>
        </is>
      </c>
      <c r="E940" t="inlineStr">
        <is>
          <t>NORRTÄLJE</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42126-2022</t>
        </is>
      </c>
      <c r="B941" s="1" t="n">
        <v>44830</v>
      </c>
      <c r="C941" s="1" t="n">
        <v>45588</v>
      </c>
      <c r="D941" t="inlineStr">
        <is>
          <t>STOCKHOLMS LÄN</t>
        </is>
      </c>
      <c r="E941" t="inlineStr">
        <is>
          <t>NORRTÄLJE</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42867-2022</t>
        </is>
      </c>
      <c r="B942" s="1" t="n">
        <v>44832</v>
      </c>
      <c r="C942" s="1" t="n">
        <v>45588</v>
      </c>
      <c r="D942" t="inlineStr">
        <is>
          <t>STOCKHOLMS LÄN</t>
        </is>
      </c>
      <c r="E942" t="inlineStr">
        <is>
          <t>NORRTÄLJE</t>
        </is>
      </c>
      <c r="G942" t="n">
        <v>6.4</v>
      </c>
      <c r="H942" t="n">
        <v>0</v>
      </c>
      <c r="I942" t="n">
        <v>0</v>
      </c>
      <c r="J942" t="n">
        <v>0</v>
      </c>
      <c r="K942" t="n">
        <v>0</v>
      </c>
      <c r="L942" t="n">
        <v>0</v>
      </c>
      <c r="M942" t="n">
        <v>0</v>
      </c>
      <c r="N942" t="n">
        <v>0</v>
      </c>
      <c r="O942" t="n">
        <v>0</v>
      </c>
      <c r="P942" t="n">
        <v>0</v>
      </c>
      <c r="Q942" t="n">
        <v>0</v>
      </c>
      <c r="R942" s="2" t="inlineStr"/>
    </row>
    <row r="943" ht="15" customHeight="1">
      <c r="A943" t="inlineStr">
        <is>
          <t>A 42955-2022</t>
        </is>
      </c>
      <c r="B943" s="1" t="n">
        <v>44833</v>
      </c>
      <c r="C943" s="1" t="n">
        <v>45588</v>
      </c>
      <c r="D943" t="inlineStr">
        <is>
          <t>STOCKHOLMS LÄN</t>
        </is>
      </c>
      <c r="E943" t="inlineStr">
        <is>
          <t>NORRTÄLJE</t>
        </is>
      </c>
      <c r="G943" t="n">
        <v>13.1</v>
      </c>
      <c r="H943" t="n">
        <v>0</v>
      </c>
      <c r="I943" t="n">
        <v>0</v>
      </c>
      <c r="J943" t="n">
        <v>0</v>
      </c>
      <c r="K943" t="n">
        <v>0</v>
      </c>
      <c r="L943" t="n">
        <v>0</v>
      </c>
      <c r="M943" t="n">
        <v>0</v>
      </c>
      <c r="N943" t="n">
        <v>0</v>
      </c>
      <c r="O943" t="n">
        <v>0</v>
      </c>
      <c r="P943" t="n">
        <v>0</v>
      </c>
      <c r="Q943" t="n">
        <v>0</v>
      </c>
      <c r="R943" s="2" t="inlineStr"/>
    </row>
    <row r="944" ht="15" customHeight="1">
      <c r="A944" t="inlineStr">
        <is>
          <t>A 43036-2022</t>
        </is>
      </c>
      <c r="B944" s="1" t="n">
        <v>44833</v>
      </c>
      <c r="C944" s="1" t="n">
        <v>45588</v>
      </c>
      <c r="D944" t="inlineStr">
        <is>
          <t>STOCKHOLMS LÄN</t>
        </is>
      </c>
      <c r="E944" t="inlineStr">
        <is>
          <t>NORRTÄLJE</t>
        </is>
      </c>
      <c r="F944" t="inlineStr">
        <is>
          <t>Kyrkan</t>
        </is>
      </c>
      <c r="G944" t="n">
        <v>1.7</v>
      </c>
      <c r="H944" t="n">
        <v>0</v>
      </c>
      <c r="I944" t="n">
        <v>0</v>
      </c>
      <c r="J944" t="n">
        <v>0</v>
      </c>
      <c r="K944" t="n">
        <v>0</v>
      </c>
      <c r="L944" t="n">
        <v>0</v>
      </c>
      <c r="M944" t="n">
        <v>0</v>
      </c>
      <c r="N944" t="n">
        <v>0</v>
      </c>
      <c r="O944" t="n">
        <v>0</v>
      </c>
      <c r="P944" t="n">
        <v>0</v>
      </c>
      <c r="Q944" t="n">
        <v>0</v>
      </c>
      <c r="R944" s="2" t="inlineStr"/>
    </row>
    <row r="945" ht="15" customHeight="1">
      <c r="A945" t="inlineStr">
        <is>
          <t>A 43212-2022</t>
        </is>
      </c>
      <c r="B945" s="1" t="n">
        <v>44834</v>
      </c>
      <c r="C945" s="1" t="n">
        <v>45588</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43374-2022</t>
        </is>
      </c>
      <c r="B946" s="1" t="n">
        <v>44834</v>
      </c>
      <c r="C946" s="1" t="n">
        <v>45588</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43972-2022</t>
        </is>
      </c>
      <c r="B947" s="1" t="n">
        <v>44838</v>
      </c>
      <c r="C947" s="1" t="n">
        <v>45588</v>
      </c>
      <c r="D947" t="inlineStr">
        <is>
          <t>STOCKHOLMS LÄN</t>
        </is>
      </c>
      <c r="E947" t="inlineStr">
        <is>
          <t>NORRTÄLJE</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44349-2022</t>
        </is>
      </c>
      <c r="B948" s="1" t="n">
        <v>44839</v>
      </c>
      <c r="C948" s="1" t="n">
        <v>45588</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45255-2022</t>
        </is>
      </c>
      <c r="B949" s="1" t="n">
        <v>44840</v>
      </c>
      <c r="C949" s="1" t="n">
        <v>45588</v>
      </c>
      <c r="D949" t="inlineStr">
        <is>
          <t>STOCKHOLMS LÄN</t>
        </is>
      </c>
      <c r="E949" t="inlineStr">
        <is>
          <t>NORRTÄLJE</t>
        </is>
      </c>
      <c r="G949" t="n">
        <v>4.1</v>
      </c>
      <c r="H949" t="n">
        <v>0</v>
      </c>
      <c r="I949" t="n">
        <v>0</v>
      </c>
      <c r="J949" t="n">
        <v>0</v>
      </c>
      <c r="K949" t="n">
        <v>0</v>
      </c>
      <c r="L949" t="n">
        <v>0</v>
      </c>
      <c r="M949" t="n">
        <v>0</v>
      </c>
      <c r="N949" t="n">
        <v>0</v>
      </c>
      <c r="O949" t="n">
        <v>0</v>
      </c>
      <c r="P949" t="n">
        <v>0</v>
      </c>
      <c r="Q949" t="n">
        <v>0</v>
      </c>
      <c r="R949" s="2" t="inlineStr"/>
    </row>
    <row r="950" ht="15" customHeight="1">
      <c r="A950" t="inlineStr">
        <is>
          <t>A 44917-2022</t>
        </is>
      </c>
      <c r="B950" s="1" t="n">
        <v>44841</v>
      </c>
      <c r="C950" s="1" t="n">
        <v>45588</v>
      </c>
      <c r="D950" t="inlineStr">
        <is>
          <t>STOCKHOLMS LÄN</t>
        </is>
      </c>
      <c r="E950" t="inlineStr">
        <is>
          <t>NORRTÄLJE</t>
        </is>
      </c>
      <c r="F950" t="inlineStr">
        <is>
          <t>Holmen skog AB</t>
        </is>
      </c>
      <c r="G950" t="n">
        <v>3.3</v>
      </c>
      <c r="H950" t="n">
        <v>0</v>
      </c>
      <c r="I950" t="n">
        <v>0</v>
      </c>
      <c r="J950" t="n">
        <v>0</v>
      </c>
      <c r="K950" t="n">
        <v>0</v>
      </c>
      <c r="L950" t="n">
        <v>0</v>
      </c>
      <c r="M950" t="n">
        <v>0</v>
      </c>
      <c r="N950" t="n">
        <v>0</v>
      </c>
      <c r="O950" t="n">
        <v>0</v>
      </c>
      <c r="P950" t="n">
        <v>0</v>
      </c>
      <c r="Q950" t="n">
        <v>0</v>
      </c>
      <c r="R950" s="2" t="inlineStr"/>
    </row>
    <row r="951" ht="15" customHeight="1">
      <c r="A951" t="inlineStr">
        <is>
          <t>A 45541-2022</t>
        </is>
      </c>
      <c r="B951" s="1" t="n">
        <v>44845</v>
      </c>
      <c r="C951" s="1" t="n">
        <v>45588</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45539-2022</t>
        </is>
      </c>
      <c r="B952" s="1" t="n">
        <v>44845</v>
      </c>
      <c r="C952" s="1" t="n">
        <v>45588</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45549-2022</t>
        </is>
      </c>
      <c r="B953" s="1" t="n">
        <v>44845</v>
      </c>
      <c r="C953" s="1" t="n">
        <v>45588</v>
      </c>
      <c r="D953" t="inlineStr">
        <is>
          <t>STOCKHOLMS LÄN</t>
        </is>
      </c>
      <c r="E953" t="inlineStr">
        <is>
          <t>NORRTÄLJE</t>
        </is>
      </c>
      <c r="G953" t="n">
        <v>0.8</v>
      </c>
      <c r="H953" t="n">
        <v>0</v>
      </c>
      <c r="I953" t="n">
        <v>0</v>
      </c>
      <c r="J953" t="n">
        <v>0</v>
      </c>
      <c r="K953" t="n">
        <v>0</v>
      </c>
      <c r="L953" t="n">
        <v>0</v>
      </c>
      <c r="M953" t="n">
        <v>0</v>
      </c>
      <c r="N953" t="n">
        <v>0</v>
      </c>
      <c r="O953" t="n">
        <v>0</v>
      </c>
      <c r="P953" t="n">
        <v>0</v>
      </c>
      <c r="Q953" t="n">
        <v>0</v>
      </c>
      <c r="R953" s="2" t="inlineStr"/>
    </row>
    <row r="954" ht="15" customHeight="1">
      <c r="A954" t="inlineStr">
        <is>
          <t>A 46914-2022</t>
        </is>
      </c>
      <c r="B954" s="1" t="n">
        <v>44851</v>
      </c>
      <c r="C954" s="1" t="n">
        <v>45588</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47076-2022</t>
        </is>
      </c>
      <c r="B955" s="1" t="n">
        <v>44852</v>
      </c>
      <c r="C955" s="1" t="n">
        <v>45588</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47079-2022</t>
        </is>
      </c>
      <c r="B956" s="1" t="n">
        <v>44852</v>
      </c>
      <c r="C956" s="1" t="n">
        <v>45588</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47626-2022</t>
        </is>
      </c>
      <c r="B957" s="1" t="n">
        <v>44854</v>
      </c>
      <c r="C957" s="1" t="n">
        <v>45588</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48316-2022</t>
        </is>
      </c>
      <c r="B958" s="1" t="n">
        <v>44854</v>
      </c>
      <c r="C958" s="1" t="n">
        <v>45588</v>
      </c>
      <c r="D958" t="inlineStr">
        <is>
          <t>STOCKHOLMS LÄN</t>
        </is>
      </c>
      <c r="E958" t="inlineStr">
        <is>
          <t>NORRTÄLJE</t>
        </is>
      </c>
      <c r="G958" t="n">
        <v>4.5</v>
      </c>
      <c r="H958" t="n">
        <v>0</v>
      </c>
      <c r="I958" t="n">
        <v>0</v>
      </c>
      <c r="J958" t="n">
        <v>0</v>
      </c>
      <c r="K958" t="n">
        <v>0</v>
      </c>
      <c r="L958" t="n">
        <v>0</v>
      </c>
      <c r="M958" t="n">
        <v>0</v>
      </c>
      <c r="N958" t="n">
        <v>0</v>
      </c>
      <c r="O958" t="n">
        <v>0</v>
      </c>
      <c r="P958" t="n">
        <v>0</v>
      </c>
      <c r="Q958" t="n">
        <v>0</v>
      </c>
      <c r="R958" s="2" t="inlineStr"/>
    </row>
    <row r="959" ht="15" customHeight="1">
      <c r="A959" t="inlineStr">
        <is>
          <t>A 47929-2022</t>
        </is>
      </c>
      <c r="B959" s="1" t="n">
        <v>44855</v>
      </c>
      <c r="C959" s="1" t="n">
        <v>45588</v>
      </c>
      <c r="D959" t="inlineStr">
        <is>
          <t>STOCKHOLMS LÄN</t>
        </is>
      </c>
      <c r="E959" t="inlineStr">
        <is>
          <t>NORRTÄLJE</t>
        </is>
      </c>
      <c r="G959" t="n">
        <v>3.5</v>
      </c>
      <c r="H959" t="n">
        <v>0</v>
      </c>
      <c r="I959" t="n">
        <v>0</v>
      </c>
      <c r="J959" t="n">
        <v>0</v>
      </c>
      <c r="K959" t="n">
        <v>0</v>
      </c>
      <c r="L959" t="n">
        <v>0</v>
      </c>
      <c r="M959" t="n">
        <v>0</v>
      </c>
      <c r="N959" t="n">
        <v>0</v>
      </c>
      <c r="O959" t="n">
        <v>0</v>
      </c>
      <c r="P959" t="n">
        <v>0</v>
      </c>
      <c r="Q959" t="n">
        <v>0</v>
      </c>
      <c r="R959" s="2" t="inlineStr"/>
    </row>
    <row r="960" ht="15" customHeight="1">
      <c r="A960" t="inlineStr">
        <is>
          <t>A 48490-2022</t>
        </is>
      </c>
      <c r="B960" s="1" t="n">
        <v>44858</v>
      </c>
      <c r="C960" s="1" t="n">
        <v>45588</v>
      </c>
      <c r="D960" t="inlineStr">
        <is>
          <t>STOCKHOLMS LÄN</t>
        </is>
      </c>
      <c r="E960" t="inlineStr">
        <is>
          <t>NORRTÄLJE</t>
        </is>
      </c>
      <c r="G960" t="n">
        <v>15.8</v>
      </c>
      <c r="H960" t="n">
        <v>0</v>
      </c>
      <c r="I960" t="n">
        <v>0</v>
      </c>
      <c r="J960" t="n">
        <v>0</v>
      </c>
      <c r="K960" t="n">
        <v>0</v>
      </c>
      <c r="L960" t="n">
        <v>0</v>
      </c>
      <c r="M960" t="n">
        <v>0</v>
      </c>
      <c r="N960" t="n">
        <v>0</v>
      </c>
      <c r="O960" t="n">
        <v>0</v>
      </c>
      <c r="P960" t="n">
        <v>0</v>
      </c>
      <c r="Q960" t="n">
        <v>0</v>
      </c>
      <c r="R960" s="2" t="inlineStr"/>
    </row>
    <row r="961" ht="15" customHeight="1">
      <c r="A961" t="inlineStr">
        <is>
          <t>A 48161-2022</t>
        </is>
      </c>
      <c r="B961" s="1" t="n">
        <v>44858</v>
      </c>
      <c r="C961" s="1" t="n">
        <v>45588</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48453-2022</t>
        </is>
      </c>
      <c r="B962" s="1" t="n">
        <v>44858</v>
      </c>
      <c r="C962" s="1" t="n">
        <v>45588</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48492-2022</t>
        </is>
      </c>
      <c r="B963" s="1" t="n">
        <v>44858</v>
      </c>
      <c r="C963" s="1" t="n">
        <v>45588</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50065-2022</t>
        </is>
      </c>
      <c r="B964" s="1" t="n">
        <v>44865</v>
      </c>
      <c r="C964" s="1" t="n">
        <v>45588</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v>
      </c>
      <c r="C965" s="1" t="n">
        <v>45588</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50481-2022</t>
        </is>
      </c>
      <c r="B966" s="1" t="n">
        <v>44866</v>
      </c>
      <c r="C966" s="1" t="n">
        <v>45588</v>
      </c>
      <c r="D966" t="inlineStr">
        <is>
          <t>STOCKHOLMS LÄN</t>
        </is>
      </c>
      <c r="E966" t="inlineStr">
        <is>
          <t>NORRTÄLJE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50465-2022</t>
        </is>
      </c>
      <c r="B967" s="1" t="n">
        <v>44866</v>
      </c>
      <c r="C967" s="1" t="n">
        <v>45588</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50488-2022</t>
        </is>
      </c>
      <c r="B968" s="1" t="n">
        <v>44866</v>
      </c>
      <c r="C968" s="1" t="n">
        <v>45588</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50563-2022</t>
        </is>
      </c>
      <c r="B969" s="1" t="n">
        <v>44866</v>
      </c>
      <c r="C969" s="1" t="n">
        <v>45588</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50569-2022</t>
        </is>
      </c>
      <c r="B970" s="1" t="n">
        <v>44866</v>
      </c>
      <c r="C970" s="1" t="n">
        <v>45588</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50484-2022</t>
        </is>
      </c>
      <c r="B971" s="1" t="n">
        <v>44866</v>
      </c>
      <c r="C971" s="1" t="n">
        <v>45588</v>
      </c>
      <c r="D971" t="inlineStr">
        <is>
          <t>STOCKHOLMS LÄN</t>
        </is>
      </c>
      <c r="E971" t="inlineStr">
        <is>
          <t>NORRTÄLJE</t>
        </is>
      </c>
      <c r="G971" t="n">
        <v>6.7</v>
      </c>
      <c r="H971" t="n">
        <v>0</v>
      </c>
      <c r="I971" t="n">
        <v>0</v>
      </c>
      <c r="J971" t="n">
        <v>0</v>
      </c>
      <c r="K971" t="n">
        <v>0</v>
      </c>
      <c r="L971" t="n">
        <v>0</v>
      </c>
      <c r="M971" t="n">
        <v>0</v>
      </c>
      <c r="N971" t="n">
        <v>0</v>
      </c>
      <c r="O971" t="n">
        <v>0</v>
      </c>
      <c r="P971" t="n">
        <v>0</v>
      </c>
      <c r="Q971" t="n">
        <v>0</v>
      </c>
      <c r="R971" s="2" t="inlineStr"/>
    </row>
    <row r="972" ht="15" customHeight="1">
      <c r="A972" t="inlineStr">
        <is>
          <t>A 50970-2022</t>
        </is>
      </c>
      <c r="B972" s="1" t="n">
        <v>44867</v>
      </c>
      <c r="C972" s="1" t="n">
        <v>45588</v>
      </c>
      <c r="D972" t="inlineStr">
        <is>
          <t>STOCKHOLMS LÄN</t>
        </is>
      </c>
      <c r="E972" t="inlineStr">
        <is>
          <t>NORRTÄLJE</t>
        </is>
      </c>
      <c r="G972" t="n">
        <v>9</v>
      </c>
      <c r="H972" t="n">
        <v>0</v>
      </c>
      <c r="I972" t="n">
        <v>0</v>
      </c>
      <c r="J972" t="n">
        <v>0</v>
      </c>
      <c r="K972" t="n">
        <v>0</v>
      </c>
      <c r="L972" t="n">
        <v>0</v>
      </c>
      <c r="M972" t="n">
        <v>0</v>
      </c>
      <c r="N972" t="n">
        <v>0</v>
      </c>
      <c r="O972" t="n">
        <v>0</v>
      </c>
      <c r="P972" t="n">
        <v>0</v>
      </c>
      <c r="Q972" t="n">
        <v>0</v>
      </c>
      <c r="R972" s="2" t="inlineStr"/>
    </row>
    <row r="973" ht="15" customHeight="1">
      <c r="A973" t="inlineStr">
        <is>
          <t>A 50983-2022</t>
        </is>
      </c>
      <c r="B973" s="1" t="n">
        <v>44867</v>
      </c>
      <c r="C973" s="1" t="n">
        <v>45588</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50907-2022</t>
        </is>
      </c>
      <c r="B974" s="1" t="n">
        <v>44867</v>
      </c>
      <c r="C974" s="1" t="n">
        <v>45588</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51653-2022</t>
        </is>
      </c>
      <c r="B975" s="1" t="n">
        <v>44867</v>
      </c>
      <c r="C975" s="1" t="n">
        <v>45588</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51116-2022</t>
        </is>
      </c>
      <c r="B976" s="1" t="n">
        <v>44868</v>
      </c>
      <c r="C976" s="1" t="n">
        <v>45588</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51265-2022</t>
        </is>
      </c>
      <c r="B977" s="1" t="n">
        <v>44868</v>
      </c>
      <c r="C977" s="1" t="n">
        <v>45588</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52139-2022</t>
        </is>
      </c>
      <c r="B978" s="1" t="n">
        <v>44868</v>
      </c>
      <c r="C978" s="1" t="n">
        <v>45588</v>
      </c>
      <c r="D978" t="inlineStr">
        <is>
          <t>STOCKHOLMS LÄN</t>
        </is>
      </c>
      <c r="E978" t="inlineStr">
        <is>
          <t>NORRTÄLJE</t>
        </is>
      </c>
      <c r="G978" t="n">
        <v>3.2</v>
      </c>
      <c r="H978" t="n">
        <v>0</v>
      </c>
      <c r="I978" t="n">
        <v>0</v>
      </c>
      <c r="J978" t="n">
        <v>0</v>
      </c>
      <c r="K978" t="n">
        <v>0</v>
      </c>
      <c r="L978" t="n">
        <v>0</v>
      </c>
      <c r="M978" t="n">
        <v>0</v>
      </c>
      <c r="N978" t="n">
        <v>0</v>
      </c>
      <c r="O978" t="n">
        <v>0</v>
      </c>
      <c r="P978" t="n">
        <v>0</v>
      </c>
      <c r="Q978" t="n">
        <v>0</v>
      </c>
      <c r="R978" s="2" t="inlineStr"/>
    </row>
    <row r="979" ht="15" customHeight="1">
      <c r="A979" t="inlineStr">
        <is>
          <t>A 52133-2022</t>
        </is>
      </c>
      <c r="B979" s="1" t="n">
        <v>44868</v>
      </c>
      <c r="C979" s="1" t="n">
        <v>45588</v>
      </c>
      <c r="D979" t="inlineStr">
        <is>
          <t>STOCKHOLMS LÄN</t>
        </is>
      </c>
      <c r="E979" t="inlineStr">
        <is>
          <t>NORRTÄLJE</t>
        </is>
      </c>
      <c r="G979" t="n">
        <v>11.5</v>
      </c>
      <c r="H979" t="n">
        <v>0</v>
      </c>
      <c r="I979" t="n">
        <v>0</v>
      </c>
      <c r="J979" t="n">
        <v>0</v>
      </c>
      <c r="K979" t="n">
        <v>0</v>
      </c>
      <c r="L979" t="n">
        <v>0</v>
      </c>
      <c r="M979" t="n">
        <v>0</v>
      </c>
      <c r="N979" t="n">
        <v>0</v>
      </c>
      <c r="O979" t="n">
        <v>0</v>
      </c>
      <c r="P979" t="n">
        <v>0</v>
      </c>
      <c r="Q979" t="n">
        <v>0</v>
      </c>
      <c r="R979" s="2" t="inlineStr"/>
    </row>
    <row r="980" ht="15" customHeight="1">
      <c r="A980" t="inlineStr">
        <is>
          <t>A 52260-2022</t>
        </is>
      </c>
      <c r="B980" s="1" t="n">
        <v>44869</v>
      </c>
      <c r="C980" s="1" t="n">
        <v>45588</v>
      </c>
      <c r="D980" t="inlineStr">
        <is>
          <t>STOCKHOLMS LÄN</t>
        </is>
      </c>
      <c r="E980" t="inlineStr">
        <is>
          <t>NORRTÄLJE</t>
        </is>
      </c>
      <c r="G980" t="n">
        <v>3.1</v>
      </c>
      <c r="H980" t="n">
        <v>0</v>
      </c>
      <c r="I980" t="n">
        <v>0</v>
      </c>
      <c r="J980" t="n">
        <v>0</v>
      </c>
      <c r="K980" t="n">
        <v>0</v>
      </c>
      <c r="L980" t="n">
        <v>0</v>
      </c>
      <c r="M980" t="n">
        <v>0</v>
      </c>
      <c r="N980" t="n">
        <v>0</v>
      </c>
      <c r="O980" t="n">
        <v>0</v>
      </c>
      <c r="P980" t="n">
        <v>0</v>
      </c>
      <c r="Q980" t="n">
        <v>0</v>
      </c>
      <c r="R980" s="2" t="inlineStr"/>
    </row>
    <row r="981" ht="15" customHeight="1">
      <c r="A981" t="inlineStr">
        <is>
          <t>A 51984-2022</t>
        </is>
      </c>
      <c r="B981" s="1" t="n">
        <v>44872</v>
      </c>
      <c r="C981" s="1" t="n">
        <v>45588</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52322-2022</t>
        </is>
      </c>
      <c r="B982" s="1" t="n">
        <v>44873</v>
      </c>
      <c r="C982" s="1" t="n">
        <v>45588</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53461-2022</t>
        </is>
      </c>
      <c r="B983" s="1" t="n">
        <v>44879</v>
      </c>
      <c r="C983" s="1" t="n">
        <v>45588</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53600-2022</t>
        </is>
      </c>
      <c r="B984" s="1" t="n">
        <v>44879</v>
      </c>
      <c r="C984" s="1" t="n">
        <v>45588</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53459-2022</t>
        </is>
      </c>
      <c r="B985" s="1" t="n">
        <v>44879</v>
      </c>
      <c r="C985" s="1" t="n">
        <v>45588</v>
      </c>
      <c r="D985" t="inlineStr">
        <is>
          <t>STOCKHOLMS LÄN</t>
        </is>
      </c>
      <c r="E985" t="inlineStr">
        <is>
          <t>NORRTÄLJE</t>
        </is>
      </c>
      <c r="G985" t="n">
        <v>3.9</v>
      </c>
      <c r="H985" t="n">
        <v>0</v>
      </c>
      <c r="I985" t="n">
        <v>0</v>
      </c>
      <c r="J985" t="n">
        <v>0</v>
      </c>
      <c r="K985" t="n">
        <v>0</v>
      </c>
      <c r="L985" t="n">
        <v>0</v>
      </c>
      <c r="M985" t="n">
        <v>0</v>
      </c>
      <c r="N985" t="n">
        <v>0</v>
      </c>
      <c r="O985" t="n">
        <v>0</v>
      </c>
      <c r="P985" t="n">
        <v>0</v>
      </c>
      <c r="Q985" t="n">
        <v>0</v>
      </c>
      <c r="R985" s="2" t="inlineStr"/>
    </row>
    <row r="986" ht="15" customHeight="1">
      <c r="A986" t="inlineStr">
        <is>
          <t>A 53884-2022</t>
        </is>
      </c>
      <c r="B986" s="1" t="n">
        <v>44880</v>
      </c>
      <c r="C986" s="1" t="n">
        <v>45588</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54169-2022</t>
        </is>
      </c>
      <c r="B987" s="1" t="n">
        <v>44881</v>
      </c>
      <c r="C987" s="1" t="n">
        <v>45588</v>
      </c>
      <c r="D987" t="inlineStr">
        <is>
          <t>STOCKHOLMS LÄN</t>
        </is>
      </c>
      <c r="E987" t="inlineStr">
        <is>
          <t>NORRTÄLJE</t>
        </is>
      </c>
      <c r="G987" t="n">
        <v>3.7</v>
      </c>
      <c r="H987" t="n">
        <v>0</v>
      </c>
      <c r="I987" t="n">
        <v>0</v>
      </c>
      <c r="J987" t="n">
        <v>0</v>
      </c>
      <c r="K987" t="n">
        <v>0</v>
      </c>
      <c r="L987" t="n">
        <v>0</v>
      </c>
      <c r="M987" t="n">
        <v>0</v>
      </c>
      <c r="N987" t="n">
        <v>0</v>
      </c>
      <c r="O987" t="n">
        <v>0</v>
      </c>
      <c r="P987" t="n">
        <v>0</v>
      </c>
      <c r="Q987" t="n">
        <v>0</v>
      </c>
      <c r="R987" s="2" t="inlineStr"/>
    </row>
    <row r="988" ht="15" customHeight="1">
      <c r="A988" t="inlineStr">
        <is>
          <t>A 54175-2022</t>
        </is>
      </c>
      <c r="B988" s="1" t="n">
        <v>44881</v>
      </c>
      <c r="C988" s="1" t="n">
        <v>45588</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54355-2022</t>
        </is>
      </c>
      <c r="B989" s="1" t="n">
        <v>44882</v>
      </c>
      <c r="C989" s="1" t="n">
        <v>45588</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54427-2022</t>
        </is>
      </c>
      <c r="B990" s="1" t="n">
        <v>44882</v>
      </c>
      <c r="C990" s="1" t="n">
        <v>45588</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54340-2022</t>
        </is>
      </c>
      <c r="B991" s="1" t="n">
        <v>44882</v>
      </c>
      <c r="C991" s="1" t="n">
        <v>45588</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54358-2022</t>
        </is>
      </c>
      <c r="B992" s="1" t="n">
        <v>44882</v>
      </c>
      <c r="C992" s="1" t="n">
        <v>45588</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54354-2022</t>
        </is>
      </c>
      <c r="B993" s="1" t="n">
        <v>44882</v>
      </c>
      <c r="C993" s="1" t="n">
        <v>45588</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55047-2022</t>
        </is>
      </c>
      <c r="B994" s="1" t="n">
        <v>44886</v>
      </c>
      <c r="C994" s="1" t="n">
        <v>45588</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55696-2022</t>
        </is>
      </c>
      <c r="B995" s="1" t="n">
        <v>44888</v>
      </c>
      <c r="C995" s="1" t="n">
        <v>45588</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57037-2022</t>
        </is>
      </c>
      <c r="B996" s="1" t="n">
        <v>44895</v>
      </c>
      <c r="C996" s="1" t="n">
        <v>45588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59767-2022</t>
        </is>
      </c>
      <c r="B997" s="1" t="n">
        <v>44900</v>
      </c>
      <c r="C997" s="1" t="n">
        <v>45588</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58302-2022</t>
        </is>
      </c>
      <c r="B998" s="1" t="n">
        <v>44901</v>
      </c>
      <c r="C998" s="1" t="n">
        <v>45588</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58492-2022</t>
        </is>
      </c>
      <c r="B999" s="1" t="n">
        <v>44902</v>
      </c>
      <c r="C999" s="1" t="n">
        <v>45588</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58543-2022</t>
        </is>
      </c>
      <c r="B1000" s="1" t="n">
        <v>44902</v>
      </c>
      <c r="C1000" s="1" t="n">
        <v>45588</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58993-2022</t>
        </is>
      </c>
      <c r="B1001" s="1" t="n">
        <v>44903</v>
      </c>
      <c r="C1001" s="1" t="n">
        <v>45588</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60525-2022</t>
        </is>
      </c>
      <c r="B1002" s="1" t="n">
        <v>44904</v>
      </c>
      <c r="C1002" s="1" t="n">
        <v>45588</v>
      </c>
      <c r="D1002" t="inlineStr">
        <is>
          <t>STOCKHOLMS LÄN</t>
        </is>
      </c>
      <c r="E1002" t="inlineStr">
        <is>
          <t>NORRTÄLJE</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59717-2022</t>
        </is>
      </c>
      <c r="B1003" s="1" t="n">
        <v>44908</v>
      </c>
      <c r="C1003" s="1" t="n">
        <v>45588</v>
      </c>
      <c r="D1003" t="inlineStr">
        <is>
          <t>STOCKHOLMS LÄN</t>
        </is>
      </c>
      <c r="E1003" t="inlineStr">
        <is>
          <t>NORRTÄLJE</t>
        </is>
      </c>
      <c r="F1003" t="inlineStr">
        <is>
          <t>Holmen skog AB</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v>
      </c>
      <c r="C1004" s="1" t="n">
        <v>45588</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59892-2022</t>
        </is>
      </c>
      <c r="B1005" s="1" t="n">
        <v>44908</v>
      </c>
      <c r="C1005" s="1" t="n">
        <v>45588</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60840-2022</t>
        </is>
      </c>
      <c r="B1006" s="1" t="n">
        <v>44914</v>
      </c>
      <c r="C1006" s="1" t="n">
        <v>45588</v>
      </c>
      <c r="D1006" t="inlineStr">
        <is>
          <t>STOCKHOLMS LÄN</t>
        </is>
      </c>
      <c r="E1006" t="inlineStr">
        <is>
          <t>NORRTÄLJE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61016-2022</t>
        </is>
      </c>
      <c r="B1007" s="1" t="n">
        <v>44914</v>
      </c>
      <c r="C1007" s="1" t="n">
        <v>45588</v>
      </c>
      <c r="D1007" t="inlineStr">
        <is>
          <t>STOCKHOLMS LÄN</t>
        </is>
      </c>
      <c r="E1007" t="inlineStr">
        <is>
          <t>NORRTÄLJE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62206-2022</t>
        </is>
      </c>
      <c r="B1008" s="1" t="n">
        <v>44922</v>
      </c>
      <c r="C1008" s="1" t="n">
        <v>45588</v>
      </c>
      <c r="D1008" t="inlineStr">
        <is>
          <t>STOCKHOLMS LÄN</t>
        </is>
      </c>
      <c r="E1008" t="inlineStr">
        <is>
          <t>NORRTÄLJE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62398-2022</t>
        </is>
      </c>
      <c r="B1009" s="1" t="n">
        <v>44923</v>
      </c>
      <c r="C1009" s="1" t="n">
        <v>45588</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62593-2022</t>
        </is>
      </c>
      <c r="B1010" s="1" t="n">
        <v>44925</v>
      </c>
      <c r="C1010" s="1" t="n">
        <v>45588</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576-2023</t>
        </is>
      </c>
      <c r="B1011" s="1" t="n">
        <v>44925</v>
      </c>
      <c r="C1011" s="1" t="n">
        <v>45588</v>
      </c>
      <c r="D1011" t="inlineStr">
        <is>
          <t>STOCKHOLMS LÄN</t>
        </is>
      </c>
      <c r="E1011" t="inlineStr">
        <is>
          <t>NORRTÄLJE</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574-2023</t>
        </is>
      </c>
      <c r="B1012" s="1" t="n">
        <v>44925</v>
      </c>
      <c r="C1012" s="1" t="n">
        <v>45588</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755-2023</t>
        </is>
      </c>
      <c r="B1013" s="1" t="n">
        <v>44931</v>
      </c>
      <c r="C1013" s="1" t="n">
        <v>45588</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875-2023</t>
        </is>
      </c>
      <c r="B1014" s="1" t="n">
        <v>44931</v>
      </c>
      <c r="C1014" s="1" t="n">
        <v>45588</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951-2023</t>
        </is>
      </c>
      <c r="B1015" s="1" t="n">
        <v>44934</v>
      </c>
      <c r="C1015" s="1" t="n">
        <v>45588</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1183-2023</t>
        </is>
      </c>
      <c r="B1016" s="1" t="n">
        <v>44935</v>
      </c>
      <c r="C1016" s="1" t="n">
        <v>45588</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1335-2023</t>
        </is>
      </c>
      <c r="B1017" s="1" t="n">
        <v>44936</v>
      </c>
      <c r="C1017" s="1" t="n">
        <v>45588</v>
      </c>
      <c r="D1017" t="inlineStr">
        <is>
          <t>STOCKHOLMS LÄN</t>
        </is>
      </c>
      <c r="E1017" t="inlineStr">
        <is>
          <t>NORRTÄLJE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1373-2023</t>
        </is>
      </c>
      <c r="B1018" s="1" t="n">
        <v>44936</v>
      </c>
      <c r="C1018" s="1" t="n">
        <v>45588</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45588</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1740-2023</t>
        </is>
      </c>
      <c r="B1020" s="1" t="n">
        <v>44938</v>
      </c>
      <c r="C1020" s="1" t="n">
        <v>45588</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1847-2023</t>
        </is>
      </c>
      <c r="B1021" s="1" t="n">
        <v>44938</v>
      </c>
      <c r="C1021" s="1" t="n">
        <v>45588</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2103-2023</t>
        </is>
      </c>
      <c r="B1022" s="1" t="n">
        <v>44939</v>
      </c>
      <c r="C1022" s="1" t="n">
        <v>45588</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2976-2023</t>
        </is>
      </c>
      <c r="B1023" s="1" t="n">
        <v>44945</v>
      </c>
      <c r="C1023" s="1" t="n">
        <v>45588</v>
      </c>
      <c r="D1023" t="inlineStr">
        <is>
          <t>STOCKHOLMS LÄN</t>
        </is>
      </c>
      <c r="E1023" t="inlineStr">
        <is>
          <t>NORRTÄLJE</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2890-2023</t>
        </is>
      </c>
      <c r="B1024" s="1" t="n">
        <v>44945</v>
      </c>
      <c r="C1024" s="1" t="n">
        <v>45588</v>
      </c>
      <c r="D1024" t="inlineStr">
        <is>
          <t>STOCKHOLMS LÄN</t>
        </is>
      </c>
      <c r="E1024" t="inlineStr">
        <is>
          <t>NORRTÄLJE</t>
        </is>
      </c>
      <c r="F1024" t="inlineStr">
        <is>
          <t>Holmen skog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2982-2023</t>
        </is>
      </c>
      <c r="B1025" s="1" t="n">
        <v>44945</v>
      </c>
      <c r="C1025" s="1" t="n">
        <v>45588</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3383-2023</t>
        </is>
      </c>
      <c r="B1026" s="1" t="n">
        <v>44949</v>
      </c>
      <c r="C1026" s="1" t="n">
        <v>45588</v>
      </c>
      <c r="D1026" t="inlineStr">
        <is>
          <t>STOCKHOLMS LÄN</t>
        </is>
      </c>
      <c r="E1026" t="inlineStr">
        <is>
          <t>NORRTÄLJE</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3444-2023</t>
        </is>
      </c>
      <c r="B1027" s="1" t="n">
        <v>44949</v>
      </c>
      <c r="C1027" s="1" t="n">
        <v>45588</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4035-2023</t>
        </is>
      </c>
      <c r="B1028" s="1" t="n">
        <v>44952</v>
      </c>
      <c r="C1028" s="1" t="n">
        <v>45588</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4058-2023</t>
        </is>
      </c>
      <c r="B1029" s="1" t="n">
        <v>44952</v>
      </c>
      <c r="C1029" s="1" t="n">
        <v>45588</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4194-2023</t>
        </is>
      </c>
      <c r="B1030" s="1" t="n">
        <v>44953</v>
      </c>
      <c r="C1030" s="1" t="n">
        <v>45588</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4168-2023</t>
        </is>
      </c>
      <c r="B1031" s="1" t="n">
        <v>44953</v>
      </c>
      <c r="C1031" s="1" t="n">
        <v>45588</v>
      </c>
      <c r="D1031" t="inlineStr">
        <is>
          <t>STOCKHOLMS LÄN</t>
        </is>
      </c>
      <c r="E1031" t="inlineStr">
        <is>
          <t>NORRTÄLJE</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4316-2023</t>
        </is>
      </c>
      <c r="B1032" s="1" t="n">
        <v>44953</v>
      </c>
      <c r="C1032" s="1" t="n">
        <v>45588</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4326-2023</t>
        </is>
      </c>
      <c r="B1033" s="1" t="n">
        <v>44953</v>
      </c>
      <c r="C1033" s="1" t="n">
        <v>45588</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4322-2023</t>
        </is>
      </c>
      <c r="B1034" s="1" t="n">
        <v>44953</v>
      </c>
      <c r="C1034" s="1" t="n">
        <v>45588</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4364-2023</t>
        </is>
      </c>
      <c r="B1035" s="1" t="n">
        <v>44954</v>
      </c>
      <c r="C1035" s="1" t="n">
        <v>45588</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4395-2023</t>
        </is>
      </c>
      <c r="B1036" s="1" t="n">
        <v>44956</v>
      </c>
      <c r="C1036" s="1" t="n">
        <v>45588</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4438-2023</t>
        </is>
      </c>
      <c r="B1037" s="1" t="n">
        <v>44956</v>
      </c>
      <c r="C1037" s="1" t="n">
        <v>45588</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4593-2023</t>
        </is>
      </c>
      <c r="B1038" s="1" t="n">
        <v>44956</v>
      </c>
      <c r="C1038" s="1" t="n">
        <v>45588</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4596-2023</t>
        </is>
      </c>
      <c r="B1039" s="1" t="n">
        <v>44956</v>
      </c>
      <c r="C1039" s="1" t="n">
        <v>45588</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v>
      </c>
      <c r="C1040" s="1" t="n">
        <v>45588</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5137-2023</t>
        </is>
      </c>
      <c r="B1041" s="1" t="n">
        <v>44958</v>
      </c>
      <c r="C1041" s="1" t="n">
        <v>45588</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5207-2023</t>
        </is>
      </c>
      <c r="B1042" s="1" t="n">
        <v>44959</v>
      </c>
      <c r="C1042" s="1" t="n">
        <v>45588</v>
      </c>
      <c r="D1042" t="inlineStr">
        <is>
          <t>STOCKHOLMS LÄN</t>
        </is>
      </c>
      <c r="E1042" t="inlineStr">
        <is>
          <t>NORRTÄLJE</t>
        </is>
      </c>
      <c r="F1042" t="inlineStr">
        <is>
          <t>Holmen skog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5422-2023</t>
        </is>
      </c>
      <c r="B1043" s="1" t="n">
        <v>44959</v>
      </c>
      <c r="C1043" s="1" t="n">
        <v>45588</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5244-2023</t>
        </is>
      </c>
      <c r="B1044" s="1" t="n">
        <v>44959</v>
      </c>
      <c r="C1044" s="1" t="n">
        <v>45588</v>
      </c>
      <c r="D1044" t="inlineStr">
        <is>
          <t>STOCKHOLMS LÄN</t>
        </is>
      </c>
      <c r="E1044" t="inlineStr">
        <is>
          <t>NORRTÄLJE</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5423-2023</t>
        </is>
      </c>
      <c r="B1045" s="1" t="n">
        <v>44959</v>
      </c>
      <c r="C1045" s="1" t="n">
        <v>45588</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6312-2023</t>
        </is>
      </c>
      <c r="B1046" s="1" t="n">
        <v>44959</v>
      </c>
      <c r="C1046" s="1" t="n">
        <v>45588</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5645-2023</t>
        </is>
      </c>
      <c r="B1047" s="1" t="n">
        <v>44960</v>
      </c>
      <c r="C1047" s="1" t="n">
        <v>45588</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5501-2023</t>
        </is>
      </c>
      <c r="B1048" s="1" t="n">
        <v>44960</v>
      </c>
      <c r="C1048" s="1" t="n">
        <v>45588</v>
      </c>
      <c r="D1048" t="inlineStr">
        <is>
          <t>STOCKHOLMS LÄN</t>
        </is>
      </c>
      <c r="E1048" t="inlineStr">
        <is>
          <t>NORRTÄLJE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6496-2023</t>
        </is>
      </c>
      <c r="B1049" s="1" t="n">
        <v>44960</v>
      </c>
      <c r="C1049" s="1" t="n">
        <v>45588</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5732-2023</t>
        </is>
      </c>
      <c r="B1050" s="1" t="n">
        <v>44962</v>
      </c>
      <c r="C1050" s="1" t="n">
        <v>45588</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5823-2023</t>
        </is>
      </c>
      <c r="B1051" s="1" t="n">
        <v>44963</v>
      </c>
      <c r="C1051" s="1" t="n">
        <v>45588</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5839-2023</t>
        </is>
      </c>
      <c r="B1052" s="1" t="n">
        <v>44963</v>
      </c>
      <c r="C1052" s="1" t="n">
        <v>45588</v>
      </c>
      <c r="D1052" t="inlineStr">
        <is>
          <t>STOCKHOLMS LÄN</t>
        </is>
      </c>
      <c r="E1052" t="inlineStr">
        <is>
          <t>NORRTÄLJE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6433-2023</t>
        </is>
      </c>
      <c r="B1053" s="1" t="n">
        <v>44965</v>
      </c>
      <c r="C1053" s="1" t="n">
        <v>45588</v>
      </c>
      <c r="D1053" t="inlineStr">
        <is>
          <t>STOCKHOLMS LÄN</t>
        </is>
      </c>
      <c r="E1053" t="inlineStr">
        <is>
          <t>NORRTÄLJE</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7230-2023</t>
        </is>
      </c>
      <c r="B1054" s="1" t="n">
        <v>44965</v>
      </c>
      <c r="C1054" s="1" t="n">
        <v>45588</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6437-2023</t>
        </is>
      </c>
      <c r="B1055" s="1" t="n">
        <v>44965</v>
      </c>
      <c r="C1055" s="1" t="n">
        <v>45588</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7093-2023</t>
        </is>
      </c>
      <c r="B1056" s="1" t="n">
        <v>44970</v>
      </c>
      <c r="C1056" s="1" t="n">
        <v>45588</v>
      </c>
      <c r="D1056" t="inlineStr">
        <is>
          <t>STOCKHOLMS LÄN</t>
        </is>
      </c>
      <c r="E1056" t="inlineStr">
        <is>
          <t>NORRTÄLJE</t>
        </is>
      </c>
      <c r="F1056" t="inlineStr">
        <is>
          <t>Sveaskog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7190-2023</t>
        </is>
      </c>
      <c r="B1057" s="1" t="n">
        <v>44970</v>
      </c>
      <c r="C1057" s="1" t="n">
        <v>45588</v>
      </c>
      <c r="D1057" t="inlineStr">
        <is>
          <t>STOCKHOLMS LÄN</t>
        </is>
      </c>
      <c r="E1057" t="inlineStr">
        <is>
          <t>NORRTÄLJE</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7120-2023</t>
        </is>
      </c>
      <c r="B1058" s="1" t="n">
        <v>44970</v>
      </c>
      <c r="C1058" s="1" t="n">
        <v>45588</v>
      </c>
      <c r="D1058" t="inlineStr">
        <is>
          <t>STOCKHOLMS LÄN</t>
        </is>
      </c>
      <c r="E1058" t="inlineStr">
        <is>
          <t>NORRTÄLJE</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7638-2023</t>
        </is>
      </c>
      <c r="B1059" s="1" t="n">
        <v>44972</v>
      </c>
      <c r="C1059" s="1" t="n">
        <v>45588</v>
      </c>
      <c r="D1059" t="inlineStr">
        <is>
          <t>STOCKHOLMS LÄN</t>
        </is>
      </c>
      <c r="E1059" t="inlineStr">
        <is>
          <t>NORRTÄLJE</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7966-2023</t>
        </is>
      </c>
      <c r="B1060" s="1" t="n">
        <v>44973</v>
      </c>
      <c r="C1060" s="1" t="n">
        <v>45588</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7974-2023</t>
        </is>
      </c>
      <c r="B1061" s="1" t="n">
        <v>44973</v>
      </c>
      <c r="C1061" s="1" t="n">
        <v>45588</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8296-2023</t>
        </is>
      </c>
      <c r="B1062" s="1" t="n">
        <v>44974</v>
      </c>
      <c r="C1062" s="1" t="n">
        <v>45588</v>
      </c>
      <c r="D1062" t="inlineStr">
        <is>
          <t>STOCKHOLMS LÄN</t>
        </is>
      </c>
      <c r="E1062" t="inlineStr">
        <is>
          <t>NORRTÄLJE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8586-2023</t>
        </is>
      </c>
      <c r="B1063" s="1" t="n">
        <v>44977</v>
      </c>
      <c r="C1063" s="1" t="n">
        <v>45588</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9401-2023</t>
        </is>
      </c>
      <c r="B1064" s="1" t="n">
        <v>44977</v>
      </c>
      <c r="C1064" s="1" t="n">
        <v>45588</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8730-2023</t>
        </is>
      </c>
      <c r="B1065" s="1" t="n">
        <v>44978</v>
      </c>
      <c r="C1065" s="1" t="n">
        <v>45588</v>
      </c>
      <c r="D1065" t="inlineStr">
        <is>
          <t>STOCKHOLMS LÄN</t>
        </is>
      </c>
      <c r="E1065" t="inlineStr">
        <is>
          <t>NORRTÄLJE</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8762-2023</t>
        </is>
      </c>
      <c r="B1066" s="1" t="n">
        <v>44978</v>
      </c>
      <c r="C1066" s="1" t="n">
        <v>45588</v>
      </c>
      <c r="D1066" t="inlineStr">
        <is>
          <t>STOCKHOLMS LÄN</t>
        </is>
      </c>
      <c r="E1066" t="inlineStr">
        <is>
          <t>NORRTÄLJE</t>
        </is>
      </c>
      <c r="F1066" t="inlineStr">
        <is>
          <t>Holmen skog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8899-2023</t>
        </is>
      </c>
      <c r="B1067" s="1" t="n">
        <v>44979</v>
      </c>
      <c r="C1067" s="1" t="n">
        <v>45588</v>
      </c>
      <c r="D1067" t="inlineStr">
        <is>
          <t>STOCKHOLMS LÄN</t>
        </is>
      </c>
      <c r="E1067" t="inlineStr">
        <is>
          <t>NORRTÄLJE</t>
        </is>
      </c>
      <c r="F1067" t="inlineStr">
        <is>
          <t>Naturvårdsverket</t>
        </is>
      </c>
      <c r="G1067" t="n">
        <v>14.9</v>
      </c>
      <c r="H1067" t="n">
        <v>0</v>
      </c>
      <c r="I1067" t="n">
        <v>0</v>
      </c>
      <c r="J1067" t="n">
        <v>0</v>
      </c>
      <c r="K1067" t="n">
        <v>0</v>
      </c>
      <c r="L1067" t="n">
        <v>0</v>
      </c>
      <c r="M1067" t="n">
        <v>0</v>
      </c>
      <c r="N1067" t="n">
        <v>0</v>
      </c>
      <c r="O1067" t="n">
        <v>0</v>
      </c>
      <c r="P1067" t="n">
        <v>0</v>
      </c>
      <c r="Q1067" t="n">
        <v>0</v>
      </c>
      <c r="R1067" s="2" t="inlineStr"/>
    </row>
    <row r="1068" ht="15" customHeight="1">
      <c r="A1068" t="inlineStr">
        <is>
          <t>A 9189-2023</t>
        </is>
      </c>
      <c r="B1068" s="1" t="n">
        <v>44980</v>
      </c>
      <c r="C1068" s="1" t="n">
        <v>45588</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9184-2023</t>
        </is>
      </c>
      <c r="B1069" s="1" t="n">
        <v>44980</v>
      </c>
      <c r="C1069" s="1" t="n">
        <v>45588</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9255-2023</t>
        </is>
      </c>
      <c r="B1070" s="1" t="n">
        <v>44980</v>
      </c>
      <c r="C1070" s="1" t="n">
        <v>45588</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9329-2023</t>
        </is>
      </c>
      <c r="B1071" s="1" t="n">
        <v>44980</v>
      </c>
      <c r="C1071" s="1" t="n">
        <v>45588</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9793-2023</t>
        </is>
      </c>
      <c r="B1072" s="1" t="n">
        <v>44984</v>
      </c>
      <c r="C1072" s="1" t="n">
        <v>45588</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9914-2023</t>
        </is>
      </c>
      <c r="B1073" s="1" t="n">
        <v>44985</v>
      </c>
      <c r="C1073" s="1" t="n">
        <v>45588</v>
      </c>
      <c r="D1073" t="inlineStr">
        <is>
          <t>STOCKHOLMS LÄN</t>
        </is>
      </c>
      <c r="E1073" t="inlineStr">
        <is>
          <t>NORRTÄLJE</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9965-2023</t>
        </is>
      </c>
      <c r="B1074" s="1" t="n">
        <v>44985</v>
      </c>
      <c r="C1074" s="1" t="n">
        <v>45588</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9995-2023</t>
        </is>
      </c>
      <c r="B1075" s="1" t="n">
        <v>44985</v>
      </c>
      <c r="C1075" s="1" t="n">
        <v>45588</v>
      </c>
      <c r="D1075" t="inlineStr">
        <is>
          <t>STOCKHOLMS LÄN</t>
        </is>
      </c>
      <c r="E1075" t="inlineStr">
        <is>
          <t>NORRTÄLJE</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10036-2023</t>
        </is>
      </c>
      <c r="B1076" s="1" t="n">
        <v>44985</v>
      </c>
      <c r="C1076" s="1" t="n">
        <v>45588</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10039-2023</t>
        </is>
      </c>
      <c r="B1077" s="1" t="n">
        <v>44985</v>
      </c>
      <c r="C1077" s="1" t="n">
        <v>45588</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9945-2023</t>
        </is>
      </c>
      <c r="B1078" s="1" t="n">
        <v>44985</v>
      </c>
      <c r="C1078" s="1" t="n">
        <v>45588</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10105-2023</t>
        </is>
      </c>
      <c r="B1079" s="1" t="n">
        <v>44986</v>
      </c>
      <c r="C1079" s="1" t="n">
        <v>45588</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10215-2023</t>
        </is>
      </c>
      <c r="B1080" s="1" t="n">
        <v>44986</v>
      </c>
      <c r="C1080" s="1" t="n">
        <v>45588</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11280-2023</t>
        </is>
      </c>
      <c r="B1081" s="1" t="n">
        <v>44992</v>
      </c>
      <c r="C1081" s="1" t="n">
        <v>45588</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11499-2023</t>
        </is>
      </c>
      <c r="B1082" s="1" t="n">
        <v>44993</v>
      </c>
      <c r="C1082" s="1" t="n">
        <v>45588</v>
      </c>
      <c r="D1082" t="inlineStr">
        <is>
          <t>STOCKHOLMS LÄN</t>
        </is>
      </c>
      <c r="E1082" t="inlineStr">
        <is>
          <t>NORRTÄLJE</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11844-2023</t>
        </is>
      </c>
      <c r="B1083" s="1" t="n">
        <v>44995</v>
      </c>
      <c r="C1083" s="1" t="n">
        <v>45588</v>
      </c>
      <c r="D1083" t="inlineStr">
        <is>
          <t>STOCKHOLMS LÄN</t>
        </is>
      </c>
      <c r="E1083" t="inlineStr">
        <is>
          <t>NORRTÄLJE</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11940-2023</t>
        </is>
      </c>
      <c r="B1084" s="1" t="n">
        <v>44995</v>
      </c>
      <c r="C1084" s="1" t="n">
        <v>45588</v>
      </c>
      <c r="D1084" t="inlineStr">
        <is>
          <t>STOCKHOLMS LÄN</t>
        </is>
      </c>
      <c r="E1084" t="inlineStr">
        <is>
          <t>NORRTÄLJE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11852-2023</t>
        </is>
      </c>
      <c r="B1085" s="1" t="n">
        <v>44995</v>
      </c>
      <c r="C1085" s="1" t="n">
        <v>45588</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12609-2023</t>
        </is>
      </c>
      <c r="B1086" s="1" t="n">
        <v>45000</v>
      </c>
      <c r="C1086" s="1" t="n">
        <v>45588</v>
      </c>
      <c r="D1086" t="inlineStr">
        <is>
          <t>STOCKHOLMS LÄN</t>
        </is>
      </c>
      <c r="E1086" t="inlineStr">
        <is>
          <t>NORRTÄLJE</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12756-2023</t>
        </is>
      </c>
      <c r="B1087" s="1" t="n">
        <v>45000</v>
      </c>
      <c r="C1087" s="1" t="n">
        <v>45588</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13072-2023</t>
        </is>
      </c>
      <c r="B1088" s="1" t="n">
        <v>45002</v>
      </c>
      <c r="C1088" s="1" t="n">
        <v>45588</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13354-2023</t>
        </is>
      </c>
      <c r="B1089" s="1" t="n">
        <v>45005</v>
      </c>
      <c r="C1089" s="1" t="n">
        <v>45588</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13360-2023</t>
        </is>
      </c>
      <c r="B1090" s="1" t="n">
        <v>45005</v>
      </c>
      <c r="C1090" s="1" t="n">
        <v>45588</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13860-2023</t>
        </is>
      </c>
      <c r="B1091" s="1" t="n">
        <v>45007</v>
      </c>
      <c r="C1091" s="1" t="n">
        <v>45588</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13957-2023</t>
        </is>
      </c>
      <c r="B1092" s="1" t="n">
        <v>45008</v>
      </c>
      <c r="C1092" s="1" t="n">
        <v>45588</v>
      </c>
      <c r="D1092" t="inlineStr">
        <is>
          <t>STOCKHOLMS LÄN</t>
        </is>
      </c>
      <c r="E1092" t="inlineStr">
        <is>
          <t>NORRTÄLJE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13947-2023</t>
        </is>
      </c>
      <c r="B1093" s="1" t="n">
        <v>45008</v>
      </c>
      <c r="C1093" s="1" t="n">
        <v>45588</v>
      </c>
      <c r="D1093" t="inlineStr">
        <is>
          <t>STOCKHOLMS LÄN</t>
        </is>
      </c>
      <c r="E1093" t="inlineStr">
        <is>
          <t>NORRTÄLJE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13977-2023</t>
        </is>
      </c>
      <c r="B1094" s="1" t="n">
        <v>45008</v>
      </c>
      <c r="C1094" s="1" t="n">
        <v>45588</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14135-2023</t>
        </is>
      </c>
      <c r="B1095" s="1" t="n">
        <v>45009</v>
      </c>
      <c r="C1095" s="1" t="n">
        <v>45588</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v>
      </c>
      <c r="C1096" s="1" t="n">
        <v>45588</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15256-2023</t>
        </is>
      </c>
      <c r="B1097" s="1" t="n">
        <v>45019</v>
      </c>
      <c r="C1097" s="1" t="n">
        <v>45588</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15447-2023</t>
        </is>
      </c>
      <c r="B1098" s="1" t="n">
        <v>45020</v>
      </c>
      <c r="C1098" s="1" t="n">
        <v>45588</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15459-2023</t>
        </is>
      </c>
      <c r="B1099" s="1" t="n">
        <v>45020</v>
      </c>
      <c r="C1099" s="1" t="n">
        <v>45588</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15655-2023</t>
        </is>
      </c>
      <c r="B1100" s="1" t="n">
        <v>45021</v>
      </c>
      <c r="C1100" s="1" t="n">
        <v>45588</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15905-2023</t>
        </is>
      </c>
      <c r="B1101" s="1" t="n">
        <v>45022</v>
      </c>
      <c r="C1101" s="1" t="n">
        <v>45588</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15915-2023</t>
        </is>
      </c>
      <c r="B1102" s="1" t="n">
        <v>45022</v>
      </c>
      <c r="C1102" s="1" t="n">
        <v>45588</v>
      </c>
      <c r="D1102" t="inlineStr">
        <is>
          <t>STOCKHOLMS LÄN</t>
        </is>
      </c>
      <c r="E1102" t="inlineStr">
        <is>
          <t>NORRTÄLJE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15956-2023</t>
        </is>
      </c>
      <c r="B1103" s="1" t="n">
        <v>45022</v>
      </c>
      <c r="C1103" s="1" t="n">
        <v>45588</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15954-2023</t>
        </is>
      </c>
      <c r="B1104" s="1" t="n">
        <v>45022</v>
      </c>
      <c r="C1104" s="1" t="n">
        <v>45588</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16006-2023</t>
        </is>
      </c>
      <c r="B1105" s="1" t="n">
        <v>45025</v>
      </c>
      <c r="C1105" s="1" t="n">
        <v>45588</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16980-2023</t>
        </is>
      </c>
      <c r="B1106" s="1" t="n">
        <v>45033</v>
      </c>
      <c r="C1106" s="1" t="n">
        <v>45588</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16977-2023</t>
        </is>
      </c>
      <c r="B1107" s="1" t="n">
        <v>45033</v>
      </c>
      <c r="C1107" s="1" t="n">
        <v>45588</v>
      </c>
      <c r="D1107" t="inlineStr">
        <is>
          <t>STOCKHOLMS LÄN</t>
        </is>
      </c>
      <c r="E1107" t="inlineStr">
        <is>
          <t>NORRTÄLJE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17140-2023</t>
        </is>
      </c>
      <c r="B1108" s="1" t="n">
        <v>45034</v>
      </c>
      <c r="C1108" s="1" t="n">
        <v>45588</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17133-2023</t>
        </is>
      </c>
      <c r="B1109" s="1" t="n">
        <v>45034</v>
      </c>
      <c r="C1109" s="1" t="n">
        <v>45588</v>
      </c>
      <c r="D1109" t="inlineStr">
        <is>
          <t>STOCKHOLMS LÄN</t>
        </is>
      </c>
      <c r="E1109" t="inlineStr">
        <is>
          <t>NORRTÄLJE</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17919-2023</t>
        </is>
      </c>
      <c r="B1110" s="1" t="n">
        <v>45040</v>
      </c>
      <c r="C1110" s="1" t="n">
        <v>45588</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17939-2023</t>
        </is>
      </c>
      <c r="B1111" s="1" t="n">
        <v>45040</v>
      </c>
      <c r="C1111" s="1" t="n">
        <v>45588</v>
      </c>
      <c r="D1111" t="inlineStr">
        <is>
          <t>STOCKHOLMS LÄN</t>
        </is>
      </c>
      <c r="E1111" t="inlineStr">
        <is>
          <t>NORRTÄLJE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17930-2023</t>
        </is>
      </c>
      <c r="B1112" s="1" t="n">
        <v>45040</v>
      </c>
      <c r="C1112" s="1" t="n">
        <v>45588</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17984-2023</t>
        </is>
      </c>
      <c r="B1113" s="1" t="n">
        <v>45040</v>
      </c>
      <c r="C1113" s="1" t="n">
        <v>45588</v>
      </c>
      <c r="D1113" t="inlineStr">
        <is>
          <t>STOCKHOLMS LÄN</t>
        </is>
      </c>
      <c r="E1113" t="inlineStr">
        <is>
          <t>NORRTÄLJE</t>
        </is>
      </c>
      <c r="F1113" t="inlineStr">
        <is>
          <t>Holmen skog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18023-2023</t>
        </is>
      </c>
      <c r="B1114" s="1" t="n">
        <v>45040</v>
      </c>
      <c r="C1114" s="1" t="n">
        <v>45588</v>
      </c>
      <c r="D1114" t="inlineStr">
        <is>
          <t>STOCKHOLMS LÄN</t>
        </is>
      </c>
      <c r="E1114" t="inlineStr">
        <is>
          <t>NORRTÄLJE</t>
        </is>
      </c>
      <c r="F1114" t="inlineStr">
        <is>
          <t>Sveaskog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18541-2023</t>
        </is>
      </c>
      <c r="B1115" s="1" t="n">
        <v>45042</v>
      </c>
      <c r="C1115" s="1" t="n">
        <v>45588</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18540-2023</t>
        </is>
      </c>
      <c r="B1116" s="1" t="n">
        <v>45042</v>
      </c>
      <c r="C1116" s="1" t="n">
        <v>45588</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18895-2023</t>
        </is>
      </c>
      <c r="B1117" s="1" t="n">
        <v>45044</v>
      </c>
      <c r="C1117" s="1" t="n">
        <v>45588</v>
      </c>
      <c r="D1117" t="inlineStr">
        <is>
          <t>STOCKHOLMS LÄN</t>
        </is>
      </c>
      <c r="E1117" t="inlineStr">
        <is>
          <t>NORRTÄLJE</t>
        </is>
      </c>
      <c r="F1117" t="inlineStr">
        <is>
          <t>Kommuner</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19074-2023</t>
        </is>
      </c>
      <c r="B1118" s="1" t="n">
        <v>45048</v>
      </c>
      <c r="C1118" s="1" t="n">
        <v>45588</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19058-2023</t>
        </is>
      </c>
      <c r="B1119" s="1" t="n">
        <v>45048</v>
      </c>
      <c r="C1119" s="1" t="n">
        <v>45588</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19702-2023</t>
        </is>
      </c>
      <c r="B1120" s="1" t="n">
        <v>45051</v>
      </c>
      <c r="C1120" s="1" t="n">
        <v>45588</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19706-2023</t>
        </is>
      </c>
      <c r="B1121" s="1" t="n">
        <v>45051</v>
      </c>
      <c r="C1121" s="1" t="n">
        <v>45588</v>
      </c>
      <c r="D1121" t="inlineStr">
        <is>
          <t>STOCKHOLMS LÄN</t>
        </is>
      </c>
      <c r="E1121" t="inlineStr">
        <is>
          <t>NORRTÄLJE</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19719-2023</t>
        </is>
      </c>
      <c r="B1122" s="1" t="n">
        <v>45051</v>
      </c>
      <c r="C1122" s="1" t="n">
        <v>45588</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19951-2023</t>
        </is>
      </c>
      <c r="B1123" s="1" t="n">
        <v>45054</v>
      </c>
      <c r="C1123" s="1" t="n">
        <v>45588</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19971-2023</t>
        </is>
      </c>
      <c r="B1124" s="1" t="n">
        <v>45054</v>
      </c>
      <c r="C1124" s="1" t="n">
        <v>45588</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19994-2023</t>
        </is>
      </c>
      <c r="B1125" s="1" t="n">
        <v>45054</v>
      </c>
      <c r="C1125" s="1" t="n">
        <v>45588</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19952-2023</t>
        </is>
      </c>
      <c r="B1126" s="1" t="n">
        <v>45054</v>
      </c>
      <c r="C1126" s="1" t="n">
        <v>45588</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20004-2023</t>
        </is>
      </c>
      <c r="B1127" s="1" t="n">
        <v>45054</v>
      </c>
      <c r="C1127" s="1" t="n">
        <v>45588</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20015-2023</t>
        </is>
      </c>
      <c r="B1128" s="1" t="n">
        <v>45054</v>
      </c>
      <c r="C1128" s="1" t="n">
        <v>45588</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20144-2023</t>
        </is>
      </c>
      <c r="B1129" s="1" t="n">
        <v>45055</v>
      </c>
      <c r="C1129" s="1" t="n">
        <v>45588</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20304-2023</t>
        </is>
      </c>
      <c r="B1130" s="1" t="n">
        <v>45056</v>
      </c>
      <c r="C1130" s="1" t="n">
        <v>45588</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20535-2023</t>
        </is>
      </c>
      <c r="B1131" s="1" t="n">
        <v>45057</v>
      </c>
      <c r="C1131" s="1" t="n">
        <v>45588</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20852-2023</t>
        </is>
      </c>
      <c r="B1132" s="1" t="n">
        <v>45058</v>
      </c>
      <c r="C1132" s="1" t="n">
        <v>45588</v>
      </c>
      <c r="D1132" t="inlineStr">
        <is>
          <t>STOCKHOLMS LÄN</t>
        </is>
      </c>
      <c r="E1132" t="inlineStr">
        <is>
          <t>NORRTÄLJE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21237-2023</t>
        </is>
      </c>
      <c r="B1133" s="1" t="n">
        <v>45062</v>
      </c>
      <c r="C1133" s="1" t="n">
        <v>45588</v>
      </c>
      <c r="D1133" t="inlineStr">
        <is>
          <t>STOCKHOLMS LÄN</t>
        </is>
      </c>
      <c r="E1133" t="inlineStr">
        <is>
          <t>NORRTÄLJE</t>
        </is>
      </c>
      <c r="F1133" t="inlineStr">
        <is>
          <t>Övriga Aktiebolag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21386-2023</t>
        </is>
      </c>
      <c r="B1134" s="1" t="n">
        <v>45063</v>
      </c>
      <c r="C1134" s="1" t="n">
        <v>45588</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21435-2023</t>
        </is>
      </c>
      <c r="B1135" s="1" t="n">
        <v>45063</v>
      </c>
      <c r="C1135" s="1" t="n">
        <v>45588</v>
      </c>
      <c r="D1135" t="inlineStr">
        <is>
          <t>STOCKHOLMS LÄN</t>
        </is>
      </c>
      <c r="E1135" t="inlineStr">
        <is>
          <t>NORRTÄLJE</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21732-2023</t>
        </is>
      </c>
      <c r="B1136" s="1" t="n">
        <v>45063</v>
      </c>
      <c r="C1136" s="1" t="n">
        <v>45588</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21733-2023</t>
        </is>
      </c>
      <c r="B1137" s="1" t="n">
        <v>45063</v>
      </c>
      <c r="C1137" s="1" t="n">
        <v>45588</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21731-2023</t>
        </is>
      </c>
      <c r="B1138" s="1" t="n">
        <v>45063</v>
      </c>
      <c r="C1138" s="1" t="n">
        <v>45588</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21718-2023</t>
        </is>
      </c>
      <c r="B1139" s="1" t="n">
        <v>45065</v>
      </c>
      <c r="C1139" s="1" t="n">
        <v>45588</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21719-2023</t>
        </is>
      </c>
      <c r="B1140" s="1" t="n">
        <v>45065</v>
      </c>
      <c r="C1140" s="1" t="n">
        <v>45588</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21745-2023</t>
        </is>
      </c>
      <c r="B1141" s="1" t="n">
        <v>45065</v>
      </c>
      <c r="C1141" s="1" t="n">
        <v>45588</v>
      </c>
      <c r="D1141" t="inlineStr">
        <is>
          <t>STOCKHOLMS LÄN</t>
        </is>
      </c>
      <c r="E1141" t="inlineStr">
        <is>
          <t>NORRTÄLJE</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21720-2023</t>
        </is>
      </c>
      <c r="B1142" s="1" t="n">
        <v>45065</v>
      </c>
      <c r="C1142" s="1" t="n">
        <v>45588</v>
      </c>
      <c r="D1142" t="inlineStr">
        <is>
          <t>STOCKHOLMS LÄN</t>
        </is>
      </c>
      <c r="E1142" t="inlineStr">
        <is>
          <t>NORRTÄLJE</t>
        </is>
      </c>
      <c r="G1142" t="n">
        <v>13.6</v>
      </c>
      <c r="H1142" t="n">
        <v>0</v>
      </c>
      <c r="I1142" t="n">
        <v>0</v>
      </c>
      <c r="J1142" t="n">
        <v>0</v>
      </c>
      <c r="K1142" t="n">
        <v>0</v>
      </c>
      <c r="L1142" t="n">
        <v>0</v>
      </c>
      <c r="M1142" t="n">
        <v>0</v>
      </c>
      <c r="N1142" t="n">
        <v>0</v>
      </c>
      <c r="O1142" t="n">
        <v>0</v>
      </c>
      <c r="P1142" t="n">
        <v>0</v>
      </c>
      <c r="Q1142" t="n">
        <v>0</v>
      </c>
      <c r="R1142" s="2" t="inlineStr"/>
    </row>
    <row r="1143" ht="15" customHeight="1">
      <c r="A1143" t="inlineStr">
        <is>
          <t>A 21716-2023</t>
        </is>
      </c>
      <c r="B1143" s="1" t="n">
        <v>45065</v>
      </c>
      <c r="C1143" s="1" t="n">
        <v>45588</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21894-2023</t>
        </is>
      </c>
      <c r="B1144" s="1" t="n">
        <v>45068</v>
      </c>
      <c r="C1144" s="1" t="n">
        <v>45588</v>
      </c>
      <c r="D1144" t="inlineStr">
        <is>
          <t>STOCKHOLMS LÄN</t>
        </is>
      </c>
      <c r="E1144" t="inlineStr">
        <is>
          <t>NORRTÄLJE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21832-2023</t>
        </is>
      </c>
      <c r="B1145" s="1" t="n">
        <v>45068</v>
      </c>
      <c r="C1145" s="1" t="n">
        <v>45588</v>
      </c>
      <c r="D1145" t="inlineStr">
        <is>
          <t>STOCKHOLMS LÄN</t>
        </is>
      </c>
      <c r="E1145" t="inlineStr">
        <is>
          <t>NORRTÄLJE</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21825-2023</t>
        </is>
      </c>
      <c r="B1146" s="1" t="n">
        <v>45068</v>
      </c>
      <c r="C1146" s="1" t="n">
        <v>45588</v>
      </c>
      <c r="D1146" t="inlineStr">
        <is>
          <t>STOCKHOLMS LÄN</t>
        </is>
      </c>
      <c r="E1146" t="inlineStr">
        <is>
          <t>NORRTÄLJE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21897-2023</t>
        </is>
      </c>
      <c r="B1147" s="1" t="n">
        <v>45068</v>
      </c>
      <c r="C1147" s="1" t="n">
        <v>45588</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21993-2023</t>
        </is>
      </c>
      <c r="B1148" s="1" t="n">
        <v>45068</v>
      </c>
      <c r="C1148" s="1" t="n">
        <v>45588</v>
      </c>
      <c r="D1148" t="inlineStr">
        <is>
          <t>STOCKHOLMS LÄN</t>
        </is>
      </c>
      <c r="E1148" t="inlineStr">
        <is>
          <t>NORRTÄLJE</t>
        </is>
      </c>
      <c r="G1148" t="n">
        <v>17.2</v>
      </c>
      <c r="H1148" t="n">
        <v>0</v>
      </c>
      <c r="I1148" t="n">
        <v>0</v>
      </c>
      <c r="J1148" t="n">
        <v>0</v>
      </c>
      <c r="K1148" t="n">
        <v>0</v>
      </c>
      <c r="L1148" t="n">
        <v>0</v>
      </c>
      <c r="M1148" t="n">
        <v>0</v>
      </c>
      <c r="N1148" t="n">
        <v>0</v>
      </c>
      <c r="O1148" t="n">
        <v>0</v>
      </c>
      <c r="P1148" t="n">
        <v>0</v>
      </c>
      <c r="Q1148" t="n">
        <v>0</v>
      </c>
      <c r="R1148" s="2" t="inlineStr"/>
    </row>
    <row r="1149" ht="15" customHeight="1">
      <c r="A1149" t="inlineStr">
        <is>
          <t>A 21961-2023</t>
        </is>
      </c>
      <c r="B1149" s="1" t="n">
        <v>45068</v>
      </c>
      <c r="C1149" s="1" t="n">
        <v>45588</v>
      </c>
      <c r="D1149" t="inlineStr">
        <is>
          <t>STOCKHOLMS LÄN</t>
        </is>
      </c>
      <c r="E1149" t="inlineStr">
        <is>
          <t>NORRTÄLJE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22157-2023</t>
        </is>
      </c>
      <c r="B1150" s="1" t="n">
        <v>45069</v>
      </c>
      <c r="C1150" s="1" t="n">
        <v>45588</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c r="U1150">
        <f>HYPERLINK("https://klasma.github.io/Logging_0188/knärot/A 22157-2023 karta knärot.png", "A 22157-2023")</f>
        <v/>
      </c>
      <c r="V1150">
        <f>HYPERLINK("https://klasma.github.io/Logging_0188/klagomål/A 22157-2023 FSC-klagomål.docx", "A 22157-2023")</f>
        <v/>
      </c>
      <c r="W1150">
        <f>HYPERLINK("https://klasma.github.io/Logging_0188/klagomålsmail/A 22157-2023 FSC-klagomål mail.docx", "A 22157-2023")</f>
        <v/>
      </c>
      <c r="X1150">
        <f>HYPERLINK("https://klasma.github.io/Logging_0188/tillsyn/A 22157-2023 tillsynsbegäran.docx", "A 22157-2023")</f>
        <v/>
      </c>
      <c r="Y1150">
        <f>HYPERLINK("https://klasma.github.io/Logging_0188/tillsynsmail/A 22157-2023 tillsynsbegäran mail.docx", "A 22157-2023")</f>
        <v/>
      </c>
    </row>
    <row r="1151" ht="15" customHeight="1">
      <c r="A1151" t="inlineStr">
        <is>
          <t>A 22175-2023</t>
        </is>
      </c>
      <c r="B1151" s="1" t="n">
        <v>45069</v>
      </c>
      <c r="C1151" s="1" t="n">
        <v>45588</v>
      </c>
      <c r="D1151" t="inlineStr">
        <is>
          <t>STOCKHOLMS LÄN</t>
        </is>
      </c>
      <c r="E1151" t="inlineStr">
        <is>
          <t>NORRTÄLJE</t>
        </is>
      </c>
      <c r="G1151" t="n">
        <v>32.7</v>
      </c>
      <c r="H1151" t="n">
        <v>0</v>
      </c>
      <c r="I1151" t="n">
        <v>0</v>
      </c>
      <c r="J1151" t="n">
        <v>0</v>
      </c>
      <c r="K1151" t="n">
        <v>0</v>
      </c>
      <c r="L1151" t="n">
        <v>0</v>
      </c>
      <c r="M1151" t="n">
        <v>0</v>
      </c>
      <c r="N1151" t="n">
        <v>0</v>
      </c>
      <c r="O1151" t="n">
        <v>0</v>
      </c>
      <c r="P1151" t="n">
        <v>0</v>
      </c>
      <c r="Q1151" t="n">
        <v>0</v>
      </c>
      <c r="R1151" s="2" t="inlineStr"/>
    </row>
    <row r="1152" ht="15" customHeight="1">
      <c r="A1152" t="inlineStr">
        <is>
          <t>A 22249-2023</t>
        </is>
      </c>
      <c r="B1152" s="1" t="n">
        <v>45070</v>
      </c>
      <c r="C1152" s="1" t="n">
        <v>45588</v>
      </c>
      <c r="D1152" t="inlineStr">
        <is>
          <t>STOCKHOLMS LÄN</t>
        </is>
      </c>
      <c r="E1152" t="inlineStr">
        <is>
          <t>NORRTÄLJE</t>
        </is>
      </c>
      <c r="F1152" t="inlineStr">
        <is>
          <t>Övriga Aktiebolag</t>
        </is>
      </c>
      <c r="G1152" t="n">
        <v>17.7</v>
      </c>
      <c r="H1152" t="n">
        <v>0</v>
      </c>
      <c r="I1152" t="n">
        <v>0</v>
      </c>
      <c r="J1152" t="n">
        <v>0</v>
      </c>
      <c r="K1152" t="n">
        <v>0</v>
      </c>
      <c r="L1152" t="n">
        <v>0</v>
      </c>
      <c r="M1152" t="n">
        <v>0</v>
      </c>
      <c r="N1152" t="n">
        <v>0</v>
      </c>
      <c r="O1152" t="n">
        <v>0</v>
      </c>
      <c r="P1152" t="n">
        <v>0</v>
      </c>
      <c r="Q1152" t="n">
        <v>0</v>
      </c>
      <c r="R1152" s="2" t="inlineStr"/>
    </row>
    <row r="1153" ht="15" customHeight="1">
      <c r="A1153" t="inlineStr">
        <is>
          <t>A 22398-2023</t>
        </is>
      </c>
      <c r="B1153" s="1" t="n">
        <v>45070</v>
      </c>
      <c r="C1153" s="1" t="n">
        <v>45588</v>
      </c>
      <c r="D1153" t="inlineStr">
        <is>
          <t>STOCKHOLMS LÄN</t>
        </is>
      </c>
      <c r="E1153" t="inlineStr">
        <is>
          <t>NORRTÄLJE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22376-2023</t>
        </is>
      </c>
      <c r="B1154" s="1" t="n">
        <v>45070</v>
      </c>
      <c r="C1154" s="1" t="n">
        <v>45588</v>
      </c>
      <c r="D1154" t="inlineStr">
        <is>
          <t>STOCKHOLMS LÄN</t>
        </is>
      </c>
      <c r="E1154" t="inlineStr">
        <is>
          <t>NORRTÄLJE</t>
        </is>
      </c>
      <c r="F1154" t="inlineStr">
        <is>
          <t>Kommuner</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22456-2023</t>
        </is>
      </c>
      <c r="B1155" s="1" t="n">
        <v>45070</v>
      </c>
      <c r="C1155" s="1" t="n">
        <v>45588</v>
      </c>
      <c r="D1155" t="inlineStr">
        <is>
          <t>STOCKHOLMS LÄN</t>
        </is>
      </c>
      <c r="E1155" t="inlineStr">
        <is>
          <t>NORRTÄLJE</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22378-2023</t>
        </is>
      </c>
      <c r="B1156" s="1" t="n">
        <v>45070</v>
      </c>
      <c r="C1156" s="1" t="n">
        <v>45588</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22406-2023</t>
        </is>
      </c>
      <c r="B1157" s="1" t="n">
        <v>45070</v>
      </c>
      <c r="C1157" s="1" t="n">
        <v>45588</v>
      </c>
      <c r="D1157" t="inlineStr">
        <is>
          <t>STOCKHOLMS LÄN</t>
        </is>
      </c>
      <c r="E1157" t="inlineStr">
        <is>
          <t>NORRTÄLJE</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22553-2023</t>
        </is>
      </c>
      <c r="B1158" s="1" t="n">
        <v>45071</v>
      </c>
      <c r="C1158" s="1" t="n">
        <v>45588</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22962-2023</t>
        </is>
      </c>
      <c r="B1159" s="1" t="n">
        <v>45072</v>
      </c>
      <c r="C1159" s="1" t="n">
        <v>45588</v>
      </c>
      <c r="D1159" t="inlineStr">
        <is>
          <t>STOCKHOLMS LÄN</t>
        </is>
      </c>
      <c r="E1159" t="inlineStr">
        <is>
          <t>NORRTÄLJE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23056-2023</t>
        </is>
      </c>
      <c r="B1160" s="1" t="n">
        <v>45075</v>
      </c>
      <c r="C1160" s="1" t="n">
        <v>45588</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23060-2023</t>
        </is>
      </c>
      <c r="B1161" s="1" t="n">
        <v>45075</v>
      </c>
      <c r="C1161" s="1" t="n">
        <v>45588</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23070-2023</t>
        </is>
      </c>
      <c r="B1162" s="1" t="n">
        <v>45075</v>
      </c>
      <c r="C1162" s="1" t="n">
        <v>45588</v>
      </c>
      <c r="D1162" t="inlineStr">
        <is>
          <t>STOCKHOLMS LÄN</t>
        </is>
      </c>
      <c r="E1162" t="inlineStr">
        <is>
          <t>NORRTÄLJE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23130-2023</t>
        </is>
      </c>
      <c r="B1163" s="1" t="n">
        <v>45075</v>
      </c>
      <c r="C1163" s="1" t="n">
        <v>45588</v>
      </c>
      <c r="D1163" t="inlineStr">
        <is>
          <t>STOCKHOLMS LÄN</t>
        </is>
      </c>
      <c r="E1163" t="inlineStr">
        <is>
          <t>NORRTÄLJE</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23265-2023</t>
        </is>
      </c>
      <c r="B1164" s="1" t="n">
        <v>45075</v>
      </c>
      <c r="C1164" s="1" t="n">
        <v>45588</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23269-2023</t>
        </is>
      </c>
      <c r="B1165" s="1" t="n">
        <v>45075</v>
      </c>
      <c r="C1165" s="1" t="n">
        <v>45588</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23273-2023</t>
        </is>
      </c>
      <c r="B1166" s="1" t="n">
        <v>45076</v>
      </c>
      <c r="C1166" s="1" t="n">
        <v>45588</v>
      </c>
      <c r="D1166" t="inlineStr">
        <is>
          <t>STOCKHOLMS LÄN</t>
        </is>
      </c>
      <c r="E1166" t="inlineStr">
        <is>
          <t>NORRTÄLJE</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23134-2023</t>
        </is>
      </c>
      <c r="B1167" s="1" t="n">
        <v>45075</v>
      </c>
      <c r="C1167" s="1" t="n">
        <v>45588</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23263-2023</t>
        </is>
      </c>
      <c r="B1168" s="1" t="n">
        <v>45075</v>
      </c>
      <c r="C1168" s="1" t="n">
        <v>45588</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23267-2023</t>
        </is>
      </c>
      <c r="B1169" s="1" t="n">
        <v>45075</v>
      </c>
      <c r="C1169" s="1" t="n">
        <v>45588</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23271-2023</t>
        </is>
      </c>
      <c r="B1170" s="1" t="n">
        <v>45075</v>
      </c>
      <c r="C1170" s="1" t="n">
        <v>45588</v>
      </c>
      <c r="D1170" t="inlineStr">
        <is>
          <t>STOCKHOLMS LÄN</t>
        </is>
      </c>
      <c r="E1170" t="inlineStr">
        <is>
          <t>NORRTÄLJE</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23264-2023</t>
        </is>
      </c>
      <c r="B1171" s="1" t="n">
        <v>45075</v>
      </c>
      <c r="C1171" s="1" t="n">
        <v>45588</v>
      </c>
      <c r="D1171" t="inlineStr">
        <is>
          <t>STOCKHOLMS LÄN</t>
        </is>
      </c>
      <c r="E1171" t="inlineStr">
        <is>
          <t>NORRTÄLJE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23268-2023</t>
        </is>
      </c>
      <c r="B1172" s="1" t="n">
        <v>45075</v>
      </c>
      <c r="C1172" s="1" t="n">
        <v>45588</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23272-2023</t>
        </is>
      </c>
      <c r="B1173" s="1" t="n">
        <v>45075</v>
      </c>
      <c r="C1173" s="1" t="n">
        <v>45588</v>
      </c>
      <c r="D1173" t="inlineStr">
        <is>
          <t>STOCKHOLMS LÄN</t>
        </is>
      </c>
      <c r="E1173" t="inlineStr">
        <is>
          <t>NORRTÄLJE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23262-2023</t>
        </is>
      </c>
      <c r="B1174" s="1" t="n">
        <v>45075</v>
      </c>
      <c r="C1174" s="1" t="n">
        <v>45588</v>
      </c>
      <c r="D1174" t="inlineStr">
        <is>
          <t>STOCKHOLMS LÄN</t>
        </is>
      </c>
      <c r="E1174" t="inlineStr">
        <is>
          <t>NORRTÄLJE</t>
        </is>
      </c>
      <c r="F1174" t="inlineStr">
        <is>
          <t>Kommuner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23266-2023</t>
        </is>
      </c>
      <c r="B1175" s="1" t="n">
        <v>45075</v>
      </c>
      <c r="C1175" s="1" t="n">
        <v>45588</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23270-2023</t>
        </is>
      </c>
      <c r="B1176" s="1" t="n">
        <v>45075</v>
      </c>
      <c r="C1176" s="1" t="n">
        <v>45588</v>
      </c>
      <c r="D1176" t="inlineStr">
        <is>
          <t>STOCKHOLMS LÄN</t>
        </is>
      </c>
      <c r="E1176" t="inlineStr">
        <is>
          <t>NORRTÄLJE</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23274-2023</t>
        </is>
      </c>
      <c r="B1177" s="1" t="n">
        <v>45076</v>
      </c>
      <c r="C1177" s="1" t="n">
        <v>45588</v>
      </c>
      <c r="D1177" t="inlineStr">
        <is>
          <t>STOCKHOLMS LÄN</t>
        </is>
      </c>
      <c r="E1177" t="inlineStr">
        <is>
          <t>NORRTÄLJE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23699-2023</t>
        </is>
      </c>
      <c r="B1178" s="1" t="n">
        <v>45077</v>
      </c>
      <c r="C1178" s="1" t="n">
        <v>45588</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24129-2023</t>
        </is>
      </c>
      <c r="B1179" s="1" t="n">
        <v>45079</v>
      </c>
      <c r="C1179" s="1" t="n">
        <v>45588</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24330-2023</t>
        </is>
      </c>
      <c r="B1180" s="1" t="n">
        <v>45081</v>
      </c>
      <c r="C1180" s="1" t="n">
        <v>45588</v>
      </c>
      <c r="D1180" t="inlineStr">
        <is>
          <t>STOCKHOLMS LÄN</t>
        </is>
      </c>
      <c r="E1180" t="inlineStr">
        <is>
          <t>NORRTÄLJE</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24520-2023</t>
        </is>
      </c>
      <c r="B1181" s="1" t="n">
        <v>45082</v>
      </c>
      <c r="C1181" s="1" t="n">
        <v>45588</v>
      </c>
      <c r="D1181" t="inlineStr">
        <is>
          <t>STOCKHOLMS LÄN</t>
        </is>
      </c>
      <c r="E1181" t="inlineStr">
        <is>
          <t>NORRTÄLJE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24501-2023</t>
        </is>
      </c>
      <c r="B1182" s="1" t="n">
        <v>45082</v>
      </c>
      <c r="C1182" s="1" t="n">
        <v>45588</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24522-2023</t>
        </is>
      </c>
      <c r="B1183" s="1" t="n">
        <v>45082</v>
      </c>
      <c r="C1183" s="1" t="n">
        <v>45588</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24705-2023</t>
        </is>
      </c>
      <c r="B1184" s="1" t="n">
        <v>45084</v>
      </c>
      <c r="C1184" s="1" t="n">
        <v>45588</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24727-2023</t>
        </is>
      </c>
      <c r="B1185" s="1" t="n">
        <v>45084</v>
      </c>
      <c r="C1185" s="1" t="n">
        <v>45588</v>
      </c>
      <c r="D1185" t="inlineStr">
        <is>
          <t>STOCKHOLMS LÄN</t>
        </is>
      </c>
      <c r="E1185" t="inlineStr">
        <is>
          <t>NORRTÄLJE</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24788-2023</t>
        </is>
      </c>
      <c r="B1186" s="1" t="n">
        <v>45084</v>
      </c>
      <c r="C1186" s="1" t="n">
        <v>45588</v>
      </c>
      <c r="D1186" t="inlineStr">
        <is>
          <t>STOCKHOLMS LÄN</t>
        </is>
      </c>
      <c r="E1186" t="inlineStr">
        <is>
          <t>NORRTÄLJE</t>
        </is>
      </c>
      <c r="F1186" t="inlineStr">
        <is>
          <t>Sveaskog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24789-2023</t>
        </is>
      </c>
      <c r="B1187" s="1" t="n">
        <v>45084</v>
      </c>
      <c r="C1187" s="1" t="n">
        <v>45588</v>
      </c>
      <c r="D1187" t="inlineStr">
        <is>
          <t>STOCKHOLMS LÄN</t>
        </is>
      </c>
      <c r="E1187" t="inlineStr">
        <is>
          <t>NORRTÄLJE</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24887-2023</t>
        </is>
      </c>
      <c r="B1188" s="1" t="n">
        <v>45085</v>
      </c>
      <c r="C1188" s="1" t="n">
        <v>45588</v>
      </c>
      <c r="D1188" t="inlineStr">
        <is>
          <t>STOCKHOLMS LÄN</t>
        </is>
      </c>
      <c r="E1188" t="inlineStr">
        <is>
          <t>NORRTÄLJE</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24933-2023</t>
        </is>
      </c>
      <c r="B1189" s="1" t="n">
        <v>45085</v>
      </c>
      <c r="C1189" s="1" t="n">
        <v>45588</v>
      </c>
      <c r="D1189" t="inlineStr">
        <is>
          <t>STOCKHOLMS LÄN</t>
        </is>
      </c>
      <c r="E1189" t="inlineStr">
        <is>
          <t>NORRTÄLJE</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25174-2023</t>
        </is>
      </c>
      <c r="B1190" s="1" t="n">
        <v>45086</v>
      </c>
      <c r="C1190" s="1" t="n">
        <v>45588</v>
      </c>
      <c r="D1190" t="inlineStr">
        <is>
          <t>STOCKHOLMS LÄN</t>
        </is>
      </c>
      <c r="E1190" t="inlineStr">
        <is>
          <t>NORRTÄLJE</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25094-2023</t>
        </is>
      </c>
      <c r="B1191" s="1" t="n">
        <v>45086</v>
      </c>
      <c r="C1191" s="1" t="n">
        <v>45588</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25257-2023</t>
        </is>
      </c>
      <c r="B1192" s="1" t="n">
        <v>45086</v>
      </c>
      <c r="C1192" s="1" t="n">
        <v>45588</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25614-2023</t>
        </is>
      </c>
      <c r="B1193" s="1" t="n">
        <v>45089</v>
      </c>
      <c r="C1193" s="1" t="n">
        <v>45588</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25625-2023</t>
        </is>
      </c>
      <c r="B1194" s="1" t="n">
        <v>45089</v>
      </c>
      <c r="C1194" s="1" t="n">
        <v>45588</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25557-2023</t>
        </is>
      </c>
      <c r="B1195" s="1" t="n">
        <v>45089</v>
      </c>
      <c r="C1195" s="1" t="n">
        <v>45588</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25609-2023</t>
        </is>
      </c>
      <c r="B1196" s="1" t="n">
        <v>45089</v>
      </c>
      <c r="C1196" s="1" t="n">
        <v>45588</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25618-2023</t>
        </is>
      </c>
      <c r="B1197" s="1" t="n">
        <v>45089</v>
      </c>
      <c r="C1197" s="1" t="n">
        <v>45588</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25656-2023</t>
        </is>
      </c>
      <c r="B1198" s="1" t="n">
        <v>45089</v>
      </c>
      <c r="C1198" s="1" t="n">
        <v>45588</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25654-2023</t>
        </is>
      </c>
      <c r="B1199" s="1" t="n">
        <v>45089</v>
      </c>
      <c r="C1199" s="1" t="n">
        <v>45588</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25831-2023</t>
        </is>
      </c>
      <c r="B1200" s="1" t="n">
        <v>45090</v>
      </c>
      <c r="C1200" s="1" t="n">
        <v>45588</v>
      </c>
      <c r="D1200" t="inlineStr">
        <is>
          <t>STOCKHOLMS LÄN</t>
        </is>
      </c>
      <c r="E1200" t="inlineStr">
        <is>
          <t>NORRTÄLJE</t>
        </is>
      </c>
      <c r="F1200" t="inlineStr">
        <is>
          <t>Övriga Aktiebolag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25915-2023</t>
        </is>
      </c>
      <c r="B1201" s="1" t="n">
        <v>45090</v>
      </c>
      <c r="C1201" s="1" t="n">
        <v>45588</v>
      </c>
      <c r="D1201" t="inlineStr">
        <is>
          <t>STOCKHOLMS LÄN</t>
        </is>
      </c>
      <c r="E1201" t="inlineStr">
        <is>
          <t>NORRTÄLJE</t>
        </is>
      </c>
      <c r="F1201" t="inlineStr">
        <is>
          <t>Naturvårdsverket</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26065-2023</t>
        </is>
      </c>
      <c r="B1202" s="1" t="n">
        <v>45091</v>
      </c>
      <c r="C1202" s="1" t="n">
        <v>45588</v>
      </c>
      <c r="D1202" t="inlineStr">
        <is>
          <t>STOCKHOLMS LÄN</t>
        </is>
      </c>
      <c r="E1202" t="inlineStr">
        <is>
          <t>NORRTÄLJE</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26315-2023</t>
        </is>
      </c>
      <c r="B1203" s="1" t="n">
        <v>45091</v>
      </c>
      <c r="C1203" s="1" t="n">
        <v>45588</v>
      </c>
      <c r="D1203" t="inlineStr">
        <is>
          <t>STOCKHOLMS LÄN</t>
        </is>
      </c>
      <c r="E1203" t="inlineStr">
        <is>
          <t>NORRTÄLJE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26570-2023</t>
        </is>
      </c>
      <c r="B1204" s="1" t="n">
        <v>45092</v>
      </c>
      <c r="C1204" s="1" t="n">
        <v>45588</v>
      </c>
      <c r="D1204" t="inlineStr">
        <is>
          <t>STOCKHOLMS LÄN</t>
        </is>
      </c>
      <c r="E1204" t="inlineStr">
        <is>
          <t>NORRTÄLJE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26636-2023</t>
        </is>
      </c>
      <c r="B1205" s="1" t="n">
        <v>45092</v>
      </c>
      <c r="C1205" s="1" t="n">
        <v>45588</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26640-2023</t>
        </is>
      </c>
      <c r="B1206" s="1" t="n">
        <v>45092</v>
      </c>
      <c r="C1206" s="1" t="n">
        <v>45588</v>
      </c>
      <c r="D1206" t="inlineStr">
        <is>
          <t>STOCKHOLMS LÄN</t>
        </is>
      </c>
      <c r="E1206" t="inlineStr">
        <is>
          <t>NORRTÄLJE</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26637-2023</t>
        </is>
      </c>
      <c r="B1207" s="1" t="n">
        <v>45092</v>
      </c>
      <c r="C1207" s="1" t="n">
        <v>45588</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26639-2023</t>
        </is>
      </c>
      <c r="B1208" s="1" t="n">
        <v>45092</v>
      </c>
      <c r="C1208" s="1" t="n">
        <v>45588</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27651-2023</t>
        </is>
      </c>
      <c r="B1209" s="1" t="n">
        <v>45097</v>
      </c>
      <c r="C1209" s="1" t="n">
        <v>45588</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28281-2023</t>
        </is>
      </c>
      <c r="B1210" s="1" t="n">
        <v>45099</v>
      </c>
      <c r="C1210" s="1" t="n">
        <v>45588</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28820-2023</t>
        </is>
      </c>
      <c r="B1211" s="1" t="n">
        <v>45104</v>
      </c>
      <c r="C1211" s="1" t="n">
        <v>45588</v>
      </c>
      <c r="D1211" t="inlineStr">
        <is>
          <t>STOCKHOLMS LÄN</t>
        </is>
      </c>
      <c r="E1211" t="inlineStr">
        <is>
          <t>NORRTÄLJE</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28813-2023</t>
        </is>
      </c>
      <c r="B1212" s="1" t="n">
        <v>45104</v>
      </c>
      <c r="C1212" s="1" t="n">
        <v>45588</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29003-2023</t>
        </is>
      </c>
      <c r="B1213" s="1" t="n">
        <v>45104</v>
      </c>
      <c r="C1213" s="1" t="n">
        <v>45588</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28816-2023</t>
        </is>
      </c>
      <c r="B1214" s="1" t="n">
        <v>45104</v>
      </c>
      <c r="C1214" s="1" t="n">
        <v>45588</v>
      </c>
      <c r="D1214" t="inlineStr">
        <is>
          <t>STOCKHOLMS LÄN</t>
        </is>
      </c>
      <c r="E1214" t="inlineStr">
        <is>
          <t>NORRTÄLJE</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28809-2023</t>
        </is>
      </c>
      <c r="B1215" s="1" t="n">
        <v>45104</v>
      </c>
      <c r="C1215" s="1" t="n">
        <v>45588</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29254-2023</t>
        </is>
      </c>
      <c r="B1216" s="1" t="n">
        <v>45105</v>
      </c>
      <c r="C1216" s="1" t="n">
        <v>45588</v>
      </c>
      <c r="D1216" t="inlineStr">
        <is>
          <t>STOCKHOLMS LÄN</t>
        </is>
      </c>
      <c r="E1216" t="inlineStr">
        <is>
          <t>NORRTÄLJE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29433-2023</t>
        </is>
      </c>
      <c r="B1217" s="1" t="n">
        <v>45106</v>
      </c>
      <c r="C1217" s="1" t="n">
        <v>45588</v>
      </c>
      <c r="D1217" t="inlineStr">
        <is>
          <t>STOCKHOLMS LÄN</t>
        </is>
      </c>
      <c r="E1217" t="inlineStr">
        <is>
          <t>NORRTÄLJE</t>
        </is>
      </c>
      <c r="F1217" t="inlineStr">
        <is>
          <t>Övriga Aktiebolag</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29681-2023</t>
        </is>
      </c>
      <c r="B1218" s="1" t="n">
        <v>45107</v>
      </c>
      <c r="C1218" s="1" t="n">
        <v>45588</v>
      </c>
      <c r="D1218" t="inlineStr">
        <is>
          <t>STOCKHOLMS LÄN</t>
        </is>
      </c>
      <c r="E1218" t="inlineStr">
        <is>
          <t>NORRTÄLJE</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29710-2023</t>
        </is>
      </c>
      <c r="B1219" s="1" t="n">
        <v>45107</v>
      </c>
      <c r="C1219" s="1" t="n">
        <v>45588</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29714-2023</t>
        </is>
      </c>
      <c r="B1220" s="1" t="n">
        <v>45107</v>
      </c>
      <c r="C1220" s="1" t="n">
        <v>45588</v>
      </c>
      <c r="D1220" t="inlineStr">
        <is>
          <t>STOCKHOLMS LÄN</t>
        </is>
      </c>
      <c r="E1220" t="inlineStr">
        <is>
          <t>NORRTÄLJE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30116-2023</t>
        </is>
      </c>
      <c r="B1221" s="1" t="n">
        <v>45110</v>
      </c>
      <c r="C1221" s="1" t="n">
        <v>45588</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30281-2023</t>
        </is>
      </c>
      <c r="B1222" s="1" t="n">
        <v>45110</v>
      </c>
      <c r="C1222" s="1" t="n">
        <v>45588</v>
      </c>
      <c r="D1222" t="inlineStr">
        <is>
          <t>STOCKHOLMS LÄN</t>
        </is>
      </c>
      <c r="E1222" t="inlineStr">
        <is>
          <t>NORRTÄLJE</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30508-2023</t>
        </is>
      </c>
      <c r="B1223" s="1" t="n">
        <v>45111</v>
      </c>
      <c r="C1223" s="1" t="n">
        <v>45588</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30496-2023</t>
        </is>
      </c>
      <c r="B1224" s="1" t="n">
        <v>45111</v>
      </c>
      <c r="C1224" s="1" t="n">
        <v>45588</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30516-2023</t>
        </is>
      </c>
      <c r="B1225" s="1" t="n">
        <v>45111</v>
      </c>
      <c r="C1225" s="1" t="n">
        <v>45588</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30525-2023</t>
        </is>
      </c>
      <c r="B1226" s="1" t="n">
        <v>45111</v>
      </c>
      <c r="C1226" s="1" t="n">
        <v>45588</v>
      </c>
      <c r="D1226" t="inlineStr">
        <is>
          <t>STOCKHOLMS LÄN</t>
        </is>
      </c>
      <c r="E1226" t="inlineStr">
        <is>
          <t>NORRTÄLJE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30424-2023</t>
        </is>
      </c>
      <c r="B1227" s="1" t="n">
        <v>45111</v>
      </c>
      <c r="C1227" s="1" t="n">
        <v>45588</v>
      </c>
      <c r="D1227" t="inlineStr">
        <is>
          <t>STOCKHOLMS LÄN</t>
        </is>
      </c>
      <c r="E1227" t="inlineStr">
        <is>
          <t>NORRTÄLJE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30425-2023</t>
        </is>
      </c>
      <c r="B1228" s="1" t="n">
        <v>45111</v>
      </c>
      <c r="C1228" s="1" t="n">
        <v>45588</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30731-2023</t>
        </is>
      </c>
      <c r="B1229" s="1" t="n">
        <v>45112</v>
      </c>
      <c r="C1229" s="1" t="n">
        <v>45588</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30663-2023</t>
        </is>
      </c>
      <c r="B1230" s="1" t="n">
        <v>45112</v>
      </c>
      <c r="C1230" s="1" t="n">
        <v>45588</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30780-2023</t>
        </is>
      </c>
      <c r="B1231" s="1" t="n">
        <v>45112</v>
      </c>
      <c r="C1231" s="1" t="n">
        <v>45588</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30773-2023</t>
        </is>
      </c>
      <c r="B1232" s="1" t="n">
        <v>45112</v>
      </c>
      <c r="C1232" s="1" t="n">
        <v>45588</v>
      </c>
      <c r="D1232" t="inlineStr">
        <is>
          <t>STOCKHOLMS LÄN</t>
        </is>
      </c>
      <c r="E1232" t="inlineStr">
        <is>
          <t>NORRTÄLJE</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30924-2023</t>
        </is>
      </c>
      <c r="B1233" s="1" t="n">
        <v>45113</v>
      </c>
      <c r="C1233" s="1" t="n">
        <v>45588</v>
      </c>
      <c r="D1233" t="inlineStr">
        <is>
          <t>STOCKHOLMS LÄN</t>
        </is>
      </c>
      <c r="E1233" t="inlineStr">
        <is>
          <t>NORRTÄLJE</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30923-2023</t>
        </is>
      </c>
      <c r="B1234" s="1" t="n">
        <v>45113</v>
      </c>
      <c r="C1234" s="1" t="n">
        <v>45588</v>
      </c>
      <c r="D1234" t="inlineStr">
        <is>
          <t>STOCKHOLMS LÄN</t>
        </is>
      </c>
      <c r="E1234" t="inlineStr">
        <is>
          <t>NORRTÄLJE</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31140-2023</t>
        </is>
      </c>
      <c r="B1235" s="1" t="n">
        <v>45113</v>
      </c>
      <c r="C1235" s="1" t="n">
        <v>45588</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30921-2023</t>
        </is>
      </c>
      <c r="B1236" s="1" t="n">
        <v>45113</v>
      </c>
      <c r="C1236" s="1" t="n">
        <v>45588</v>
      </c>
      <c r="D1236" t="inlineStr">
        <is>
          <t>STOCKHOLMS LÄN</t>
        </is>
      </c>
      <c r="E1236" t="inlineStr">
        <is>
          <t>NORRTÄLJE</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31149-2023</t>
        </is>
      </c>
      <c r="B1237" s="1" t="n">
        <v>45113</v>
      </c>
      <c r="C1237" s="1" t="n">
        <v>45588</v>
      </c>
      <c r="D1237" t="inlineStr">
        <is>
          <t>STOCKHOLMS LÄN</t>
        </is>
      </c>
      <c r="E1237" t="inlineStr">
        <is>
          <t>NORRTÄLJE</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31153-2023</t>
        </is>
      </c>
      <c r="B1238" s="1" t="n">
        <v>45113</v>
      </c>
      <c r="C1238" s="1" t="n">
        <v>45588</v>
      </c>
      <c r="D1238" t="inlineStr">
        <is>
          <t>STOCKHOLMS LÄN</t>
        </is>
      </c>
      <c r="E1238" t="inlineStr">
        <is>
          <t>NORRTÄLJE</t>
        </is>
      </c>
      <c r="G1238" t="n">
        <v>17.5</v>
      </c>
      <c r="H1238" t="n">
        <v>0</v>
      </c>
      <c r="I1238" t="n">
        <v>0</v>
      </c>
      <c r="J1238" t="n">
        <v>0</v>
      </c>
      <c r="K1238" t="n">
        <v>0</v>
      </c>
      <c r="L1238" t="n">
        <v>0</v>
      </c>
      <c r="M1238" t="n">
        <v>0</v>
      </c>
      <c r="N1238" t="n">
        <v>0</v>
      </c>
      <c r="O1238" t="n">
        <v>0</v>
      </c>
      <c r="P1238" t="n">
        <v>0</v>
      </c>
      <c r="Q1238" t="n">
        <v>0</v>
      </c>
      <c r="R1238" s="2" t="inlineStr"/>
    </row>
    <row r="1239" ht="15" customHeight="1">
      <c r="A1239" t="inlineStr">
        <is>
          <t>A 31827-2023</t>
        </is>
      </c>
      <c r="B1239" s="1" t="n">
        <v>45118</v>
      </c>
      <c r="C1239" s="1" t="n">
        <v>45588</v>
      </c>
      <c r="D1239" t="inlineStr">
        <is>
          <t>STOCKHOLMS LÄN</t>
        </is>
      </c>
      <c r="E1239" t="inlineStr">
        <is>
          <t>NORRTÄLJE</t>
        </is>
      </c>
      <c r="F1239" t="inlineStr">
        <is>
          <t>Kyrkan</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31832-2023</t>
        </is>
      </c>
      <c r="B1240" s="1" t="n">
        <v>45118</v>
      </c>
      <c r="C1240" s="1" t="n">
        <v>45588</v>
      </c>
      <c r="D1240" t="inlineStr">
        <is>
          <t>STOCKHOLMS LÄN</t>
        </is>
      </c>
      <c r="E1240" t="inlineStr">
        <is>
          <t>NORRTÄLJE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32071-2023</t>
        </is>
      </c>
      <c r="B1241" s="1" t="n">
        <v>45119</v>
      </c>
      <c r="C1241" s="1" t="n">
        <v>45588</v>
      </c>
      <c r="D1241" t="inlineStr">
        <is>
          <t>STOCKHOLMS LÄN</t>
        </is>
      </c>
      <c r="E1241" t="inlineStr">
        <is>
          <t>NORRTÄLJE</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32621-2023</t>
        </is>
      </c>
      <c r="B1242" s="1" t="n">
        <v>45121</v>
      </c>
      <c r="C1242" s="1" t="n">
        <v>45588</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32595-2023</t>
        </is>
      </c>
      <c r="B1243" s="1" t="n">
        <v>45121</v>
      </c>
      <c r="C1243" s="1" t="n">
        <v>45588</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32948-2023</t>
        </is>
      </c>
      <c r="B1244" s="1" t="n">
        <v>45125</v>
      </c>
      <c r="C1244" s="1" t="n">
        <v>45588</v>
      </c>
      <c r="D1244" t="inlineStr">
        <is>
          <t>STOCKHOLMS LÄN</t>
        </is>
      </c>
      <c r="E1244" t="inlineStr">
        <is>
          <t>NORRTÄLJE</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33025-2023</t>
        </is>
      </c>
      <c r="B1245" s="1" t="n">
        <v>45125</v>
      </c>
      <c r="C1245" s="1" t="n">
        <v>45588</v>
      </c>
      <c r="D1245" t="inlineStr">
        <is>
          <t>STOCKHOLMS LÄN</t>
        </is>
      </c>
      <c r="E1245" t="inlineStr">
        <is>
          <t>NORRTÄLJE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33130-2023</t>
        </is>
      </c>
      <c r="B1246" s="1" t="n">
        <v>45126</v>
      </c>
      <c r="C1246" s="1" t="n">
        <v>45588</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33295-2023</t>
        </is>
      </c>
      <c r="B1247" s="1" t="n">
        <v>45127</v>
      </c>
      <c r="C1247" s="1" t="n">
        <v>45588</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33270-2023</t>
        </is>
      </c>
      <c r="B1248" s="1" t="n">
        <v>45127</v>
      </c>
      <c r="C1248" s="1" t="n">
        <v>45588</v>
      </c>
      <c r="D1248" t="inlineStr">
        <is>
          <t>STOCKHOLMS LÄN</t>
        </is>
      </c>
      <c r="E1248" t="inlineStr">
        <is>
          <t>NORRTÄLJE</t>
        </is>
      </c>
      <c r="F1248" t="inlineStr">
        <is>
          <t>Holmen skog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33226-2023</t>
        </is>
      </c>
      <c r="B1249" s="1" t="n">
        <v>45127</v>
      </c>
      <c r="C1249" s="1" t="n">
        <v>45588</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33243-2023</t>
        </is>
      </c>
      <c r="B1250" s="1" t="n">
        <v>45127</v>
      </c>
      <c r="C1250" s="1" t="n">
        <v>45588</v>
      </c>
      <c r="D1250" t="inlineStr">
        <is>
          <t>STOCKHOLMS LÄN</t>
        </is>
      </c>
      <c r="E1250" t="inlineStr">
        <is>
          <t>NORRTÄLJE</t>
        </is>
      </c>
      <c r="F1250" t="inlineStr">
        <is>
          <t>Holmen skog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33291-2023</t>
        </is>
      </c>
      <c r="B1251" s="1" t="n">
        <v>45127</v>
      </c>
      <c r="C1251" s="1" t="n">
        <v>45588</v>
      </c>
      <c r="D1251" t="inlineStr">
        <is>
          <t>STOCKHOLMS LÄN</t>
        </is>
      </c>
      <c r="E1251" t="inlineStr">
        <is>
          <t>NORRTÄLJE</t>
        </is>
      </c>
      <c r="F1251" t="inlineStr">
        <is>
          <t>Holmen skog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33353-2023</t>
        </is>
      </c>
      <c r="B1252" s="1" t="n">
        <v>45128</v>
      </c>
      <c r="C1252" s="1" t="n">
        <v>45588</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33569-2023</t>
        </is>
      </c>
      <c r="B1253" s="1" t="n">
        <v>45131</v>
      </c>
      <c r="C1253" s="1" t="n">
        <v>45588</v>
      </c>
      <c r="D1253" t="inlineStr">
        <is>
          <t>STOCKHOLMS LÄN</t>
        </is>
      </c>
      <c r="E1253" t="inlineStr">
        <is>
          <t>NORRTÄLJE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33646-2023</t>
        </is>
      </c>
      <c r="B1254" s="1" t="n">
        <v>45132</v>
      </c>
      <c r="C1254" s="1" t="n">
        <v>45588</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33641-2023</t>
        </is>
      </c>
      <c r="B1255" s="1" t="n">
        <v>45132</v>
      </c>
      <c r="C1255" s="1" t="n">
        <v>45588</v>
      </c>
      <c r="D1255" t="inlineStr">
        <is>
          <t>STOCKHOLMS LÄN</t>
        </is>
      </c>
      <c r="E1255" t="inlineStr">
        <is>
          <t>NORRTÄLJE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34085-2023</t>
        </is>
      </c>
      <c r="B1256" s="1" t="n">
        <v>45135</v>
      </c>
      <c r="C1256" s="1" t="n">
        <v>45588</v>
      </c>
      <c r="D1256" t="inlineStr">
        <is>
          <t>STOCKHOLMS LÄN</t>
        </is>
      </c>
      <c r="E1256" t="inlineStr">
        <is>
          <t>NORRTÄLJE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34084-2023</t>
        </is>
      </c>
      <c r="B1257" s="1" t="n">
        <v>45135</v>
      </c>
      <c r="C1257" s="1" t="n">
        <v>45588</v>
      </c>
      <c r="D1257" t="inlineStr">
        <is>
          <t>STOCKHOLMS LÄN</t>
        </is>
      </c>
      <c r="E1257" t="inlineStr">
        <is>
          <t>NORRTÄLJE</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34132-2023</t>
        </is>
      </c>
      <c r="B1258" s="1" t="n">
        <v>45135</v>
      </c>
      <c r="C1258" s="1" t="n">
        <v>45588</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34391-2023</t>
        </is>
      </c>
      <c r="B1259" s="1" t="n">
        <v>45139</v>
      </c>
      <c r="C1259" s="1" t="n">
        <v>45588</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34461-2023</t>
        </is>
      </c>
      <c r="B1260" s="1" t="n">
        <v>45139</v>
      </c>
      <c r="C1260" s="1" t="n">
        <v>45588</v>
      </c>
      <c r="D1260" t="inlineStr">
        <is>
          <t>STOCKHOLMS LÄN</t>
        </is>
      </c>
      <c r="E1260" t="inlineStr">
        <is>
          <t>NORRTÄLJE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34462-2023</t>
        </is>
      </c>
      <c r="B1261" s="1" t="n">
        <v>45139</v>
      </c>
      <c r="C1261" s="1" t="n">
        <v>45588</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34825-2023</t>
        </is>
      </c>
      <c r="B1262" s="1" t="n">
        <v>45141</v>
      </c>
      <c r="C1262" s="1" t="n">
        <v>45588</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35215-2023</t>
        </is>
      </c>
      <c r="B1263" s="1" t="n">
        <v>45145</v>
      </c>
      <c r="C1263" s="1" t="n">
        <v>45588</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35219-2023</t>
        </is>
      </c>
      <c r="B1264" s="1" t="n">
        <v>45145</v>
      </c>
      <c r="C1264" s="1" t="n">
        <v>45588</v>
      </c>
      <c r="D1264" t="inlineStr">
        <is>
          <t>STOCKHOLMS LÄN</t>
        </is>
      </c>
      <c r="E1264" t="inlineStr">
        <is>
          <t>NORRTÄLJE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35127-2023</t>
        </is>
      </c>
      <c r="B1265" s="1" t="n">
        <v>45145</v>
      </c>
      <c r="C1265" s="1" t="n">
        <v>45588</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35131-2023</t>
        </is>
      </c>
      <c r="B1266" s="1" t="n">
        <v>45145</v>
      </c>
      <c r="C1266" s="1" t="n">
        <v>45588</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35128-2023</t>
        </is>
      </c>
      <c r="B1267" s="1" t="n">
        <v>45145</v>
      </c>
      <c r="C1267" s="1" t="n">
        <v>45588</v>
      </c>
      <c r="D1267" t="inlineStr">
        <is>
          <t>STOCKHOLMS LÄN</t>
        </is>
      </c>
      <c r="E1267" t="inlineStr">
        <is>
          <t>NORRTÄLJE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35210-2023</t>
        </is>
      </c>
      <c r="B1268" s="1" t="n">
        <v>45145</v>
      </c>
      <c r="C1268" s="1" t="n">
        <v>45588</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35438-2023</t>
        </is>
      </c>
      <c r="B1269" s="1" t="n">
        <v>45146</v>
      </c>
      <c r="C1269" s="1" t="n">
        <v>45588</v>
      </c>
      <c r="D1269" t="inlineStr">
        <is>
          <t>STOCKHOLMS LÄN</t>
        </is>
      </c>
      <c r="E1269" t="inlineStr">
        <is>
          <t>NORRTÄLJE</t>
        </is>
      </c>
      <c r="F1269" t="inlineStr">
        <is>
          <t>Kommuner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35698-2023</t>
        </is>
      </c>
      <c r="B1270" s="1" t="n">
        <v>45147</v>
      </c>
      <c r="C1270" s="1" t="n">
        <v>45588</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35702-2023</t>
        </is>
      </c>
      <c r="B1271" s="1" t="n">
        <v>45147</v>
      </c>
      <c r="C1271" s="1" t="n">
        <v>45588</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35691-2023</t>
        </is>
      </c>
      <c r="B1272" s="1" t="n">
        <v>45147</v>
      </c>
      <c r="C1272" s="1" t="n">
        <v>45588</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35695-2023</t>
        </is>
      </c>
      <c r="B1273" s="1" t="n">
        <v>45147</v>
      </c>
      <c r="C1273" s="1" t="n">
        <v>45588</v>
      </c>
      <c r="D1273" t="inlineStr">
        <is>
          <t>STOCKHOLMS LÄN</t>
        </is>
      </c>
      <c r="E1273" t="inlineStr">
        <is>
          <t>NORRTÄLJE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35696-2023</t>
        </is>
      </c>
      <c r="B1274" s="1" t="n">
        <v>45147</v>
      </c>
      <c r="C1274" s="1" t="n">
        <v>45588</v>
      </c>
      <c r="D1274" t="inlineStr">
        <is>
          <t>STOCKHOLMS LÄN</t>
        </is>
      </c>
      <c r="E1274" t="inlineStr">
        <is>
          <t>NORRTÄLJE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35700-2023</t>
        </is>
      </c>
      <c r="B1275" s="1" t="n">
        <v>45147</v>
      </c>
      <c r="C1275" s="1" t="n">
        <v>45588</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35704-2023</t>
        </is>
      </c>
      <c r="B1276" s="1" t="n">
        <v>45147</v>
      </c>
      <c r="C1276" s="1" t="n">
        <v>45588</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35693-2023</t>
        </is>
      </c>
      <c r="B1277" s="1" t="n">
        <v>45147</v>
      </c>
      <c r="C1277" s="1" t="n">
        <v>45588</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35701-2023</t>
        </is>
      </c>
      <c r="B1278" s="1" t="n">
        <v>45147</v>
      </c>
      <c r="C1278" s="1" t="n">
        <v>45588</v>
      </c>
      <c r="D1278" t="inlineStr">
        <is>
          <t>STOCKHOLMS LÄN</t>
        </is>
      </c>
      <c r="E1278" t="inlineStr">
        <is>
          <t>NORRTÄLJE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35823-2023</t>
        </is>
      </c>
      <c r="B1279" s="1" t="n">
        <v>45148</v>
      </c>
      <c r="C1279" s="1" t="n">
        <v>45588</v>
      </c>
      <c r="D1279" t="inlineStr">
        <is>
          <t>STOCKHOLMS LÄN</t>
        </is>
      </c>
      <c r="E1279" t="inlineStr">
        <is>
          <t>NORRTÄLJE</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36253-2023</t>
        </is>
      </c>
      <c r="B1280" s="1" t="n">
        <v>45151</v>
      </c>
      <c r="C1280" s="1" t="n">
        <v>45588</v>
      </c>
      <c r="D1280" t="inlineStr">
        <is>
          <t>STOCKHOLMS LÄN</t>
        </is>
      </c>
      <c r="E1280" t="inlineStr">
        <is>
          <t>NORRTÄLJE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36257-2023</t>
        </is>
      </c>
      <c r="B1281" s="1" t="n">
        <v>45151</v>
      </c>
      <c r="C1281" s="1" t="n">
        <v>45588</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36259-2023</t>
        </is>
      </c>
      <c r="B1282" s="1" t="n">
        <v>45151</v>
      </c>
      <c r="C1282" s="1" t="n">
        <v>45588</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36254-2023</t>
        </is>
      </c>
      <c r="B1283" s="1" t="n">
        <v>45151</v>
      </c>
      <c r="C1283" s="1" t="n">
        <v>45588</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36258-2023</t>
        </is>
      </c>
      <c r="B1284" s="1" t="n">
        <v>45151</v>
      </c>
      <c r="C1284" s="1" t="n">
        <v>45588</v>
      </c>
      <c r="D1284" t="inlineStr">
        <is>
          <t>STOCKHOLMS LÄN</t>
        </is>
      </c>
      <c r="E1284" t="inlineStr">
        <is>
          <t>NORRTÄLJE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36689-2023</t>
        </is>
      </c>
      <c r="B1285" s="1" t="n">
        <v>45152</v>
      </c>
      <c r="C1285" s="1" t="n">
        <v>45588</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36865-2023</t>
        </is>
      </c>
      <c r="B1286" s="1" t="n">
        <v>45154</v>
      </c>
      <c r="C1286" s="1" t="n">
        <v>45588</v>
      </c>
      <c r="D1286" t="inlineStr">
        <is>
          <t>STOCKHOLMS LÄN</t>
        </is>
      </c>
      <c r="E1286" t="inlineStr">
        <is>
          <t>NORRTÄLJE</t>
        </is>
      </c>
      <c r="F1286" t="inlineStr">
        <is>
          <t>Kyrkan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37139-2023</t>
        </is>
      </c>
      <c r="B1287" s="1" t="n">
        <v>45155</v>
      </c>
      <c r="C1287" s="1" t="n">
        <v>45588</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37136-2023</t>
        </is>
      </c>
      <c r="B1288" s="1" t="n">
        <v>45155</v>
      </c>
      <c r="C1288" s="1" t="n">
        <v>45588</v>
      </c>
      <c r="D1288" t="inlineStr">
        <is>
          <t>STOCKHOLMS LÄN</t>
        </is>
      </c>
      <c r="E1288" t="inlineStr">
        <is>
          <t>NORRTÄLJE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37147-2023</t>
        </is>
      </c>
      <c r="B1289" s="1" t="n">
        <v>45155</v>
      </c>
      <c r="C1289" s="1" t="n">
        <v>45588</v>
      </c>
      <c r="D1289" t="inlineStr">
        <is>
          <t>STOCKHOLMS LÄN</t>
        </is>
      </c>
      <c r="E1289" t="inlineStr">
        <is>
          <t>NORRTÄLJE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37670-2023</t>
        </is>
      </c>
      <c r="B1290" s="1" t="n">
        <v>45159</v>
      </c>
      <c r="C1290" s="1" t="n">
        <v>45588</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38049-2023</t>
        </is>
      </c>
      <c r="B1291" s="1" t="n">
        <v>45159</v>
      </c>
      <c r="C1291" s="1" t="n">
        <v>45588</v>
      </c>
      <c r="D1291" t="inlineStr">
        <is>
          <t>STOCKHOLMS LÄN</t>
        </is>
      </c>
      <c r="E1291" t="inlineStr">
        <is>
          <t>NORRTÄLJE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38022-2023</t>
        </is>
      </c>
      <c r="B1292" s="1" t="n">
        <v>45160</v>
      </c>
      <c r="C1292" s="1" t="n">
        <v>45588</v>
      </c>
      <c r="D1292" t="inlineStr">
        <is>
          <t>STOCKHOLMS LÄN</t>
        </is>
      </c>
      <c r="E1292" t="inlineStr">
        <is>
          <t>NORRTÄLJE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38482-2023</t>
        </is>
      </c>
      <c r="B1293" s="1" t="n">
        <v>45162</v>
      </c>
      <c r="C1293" s="1" t="n">
        <v>45588</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38487-2023</t>
        </is>
      </c>
      <c r="B1294" s="1" t="n">
        <v>45162</v>
      </c>
      <c r="C1294" s="1" t="n">
        <v>45588</v>
      </c>
      <c r="D1294" t="inlineStr">
        <is>
          <t>STOCKHOLMS LÄN</t>
        </is>
      </c>
      <c r="E1294" t="inlineStr">
        <is>
          <t>NORRTÄLJE</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38591-2023</t>
        </is>
      </c>
      <c r="B1295" s="1" t="n">
        <v>45162</v>
      </c>
      <c r="C1295" s="1" t="n">
        <v>45588</v>
      </c>
      <c r="D1295" t="inlineStr">
        <is>
          <t>STOCKHOLMS LÄN</t>
        </is>
      </c>
      <c r="E1295" t="inlineStr">
        <is>
          <t>NORRTÄLJE</t>
        </is>
      </c>
      <c r="F1295" t="inlineStr">
        <is>
          <t>Övriga Aktiebolag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39229-2023</t>
        </is>
      </c>
      <c r="B1296" s="1" t="n">
        <v>45166</v>
      </c>
      <c r="C1296" s="1" t="n">
        <v>45588</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39879-2023</t>
        </is>
      </c>
      <c r="B1297" s="1" t="n">
        <v>45168</v>
      </c>
      <c r="C1297" s="1" t="n">
        <v>45588</v>
      </c>
      <c r="D1297" t="inlineStr">
        <is>
          <t>STOCKHOLMS LÄN</t>
        </is>
      </c>
      <c r="E1297" t="inlineStr">
        <is>
          <t>NORRTÄLJE</t>
        </is>
      </c>
      <c r="F1297" t="inlineStr">
        <is>
          <t>Holmen skog AB</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39905-2023</t>
        </is>
      </c>
      <c r="B1298" s="1" t="n">
        <v>45168</v>
      </c>
      <c r="C1298" s="1" t="n">
        <v>45588</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40139-2023</t>
        </is>
      </c>
      <c r="B1299" s="1" t="n">
        <v>45169</v>
      </c>
      <c r="C1299" s="1" t="n">
        <v>45588</v>
      </c>
      <c r="D1299" t="inlineStr">
        <is>
          <t>STOCKHOLMS LÄN</t>
        </is>
      </c>
      <c r="E1299" t="inlineStr">
        <is>
          <t>NORRTÄLJE</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40192-2023</t>
        </is>
      </c>
      <c r="B1300" s="1" t="n">
        <v>45169</v>
      </c>
      <c r="C1300" s="1" t="n">
        <v>45588</v>
      </c>
      <c r="D1300" t="inlineStr">
        <is>
          <t>STOCKHOLMS LÄN</t>
        </is>
      </c>
      <c r="E1300" t="inlineStr">
        <is>
          <t>NORRTÄLJE</t>
        </is>
      </c>
      <c r="F1300" t="inlineStr">
        <is>
          <t>Kyrkan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40161-2023</t>
        </is>
      </c>
      <c r="B1301" s="1" t="n">
        <v>45169</v>
      </c>
      <c r="C1301" s="1" t="n">
        <v>45588</v>
      </c>
      <c r="D1301" t="inlineStr">
        <is>
          <t>STOCKHOLMS LÄN</t>
        </is>
      </c>
      <c r="E1301" t="inlineStr">
        <is>
          <t>NORRTÄLJE</t>
        </is>
      </c>
      <c r="F1301" t="inlineStr">
        <is>
          <t>Kyrkan</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40190-2023</t>
        </is>
      </c>
      <c r="B1302" s="1" t="n">
        <v>45169</v>
      </c>
      <c r="C1302" s="1" t="n">
        <v>45588</v>
      </c>
      <c r="D1302" t="inlineStr">
        <is>
          <t>STOCKHOLMS LÄN</t>
        </is>
      </c>
      <c r="E1302" t="inlineStr">
        <is>
          <t>NORRTÄLJE</t>
        </is>
      </c>
      <c r="F1302" t="inlineStr">
        <is>
          <t>Kyrkan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40379-2023</t>
        </is>
      </c>
      <c r="B1303" s="1" t="n">
        <v>45169</v>
      </c>
      <c r="C1303" s="1" t="n">
        <v>45588</v>
      </c>
      <c r="D1303" t="inlineStr">
        <is>
          <t>STOCKHOLMS LÄN</t>
        </is>
      </c>
      <c r="E1303" t="inlineStr">
        <is>
          <t>NORRTÄLJE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41172-2023</t>
        </is>
      </c>
      <c r="B1304" s="1" t="n">
        <v>45170</v>
      </c>
      <c r="C1304" s="1" t="n">
        <v>45588</v>
      </c>
      <c r="D1304" t="inlineStr">
        <is>
          <t>STOCKHOLMS LÄN</t>
        </is>
      </c>
      <c r="E1304" t="inlineStr">
        <is>
          <t>NORRTÄLJE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40995-2023</t>
        </is>
      </c>
      <c r="B1305" s="1" t="n">
        <v>45173</v>
      </c>
      <c r="C1305" s="1" t="n">
        <v>45588</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41335-2023</t>
        </is>
      </c>
      <c r="B1306" s="1" t="n">
        <v>45174</v>
      </c>
      <c r="C1306" s="1" t="n">
        <v>45588</v>
      </c>
      <c r="D1306" t="inlineStr">
        <is>
          <t>STOCKHOLMS LÄN</t>
        </is>
      </c>
      <c r="E1306" t="inlineStr">
        <is>
          <t>NORRTÄLJE</t>
        </is>
      </c>
      <c r="F1306" t="inlineStr">
        <is>
          <t>Holmen skog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41587-2023</t>
        </is>
      </c>
      <c r="B1307" s="1" t="n">
        <v>45175</v>
      </c>
      <c r="C1307" s="1" t="n">
        <v>45588</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41716-2023</t>
        </is>
      </c>
      <c r="B1308" s="1" t="n">
        <v>45176</v>
      </c>
      <c r="C1308" s="1" t="n">
        <v>45588</v>
      </c>
      <c r="D1308" t="inlineStr">
        <is>
          <t>STOCKHOLMS LÄN</t>
        </is>
      </c>
      <c r="E1308" t="inlineStr">
        <is>
          <t>NORRTÄLJE</t>
        </is>
      </c>
      <c r="F1308" t="inlineStr">
        <is>
          <t>Kyrkan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41715-2023</t>
        </is>
      </c>
      <c r="B1309" s="1" t="n">
        <v>45176</v>
      </c>
      <c r="C1309" s="1" t="n">
        <v>45588</v>
      </c>
      <c r="D1309" t="inlineStr">
        <is>
          <t>STOCKHOLMS LÄN</t>
        </is>
      </c>
      <c r="E1309" t="inlineStr">
        <is>
          <t>NORRTÄLJE</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41880-2023</t>
        </is>
      </c>
      <c r="B1310" s="1" t="n">
        <v>45176</v>
      </c>
      <c r="C1310" s="1" t="n">
        <v>45588</v>
      </c>
      <c r="D1310" t="inlineStr">
        <is>
          <t>STOCKHOLMS LÄN</t>
        </is>
      </c>
      <c r="E1310" t="inlineStr">
        <is>
          <t>NORRTÄLJE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42094-2023</t>
        </is>
      </c>
      <c r="B1311" s="1" t="n">
        <v>45177</v>
      </c>
      <c r="C1311" s="1" t="n">
        <v>45588</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42075-2023</t>
        </is>
      </c>
      <c r="B1312" s="1" t="n">
        <v>45177</v>
      </c>
      <c r="C1312" s="1" t="n">
        <v>45588</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42199-2023</t>
        </is>
      </c>
      <c r="B1313" s="1" t="n">
        <v>45179</v>
      </c>
      <c r="C1313" s="1" t="n">
        <v>45588</v>
      </c>
      <c r="D1313" t="inlineStr">
        <is>
          <t>STOCKHOLMS LÄN</t>
        </is>
      </c>
      <c r="E1313" t="inlineStr">
        <is>
          <t>NORRTÄLJE</t>
        </is>
      </c>
      <c r="F1313" t="inlineStr">
        <is>
          <t>Sveaskog</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42200-2023</t>
        </is>
      </c>
      <c r="B1314" s="1" t="n">
        <v>45179</v>
      </c>
      <c r="C1314" s="1" t="n">
        <v>45588</v>
      </c>
      <c r="D1314" t="inlineStr">
        <is>
          <t>STOCKHOLMS LÄN</t>
        </is>
      </c>
      <c r="E1314" t="inlineStr">
        <is>
          <t>NORRTÄLJE</t>
        </is>
      </c>
      <c r="F1314" t="inlineStr">
        <is>
          <t>Sveaskog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42765-2023</t>
        </is>
      </c>
      <c r="B1315" s="1" t="n">
        <v>45181</v>
      </c>
      <c r="C1315" s="1" t="n">
        <v>45588</v>
      </c>
      <c r="D1315" t="inlineStr">
        <is>
          <t>STOCKHOLMS LÄN</t>
        </is>
      </c>
      <c r="E1315" t="inlineStr">
        <is>
          <t>NORRTÄLJE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42775-2023</t>
        </is>
      </c>
      <c r="B1316" s="1" t="n">
        <v>45181</v>
      </c>
      <c r="C1316" s="1" t="n">
        <v>45588</v>
      </c>
      <c r="D1316" t="inlineStr">
        <is>
          <t>STOCKHOLMS LÄN</t>
        </is>
      </c>
      <c r="E1316" t="inlineStr">
        <is>
          <t>NORRTÄLJE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42948-2023</t>
        </is>
      </c>
      <c r="B1317" s="1" t="n">
        <v>45182</v>
      </c>
      <c r="C1317" s="1" t="n">
        <v>45588</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42977-2023</t>
        </is>
      </c>
      <c r="B1318" s="1" t="n">
        <v>45182</v>
      </c>
      <c r="C1318" s="1" t="n">
        <v>45588</v>
      </c>
      <c r="D1318" t="inlineStr">
        <is>
          <t>STOCKHOLMS LÄN</t>
        </is>
      </c>
      <c r="E1318" t="inlineStr">
        <is>
          <t>NORRTÄLJE</t>
        </is>
      </c>
      <c r="F1318" t="inlineStr">
        <is>
          <t>Sveaskog</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43140-2023</t>
        </is>
      </c>
      <c r="B1319" s="1" t="n">
        <v>45183</v>
      </c>
      <c r="C1319" s="1" t="n">
        <v>45588</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43207-2023</t>
        </is>
      </c>
      <c r="B1320" s="1" t="n">
        <v>45183</v>
      </c>
      <c r="C1320" s="1" t="n">
        <v>45588</v>
      </c>
      <c r="D1320" t="inlineStr">
        <is>
          <t>STOCKHOLMS LÄN</t>
        </is>
      </c>
      <c r="E1320" t="inlineStr">
        <is>
          <t>NORRTÄLJE</t>
        </is>
      </c>
      <c r="F1320" t="inlineStr">
        <is>
          <t>Kyrkan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43150-2023</t>
        </is>
      </c>
      <c r="B1321" s="1" t="n">
        <v>45183</v>
      </c>
      <c r="C1321" s="1" t="n">
        <v>45588</v>
      </c>
      <c r="D1321" t="inlineStr">
        <is>
          <t>STOCKHOLMS LÄN</t>
        </is>
      </c>
      <c r="E1321" t="inlineStr">
        <is>
          <t>NORRTÄLJE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43170-2023</t>
        </is>
      </c>
      <c r="B1322" s="1" t="n">
        <v>45183</v>
      </c>
      <c r="C1322" s="1" t="n">
        <v>45588</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43289-2023</t>
        </is>
      </c>
      <c r="B1323" s="1" t="n">
        <v>45183</v>
      </c>
      <c r="C1323" s="1" t="n">
        <v>45588</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43300-2023</t>
        </is>
      </c>
      <c r="B1324" s="1" t="n">
        <v>45183</v>
      </c>
      <c r="C1324" s="1" t="n">
        <v>45588</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43638-2023</t>
        </is>
      </c>
      <c r="B1325" s="1" t="n">
        <v>45186</v>
      </c>
      <c r="C1325" s="1" t="n">
        <v>45588</v>
      </c>
      <c r="D1325" t="inlineStr">
        <is>
          <t>STOCKHOLMS LÄN</t>
        </is>
      </c>
      <c r="E1325" t="inlineStr">
        <is>
          <t>NORRTÄLJE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43684-2023</t>
        </is>
      </c>
      <c r="B1326" s="1" t="n">
        <v>45187</v>
      </c>
      <c r="C1326" s="1" t="n">
        <v>45588</v>
      </c>
      <c r="D1326" t="inlineStr">
        <is>
          <t>STOCKHOLMS LÄN</t>
        </is>
      </c>
      <c r="E1326" t="inlineStr">
        <is>
          <t>NORRTÄLJE</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43836-2023</t>
        </is>
      </c>
      <c r="B1327" s="1" t="n">
        <v>45187</v>
      </c>
      <c r="C1327" s="1" t="n">
        <v>45588</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43710-2023</t>
        </is>
      </c>
      <c r="B1328" s="1" t="n">
        <v>45187</v>
      </c>
      <c r="C1328" s="1" t="n">
        <v>45588</v>
      </c>
      <c r="D1328" t="inlineStr">
        <is>
          <t>STOCKHOLMS LÄN</t>
        </is>
      </c>
      <c r="E1328" t="inlineStr">
        <is>
          <t>NORRTÄLJE</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44891-2023</t>
        </is>
      </c>
      <c r="B1329" s="1" t="n">
        <v>45187</v>
      </c>
      <c r="C1329" s="1" t="n">
        <v>45588</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44885-2023</t>
        </is>
      </c>
      <c r="B1330" s="1" t="n">
        <v>45187</v>
      </c>
      <c r="C1330" s="1" t="n">
        <v>45588</v>
      </c>
      <c r="D1330" t="inlineStr">
        <is>
          <t>STOCKHOLMS LÄN</t>
        </is>
      </c>
      <c r="E1330" t="inlineStr">
        <is>
          <t>NORRTÄLJE</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44075-2023</t>
        </is>
      </c>
      <c r="B1331" s="1" t="n">
        <v>45188</v>
      </c>
      <c r="C1331" s="1" t="n">
        <v>45588</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44154-2023</t>
        </is>
      </c>
      <c r="B1332" s="1" t="n">
        <v>45188</v>
      </c>
      <c r="C1332" s="1" t="n">
        <v>45588</v>
      </c>
      <c r="D1332" t="inlineStr">
        <is>
          <t>STOCKHOLMS LÄN</t>
        </is>
      </c>
      <c r="E1332" t="inlineStr">
        <is>
          <t>NORRTÄLJE</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44571-2023</t>
        </is>
      </c>
      <c r="B1333" s="1" t="n">
        <v>45189</v>
      </c>
      <c r="C1333" s="1" t="n">
        <v>45588</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44836-2023</t>
        </is>
      </c>
      <c r="B1334" s="1" t="n">
        <v>45190</v>
      </c>
      <c r="C1334" s="1" t="n">
        <v>45588</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45173-2023</t>
        </is>
      </c>
      <c r="B1335" s="1" t="n">
        <v>45191</v>
      </c>
      <c r="C1335" s="1" t="n">
        <v>45588</v>
      </c>
      <c r="D1335" t="inlineStr">
        <is>
          <t>STOCKHOLMS LÄN</t>
        </is>
      </c>
      <c r="E1335" t="inlineStr">
        <is>
          <t>NORRTÄLJE</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45174-2023</t>
        </is>
      </c>
      <c r="B1336" s="1" t="n">
        <v>45191</v>
      </c>
      <c r="C1336" s="1" t="n">
        <v>45588</v>
      </c>
      <c r="D1336" t="inlineStr">
        <is>
          <t>STOCKHOLMS LÄN</t>
        </is>
      </c>
      <c r="E1336" t="inlineStr">
        <is>
          <t>NORRTÄLJE</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46161-2023</t>
        </is>
      </c>
      <c r="B1337" s="1" t="n">
        <v>45196</v>
      </c>
      <c r="C1337" s="1" t="n">
        <v>45588</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46155-2023</t>
        </is>
      </c>
      <c r="B1338" s="1" t="n">
        <v>45196</v>
      </c>
      <c r="C1338" s="1" t="n">
        <v>45588</v>
      </c>
      <c r="D1338" t="inlineStr">
        <is>
          <t>STOCKHOLMS LÄN</t>
        </is>
      </c>
      <c r="E1338" t="inlineStr">
        <is>
          <t>NORRTÄLJE</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46621-2023</t>
        </is>
      </c>
      <c r="B1339" s="1" t="n">
        <v>45198</v>
      </c>
      <c r="C1339" s="1" t="n">
        <v>45588</v>
      </c>
      <c r="D1339" t="inlineStr">
        <is>
          <t>STOCKHOLMS LÄN</t>
        </is>
      </c>
      <c r="E1339" t="inlineStr">
        <is>
          <t>NORRTÄLJE</t>
        </is>
      </c>
      <c r="F1339" t="inlineStr">
        <is>
          <t>Holmen skog AB</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47419-2023</t>
        </is>
      </c>
      <c r="B1340" s="1" t="n">
        <v>45202</v>
      </c>
      <c r="C1340" s="1" t="n">
        <v>45588</v>
      </c>
      <c r="D1340" t="inlineStr">
        <is>
          <t>STOCKHOLMS LÄN</t>
        </is>
      </c>
      <c r="E1340" t="inlineStr">
        <is>
          <t>NORRTÄLJE</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47431-2023</t>
        </is>
      </c>
      <c r="B1341" s="1" t="n">
        <v>45202</v>
      </c>
      <c r="C1341" s="1" t="n">
        <v>45588</v>
      </c>
      <c r="D1341" t="inlineStr">
        <is>
          <t>STOCKHOLMS LÄN</t>
        </is>
      </c>
      <c r="E1341" t="inlineStr">
        <is>
          <t>NORRTÄLJE</t>
        </is>
      </c>
      <c r="F1341" t="inlineStr">
        <is>
          <t>Naturvårdsverket</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47325-2023</t>
        </is>
      </c>
      <c r="B1342" s="1" t="n">
        <v>45202</v>
      </c>
      <c r="C1342" s="1" t="n">
        <v>45588</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47433-2023</t>
        </is>
      </c>
      <c r="B1343" s="1" t="n">
        <v>45202</v>
      </c>
      <c r="C1343" s="1" t="n">
        <v>45588</v>
      </c>
      <c r="D1343" t="inlineStr">
        <is>
          <t>STOCKHOLMS LÄN</t>
        </is>
      </c>
      <c r="E1343" t="inlineStr">
        <is>
          <t>NORRTÄLJE</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47388-2023</t>
        </is>
      </c>
      <c r="B1344" s="1" t="n">
        <v>45202</v>
      </c>
      <c r="C1344" s="1" t="n">
        <v>45588</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47430-2023</t>
        </is>
      </c>
      <c r="B1345" s="1" t="n">
        <v>45202</v>
      </c>
      <c r="C1345" s="1" t="n">
        <v>45588</v>
      </c>
      <c r="D1345" t="inlineStr">
        <is>
          <t>STOCKHOLMS LÄN</t>
        </is>
      </c>
      <c r="E1345" t="inlineStr">
        <is>
          <t>NORRTÄLJE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49775-2023</t>
        </is>
      </c>
      <c r="B1346" s="1" t="n">
        <v>45202</v>
      </c>
      <c r="C1346" s="1" t="n">
        <v>45588</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48578-2023</t>
        </is>
      </c>
      <c r="B1347" s="1" t="n">
        <v>45202</v>
      </c>
      <c r="C1347" s="1" t="n">
        <v>45588</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49774-2023</t>
        </is>
      </c>
      <c r="B1348" s="1" t="n">
        <v>45202</v>
      </c>
      <c r="C1348" s="1" t="n">
        <v>45588</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47672-2023</t>
        </is>
      </c>
      <c r="B1349" s="1" t="n">
        <v>45203</v>
      </c>
      <c r="C1349" s="1" t="n">
        <v>45588</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47694-2023</t>
        </is>
      </c>
      <c r="B1350" s="1" t="n">
        <v>45203</v>
      </c>
      <c r="C1350" s="1" t="n">
        <v>45588</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47708-2023</t>
        </is>
      </c>
      <c r="B1351" s="1" t="n">
        <v>45203</v>
      </c>
      <c r="C1351" s="1" t="n">
        <v>45588</v>
      </c>
      <c r="D1351" t="inlineStr">
        <is>
          <t>STOCKHOLMS LÄN</t>
        </is>
      </c>
      <c r="E1351" t="inlineStr">
        <is>
          <t>NORRTÄLJE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47758-2023</t>
        </is>
      </c>
      <c r="B1352" s="1" t="n">
        <v>45203</v>
      </c>
      <c r="C1352" s="1" t="n">
        <v>45588</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47699-2023</t>
        </is>
      </c>
      <c r="B1353" s="1" t="n">
        <v>45203</v>
      </c>
      <c r="C1353" s="1" t="n">
        <v>45588</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47735-2023</t>
        </is>
      </c>
      <c r="B1354" s="1" t="n">
        <v>45203</v>
      </c>
      <c r="C1354" s="1" t="n">
        <v>45588</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48167-2023</t>
        </is>
      </c>
      <c r="B1355" s="1" t="n">
        <v>45205</v>
      </c>
      <c r="C1355" s="1" t="n">
        <v>45588</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48180-2023</t>
        </is>
      </c>
      <c r="B1356" s="1" t="n">
        <v>45205</v>
      </c>
      <c r="C1356" s="1" t="n">
        <v>45588</v>
      </c>
      <c r="D1356" t="inlineStr">
        <is>
          <t>STOCKHOLMS LÄN</t>
        </is>
      </c>
      <c r="E1356" t="inlineStr">
        <is>
          <t>NORRTÄLJE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48185-2023</t>
        </is>
      </c>
      <c r="B1357" s="1" t="n">
        <v>45205</v>
      </c>
      <c r="C1357" s="1" t="n">
        <v>45588</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48302-2023</t>
        </is>
      </c>
      <c r="B1358" s="1" t="n">
        <v>45205</v>
      </c>
      <c r="C1358" s="1" t="n">
        <v>45588</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48333-2023</t>
        </is>
      </c>
      <c r="B1359" s="1" t="n">
        <v>45205</v>
      </c>
      <c r="C1359" s="1" t="n">
        <v>45588</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48541-2023</t>
        </is>
      </c>
      <c r="B1360" s="1" t="n">
        <v>45208</v>
      </c>
      <c r="C1360" s="1" t="n">
        <v>45588</v>
      </c>
      <c r="D1360" t="inlineStr">
        <is>
          <t>STOCKHOLMS LÄN</t>
        </is>
      </c>
      <c r="E1360" t="inlineStr">
        <is>
          <t>NORRTÄLJE</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48552-2023</t>
        </is>
      </c>
      <c r="B1361" s="1" t="n">
        <v>45208</v>
      </c>
      <c r="C1361" s="1" t="n">
        <v>45588</v>
      </c>
      <c r="D1361" t="inlineStr">
        <is>
          <t>STOCKHOLMS LÄN</t>
        </is>
      </c>
      <c r="E1361" t="inlineStr">
        <is>
          <t>NORRTÄLJE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48587-2023</t>
        </is>
      </c>
      <c r="B1362" s="1" t="n">
        <v>45208</v>
      </c>
      <c r="C1362" s="1" t="n">
        <v>45588</v>
      </c>
      <c r="D1362" t="inlineStr">
        <is>
          <t>STOCKHOLMS LÄN</t>
        </is>
      </c>
      <c r="E1362" t="inlineStr">
        <is>
          <t>NORRTÄLJE</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48633-2023</t>
        </is>
      </c>
      <c r="B1363" s="1" t="n">
        <v>45208</v>
      </c>
      <c r="C1363" s="1" t="n">
        <v>45588</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48641-2023</t>
        </is>
      </c>
      <c r="B1364" s="1" t="n">
        <v>45208</v>
      </c>
      <c r="C1364" s="1" t="n">
        <v>45588</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48686-2023</t>
        </is>
      </c>
      <c r="B1365" s="1" t="n">
        <v>45208</v>
      </c>
      <c r="C1365" s="1" t="n">
        <v>45588</v>
      </c>
      <c r="D1365" t="inlineStr">
        <is>
          <t>STOCKHOLMS LÄN</t>
        </is>
      </c>
      <c r="E1365" t="inlineStr">
        <is>
          <t>NORRTÄLJE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48629-2023</t>
        </is>
      </c>
      <c r="B1366" s="1" t="n">
        <v>45208</v>
      </c>
      <c r="C1366" s="1" t="n">
        <v>45588</v>
      </c>
      <c r="D1366" t="inlineStr">
        <is>
          <t>STOCKHOLMS LÄN</t>
        </is>
      </c>
      <c r="E1366" t="inlineStr">
        <is>
          <t>NORRTÄLJE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48668-2023</t>
        </is>
      </c>
      <c r="B1367" s="1" t="n">
        <v>45208</v>
      </c>
      <c r="C1367" s="1" t="n">
        <v>45588</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48685-2023</t>
        </is>
      </c>
      <c r="B1368" s="1" t="n">
        <v>45208</v>
      </c>
      <c r="C1368" s="1" t="n">
        <v>45588</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48691-2023</t>
        </is>
      </c>
      <c r="B1369" s="1" t="n">
        <v>45208</v>
      </c>
      <c r="C1369" s="1" t="n">
        <v>45588</v>
      </c>
      <c r="D1369" t="inlineStr">
        <is>
          <t>STOCKHOLMS LÄN</t>
        </is>
      </c>
      <c r="E1369" t="inlineStr">
        <is>
          <t>NORRTÄLJE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48701-2023</t>
        </is>
      </c>
      <c r="B1370" s="1" t="n">
        <v>45208</v>
      </c>
      <c r="C1370" s="1" t="n">
        <v>45588</v>
      </c>
      <c r="D1370" t="inlineStr">
        <is>
          <t>STOCKHOLMS LÄN</t>
        </is>
      </c>
      <c r="E1370" t="inlineStr">
        <is>
          <t>NORRTÄLJE</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48716-2023</t>
        </is>
      </c>
      <c r="B1371" s="1" t="n">
        <v>45208</v>
      </c>
      <c r="C1371" s="1" t="n">
        <v>45588</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48709-2023</t>
        </is>
      </c>
      <c r="B1372" s="1" t="n">
        <v>45208</v>
      </c>
      <c r="C1372" s="1" t="n">
        <v>45588</v>
      </c>
      <c r="D1372" t="inlineStr">
        <is>
          <t>STOCKHOLMS LÄN</t>
        </is>
      </c>
      <c r="E1372" t="inlineStr">
        <is>
          <t>NORRTÄLJE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48722-2023</t>
        </is>
      </c>
      <c r="B1373" s="1" t="n">
        <v>45208</v>
      </c>
      <c r="C1373" s="1" t="n">
        <v>45588</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48726-2023</t>
        </is>
      </c>
      <c r="B1374" s="1" t="n">
        <v>45208</v>
      </c>
      <c r="C1374" s="1" t="n">
        <v>45588</v>
      </c>
      <c r="D1374" t="inlineStr">
        <is>
          <t>STOCKHOLMS LÄN</t>
        </is>
      </c>
      <c r="E1374" t="inlineStr">
        <is>
          <t>NORRTÄLJE</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49169-2023</t>
        </is>
      </c>
      <c r="B1375" s="1" t="n">
        <v>45210</v>
      </c>
      <c r="C1375" s="1" t="n">
        <v>45588</v>
      </c>
      <c r="D1375" t="inlineStr">
        <is>
          <t>STOCKHOLMS LÄN</t>
        </is>
      </c>
      <c r="E1375" t="inlineStr">
        <is>
          <t>NORRTÄLJE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49176-2023</t>
        </is>
      </c>
      <c r="B1376" s="1" t="n">
        <v>45210</v>
      </c>
      <c r="C1376" s="1" t="n">
        <v>45588</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49224-2023</t>
        </is>
      </c>
      <c r="B1377" s="1" t="n">
        <v>45210</v>
      </c>
      <c r="C1377" s="1" t="n">
        <v>45588</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49696-2023</t>
        </is>
      </c>
      <c r="B1378" s="1" t="n">
        <v>45212</v>
      </c>
      <c r="C1378" s="1" t="n">
        <v>45588</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49700-2023</t>
        </is>
      </c>
      <c r="B1379" s="1" t="n">
        <v>45212</v>
      </c>
      <c r="C1379" s="1" t="n">
        <v>45588</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49694-2023</t>
        </is>
      </c>
      <c r="B1380" s="1" t="n">
        <v>45212</v>
      </c>
      <c r="C1380" s="1" t="n">
        <v>45588</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50143-2023</t>
        </is>
      </c>
      <c r="B1381" s="1" t="n">
        <v>45215</v>
      </c>
      <c r="C1381" s="1" t="n">
        <v>45588</v>
      </c>
      <c r="D1381" t="inlineStr">
        <is>
          <t>STOCKHOLMS LÄN</t>
        </is>
      </c>
      <c r="E1381" t="inlineStr">
        <is>
          <t>NORRTÄLJE</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50107-2023</t>
        </is>
      </c>
      <c r="B1382" s="1" t="n">
        <v>45215</v>
      </c>
      <c r="C1382" s="1" t="n">
        <v>45588</v>
      </c>
      <c r="D1382" t="inlineStr">
        <is>
          <t>STOCKHOLMS LÄN</t>
        </is>
      </c>
      <c r="E1382" t="inlineStr">
        <is>
          <t>NORRTÄLJE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50033-2023</t>
        </is>
      </c>
      <c r="B1383" s="1" t="n">
        <v>45215</v>
      </c>
      <c r="C1383" s="1" t="n">
        <v>45588</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50136-2023</t>
        </is>
      </c>
      <c r="B1384" s="1" t="n">
        <v>45215</v>
      </c>
      <c r="C1384" s="1" t="n">
        <v>45588</v>
      </c>
      <c r="D1384" t="inlineStr">
        <is>
          <t>STOCKHOLMS LÄN</t>
        </is>
      </c>
      <c r="E1384" t="inlineStr">
        <is>
          <t>NORRTÄLJE</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50150-2023</t>
        </is>
      </c>
      <c r="B1385" s="1" t="n">
        <v>45215</v>
      </c>
      <c r="C1385" s="1" t="n">
        <v>45588</v>
      </c>
      <c r="D1385" t="inlineStr">
        <is>
          <t>STOCKHOLMS LÄN</t>
        </is>
      </c>
      <c r="E1385" t="inlineStr">
        <is>
          <t>NORRTÄLJE</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50289-2023</t>
        </is>
      </c>
      <c r="B1386" s="1" t="n">
        <v>45216</v>
      </c>
      <c r="C1386" s="1" t="n">
        <v>45588</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50436-2023</t>
        </is>
      </c>
      <c r="B1387" s="1" t="n">
        <v>45216</v>
      </c>
      <c r="C1387" s="1" t="n">
        <v>45588</v>
      </c>
      <c r="D1387" t="inlineStr">
        <is>
          <t>STOCKHOLMS LÄN</t>
        </is>
      </c>
      <c r="E1387" t="inlineStr">
        <is>
          <t>NORRTÄLJE</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50690-2023</t>
        </is>
      </c>
      <c r="B1388" s="1" t="n">
        <v>45217</v>
      </c>
      <c r="C1388" s="1" t="n">
        <v>45588</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51049-2023</t>
        </is>
      </c>
      <c r="B1389" s="1" t="n">
        <v>45218</v>
      </c>
      <c r="C1389" s="1" t="n">
        <v>45588</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51063-2023</t>
        </is>
      </c>
      <c r="B1390" s="1" t="n">
        <v>45218</v>
      </c>
      <c r="C1390" s="1" t="n">
        <v>45588</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50880-2023</t>
        </is>
      </c>
      <c r="B1391" s="1" t="n">
        <v>45218</v>
      </c>
      <c r="C1391" s="1" t="n">
        <v>45588</v>
      </c>
      <c r="D1391" t="inlineStr">
        <is>
          <t>STOCKHOLMS LÄN</t>
        </is>
      </c>
      <c r="E1391" t="inlineStr">
        <is>
          <t>NORRTÄLJE</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51046-2023</t>
        </is>
      </c>
      <c r="B1392" s="1" t="n">
        <v>45218</v>
      </c>
      <c r="C1392" s="1" t="n">
        <v>45588</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51043-2023</t>
        </is>
      </c>
      <c r="B1393" s="1" t="n">
        <v>45218</v>
      </c>
      <c r="C1393" s="1" t="n">
        <v>45588</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51061-2023</t>
        </is>
      </c>
      <c r="B1394" s="1" t="n">
        <v>45218</v>
      </c>
      <c r="C1394" s="1" t="n">
        <v>45588</v>
      </c>
      <c r="D1394" t="inlineStr">
        <is>
          <t>STOCKHOLMS LÄN</t>
        </is>
      </c>
      <c r="E1394" t="inlineStr">
        <is>
          <t>NORRTÄLJE</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51325-2023</t>
        </is>
      </c>
      <c r="B1395" s="1" t="n">
        <v>45219</v>
      </c>
      <c r="C1395" s="1" t="n">
        <v>45588</v>
      </c>
      <c r="D1395" t="inlineStr">
        <is>
          <t>STOCKHOLMS LÄN</t>
        </is>
      </c>
      <c r="E1395" t="inlineStr">
        <is>
          <t>NORRTÄLJE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51312-2023</t>
        </is>
      </c>
      <c r="B1396" s="1" t="n">
        <v>45219</v>
      </c>
      <c r="C1396" s="1" t="n">
        <v>45588</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51597-2023</t>
        </is>
      </c>
      <c r="B1397" s="1" t="n">
        <v>45222</v>
      </c>
      <c r="C1397" s="1" t="n">
        <v>45588</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51657-2023</t>
        </is>
      </c>
      <c r="B1398" s="1" t="n">
        <v>45222</v>
      </c>
      <c r="C1398" s="1" t="n">
        <v>45588</v>
      </c>
      <c r="D1398" t="inlineStr">
        <is>
          <t>STOCKHOLMS LÄN</t>
        </is>
      </c>
      <c r="E1398" t="inlineStr">
        <is>
          <t>NORRTÄLJE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51903-2023</t>
        </is>
      </c>
      <c r="B1399" s="1" t="n">
        <v>45223</v>
      </c>
      <c r="C1399" s="1" t="n">
        <v>45588</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52095-2023</t>
        </is>
      </c>
      <c r="B1400" s="1" t="n">
        <v>45223</v>
      </c>
      <c r="C1400" s="1" t="n">
        <v>45588</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51978-2023</t>
        </is>
      </c>
      <c r="B1401" s="1" t="n">
        <v>45223</v>
      </c>
      <c r="C1401" s="1" t="n">
        <v>45588</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51997-2023</t>
        </is>
      </c>
      <c r="B1402" s="1" t="n">
        <v>45223</v>
      </c>
      <c r="C1402" s="1" t="n">
        <v>45588</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52001-2023</t>
        </is>
      </c>
      <c r="B1403" s="1" t="n">
        <v>45223</v>
      </c>
      <c r="C1403" s="1" t="n">
        <v>45588</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52096-2023</t>
        </is>
      </c>
      <c r="B1404" s="1" t="n">
        <v>45223</v>
      </c>
      <c r="C1404" s="1" t="n">
        <v>45588</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53362-2023</t>
        </is>
      </c>
      <c r="B1405" s="1" t="n">
        <v>45223</v>
      </c>
      <c r="C1405" s="1" t="n">
        <v>45588</v>
      </c>
      <c r="D1405" t="inlineStr">
        <is>
          <t>STOCKHOLMS LÄN</t>
        </is>
      </c>
      <c r="E1405" t="inlineStr">
        <is>
          <t>NORRTÄLJE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53372-2023</t>
        </is>
      </c>
      <c r="B1406" s="1" t="n">
        <v>45223</v>
      </c>
      <c r="C1406" s="1" t="n">
        <v>45588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52221-2023</t>
        </is>
      </c>
      <c r="B1407" s="1" t="n">
        <v>45224</v>
      </c>
      <c r="C1407" s="1" t="n">
        <v>45588</v>
      </c>
      <c r="D1407" t="inlineStr">
        <is>
          <t>STOCKHOLMS LÄN</t>
        </is>
      </c>
      <c r="E1407" t="inlineStr">
        <is>
          <t>NORRTÄLJE</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53561-2023</t>
        </is>
      </c>
      <c r="B1408" s="1" t="n">
        <v>45224</v>
      </c>
      <c r="C1408" s="1" t="n">
        <v>45588</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53556-2023</t>
        </is>
      </c>
      <c r="B1409" s="1" t="n">
        <v>45224</v>
      </c>
      <c r="C1409" s="1" t="n">
        <v>45588</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52570-2023</t>
        </is>
      </c>
      <c r="B1410" s="1" t="n">
        <v>45225</v>
      </c>
      <c r="C1410" s="1" t="n">
        <v>45588</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52619-2023</t>
        </is>
      </c>
      <c r="B1411" s="1" t="n">
        <v>45225</v>
      </c>
      <c r="C1411" s="1" t="n">
        <v>45588</v>
      </c>
      <c r="D1411" t="inlineStr">
        <is>
          <t>STOCKHOLMS LÄN</t>
        </is>
      </c>
      <c r="E1411" t="inlineStr">
        <is>
          <t>NORRTÄLJE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52875-2023</t>
        </is>
      </c>
      <c r="B1412" s="1" t="n">
        <v>45226</v>
      </c>
      <c r="C1412" s="1" t="n">
        <v>45588</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52899-2023</t>
        </is>
      </c>
      <c r="B1413" s="1" t="n">
        <v>45226</v>
      </c>
      <c r="C1413" s="1" t="n">
        <v>45588</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53563-2023</t>
        </is>
      </c>
      <c r="B1414" s="1" t="n">
        <v>45230</v>
      </c>
      <c r="C1414" s="1" t="n">
        <v>45588</v>
      </c>
      <c r="D1414" t="inlineStr">
        <is>
          <t>STOCKHOLMS LÄN</t>
        </is>
      </c>
      <c r="E1414" t="inlineStr">
        <is>
          <t>NORRTÄLJE</t>
        </is>
      </c>
      <c r="G1414" t="n">
        <v>17.2</v>
      </c>
      <c r="H1414" t="n">
        <v>0</v>
      </c>
      <c r="I1414" t="n">
        <v>0</v>
      </c>
      <c r="J1414" t="n">
        <v>0</v>
      </c>
      <c r="K1414" t="n">
        <v>0</v>
      </c>
      <c r="L1414" t="n">
        <v>0</v>
      </c>
      <c r="M1414" t="n">
        <v>0</v>
      </c>
      <c r="N1414" t="n">
        <v>0</v>
      </c>
      <c r="O1414" t="n">
        <v>0</v>
      </c>
      <c r="P1414" t="n">
        <v>0</v>
      </c>
      <c r="Q1414" t="n">
        <v>0</v>
      </c>
      <c r="R1414" s="2" t="inlineStr"/>
    </row>
    <row r="1415" ht="15" customHeight="1">
      <c r="A1415" t="inlineStr">
        <is>
          <t>A 53718-2023</t>
        </is>
      </c>
      <c r="B1415" s="1" t="n">
        <v>45230</v>
      </c>
      <c r="C1415" s="1" t="n">
        <v>45588</v>
      </c>
      <c r="D1415" t="inlineStr">
        <is>
          <t>STOCKHOLMS LÄN</t>
        </is>
      </c>
      <c r="E1415" t="inlineStr">
        <is>
          <t>NORRTÄLJE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53787-2023</t>
        </is>
      </c>
      <c r="B1416" s="1" t="n">
        <v>45231</v>
      </c>
      <c r="C1416" s="1" t="n">
        <v>45588</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53792-2023</t>
        </is>
      </c>
      <c r="B1417" s="1" t="n">
        <v>45231</v>
      </c>
      <c r="C1417" s="1" t="n">
        <v>45588</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55518-2023</t>
        </is>
      </c>
      <c r="B1418" s="1" t="n">
        <v>45231</v>
      </c>
      <c r="C1418" s="1" t="n">
        <v>45588</v>
      </c>
      <c r="D1418" t="inlineStr">
        <is>
          <t>STOCKHOLMS LÄN</t>
        </is>
      </c>
      <c r="E1418" t="inlineStr">
        <is>
          <t>NORRTÄLJE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55533-2023</t>
        </is>
      </c>
      <c r="B1419" s="1" t="n">
        <v>45231</v>
      </c>
      <c r="C1419" s="1" t="n">
        <v>45588</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54259-2023</t>
        </is>
      </c>
      <c r="B1420" s="1" t="n">
        <v>45232</v>
      </c>
      <c r="C1420" s="1" t="n">
        <v>45588</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54546-2023</t>
        </is>
      </c>
      <c r="B1421" s="1" t="n">
        <v>45233</v>
      </c>
      <c r="C1421" s="1" t="n">
        <v>45588</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54776-2023</t>
        </is>
      </c>
      <c r="B1422" s="1" t="n">
        <v>45236</v>
      </c>
      <c r="C1422" s="1" t="n">
        <v>45588</v>
      </c>
      <c r="D1422" t="inlineStr">
        <is>
          <t>STOCKHOLMS LÄN</t>
        </is>
      </c>
      <c r="E1422" t="inlineStr">
        <is>
          <t>NORRTÄLJE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55038-2023</t>
        </is>
      </c>
      <c r="B1423" s="1" t="n">
        <v>45237</v>
      </c>
      <c r="C1423" s="1" t="n">
        <v>45588</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45588</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55369-2023</t>
        </is>
      </c>
      <c r="B1425" s="1" t="n">
        <v>45238</v>
      </c>
      <c r="C1425" s="1" t="n">
        <v>45588</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55755-2023</t>
        </is>
      </c>
      <c r="B1426" s="1" t="n">
        <v>45239</v>
      </c>
      <c r="C1426" s="1" t="n">
        <v>45588</v>
      </c>
      <c r="D1426" t="inlineStr">
        <is>
          <t>STOCKHOLMS LÄN</t>
        </is>
      </c>
      <c r="E1426" t="inlineStr">
        <is>
          <t>NORRTÄLJE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56428-2023</t>
        </is>
      </c>
      <c r="B1427" s="1" t="n">
        <v>45243</v>
      </c>
      <c r="C1427" s="1" t="n">
        <v>45588</v>
      </c>
      <c r="D1427" t="inlineStr">
        <is>
          <t>STOCKHOLMS LÄN</t>
        </is>
      </c>
      <c r="E1427" t="inlineStr">
        <is>
          <t>NORRTÄLJE</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56439-2023</t>
        </is>
      </c>
      <c r="B1428" s="1" t="n">
        <v>45243</v>
      </c>
      <c r="C1428" s="1" t="n">
        <v>45588</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56445-2023</t>
        </is>
      </c>
      <c r="B1429" s="1" t="n">
        <v>45243</v>
      </c>
      <c r="C1429" s="1" t="n">
        <v>45588</v>
      </c>
      <c r="D1429" t="inlineStr">
        <is>
          <t>STOCKHOLMS LÄN</t>
        </is>
      </c>
      <c r="E1429" t="inlineStr">
        <is>
          <t>NORRTÄLJE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56577-2023</t>
        </is>
      </c>
      <c r="B1430" s="1" t="n">
        <v>45243</v>
      </c>
      <c r="C1430" s="1" t="n">
        <v>45588</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56593-2023</t>
        </is>
      </c>
      <c r="B1431" s="1" t="n">
        <v>45243</v>
      </c>
      <c r="C1431" s="1" t="n">
        <v>45588</v>
      </c>
      <c r="D1431" t="inlineStr">
        <is>
          <t>STOCKHOLMS LÄN</t>
        </is>
      </c>
      <c r="E1431" t="inlineStr">
        <is>
          <t>NORRTÄLJE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56819-2023</t>
        </is>
      </c>
      <c r="B1432" s="1" t="n">
        <v>45244</v>
      </c>
      <c r="C1432" s="1" t="n">
        <v>45588</v>
      </c>
      <c r="D1432" t="inlineStr">
        <is>
          <t>STOCKHOLMS LÄN</t>
        </is>
      </c>
      <c r="E1432" t="inlineStr">
        <is>
          <t>NORRTÄLJE</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58261-2023</t>
        </is>
      </c>
      <c r="B1433" s="1" t="n">
        <v>45245</v>
      </c>
      <c r="C1433" s="1" t="n">
        <v>45588</v>
      </c>
      <c r="D1433" t="inlineStr">
        <is>
          <t>STOCKHOLMS LÄN</t>
        </is>
      </c>
      <c r="E1433" t="inlineStr">
        <is>
          <t>NORRTÄLJE</t>
        </is>
      </c>
      <c r="G1433" t="n">
        <v>53.5</v>
      </c>
      <c r="H1433" t="n">
        <v>0</v>
      </c>
      <c r="I1433" t="n">
        <v>0</v>
      </c>
      <c r="J1433" t="n">
        <v>0</v>
      </c>
      <c r="K1433" t="n">
        <v>0</v>
      </c>
      <c r="L1433" t="n">
        <v>0</v>
      </c>
      <c r="M1433" t="n">
        <v>0</v>
      </c>
      <c r="N1433" t="n">
        <v>0</v>
      </c>
      <c r="O1433" t="n">
        <v>0</v>
      </c>
      <c r="P1433" t="n">
        <v>0</v>
      </c>
      <c r="Q1433" t="n">
        <v>0</v>
      </c>
      <c r="R1433" s="2" t="inlineStr"/>
    </row>
    <row r="1434" ht="15" customHeight="1">
      <c r="A1434" t="inlineStr">
        <is>
          <t>A 58209-2023</t>
        </is>
      </c>
      <c r="B1434" s="1" t="n">
        <v>45245</v>
      </c>
      <c r="C1434" s="1" t="n">
        <v>45588</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58227-2023</t>
        </is>
      </c>
      <c r="B1435" s="1" t="n">
        <v>45245</v>
      </c>
      <c r="C1435" s="1" t="n">
        <v>45588</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58291-2023</t>
        </is>
      </c>
      <c r="B1436" s="1" t="n">
        <v>45245</v>
      </c>
      <c r="C1436" s="1" t="n">
        <v>45588</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58277-2023</t>
        </is>
      </c>
      <c r="B1437" s="1" t="n">
        <v>45245</v>
      </c>
      <c r="C1437" s="1" t="n">
        <v>45588</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58213-2023</t>
        </is>
      </c>
      <c r="B1438" s="1" t="n">
        <v>45245</v>
      </c>
      <c r="C1438" s="1" t="n">
        <v>45588</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58311-2023</t>
        </is>
      </c>
      <c r="B1439" s="1" t="n">
        <v>45245</v>
      </c>
      <c r="C1439" s="1" t="n">
        <v>45588</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58300-2023</t>
        </is>
      </c>
      <c r="B1440" s="1" t="n">
        <v>45245</v>
      </c>
      <c r="C1440" s="1" t="n">
        <v>45588</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58260-2023</t>
        </is>
      </c>
      <c r="B1441" s="1" t="n">
        <v>45245</v>
      </c>
      <c r="C1441" s="1" t="n">
        <v>45588</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58297-2023</t>
        </is>
      </c>
      <c r="B1442" s="1" t="n">
        <v>45245</v>
      </c>
      <c r="C1442" s="1" t="n">
        <v>45588</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58306-2023</t>
        </is>
      </c>
      <c r="B1443" s="1" t="n">
        <v>45245</v>
      </c>
      <c r="C1443" s="1" t="n">
        <v>45588</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45588</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58191-2023</t>
        </is>
      </c>
      <c r="B1445" s="1" t="n">
        <v>45250</v>
      </c>
      <c r="C1445" s="1" t="n">
        <v>45588</v>
      </c>
      <c r="D1445" t="inlineStr">
        <is>
          <t>STOCKHOLMS LÄN</t>
        </is>
      </c>
      <c r="E1445" t="inlineStr">
        <is>
          <t>NORRTÄLJE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58186-2023</t>
        </is>
      </c>
      <c r="B1446" s="1" t="n">
        <v>45250</v>
      </c>
      <c r="C1446" s="1" t="n">
        <v>45588</v>
      </c>
      <c r="D1446" t="inlineStr">
        <is>
          <t>STOCKHOLMS LÄN</t>
        </is>
      </c>
      <c r="E1446" t="inlineStr">
        <is>
          <t>NORRTÄLJE</t>
        </is>
      </c>
      <c r="F1446" t="inlineStr">
        <is>
          <t>Kyrkan</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58981-2023</t>
        </is>
      </c>
      <c r="B1447" s="1" t="n">
        <v>45250</v>
      </c>
      <c r="C1447" s="1" t="n">
        <v>45588</v>
      </c>
      <c r="D1447" t="inlineStr">
        <is>
          <t>STOCKHOLMS LÄN</t>
        </is>
      </c>
      <c r="E1447" t="inlineStr">
        <is>
          <t>NORRTÄLJE</t>
        </is>
      </c>
      <c r="F1447" t="inlineStr">
        <is>
          <t>Övriga statliga verk och myndigheter</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58601-2023</t>
        </is>
      </c>
      <c r="B1448" s="1" t="n">
        <v>45251</v>
      </c>
      <c r="C1448" s="1" t="n">
        <v>45588</v>
      </c>
      <c r="D1448" t="inlineStr">
        <is>
          <t>STOCKHOLMS LÄN</t>
        </is>
      </c>
      <c r="E1448" t="inlineStr">
        <is>
          <t>NORRTÄLJE</t>
        </is>
      </c>
      <c r="F1448" t="inlineStr">
        <is>
          <t>Holmen skog AB</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59310-2023</t>
        </is>
      </c>
      <c r="B1449" s="1" t="n">
        <v>45253</v>
      </c>
      <c r="C1449" s="1" t="n">
        <v>45588</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59326-2023</t>
        </is>
      </c>
      <c r="B1450" s="1" t="n">
        <v>45253</v>
      </c>
      <c r="C1450" s="1" t="n">
        <v>45588</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59212-2023</t>
        </is>
      </c>
      <c r="B1451" s="1" t="n">
        <v>45253</v>
      </c>
      <c r="C1451" s="1" t="n">
        <v>45588</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59276-2023</t>
        </is>
      </c>
      <c r="B1452" s="1" t="n">
        <v>45253</v>
      </c>
      <c r="C1452" s="1" t="n">
        <v>45588</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59468-2023</t>
        </is>
      </c>
      <c r="B1453" s="1" t="n">
        <v>45254</v>
      </c>
      <c r="C1453" s="1" t="n">
        <v>45588</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59499-2023</t>
        </is>
      </c>
      <c r="B1454" s="1" t="n">
        <v>45254</v>
      </c>
      <c r="C1454" s="1" t="n">
        <v>45588</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59504-2023</t>
        </is>
      </c>
      <c r="B1455" s="1" t="n">
        <v>45254</v>
      </c>
      <c r="C1455" s="1" t="n">
        <v>45588</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59676-2023</t>
        </is>
      </c>
      <c r="B1456" s="1" t="n">
        <v>45255</v>
      </c>
      <c r="C1456" s="1" t="n">
        <v>45588</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59904-2023</t>
        </is>
      </c>
      <c r="B1457" s="1" t="n">
        <v>45257</v>
      </c>
      <c r="C1457" s="1" t="n">
        <v>45588</v>
      </c>
      <c r="D1457" t="inlineStr">
        <is>
          <t>STOCKHOLMS LÄN</t>
        </is>
      </c>
      <c r="E1457" t="inlineStr">
        <is>
          <t>NORRTÄLJE</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59906-2023</t>
        </is>
      </c>
      <c r="B1458" s="1" t="n">
        <v>45257</v>
      </c>
      <c r="C1458" s="1" t="n">
        <v>45588</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59992-2023</t>
        </is>
      </c>
      <c r="B1459" s="1" t="n">
        <v>45257</v>
      </c>
      <c r="C1459" s="1" t="n">
        <v>45588</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60224-2023</t>
        </is>
      </c>
      <c r="B1460" s="1" t="n">
        <v>45257</v>
      </c>
      <c r="C1460" s="1" t="n">
        <v>45588</v>
      </c>
      <c r="D1460" t="inlineStr">
        <is>
          <t>STOCKHOLMS LÄN</t>
        </is>
      </c>
      <c r="E1460" t="inlineStr">
        <is>
          <t>NORRTÄLJE</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60073-2023</t>
        </is>
      </c>
      <c r="B1461" s="1" t="n">
        <v>45258</v>
      </c>
      <c r="C1461" s="1" t="n">
        <v>45588</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60492-2023</t>
        </is>
      </c>
      <c r="B1462" s="1" t="n">
        <v>45259</v>
      </c>
      <c r="C1462" s="1" t="n">
        <v>45588</v>
      </c>
      <c r="D1462" t="inlineStr">
        <is>
          <t>STOCKHOLMS LÄN</t>
        </is>
      </c>
      <c r="E1462" t="inlineStr">
        <is>
          <t>NORRTÄLJE</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60529-2023</t>
        </is>
      </c>
      <c r="B1463" s="1" t="n">
        <v>45259</v>
      </c>
      <c r="C1463" s="1" t="n">
        <v>45588</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60822-2023</t>
        </is>
      </c>
      <c r="B1464" s="1" t="n">
        <v>45259</v>
      </c>
      <c r="C1464" s="1" t="n">
        <v>45588</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60654-2023</t>
        </is>
      </c>
      <c r="B1465" s="1" t="n">
        <v>45260</v>
      </c>
      <c r="C1465" s="1" t="n">
        <v>45588</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60640-2023</t>
        </is>
      </c>
      <c r="B1466" s="1" t="n">
        <v>45260</v>
      </c>
      <c r="C1466" s="1" t="n">
        <v>45588</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60672-2023</t>
        </is>
      </c>
      <c r="B1467" s="1" t="n">
        <v>45260</v>
      </c>
      <c r="C1467" s="1" t="n">
        <v>45588</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60823-2023</t>
        </is>
      </c>
      <c r="B1468" s="1" t="n">
        <v>45260</v>
      </c>
      <c r="C1468" s="1" t="n">
        <v>45588</v>
      </c>
      <c r="D1468" t="inlineStr">
        <is>
          <t>STOCKHOLMS LÄN</t>
        </is>
      </c>
      <c r="E1468" t="inlineStr">
        <is>
          <t>NORRTÄLJE</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45588</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60765-2023</t>
        </is>
      </c>
      <c r="B1470" s="1" t="n">
        <v>45260</v>
      </c>
      <c r="C1470" s="1" t="n">
        <v>45588</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61113-2023</t>
        </is>
      </c>
      <c r="B1471" s="1" t="n">
        <v>45261</v>
      </c>
      <c r="C1471" s="1" t="n">
        <v>45588</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62644-2023</t>
        </is>
      </c>
      <c r="B1472" s="1" t="n">
        <v>45271</v>
      </c>
      <c r="C1472" s="1" t="n">
        <v>45588</v>
      </c>
      <c r="D1472" t="inlineStr">
        <is>
          <t>STOCKHOLMS LÄN</t>
        </is>
      </c>
      <c r="E1472" t="inlineStr">
        <is>
          <t>NORRTÄLJE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62998-2023</t>
        </is>
      </c>
      <c r="B1473" s="1" t="n">
        <v>45272</v>
      </c>
      <c r="C1473" s="1" t="n">
        <v>45588</v>
      </c>
      <c r="D1473" t="inlineStr">
        <is>
          <t>STOCKHOLMS LÄN</t>
        </is>
      </c>
      <c r="E1473" t="inlineStr">
        <is>
          <t>NORRTÄLJE</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63015-2023</t>
        </is>
      </c>
      <c r="B1474" s="1" t="n">
        <v>45272</v>
      </c>
      <c r="C1474" s="1" t="n">
        <v>45588</v>
      </c>
      <c r="D1474" t="inlineStr">
        <is>
          <t>STOCKHOLMS LÄN</t>
        </is>
      </c>
      <c r="E1474" t="inlineStr">
        <is>
          <t>NORRTÄLJE</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62971-2023</t>
        </is>
      </c>
      <c r="B1475" s="1" t="n">
        <v>45272</v>
      </c>
      <c r="C1475" s="1" t="n">
        <v>45588</v>
      </c>
      <c r="D1475" t="inlineStr">
        <is>
          <t>STOCKHOLMS LÄN</t>
        </is>
      </c>
      <c r="E1475" t="inlineStr">
        <is>
          <t>NORRTÄLJE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63013-2023</t>
        </is>
      </c>
      <c r="B1476" s="1" t="n">
        <v>45272</v>
      </c>
      <c r="C1476" s="1" t="n">
        <v>45588</v>
      </c>
      <c r="D1476" t="inlineStr">
        <is>
          <t>STOCKHOLMS LÄN</t>
        </is>
      </c>
      <c r="E1476" t="inlineStr">
        <is>
          <t>NORRTÄLJE</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63161-2023</t>
        </is>
      </c>
      <c r="B1477" s="1" t="n">
        <v>45273</v>
      </c>
      <c r="C1477" s="1" t="n">
        <v>45588</v>
      </c>
      <c r="D1477" t="inlineStr">
        <is>
          <t>STOCKHOLMS LÄN</t>
        </is>
      </c>
      <c r="E1477" t="inlineStr">
        <is>
          <t>NORRTÄLJE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63655-2023</t>
        </is>
      </c>
      <c r="B1478" s="1" t="n">
        <v>45275</v>
      </c>
      <c r="C1478" s="1" t="n">
        <v>45588</v>
      </c>
      <c r="D1478" t="inlineStr">
        <is>
          <t>STOCKHOLMS LÄN</t>
        </is>
      </c>
      <c r="E1478" t="inlineStr">
        <is>
          <t>NORRTÄLJE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64902-2023</t>
        </is>
      </c>
      <c r="B1479" s="1" t="n">
        <v>45282</v>
      </c>
      <c r="C1479" s="1" t="n">
        <v>45588</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64899-2023</t>
        </is>
      </c>
      <c r="B1480" s="1" t="n">
        <v>45282</v>
      </c>
      <c r="C1480" s="1" t="n">
        <v>45588</v>
      </c>
      <c r="D1480" t="inlineStr">
        <is>
          <t>STOCKHOLMS LÄN</t>
        </is>
      </c>
      <c r="E1480" t="inlineStr">
        <is>
          <t>NORRTÄLJE</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9-2024</t>
        </is>
      </c>
      <c r="B1481" s="1" t="n">
        <v>45293</v>
      </c>
      <c r="C1481" s="1" t="n">
        <v>45588</v>
      </c>
      <c r="D1481" t="inlineStr">
        <is>
          <t>STOCKHOLMS LÄN</t>
        </is>
      </c>
      <c r="E1481" t="inlineStr">
        <is>
          <t>NORRTÄLJE</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13-2024</t>
        </is>
      </c>
      <c r="B1482" s="1" t="n">
        <v>45293</v>
      </c>
      <c r="C1482" s="1" t="n">
        <v>45588</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11-2024</t>
        </is>
      </c>
      <c r="B1483" s="1" t="n">
        <v>45293</v>
      </c>
      <c r="C1483" s="1" t="n">
        <v>45588</v>
      </c>
      <c r="D1483" t="inlineStr">
        <is>
          <t>STOCKHOLMS LÄN</t>
        </is>
      </c>
      <c r="E1483" t="inlineStr">
        <is>
          <t>NORRTÄLJE</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19-2024</t>
        </is>
      </c>
      <c r="B1484" s="1" t="n">
        <v>45293</v>
      </c>
      <c r="C1484" s="1" t="n">
        <v>45588</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329-2024</t>
        </is>
      </c>
      <c r="B1485" s="1" t="n">
        <v>45295</v>
      </c>
      <c r="C1485" s="1" t="n">
        <v>45588</v>
      </c>
      <c r="D1485" t="inlineStr">
        <is>
          <t>STOCKHOLMS LÄN</t>
        </is>
      </c>
      <c r="E1485" t="inlineStr">
        <is>
          <t>NORRTÄLJE</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498-2024</t>
        </is>
      </c>
      <c r="B1486" s="1" t="n">
        <v>45299</v>
      </c>
      <c r="C1486" s="1" t="n">
        <v>45588</v>
      </c>
      <c r="D1486" t="inlineStr">
        <is>
          <t>STOCKHOLMS LÄN</t>
        </is>
      </c>
      <c r="E1486" t="inlineStr">
        <is>
          <t>NORRTÄLJE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577-2024</t>
        </is>
      </c>
      <c r="B1487" s="1" t="n">
        <v>45299</v>
      </c>
      <c r="C1487" s="1" t="n">
        <v>45588</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1372-2024</t>
        </is>
      </c>
      <c r="B1488" s="1" t="n">
        <v>45303</v>
      </c>
      <c r="C1488" s="1" t="n">
        <v>45588</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1996-2024</t>
        </is>
      </c>
      <c r="B1489" s="1" t="n">
        <v>45308</v>
      </c>
      <c r="C1489" s="1" t="n">
        <v>45588</v>
      </c>
      <c r="D1489" t="inlineStr">
        <is>
          <t>STOCKHOLMS LÄN</t>
        </is>
      </c>
      <c r="E1489" t="inlineStr">
        <is>
          <t>NORRTÄLJE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2287-2024</t>
        </is>
      </c>
      <c r="B1490" s="1" t="n">
        <v>45310</v>
      </c>
      <c r="C1490" s="1" t="n">
        <v>45588</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2281-2024</t>
        </is>
      </c>
      <c r="B1491" s="1" t="n">
        <v>45310</v>
      </c>
      <c r="C1491" s="1" t="n">
        <v>45588</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2613-2024</t>
        </is>
      </c>
      <c r="B1492" s="1" t="n">
        <v>45313</v>
      </c>
      <c r="C1492" s="1" t="n">
        <v>45588</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2611-2024</t>
        </is>
      </c>
      <c r="B1493" s="1" t="n">
        <v>45313</v>
      </c>
      <c r="C1493" s="1" t="n">
        <v>45588</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3084-2024</t>
        </is>
      </c>
      <c r="B1494" s="1" t="n">
        <v>45316</v>
      </c>
      <c r="C1494" s="1" t="n">
        <v>45588</v>
      </c>
      <c r="D1494" t="inlineStr">
        <is>
          <t>STOCKHOLMS LÄN</t>
        </is>
      </c>
      <c r="E1494" t="inlineStr">
        <is>
          <t>NORRTÄLJE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3152-2024</t>
        </is>
      </c>
      <c r="B1495" s="1" t="n">
        <v>45316</v>
      </c>
      <c r="C1495" s="1" t="n">
        <v>45588</v>
      </c>
      <c r="D1495" t="inlineStr">
        <is>
          <t>STOCKHOLMS LÄN</t>
        </is>
      </c>
      <c r="E1495" t="inlineStr">
        <is>
          <t>NORRTÄLJE</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3381-2024</t>
        </is>
      </c>
      <c r="B1496" s="1" t="n">
        <v>45317</v>
      </c>
      <c r="C1496" s="1" t="n">
        <v>45588</v>
      </c>
      <c r="D1496" t="inlineStr">
        <is>
          <t>STOCKHOLMS LÄN</t>
        </is>
      </c>
      <c r="E1496" t="inlineStr">
        <is>
          <t>NORRTÄLJE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3942-2024</t>
        </is>
      </c>
      <c r="B1497" s="1" t="n">
        <v>45322</v>
      </c>
      <c r="C1497" s="1" t="n">
        <v>45588</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3966-2024</t>
        </is>
      </c>
      <c r="B1498" s="1" t="n">
        <v>45322</v>
      </c>
      <c r="C1498" s="1" t="n">
        <v>45588</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4051-2024</t>
        </is>
      </c>
      <c r="B1499" s="1" t="n">
        <v>45323</v>
      </c>
      <c r="C1499" s="1" t="n">
        <v>45588</v>
      </c>
      <c r="D1499" t="inlineStr">
        <is>
          <t>STOCKHOLMS LÄN</t>
        </is>
      </c>
      <c r="E1499" t="inlineStr">
        <is>
          <t>NORRTÄLJE</t>
        </is>
      </c>
      <c r="F1499" t="inlineStr">
        <is>
          <t>Kyrkan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4542-2024</t>
        </is>
      </c>
      <c r="B1500" s="1" t="n">
        <v>45327</v>
      </c>
      <c r="C1500" s="1" t="n">
        <v>45588</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4658-2024</t>
        </is>
      </c>
      <c r="B1501" s="1" t="n">
        <v>45328</v>
      </c>
      <c r="C1501" s="1" t="n">
        <v>45588</v>
      </c>
      <c r="D1501" t="inlineStr">
        <is>
          <t>STOCKHOLMS LÄN</t>
        </is>
      </c>
      <c r="E1501" t="inlineStr">
        <is>
          <t>NORRTÄLJE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4730-2024</t>
        </is>
      </c>
      <c r="B1502" s="1" t="n">
        <v>45328</v>
      </c>
      <c r="C1502" s="1" t="n">
        <v>45588</v>
      </c>
      <c r="D1502" t="inlineStr">
        <is>
          <t>STOCKHOLMS LÄN</t>
        </is>
      </c>
      <c r="E1502" t="inlineStr">
        <is>
          <t>NORRTÄLJE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5158-2024</t>
        </is>
      </c>
      <c r="B1503" s="1" t="n">
        <v>45330</v>
      </c>
      <c r="C1503" s="1" t="n">
        <v>45588</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5670-2024</t>
        </is>
      </c>
      <c r="B1504" s="1" t="n">
        <v>45334</v>
      </c>
      <c r="C1504" s="1" t="n">
        <v>45588</v>
      </c>
      <c r="D1504" t="inlineStr">
        <is>
          <t>STOCKHOLMS LÄN</t>
        </is>
      </c>
      <c r="E1504" t="inlineStr">
        <is>
          <t>NORRTÄLJE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5664-2024</t>
        </is>
      </c>
      <c r="B1505" s="1" t="n">
        <v>45334</v>
      </c>
      <c r="C1505" s="1" t="n">
        <v>45588</v>
      </c>
      <c r="D1505" t="inlineStr">
        <is>
          <t>STOCKHOLMS LÄN</t>
        </is>
      </c>
      <c r="E1505" t="inlineStr">
        <is>
          <t>NORRTÄLJE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5683-2024</t>
        </is>
      </c>
      <c r="B1506" s="1" t="n">
        <v>45334</v>
      </c>
      <c r="C1506" s="1" t="n">
        <v>45588</v>
      </c>
      <c r="D1506" t="inlineStr">
        <is>
          <t>STOCKHOLMS LÄN</t>
        </is>
      </c>
      <c r="E1506" t="inlineStr">
        <is>
          <t>NORRTÄLJE</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5625-2024</t>
        </is>
      </c>
      <c r="B1507" s="1" t="n">
        <v>45334</v>
      </c>
      <c r="C1507" s="1" t="n">
        <v>45588</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5862-2024</t>
        </is>
      </c>
      <c r="B1508" s="1" t="n">
        <v>45335</v>
      </c>
      <c r="C1508" s="1" t="n">
        <v>45588</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5831-2024</t>
        </is>
      </c>
      <c r="B1509" s="1" t="n">
        <v>45335</v>
      </c>
      <c r="C1509" s="1" t="n">
        <v>45588</v>
      </c>
      <c r="D1509" t="inlineStr">
        <is>
          <t>STOCKHOLMS LÄN</t>
        </is>
      </c>
      <c r="E1509" t="inlineStr">
        <is>
          <t>NORRTÄLJE</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5894-2024</t>
        </is>
      </c>
      <c r="B1510" s="1" t="n">
        <v>45335</v>
      </c>
      <c r="C1510" s="1" t="n">
        <v>45588</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6401-2024</t>
        </is>
      </c>
      <c r="B1511" s="1" t="n">
        <v>45338</v>
      </c>
      <c r="C1511" s="1" t="n">
        <v>45588</v>
      </c>
      <c r="D1511" t="inlineStr">
        <is>
          <t>STOCKHOLMS LÄN</t>
        </is>
      </c>
      <c r="E1511" t="inlineStr">
        <is>
          <t>NORRTÄLJE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6537-2024</t>
        </is>
      </c>
      <c r="B1512" s="1" t="n">
        <v>45341</v>
      </c>
      <c r="C1512" s="1" t="n">
        <v>45588</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7009-2024</t>
        </is>
      </c>
      <c r="B1513" s="1" t="n">
        <v>45343</v>
      </c>
      <c r="C1513" s="1" t="n">
        <v>45588</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45588</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7408-2024</t>
        </is>
      </c>
      <c r="B1515" s="1" t="n">
        <v>45345</v>
      </c>
      <c r="C1515" s="1" t="n">
        <v>45588</v>
      </c>
      <c r="D1515" t="inlineStr">
        <is>
          <t>STOCKHOLMS LÄN</t>
        </is>
      </c>
      <c r="E1515" t="inlineStr">
        <is>
          <t>NORRTÄLJE</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7573-2024</t>
        </is>
      </c>
      <c r="B1516" s="1" t="n">
        <v>45345</v>
      </c>
      <c r="C1516" s="1" t="n">
        <v>45588</v>
      </c>
      <c r="D1516" t="inlineStr">
        <is>
          <t>STOCKHOLMS LÄN</t>
        </is>
      </c>
      <c r="E1516" t="inlineStr">
        <is>
          <t>NORRTÄLJE</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7425-2024</t>
        </is>
      </c>
      <c r="B1517" s="1" t="n">
        <v>45345</v>
      </c>
      <c r="C1517" s="1" t="n">
        <v>45588</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7413-2024</t>
        </is>
      </c>
      <c r="B1518" s="1" t="n">
        <v>45345</v>
      </c>
      <c r="C1518" s="1" t="n">
        <v>45588</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7385-2024</t>
        </is>
      </c>
      <c r="B1519" s="1" t="n">
        <v>45345</v>
      </c>
      <c r="C1519" s="1" t="n">
        <v>45588</v>
      </c>
      <c r="D1519" t="inlineStr">
        <is>
          <t>STOCKHOLMS LÄN</t>
        </is>
      </c>
      <c r="E1519" t="inlineStr">
        <is>
          <t>NORRTÄLJE</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7329-2024</t>
        </is>
      </c>
      <c r="B1520" s="1" t="n">
        <v>45345</v>
      </c>
      <c r="C1520" s="1" t="n">
        <v>45588</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7483-2024</t>
        </is>
      </c>
      <c r="B1521" s="1" t="n">
        <v>45346</v>
      </c>
      <c r="C1521" s="1" t="n">
        <v>45588</v>
      </c>
      <c r="D1521" t="inlineStr">
        <is>
          <t>STOCKHOLMS LÄN</t>
        </is>
      </c>
      <c r="E1521" t="inlineStr">
        <is>
          <t>NORRTÄLJE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7571-2024</t>
        </is>
      </c>
      <c r="B1522" s="1" t="n">
        <v>45348</v>
      </c>
      <c r="C1522" s="1" t="n">
        <v>45588</v>
      </c>
      <c r="D1522" t="inlineStr">
        <is>
          <t>STOCKHOLMS LÄN</t>
        </is>
      </c>
      <c r="E1522" t="inlineStr">
        <is>
          <t>NORRTÄLJE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8270-2024</t>
        </is>
      </c>
      <c r="B1523" s="1" t="n">
        <v>45352</v>
      </c>
      <c r="C1523" s="1" t="n">
        <v>45588</v>
      </c>
      <c r="D1523" t="inlineStr">
        <is>
          <t>STOCKHOLMS LÄN</t>
        </is>
      </c>
      <c r="E1523" t="inlineStr">
        <is>
          <t>NORRTÄLJE</t>
        </is>
      </c>
      <c r="F1523" t="inlineStr">
        <is>
          <t>Kyrkan</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8399-2024</t>
        </is>
      </c>
      <c r="B1524" s="1" t="n">
        <v>45352</v>
      </c>
      <c r="C1524" s="1" t="n">
        <v>45588</v>
      </c>
      <c r="D1524" t="inlineStr">
        <is>
          <t>STOCKHOLMS LÄN</t>
        </is>
      </c>
      <c r="E1524" t="inlineStr">
        <is>
          <t>NORRTÄLJE</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8365-2024</t>
        </is>
      </c>
      <c r="B1525" s="1" t="n">
        <v>45352</v>
      </c>
      <c r="C1525" s="1" t="n">
        <v>45588</v>
      </c>
      <c r="D1525" t="inlineStr">
        <is>
          <t>STOCKHOLMS LÄN</t>
        </is>
      </c>
      <c r="E1525" t="inlineStr">
        <is>
          <t>NORRTÄLJE</t>
        </is>
      </c>
      <c r="F1525" t="inlineStr">
        <is>
          <t>Naturvårdsverket</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8400-2024</t>
        </is>
      </c>
      <c r="B1526" s="1" t="n">
        <v>45352</v>
      </c>
      <c r="C1526" s="1" t="n">
        <v>45588</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8401-2024</t>
        </is>
      </c>
      <c r="B1527" s="1" t="n">
        <v>45352</v>
      </c>
      <c r="C1527" s="1" t="n">
        <v>45588</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8739-2024</t>
        </is>
      </c>
      <c r="B1528" s="1" t="n">
        <v>45356</v>
      </c>
      <c r="C1528" s="1" t="n">
        <v>45588</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8736-2024</t>
        </is>
      </c>
      <c r="B1529" s="1" t="n">
        <v>45356</v>
      </c>
      <c r="C1529" s="1" t="n">
        <v>45588</v>
      </c>
      <c r="D1529" t="inlineStr">
        <is>
          <t>STOCKHOLMS LÄN</t>
        </is>
      </c>
      <c r="E1529" t="inlineStr">
        <is>
          <t>NORRTÄLJE</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9246-2024</t>
        </is>
      </c>
      <c r="B1530" s="1" t="n">
        <v>45357</v>
      </c>
      <c r="C1530" s="1" t="n">
        <v>45588</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9300-2024</t>
        </is>
      </c>
      <c r="B1531" s="1" t="n">
        <v>45358</v>
      </c>
      <c r="C1531" s="1" t="n">
        <v>45588</v>
      </c>
      <c r="D1531" t="inlineStr">
        <is>
          <t>STOCKHOLMS LÄN</t>
        </is>
      </c>
      <c r="E1531" t="inlineStr">
        <is>
          <t>NORRTÄLJE</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9297-2024</t>
        </is>
      </c>
      <c r="B1532" s="1" t="n">
        <v>45358</v>
      </c>
      <c r="C1532" s="1" t="n">
        <v>45588</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9301-2024</t>
        </is>
      </c>
      <c r="B1533" s="1" t="n">
        <v>45358</v>
      </c>
      <c r="C1533" s="1" t="n">
        <v>45588</v>
      </c>
      <c r="D1533" t="inlineStr">
        <is>
          <t>STOCKHOLMS LÄN</t>
        </is>
      </c>
      <c r="E1533" t="inlineStr">
        <is>
          <t>NORRTÄLJE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9305-2024</t>
        </is>
      </c>
      <c r="B1534" s="1" t="n">
        <v>45358</v>
      </c>
      <c r="C1534" s="1" t="n">
        <v>45588</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9765-2024</t>
        </is>
      </c>
      <c r="B1535" s="1" t="n">
        <v>45362</v>
      </c>
      <c r="C1535" s="1" t="n">
        <v>45588</v>
      </c>
      <c r="D1535" t="inlineStr">
        <is>
          <t>STOCKHOLMS LÄN</t>
        </is>
      </c>
      <c r="E1535" t="inlineStr">
        <is>
          <t>NORRTÄLJE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9959-2024</t>
        </is>
      </c>
      <c r="B1536" s="1" t="n">
        <v>45363</v>
      </c>
      <c r="C1536" s="1" t="n">
        <v>45588</v>
      </c>
      <c r="D1536" t="inlineStr">
        <is>
          <t>STOCKHOLMS LÄN</t>
        </is>
      </c>
      <c r="E1536" t="inlineStr">
        <is>
          <t>NORRTÄLJE</t>
        </is>
      </c>
      <c r="F1536" t="inlineStr">
        <is>
          <t>Naturvårdsverket</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10258-2024</t>
        </is>
      </c>
      <c r="B1537" s="1" t="n">
        <v>45365</v>
      </c>
      <c r="C1537" s="1" t="n">
        <v>45588</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10279-2024</t>
        </is>
      </c>
      <c r="B1538" s="1" t="n">
        <v>45365</v>
      </c>
      <c r="C1538" s="1" t="n">
        <v>45588</v>
      </c>
      <c r="D1538" t="inlineStr">
        <is>
          <t>STOCKHOLMS LÄN</t>
        </is>
      </c>
      <c r="E1538" t="inlineStr">
        <is>
          <t>NORRTÄLJE</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10643-2024</t>
        </is>
      </c>
      <c r="B1539" s="1" t="n">
        <v>45367</v>
      </c>
      <c r="C1539" s="1" t="n">
        <v>45588</v>
      </c>
      <c r="D1539" t="inlineStr">
        <is>
          <t>STOCKHOLMS LÄN</t>
        </is>
      </c>
      <c r="E1539" t="inlineStr">
        <is>
          <t>NORRTÄLJE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10840-2024</t>
        </is>
      </c>
      <c r="B1540" s="1" t="n">
        <v>45369</v>
      </c>
      <c r="C1540" s="1" t="n">
        <v>45588</v>
      </c>
      <c r="D1540" t="inlineStr">
        <is>
          <t>STOCKHOLMS LÄN</t>
        </is>
      </c>
      <c r="E1540" t="inlineStr">
        <is>
          <t>NORRTÄLJE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10810-2024</t>
        </is>
      </c>
      <c r="B1541" s="1" t="n">
        <v>45369</v>
      </c>
      <c r="C1541" s="1" t="n">
        <v>45588</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10930-2024</t>
        </is>
      </c>
      <c r="B1542" s="1" t="n">
        <v>45370</v>
      </c>
      <c r="C1542" s="1" t="n">
        <v>45588</v>
      </c>
      <c r="D1542" t="inlineStr">
        <is>
          <t>STOCKHOLMS LÄN</t>
        </is>
      </c>
      <c r="E1542" t="inlineStr">
        <is>
          <t>NORRTÄLJE</t>
        </is>
      </c>
      <c r="G1542" t="n">
        <v>8.699999999999999</v>
      </c>
      <c r="H1542" t="n">
        <v>0</v>
      </c>
      <c r="I1542" t="n">
        <v>0</v>
      </c>
      <c r="J1542" t="n">
        <v>0</v>
      </c>
      <c r="K1542" t="n">
        <v>0</v>
      </c>
      <c r="L1542" t="n">
        <v>0</v>
      </c>
      <c r="M1542" t="n">
        <v>0</v>
      </c>
      <c r="N1542" t="n">
        <v>0</v>
      </c>
      <c r="O1542" t="n">
        <v>0</v>
      </c>
      <c r="P1542" t="n">
        <v>0</v>
      </c>
      <c r="Q1542" t="n">
        <v>0</v>
      </c>
      <c r="R1542" s="2" t="inlineStr"/>
      <c r="U1542">
        <f>HYPERLINK("https://klasma.github.io/Logging_0188/knärot/A 10930-2024 karta knärot.png", "A 10930-2024")</f>
        <v/>
      </c>
      <c r="V1542">
        <f>HYPERLINK("https://klasma.github.io/Logging_0188/klagomål/A 10930-2024 FSC-klagomål.docx", "A 10930-2024")</f>
        <v/>
      </c>
      <c r="W1542">
        <f>HYPERLINK("https://klasma.github.io/Logging_0188/klagomålsmail/A 10930-2024 FSC-klagomål mail.docx", "A 10930-2024")</f>
        <v/>
      </c>
      <c r="X1542">
        <f>HYPERLINK("https://klasma.github.io/Logging_0188/tillsyn/A 10930-2024 tillsynsbegäran.docx", "A 10930-2024")</f>
        <v/>
      </c>
      <c r="Y1542">
        <f>HYPERLINK("https://klasma.github.io/Logging_0188/tillsynsmail/A 10930-2024 tillsynsbegäran mail.docx", "A 10930-2024")</f>
        <v/>
      </c>
    </row>
    <row r="1543" ht="15" customHeight="1">
      <c r="A1543" t="inlineStr">
        <is>
          <t>A 11062-2024</t>
        </is>
      </c>
      <c r="B1543" s="1" t="n">
        <v>45370</v>
      </c>
      <c r="C1543" s="1" t="n">
        <v>45588</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10968-2024</t>
        </is>
      </c>
      <c r="B1544" s="1" t="n">
        <v>45370</v>
      </c>
      <c r="C1544" s="1" t="n">
        <v>45588</v>
      </c>
      <c r="D1544" t="inlineStr">
        <is>
          <t>STOCKHOLMS LÄN</t>
        </is>
      </c>
      <c r="E1544" t="inlineStr">
        <is>
          <t>NORRTÄLJE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11902-2024</t>
        </is>
      </c>
      <c r="B1545" s="1" t="n">
        <v>45376</v>
      </c>
      <c r="C1545" s="1" t="n">
        <v>45588</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11926-2024</t>
        </is>
      </c>
      <c r="B1546" s="1" t="n">
        <v>45376</v>
      </c>
      <c r="C1546" s="1" t="n">
        <v>45588</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11896-2024</t>
        </is>
      </c>
      <c r="B1547" s="1" t="n">
        <v>45376</v>
      </c>
      <c r="C1547" s="1" t="n">
        <v>45588</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11900-2024</t>
        </is>
      </c>
      <c r="B1548" s="1" t="n">
        <v>45376</v>
      </c>
      <c r="C1548" s="1" t="n">
        <v>45588</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11924-2024</t>
        </is>
      </c>
      <c r="B1549" s="1" t="n">
        <v>45376</v>
      </c>
      <c r="C1549" s="1" t="n">
        <v>45588</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11893-2024</t>
        </is>
      </c>
      <c r="B1550" s="1" t="n">
        <v>45376</v>
      </c>
      <c r="C1550" s="1" t="n">
        <v>45588</v>
      </c>
      <c r="D1550" t="inlineStr">
        <is>
          <t>STOCKHOLMS LÄN</t>
        </is>
      </c>
      <c r="E1550" t="inlineStr">
        <is>
          <t>NORRTÄLJE</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11901-2024</t>
        </is>
      </c>
      <c r="B1551" s="1" t="n">
        <v>45376</v>
      </c>
      <c r="C1551" s="1" t="n">
        <v>45588</v>
      </c>
      <c r="D1551" t="inlineStr">
        <is>
          <t>STOCKHOLMS LÄN</t>
        </is>
      </c>
      <c r="E1551" t="inlineStr">
        <is>
          <t>NORRTÄLJE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11929-2024</t>
        </is>
      </c>
      <c r="B1552" s="1" t="n">
        <v>45376</v>
      </c>
      <c r="C1552" s="1" t="n">
        <v>45588</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11996-2024</t>
        </is>
      </c>
      <c r="B1553" s="1" t="n">
        <v>45376</v>
      </c>
      <c r="C1553" s="1" t="n">
        <v>45588</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11997-2024</t>
        </is>
      </c>
      <c r="B1554" s="1" t="n">
        <v>45377</v>
      </c>
      <c r="C1554" s="1" t="n">
        <v>45588</v>
      </c>
      <c r="D1554" t="inlineStr">
        <is>
          <t>STOCKHOLMS LÄN</t>
        </is>
      </c>
      <c r="E1554" t="inlineStr">
        <is>
          <t>NORRTÄLJE</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12135-2024</t>
        </is>
      </c>
      <c r="B1555" s="1" t="n">
        <v>45377</v>
      </c>
      <c r="C1555" s="1" t="n">
        <v>45588</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12022-2024</t>
        </is>
      </c>
      <c r="B1556" s="1" t="n">
        <v>45377</v>
      </c>
      <c r="C1556" s="1" t="n">
        <v>45588</v>
      </c>
      <c r="D1556" t="inlineStr">
        <is>
          <t>STOCKHOLMS LÄN</t>
        </is>
      </c>
      <c r="E1556" t="inlineStr">
        <is>
          <t>NORRTÄLJE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12323-2024</t>
        </is>
      </c>
      <c r="B1557" s="1" t="n">
        <v>45378</v>
      </c>
      <c r="C1557" s="1" t="n">
        <v>45588</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12470-2024</t>
        </is>
      </c>
      <c r="B1558" s="1" t="n">
        <v>45379</v>
      </c>
      <c r="C1558" s="1" t="n">
        <v>45588</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12560-2024</t>
        </is>
      </c>
      <c r="B1559" s="1" t="n">
        <v>45379</v>
      </c>
      <c r="C1559" s="1" t="n">
        <v>45588</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12629-2024</t>
        </is>
      </c>
      <c r="B1560" s="1" t="n">
        <v>45383</v>
      </c>
      <c r="C1560" s="1" t="n">
        <v>45588</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12896-2024</t>
        </is>
      </c>
      <c r="B1561" s="1" t="n">
        <v>45385</v>
      </c>
      <c r="C1561" s="1" t="n">
        <v>45588</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12904-2024</t>
        </is>
      </c>
      <c r="B1562" s="1" t="n">
        <v>45385</v>
      </c>
      <c r="C1562" s="1" t="n">
        <v>45588</v>
      </c>
      <c r="D1562" t="inlineStr">
        <is>
          <t>STOCKHOLMS LÄN</t>
        </is>
      </c>
      <c r="E1562" t="inlineStr">
        <is>
          <t>NORRTÄLJE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12901-2024</t>
        </is>
      </c>
      <c r="B1563" s="1" t="n">
        <v>45385</v>
      </c>
      <c r="C1563" s="1" t="n">
        <v>45588</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12890-2024</t>
        </is>
      </c>
      <c r="B1564" s="1" t="n">
        <v>45385</v>
      </c>
      <c r="C1564" s="1" t="n">
        <v>45588</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12902-2024</t>
        </is>
      </c>
      <c r="B1565" s="1" t="n">
        <v>45385</v>
      </c>
      <c r="C1565" s="1" t="n">
        <v>45588</v>
      </c>
      <c r="D1565" t="inlineStr">
        <is>
          <t>STOCKHOLMS LÄN</t>
        </is>
      </c>
      <c r="E1565" t="inlineStr">
        <is>
          <t>NORRTÄLJE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13115-2024</t>
        </is>
      </c>
      <c r="B1566" s="1" t="n">
        <v>45385</v>
      </c>
      <c r="C1566" s="1" t="n">
        <v>45588</v>
      </c>
      <c r="D1566" t="inlineStr">
        <is>
          <t>STOCKHOLMS LÄN</t>
        </is>
      </c>
      <c r="E1566" t="inlineStr">
        <is>
          <t>NORRTÄLJE</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13137-2024</t>
        </is>
      </c>
      <c r="B1567" s="1" t="n">
        <v>45386</v>
      </c>
      <c r="C1567" s="1" t="n">
        <v>45588</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13241-2024</t>
        </is>
      </c>
      <c r="B1568" s="1" t="n">
        <v>45386</v>
      </c>
      <c r="C1568" s="1" t="n">
        <v>45588</v>
      </c>
      <c r="D1568" t="inlineStr">
        <is>
          <t>STOCKHOLMS LÄN</t>
        </is>
      </c>
      <c r="E1568" t="inlineStr">
        <is>
          <t>NORRTÄLJE</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13391-2024</t>
        </is>
      </c>
      <c r="B1569" s="1" t="n">
        <v>45387</v>
      </c>
      <c r="C1569" s="1" t="n">
        <v>45588</v>
      </c>
      <c r="D1569" t="inlineStr">
        <is>
          <t>STOCKHOLMS LÄN</t>
        </is>
      </c>
      <c r="E1569" t="inlineStr">
        <is>
          <t>NORRTÄLJE</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13785-2024</t>
        </is>
      </c>
      <c r="B1570" s="1" t="n">
        <v>45391</v>
      </c>
      <c r="C1570" s="1" t="n">
        <v>45588</v>
      </c>
      <c r="D1570" t="inlineStr">
        <is>
          <t>STOCKHOLMS LÄN</t>
        </is>
      </c>
      <c r="E1570" t="inlineStr">
        <is>
          <t>NORRTÄLJE</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14530-2024</t>
        </is>
      </c>
      <c r="B1571" s="1" t="n">
        <v>45394</v>
      </c>
      <c r="C1571" s="1" t="n">
        <v>45588</v>
      </c>
      <c r="D1571" t="inlineStr">
        <is>
          <t>STOCKHOLMS LÄN</t>
        </is>
      </c>
      <c r="E1571" t="inlineStr">
        <is>
          <t>NORRTÄLJE</t>
        </is>
      </c>
      <c r="F1571" t="inlineStr">
        <is>
          <t>Kyrkan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14498-2024</t>
        </is>
      </c>
      <c r="B1572" s="1" t="n">
        <v>45394</v>
      </c>
      <c r="C1572" s="1" t="n">
        <v>45588</v>
      </c>
      <c r="D1572" t="inlineStr">
        <is>
          <t>STOCKHOLMS LÄN</t>
        </is>
      </c>
      <c r="E1572" t="inlineStr">
        <is>
          <t>NORRTÄLJE</t>
        </is>
      </c>
      <c r="F1572" t="inlineStr">
        <is>
          <t>Kyrkan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14559-2024</t>
        </is>
      </c>
      <c r="B1573" s="1" t="n">
        <v>45394</v>
      </c>
      <c r="C1573" s="1" t="n">
        <v>45588</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14751-2024</t>
        </is>
      </c>
      <c r="B1574" s="1" t="n">
        <v>45397</v>
      </c>
      <c r="C1574" s="1" t="n">
        <v>45588</v>
      </c>
      <c r="D1574" t="inlineStr">
        <is>
          <t>STOCKHOLMS LÄN</t>
        </is>
      </c>
      <c r="E1574" t="inlineStr">
        <is>
          <t>NORRTÄLJE</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14762-2024</t>
        </is>
      </c>
      <c r="B1575" s="1" t="n">
        <v>45397</v>
      </c>
      <c r="C1575" s="1" t="n">
        <v>45588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15278-2024</t>
        </is>
      </c>
      <c r="B1576" s="1" t="n">
        <v>45400</v>
      </c>
      <c r="C1576" s="1" t="n">
        <v>45588</v>
      </c>
      <c r="D1576" t="inlineStr">
        <is>
          <t>STOCKHOLMS LÄN</t>
        </is>
      </c>
      <c r="E1576" t="inlineStr">
        <is>
          <t>NORRTÄLJE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15347-2024</t>
        </is>
      </c>
      <c r="B1577" s="1" t="n">
        <v>45400</v>
      </c>
      <c r="C1577" s="1" t="n">
        <v>45588</v>
      </c>
      <c r="D1577" t="inlineStr">
        <is>
          <t>STOCKHOLMS LÄN</t>
        </is>
      </c>
      <c r="E1577" t="inlineStr">
        <is>
          <t>NORRTÄLJE</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15317-2024</t>
        </is>
      </c>
      <c r="B1578" s="1" t="n">
        <v>45400</v>
      </c>
      <c r="C1578" s="1" t="n">
        <v>45588</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15429-2024</t>
        </is>
      </c>
      <c r="B1579" s="1" t="n">
        <v>45401</v>
      </c>
      <c r="C1579" s="1" t="n">
        <v>45588</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15422-2024</t>
        </is>
      </c>
      <c r="B1580" s="1" t="n">
        <v>45401</v>
      </c>
      <c r="C1580" s="1" t="n">
        <v>45588</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15470-2024</t>
        </is>
      </c>
      <c r="B1581" s="1" t="n">
        <v>45401</v>
      </c>
      <c r="C1581" s="1" t="n">
        <v>45588</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15428-2024</t>
        </is>
      </c>
      <c r="B1582" s="1" t="n">
        <v>45401</v>
      </c>
      <c r="C1582" s="1" t="n">
        <v>45588</v>
      </c>
      <c r="D1582" t="inlineStr">
        <is>
          <t>STOCKHOLMS LÄN</t>
        </is>
      </c>
      <c r="E1582" t="inlineStr">
        <is>
          <t>NORRTÄLJE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15415-2024</t>
        </is>
      </c>
      <c r="B1583" s="1" t="n">
        <v>45401</v>
      </c>
      <c r="C1583" s="1" t="n">
        <v>45588</v>
      </c>
      <c r="D1583" t="inlineStr">
        <is>
          <t>STOCKHOLMS LÄN</t>
        </is>
      </c>
      <c r="E1583" t="inlineStr">
        <is>
          <t>NORRTÄLJE</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15956-2024</t>
        </is>
      </c>
      <c r="B1584" s="1" t="n">
        <v>45405</v>
      </c>
      <c r="C1584" s="1" t="n">
        <v>45588</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15978-2024</t>
        </is>
      </c>
      <c r="B1585" s="1" t="n">
        <v>45405</v>
      </c>
      <c r="C1585" s="1" t="n">
        <v>45588</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16072-2024</t>
        </is>
      </c>
      <c r="B1586" s="1" t="n">
        <v>45406</v>
      </c>
      <c r="C1586" s="1" t="n">
        <v>45588</v>
      </c>
      <c r="D1586" t="inlineStr">
        <is>
          <t>STOCKHOLMS LÄN</t>
        </is>
      </c>
      <c r="E1586" t="inlineStr">
        <is>
          <t>NORRTÄLJE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16071-2024</t>
        </is>
      </c>
      <c r="B1587" s="1" t="n">
        <v>45406</v>
      </c>
      <c r="C1587" s="1" t="n">
        <v>45588</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16075-2024</t>
        </is>
      </c>
      <c r="B1588" s="1" t="n">
        <v>45406</v>
      </c>
      <c r="C1588" s="1" t="n">
        <v>45588</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16620-2024</t>
        </is>
      </c>
      <c r="B1589" s="1" t="n">
        <v>45408</v>
      </c>
      <c r="C1589" s="1" t="n">
        <v>45588</v>
      </c>
      <c r="D1589" t="inlineStr">
        <is>
          <t>STOCKHOLMS LÄN</t>
        </is>
      </c>
      <c r="E1589" t="inlineStr">
        <is>
          <t>NORRTÄLJE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16852-2024</t>
        </is>
      </c>
      <c r="B1590" s="1" t="n">
        <v>45411</v>
      </c>
      <c r="C1590" s="1" t="n">
        <v>45588</v>
      </c>
      <c r="D1590" t="inlineStr">
        <is>
          <t>STOCKHOLMS LÄN</t>
        </is>
      </c>
      <c r="E1590" t="inlineStr">
        <is>
          <t>NORRTÄLJE</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17013-2024</t>
        </is>
      </c>
      <c r="B1591" s="1" t="n">
        <v>45412</v>
      </c>
      <c r="C1591" s="1" t="n">
        <v>45588</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17039-2024</t>
        </is>
      </c>
      <c r="B1592" s="1" t="n">
        <v>45412</v>
      </c>
      <c r="C1592" s="1" t="n">
        <v>45588</v>
      </c>
      <c r="D1592" t="inlineStr">
        <is>
          <t>STOCKHOLMS LÄN</t>
        </is>
      </c>
      <c r="E1592" t="inlineStr">
        <is>
          <t>NORRTÄLJE</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17348-2024</t>
        </is>
      </c>
      <c r="B1593" s="1" t="n">
        <v>45414</v>
      </c>
      <c r="C1593" s="1" t="n">
        <v>45588</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17304-2024</t>
        </is>
      </c>
      <c r="B1594" s="1" t="n">
        <v>45414</v>
      </c>
      <c r="C1594" s="1" t="n">
        <v>45588</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17354-2024</t>
        </is>
      </c>
      <c r="B1595" s="1" t="n">
        <v>45414</v>
      </c>
      <c r="C1595" s="1" t="n">
        <v>45588</v>
      </c>
      <c r="D1595" t="inlineStr">
        <is>
          <t>STOCKHOLMS LÄN</t>
        </is>
      </c>
      <c r="E1595" t="inlineStr">
        <is>
          <t>NORRTÄLJE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17385-2024</t>
        </is>
      </c>
      <c r="B1596" s="1" t="n">
        <v>45414</v>
      </c>
      <c r="C1596" s="1" t="n">
        <v>45588</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17382-2024</t>
        </is>
      </c>
      <c r="B1597" s="1" t="n">
        <v>45414</v>
      </c>
      <c r="C1597" s="1" t="n">
        <v>45588</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17397-2024</t>
        </is>
      </c>
      <c r="B1598" s="1" t="n">
        <v>45414</v>
      </c>
      <c r="C1598" s="1" t="n">
        <v>45588</v>
      </c>
      <c r="D1598" t="inlineStr">
        <is>
          <t>STOCKHOLMS LÄN</t>
        </is>
      </c>
      <c r="E1598" t="inlineStr">
        <is>
          <t>NORRTÄLJE</t>
        </is>
      </c>
      <c r="F1598" t="inlineStr">
        <is>
          <t>Holmen skog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17554-2024</t>
        </is>
      </c>
      <c r="B1599" s="1" t="n">
        <v>45415</v>
      </c>
      <c r="C1599" s="1" t="n">
        <v>45588</v>
      </c>
      <c r="D1599" t="inlineStr">
        <is>
          <t>STOCKHOLMS LÄN</t>
        </is>
      </c>
      <c r="E1599" t="inlineStr">
        <is>
          <t>NORRTÄLJE</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17775-2024</t>
        </is>
      </c>
      <c r="B1600" s="1" t="n">
        <v>45418</v>
      </c>
      <c r="C1600" s="1" t="n">
        <v>45588</v>
      </c>
      <c r="D1600" t="inlineStr">
        <is>
          <t>STOCKHOLMS LÄN</t>
        </is>
      </c>
      <c r="E1600" t="inlineStr">
        <is>
          <t>NORRTÄLJE</t>
        </is>
      </c>
      <c r="F1600" t="inlineStr">
        <is>
          <t>Holmen skog AB</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17785-2024</t>
        </is>
      </c>
      <c r="B1601" s="1" t="n">
        <v>45418</v>
      </c>
      <c r="C1601" s="1" t="n">
        <v>45588</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17843-2024</t>
        </is>
      </c>
      <c r="B1602" s="1" t="n">
        <v>45418</v>
      </c>
      <c r="C1602" s="1" t="n">
        <v>45588</v>
      </c>
      <c r="D1602" t="inlineStr">
        <is>
          <t>STOCKHOLMS LÄN</t>
        </is>
      </c>
      <c r="E1602" t="inlineStr">
        <is>
          <t>NORRTÄLJE</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18331-2024</t>
        </is>
      </c>
      <c r="B1603" s="1" t="n">
        <v>45422</v>
      </c>
      <c r="C1603" s="1" t="n">
        <v>45588</v>
      </c>
      <c r="D1603" t="inlineStr">
        <is>
          <t>STOCKHOLMS LÄN</t>
        </is>
      </c>
      <c r="E1603" t="inlineStr">
        <is>
          <t>NORRTÄLJE</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18285-2024</t>
        </is>
      </c>
      <c r="B1604" s="1" t="n">
        <v>45422</v>
      </c>
      <c r="C1604" s="1" t="n">
        <v>45588</v>
      </c>
      <c r="D1604" t="inlineStr">
        <is>
          <t>STOCKHOLMS LÄN</t>
        </is>
      </c>
      <c r="E1604" t="inlineStr">
        <is>
          <t>NORRTÄLJE</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18287-2024</t>
        </is>
      </c>
      <c r="B1605" s="1" t="n">
        <v>45422</v>
      </c>
      <c r="C1605" s="1" t="n">
        <v>45588</v>
      </c>
      <c r="D1605" t="inlineStr">
        <is>
          <t>STOCKHOLMS LÄN</t>
        </is>
      </c>
      <c r="E1605" t="inlineStr">
        <is>
          <t>NORRTÄLJE</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19058-2024</t>
        </is>
      </c>
      <c r="B1606" s="1" t="n">
        <v>45427</v>
      </c>
      <c r="C1606" s="1" t="n">
        <v>45588</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19057-2024</t>
        </is>
      </c>
      <c r="B1607" s="1" t="n">
        <v>45427</v>
      </c>
      <c r="C1607" s="1" t="n">
        <v>45588</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19150-2024</t>
        </is>
      </c>
      <c r="B1608" s="1" t="n">
        <v>45428</v>
      </c>
      <c r="C1608" s="1" t="n">
        <v>45588</v>
      </c>
      <c r="D1608" t="inlineStr">
        <is>
          <t>STOCKHOLMS LÄN</t>
        </is>
      </c>
      <c r="E1608" t="inlineStr">
        <is>
          <t>NORRTÄLJE</t>
        </is>
      </c>
      <c r="F1608" t="inlineStr">
        <is>
          <t>Holmen skog AB</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19915-2024</t>
        </is>
      </c>
      <c r="B1609" s="1" t="n">
        <v>45433</v>
      </c>
      <c r="C1609" s="1" t="n">
        <v>45588</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19919-2024</t>
        </is>
      </c>
      <c r="B1610" s="1" t="n">
        <v>45433</v>
      </c>
      <c r="C1610" s="1" t="n">
        <v>45588</v>
      </c>
      <c r="D1610" t="inlineStr">
        <is>
          <t>STOCKHOLMS LÄN</t>
        </is>
      </c>
      <c r="E1610" t="inlineStr">
        <is>
          <t>NORRTÄLJE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20336-2024</t>
        </is>
      </c>
      <c r="B1611" s="1" t="n">
        <v>45435</v>
      </c>
      <c r="C1611" s="1" t="n">
        <v>45588</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20345-2024</t>
        </is>
      </c>
      <c r="B1612" s="1" t="n">
        <v>45435</v>
      </c>
      <c r="C1612" s="1" t="n">
        <v>45588</v>
      </c>
      <c r="D1612" t="inlineStr">
        <is>
          <t>STOCKHOLMS LÄN</t>
        </is>
      </c>
      <c r="E1612" t="inlineStr">
        <is>
          <t>NORRTÄLJE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20343-2024</t>
        </is>
      </c>
      <c r="B1613" s="1" t="n">
        <v>45435</v>
      </c>
      <c r="C1613" s="1" t="n">
        <v>45588</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20393-2024</t>
        </is>
      </c>
      <c r="B1614" s="1" t="n">
        <v>45435</v>
      </c>
      <c r="C1614" s="1" t="n">
        <v>45588</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20445-2024</t>
        </is>
      </c>
      <c r="B1615" s="1" t="n">
        <v>45435</v>
      </c>
      <c r="C1615" s="1" t="n">
        <v>45588</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20428-2024</t>
        </is>
      </c>
      <c r="B1616" s="1" t="n">
        <v>45435</v>
      </c>
      <c r="C1616" s="1" t="n">
        <v>45588</v>
      </c>
      <c r="D1616" t="inlineStr">
        <is>
          <t>STOCKHOLMS LÄN</t>
        </is>
      </c>
      <c r="E1616" t="inlineStr">
        <is>
          <t>NORRTÄLJE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20460-2024</t>
        </is>
      </c>
      <c r="B1617" s="1" t="n">
        <v>45435</v>
      </c>
      <c r="C1617" s="1" t="n">
        <v>45588</v>
      </c>
      <c r="D1617" t="inlineStr">
        <is>
          <t>STOCKHOLMS LÄN</t>
        </is>
      </c>
      <c r="E1617" t="inlineStr">
        <is>
          <t>NORRTÄLJE</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20464-2024</t>
        </is>
      </c>
      <c r="B1618" s="1" t="n">
        <v>45435</v>
      </c>
      <c r="C1618" s="1" t="n">
        <v>45588</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20431-2024</t>
        </is>
      </c>
      <c r="B1619" s="1" t="n">
        <v>45435</v>
      </c>
      <c r="C1619" s="1" t="n">
        <v>45588</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20680-2024</t>
        </is>
      </c>
      <c r="B1620" s="1" t="n">
        <v>45436</v>
      </c>
      <c r="C1620" s="1" t="n">
        <v>45588</v>
      </c>
      <c r="D1620" t="inlineStr">
        <is>
          <t>STOCKHOLMS LÄN</t>
        </is>
      </c>
      <c r="E1620" t="inlineStr">
        <is>
          <t>NORRTÄLJE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20698-2024</t>
        </is>
      </c>
      <c r="B1621" s="1" t="n">
        <v>45436</v>
      </c>
      <c r="C1621" s="1" t="n">
        <v>45588</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20730-2024</t>
        </is>
      </c>
      <c r="B1622" s="1" t="n">
        <v>45436</v>
      </c>
      <c r="C1622" s="1" t="n">
        <v>45588</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20825-2024</t>
        </is>
      </c>
      <c r="B1623" s="1" t="n">
        <v>45439</v>
      </c>
      <c r="C1623" s="1" t="n">
        <v>45588</v>
      </c>
      <c r="D1623" t="inlineStr">
        <is>
          <t>STOCKHOLMS LÄN</t>
        </is>
      </c>
      <c r="E1623" t="inlineStr">
        <is>
          <t>NORRTÄLJE</t>
        </is>
      </c>
      <c r="F1623" t="inlineStr">
        <is>
          <t>Holmen skog AB</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20836-2024</t>
        </is>
      </c>
      <c r="B1624" s="1" t="n">
        <v>45439</v>
      </c>
      <c r="C1624" s="1" t="n">
        <v>45588</v>
      </c>
      <c r="D1624" t="inlineStr">
        <is>
          <t>STOCKHOLMS LÄN</t>
        </is>
      </c>
      <c r="E1624" t="inlineStr">
        <is>
          <t>NORRTÄLJE</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21066-2024</t>
        </is>
      </c>
      <c r="B1625" s="1" t="n">
        <v>45439</v>
      </c>
      <c r="C1625" s="1" t="n">
        <v>45588</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21729-2024</t>
        </is>
      </c>
      <c r="B1626" s="1" t="n">
        <v>45442</v>
      </c>
      <c r="C1626" s="1" t="n">
        <v>45588</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21696-2024</t>
        </is>
      </c>
      <c r="B1627" s="1" t="n">
        <v>45442</v>
      </c>
      <c r="C1627" s="1" t="n">
        <v>45588</v>
      </c>
      <c r="D1627" t="inlineStr">
        <is>
          <t>STOCKHOLMS LÄN</t>
        </is>
      </c>
      <c r="E1627" t="inlineStr">
        <is>
          <t>NORRTÄLJE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22008-2024</t>
        </is>
      </c>
      <c r="B1628" s="1" t="n">
        <v>45443</v>
      </c>
      <c r="C1628" s="1" t="n">
        <v>45588</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22232-2024</t>
        </is>
      </c>
      <c r="B1629" s="1" t="n">
        <v>45446</v>
      </c>
      <c r="C1629" s="1" t="n">
        <v>45588</v>
      </c>
      <c r="D1629" t="inlineStr">
        <is>
          <t>STOCKHOLMS LÄN</t>
        </is>
      </c>
      <c r="E1629" t="inlineStr">
        <is>
          <t>NORRTÄLJE</t>
        </is>
      </c>
      <c r="G1629" t="n">
        <v>12.8</v>
      </c>
      <c r="H1629" t="n">
        <v>0</v>
      </c>
      <c r="I1629" t="n">
        <v>0</v>
      </c>
      <c r="J1629" t="n">
        <v>0</v>
      </c>
      <c r="K1629" t="n">
        <v>0</v>
      </c>
      <c r="L1629" t="n">
        <v>0</v>
      </c>
      <c r="M1629" t="n">
        <v>0</v>
      </c>
      <c r="N1629" t="n">
        <v>0</v>
      </c>
      <c r="O1629" t="n">
        <v>0</v>
      </c>
      <c r="P1629" t="n">
        <v>0</v>
      </c>
      <c r="Q1629" t="n">
        <v>0</v>
      </c>
      <c r="R1629" s="2" t="inlineStr"/>
    </row>
    <row r="1630" ht="15" customHeight="1">
      <c r="A1630" t="inlineStr">
        <is>
          <t>A 22190-2024</t>
        </is>
      </c>
      <c r="B1630" s="1" t="n">
        <v>45446</v>
      </c>
      <c r="C1630" s="1" t="n">
        <v>45588</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22231-2024</t>
        </is>
      </c>
      <c r="B1631" s="1" t="n">
        <v>45446</v>
      </c>
      <c r="C1631" s="1" t="n">
        <v>45588</v>
      </c>
      <c r="D1631" t="inlineStr">
        <is>
          <t>STOCKHOLMS LÄN</t>
        </is>
      </c>
      <c r="E1631" t="inlineStr">
        <is>
          <t>NORRTÄLJE</t>
        </is>
      </c>
      <c r="F1631" t="inlineStr">
        <is>
          <t>Holmen skog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22833-2024</t>
        </is>
      </c>
      <c r="B1632" s="1" t="n">
        <v>45448</v>
      </c>
      <c r="C1632" s="1" t="n">
        <v>45588</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23018-2024</t>
        </is>
      </c>
      <c r="B1633" s="1" t="n">
        <v>45450</v>
      </c>
      <c r="C1633" s="1" t="n">
        <v>45588</v>
      </c>
      <c r="D1633" t="inlineStr">
        <is>
          <t>STOCKHOLMS LÄN</t>
        </is>
      </c>
      <c r="E1633" t="inlineStr">
        <is>
          <t>NORRTÄLJE</t>
        </is>
      </c>
      <c r="G1633" t="n">
        <v>10.2</v>
      </c>
      <c r="H1633" t="n">
        <v>0</v>
      </c>
      <c r="I1633" t="n">
        <v>0</v>
      </c>
      <c r="J1633" t="n">
        <v>0</v>
      </c>
      <c r="K1633" t="n">
        <v>0</v>
      </c>
      <c r="L1633" t="n">
        <v>0</v>
      </c>
      <c r="M1633" t="n">
        <v>0</v>
      </c>
      <c r="N1633" t="n">
        <v>0</v>
      </c>
      <c r="O1633" t="n">
        <v>0</v>
      </c>
      <c r="P1633" t="n">
        <v>0</v>
      </c>
      <c r="Q1633" t="n">
        <v>0</v>
      </c>
      <c r="R1633" s="2" t="inlineStr"/>
    </row>
    <row r="1634" ht="15" customHeight="1">
      <c r="A1634" t="inlineStr">
        <is>
          <t>A 23149-2024</t>
        </is>
      </c>
      <c r="B1634" s="1" t="n">
        <v>45450</v>
      </c>
      <c r="C1634" s="1" t="n">
        <v>45588</v>
      </c>
      <c r="D1634" t="inlineStr">
        <is>
          <t>STOCKHOLMS LÄN</t>
        </is>
      </c>
      <c r="E1634" t="inlineStr">
        <is>
          <t>NORRTÄLJE</t>
        </is>
      </c>
      <c r="F1634" t="inlineStr">
        <is>
          <t>Kommuner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23150-2024</t>
        </is>
      </c>
      <c r="B1635" s="1" t="n">
        <v>45450</v>
      </c>
      <c r="C1635" s="1" t="n">
        <v>45588</v>
      </c>
      <c r="D1635" t="inlineStr">
        <is>
          <t>STOCKHOLMS LÄN</t>
        </is>
      </c>
      <c r="E1635" t="inlineStr">
        <is>
          <t>NORRTÄLJE</t>
        </is>
      </c>
      <c r="F1635" t="inlineStr">
        <is>
          <t>Kommuner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23151-2024</t>
        </is>
      </c>
      <c r="B1636" s="1" t="n">
        <v>45450</v>
      </c>
      <c r="C1636" s="1" t="n">
        <v>45588</v>
      </c>
      <c r="D1636" t="inlineStr">
        <is>
          <t>STOCKHOLMS LÄN</t>
        </is>
      </c>
      <c r="E1636" t="inlineStr">
        <is>
          <t>NORRTÄLJE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23307-2024</t>
        </is>
      </c>
      <c r="B1637" s="1" t="n">
        <v>45453</v>
      </c>
      <c r="C1637" s="1" t="n">
        <v>45588</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23583-2024</t>
        </is>
      </c>
      <c r="B1638" s="1" t="n">
        <v>45454</v>
      </c>
      <c r="C1638" s="1" t="n">
        <v>45588</v>
      </c>
      <c r="D1638" t="inlineStr">
        <is>
          <t>STOCKHOLMS LÄN</t>
        </is>
      </c>
      <c r="E1638" t="inlineStr">
        <is>
          <t>NORRTÄLJE</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23683-2024</t>
        </is>
      </c>
      <c r="B1639" s="1" t="n">
        <v>45454</v>
      </c>
      <c r="C1639" s="1" t="n">
        <v>45588</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23692-2024</t>
        </is>
      </c>
      <c r="B1640" s="1" t="n">
        <v>45454</v>
      </c>
      <c r="C1640" s="1" t="n">
        <v>45588</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23572-2024</t>
        </is>
      </c>
      <c r="B1641" s="1" t="n">
        <v>45454</v>
      </c>
      <c r="C1641" s="1" t="n">
        <v>45588</v>
      </c>
      <c r="D1641" t="inlineStr">
        <is>
          <t>STOCKHOLMS LÄN</t>
        </is>
      </c>
      <c r="E1641" t="inlineStr">
        <is>
          <t>NORRTÄLJE</t>
        </is>
      </c>
      <c r="F1641" t="inlineStr">
        <is>
          <t>Kyrkan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23749-2024</t>
        </is>
      </c>
      <c r="B1642" s="1" t="n">
        <v>45455</v>
      </c>
      <c r="C1642" s="1" t="n">
        <v>45588</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23755-2024</t>
        </is>
      </c>
      <c r="B1643" s="1" t="n">
        <v>45455</v>
      </c>
      <c r="C1643" s="1" t="n">
        <v>45588</v>
      </c>
      <c r="D1643" t="inlineStr">
        <is>
          <t>STOCKHOLMS LÄN</t>
        </is>
      </c>
      <c r="E1643" t="inlineStr">
        <is>
          <t>NORRTÄLJE</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23998-2024</t>
        </is>
      </c>
      <c r="B1644" s="1" t="n">
        <v>45456</v>
      </c>
      <c r="C1644" s="1" t="n">
        <v>45588</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24027-2024</t>
        </is>
      </c>
      <c r="B1645" s="1" t="n">
        <v>45456</v>
      </c>
      <c r="C1645" s="1" t="n">
        <v>45588</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24024-2024</t>
        </is>
      </c>
      <c r="B1646" s="1" t="n">
        <v>45456</v>
      </c>
      <c r="C1646" s="1" t="n">
        <v>45588</v>
      </c>
      <c r="D1646" t="inlineStr">
        <is>
          <t>STOCKHOLMS LÄN</t>
        </is>
      </c>
      <c r="E1646" t="inlineStr">
        <is>
          <t>NORRTÄLJE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23991-2024</t>
        </is>
      </c>
      <c r="B1647" s="1" t="n">
        <v>45456</v>
      </c>
      <c r="C1647" s="1" t="n">
        <v>45588</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24021-2024</t>
        </is>
      </c>
      <c r="B1648" s="1" t="n">
        <v>45456</v>
      </c>
      <c r="C1648" s="1" t="n">
        <v>45588</v>
      </c>
      <c r="D1648" t="inlineStr">
        <is>
          <t>STOCKHOLMS LÄN</t>
        </is>
      </c>
      <c r="E1648" t="inlineStr">
        <is>
          <t>NORRTÄLJE</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24022-2024</t>
        </is>
      </c>
      <c r="B1649" s="1" t="n">
        <v>45456</v>
      </c>
      <c r="C1649" s="1" t="n">
        <v>45588</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24245-2024</t>
        </is>
      </c>
      <c r="B1650" s="1" t="n">
        <v>45457</v>
      </c>
      <c r="C1650" s="1" t="n">
        <v>45588</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24357-2024</t>
        </is>
      </c>
      <c r="B1651" s="1" t="n">
        <v>45457</v>
      </c>
      <c r="C1651" s="1" t="n">
        <v>45588</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24731-2024</t>
        </is>
      </c>
      <c r="B1652" s="1" t="n">
        <v>45460</v>
      </c>
      <c r="C1652" s="1" t="n">
        <v>45588</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24575-2024</t>
        </is>
      </c>
      <c r="B1653" s="1" t="n">
        <v>45460</v>
      </c>
      <c r="C1653" s="1" t="n">
        <v>45588</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24563-2024</t>
        </is>
      </c>
      <c r="B1654" s="1" t="n">
        <v>45460</v>
      </c>
      <c r="C1654" s="1" t="n">
        <v>45588</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24610-2024</t>
        </is>
      </c>
      <c r="B1655" s="1" t="n">
        <v>45460</v>
      </c>
      <c r="C1655" s="1" t="n">
        <v>45588</v>
      </c>
      <c r="D1655" t="inlineStr">
        <is>
          <t>STOCKHOLMS LÄN</t>
        </is>
      </c>
      <c r="E1655" t="inlineStr">
        <is>
          <t>NORRTÄLJE</t>
        </is>
      </c>
      <c r="G1655" t="n">
        <v>18.4</v>
      </c>
      <c r="H1655" t="n">
        <v>0</v>
      </c>
      <c r="I1655" t="n">
        <v>0</v>
      </c>
      <c r="J1655" t="n">
        <v>0</v>
      </c>
      <c r="K1655" t="n">
        <v>0</v>
      </c>
      <c r="L1655" t="n">
        <v>0</v>
      </c>
      <c r="M1655" t="n">
        <v>0</v>
      </c>
      <c r="N1655" t="n">
        <v>0</v>
      </c>
      <c r="O1655" t="n">
        <v>0</v>
      </c>
      <c r="P1655" t="n">
        <v>0</v>
      </c>
      <c r="Q1655" t="n">
        <v>0</v>
      </c>
      <c r="R1655" s="2" t="inlineStr"/>
    </row>
    <row r="1656" ht="15" customHeight="1">
      <c r="A1656" t="inlineStr">
        <is>
          <t>A 24730-2024</t>
        </is>
      </c>
      <c r="B1656" s="1" t="n">
        <v>45460</v>
      </c>
      <c r="C1656" s="1" t="n">
        <v>45588</v>
      </c>
      <c r="D1656" t="inlineStr">
        <is>
          <t>STOCKHOLMS LÄN</t>
        </is>
      </c>
      <c r="E1656" t="inlineStr">
        <is>
          <t>NORRTÄLJE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25301-2024</t>
        </is>
      </c>
      <c r="B1657" s="1" t="n">
        <v>45462</v>
      </c>
      <c r="C1657" s="1" t="n">
        <v>45588</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25055-2024</t>
        </is>
      </c>
      <c r="B1658" s="1" t="n">
        <v>45462</v>
      </c>
      <c r="C1658" s="1" t="n">
        <v>45588</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25565-2024</t>
        </is>
      </c>
      <c r="B1659" s="1" t="n">
        <v>45463</v>
      </c>
      <c r="C1659" s="1" t="n">
        <v>45588</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25681-2024</t>
        </is>
      </c>
      <c r="B1660" s="1" t="n">
        <v>45463</v>
      </c>
      <c r="C1660" s="1" t="n">
        <v>45588</v>
      </c>
      <c r="D1660" t="inlineStr">
        <is>
          <t>STOCKHOLMS LÄN</t>
        </is>
      </c>
      <c r="E1660" t="inlineStr">
        <is>
          <t>NORRTÄLJE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25817-2024</t>
        </is>
      </c>
      <c r="B1661" s="1" t="n">
        <v>45467</v>
      </c>
      <c r="C1661" s="1" t="n">
        <v>45588</v>
      </c>
      <c r="D1661" t="inlineStr">
        <is>
          <t>STOCKHOLMS LÄN</t>
        </is>
      </c>
      <c r="E1661" t="inlineStr">
        <is>
          <t>NORRTÄLJE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26116-2024</t>
        </is>
      </c>
      <c r="B1662" s="1" t="n">
        <v>45468</v>
      </c>
      <c r="C1662" s="1" t="n">
        <v>45588</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26115-2024</t>
        </is>
      </c>
      <c r="B1663" s="1" t="n">
        <v>45468</v>
      </c>
      <c r="C1663" s="1" t="n">
        <v>45588</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26067-2024</t>
        </is>
      </c>
      <c r="B1664" s="1" t="n">
        <v>45468</v>
      </c>
      <c r="C1664" s="1" t="n">
        <v>45588</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26117-2024</t>
        </is>
      </c>
      <c r="B1665" s="1" t="n">
        <v>45468</v>
      </c>
      <c r="C1665" s="1" t="n">
        <v>45588</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26113-2024</t>
        </is>
      </c>
      <c r="B1666" s="1" t="n">
        <v>45468</v>
      </c>
      <c r="C1666" s="1" t="n">
        <v>45588</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26090-2024</t>
        </is>
      </c>
      <c r="B1667" s="1" t="n">
        <v>45468</v>
      </c>
      <c r="C1667" s="1" t="n">
        <v>45588</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26355-2024</t>
        </is>
      </c>
      <c r="B1668" s="1" t="n">
        <v>45469</v>
      </c>
      <c r="C1668" s="1" t="n">
        <v>45588</v>
      </c>
      <c r="D1668" t="inlineStr">
        <is>
          <t>STOCKHOLMS LÄN</t>
        </is>
      </c>
      <c r="E1668" t="inlineStr">
        <is>
          <t>NORRTÄLJE</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26359-2024</t>
        </is>
      </c>
      <c r="B1669" s="1" t="n">
        <v>45469</v>
      </c>
      <c r="C1669" s="1" t="n">
        <v>45588</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26365-2024</t>
        </is>
      </c>
      <c r="B1670" s="1" t="n">
        <v>45469</v>
      </c>
      <c r="C1670" s="1" t="n">
        <v>45588</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26526-2024</t>
        </is>
      </c>
      <c r="B1671" s="1" t="n">
        <v>45469</v>
      </c>
      <c r="C1671" s="1" t="n">
        <v>45588</v>
      </c>
      <c r="D1671" t="inlineStr">
        <is>
          <t>STOCKHOLMS LÄN</t>
        </is>
      </c>
      <c r="E1671" t="inlineStr">
        <is>
          <t>NORRTÄLJE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26407-2024</t>
        </is>
      </c>
      <c r="B1672" s="1" t="n">
        <v>45469</v>
      </c>
      <c r="C1672" s="1" t="n">
        <v>45588</v>
      </c>
      <c r="D1672" t="inlineStr">
        <is>
          <t>STOCKHOLMS LÄN</t>
        </is>
      </c>
      <c r="E1672" t="inlineStr">
        <is>
          <t>NORRTÄLJE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26600-2024</t>
        </is>
      </c>
      <c r="B1673" s="1" t="n">
        <v>45469</v>
      </c>
      <c r="C1673" s="1" t="n">
        <v>45588</v>
      </c>
      <c r="D1673" t="inlineStr">
        <is>
          <t>STOCKHOLMS LÄN</t>
        </is>
      </c>
      <c r="E1673" t="inlineStr">
        <is>
          <t>NORRTÄLJE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26612-2024</t>
        </is>
      </c>
      <c r="B1674" s="1" t="n">
        <v>45469</v>
      </c>
      <c r="C1674" s="1" t="n">
        <v>45588</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26644-2024</t>
        </is>
      </c>
      <c r="B1675" s="1" t="n">
        <v>45469</v>
      </c>
      <c r="C1675" s="1" t="n">
        <v>45588</v>
      </c>
      <c r="D1675" t="inlineStr">
        <is>
          <t>STOCKHOLMS LÄN</t>
        </is>
      </c>
      <c r="E1675" t="inlineStr">
        <is>
          <t>NORRTÄLJE</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26668-2024</t>
        </is>
      </c>
      <c r="B1676" s="1" t="n">
        <v>45469</v>
      </c>
      <c r="C1676" s="1" t="n">
        <v>45588</v>
      </c>
      <c r="D1676" t="inlineStr">
        <is>
          <t>STOCKHOLMS LÄN</t>
        </is>
      </c>
      <c r="E1676" t="inlineStr">
        <is>
          <t>NORRTÄLJE</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26698-2024</t>
        </is>
      </c>
      <c r="B1677" s="1" t="n">
        <v>45470</v>
      </c>
      <c r="C1677" s="1" t="n">
        <v>45588</v>
      </c>
      <c r="D1677" t="inlineStr">
        <is>
          <t>STOCKHOLMS LÄN</t>
        </is>
      </c>
      <c r="E1677" t="inlineStr">
        <is>
          <t>NORRTÄLJE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27059-2024</t>
        </is>
      </c>
      <c r="B1678" s="1" t="n">
        <v>45471</v>
      </c>
      <c r="C1678" s="1" t="n">
        <v>45588</v>
      </c>
      <c r="D1678" t="inlineStr">
        <is>
          <t>STOCKHOLMS LÄN</t>
        </is>
      </c>
      <c r="E1678" t="inlineStr">
        <is>
          <t>NORRTÄLJE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27248-2024</t>
        </is>
      </c>
      <c r="B1679" s="1" t="n">
        <v>45471</v>
      </c>
      <c r="C1679" s="1" t="n">
        <v>45588</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27381-2024</t>
        </is>
      </c>
      <c r="B1680" s="1" t="n">
        <v>45474</v>
      </c>
      <c r="C1680" s="1" t="n">
        <v>45588</v>
      </c>
      <c r="D1680" t="inlineStr">
        <is>
          <t>STOCKHOLMS LÄN</t>
        </is>
      </c>
      <c r="E1680" t="inlineStr">
        <is>
          <t>NORRTÄLJE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27831-2024</t>
        </is>
      </c>
      <c r="B1681" s="1" t="n">
        <v>45475</v>
      </c>
      <c r="C1681" s="1" t="n">
        <v>45588</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28190-2024</t>
        </is>
      </c>
      <c r="B1682" s="1" t="n">
        <v>45477</v>
      </c>
      <c r="C1682" s="1" t="n">
        <v>45588</v>
      </c>
      <c r="D1682" t="inlineStr">
        <is>
          <t>STOCKHOLMS LÄN</t>
        </is>
      </c>
      <c r="E1682" t="inlineStr">
        <is>
          <t>NORRTÄLJE</t>
        </is>
      </c>
      <c r="F1682" t="inlineStr">
        <is>
          <t>Kyrkan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28245-2024</t>
        </is>
      </c>
      <c r="B1683" s="1" t="n">
        <v>45477</v>
      </c>
      <c r="C1683" s="1" t="n">
        <v>45588</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28200-2024</t>
        </is>
      </c>
      <c r="B1684" s="1" t="n">
        <v>45477</v>
      </c>
      <c r="C1684" s="1" t="n">
        <v>45588</v>
      </c>
      <c r="D1684" t="inlineStr">
        <is>
          <t>STOCKHOLMS LÄN</t>
        </is>
      </c>
      <c r="E1684" t="inlineStr">
        <is>
          <t>NORRTÄLJE</t>
        </is>
      </c>
      <c r="F1684" t="inlineStr">
        <is>
          <t>Kyrkan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28603-2024</t>
        </is>
      </c>
      <c r="B1685" s="1" t="n">
        <v>45478</v>
      </c>
      <c r="C1685" s="1" t="n">
        <v>45588</v>
      </c>
      <c r="D1685" t="inlineStr">
        <is>
          <t>STOCKHOLMS LÄN</t>
        </is>
      </c>
      <c r="E1685" t="inlineStr">
        <is>
          <t>NORRTÄLJE</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28764-2024</t>
        </is>
      </c>
      <c r="B1686" s="1" t="n">
        <v>45478</v>
      </c>
      <c r="C1686" s="1" t="n">
        <v>45588</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29210-2024</t>
        </is>
      </c>
      <c r="B1687" s="1" t="n">
        <v>45482</v>
      </c>
      <c r="C1687" s="1" t="n">
        <v>45588</v>
      </c>
      <c r="D1687" t="inlineStr">
        <is>
          <t>STOCKHOLMS LÄN</t>
        </is>
      </c>
      <c r="E1687" t="inlineStr">
        <is>
          <t>NORRTÄLJE</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29176-2024</t>
        </is>
      </c>
      <c r="B1688" s="1" t="n">
        <v>45482</v>
      </c>
      <c r="C1688" s="1" t="n">
        <v>45588</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29369-2024</t>
        </is>
      </c>
      <c r="B1689" s="1" t="n">
        <v>45483</v>
      </c>
      <c r="C1689" s="1" t="n">
        <v>45588</v>
      </c>
      <c r="D1689" t="inlineStr">
        <is>
          <t>STOCKHOLMS LÄN</t>
        </is>
      </c>
      <c r="E1689" t="inlineStr">
        <is>
          <t>NORRTÄLJE</t>
        </is>
      </c>
      <c r="G1689" t="n">
        <v>15.9</v>
      </c>
      <c r="H1689" t="n">
        <v>0</v>
      </c>
      <c r="I1689" t="n">
        <v>0</v>
      </c>
      <c r="J1689" t="n">
        <v>0</v>
      </c>
      <c r="K1689" t="n">
        <v>0</v>
      </c>
      <c r="L1689" t="n">
        <v>0</v>
      </c>
      <c r="M1689" t="n">
        <v>0</v>
      </c>
      <c r="N1689" t="n">
        <v>0</v>
      </c>
      <c r="O1689" t="n">
        <v>0</v>
      </c>
      <c r="P1689" t="n">
        <v>0</v>
      </c>
      <c r="Q1689" t="n">
        <v>0</v>
      </c>
      <c r="R1689" s="2" t="inlineStr"/>
    </row>
    <row r="1690" ht="15" customHeight="1">
      <c r="A1690" t="inlineStr">
        <is>
          <t>A 29419-2024</t>
        </is>
      </c>
      <c r="B1690" s="1" t="n">
        <v>45483</v>
      </c>
      <c r="C1690" s="1" t="n">
        <v>45588</v>
      </c>
      <c r="D1690" t="inlineStr">
        <is>
          <t>STOCKHOLMS LÄN</t>
        </is>
      </c>
      <c r="E1690" t="inlineStr">
        <is>
          <t>NORRTÄLJE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29504-2024</t>
        </is>
      </c>
      <c r="B1691" s="1" t="n">
        <v>45484</v>
      </c>
      <c r="C1691" s="1" t="n">
        <v>45588</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29589-2024</t>
        </is>
      </c>
      <c r="B1692" s="1" t="n">
        <v>45484</v>
      </c>
      <c r="C1692" s="1" t="n">
        <v>45588</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29583-2024</t>
        </is>
      </c>
      <c r="B1693" s="1" t="n">
        <v>45484</v>
      </c>
      <c r="C1693" s="1" t="n">
        <v>45588</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29578-2024</t>
        </is>
      </c>
      <c r="B1694" s="1" t="n">
        <v>45484</v>
      </c>
      <c r="C1694" s="1" t="n">
        <v>45588</v>
      </c>
      <c r="D1694" t="inlineStr">
        <is>
          <t>STOCKHOLMS LÄN</t>
        </is>
      </c>
      <c r="E1694" t="inlineStr">
        <is>
          <t>NORRTÄLJE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29505-2024</t>
        </is>
      </c>
      <c r="B1695" s="1" t="n">
        <v>45484</v>
      </c>
      <c r="C1695" s="1" t="n">
        <v>45588</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29972-2024</t>
        </is>
      </c>
      <c r="B1696" s="1" t="n">
        <v>45485</v>
      </c>
      <c r="C1696" s="1" t="n">
        <v>45588</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29841-2024</t>
        </is>
      </c>
      <c r="B1697" s="1" t="n">
        <v>45485</v>
      </c>
      <c r="C1697" s="1" t="n">
        <v>45588</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30108-2024</t>
        </is>
      </c>
      <c r="B1698" s="1" t="n">
        <v>45487</v>
      </c>
      <c r="C1698" s="1" t="n">
        <v>45588</v>
      </c>
      <c r="D1698" t="inlineStr">
        <is>
          <t>STOCKHOLMS LÄN</t>
        </is>
      </c>
      <c r="E1698" t="inlineStr">
        <is>
          <t>NORRTÄLJE</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30033-2024</t>
        </is>
      </c>
      <c r="B1699" s="1" t="n">
        <v>45488</v>
      </c>
      <c r="C1699" s="1" t="n">
        <v>45588</v>
      </c>
      <c r="D1699" t="inlineStr">
        <is>
          <t>STOCKHOLMS LÄN</t>
        </is>
      </c>
      <c r="E1699" t="inlineStr">
        <is>
          <t>NORRTÄLJE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29994-2024</t>
        </is>
      </c>
      <c r="B1700" s="1" t="n">
        <v>45488</v>
      </c>
      <c r="C1700" s="1" t="n">
        <v>45588</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30096-2024</t>
        </is>
      </c>
      <c r="B1701" s="1" t="n">
        <v>45489</v>
      </c>
      <c r="C1701" s="1" t="n">
        <v>45588</v>
      </c>
      <c r="D1701" t="inlineStr">
        <is>
          <t>STOCKHOLMS LÄN</t>
        </is>
      </c>
      <c r="E1701" t="inlineStr">
        <is>
          <t>NORRTÄLJE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30221-2024</t>
        </is>
      </c>
      <c r="B1702" s="1" t="n">
        <v>45490</v>
      </c>
      <c r="C1702" s="1" t="n">
        <v>45588</v>
      </c>
      <c r="D1702" t="inlineStr">
        <is>
          <t>STOCKHOLMS LÄN</t>
        </is>
      </c>
      <c r="E1702" t="inlineStr">
        <is>
          <t>NORRTÄLJE</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30268-2024</t>
        </is>
      </c>
      <c r="B1703" s="1" t="n">
        <v>45490</v>
      </c>
      <c r="C1703" s="1" t="n">
        <v>45588</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30323-2024</t>
        </is>
      </c>
      <c r="B1704" s="1" t="n">
        <v>45490</v>
      </c>
      <c r="C1704" s="1" t="n">
        <v>45588</v>
      </c>
      <c r="D1704" t="inlineStr">
        <is>
          <t>STOCKHOLMS LÄN</t>
        </is>
      </c>
      <c r="E1704" t="inlineStr">
        <is>
          <t>NORRTÄLJE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30396-2024</t>
        </is>
      </c>
      <c r="B1705" s="1" t="n">
        <v>45491</v>
      </c>
      <c r="C1705" s="1" t="n">
        <v>45588</v>
      </c>
      <c r="D1705" t="inlineStr">
        <is>
          <t>STOCKHOLMS LÄN</t>
        </is>
      </c>
      <c r="E1705" t="inlineStr">
        <is>
          <t>NORRTÄLJE</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30553-2024</t>
        </is>
      </c>
      <c r="B1706" s="1" t="n">
        <v>45492</v>
      </c>
      <c r="C1706" s="1" t="n">
        <v>45588</v>
      </c>
      <c r="D1706" t="inlineStr">
        <is>
          <t>STOCKHOLMS LÄN</t>
        </is>
      </c>
      <c r="E1706" t="inlineStr">
        <is>
          <t>NORRTÄLJE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30666-2024</t>
        </is>
      </c>
      <c r="B1707" s="1" t="n">
        <v>45495</v>
      </c>
      <c r="C1707" s="1" t="n">
        <v>45588</v>
      </c>
      <c r="D1707" t="inlineStr">
        <is>
          <t>STOCKHOLMS LÄN</t>
        </is>
      </c>
      <c r="E1707" t="inlineStr">
        <is>
          <t>NORRTÄLJE</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30963-2024</t>
        </is>
      </c>
      <c r="B1708" s="1" t="n">
        <v>45499</v>
      </c>
      <c r="C1708" s="1" t="n">
        <v>45588</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30995-2024</t>
        </is>
      </c>
      <c r="B1709" s="1" t="n">
        <v>45499</v>
      </c>
      <c r="C1709" s="1" t="n">
        <v>45588</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31027-2024</t>
        </is>
      </c>
      <c r="B1710" s="1" t="n">
        <v>45501</v>
      </c>
      <c r="C1710" s="1" t="n">
        <v>45588</v>
      </c>
      <c r="D1710" t="inlineStr">
        <is>
          <t>STOCKHOLMS LÄN</t>
        </is>
      </c>
      <c r="E1710" t="inlineStr">
        <is>
          <t>NORRTÄLJE</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31228-2024</t>
        </is>
      </c>
      <c r="B1711" s="1" t="n">
        <v>45503</v>
      </c>
      <c r="C1711" s="1" t="n">
        <v>45588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31232-2024</t>
        </is>
      </c>
      <c r="B1712" s="1" t="n">
        <v>45503</v>
      </c>
      <c r="C1712" s="1" t="n">
        <v>45588</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31343-2024</t>
        </is>
      </c>
      <c r="B1713" s="1" t="n">
        <v>45504</v>
      </c>
      <c r="C1713" s="1" t="n">
        <v>45588</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31311-2024</t>
        </is>
      </c>
      <c r="B1714" s="1" t="n">
        <v>45504</v>
      </c>
      <c r="C1714" s="1" t="n">
        <v>45588</v>
      </c>
      <c r="D1714" t="inlineStr">
        <is>
          <t>STOCKHOLMS LÄN</t>
        </is>
      </c>
      <c r="E1714" t="inlineStr">
        <is>
          <t>NORRTÄLJE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31279-2024</t>
        </is>
      </c>
      <c r="B1715" s="1" t="n">
        <v>45504</v>
      </c>
      <c r="C1715" s="1" t="n">
        <v>45588</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32874-2024</t>
        </is>
      </c>
      <c r="B1716" s="1" t="n">
        <v>45516</v>
      </c>
      <c r="C1716" s="1" t="n">
        <v>45588</v>
      </c>
      <c r="D1716" t="inlineStr">
        <is>
          <t>STOCKHOLMS LÄN</t>
        </is>
      </c>
      <c r="E1716" t="inlineStr">
        <is>
          <t>NORRTÄLJE</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32706-2024</t>
        </is>
      </c>
      <c r="B1717" s="1" t="n">
        <v>45516</v>
      </c>
      <c r="C1717" s="1" t="n">
        <v>45588</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33173-2024</t>
        </is>
      </c>
      <c r="B1718" s="1" t="n">
        <v>45518</v>
      </c>
      <c r="C1718" s="1" t="n">
        <v>45588</v>
      </c>
      <c r="D1718" t="inlineStr">
        <is>
          <t>STOCKHOLMS LÄN</t>
        </is>
      </c>
      <c r="E1718" t="inlineStr">
        <is>
          <t>NORRTÄLJE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33226-2024</t>
        </is>
      </c>
      <c r="B1719" s="1" t="n">
        <v>45518</v>
      </c>
      <c r="C1719" s="1" t="n">
        <v>45588</v>
      </c>
      <c r="D1719" t="inlineStr">
        <is>
          <t>STOCKHOLMS LÄN</t>
        </is>
      </c>
      <c r="E1719" t="inlineStr">
        <is>
          <t>NORRTÄLJE</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33175-2024</t>
        </is>
      </c>
      <c r="B1720" s="1" t="n">
        <v>45518</v>
      </c>
      <c r="C1720" s="1" t="n">
        <v>45588</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33385-2024</t>
        </is>
      </c>
      <c r="B1721" s="1" t="n">
        <v>45519</v>
      </c>
      <c r="C1721" s="1" t="n">
        <v>45588</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33592-2024</t>
        </is>
      </c>
      <c r="B1722" s="1" t="n">
        <v>45520</v>
      </c>
      <c r="C1722" s="1" t="n">
        <v>45588</v>
      </c>
      <c r="D1722" t="inlineStr">
        <is>
          <t>STOCKHOLMS LÄN</t>
        </is>
      </c>
      <c r="E1722" t="inlineStr">
        <is>
          <t>NORRTÄLJE</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33878-2024</t>
        </is>
      </c>
      <c r="B1723" s="1" t="n">
        <v>45522</v>
      </c>
      <c r="C1723" s="1" t="n">
        <v>45588</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34295-2024</t>
        </is>
      </c>
      <c r="B1724" s="1" t="n">
        <v>45524</v>
      </c>
      <c r="C1724" s="1" t="n">
        <v>45588</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34444-2024</t>
        </is>
      </c>
      <c r="B1725" s="1" t="n">
        <v>45525</v>
      </c>
      <c r="C1725" s="1" t="n">
        <v>45588</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34547-2024</t>
        </is>
      </c>
      <c r="B1726" s="1" t="n">
        <v>45525</v>
      </c>
      <c r="C1726" s="1" t="n">
        <v>45588</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34583-2024</t>
        </is>
      </c>
      <c r="B1727" s="1" t="n">
        <v>45526</v>
      </c>
      <c r="C1727" s="1" t="n">
        <v>45588</v>
      </c>
      <c r="D1727" t="inlineStr">
        <is>
          <t>STOCKHOLMS LÄN</t>
        </is>
      </c>
      <c r="E1727" t="inlineStr">
        <is>
          <t>NORRTÄLJE</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35239-2024</t>
        </is>
      </c>
      <c r="B1728" s="1" t="n">
        <v>45530</v>
      </c>
      <c r="C1728" s="1" t="n">
        <v>45588</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35235-2024</t>
        </is>
      </c>
      <c r="B1729" s="1" t="n">
        <v>45530</v>
      </c>
      <c r="C1729" s="1" t="n">
        <v>45588</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35532-2024</t>
        </is>
      </c>
      <c r="B1730" s="1" t="n">
        <v>45531</v>
      </c>
      <c r="C1730" s="1" t="n">
        <v>45588</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35467-2024</t>
        </is>
      </c>
      <c r="B1731" s="1" t="n">
        <v>45531</v>
      </c>
      <c r="C1731" s="1" t="n">
        <v>45588</v>
      </c>
      <c r="D1731" t="inlineStr">
        <is>
          <t>STOCKHOLMS LÄN</t>
        </is>
      </c>
      <c r="E1731" t="inlineStr">
        <is>
          <t>NORRTÄLJE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35640-2024</t>
        </is>
      </c>
      <c r="B1732" s="1" t="n">
        <v>45531</v>
      </c>
      <c r="C1732" s="1" t="n">
        <v>45588</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35719-2024</t>
        </is>
      </c>
      <c r="B1733" s="1" t="n">
        <v>45532</v>
      </c>
      <c r="C1733" s="1" t="n">
        <v>45588</v>
      </c>
      <c r="D1733" t="inlineStr">
        <is>
          <t>STOCKHOLMS LÄN</t>
        </is>
      </c>
      <c r="E1733" t="inlineStr">
        <is>
          <t>NORRTÄLJE</t>
        </is>
      </c>
      <c r="F1733" t="inlineStr">
        <is>
          <t>Holmen skog AB</t>
        </is>
      </c>
      <c r="G1733" t="n">
        <v>15.2</v>
      </c>
      <c r="H1733" t="n">
        <v>0</v>
      </c>
      <c r="I1733" t="n">
        <v>0</v>
      </c>
      <c r="J1733" t="n">
        <v>0</v>
      </c>
      <c r="K1733" t="n">
        <v>0</v>
      </c>
      <c r="L1733" t="n">
        <v>0</v>
      </c>
      <c r="M1733" t="n">
        <v>0</v>
      </c>
      <c r="N1733" t="n">
        <v>0</v>
      </c>
      <c r="O1733" t="n">
        <v>0</v>
      </c>
      <c r="P1733" t="n">
        <v>0</v>
      </c>
      <c r="Q1733" t="n">
        <v>0</v>
      </c>
      <c r="R1733" s="2" t="inlineStr"/>
    </row>
    <row r="1734" ht="15" customHeight="1">
      <c r="A1734" t="inlineStr">
        <is>
          <t>A 35782-2024</t>
        </is>
      </c>
      <c r="B1734" s="1" t="n">
        <v>45532</v>
      </c>
      <c r="C1734" s="1" t="n">
        <v>45588</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35647-2024</t>
        </is>
      </c>
      <c r="B1735" s="1" t="n">
        <v>45532</v>
      </c>
      <c r="C1735" s="1" t="n">
        <v>45588</v>
      </c>
      <c r="D1735" t="inlineStr">
        <is>
          <t>STOCKHOLMS LÄN</t>
        </is>
      </c>
      <c r="E1735" t="inlineStr">
        <is>
          <t>NORRTÄLJE</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35916-2024</t>
        </is>
      </c>
      <c r="B1736" s="1" t="n">
        <v>45533</v>
      </c>
      <c r="C1736" s="1" t="n">
        <v>45588</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36157-2024</t>
        </is>
      </c>
      <c r="B1737" s="1" t="n">
        <v>45534</v>
      </c>
      <c r="C1737" s="1" t="n">
        <v>45588</v>
      </c>
      <c r="D1737" t="inlineStr">
        <is>
          <t>STOCKHOLMS LÄN</t>
        </is>
      </c>
      <c r="E1737" t="inlineStr">
        <is>
          <t>NORRTÄLJE</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36430-2024</t>
        </is>
      </c>
      <c r="B1738" s="1" t="n">
        <v>45536</v>
      </c>
      <c r="C1738" s="1" t="n">
        <v>45588</v>
      </c>
      <c r="D1738" t="inlineStr">
        <is>
          <t>STOCKHOLMS LÄN</t>
        </is>
      </c>
      <c r="E1738" t="inlineStr">
        <is>
          <t>NORRTÄLJE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36556-2024</t>
        </is>
      </c>
      <c r="B1739" s="1" t="n">
        <v>45537</v>
      </c>
      <c r="C1739" s="1" t="n">
        <v>45588</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36625-2024</t>
        </is>
      </c>
      <c r="B1740" s="1" t="n">
        <v>45537</v>
      </c>
      <c r="C1740" s="1" t="n">
        <v>45588</v>
      </c>
      <c r="D1740" t="inlineStr">
        <is>
          <t>STOCKHOLMS LÄN</t>
        </is>
      </c>
      <c r="E1740" t="inlineStr">
        <is>
          <t>NORRTÄLJE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37273-2024</t>
        </is>
      </c>
      <c r="B1741" s="1" t="n">
        <v>45540</v>
      </c>
      <c r="C1741" s="1" t="n">
        <v>45588</v>
      </c>
      <c r="D1741" t="inlineStr">
        <is>
          <t>STOCKHOLMS LÄN</t>
        </is>
      </c>
      <c r="E1741" t="inlineStr">
        <is>
          <t>NORRTÄLJE</t>
        </is>
      </c>
      <c r="F1741" t="inlineStr">
        <is>
          <t>Sveaskog</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37663-2024</t>
        </is>
      </c>
      <c r="B1742" s="1" t="n">
        <v>45541</v>
      </c>
      <c r="C1742" s="1" t="n">
        <v>45588</v>
      </c>
      <c r="D1742" t="inlineStr">
        <is>
          <t>STOCKHOLMS LÄN</t>
        </is>
      </c>
      <c r="E1742" t="inlineStr">
        <is>
          <t>NORRTÄLJE</t>
        </is>
      </c>
      <c r="F1742" t="inlineStr">
        <is>
          <t>Holmen skog AB</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37684-2024</t>
        </is>
      </c>
      <c r="B1743" s="1" t="n">
        <v>45541</v>
      </c>
      <c r="C1743" s="1" t="n">
        <v>45588</v>
      </c>
      <c r="D1743" t="inlineStr">
        <is>
          <t>STOCKHOLMS LÄN</t>
        </is>
      </c>
      <c r="E1743" t="inlineStr">
        <is>
          <t>NORRTÄLJE</t>
        </is>
      </c>
      <c r="F1743" t="inlineStr">
        <is>
          <t>Holmen skog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37980-2024</t>
        </is>
      </c>
      <c r="B1744" s="1" t="n">
        <v>45544</v>
      </c>
      <c r="C1744" s="1" t="n">
        <v>45588</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38073-2024</t>
        </is>
      </c>
      <c r="B1745" s="1" t="n">
        <v>45544</v>
      </c>
      <c r="C1745" s="1" t="n">
        <v>45588</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38878-2024</t>
        </is>
      </c>
      <c r="B1746" s="1" t="n">
        <v>45547</v>
      </c>
      <c r="C1746" s="1" t="n">
        <v>45588</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38889-2024</t>
        </is>
      </c>
      <c r="B1747" s="1" t="n">
        <v>45547</v>
      </c>
      <c r="C1747" s="1" t="n">
        <v>45588</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39203-2024</t>
        </is>
      </c>
      <c r="B1748" s="1" t="n">
        <v>45548</v>
      </c>
      <c r="C1748" s="1" t="n">
        <v>45588</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v>
      </c>
      <c r="C1749" s="1" t="n">
        <v>45588</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39238-2024</t>
        </is>
      </c>
      <c r="B1750" s="1" t="n">
        <v>45549</v>
      </c>
      <c r="C1750" s="1" t="n">
        <v>45588</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39237-2024</t>
        </is>
      </c>
      <c r="B1751" s="1" t="n">
        <v>45549</v>
      </c>
      <c r="C1751" s="1" t="n">
        <v>45588</v>
      </c>
      <c r="D1751" t="inlineStr">
        <is>
          <t>STOCKHOLMS LÄN</t>
        </is>
      </c>
      <c r="E1751" t="inlineStr">
        <is>
          <t>NORRTÄLJE</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39669-2024</t>
        </is>
      </c>
      <c r="B1752" s="1" t="n">
        <v>45552</v>
      </c>
      <c r="C1752" s="1" t="n">
        <v>45588</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39667-2024</t>
        </is>
      </c>
      <c r="B1753" s="1" t="n">
        <v>45552</v>
      </c>
      <c r="C1753" s="1" t="n">
        <v>45588</v>
      </c>
      <c r="D1753" t="inlineStr">
        <is>
          <t>STOCKHOLMS LÄN</t>
        </is>
      </c>
      <c r="E1753" t="inlineStr">
        <is>
          <t>NORRTÄLJE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39913-2024</t>
        </is>
      </c>
      <c r="B1754" s="1" t="n">
        <v>45553</v>
      </c>
      <c r="C1754" s="1" t="n">
        <v>45588</v>
      </c>
      <c r="D1754" t="inlineStr">
        <is>
          <t>STOCKHOLMS LÄN</t>
        </is>
      </c>
      <c r="E1754" t="inlineStr">
        <is>
          <t>NORRTÄLJE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40175-2024</t>
        </is>
      </c>
      <c r="B1755" s="1" t="n">
        <v>45554</v>
      </c>
      <c r="C1755" s="1" t="n">
        <v>45588</v>
      </c>
      <c r="D1755" t="inlineStr">
        <is>
          <t>STOCKHOLMS LÄN</t>
        </is>
      </c>
      <c r="E1755" t="inlineStr">
        <is>
          <t>NORRTÄLJE</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40761-2024</t>
        </is>
      </c>
      <c r="B1756" s="1" t="n">
        <v>45558</v>
      </c>
      <c r="C1756" s="1" t="n">
        <v>45588</v>
      </c>
      <c r="D1756" t="inlineStr">
        <is>
          <t>STOCKHOLMS LÄN</t>
        </is>
      </c>
      <c r="E1756" t="inlineStr">
        <is>
          <t>NORRTÄLJE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41219-2024</t>
        </is>
      </c>
      <c r="B1757" s="1" t="n">
        <v>45559</v>
      </c>
      <c r="C1757" s="1" t="n">
        <v>45588</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45588</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45588</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45588</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41310-2024</t>
        </is>
      </c>
      <c r="B1761" s="1" t="n">
        <v>45559</v>
      </c>
      <c r="C1761" s="1" t="n">
        <v>45588</v>
      </c>
      <c r="D1761" t="inlineStr">
        <is>
          <t>STOCKHOLMS LÄN</t>
        </is>
      </c>
      <c r="E1761" t="inlineStr">
        <is>
          <t>NORRTÄLJE</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41342-2024</t>
        </is>
      </c>
      <c r="B1762" s="1" t="n">
        <v>45559</v>
      </c>
      <c r="C1762" s="1" t="n">
        <v>45588</v>
      </c>
      <c r="D1762" t="inlineStr">
        <is>
          <t>STOCKHOLMS LÄN</t>
        </is>
      </c>
      <c r="E1762" t="inlineStr">
        <is>
          <t>NORRTÄLJE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41976-2024</t>
        </is>
      </c>
      <c r="B1763" s="1" t="n">
        <v>45561</v>
      </c>
      <c r="C1763" s="1" t="n">
        <v>45588</v>
      </c>
      <c r="D1763" t="inlineStr">
        <is>
          <t>STOCKHOLMS LÄN</t>
        </is>
      </c>
      <c r="E1763" t="inlineStr">
        <is>
          <t>NORRTÄLJE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44032-2024</t>
        </is>
      </c>
      <c r="B1764" s="1" t="n">
        <v>45572</v>
      </c>
      <c r="C1764" s="1" t="n">
        <v>45588</v>
      </c>
      <c r="D1764" t="inlineStr">
        <is>
          <t>STOCKHOLMS LÄN</t>
        </is>
      </c>
      <c r="E1764" t="inlineStr">
        <is>
          <t>NORRTÄLJE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44776-2024</t>
        </is>
      </c>
      <c r="B1765" s="1" t="n">
        <v>45574</v>
      </c>
      <c r="C1765" s="1" t="n">
        <v>45588</v>
      </c>
      <c r="D1765" t="inlineStr">
        <is>
          <t>STOCKHOLMS LÄN</t>
        </is>
      </c>
      <c r="E1765" t="inlineStr">
        <is>
          <t>NORRTÄLJE</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44821-2024</t>
        </is>
      </c>
      <c r="B1766" s="1" t="n">
        <v>45574</v>
      </c>
      <c r="C1766" s="1" t="n">
        <v>45588</v>
      </c>
      <c r="D1766" t="inlineStr">
        <is>
          <t>STOCKHOLMS LÄN</t>
        </is>
      </c>
      <c r="E1766" t="inlineStr">
        <is>
          <t>NORRTÄLJE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45220-2024</t>
        </is>
      </c>
      <c r="B1767" s="1" t="n">
        <v>45575</v>
      </c>
      <c r="C1767" s="1" t="n">
        <v>45588</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45247-2024</t>
        </is>
      </c>
      <c r="B1768" s="1" t="n">
        <v>45576</v>
      </c>
      <c r="C1768" s="1" t="n">
        <v>45588</v>
      </c>
      <c r="D1768" t="inlineStr">
        <is>
          <t>STOCKHOLMS LÄN</t>
        </is>
      </c>
      <c r="E1768" t="inlineStr">
        <is>
          <t>NORRTÄLJE</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45254-2024</t>
        </is>
      </c>
      <c r="B1769" s="1" t="n">
        <v>45576</v>
      </c>
      <c r="C1769" s="1" t="n">
        <v>45588</v>
      </c>
      <c r="D1769" t="inlineStr">
        <is>
          <t>STOCKHOLMS LÄN</t>
        </is>
      </c>
      <c r="E1769" t="inlineStr">
        <is>
          <t>NORRTÄLJE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45451-2024</t>
        </is>
      </c>
      <c r="B1770" s="1" t="n">
        <v>45576</v>
      </c>
      <c r="C1770" s="1" t="n">
        <v>45588</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45739-2024</t>
        </is>
      </c>
      <c r="B1771" s="1" t="n">
        <v>45579</v>
      </c>
      <c r="C1771" s="1" t="n">
        <v>45588</v>
      </c>
      <c r="D1771" t="inlineStr">
        <is>
          <t>STOCKHOLMS LÄN</t>
        </is>
      </c>
      <c r="E1771" t="inlineStr">
        <is>
          <t>NORRTÄLJE</t>
        </is>
      </c>
      <c r="G1771" t="n">
        <v>21.9</v>
      </c>
      <c r="H1771" t="n">
        <v>0</v>
      </c>
      <c r="I1771" t="n">
        <v>0</v>
      </c>
      <c r="J1771" t="n">
        <v>0</v>
      </c>
      <c r="K1771" t="n">
        <v>0</v>
      </c>
      <c r="L1771" t="n">
        <v>0</v>
      </c>
      <c r="M1771" t="n">
        <v>0</v>
      </c>
      <c r="N1771" t="n">
        <v>0</v>
      </c>
      <c r="O1771" t="n">
        <v>0</v>
      </c>
      <c r="P1771" t="n">
        <v>0</v>
      </c>
      <c r="Q1771" t="n">
        <v>0</v>
      </c>
      <c r="R1771" s="2" t="inlineStr"/>
    </row>
    <row r="1772" ht="15" customHeight="1">
      <c r="A1772" t="inlineStr">
        <is>
          <t>A 45746-2024</t>
        </is>
      </c>
      <c r="B1772" s="1" t="n">
        <v>45579</v>
      </c>
      <c r="C1772" s="1" t="n">
        <v>45588</v>
      </c>
      <c r="D1772" t="inlineStr">
        <is>
          <t>STOCKHOLMS LÄN</t>
        </is>
      </c>
      <c r="E1772" t="inlineStr">
        <is>
          <t>NORRTÄLJE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46073-2024</t>
        </is>
      </c>
      <c r="B1773" s="1" t="n">
        <v>45581</v>
      </c>
      <c r="C1773" s="1" t="n">
        <v>45588</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46326-2024</t>
        </is>
      </c>
      <c r="B1774" s="1" t="n">
        <v>45581</v>
      </c>
      <c r="C1774" s="1" t="n">
        <v>45588</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45588</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46333-2024</t>
        </is>
      </c>
      <c r="B1776" s="1" t="n">
        <v>45581</v>
      </c>
      <c r="C1776" s="1" t="n">
        <v>45588</v>
      </c>
      <c r="D1776" t="inlineStr">
        <is>
          <t>STOCKHOLMS LÄN</t>
        </is>
      </c>
      <c r="E1776" t="inlineStr">
        <is>
          <t>NORRTÄLJE</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46448-2024</t>
        </is>
      </c>
      <c r="B1777" s="1" t="n">
        <v>45582</v>
      </c>
      <c r="C1777" s="1" t="n">
        <v>45588</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46807-2024</t>
        </is>
      </c>
      <c r="B1778" s="1" t="n">
        <v>45583</v>
      </c>
      <c r="C1778" s="1" t="n">
        <v>45588</v>
      </c>
      <c r="D1778" t="inlineStr">
        <is>
          <t>STOCKHOLMS LÄN</t>
        </is>
      </c>
      <c r="E1778" t="inlineStr">
        <is>
          <t>NORRTÄLJE</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46988-2024</t>
        </is>
      </c>
      <c r="B1779" s="1" t="n">
        <v>45586</v>
      </c>
      <c r="C1779" s="1" t="n">
        <v>45588</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47259-2024</t>
        </is>
      </c>
      <c r="B1780" s="1" t="n">
        <v>45586</v>
      </c>
      <c r="C1780" s="1" t="n">
        <v>45588</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47257-2024</t>
        </is>
      </c>
      <c r="B1781" s="1" t="n">
        <v>45586</v>
      </c>
      <c r="C1781" s="1" t="n">
        <v>45588</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47481-2024</t>
        </is>
      </c>
      <c r="B1782" s="1" t="n">
        <v>45587</v>
      </c>
      <c r="C1782" s="1" t="n">
        <v>45588</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c r="A1783" t="inlineStr">
        <is>
          <t>A 47521-2024</t>
        </is>
      </c>
      <c r="B1783" s="1" t="n">
        <v>45587</v>
      </c>
      <c r="C1783" s="1" t="n">
        <v>45588</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2024-10-23T13:13:43Z</dcterms:created>
  <dcterms:modified xmlns:dcterms="http://purl.org/dc/terms/" xmlns:xsi="http://www.w3.org/2001/XMLSchema-instance" xsi:type="dcterms:W3CDTF">2024-10-23T13:13:45Z</dcterms:modified>
</cp:coreProperties>
</file>