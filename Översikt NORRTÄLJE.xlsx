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46194</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46194</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46194</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46194</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46194</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46194</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46194</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46194</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46194</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46194</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46194</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46194</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46194</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46194</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46194</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46194</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46194</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46194</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50326-2024</t>
        </is>
      </c>
      <c r="B20" s="1" t="n">
        <v>45600</v>
      </c>
      <c r="C20" s="1" t="n">
        <v>46194</v>
      </c>
      <c r="D20" t="inlineStr">
        <is>
          <t>STOCKHOLMS LÄN</t>
        </is>
      </c>
      <c r="E20" t="inlineStr">
        <is>
          <t>NORRTÄLJE</t>
        </is>
      </c>
      <c r="G20" t="n">
        <v>23.9</v>
      </c>
      <c r="H20" t="n">
        <v>5</v>
      </c>
      <c r="I20" t="n">
        <v>5</v>
      </c>
      <c r="J20" t="n">
        <v>2</v>
      </c>
      <c r="K20" t="n">
        <v>0</v>
      </c>
      <c r="L20" t="n">
        <v>0</v>
      </c>
      <c r="M20" t="n">
        <v>0</v>
      </c>
      <c r="N20" t="n">
        <v>0</v>
      </c>
      <c r="O20" t="n">
        <v>2</v>
      </c>
      <c r="P20" t="n">
        <v>0</v>
      </c>
      <c r="Q20" t="n">
        <v>11</v>
      </c>
      <c r="R20" s="2" t="inlineStr">
        <is>
          <t>Sommarfibbla
Vårärt
Nästrot
Slät lönnlav
Svart trolldruva
Tibast
Tvåblad
Blåsippa
Tandrot
Fläcknycklar
Gullviva</t>
        </is>
      </c>
      <c r="S20">
        <f>HYPERLINK("https://klasma.github.io/Logging_0188/artfynd/A 50326-2024 artfynd.xlsx", "A 50326-2024")</f>
        <v/>
      </c>
      <c r="T20">
        <f>HYPERLINK("https://klasma.github.io/Logging_0188/kartor/A 50326-2024 karta.png", "A 50326-2024")</f>
        <v/>
      </c>
      <c r="V20">
        <f>HYPERLINK("https://klasma.github.io/Logging_0188/klagomål/A 50326-2024 FSC-klagomål.docx", "A 50326-2024")</f>
        <v/>
      </c>
      <c r="W20">
        <f>HYPERLINK("https://klasma.github.io/Logging_0188/klagomålsmail/A 50326-2024 FSC-klagomål mail.docx", "A 50326-2024")</f>
        <v/>
      </c>
      <c r="X20">
        <f>HYPERLINK("https://klasma.github.io/Logging_0188/tillsyn/A 50326-2024 tillsynsbegäran.docx", "A 50326-2024")</f>
        <v/>
      </c>
      <c r="Y20">
        <f>HYPERLINK("https://klasma.github.io/Logging_0188/tillsynsmail/A 50326-2024 tillsynsbegäran mail.docx", "A 50326-2024")</f>
        <v/>
      </c>
    </row>
    <row r="21" ht="15" customHeight="1">
      <c r="A21" t="inlineStr">
        <is>
          <t>A 73093-2021</t>
        </is>
      </c>
      <c r="B21" s="1" t="n">
        <v>44550</v>
      </c>
      <c r="C21" s="1" t="n">
        <v>46194</v>
      </c>
      <c r="D21" t="inlineStr">
        <is>
          <t>STOCKHOLMS LÄN</t>
        </is>
      </c>
      <c r="E21" t="inlineStr">
        <is>
          <t>NORRTÄLJE</t>
        </is>
      </c>
      <c r="G21" t="n">
        <v>5.1</v>
      </c>
      <c r="H21" t="n">
        <v>8</v>
      </c>
      <c r="I21" t="n">
        <v>6</v>
      </c>
      <c r="J21" t="n">
        <v>1</v>
      </c>
      <c r="K21" t="n">
        <v>0</v>
      </c>
      <c r="L21" t="n">
        <v>0</v>
      </c>
      <c r="M21" t="n">
        <v>0</v>
      </c>
      <c r="N21" t="n">
        <v>0</v>
      </c>
      <c r="O21" t="n">
        <v>1</v>
      </c>
      <c r="P21" t="n">
        <v>0</v>
      </c>
      <c r="Q21" t="n">
        <v>11</v>
      </c>
      <c r="R21" s="2" t="inlineStr">
        <is>
          <t>Rödvingetrast
Guckusko
Myskmadra
Nästrot
Skogsknipprot
Tibast
Vätteros
Blåsippa
Spillkråka
Grönsiska
Nattviol</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25732-2025</t>
        </is>
      </c>
      <c r="B22" s="1" t="n">
        <v>45800</v>
      </c>
      <c r="C22" s="1" t="n">
        <v>46194</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3472-2023</t>
        </is>
      </c>
      <c r="B23" s="1" t="n">
        <v>44949</v>
      </c>
      <c r="C23" s="1" t="n">
        <v>46194</v>
      </c>
      <c r="D23" t="inlineStr">
        <is>
          <t>STOCKHOLMS LÄN</t>
        </is>
      </c>
      <c r="E23" t="inlineStr">
        <is>
          <t>NORRTÄLJE</t>
        </is>
      </c>
      <c r="G23" t="n">
        <v>26.3</v>
      </c>
      <c r="H23" t="n">
        <v>1</v>
      </c>
      <c r="I23" t="n">
        <v>6</v>
      </c>
      <c r="J23" t="n">
        <v>3</v>
      </c>
      <c r="K23" t="n">
        <v>1</v>
      </c>
      <c r="L23" t="n">
        <v>0</v>
      </c>
      <c r="M23" t="n">
        <v>0</v>
      </c>
      <c r="N23" t="n">
        <v>0</v>
      </c>
      <c r="O23" t="n">
        <v>4</v>
      </c>
      <c r="P23" t="n">
        <v>1</v>
      </c>
      <c r="Q23" t="n">
        <v>11</v>
      </c>
      <c r="R23" s="2" t="inlineStr">
        <is>
          <t>Blackticka
Tallticka
Ullticka
Vårärt
Aspvedgnagare
Platt fjädermossa
Rävticka
Rökmusseron
Stor aspticka
Svavelriska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1054-2022</t>
        </is>
      </c>
      <c r="B24" s="1" t="n">
        <v>44571</v>
      </c>
      <c r="C24" s="1" t="n">
        <v>46194</v>
      </c>
      <c r="D24" t="inlineStr">
        <is>
          <t>STOCKHOLMS LÄN</t>
        </is>
      </c>
      <c r="E24" t="inlineStr">
        <is>
          <t>NORRTÄLJE</t>
        </is>
      </c>
      <c r="G24" t="n">
        <v>5</v>
      </c>
      <c r="H24" t="n">
        <v>1</v>
      </c>
      <c r="I24" t="n">
        <v>5</v>
      </c>
      <c r="J24" t="n">
        <v>5</v>
      </c>
      <c r="K24" t="n">
        <v>0</v>
      </c>
      <c r="L24" t="n">
        <v>0</v>
      </c>
      <c r="M24" t="n">
        <v>0</v>
      </c>
      <c r="N24" t="n">
        <v>0</v>
      </c>
      <c r="O24" t="n">
        <v>5</v>
      </c>
      <c r="P24" t="n">
        <v>0</v>
      </c>
      <c r="Q24" t="n">
        <v>10</v>
      </c>
      <c r="R24" s="2" t="inlineStr">
        <is>
          <t>Fjällig taggsvamp s.str.
Fyrflikig jordstjärna
Kryddspindling
Odörspindling
Äggspindling
Anisspindling
Olivspindling
Rödgul trumpetsvamp
Skogsknipprot
Svavelriska</t>
        </is>
      </c>
      <c r="S24">
        <f>HYPERLINK("https://klasma.github.io/Logging_0188/artfynd/A 1054-2022 artfynd.xlsx", "A 1054-2022")</f>
        <v/>
      </c>
      <c r="T24">
        <f>HYPERLINK("https://klasma.github.io/Logging_0188/kartor/A 1054-2022 karta.png", "A 1054-2022")</f>
        <v/>
      </c>
      <c r="V24">
        <f>HYPERLINK("https://klasma.github.io/Logging_0188/klagomål/A 1054-2022 FSC-klagomål.docx", "A 1054-2022")</f>
        <v/>
      </c>
      <c r="W24">
        <f>HYPERLINK("https://klasma.github.io/Logging_0188/klagomålsmail/A 1054-2022 FSC-klagomål mail.docx", "A 1054-2022")</f>
        <v/>
      </c>
      <c r="X24">
        <f>HYPERLINK("https://klasma.github.io/Logging_0188/tillsyn/A 1054-2022 tillsynsbegäran.docx", "A 1054-2022")</f>
        <v/>
      </c>
      <c r="Y24">
        <f>HYPERLINK("https://klasma.github.io/Logging_0188/tillsynsmail/A 1054-2022 tillsynsbegäran mail.docx", "A 1054-2022")</f>
        <v/>
      </c>
    </row>
    <row r="25" ht="15" customHeight="1">
      <c r="A25" t="inlineStr">
        <is>
          <t>A 17785-2024</t>
        </is>
      </c>
      <c r="B25" s="1" t="n">
        <v>45418</v>
      </c>
      <c r="C25" s="1" t="n">
        <v>46194</v>
      </c>
      <c r="D25" t="inlineStr">
        <is>
          <t>STOCKHOLMS LÄN</t>
        </is>
      </c>
      <c r="E25" t="inlineStr">
        <is>
          <t>NORRTÄLJE</t>
        </is>
      </c>
      <c r="G25" t="n">
        <v>1</v>
      </c>
      <c r="H25" t="n">
        <v>10</v>
      </c>
      <c r="I25" t="n">
        <v>0</v>
      </c>
      <c r="J25" t="n">
        <v>3</v>
      </c>
      <c r="K25" t="n">
        <v>5</v>
      </c>
      <c r="L25" t="n">
        <v>1</v>
      </c>
      <c r="M25" t="n">
        <v>0</v>
      </c>
      <c r="N25" t="n">
        <v>0</v>
      </c>
      <c r="O25" t="n">
        <v>9</v>
      </c>
      <c r="P25" t="n">
        <v>6</v>
      </c>
      <c r="Q25" t="n">
        <v>10</v>
      </c>
      <c r="R25" s="2" t="inlineStr">
        <is>
          <t>Kornknarr
Blå kärrhök
Gräshoppsångare
Stare
Svart rödstjärt
Tornseglare
Flodsångare
Göktyta
Sädesärla
Svartvit flugsnappare</t>
        </is>
      </c>
      <c r="S25">
        <f>HYPERLINK("https://klasma.github.io/Logging_0188/artfynd/A 17785-2024 artfynd.xlsx", "A 17785-2024")</f>
        <v/>
      </c>
      <c r="T25">
        <f>HYPERLINK("https://klasma.github.io/Logging_0188/kartor/A 17785-2024 karta.png", "A 17785-2024")</f>
        <v/>
      </c>
      <c r="V25">
        <f>HYPERLINK("https://klasma.github.io/Logging_0188/klagomål/A 17785-2024 FSC-klagomål.docx", "A 17785-2024")</f>
        <v/>
      </c>
      <c r="W25">
        <f>HYPERLINK("https://klasma.github.io/Logging_0188/klagomålsmail/A 17785-2024 FSC-klagomål mail.docx", "A 17785-2024")</f>
        <v/>
      </c>
      <c r="X25">
        <f>HYPERLINK("https://klasma.github.io/Logging_0188/tillsyn/A 17785-2024 tillsynsbegäran.docx", "A 17785-2024")</f>
        <v/>
      </c>
      <c r="Y25">
        <f>HYPERLINK("https://klasma.github.io/Logging_0188/tillsynsmail/A 17785-2024 tillsynsbegäran mail.docx", "A 17785-2024")</f>
        <v/>
      </c>
      <c r="Z25">
        <f>HYPERLINK("https://klasma.github.io/Logging_0188/fåglar/A 17785-2024 prioriterade fågelarter.docx", "A 17785-2024")</f>
        <v/>
      </c>
    </row>
    <row r="26" ht="15" customHeight="1">
      <c r="A26" t="inlineStr">
        <is>
          <t>A 20722-2024</t>
        </is>
      </c>
      <c r="B26" s="1" t="n">
        <v>45436</v>
      </c>
      <c r="C26" s="1" t="n">
        <v>46194</v>
      </c>
      <c r="D26" t="inlineStr">
        <is>
          <t>STOCKHOLMS LÄN</t>
        </is>
      </c>
      <c r="E26" t="inlineStr">
        <is>
          <t>NORRTÄLJE</t>
        </is>
      </c>
      <c r="G26" t="n">
        <v>5.2</v>
      </c>
      <c r="H26" t="n">
        <v>4</v>
      </c>
      <c r="I26" t="n">
        <v>2</v>
      </c>
      <c r="J26" t="n">
        <v>2</v>
      </c>
      <c r="K26" t="n">
        <v>3</v>
      </c>
      <c r="L26" t="n">
        <v>0</v>
      </c>
      <c r="M26" t="n">
        <v>0</v>
      </c>
      <c r="N26" t="n">
        <v>0</v>
      </c>
      <c r="O26" t="n">
        <v>5</v>
      </c>
      <c r="P26" t="n">
        <v>3</v>
      </c>
      <c r="Q26" t="n">
        <v>10</v>
      </c>
      <c r="R26" s="2" t="inlineStr">
        <is>
          <t>Garnlav
Gränsticka
Knärot
Kattfotslav
Ullticka
Bronshjon
Vågbandad barkbock
Blåsippa
Spillkråka
Svartvit flugsnappare</t>
        </is>
      </c>
      <c r="S26">
        <f>HYPERLINK("https://klasma.github.io/Logging_0188/artfynd/A 20722-2024 artfynd.xlsx", "A 20722-2024")</f>
        <v/>
      </c>
      <c r="T26">
        <f>HYPERLINK("https://klasma.github.io/Logging_0188/kartor/A 20722-2024 karta.png", "A 20722-2024")</f>
        <v/>
      </c>
      <c r="U26">
        <f>HYPERLINK("https://klasma.github.io/Logging_0188/knärot/A 20722-2024 karta knärot.png", "A 20722-2024")</f>
        <v/>
      </c>
      <c r="V26">
        <f>HYPERLINK("https://klasma.github.io/Logging_0188/klagomål/A 20722-2024 FSC-klagomål.docx", "A 20722-2024")</f>
        <v/>
      </c>
      <c r="W26">
        <f>HYPERLINK("https://klasma.github.io/Logging_0188/klagomålsmail/A 20722-2024 FSC-klagomål mail.docx", "A 20722-2024")</f>
        <v/>
      </c>
      <c r="X26">
        <f>HYPERLINK("https://klasma.github.io/Logging_0188/tillsyn/A 20722-2024 tillsynsbegäran.docx", "A 20722-2024")</f>
        <v/>
      </c>
      <c r="Y26">
        <f>HYPERLINK("https://klasma.github.io/Logging_0188/tillsynsmail/A 20722-2024 tillsynsbegäran mail.docx", "A 20722-2024")</f>
        <v/>
      </c>
      <c r="Z26">
        <f>HYPERLINK("https://klasma.github.io/Logging_0188/fåglar/A 20722-2024 prioriterade fågelarter.docx", "A 20722-2024")</f>
        <v/>
      </c>
    </row>
    <row r="27" ht="15" customHeight="1">
      <c r="A27" t="inlineStr">
        <is>
          <t>A 44847-2023</t>
        </is>
      </c>
      <c r="B27" s="1" t="n">
        <v>45190</v>
      </c>
      <c r="C27" s="1" t="n">
        <v>46194</v>
      </c>
      <c r="D27" t="inlineStr">
        <is>
          <t>STOCKHOLMS LÄN</t>
        </is>
      </c>
      <c r="E27" t="inlineStr">
        <is>
          <t>NORRTÄLJE</t>
        </is>
      </c>
      <c r="G27" t="n">
        <v>8.5</v>
      </c>
      <c r="H27" t="n">
        <v>10</v>
      </c>
      <c r="I27" t="n">
        <v>0</v>
      </c>
      <c r="J27" t="n">
        <v>2</v>
      </c>
      <c r="K27" t="n">
        <v>3</v>
      </c>
      <c r="L27" t="n">
        <v>2</v>
      </c>
      <c r="M27" t="n">
        <v>0</v>
      </c>
      <c r="N27" t="n">
        <v>0</v>
      </c>
      <c r="O27" t="n">
        <v>7</v>
      </c>
      <c r="P27" t="n">
        <v>5</v>
      </c>
      <c r="Q27" t="n">
        <v>10</v>
      </c>
      <c r="R27" s="2" t="inlineStr">
        <is>
          <t>Ejder
Havstrut
Gråtrut
Knärot
Stare
Skrattmås
Strandskata
Grönsiska
Havsörn
Kråka</t>
        </is>
      </c>
      <c r="S27">
        <f>HYPERLINK("https://klasma.github.io/Logging_0188/artfynd/A 44847-2023 artfynd.xlsx", "A 44847-2023")</f>
        <v/>
      </c>
      <c r="T27">
        <f>HYPERLINK("https://klasma.github.io/Logging_0188/kartor/A 44847-2023 karta.png", "A 44847-2023")</f>
        <v/>
      </c>
      <c r="U27">
        <f>HYPERLINK("https://klasma.github.io/Logging_0188/knärot/A 44847-2023 karta knärot.png", "A 44847-2023")</f>
        <v/>
      </c>
      <c r="V27">
        <f>HYPERLINK("https://klasma.github.io/Logging_0188/klagomål/A 44847-2023 FSC-klagomål.docx", "A 44847-2023")</f>
        <v/>
      </c>
      <c r="W27">
        <f>HYPERLINK("https://klasma.github.io/Logging_0188/klagomålsmail/A 44847-2023 FSC-klagomål mail.docx", "A 44847-2023")</f>
        <v/>
      </c>
      <c r="X27">
        <f>HYPERLINK("https://klasma.github.io/Logging_0188/tillsyn/A 44847-2023 tillsynsbegäran.docx", "A 44847-2023")</f>
        <v/>
      </c>
      <c r="Y27">
        <f>HYPERLINK("https://klasma.github.io/Logging_0188/tillsynsmail/A 44847-2023 tillsynsbegäran mail.docx", "A 44847-2023")</f>
        <v/>
      </c>
      <c r="Z27">
        <f>HYPERLINK("https://klasma.github.io/Logging_0188/fåglar/A 44847-2023 prioriterade fågelarter.docx", "A 44847-2023")</f>
        <v/>
      </c>
    </row>
    <row r="28" ht="15" customHeight="1">
      <c r="A28" t="inlineStr">
        <is>
          <t>A 15925-2026</t>
        </is>
      </c>
      <c r="B28" s="1" t="n">
        <v>46107</v>
      </c>
      <c r="C28" s="1" t="n">
        <v>46194</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26081-2026</t>
        </is>
      </c>
      <c r="B29" s="1" t="n">
        <v>46181</v>
      </c>
      <c r="C29" s="1" t="n">
        <v>46194</v>
      </c>
      <c r="D29" t="inlineStr">
        <is>
          <t>STOCKHOLMS LÄN</t>
        </is>
      </c>
      <c r="E29" t="inlineStr">
        <is>
          <t>NORRTÄLJE</t>
        </is>
      </c>
      <c r="G29" t="n">
        <v>13.9</v>
      </c>
      <c r="H29" t="n">
        <v>1</v>
      </c>
      <c r="I29" t="n">
        <v>3</v>
      </c>
      <c r="J29" t="n">
        <v>4</v>
      </c>
      <c r="K29" t="n">
        <v>0</v>
      </c>
      <c r="L29" t="n">
        <v>1</v>
      </c>
      <c r="M29" t="n">
        <v>0</v>
      </c>
      <c r="N29" t="n">
        <v>0</v>
      </c>
      <c r="O29" t="n">
        <v>5</v>
      </c>
      <c r="P29" t="n">
        <v>1</v>
      </c>
      <c r="Q29" t="n">
        <v>9</v>
      </c>
      <c r="R29" s="2" t="inlineStr">
        <is>
          <t>Koppartaggsvamp
Dofttaggsvamp
Fjällig taggsvamp s.str.
Orange taggsvamp
Ullticka
Grönpyrola
Kamjordstjärna
Svavelriska
Blåsippa</t>
        </is>
      </c>
      <c r="S29">
        <f>HYPERLINK("https://klasma.github.io/Logging_0188/artfynd/A 26081-2026 artfynd.xlsx", "A 26081-2026")</f>
        <v/>
      </c>
      <c r="T29">
        <f>HYPERLINK("https://klasma.github.io/Logging_0188/kartor/A 26081-2026 karta.png", "A 26081-2026")</f>
        <v/>
      </c>
      <c r="V29">
        <f>HYPERLINK("https://klasma.github.io/Logging_0188/klagomål/A 26081-2026 FSC-klagomål.docx", "A 26081-2026")</f>
        <v/>
      </c>
      <c r="W29">
        <f>HYPERLINK("https://klasma.github.io/Logging_0188/klagomålsmail/A 26081-2026 FSC-klagomål mail.docx", "A 26081-2026")</f>
        <v/>
      </c>
      <c r="X29">
        <f>HYPERLINK("https://klasma.github.io/Logging_0188/tillsyn/A 26081-2026 tillsynsbegäran.docx", "A 26081-2026")</f>
        <v/>
      </c>
      <c r="Y29">
        <f>HYPERLINK("https://klasma.github.io/Logging_0188/tillsynsmail/A 26081-2026 tillsynsbegäran mail.docx", "A 26081-2026")</f>
        <v/>
      </c>
    </row>
    <row r="30" ht="15" customHeight="1">
      <c r="A30" t="inlineStr">
        <is>
          <t>A 61099-2025</t>
        </is>
      </c>
      <c r="B30" s="1" t="n">
        <v>46000</v>
      </c>
      <c r="C30" s="1" t="n">
        <v>46194</v>
      </c>
      <c r="D30" t="inlineStr">
        <is>
          <t>STOCKHOLMS LÄN</t>
        </is>
      </c>
      <c r="E30" t="inlineStr">
        <is>
          <t>NORRTÄLJE</t>
        </is>
      </c>
      <c r="G30" t="n">
        <v>9.5</v>
      </c>
      <c r="H30" t="n">
        <v>5</v>
      </c>
      <c r="I30" t="n">
        <v>2</v>
      </c>
      <c r="J30" t="n">
        <v>2</v>
      </c>
      <c r="K30" t="n">
        <v>1</v>
      </c>
      <c r="L30" t="n">
        <v>0</v>
      </c>
      <c r="M30" t="n">
        <v>0</v>
      </c>
      <c r="N30" t="n">
        <v>0</v>
      </c>
      <c r="O30" t="n">
        <v>3</v>
      </c>
      <c r="P30" t="n">
        <v>1</v>
      </c>
      <c r="Q30" t="n">
        <v>9</v>
      </c>
      <c r="R30" s="2" t="inlineStr">
        <is>
          <t>Knärot
Tallkötticka
Vedtrappmossa
Skogshakmossa
Stubbspretmossa
Blåsippa
Spillkråka
Kungsfågel
Nattviol</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52526-2025</t>
        </is>
      </c>
      <c r="B31" s="1" t="n">
        <v>45954</v>
      </c>
      <c r="C31" s="1" t="n">
        <v>46194</v>
      </c>
      <c r="D31" t="inlineStr">
        <is>
          <t>STOCKHOLMS LÄN</t>
        </is>
      </c>
      <c r="E31" t="inlineStr">
        <is>
          <t>NORRTÄLJE</t>
        </is>
      </c>
      <c r="F31" t="inlineStr">
        <is>
          <t>Sveaskog</t>
        </is>
      </c>
      <c r="G31" t="n">
        <v>2.9</v>
      </c>
      <c r="H31" t="n">
        <v>9</v>
      </c>
      <c r="I31" t="n">
        <v>0</v>
      </c>
      <c r="J31" t="n">
        <v>4</v>
      </c>
      <c r="K31" t="n">
        <v>0</v>
      </c>
      <c r="L31" t="n">
        <v>0</v>
      </c>
      <c r="M31" t="n">
        <v>0</v>
      </c>
      <c r="N31" t="n">
        <v>0</v>
      </c>
      <c r="O31" t="n">
        <v>4</v>
      </c>
      <c r="P31" t="n">
        <v>0</v>
      </c>
      <c r="Q31" t="n">
        <v>9</v>
      </c>
      <c r="R31" s="2" t="inlineStr">
        <is>
          <t>Järnsparv
Kricka
Rödvingetrast
Talltita
Gröngöling
Grönsiska
Kungsfågel
Orre
Slaguggla</t>
        </is>
      </c>
      <c r="S31">
        <f>HYPERLINK("https://klasma.github.io/Logging_0188/artfynd/A 52526-2025 artfynd.xlsx", "A 52526-2025")</f>
        <v/>
      </c>
      <c r="T31">
        <f>HYPERLINK("https://klasma.github.io/Logging_0188/kartor/A 52526-2025 karta.png", "A 52526-2025")</f>
        <v/>
      </c>
      <c r="V31">
        <f>HYPERLINK("https://klasma.github.io/Logging_0188/klagomål/A 52526-2025 FSC-klagomål.docx", "A 52526-2025")</f>
        <v/>
      </c>
      <c r="W31">
        <f>HYPERLINK("https://klasma.github.io/Logging_0188/klagomålsmail/A 52526-2025 FSC-klagomål mail.docx", "A 52526-2025")</f>
        <v/>
      </c>
      <c r="X31">
        <f>HYPERLINK("https://klasma.github.io/Logging_0188/tillsyn/A 52526-2025 tillsynsbegäran.docx", "A 52526-2025")</f>
        <v/>
      </c>
      <c r="Y31">
        <f>HYPERLINK("https://klasma.github.io/Logging_0188/tillsynsmail/A 52526-2025 tillsynsbegäran mail.docx", "A 52526-2025")</f>
        <v/>
      </c>
      <c r="Z31">
        <f>HYPERLINK("https://klasma.github.io/Logging_0188/fåglar/A 52526-2025 prioriterade fågelarter.docx", "A 52526-2025")</f>
        <v/>
      </c>
    </row>
    <row r="32" ht="15" customHeight="1">
      <c r="A32" t="inlineStr">
        <is>
          <t>A 52815-2021</t>
        </is>
      </c>
      <c r="B32" s="1" t="n">
        <v>44467</v>
      </c>
      <c r="C32" s="1" t="n">
        <v>46194</v>
      </c>
      <c r="D32" t="inlineStr">
        <is>
          <t>STOCKHOLMS LÄN</t>
        </is>
      </c>
      <c r="E32" t="inlineStr">
        <is>
          <t>NORRTÄLJE</t>
        </is>
      </c>
      <c r="G32" t="n">
        <v>2.8</v>
      </c>
      <c r="H32" t="n">
        <v>0</v>
      </c>
      <c r="I32" t="n">
        <v>1</v>
      </c>
      <c r="J32" t="n">
        <v>3</v>
      </c>
      <c r="K32" t="n">
        <v>2</v>
      </c>
      <c r="L32" t="n">
        <v>3</v>
      </c>
      <c r="M32" t="n">
        <v>0</v>
      </c>
      <c r="N32" t="n">
        <v>0</v>
      </c>
      <c r="O32" t="n">
        <v>8</v>
      </c>
      <c r="P32" t="n">
        <v>5</v>
      </c>
      <c r="Q32" t="n">
        <v>9</v>
      </c>
      <c r="R32" s="2" t="inlineStr">
        <is>
          <t>Koppartaggsvamp
Raggtaggsvamp
Spricktaggsvamp
Gul lammticka
Svartfjällig musseron
Bittermusseron
Fjällig taggsvamp s.str.
Flattoppad klubbsvamp
Diskvaxskivling</t>
        </is>
      </c>
      <c r="S32">
        <f>HYPERLINK("https://klasma.github.io/Logging_0188/artfynd/A 52815-2021 artfynd.xlsx", "A 52815-2021")</f>
        <v/>
      </c>
      <c r="T32">
        <f>HYPERLINK("https://klasma.github.io/Logging_0188/kartor/A 52815-2021 karta.png", "A 52815-2021")</f>
        <v/>
      </c>
      <c r="V32">
        <f>HYPERLINK("https://klasma.github.io/Logging_0188/klagomål/A 52815-2021 FSC-klagomål.docx", "A 52815-2021")</f>
        <v/>
      </c>
      <c r="W32">
        <f>HYPERLINK("https://klasma.github.io/Logging_0188/klagomålsmail/A 52815-2021 FSC-klagomål mail.docx", "A 52815-2021")</f>
        <v/>
      </c>
      <c r="X32">
        <f>HYPERLINK("https://klasma.github.io/Logging_0188/tillsyn/A 52815-2021 tillsynsbegäran.docx", "A 52815-2021")</f>
        <v/>
      </c>
      <c r="Y32">
        <f>HYPERLINK("https://klasma.github.io/Logging_0188/tillsynsmail/A 52815-2021 tillsynsbegäran mail.docx", "A 52815-2021")</f>
        <v/>
      </c>
    </row>
    <row r="33" ht="15" customHeight="1">
      <c r="A33" t="inlineStr">
        <is>
          <t>A 47274-2024</t>
        </is>
      </c>
      <c r="B33" s="1" t="n">
        <v>45586</v>
      </c>
      <c r="C33" s="1" t="n">
        <v>46194</v>
      </c>
      <c r="D33" t="inlineStr">
        <is>
          <t>STOCKHOLMS LÄN</t>
        </is>
      </c>
      <c r="E33" t="inlineStr">
        <is>
          <t>NORRTÄLJE</t>
        </is>
      </c>
      <c r="G33" t="n">
        <v>20.1</v>
      </c>
      <c r="H33" t="n">
        <v>2</v>
      </c>
      <c r="I33" t="n">
        <v>2</v>
      </c>
      <c r="J33" t="n">
        <v>5</v>
      </c>
      <c r="K33" t="n">
        <v>1</v>
      </c>
      <c r="L33" t="n">
        <v>0</v>
      </c>
      <c r="M33" t="n">
        <v>0</v>
      </c>
      <c r="N33" t="n">
        <v>0</v>
      </c>
      <c r="O33" t="n">
        <v>6</v>
      </c>
      <c r="P33" t="n">
        <v>1</v>
      </c>
      <c r="Q33" t="n">
        <v>9</v>
      </c>
      <c r="R33" s="2" t="inlineStr">
        <is>
          <t>Knärot
Dropptaggsvamp
Grönhjon
Motaggsvamp
Ullticka
Vedskivlav
Grönpyrola
Svavelriska
Blåsippa</t>
        </is>
      </c>
      <c r="S33">
        <f>HYPERLINK("https://klasma.github.io/Logging_0188/artfynd/A 47274-2024 artfynd.xlsx", "A 47274-2024")</f>
        <v/>
      </c>
      <c r="T33">
        <f>HYPERLINK("https://klasma.github.io/Logging_0188/kartor/A 47274-2024 karta.png", "A 47274-2024")</f>
        <v/>
      </c>
      <c r="U33">
        <f>HYPERLINK("https://klasma.github.io/Logging_0188/knärot/A 47274-2024 karta knärot.png", "A 47274-2024")</f>
        <v/>
      </c>
      <c r="V33">
        <f>HYPERLINK("https://klasma.github.io/Logging_0188/klagomål/A 47274-2024 FSC-klagomål.docx", "A 47274-2024")</f>
        <v/>
      </c>
      <c r="W33">
        <f>HYPERLINK("https://klasma.github.io/Logging_0188/klagomålsmail/A 47274-2024 FSC-klagomål mail.docx", "A 47274-2024")</f>
        <v/>
      </c>
      <c r="X33">
        <f>HYPERLINK("https://klasma.github.io/Logging_0188/tillsyn/A 47274-2024 tillsynsbegäran.docx", "A 47274-2024")</f>
        <v/>
      </c>
      <c r="Y33">
        <f>HYPERLINK("https://klasma.github.io/Logging_0188/tillsynsmail/A 47274-2024 tillsynsbegäran mail.docx", "A 47274-2024")</f>
        <v/>
      </c>
    </row>
    <row r="34" ht="15" customHeight="1">
      <c r="A34" t="inlineStr">
        <is>
          <t>A 45811-2022</t>
        </is>
      </c>
      <c r="B34" s="1" t="n">
        <v>44846</v>
      </c>
      <c r="C34" s="1" t="n">
        <v>46194</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46194</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46194</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46194</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72111-2021</t>
        </is>
      </c>
      <c r="B38" s="1" t="n">
        <v>44544</v>
      </c>
      <c r="C38" s="1" t="n">
        <v>46194</v>
      </c>
      <c r="D38" t="inlineStr">
        <is>
          <t>STOCKHOLMS LÄN</t>
        </is>
      </c>
      <c r="E38" t="inlineStr">
        <is>
          <t>NORRTÄLJE</t>
        </is>
      </c>
      <c r="G38" t="n">
        <v>5.1</v>
      </c>
      <c r="H38" t="n">
        <v>1</v>
      </c>
      <c r="I38" t="n">
        <v>1</v>
      </c>
      <c r="J38" t="n">
        <v>4</v>
      </c>
      <c r="K38" t="n">
        <v>1</v>
      </c>
      <c r="L38" t="n">
        <v>0</v>
      </c>
      <c r="M38" t="n">
        <v>0</v>
      </c>
      <c r="N38" t="n">
        <v>0</v>
      </c>
      <c r="O38" t="n">
        <v>5</v>
      </c>
      <c r="P38" t="n">
        <v>1</v>
      </c>
      <c r="Q38" t="n">
        <v>7</v>
      </c>
      <c r="R38" s="2" t="inlineStr">
        <is>
          <t>Grangråticka
Lunglav
Oxtungssvamp
Sårläka
Vårärt
Scharlakansvårskål agg.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13933-2022</t>
        </is>
      </c>
      <c r="B39" s="1" t="n">
        <v>44650</v>
      </c>
      <c r="C39" s="1" t="n">
        <v>46194</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22190-2024</t>
        </is>
      </c>
      <c r="B40" s="1" t="n">
        <v>45446</v>
      </c>
      <c r="C40" s="1" t="n">
        <v>46194</v>
      </c>
      <c r="D40" t="inlineStr">
        <is>
          <t>STOCKHOLMS LÄN</t>
        </is>
      </c>
      <c r="E40" t="inlineStr">
        <is>
          <t>NORRTÄLJE</t>
        </is>
      </c>
      <c r="G40" t="n">
        <v>2.8</v>
      </c>
      <c r="H40" t="n">
        <v>7</v>
      </c>
      <c r="I40" t="n">
        <v>1</v>
      </c>
      <c r="J40" t="n">
        <v>1</v>
      </c>
      <c r="K40" t="n">
        <v>1</v>
      </c>
      <c r="L40" t="n">
        <v>0</v>
      </c>
      <c r="M40" t="n">
        <v>0</v>
      </c>
      <c r="N40" t="n">
        <v>0</v>
      </c>
      <c r="O40" t="n">
        <v>2</v>
      </c>
      <c r="P40" t="n">
        <v>1</v>
      </c>
      <c r="Q40" t="n">
        <v>7</v>
      </c>
      <c r="R40" s="2" t="inlineStr">
        <is>
          <t>Grönfink
Björktrast
Skogsknipprot
Röd glada
Svartvit flugsnappare
Åkergroda
Vanlig groda</t>
        </is>
      </c>
      <c r="S40">
        <f>HYPERLINK("https://klasma.github.io/Logging_0188/artfynd/A 22190-2024 artfynd.xlsx", "A 22190-2024")</f>
        <v/>
      </c>
      <c r="T40">
        <f>HYPERLINK("https://klasma.github.io/Logging_0188/kartor/A 22190-2024 karta.png", "A 22190-2024")</f>
        <v/>
      </c>
      <c r="V40">
        <f>HYPERLINK("https://klasma.github.io/Logging_0188/klagomål/A 22190-2024 FSC-klagomål.docx", "A 22190-2024")</f>
        <v/>
      </c>
      <c r="W40">
        <f>HYPERLINK("https://klasma.github.io/Logging_0188/klagomålsmail/A 22190-2024 FSC-klagomål mail.docx", "A 22190-2024")</f>
        <v/>
      </c>
      <c r="X40">
        <f>HYPERLINK("https://klasma.github.io/Logging_0188/tillsyn/A 22190-2024 tillsynsbegäran.docx", "A 22190-2024")</f>
        <v/>
      </c>
      <c r="Y40">
        <f>HYPERLINK("https://klasma.github.io/Logging_0188/tillsynsmail/A 22190-2024 tillsynsbegäran mail.docx", "A 22190-2024")</f>
        <v/>
      </c>
      <c r="Z40">
        <f>HYPERLINK("https://klasma.github.io/Logging_0188/fåglar/A 22190-2024 prioriterade fågelarter.docx", "A 22190-2024")</f>
        <v/>
      </c>
    </row>
    <row r="41" ht="15" customHeight="1">
      <c r="A41" t="inlineStr">
        <is>
          <t>A 21922-2023</t>
        </is>
      </c>
      <c r="B41" s="1" t="n">
        <v>45068</v>
      </c>
      <c r="C41" s="1" t="n">
        <v>46194</v>
      </c>
      <c r="D41" t="inlineStr">
        <is>
          <t>STOCKHOLMS LÄN</t>
        </is>
      </c>
      <c r="E41" t="inlineStr">
        <is>
          <t>NORRTÄLJE</t>
        </is>
      </c>
      <c r="G41" t="n">
        <v>4.9</v>
      </c>
      <c r="H41" t="n">
        <v>3</v>
      </c>
      <c r="I41" t="n">
        <v>2</v>
      </c>
      <c r="J41" t="n">
        <v>3</v>
      </c>
      <c r="K41" t="n">
        <v>0</v>
      </c>
      <c r="L41" t="n">
        <v>0</v>
      </c>
      <c r="M41" t="n">
        <v>0</v>
      </c>
      <c r="N41" t="n">
        <v>0</v>
      </c>
      <c r="O41" t="n">
        <v>3</v>
      </c>
      <c r="P41" t="n">
        <v>0</v>
      </c>
      <c r="Q41" t="n">
        <v>7</v>
      </c>
      <c r="R41" s="2" t="inlineStr">
        <is>
          <t>Adam och eva
Jungfrulin
Solvända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46194</v>
      </c>
      <c r="D42" t="inlineStr">
        <is>
          <t>STOCKHOLMS LÄN</t>
        </is>
      </c>
      <c r="E42" t="inlineStr">
        <is>
          <t>NORRTÄLJE</t>
        </is>
      </c>
      <c r="G42" t="n">
        <v>5.1</v>
      </c>
      <c r="H42" t="n">
        <v>6</v>
      </c>
      <c r="I42" t="n">
        <v>0</v>
      </c>
      <c r="J42" t="n">
        <v>2</v>
      </c>
      <c r="K42" t="n">
        <v>0</v>
      </c>
      <c r="L42" t="n">
        <v>0</v>
      </c>
      <c r="M42" t="n">
        <v>0</v>
      </c>
      <c r="N42" t="n">
        <v>0</v>
      </c>
      <c r="O42" t="n">
        <v>2</v>
      </c>
      <c r="P42" t="n">
        <v>0</v>
      </c>
      <c r="Q42" t="n">
        <v>7</v>
      </c>
      <c r="R42" s="2" t="inlineStr">
        <is>
          <t>Jungfrulin
Nordfladdermus
Dvärgpipistrell
Gråskimlig fladdermus
Större brunfladdermus
Trollpipistrell
Gullviva</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34524-2025</t>
        </is>
      </c>
      <c r="B43" s="1" t="n">
        <v>45847</v>
      </c>
      <c r="C43" s="1" t="n">
        <v>46194</v>
      </c>
      <c r="D43" t="inlineStr">
        <is>
          <t>STOCKHOLMS LÄN</t>
        </is>
      </c>
      <c r="E43" t="inlineStr">
        <is>
          <t>NORRTÄLJE</t>
        </is>
      </c>
      <c r="G43" t="n">
        <v>3.3</v>
      </c>
      <c r="H43" t="n">
        <v>0</v>
      </c>
      <c r="I43" t="n">
        <v>4</v>
      </c>
      <c r="J43" t="n">
        <v>3</v>
      </c>
      <c r="K43" t="n">
        <v>0</v>
      </c>
      <c r="L43" t="n">
        <v>0</v>
      </c>
      <c r="M43" t="n">
        <v>0</v>
      </c>
      <c r="N43" t="n">
        <v>0</v>
      </c>
      <c r="O43" t="n">
        <v>3</v>
      </c>
      <c r="P43" t="n">
        <v>0</v>
      </c>
      <c r="Q43" t="n">
        <v>7</v>
      </c>
      <c r="R43" s="2" t="inlineStr">
        <is>
          <t>Kattfotslav
Tallticka
Vedtrappmossa
Bronshjon
Kornknutmossa
Stubbspretmossa
Vanlig rörsvepemossa</t>
        </is>
      </c>
      <c r="S43">
        <f>HYPERLINK("https://klasma.github.io/Logging_0188/artfynd/A 34524-2025 artfynd.xlsx", "A 34524-2025")</f>
        <v/>
      </c>
      <c r="T43">
        <f>HYPERLINK("https://klasma.github.io/Logging_0188/kartor/A 34524-2025 karta.png", "A 34524-2025")</f>
        <v/>
      </c>
      <c r="V43">
        <f>HYPERLINK("https://klasma.github.io/Logging_0188/klagomål/A 34524-2025 FSC-klagomål.docx", "A 34524-2025")</f>
        <v/>
      </c>
      <c r="W43">
        <f>HYPERLINK("https://klasma.github.io/Logging_0188/klagomålsmail/A 34524-2025 FSC-klagomål mail.docx", "A 34524-2025")</f>
        <v/>
      </c>
      <c r="X43">
        <f>HYPERLINK("https://klasma.github.io/Logging_0188/tillsyn/A 34524-2025 tillsynsbegäran.docx", "A 34524-2025")</f>
        <v/>
      </c>
      <c r="Y43">
        <f>HYPERLINK("https://klasma.github.io/Logging_0188/tillsynsmail/A 34524-2025 tillsynsbegäran mail.docx", "A 34524-2025")</f>
        <v/>
      </c>
    </row>
    <row r="44" ht="15" customHeight="1">
      <c r="A44" t="inlineStr">
        <is>
          <t>A 62715-2025</t>
        </is>
      </c>
      <c r="B44" s="1" t="n">
        <v>46008</v>
      </c>
      <c r="C44" s="1" t="n">
        <v>46194</v>
      </c>
      <c r="D44" t="inlineStr">
        <is>
          <t>STOCKHOLMS LÄN</t>
        </is>
      </c>
      <c r="E44" t="inlineStr">
        <is>
          <t>NORRTÄLJE</t>
        </is>
      </c>
      <c r="G44" t="n">
        <v>0.8</v>
      </c>
      <c r="H44" t="n">
        <v>1</v>
      </c>
      <c r="I44" t="n">
        <v>4</v>
      </c>
      <c r="J44" t="n">
        <v>2</v>
      </c>
      <c r="K44" t="n">
        <v>0</v>
      </c>
      <c r="L44" t="n">
        <v>0</v>
      </c>
      <c r="M44" t="n">
        <v>0</v>
      </c>
      <c r="N44" t="n">
        <v>0</v>
      </c>
      <c r="O44" t="n">
        <v>2</v>
      </c>
      <c r="P44" t="n">
        <v>0</v>
      </c>
      <c r="Q44" t="n">
        <v>7</v>
      </c>
      <c r="R44" s="2" t="inlineStr">
        <is>
          <t>Gullpudra
Sårläka
Bronshjon
Granbarkgnagare
Jättesvampmal
Svavelriska
Blåsippa</t>
        </is>
      </c>
      <c r="S44">
        <f>HYPERLINK("https://klasma.github.io/Logging_0188/artfynd/A 62715-2025 artfynd.xlsx", "A 62715-2025")</f>
        <v/>
      </c>
      <c r="T44">
        <f>HYPERLINK("https://klasma.github.io/Logging_0188/kartor/A 62715-2025 karta.png", "A 62715-2025")</f>
        <v/>
      </c>
      <c r="V44">
        <f>HYPERLINK("https://klasma.github.io/Logging_0188/klagomål/A 62715-2025 FSC-klagomål.docx", "A 62715-2025")</f>
        <v/>
      </c>
      <c r="W44">
        <f>HYPERLINK("https://klasma.github.io/Logging_0188/klagomålsmail/A 62715-2025 FSC-klagomål mail.docx", "A 62715-2025")</f>
        <v/>
      </c>
      <c r="X44">
        <f>HYPERLINK("https://klasma.github.io/Logging_0188/tillsyn/A 62715-2025 tillsynsbegäran.docx", "A 62715-2025")</f>
        <v/>
      </c>
      <c r="Y44">
        <f>HYPERLINK("https://klasma.github.io/Logging_0188/tillsynsmail/A 62715-2025 tillsynsbegäran mail.docx", "A 62715-2025")</f>
        <v/>
      </c>
    </row>
    <row r="45" ht="15" customHeight="1">
      <c r="A45" t="inlineStr">
        <is>
          <t>A 15278-2024</t>
        </is>
      </c>
      <c r="B45" s="1" t="n">
        <v>45400</v>
      </c>
      <c r="C45" s="1" t="n">
        <v>46194</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15913-2026</t>
        </is>
      </c>
      <c r="B46" s="1" t="n">
        <v>46107</v>
      </c>
      <c r="C46" s="1" t="n">
        <v>46194</v>
      </c>
      <c r="D46" t="inlineStr">
        <is>
          <t>STOCKHOLMS LÄN</t>
        </is>
      </c>
      <c r="E46" t="inlineStr">
        <is>
          <t>NORRTÄLJE</t>
        </is>
      </c>
      <c r="G46" t="n">
        <v>4.2</v>
      </c>
      <c r="H46" t="n">
        <v>5</v>
      </c>
      <c r="I46" t="n">
        <v>1</v>
      </c>
      <c r="J46" t="n">
        <v>3</v>
      </c>
      <c r="K46" t="n">
        <v>1</v>
      </c>
      <c r="L46" t="n">
        <v>0</v>
      </c>
      <c r="M46" t="n">
        <v>0</v>
      </c>
      <c r="N46" t="n">
        <v>0</v>
      </c>
      <c r="O46" t="n">
        <v>4</v>
      </c>
      <c r="P46" t="n">
        <v>1</v>
      </c>
      <c r="Q46" t="n">
        <v>7</v>
      </c>
      <c r="R46" s="2" t="inlineStr">
        <is>
          <t>Knärot
Fjällig taggsvamp s.str.
Talltita
Vårärt
Nästrot
Blåsippa
Nattviol</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48370-2025</t>
        </is>
      </c>
      <c r="B47" s="1" t="n">
        <v>45933</v>
      </c>
      <c r="C47" s="1" t="n">
        <v>46194</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53608-2025</t>
        </is>
      </c>
      <c r="B48" s="1" t="n">
        <v>45960</v>
      </c>
      <c r="C48" s="1" t="n">
        <v>46194</v>
      </c>
      <c r="D48" t="inlineStr">
        <is>
          <t>STOCKHOLMS LÄN</t>
        </is>
      </c>
      <c r="E48" t="inlineStr">
        <is>
          <t>NORRTÄLJE</t>
        </is>
      </c>
      <c r="F48" t="inlineStr">
        <is>
          <t>Holmen skog AB</t>
        </is>
      </c>
      <c r="G48" t="n">
        <v>3.2</v>
      </c>
      <c r="H48" t="n">
        <v>3</v>
      </c>
      <c r="I48" t="n">
        <v>2</v>
      </c>
      <c r="J48" t="n">
        <v>1</v>
      </c>
      <c r="K48" t="n">
        <v>0</v>
      </c>
      <c r="L48" t="n">
        <v>1</v>
      </c>
      <c r="M48" t="n">
        <v>0</v>
      </c>
      <c r="N48" t="n">
        <v>0</v>
      </c>
      <c r="O48" t="n">
        <v>2</v>
      </c>
      <c r="P48" t="n">
        <v>1</v>
      </c>
      <c r="Q48" t="n">
        <v>6</v>
      </c>
      <c r="R48" s="2" t="inlineStr">
        <is>
          <t>Asknätfjäril
Hålskenknäppare
Björksplintborre
Robust tickgnagare
Spillkråka
Orre</t>
        </is>
      </c>
      <c r="S48">
        <f>HYPERLINK("https://klasma.github.io/Logging_0188/artfynd/A 53608-2025 artfynd.xlsx", "A 53608-2025")</f>
        <v/>
      </c>
      <c r="T48">
        <f>HYPERLINK("https://klasma.github.io/Logging_0188/kartor/A 53608-2025 karta.png", "A 53608-2025")</f>
        <v/>
      </c>
      <c r="V48">
        <f>HYPERLINK("https://klasma.github.io/Logging_0188/klagomål/A 53608-2025 FSC-klagomål.docx", "A 53608-2025")</f>
        <v/>
      </c>
      <c r="W48">
        <f>HYPERLINK("https://klasma.github.io/Logging_0188/klagomålsmail/A 53608-2025 FSC-klagomål mail.docx", "A 53608-2025")</f>
        <v/>
      </c>
      <c r="X48">
        <f>HYPERLINK("https://klasma.github.io/Logging_0188/tillsyn/A 53608-2025 tillsynsbegäran.docx", "A 53608-2025")</f>
        <v/>
      </c>
      <c r="Y48">
        <f>HYPERLINK("https://klasma.github.io/Logging_0188/tillsynsmail/A 53608-2025 tillsynsbegäran mail.docx", "A 53608-2025")</f>
        <v/>
      </c>
      <c r="Z48">
        <f>HYPERLINK("https://klasma.github.io/Logging_0188/fåglar/A 53608-2025 prioriterade fågelarter.docx", "A 53608-2025")</f>
        <v/>
      </c>
    </row>
    <row r="49" ht="15" customHeight="1">
      <c r="A49" t="inlineStr">
        <is>
          <t>A 34528-2025</t>
        </is>
      </c>
      <c r="B49" s="1" t="n">
        <v>45847</v>
      </c>
      <c r="C49" s="1" t="n">
        <v>46194</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58676-2021</t>
        </is>
      </c>
      <c r="B50" s="1" t="n">
        <v>44489</v>
      </c>
      <c r="C50" s="1" t="n">
        <v>46194</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46194</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38591-2023</t>
        </is>
      </c>
      <c r="B52" s="1" t="n">
        <v>45162</v>
      </c>
      <c r="C52" s="1" t="n">
        <v>46194</v>
      </c>
      <c r="D52" t="inlineStr">
        <is>
          <t>STOCKHOLMS LÄN</t>
        </is>
      </c>
      <c r="E52" t="inlineStr">
        <is>
          <t>NORRTÄLJE</t>
        </is>
      </c>
      <c r="F52" t="inlineStr">
        <is>
          <t>Övriga Aktiebolag</t>
        </is>
      </c>
      <c r="G52" t="n">
        <v>3.1</v>
      </c>
      <c r="H52" t="n">
        <v>2</v>
      </c>
      <c r="I52" t="n">
        <v>0</v>
      </c>
      <c r="J52" t="n">
        <v>2</v>
      </c>
      <c r="K52" t="n">
        <v>1</v>
      </c>
      <c r="L52" t="n">
        <v>1</v>
      </c>
      <c r="M52" t="n">
        <v>0</v>
      </c>
      <c r="N52" t="n">
        <v>0</v>
      </c>
      <c r="O52" t="n">
        <v>4</v>
      </c>
      <c r="P52" t="n">
        <v>2</v>
      </c>
      <c r="Q52" t="n">
        <v>5</v>
      </c>
      <c r="R52" s="2" t="inlineStr">
        <is>
          <t>Brun mårfältmätare
Porfyrljusmott
Brunflammig fältmätare
Sädesärla
Trädlärka</t>
        </is>
      </c>
      <c r="S52">
        <f>HYPERLINK("https://klasma.github.io/Logging_0188/artfynd/A 38591-2023 artfynd.xlsx", "A 38591-2023")</f>
        <v/>
      </c>
      <c r="T52">
        <f>HYPERLINK("https://klasma.github.io/Logging_0188/kartor/A 38591-2023 karta.png", "A 38591-2023")</f>
        <v/>
      </c>
      <c r="V52">
        <f>HYPERLINK("https://klasma.github.io/Logging_0188/klagomål/A 38591-2023 FSC-klagomål.docx", "A 38591-2023")</f>
        <v/>
      </c>
      <c r="W52">
        <f>HYPERLINK("https://klasma.github.io/Logging_0188/klagomålsmail/A 38591-2023 FSC-klagomål mail.docx", "A 38591-2023")</f>
        <v/>
      </c>
      <c r="X52">
        <f>HYPERLINK("https://klasma.github.io/Logging_0188/tillsyn/A 38591-2023 tillsynsbegäran.docx", "A 38591-2023")</f>
        <v/>
      </c>
      <c r="Y52">
        <f>HYPERLINK("https://klasma.github.io/Logging_0188/tillsynsmail/A 38591-2023 tillsynsbegäran mail.docx", "A 38591-2023")</f>
        <v/>
      </c>
      <c r="Z52">
        <f>HYPERLINK("https://klasma.github.io/Logging_0188/fåglar/A 38591-2023 prioriterade fågelarter.docx", "A 38591-2023")</f>
        <v/>
      </c>
    </row>
    <row r="53" ht="15" customHeight="1">
      <c r="A53" t="inlineStr">
        <is>
          <t>A 4438-2023</t>
        </is>
      </c>
      <c r="B53" s="1" t="n">
        <v>44956</v>
      </c>
      <c r="C53" s="1" t="n">
        <v>46194</v>
      </c>
      <c r="D53" t="inlineStr">
        <is>
          <t>STOCKHOLMS LÄN</t>
        </is>
      </c>
      <c r="E53" t="inlineStr">
        <is>
          <t>NORRTÄLJE</t>
        </is>
      </c>
      <c r="G53" t="n">
        <v>9.199999999999999</v>
      </c>
      <c r="H53" t="n">
        <v>2</v>
      </c>
      <c r="I53" t="n">
        <v>0</v>
      </c>
      <c r="J53" t="n">
        <v>1</v>
      </c>
      <c r="K53" t="n">
        <v>0</v>
      </c>
      <c r="L53" t="n">
        <v>2</v>
      </c>
      <c r="M53" t="n">
        <v>0</v>
      </c>
      <c r="N53" t="n">
        <v>0</v>
      </c>
      <c r="O53" t="n">
        <v>3</v>
      </c>
      <c r="P53" t="n">
        <v>2</v>
      </c>
      <c r="Q53" t="n">
        <v>5</v>
      </c>
      <c r="R53" s="2" t="inlineStr">
        <is>
          <t>Ask
Skogsalm
Jungfrulin
Blåsippa
Spillkråka</t>
        </is>
      </c>
      <c r="S53">
        <f>HYPERLINK("https://klasma.github.io/Logging_0188/artfynd/A 4438-2023 artfynd.xlsx", "A 4438-2023")</f>
        <v/>
      </c>
      <c r="T53">
        <f>HYPERLINK("https://klasma.github.io/Logging_0188/kartor/A 4438-2023 karta.png", "A 4438-2023")</f>
        <v/>
      </c>
      <c r="V53">
        <f>HYPERLINK("https://klasma.github.io/Logging_0188/klagomål/A 4438-2023 FSC-klagomål.docx", "A 4438-2023")</f>
        <v/>
      </c>
      <c r="W53">
        <f>HYPERLINK("https://klasma.github.io/Logging_0188/klagomålsmail/A 4438-2023 FSC-klagomål mail.docx", "A 4438-2023")</f>
        <v/>
      </c>
      <c r="X53">
        <f>HYPERLINK("https://klasma.github.io/Logging_0188/tillsyn/A 4438-2023 tillsynsbegäran.docx", "A 4438-2023")</f>
        <v/>
      </c>
      <c r="Y53">
        <f>HYPERLINK("https://klasma.github.io/Logging_0188/tillsynsmail/A 4438-2023 tillsynsbegäran mail.docx", "A 4438-2023")</f>
        <v/>
      </c>
      <c r="Z53">
        <f>HYPERLINK("https://klasma.github.io/Logging_0188/fåglar/A 4438-2023 prioriterade fågelarter.docx", "A 4438-2023")</f>
        <v/>
      </c>
    </row>
    <row r="54" ht="15" customHeight="1">
      <c r="A54" t="inlineStr">
        <is>
          <t>A 21730-2025</t>
        </is>
      </c>
      <c r="B54" s="1" t="n">
        <v>45783</v>
      </c>
      <c r="C54" s="1" t="n">
        <v>46194</v>
      </c>
      <c r="D54" t="inlineStr">
        <is>
          <t>STOCKHOLMS LÄN</t>
        </is>
      </c>
      <c r="E54" t="inlineStr">
        <is>
          <t>NORRTÄLJE</t>
        </is>
      </c>
      <c r="G54" t="n">
        <v>4.2</v>
      </c>
      <c r="H54" t="n">
        <v>2</v>
      </c>
      <c r="I54" t="n">
        <v>3</v>
      </c>
      <c r="J54" t="n">
        <v>0</v>
      </c>
      <c r="K54" t="n">
        <v>0</v>
      </c>
      <c r="L54" t="n">
        <v>0</v>
      </c>
      <c r="M54" t="n">
        <v>0</v>
      </c>
      <c r="N54" t="n">
        <v>0</v>
      </c>
      <c r="O54" t="n">
        <v>0</v>
      </c>
      <c r="P54" t="n">
        <v>0</v>
      </c>
      <c r="Q54" t="n">
        <v>5</v>
      </c>
      <c r="R54" s="2" t="inlineStr">
        <is>
          <t>Blåmossa
Brandticka
Skogsbräsma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29972-2024</t>
        </is>
      </c>
      <c r="B55" s="1" t="n">
        <v>45485</v>
      </c>
      <c r="C55" s="1" t="n">
        <v>46194</v>
      </c>
      <c r="D55" t="inlineStr">
        <is>
          <t>STOCKHOLMS LÄN</t>
        </is>
      </c>
      <c r="E55" t="inlineStr">
        <is>
          <t>NORRTÄLJE</t>
        </is>
      </c>
      <c r="G55" t="n">
        <v>1.1</v>
      </c>
      <c r="H55" t="n">
        <v>1</v>
      </c>
      <c r="I55" t="n">
        <v>2</v>
      </c>
      <c r="J55" t="n">
        <v>1</v>
      </c>
      <c r="K55" t="n">
        <v>0</v>
      </c>
      <c r="L55" t="n">
        <v>1</v>
      </c>
      <c r="M55" t="n">
        <v>0</v>
      </c>
      <c r="N55" t="n">
        <v>0</v>
      </c>
      <c r="O55" t="n">
        <v>2</v>
      </c>
      <c r="P55" t="n">
        <v>1</v>
      </c>
      <c r="Q55" t="n">
        <v>5</v>
      </c>
      <c r="R55" s="2" t="inlineStr">
        <is>
          <t>Ask
Sårläka
Bronshjon
Granbarkgnagare
Blåsippa</t>
        </is>
      </c>
      <c r="S55">
        <f>HYPERLINK("https://klasma.github.io/Logging_0188/artfynd/A 29972-2024 artfynd.xlsx", "A 29972-2024")</f>
        <v/>
      </c>
      <c r="T55">
        <f>HYPERLINK("https://klasma.github.io/Logging_0188/kartor/A 29972-2024 karta.png", "A 29972-2024")</f>
        <v/>
      </c>
      <c r="V55">
        <f>HYPERLINK("https://klasma.github.io/Logging_0188/klagomål/A 29972-2024 FSC-klagomål.docx", "A 29972-2024")</f>
        <v/>
      </c>
      <c r="W55">
        <f>HYPERLINK("https://klasma.github.io/Logging_0188/klagomålsmail/A 29972-2024 FSC-klagomål mail.docx", "A 29972-2024")</f>
        <v/>
      </c>
      <c r="X55">
        <f>HYPERLINK("https://klasma.github.io/Logging_0188/tillsyn/A 29972-2024 tillsynsbegäran.docx", "A 29972-2024")</f>
        <v/>
      </c>
      <c r="Y55">
        <f>HYPERLINK("https://klasma.github.io/Logging_0188/tillsynsmail/A 29972-2024 tillsynsbegäran mail.docx", "A 29972-2024")</f>
        <v/>
      </c>
    </row>
    <row r="56" ht="15" customHeight="1">
      <c r="A56" t="inlineStr">
        <is>
          <t>A 26703-2025</t>
        </is>
      </c>
      <c r="B56" s="1" t="n">
        <v>45810</v>
      </c>
      <c r="C56" s="1" t="n">
        <v>46194</v>
      </c>
      <c r="D56" t="inlineStr">
        <is>
          <t>STOCKHOLMS LÄN</t>
        </is>
      </c>
      <c r="E56" t="inlineStr">
        <is>
          <t>NORRTÄLJE</t>
        </is>
      </c>
      <c r="G56" t="n">
        <v>1.8</v>
      </c>
      <c r="H56" t="n">
        <v>1</v>
      </c>
      <c r="I56" t="n">
        <v>1</v>
      </c>
      <c r="J56" t="n">
        <v>1</v>
      </c>
      <c r="K56" t="n">
        <v>2</v>
      </c>
      <c r="L56" t="n">
        <v>0</v>
      </c>
      <c r="M56" t="n">
        <v>0</v>
      </c>
      <c r="N56" t="n">
        <v>0</v>
      </c>
      <c r="O56" t="n">
        <v>3</v>
      </c>
      <c r="P56" t="n">
        <v>2</v>
      </c>
      <c r="Q56" t="n">
        <v>5</v>
      </c>
      <c r="R56" s="2" t="inlineStr">
        <is>
          <t>Aspgelélav
Grangråticka
Fjällig taggsvamp s.str.
Svavelriska
Blåsippa</t>
        </is>
      </c>
      <c r="S56">
        <f>HYPERLINK("https://klasma.github.io/Logging_0188/artfynd/A 26703-2025 artfynd.xlsx", "A 26703-2025")</f>
        <v/>
      </c>
      <c r="T56">
        <f>HYPERLINK("https://klasma.github.io/Logging_0188/kartor/A 26703-2025 karta.png", "A 26703-2025")</f>
        <v/>
      </c>
      <c r="V56">
        <f>HYPERLINK("https://klasma.github.io/Logging_0188/klagomål/A 26703-2025 FSC-klagomål.docx", "A 26703-2025")</f>
        <v/>
      </c>
      <c r="W56">
        <f>HYPERLINK("https://klasma.github.io/Logging_0188/klagomålsmail/A 26703-2025 FSC-klagomål mail.docx", "A 26703-2025")</f>
        <v/>
      </c>
      <c r="X56">
        <f>HYPERLINK("https://klasma.github.io/Logging_0188/tillsyn/A 26703-2025 tillsynsbegäran.docx", "A 26703-2025")</f>
        <v/>
      </c>
      <c r="Y56">
        <f>HYPERLINK("https://klasma.github.io/Logging_0188/tillsynsmail/A 26703-2025 tillsynsbegäran mail.docx", "A 26703-2025")</f>
        <v/>
      </c>
    </row>
    <row r="57" ht="15" customHeight="1">
      <c r="A57" t="inlineStr">
        <is>
          <t>A 652-2025</t>
        </is>
      </c>
      <c r="B57" s="1" t="n">
        <v>45664</v>
      </c>
      <c r="C57" s="1" t="n">
        <v>46194</v>
      </c>
      <c r="D57" t="inlineStr">
        <is>
          <t>STOCKHOLMS LÄN</t>
        </is>
      </c>
      <c r="E57" t="inlineStr">
        <is>
          <t>NORRTÄLJE</t>
        </is>
      </c>
      <c r="G57" t="n">
        <v>2.5</v>
      </c>
      <c r="H57" t="n">
        <v>5</v>
      </c>
      <c r="I57" t="n">
        <v>0</v>
      </c>
      <c r="J57" t="n">
        <v>2</v>
      </c>
      <c r="K57" t="n">
        <v>0</v>
      </c>
      <c r="L57" t="n">
        <v>0</v>
      </c>
      <c r="M57" t="n">
        <v>0</v>
      </c>
      <c r="N57" t="n">
        <v>0</v>
      </c>
      <c r="O57" t="n">
        <v>2</v>
      </c>
      <c r="P57" t="n">
        <v>0</v>
      </c>
      <c r="Q57" t="n">
        <v>5</v>
      </c>
      <c r="R57" s="2" t="inlineStr">
        <is>
          <t>Fransfladdermus
Nordfladdermus
Dvärgpipistrell
Större brunfladdermus
Vattenfladdermus</t>
        </is>
      </c>
      <c r="S57">
        <f>HYPERLINK("https://klasma.github.io/Logging_0188/artfynd/A 652-2025 artfynd.xlsx", "A 652-2025")</f>
        <v/>
      </c>
      <c r="T57">
        <f>HYPERLINK("https://klasma.github.io/Logging_0188/kartor/A 652-2025 karta.png", "A 652-2025")</f>
        <v/>
      </c>
      <c r="V57">
        <f>HYPERLINK("https://klasma.github.io/Logging_0188/klagomål/A 652-2025 FSC-klagomål.docx", "A 652-2025")</f>
        <v/>
      </c>
      <c r="W57">
        <f>HYPERLINK("https://klasma.github.io/Logging_0188/klagomålsmail/A 652-2025 FSC-klagomål mail.docx", "A 652-2025")</f>
        <v/>
      </c>
      <c r="X57">
        <f>HYPERLINK("https://klasma.github.io/Logging_0188/tillsyn/A 652-2025 tillsynsbegäran.docx", "A 652-2025")</f>
        <v/>
      </c>
      <c r="Y57">
        <f>HYPERLINK("https://klasma.github.io/Logging_0188/tillsynsmail/A 652-2025 tillsynsbegäran mail.docx", "A 652-2025")</f>
        <v/>
      </c>
    </row>
    <row r="58" ht="15" customHeight="1">
      <c r="A58" t="inlineStr">
        <is>
          <t>A 28836-2022</t>
        </is>
      </c>
      <c r="B58" s="1" t="n">
        <v>44749</v>
      </c>
      <c r="C58" s="1" t="n">
        <v>46194</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27870-2022</t>
        </is>
      </c>
      <c r="B59" s="1" t="n">
        <v>44743</v>
      </c>
      <c r="C59" s="1" t="n">
        <v>46194</v>
      </c>
      <c r="D59" t="inlineStr">
        <is>
          <t>STOCKHOLMS LÄN</t>
        </is>
      </c>
      <c r="E59" t="inlineStr">
        <is>
          <t>NORRTÄLJE</t>
        </is>
      </c>
      <c r="F59" t="inlineStr">
        <is>
          <t>Holmen skog AB</t>
        </is>
      </c>
      <c r="G59" t="n">
        <v>1.8</v>
      </c>
      <c r="H59" t="n">
        <v>3</v>
      </c>
      <c r="I59" t="n">
        <v>0</v>
      </c>
      <c r="J59" t="n">
        <v>1</v>
      </c>
      <c r="K59" t="n">
        <v>0</v>
      </c>
      <c r="L59" t="n">
        <v>1</v>
      </c>
      <c r="M59" t="n">
        <v>0</v>
      </c>
      <c r="N59" t="n">
        <v>0</v>
      </c>
      <c r="O59" t="n">
        <v>2</v>
      </c>
      <c r="P59" t="n">
        <v>1</v>
      </c>
      <c r="Q59" t="n">
        <v>4</v>
      </c>
      <c r="R59" s="2" t="inlineStr">
        <is>
          <t>Ask
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51980-2022</t>
        </is>
      </c>
      <c r="B60" s="1" t="n">
        <v>44872</v>
      </c>
      <c r="C60" s="1" t="n">
        <v>46194</v>
      </c>
      <c r="D60" t="inlineStr">
        <is>
          <t>STOCKHOLMS LÄN</t>
        </is>
      </c>
      <c r="E60" t="inlineStr">
        <is>
          <t>NORRTÄLJE</t>
        </is>
      </c>
      <c r="G60" t="n">
        <v>7.9</v>
      </c>
      <c r="H60" t="n">
        <v>2</v>
      </c>
      <c r="I60" t="n">
        <v>4</v>
      </c>
      <c r="J60" t="n">
        <v>0</v>
      </c>
      <c r="K60" t="n">
        <v>0</v>
      </c>
      <c r="L60" t="n">
        <v>0</v>
      </c>
      <c r="M60" t="n">
        <v>0</v>
      </c>
      <c r="N60" t="n">
        <v>0</v>
      </c>
      <c r="O60" t="n">
        <v>0</v>
      </c>
      <c r="P60" t="n">
        <v>0</v>
      </c>
      <c r="Q60" t="n">
        <v>4</v>
      </c>
      <c r="R60" s="2" t="inlineStr">
        <is>
          <t>Rödgul trumpetsvamp
Skogsknipprot
Trådfräken
Tvåblad</t>
        </is>
      </c>
      <c r="S60">
        <f>HYPERLINK("https://klasma.github.io/Logging_0188/artfynd/A 51980-2022 artfynd.xlsx", "A 51980-2022")</f>
        <v/>
      </c>
      <c r="T60">
        <f>HYPERLINK("https://klasma.github.io/Logging_0188/kartor/A 51980-2022 karta.png", "A 51980-2022")</f>
        <v/>
      </c>
      <c r="V60">
        <f>HYPERLINK("https://klasma.github.io/Logging_0188/klagomål/A 51980-2022 FSC-klagomål.docx", "A 51980-2022")</f>
        <v/>
      </c>
      <c r="W60">
        <f>HYPERLINK("https://klasma.github.io/Logging_0188/klagomålsmail/A 51980-2022 FSC-klagomål mail.docx", "A 51980-2022")</f>
        <v/>
      </c>
      <c r="X60">
        <f>HYPERLINK("https://klasma.github.io/Logging_0188/tillsyn/A 51980-2022 tillsynsbegäran.docx", "A 51980-2022")</f>
        <v/>
      </c>
      <c r="Y60">
        <f>HYPERLINK("https://klasma.github.io/Logging_0188/tillsynsmail/A 51980-2022 tillsynsbegäran mail.docx", "A 51980-2022")</f>
        <v/>
      </c>
    </row>
    <row r="61" ht="15" customHeight="1">
      <c r="A61" t="inlineStr">
        <is>
          <t>A 47898-2022</t>
        </is>
      </c>
      <c r="B61" s="1" t="n">
        <v>44855</v>
      </c>
      <c r="C61" s="1" t="n">
        <v>46194</v>
      </c>
      <c r="D61" t="inlineStr">
        <is>
          <t>STOCKHOLMS LÄN</t>
        </is>
      </c>
      <c r="E61" t="inlineStr">
        <is>
          <t>NORRTÄLJE</t>
        </is>
      </c>
      <c r="G61" t="n">
        <v>6.7</v>
      </c>
      <c r="H61" t="n">
        <v>2</v>
      </c>
      <c r="I61" t="n">
        <v>1</v>
      </c>
      <c r="J61" t="n">
        <v>1</v>
      </c>
      <c r="K61" t="n">
        <v>2</v>
      </c>
      <c r="L61" t="n">
        <v>0</v>
      </c>
      <c r="M61" t="n">
        <v>0</v>
      </c>
      <c r="N61" t="n">
        <v>0</v>
      </c>
      <c r="O61" t="n">
        <v>3</v>
      </c>
      <c r="P61" t="n">
        <v>2</v>
      </c>
      <c r="Q61" t="n">
        <v>4</v>
      </c>
      <c r="R61" s="2" t="inlineStr">
        <is>
          <t>Hällebräcka
Mindre bastardsvärmare
Backklöver
Guckusko</t>
        </is>
      </c>
      <c r="S61">
        <f>HYPERLINK("https://klasma.github.io/Logging_0188/artfynd/A 47898-2022 artfynd.xlsx", "A 47898-2022")</f>
        <v/>
      </c>
      <c r="T61">
        <f>HYPERLINK("https://klasma.github.io/Logging_0188/kartor/A 47898-2022 karta.png", "A 47898-2022")</f>
        <v/>
      </c>
      <c r="V61">
        <f>HYPERLINK("https://klasma.github.io/Logging_0188/klagomål/A 47898-2022 FSC-klagomål.docx", "A 47898-2022")</f>
        <v/>
      </c>
      <c r="W61">
        <f>HYPERLINK("https://klasma.github.io/Logging_0188/klagomålsmail/A 47898-2022 FSC-klagomål mail.docx", "A 47898-2022")</f>
        <v/>
      </c>
      <c r="X61">
        <f>HYPERLINK("https://klasma.github.io/Logging_0188/tillsyn/A 47898-2022 tillsynsbegäran.docx", "A 47898-2022")</f>
        <v/>
      </c>
      <c r="Y61">
        <f>HYPERLINK("https://klasma.github.io/Logging_0188/tillsynsmail/A 47898-2022 tillsynsbegäran mail.docx", "A 47898-2022")</f>
        <v/>
      </c>
    </row>
    <row r="62" ht="15" customHeight="1">
      <c r="A62" t="inlineStr">
        <is>
          <t>A 32103-2022</t>
        </is>
      </c>
      <c r="B62" s="1" t="n">
        <v>44778</v>
      </c>
      <c r="C62" s="1" t="n">
        <v>46194</v>
      </c>
      <c r="D62" t="inlineStr">
        <is>
          <t>STOCKHOLMS LÄN</t>
        </is>
      </c>
      <c r="E62" t="inlineStr">
        <is>
          <t>NORRTÄLJE</t>
        </is>
      </c>
      <c r="G62" t="n">
        <v>3.4</v>
      </c>
      <c r="H62" t="n">
        <v>4</v>
      </c>
      <c r="I62" t="n">
        <v>0</v>
      </c>
      <c r="J62" t="n">
        <v>1</v>
      </c>
      <c r="K62" t="n">
        <v>1</v>
      </c>
      <c r="L62" t="n">
        <v>1</v>
      </c>
      <c r="M62" t="n">
        <v>0</v>
      </c>
      <c r="N62" t="n">
        <v>0</v>
      </c>
      <c r="O62" t="n">
        <v>3</v>
      </c>
      <c r="P62" t="n">
        <v>2</v>
      </c>
      <c r="Q62" t="n">
        <v>4</v>
      </c>
      <c r="R62" s="2" t="inlineStr">
        <is>
          <t>Kornknarr
Gräshoppsångare
Rörsångare
Näktergal</t>
        </is>
      </c>
      <c r="S62">
        <f>HYPERLINK("https://klasma.github.io/Logging_0188/artfynd/A 32103-2022 artfynd.xlsx", "A 32103-2022")</f>
        <v/>
      </c>
      <c r="T62">
        <f>HYPERLINK("https://klasma.github.io/Logging_0188/kartor/A 32103-2022 karta.png", "A 32103-2022")</f>
        <v/>
      </c>
      <c r="V62">
        <f>HYPERLINK("https://klasma.github.io/Logging_0188/klagomål/A 32103-2022 FSC-klagomål.docx", "A 32103-2022")</f>
        <v/>
      </c>
      <c r="W62">
        <f>HYPERLINK("https://klasma.github.io/Logging_0188/klagomålsmail/A 32103-2022 FSC-klagomål mail.docx", "A 32103-2022")</f>
        <v/>
      </c>
      <c r="X62">
        <f>HYPERLINK("https://klasma.github.io/Logging_0188/tillsyn/A 32103-2022 tillsynsbegäran.docx", "A 32103-2022")</f>
        <v/>
      </c>
      <c r="Y62">
        <f>HYPERLINK("https://klasma.github.io/Logging_0188/tillsynsmail/A 32103-2022 tillsynsbegäran mail.docx", "A 32103-2022")</f>
        <v/>
      </c>
      <c r="Z62">
        <f>HYPERLINK("https://klasma.github.io/Logging_0188/fåglar/A 32103-2022 prioriterade fågelarter.docx", "A 32103-2022")</f>
        <v/>
      </c>
    </row>
    <row r="63" ht="15" customHeight="1">
      <c r="A63" t="inlineStr">
        <is>
          <t>A 41276-2025</t>
        </is>
      </c>
      <c r="B63" s="1" t="n">
        <v>45898</v>
      </c>
      <c r="C63" s="1" t="n">
        <v>46194</v>
      </c>
      <c r="D63" t="inlineStr">
        <is>
          <t>STOCKHOLMS LÄN</t>
        </is>
      </c>
      <c r="E63" t="inlineStr">
        <is>
          <t>NORRTÄLJE</t>
        </is>
      </c>
      <c r="G63" t="n">
        <v>3.2</v>
      </c>
      <c r="H63" t="n">
        <v>1</v>
      </c>
      <c r="I63" t="n">
        <v>1</v>
      </c>
      <c r="J63" t="n">
        <v>1</v>
      </c>
      <c r="K63" t="n">
        <v>0</v>
      </c>
      <c r="L63" t="n">
        <v>1</v>
      </c>
      <c r="M63" t="n">
        <v>0</v>
      </c>
      <c r="N63" t="n">
        <v>0</v>
      </c>
      <c r="O63" t="n">
        <v>2</v>
      </c>
      <c r="P63" t="n">
        <v>1</v>
      </c>
      <c r="Q63" t="n">
        <v>4</v>
      </c>
      <c r="R63" s="2" t="inlineStr">
        <is>
          <t>Ask
Vårärt
Underviol
Blåsippa</t>
        </is>
      </c>
      <c r="S63">
        <f>HYPERLINK("https://klasma.github.io/Logging_0188/artfynd/A 41276-2025 artfynd.xlsx", "A 41276-2025")</f>
        <v/>
      </c>
      <c r="T63">
        <f>HYPERLINK("https://klasma.github.io/Logging_0188/kartor/A 41276-2025 karta.png", "A 41276-2025")</f>
        <v/>
      </c>
      <c r="V63">
        <f>HYPERLINK("https://klasma.github.io/Logging_0188/klagomål/A 41276-2025 FSC-klagomål.docx", "A 41276-2025")</f>
        <v/>
      </c>
      <c r="W63">
        <f>HYPERLINK("https://klasma.github.io/Logging_0188/klagomålsmail/A 41276-2025 FSC-klagomål mail.docx", "A 41276-2025")</f>
        <v/>
      </c>
      <c r="X63">
        <f>HYPERLINK("https://klasma.github.io/Logging_0188/tillsyn/A 41276-2025 tillsynsbegäran.docx", "A 41276-2025")</f>
        <v/>
      </c>
      <c r="Y63">
        <f>HYPERLINK("https://klasma.github.io/Logging_0188/tillsynsmail/A 41276-2025 tillsynsbegäran mail.docx", "A 41276-2025")</f>
        <v/>
      </c>
    </row>
    <row r="64" ht="15" customHeight="1">
      <c r="A64" t="inlineStr">
        <is>
          <t>A 17952-2022</t>
        </is>
      </c>
      <c r="B64" s="1" t="n">
        <v>44683</v>
      </c>
      <c r="C64" s="1" t="n">
        <v>46194</v>
      </c>
      <c r="D64" t="inlineStr">
        <is>
          <t>STOCKHOLMS LÄN</t>
        </is>
      </c>
      <c r="E64" t="inlineStr">
        <is>
          <t>NORRTÄLJE</t>
        </is>
      </c>
      <c r="G64" t="n">
        <v>51.1</v>
      </c>
      <c r="H64" t="n">
        <v>3</v>
      </c>
      <c r="I64" t="n">
        <v>0</v>
      </c>
      <c r="J64" t="n">
        <v>2</v>
      </c>
      <c r="K64" t="n">
        <v>1</v>
      </c>
      <c r="L64" t="n">
        <v>0</v>
      </c>
      <c r="M64" t="n">
        <v>0</v>
      </c>
      <c r="N64" t="n">
        <v>0</v>
      </c>
      <c r="O64" t="n">
        <v>3</v>
      </c>
      <c r="P64" t="n">
        <v>1</v>
      </c>
      <c r="Q64" t="n">
        <v>4</v>
      </c>
      <c r="R64" s="2" t="inlineStr">
        <is>
          <t>Kattunvisslare
Mindre hackspett
Talltita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c r="Z64">
        <f>HYPERLINK("https://klasma.github.io/Logging_0188/fåglar/A 17952-2022 prioriterade fågelarter.docx", "A 17952-2022")</f>
        <v/>
      </c>
    </row>
    <row r="65" ht="15" customHeight="1">
      <c r="A65" t="inlineStr">
        <is>
          <t>A 30687-2025</t>
        </is>
      </c>
      <c r="B65" s="1" t="n">
        <v>45831</v>
      </c>
      <c r="C65" s="1" t="n">
        <v>46194</v>
      </c>
      <c r="D65" t="inlineStr">
        <is>
          <t>STOCKHOLMS LÄN</t>
        </is>
      </c>
      <c r="E65" t="inlineStr">
        <is>
          <t>NORRTÄLJE</t>
        </is>
      </c>
      <c r="G65" t="n">
        <v>6.7</v>
      </c>
      <c r="H65" t="n">
        <v>1</v>
      </c>
      <c r="I65" t="n">
        <v>2</v>
      </c>
      <c r="J65" t="n">
        <v>1</v>
      </c>
      <c r="K65" t="n">
        <v>0</v>
      </c>
      <c r="L65" t="n">
        <v>0</v>
      </c>
      <c r="M65" t="n">
        <v>0</v>
      </c>
      <c r="N65" t="n">
        <v>0</v>
      </c>
      <c r="O65" t="n">
        <v>1</v>
      </c>
      <c r="P65" t="n">
        <v>0</v>
      </c>
      <c r="Q65" t="n">
        <v>4</v>
      </c>
      <c r="R65" s="2" t="inlineStr">
        <is>
          <t>Kandelabersvamp
Stinkbrosking
Svart trolldruva
Blåsippa</t>
        </is>
      </c>
      <c r="S65">
        <f>HYPERLINK("https://klasma.github.io/Logging_0188/artfynd/A 30687-2025 artfynd.xlsx", "A 30687-2025")</f>
        <v/>
      </c>
      <c r="T65">
        <f>HYPERLINK("https://klasma.github.io/Logging_0188/kartor/A 30687-2025 karta.png", "A 30687-2025")</f>
        <v/>
      </c>
      <c r="V65">
        <f>HYPERLINK("https://klasma.github.io/Logging_0188/klagomål/A 30687-2025 FSC-klagomål.docx", "A 30687-2025")</f>
        <v/>
      </c>
      <c r="W65">
        <f>HYPERLINK("https://klasma.github.io/Logging_0188/klagomålsmail/A 30687-2025 FSC-klagomål mail.docx", "A 30687-2025")</f>
        <v/>
      </c>
      <c r="X65">
        <f>HYPERLINK("https://klasma.github.io/Logging_0188/tillsyn/A 30687-2025 tillsynsbegäran.docx", "A 30687-2025")</f>
        <v/>
      </c>
      <c r="Y65">
        <f>HYPERLINK("https://klasma.github.io/Logging_0188/tillsynsmail/A 30687-2025 tillsynsbegäran mail.docx", "A 30687-2025")</f>
        <v/>
      </c>
    </row>
    <row r="66" ht="15" customHeight="1">
      <c r="A66" t="inlineStr">
        <is>
          <t>A 24535-2023</t>
        </is>
      </c>
      <c r="B66" s="1" t="n">
        <v>45082</v>
      </c>
      <c r="C66" s="1" t="n">
        <v>46194</v>
      </c>
      <c r="D66" t="inlineStr">
        <is>
          <t>STOCKHOLMS LÄN</t>
        </is>
      </c>
      <c r="E66" t="inlineStr">
        <is>
          <t>NORRTÄLJE</t>
        </is>
      </c>
      <c r="F66" t="inlineStr">
        <is>
          <t>Kommuner</t>
        </is>
      </c>
      <c r="G66" t="n">
        <v>2</v>
      </c>
      <c r="H66" t="n">
        <v>3</v>
      </c>
      <c r="I66" t="n">
        <v>2</v>
      </c>
      <c r="J66" t="n">
        <v>0</v>
      </c>
      <c r="K66" t="n">
        <v>0</v>
      </c>
      <c r="L66" t="n">
        <v>0</v>
      </c>
      <c r="M66" t="n">
        <v>0</v>
      </c>
      <c r="N66" t="n">
        <v>0</v>
      </c>
      <c r="O66" t="n">
        <v>0</v>
      </c>
      <c r="P66" t="n">
        <v>0</v>
      </c>
      <c r="Q66" t="n">
        <v>4</v>
      </c>
      <c r="R66" s="2" t="inlineStr">
        <is>
          <t>Nästrot
Svavelriska
Blåsippa
Mindre flugsnappare</t>
        </is>
      </c>
      <c r="S66">
        <f>HYPERLINK("https://klasma.github.io/Logging_0188/artfynd/A 24535-2023 artfynd.xlsx", "A 24535-2023")</f>
        <v/>
      </c>
      <c r="T66">
        <f>HYPERLINK("https://klasma.github.io/Logging_0188/kartor/A 24535-2023 karta.png", "A 24535-2023")</f>
        <v/>
      </c>
      <c r="V66">
        <f>HYPERLINK("https://klasma.github.io/Logging_0188/klagomål/A 24535-2023 FSC-klagomål.docx", "A 24535-2023")</f>
        <v/>
      </c>
      <c r="W66">
        <f>HYPERLINK("https://klasma.github.io/Logging_0188/klagomålsmail/A 24535-2023 FSC-klagomål mail.docx", "A 24535-2023")</f>
        <v/>
      </c>
      <c r="X66">
        <f>HYPERLINK("https://klasma.github.io/Logging_0188/tillsyn/A 24535-2023 tillsynsbegäran.docx", "A 24535-2023")</f>
        <v/>
      </c>
      <c r="Y66">
        <f>HYPERLINK("https://klasma.github.io/Logging_0188/tillsynsmail/A 24535-2023 tillsynsbegäran mail.docx", "A 24535-2023")</f>
        <v/>
      </c>
      <c r="Z66">
        <f>HYPERLINK("https://klasma.github.io/Logging_0188/fåglar/A 24535-2023 prioriterade fågelarter.docx", "A 24535-2023")</f>
        <v/>
      </c>
    </row>
    <row r="67" ht="15" customHeight="1">
      <c r="A67" t="inlineStr">
        <is>
          <t>A 54110-2024</t>
        </is>
      </c>
      <c r="B67" s="1" t="n">
        <v>45616</v>
      </c>
      <c r="C67" s="1" t="n">
        <v>46194</v>
      </c>
      <c r="D67" t="inlineStr">
        <is>
          <t>STOCKHOLMS LÄN</t>
        </is>
      </c>
      <c r="E67" t="inlineStr">
        <is>
          <t>NORRTÄLJE</t>
        </is>
      </c>
      <c r="G67" t="n">
        <v>6.7</v>
      </c>
      <c r="H67" t="n">
        <v>2</v>
      </c>
      <c r="I67" t="n">
        <v>0</v>
      </c>
      <c r="J67" t="n">
        <v>2</v>
      </c>
      <c r="K67" t="n">
        <v>0</v>
      </c>
      <c r="L67" t="n">
        <v>0</v>
      </c>
      <c r="M67" t="n">
        <v>0</v>
      </c>
      <c r="N67" t="n">
        <v>0</v>
      </c>
      <c r="O67" t="n">
        <v>2</v>
      </c>
      <c r="P67" t="n">
        <v>0</v>
      </c>
      <c r="Q67" t="n">
        <v>4</v>
      </c>
      <c r="R67" s="2" t="inlineStr">
        <is>
          <t>Jungfrulin
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29185-2025</t>
        </is>
      </c>
      <c r="B68" s="1" t="n">
        <v>45821</v>
      </c>
      <c r="C68" s="1" t="n">
        <v>46194</v>
      </c>
      <c r="D68" t="inlineStr">
        <is>
          <t>STOCKHOLMS LÄN</t>
        </is>
      </c>
      <c r="E68" t="inlineStr">
        <is>
          <t>NORRTÄLJE</t>
        </is>
      </c>
      <c r="F68" t="inlineStr">
        <is>
          <t>Övriga Aktiebolag</t>
        </is>
      </c>
      <c r="G68" t="n">
        <v>8.5</v>
      </c>
      <c r="H68" t="n">
        <v>3</v>
      </c>
      <c r="I68" t="n">
        <v>0</v>
      </c>
      <c r="J68" t="n">
        <v>1</v>
      </c>
      <c r="K68" t="n">
        <v>0</v>
      </c>
      <c r="L68" t="n">
        <v>0</v>
      </c>
      <c r="M68" t="n">
        <v>0</v>
      </c>
      <c r="N68" t="n">
        <v>0</v>
      </c>
      <c r="O68" t="n">
        <v>1</v>
      </c>
      <c r="P68" t="n">
        <v>0</v>
      </c>
      <c r="Q68" t="n">
        <v>4</v>
      </c>
      <c r="R68" s="2" t="inlineStr">
        <is>
          <t>Vårärt
Blåsippa
Tjäder
Fläcknycklar</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c r="Z68">
        <f>HYPERLINK("https://klasma.github.io/Logging_0188/fåglar/A 29185-2025 prioriterade fågelarter.docx", "A 29185-2025")</f>
        <v/>
      </c>
    </row>
    <row r="69" ht="15" customHeight="1">
      <c r="A69" t="inlineStr">
        <is>
          <t>A 33552-2025</t>
        </is>
      </c>
      <c r="B69" s="1" t="n">
        <v>45841</v>
      </c>
      <c r="C69" s="1" t="n">
        <v>46194</v>
      </c>
      <c r="D69" t="inlineStr">
        <is>
          <t>STOCKHOLMS LÄN</t>
        </is>
      </c>
      <c r="E69" t="inlineStr">
        <is>
          <t>NORRTÄLJE</t>
        </is>
      </c>
      <c r="G69" t="n">
        <v>8.9</v>
      </c>
      <c r="H69" t="n">
        <v>0</v>
      </c>
      <c r="I69" t="n">
        <v>0</v>
      </c>
      <c r="J69" t="n">
        <v>3</v>
      </c>
      <c r="K69" t="n">
        <v>1</v>
      </c>
      <c r="L69" t="n">
        <v>0</v>
      </c>
      <c r="M69" t="n">
        <v>0</v>
      </c>
      <c r="N69" t="n">
        <v>0</v>
      </c>
      <c r="O69" t="n">
        <v>4</v>
      </c>
      <c r="P69" t="n">
        <v>1</v>
      </c>
      <c r="Q69" t="n">
        <v>4</v>
      </c>
      <c r="R69" s="2" t="inlineStr">
        <is>
          <t>Kopparspindling
Fjällig taggsvamp s.str.
Orange taggsvamp
Skarp dropptaggsvamp</t>
        </is>
      </c>
      <c r="S69">
        <f>HYPERLINK("https://klasma.github.io/Logging_0188/artfynd/A 33552-2025 artfynd.xlsx", "A 33552-2025")</f>
        <v/>
      </c>
      <c r="T69">
        <f>HYPERLINK("https://klasma.github.io/Logging_0188/kartor/A 33552-2025 karta.png", "A 33552-2025")</f>
        <v/>
      </c>
      <c r="V69">
        <f>HYPERLINK("https://klasma.github.io/Logging_0188/klagomål/A 33552-2025 FSC-klagomål.docx", "A 33552-2025")</f>
        <v/>
      </c>
      <c r="W69">
        <f>HYPERLINK("https://klasma.github.io/Logging_0188/klagomålsmail/A 33552-2025 FSC-klagomål mail.docx", "A 33552-2025")</f>
        <v/>
      </c>
      <c r="X69">
        <f>HYPERLINK("https://klasma.github.io/Logging_0188/tillsyn/A 33552-2025 tillsynsbegäran.docx", "A 33552-2025")</f>
        <v/>
      </c>
      <c r="Y69">
        <f>HYPERLINK("https://klasma.github.io/Logging_0188/tillsynsmail/A 33552-2025 tillsynsbegäran mail.docx", "A 33552-2025")</f>
        <v/>
      </c>
    </row>
    <row r="70" ht="15" customHeight="1">
      <c r="A70" t="inlineStr">
        <is>
          <t>A 72305-2021</t>
        </is>
      </c>
      <c r="B70" s="1" t="n">
        <v>44545</v>
      </c>
      <c r="C70" s="1" t="n">
        <v>46194</v>
      </c>
      <c r="D70" t="inlineStr">
        <is>
          <t>STOCKHOLMS LÄN</t>
        </is>
      </c>
      <c r="E70" t="inlineStr">
        <is>
          <t>NORRTÄLJE</t>
        </is>
      </c>
      <c r="G70" t="n">
        <v>1.5</v>
      </c>
      <c r="H70" t="n">
        <v>1</v>
      </c>
      <c r="I70" t="n">
        <v>1</v>
      </c>
      <c r="J70" t="n">
        <v>2</v>
      </c>
      <c r="K70" t="n">
        <v>0</v>
      </c>
      <c r="L70" t="n">
        <v>0</v>
      </c>
      <c r="M70" t="n">
        <v>0</v>
      </c>
      <c r="N70" t="n">
        <v>0</v>
      </c>
      <c r="O70" t="n">
        <v>2</v>
      </c>
      <c r="P70" t="n">
        <v>0</v>
      </c>
      <c r="Q70" t="n">
        <v>4</v>
      </c>
      <c r="R70" s="2" t="inlineStr">
        <is>
          <t>Sårläka
Vårärt
Svart trolldruva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44709-2022</t>
        </is>
      </c>
      <c r="B71" s="1" t="n">
        <v>44839</v>
      </c>
      <c r="C71" s="1" t="n">
        <v>46194</v>
      </c>
      <c r="D71" t="inlineStr">
        <is>
          <t>STOCKHOLMS LÄN</t>
        </is>
      </c>
      <c r="E71" t="inlineStr">
        <is>
          <t>NORRTÄLJE</t>
        </is>
      </c>
      <c r="G71" t="n">
        <v>16.3</v>
      </c>
      <c r="H71" t="n">
        <v>3</v>
      </c>
      <c r="I71" t="n">
        <v>0</v>
      </c>
      <c r="J71" t="n">
        <v>2</v>
      </c>
      <c r="K71" t="n">
        <v>0</v>
      </c>
      <c r="L71" t="n">
        <v>0</v>
      </c>
      <c r="M71" t="n">
        <v>0</v>
      </c>
      <c r="N71" t="n">
        <v>0</v>
      </c>
      <c r="O71" t="n">
        <v>2</v>
      </c>
      <c r="P71" t="n">
        <v>0</v>
      </c>
      <c r="Q71" t="n">
        <v>4</v>
      </c>
      <c r="R71" s="2" t="inlineStr">
        <is>
          <t>Enkelbeckasin
Jungfrulin
Spillkråka
Orre</t>
        </is>
      </c>
      <c r="S71">
        <f>HYPERLINK("https://klasma.github.io/Logging_0188/artfynd/A 44709-2022 artfynd.xlsx", "A 44709-2022")</f>
        <v/>
      </c>
      <c r="T71">
        <f>HYPERLINK("https://klasma.github.io/Logging_0188/kartor/A 44709-2022 karta.png", "A 44709-2022")</f>
        <v/>
      </c>
      <c r="V71">
        <f>HYPERLINK("https://klasma.github.io/Logging_0188/klagomål/A 44709-2022 FSC-klagomål.docx", "A 44709-2022")</f>
        <v/>
      </c>
      <c r="W71">
        <f>HYPERLINK("https://klasma.github.io/Logging_0188/klagomålsmail/A 44709-2022 FSC-klagomål mail.docx", "A 44709-2022")</f>
        <v/>
      </c>
      <c r="X71">
        <f>HYPERLINK("https://klasma.github.io/Logging_0188/tillsyn/A 44709-2022 tillsynsbegäran.docx", "A 44709-2022")</f>
        <v/>
      </c>
      <c r="Y71">
        <f>HYPERLINK("https://klasma.github.io/Logging_0188/tillsynsmail/A 44709-2022 tillsynsbegäran mail.docx", "A 44709-2022")</f>
        <v/>
      </c>
      <c r="Z71">
        <f>HYPERLINK("https://klasma.github.io/Logging_0188/fåglar/A 44709-2022 prioriterade fågelarter.docx", "A 44709-2022")</f>
        <v/>
      </c>
    </row>
    <row r="72" ht="15" customHeight="1">
      <c r="A72" t="inlineStr">
        <is>
          <t>A 25913-2026</t>
        </is>
      </c>
      <c r="B72" s="1" t="n">
        <v>46178</v>
      </c>
      <c r="C72" s="1" t="n">
        <v>46194</v>
      </c>
      <c r="D72" t="inlineStr">
        <is>
          <t>STOCKHOLMS LÄN</t>
        </is>
      </c>
      <c r="E72" t="inlineStr">
        <is>
          <t>NORRTÄLJE</t>
        </is>
      </c>
      <c r="G72" t="n">
        <v>10.3</v>
      </c>
      <c r="H72" t="n">
        <v>3</v>
      </c>
      <c r="I72" t="n">
        <v>0</v>
      </c>
      <c r="J72" t="n">
        <v>1</v>
      </c>
      <c r="K72" t="n">
        <v>1</v>
      </c>
      <c r="L72" t="n">
        <v>0</v>
      </c>
      <c r="M72" t="n">
        <v>0</v>
      </c>
      <c r="N72" t="n">
        <v>0</v>
      </c>
      <c r="O72" t="n">
        <v>2</v>
      </c>
      <c r="P72" t="n">
        <v>1</v>
      </c>
      <c r="Q72" t="n">
        <v>4</v>
      </c>
      <c r="R72" s="2" t="inlineStr">
        <is>
          <t>Igelkott
Talltita
Grönsiska
Havsörn</t>
        </is>
      </c>
      <c r="S72">
        <f>HYPERLINK("https://klasma.github.io/Logging_0188/artfynd/A 25913-2026 artfynd.xlsx", "A 25913-2026")</f>
        <v/>
      </c>
      <c r="T72">
        <f>HYPERLINK("https://klasma.github.io/Logging_0188/kartor/A 25913-2026 karta.png", "A 25913-2026")</f>
        <v/>
      </c>
      <c r="V72">
        <f>HYPERLINK("https://klasma.github.io/Logging_0188/klagomål/A 25913-2026 FSC-klagomål.docx", "A 25913-2026")</f>
        <v/>
      </c>
      <c r="W72">
        <f>HYPERLINK("https://klasma.github.io/Logging_0188/klagomålsmail/A 25913-2026 FSC-klagomål mail.docx", "A 25913-2026")</f>
        <v/>
      </c>
      <c r="X72">
        <f>HYPERLINK("https://klasma.github.io/Logging_0188/tillsyn/A 25913-2026 tillsynsbegäran.docx", "A 25913-2026")</f>
        <v/>
      </c>
      <c r="Y72">
        <f>HYPERLINK("https://klasma.github.io/Logging_0188/tillsynsmail/A 25913-2026 tillsynsbegäran mail.docx", "A 25913-2026")</f>
        <v/>
      </c>
      <c r="Z72">
        <f>HYPERLINK("https://klasma.github.io/Logging_0188/fåglar/A 25913-2026 prioriterade fågelarter.docx", "A 25913-2026")</f>
        <v/>
      </c>
    </row>
    <row r="73" ht="15" customHeight="1">
      <c r="A73" t="inlineStr">
        <is>
          <t>A 31803-2021</t>
        </is>
      </c>
      <c r="B73" s="1" t="n">
        <v>44370</v>
      </c>
      <c r="C73" s="1" t="n">
        <v>46194</v>
      </c>
      <c r="D73" t="inlineStr">
        <is>
          <t>STOCKHOLMS LÄN</t>
        </is>
      </c>
      <c r="E73" t="inlineStr">
        <is>
          <t>NORRTÄLJE</t>
        </is>
      </c>
      <c r="G73" t="n">
        <v>4.6</v>
      </c>
      <c r="H73" t="n">
        <v>0</v>
      </c>
      <c r="I73" t="n">
        <v>0</v>
      </c>
      <c r="J73" t="n">
        <v>3</v>
      </c>
      <c r="K73" t="n">
        <v>0</v>
      </c>
      <c r="L73" t="n">
        <v>0</v>
      </c>
      <c r="M73" t="n">
        <v>0</v>
      </c>
      <c r="N73" t="n">
        <v>0</v>
      </c>
      <c r="O73" t="n">
        <v>3</v>
      </c>
      <c r="P73" t="n">
        <v>0</v>
      </c>
      <c r="Q73" t="n">
        <v>3</v>
      </c>
      <c r="R73" s="2" t="inlineStr">
        <is>
          <t>Jungfrulin
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45113-2022</t>
        </is>
      </c>
      <c r="B74" s="1" t="n">
        <v>44843</v>
      </c>
      <c r="C74" s="1" t="n">
        <v>46194</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9914-2023</t>
        </is>
      </c>
      <c r="B75" s="1" t="n">
        <v>44985</v>
      </c>
      <c r="C75" s="1" t="n">
        <v>46194</v>
      </c>
      <c r="D75" t="inlineStr">
        <is>
          <t>STOCKHOLMS LÄN</t>
        </is>
      </c>
      <c r="E75" t="inlineStr">
        <is>
          <t>NORRTÄLJE</t>
        </is>
      </c>
      <c r="G75" t="n">
        <v>4.2</v>
      </c>
      <c r="H75" t="n">
        <v>0</v>
      </c>
      <c r="I75" t="n">
        <v>2</v>
      </c>
      <c r="J75" t="n">
        <v>1</v>
      </c>
      <c r="K75" t="n">
        <v>0</v>
      </c>
      <c r="L75" t="n">
        <v>0</v>
      </c>
      <c r="M75" t="n">
        <v>0</v>
      </c>
      <c r="N75" t="n">
        <v>0</v>
      </c>
      <c r="O75" t="n">
        <v>1</v>
      </c>
      <c r="P75" t="n">
        <v>0</v>
      </c>
      <c r="Q75" t="n">
        <v>3</v>
      </c>
      <c r="R75" s="2" t="inlineStr">
        <is>
          <t>Orange taggsvamp
Olivspindling
Zontaggsvamp</t>
        </is>
      </c>
      <c r="S75">
        <f>HYPERLINK("https://klasma.github.io/Logging_0188/artfynd/A 9914-2023 artfynd.xlsx", "A 9914-2023")</f>
        <v/>
      </c>
      <c r="T75">
        <f>HYPERLINK("https://klasma.github.io/Logging_0188/kartor/A 9914-2023 karta.png", "A 9914-2023")</f>
        <v/>
      </c>
      <c r="V75">
        <f>HYPERLINK("https://klasma.github.io/Logging_0188/klagomål/A 9914-2023 FSC-klagomål.docx", "A 9914-2023")</f>
        <v/>
      </c>
      <c r="W75">
        <f>HYPERLINK("https://klasma.github.io/Logging_0188/klagomålsmail/A 9914-2023 FSC-klagomål mail.docx", "A 9914-2023")</f>
        <v/>
      </c>
      <c r="X75">
        <f>HYPERLINK("https://klasma.github.io/Logging_0188/tillsyn/A 9914-2023 tillsynsbegäran.docx", "A 9914-2023")</f>
        <v/>
      </c>
      <c r="Y75">
        <f>HYPERLINK("https://klasma.github.io/Logging_0188/tillsynsmail/A 9914-2023 tillsynsbegäran mail.docx", "A 9914-2023")</f>
        <v/>
      </c>
    </row>
    <row r="76" ht="15" customHeight="1">
      <c r="A76" t="inlineStr">
        <is>
          <t>A 31281-2022</t>
        </is>
      </c>
      <c r="B76" s="1" t="n">
        <v>44771</v>
      </c>
      <c r="C76" s="1" t="n">
        <v>46194</v>
      </c>
      <c r="D76" t="inlineStr">
        <is>
          <t>STOCKHOLMS LÄN</t>
        </is>
      </c>
      <c r="E76" t="inlineStr">
        <is>
          <t>NORRTÄLJE</t>
        </is>
      </c>
      <c r="F76" t="inlineStr">
        <is>
          <t>Holmen skog AB</t>
        </is>
      </c>
      <c r="G76" t="n">
        <v>5.2</v>
      </c>
      <c r="H76" t="n">
        <v>3</v>
      </c>
      <c r="I76" t="n">
        <v>0</v>
      </c>
      <c r="J76" t="n">
        <v>0</v>
      </c>
      <c r="K76" t="n">
        <v>0</v>
      </c>
      <c r="L76" t="n">
        <v>0</v>
      </c>
      <c r="M76" t="n">
        <v>0</v>
      </c>
      <c r="N76" t="n">
        <v>0</v>
      </c>
      <c r="O76" t="n">
        <v>0</v>
      </c>
      <c r="P76" t="n">
        <v>0</v>
      </c>
      <c r="Q76" t="n">
        <v>3</v>
      </c>
      <c r="R76" s="2" t="inlineStr">
        <is>
          <t>Nattskärra
Kråka
Näktergal</t>
        </is>
      </c>
      <c r="S76">
        <f>HYPERLINK("https://klasma.github.io/Logging_0188/artfynd/A 31281-2022 artfynd.xlsx", "A 31281-2022")</f>
        <v/>
      </c>
      <c r="T76">
        <f>HYPERLINK("https://klasma.github.io/Logging_0188/kartor/A 31281-2022 karta.png", "A 31281-2022")</f>
        <v/>
      </c>
      <c r="V76">
        <f>HYPERLINK("https://klasma.github.io/Logging_0188/klagomål/A 31281-2022 FSC-klagomål.docx", "A 31281-2022")</f>
        <v/>
      </c>
      <c r="W76">
        <f>HYPERLINK("https://klasma.github.io/Logging_0188/klagomålsmail/A 31281-2022 FSC-klagomål mail.docx", "A 31281-2022")</f>
        <v/>
      </c>
      <c r="X76">
        <f>HYPERLINK("https://klasma.github.io/Logging_0188/tillsyn/A 31281-2022 tillsynsbegäran.docx", "A 31281-2022")</f>
        <v/>
      </c>
      <c r="Y76">
        <f>HYPERLINK("https://klasma.github.io/Logging_0188/tillsynsmail/A 31281-2022 tillsynsbegäran mail.docx", "A 31281-2022")</f>
        <v/>
      </c>
      <c r="Z76">
        <f>HYPERLINK("https://klasma.github.io/Logging_0188/fåglar/A 31281-2022 prioriterade fågelarter.docx", "A 31281-2022")</f>
        <v/>
      </c>
    </row>
    <row r="77" ht="15" customHeight="1">
      <c r="A77" t="inlineStr">
        <is>
          <t>A 30693-2022</t>
        </is>
      </c>
      <c r="B77" s="1" t="n">
        <v>44763</v>
      </c>
      <c r="C77" s="1" t="n">
        <v>46194</v>
      </c>
      <c r="D77" t="inlineStr">
        <is>
          <t>STOCKHOLMS LÄN</t>
        </is>
      </c>
      <c r="E77" t="inlineStr">
        <is>
          <t>NORRTÄLJE</t>
        </is>
      </c>
      <c r="F77" t="inlineStr">
        <is>
          <t>Sveaskog</t>
        </is>
      </c>
      <c r="G77" t="n">
        <v>3.4</v>
      </c>
      <c r="H77" t="n">
        <v>3</v>
      </c>
      <c r="I77" t="n">
        <v>0</v>
      </c>
      <c r="J77" t="n">
        <v>1</v>
      </c>
      <c r="K77" t="n">
        <v>0</v>
      </c>
      <c r="L77" t="n">
        <v>0</v>
      </c>
      <c r="M77" t="n">
        <v>0</v>
      </c>
      <c r="N77" t="n">
        <v>0</v>
      </c>
      <c r="O77" t="n">
        <v>1</v>
      </c>
      <c r="P77" t="n">
        <v>0</v>
      </c>
      <c r="Q77" t="n">
        <v>3</v>
      </c>
      <c r="R77" s="2" t="inlineStr">
        <is>
          <t>Gulsparv
Slaguggla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20185-2022</t>
        </is>
      </c>
      <c r="B78" s="1" t="n">
        <v>44698</v>
      </c>
      <c r="C78" s="1" t="n">
        <v>46194</v>
      </c>
      <c r="D78" t="inlineStr">
        <is>
          <t>STOCKHOLMS LÄN</t>
        </is>
      </c>
      <c r="E78" t="inlineStr">
        <is>
          <t>NORRTÄLJE</t>
        </is>
      </c>
      <c r="G78" t="n">
        <v>8.4</v>
      </c>
      <c r="H78" t="n">
        <v>1</v>
      </c>
      <c r="I78" t="n">
        <v>2</v>
      </c>
      <c r="J78" t="n">
        <v>0</v>
      </c>
      <c r="K78" t="n">
        <v>0</v>
      </c>
      <c r="L78" t="n">
        <v>0</v>
      </c>
      <c r="M78" t="n">
        <v>0</v>
      </c>
      <c r="N78" t="n">
        <v>0</v>
      </c>
      <c r="O78" t="n">
        <v>0</v>
      </c>
      <c r="P78" t="n">
        <v>0</v>
      </c>
      <c r="Q78" t="n">
        <v>3</v>
      </c>
      <c r="R78" s="2" t="inlineStr">
        <is>
          <t>Gullgröppa
Vedticka
Tallbit</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40192-2023</t>
        </is>
      </c>
      <c r="B79" s="1" t="n">
        <v>45169</v>
      </c>
      <c r="C79" s="1" t="n">
        <v>46194</v>
      </c>
      <c r="D79" t="inlineStr">
        <is>
          <t>STOCKHOLMS LÄN</t>
        </is>
      </c>
      <c r="E79" t="inlineStr">
        <is>
          <t>NORRTÄLJE</t>
        </is>
      </c>
      <c r="F79" t="inlineStr">
        <is>
          <t>Kyrkan</t>
        </is>
      </c>
      <c r="G79" t="n">
        <v>0.7</v>
      </c>
      <c r="H79" t="n">
        <v>3</v>
      </c>
      <c r="I79" t="n">
        <v>0</v>
      </c>
      <c r="J79" t="n">
        <v>0</v>
      </c>
      <c r="K79" t="n">
        <v>0</v>
      </c>
      <c r="L79" t="n">
        <v>0</v>
      </c>
      <c r="M79" t="n">
        <v>0</v>
      </c>
      <c r="N79" t="n">
        <v>0</v>
      </c>
      <c r="O79" t="n">
        <v>0</v>
      </c>
      <c r="P79" t="n">
        <v>0</v>
      </c>
      <c r="Q79" t="n">
        <v>3</v>
      </c>
      <c r="R79" s="2" t="inlineStr">
        <is>
          <t>Grönsiska
Skogsduva
Törnskata</t>
        </is>
      </c>
      <c r="S79">
        <f>HYPERLINK("https://klasma.github.io/Logging_0188/artfynd/A 40192-2023 artfynd.xlsx", "A 40192-2023")</f>
        <v/>
      </c>
      <c r="T79">
        <f>HYPERLINK("https://klasma.github.io/Logging_0188/kartor/A 40192-2023 karta.png", "A 40192-2023")</f>
        <v/>
      </c>
      <c r="V79">
        <f>HYPERLINK("https://klasma.github.io/Logging_0188/klagomål/A 40192-2023 FSC-klagomål.docx", "A 40192-2023")</f>
        <v/>
      </c>
      <c r="W79">
        <f>HYPERLINK("https://klasma.github.io/Logging_0188/klagomålsmail/A 40192-2023 FSC-klagomål mail.docx", "A 40192-2023")</f>
        <v/>
      </c>
      <c r="X79">
        <f>HYPERLINK("https://klasma.github.io/Logging_0188/tillsyn/A 40192-2023 tillsynsbegäran.docx", "A 40192-2023")</f>
        <v/>
      </c>
      <c r="Y79">
        <f>HYPERLINK("https://klasma.github.io/Logging_0188/tillsynsmail/A 40192-2023 tillsynsbegäran mail.docx", "A 40192-2023")</f>
        <v/>
      </c>
      <c r="Z79">
        <f>HYPERLINK("https://klasma.github.io/Logging_0188/fåglar/A 40192-2023 prioriterade fågelarter.docx", "A 40192-2023")</f>
        <v/>
      </c>
    </row>
    <row r="80" ht="15" customHeight="1">
      <c r="A80" t="inlineStr">
        <is>
          <t>A 27827-2022</t>
        </is>
      </c>
      <c r="B80" s="1" t="n">
        <v>44743</v>
      </c>
      <c r="C80" s="1" t="n">
        <v>46194</v>
      </c>
      <c r="D80" t="inlineStr">
        <is>
          <t>STOCKHOLMS LÄN</t>
        </is>
      </c>
      <c r="E80" t="inlineStr">
        <is>
          <t>NORRTÄLJE</t>
        </is>
      </c>
      <c r="F80" t="inlineStr">
        <is>
          <t>Holmen skog AB</t>
        </is>
      </c>
      <c r="G80" t="n">
        <v>4.7</v>
      </c>
      <c r="H80" t="n">
        <v>1</v>
      </c>
      <c r="I80" t="n">
        <v>0</v>
      </c>
      <c r="J80" t="n">
        <v>2</v>
      </c>
      <c r="K80" t="n">
        <v>0</v>
      </c>
      <c r="L80" t="n">
        <v>1</v>
      </c>
      <c r="M80" t="n">
        <v>0</v>
      </c>
      <c r="N80" t="n">
        <v>0</v>
      </c>
      <c r="O80" t="n">
        <v>3</v>
      </c>
      <c r="P80" t="n">
        <v>1</v>
      </c>
      <c r="Q80" t="n">
        <v>3</v>
      </c>
      <c r="R80" s="2" t="inlineStr">
        <is>
          <t>Ask
Berggräsfjäril
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26399-2026</t>
        </is>
      </c>
      <c r="B81" s="1" t="n">
        <v>46183</v>
      </c>
      <c r="C81" s="1" t="n">
        <v>46194</v>
      </c>
      <c r="D81" t="inlineStr">
        <is>
          <t>STOCKHOLMS LÄN</t>
        </is>
      </c>
      <c r="E81" t="inlineStr">
        <is>
          <t>NORRTÄLJE</t>
        </is>
      </c>
      <c r="G81" t="n">
        <v>7.4</v>
      </c>
      <c r="H81" t="n">
        <v>1</v>
      </c>
      <c r="I81" t="n">
        <v>1</v>
      </c>
      <c r="J81" t="n">
        <v>1</v>
      </c>
      <c r="K81" t="n">
        <v>0</v>
      </c>
      <c r="L81" t="n">
        <v>1</v>
      </c>
      <c r="M81" t="n">
        <v>0</v>
      </c>
      <c r="N81" t="n">
        <v>0</v>
      </c>
      <c r="O81" t="n">
        <v>2</v>
      </c>
      <c r="P81" t="n">
        <v>1</v>
      </c>
      <c r="Q81" t="n">
        <v>3</v>
      </c>
      <c r="R81" s="2" t="inlineStr">
        <is>
          <t>Asknätfjäril
Spinnfingersvamp
Stor aspticka</t>
        </is>
      </c>
      <c r="S81">
        <f>HYPERLINK("https://klasma.github.io/Logging_0188/artfynd/A 26399-2026 artfynd.xlsx", "A 26399-2026")</f>
        <v/>
      </c>
      <c r="T81">
        <f>HYPERLINK("https://klasma.github.io/Logging_0188/kartor/A 26399-2026 karta.png", "A 26399-2026")</f>
        <v/>
      </c>
      <c r="V81">
        <f>HYPERLINK("https://klasma.github.io/Logging_0188/klagomål/A 26399-2026 FSC-klagomål.docx", "A 26399-2026")</f>
        <v/>
      </c>
      <c r="W81">
        <f>HYPERLINK("https://klasma.github.io/Logging_0188/klagomålsmail/A 26399-2026 FSC-klagomål mail.docx", "A 26399-2026")</f>
        <v/>
      </c>
      <c r="X81">
        <f>HYPERLINK("https://klasma.github.io/Logging_0188/tillsyn/A 26399-2026 tillsynsbegäran.docx", "A 26399-2026")</f>
        <v/>
      </c>
      <c r="Y81">
        <f>HYPERLINK("https://klasma.github.io/Logging_0188/tillsynsmail/A 26399-2026 tillsynsbegäran mail.docx", "A 26399-2026")</f>
        <v/>
      </c>
    </row>
    <row r="82" ht="15" customHeight="1">
      <c r="A82" t="inlineStr">
        <is>
          <t>A 26525-2026</t>
        </is>
      </c>
      <c r="B82" s="1" t="n">
        <v>46183</v>
      </c>
      <c r="C82" s="1" t="n">
        <v>46194</v>
      </c>
      <c r="D82" t="inlineStr">
        <is>
          <t>STOCKHOLMS LÄN</t>
        </is>
      </c>
      <c r="E82" t="inlineStr">
        <is>
          <t>NORRTÄLJE</t>
        </is>
      </c>
      <c r="G82" t="n">
        <v>2.4</v>
      </c>
      <c r="H82" t="n">
        <v>0</v>
      </c>
      <c r="I82" t="n">
        <v>1</v>
      </c>
      <c r="J82" t="n">
        <v>2</v>
      </c>
      <c r="K82" t="n">
        <v>0</v>
      </c>
      <c r="L82" t="n">
        <v>0</v>
      </c>
      <c r="M82" t="n">
        <v>0</v>
      </c>
      <c r="N82" t="n">
        <v>0</v>
      </c>
      <c r="O82" t="n">
        <v>2</v>
      </c>
      <c r="P82" t="n">
        <v>0</v>
      </c>
      <c r="Q82" t="n">
        <v>3</v>
      </c>
      <c r="R82" s="2" t="inlineStr">
        <is>
          <t>Fjällig taggsvamp s.str.
Skarp dropptaggsvamp
Olivspindling</t>
        </is>
      </c>
      <c r="S82">
        <f>HYPERLINK("https://klasma.github.io/Logging_0188/artfynd/A 26525-2026 artfynd.xlsx", "A 26525-2026")</f>
        <v/>
      </c>
      <c r="T82">
        <f>HYPERLINK("https://klasma.github.io/Logging_0188/kartor/A 26525-2026 karta.png", "A 26525-2026")</f>
        <v/>
      </c>
      <c r="V82">
        <f>HYPERLINK("https://klasma.github.io/Logging_0188/klagomål/A 26525-2026 FSC-klagomål.docx", "A 26525-2026")</f>
        <v/>
      </c>
      <c r="W82">
        <f>HYPERLINK("https://klasma.github.io/Logging_0188/klagomålsmail/A 26525-2026 FSC-klagomål mail.docx", "A 26525-2026")</f>
        <v/>
      </c>
      <c r="X82">
        <f>HYPERLINK("https://klasma.github.io/Logging_0188/tillsyn/A 26525-2026 tillsynsbegäran.docx", "A 26525-2026")</f>
        <v/>
      </c>
      <c r="Y82">
        <f>HYPERLINK("https://klasma.github.io/Logging_0188/tillsynsmail/A 26525-2026 tillsynsbegäran mail.docx", "A 26525-2026")</f>
        <v/>
      </c>
    </row>
    <row r="83" ht="15" customHeight="1">
      <c r="A83" t="inlineStr">
        <is>
          <t>A 52776-2025</t>
        </is>
      </c>
      <c r="B83" s="1" t="n">
        <v>45957</v>
      </c>
      <c r="C83" s="1" t="n">
        <v>46194</v>
      </c>
      <c r="D83" t="inlineStr">
        <is>
          <t>STOCKHOLMS LÄN</t>
        </is>
      </c>
      <c r="E83" t="inlineStr">
        <is>
          <t>NORRTÄLJE</t>
        </is>
      </c>
      <c r="F83" t="inlineStr">
        <is>
          <t>Sveaskog</t>
        </is>
      </c>
      <c r="G83" t="n">
        <v>2.5</v>
      </c>
      <c r="H83" t="n">
        <v>3</v>
      </c>
      <c r="I83" t="n">
        <v>0</v>
      </c>
      <c r="J83" t="n">
        <v>0</v>
      </c>
      <c r="K83" t="n">
        <v>0</v>
      </c>
      <c r="L83" t="n">
        <v>0</v>
      </c>
      <c r="M83" t="n">
        <v>0</v>
      </c>
      <c r="N83" t="n">
        <v>0</v>
      </c>
      <c r="O83" t="n">
        <v>0</v>
      </c>
      <c r="P83" t="n">
        <v>0</v>
      </c>
      <c r="Q83" t="n">
        <v>3</v>
      </c>
      <c r="R83" s="2" t="inlineStr">
        <is>
          <t>Slaguggla
Sångsvan
Trana</t>
        </is>
      </c>
      <c r="S83">
        <f>HYPERLINK("https://klasma.github.io/Logging_0188/artfynd/A 52776-2025 artfynd.xlsx", "A 52776-2025")</f>
        <v/>
      </c>
      <c r="T83">
        <f>HYPERLINK("https://klasma.github.io/Logging_0188/kartor/A 52776-2025 karta.png", "A 52776-2025")</f>
        <v/>
      </c>
      <c r="V83">
        <f>HYPERLINK("https://klasma.github.io/Logging_0188/klagomål/A 52776-2025 FSC-klagomål.docx", "A 52776-2025")</f>
        <v/>
      </c>
      <c r="W83">
        <f>HYPERLINK("https://klasma.github.io/Logging_0188/klagomålsmail/A 52776-2025 FSC-klagomål mail.docx", "A 52776-2025")</f>
        <v/>
      </c>
      <c r="X83">
        <f>HYPERLINK("https://klasma.github.io/Logging_0188/tillsyn/A 52776-2025 tillsynsbegäran.docx", "A 52776-2025")</f>
        <v/>
      </c>
      <c r="Y83">
        <f>HYPERLINK("https://klasma.github.io/Logging_0188/tillsynsmail/A 52776-2025 tillsynsbegäran mail.docx", "A 52776-2025")</f>
        <v/>
      </c>
      <c r="Z83">
        <f>HYPERLINK("https://klasma.github.io/Logging_0188/fåglar/A 52776-2025 prioriterade fågelarter.docx", "A 52776-2025")</f>
        <v/>
      </c>
    </row>
    <row r="84" ht="15" customHeight="1">
      <c r="A84" t="inlineStr">
        <is>
          <t>A 19829-2022</t>
        </is>
      </c>
      <c r="B84" s="1" t="n">
        <v>44695</v>
      </c>
      <c r="C84" s="1" t="n">
        <v>46194</v>
      </c>
      <c r="D84" t="inlineStr">
        <is>
          <t>STOCKHOLMS LÄN</t>
        </is>
      </c>
      <c r="E84" t="inlineStr">
        <is>
          <t>NORRTÄLJE</t>
        </is>
      </c>
      <c r="G84" t="n">
        <v>2</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19829-2022 artfynd.xlsx", "A 19829-2022")</f>
        <v/>
      </c>
      <c r="T84">
        <f>HYPERLINK("https://klasma.github.io/Logging_0188/kartor/A 19829-2022 karta.png", "A 19829-2022")</f>
        <v/>
      </c>
      <c r="V84">
        <f>HYPERLINK("https://klasma.github.io/Logging_0188/klagomål/A 19829-2022 FSC-klagomål.docx", "A 19829-2022")</f>
        <v/>
      </c>
      <c r="W84">
        <f>HYPERLINK("https://klasma.github.io/Logging_0188/klagomålsmail/A 19829-2022 FSC-klagomål mail.docx", "A 19829-2022")</f>
        <v/>
      </c>
      <c r="X84">
        <f>HYPERLINK("https://klasma.github.io/Logging_0188/tillsyn/A 19829-2022 tillsynsbegäran.docx", "A 19829-2022")</f>
        <v/>
      </c>
      <c r="Y84">
        <f>HYPERLINK("https://klasma.github.io/Logging_0188/tillsynsmail/A 19829-2022 tillsynsbegäran mail.docx", "A 19829-2022")</f>
        <v/>
      </c>
    </row>
    <row r="85" ht="15" customHeight="1">
      <c r="A85" t="inlineStr">
        <is>
          <t>A 52360-2024</t>
        </is>
      </c>
      <c r="B85" s="1" t="n">
        <v>45609</v>
      </c>
      <c r="C85" s="1" t="n">
        <v>46194</v>
      </c>
      <c r="D85" t="inlineStr">
        <is>
          <t>STOCKHOLMS LÄN</t>
        </is>
      </c>
      <c r="E85" t="inlineStr">
        <is>
          <t>NORRTÄLJE</t>
        </is>
      </c>
      <c r="G85" t="n">
        <v>2.2</v>
      </c>
      <c r="H85" t="n">
        <v>2</v>
      </c>
      <c r="I85" t="n">
        <v>1</v>
      </c>
      <c r="J85" t="n">
        <v>0</v>
      </c>
      <c r="K85" t="n">
        <v>0</v>
      </c>
      <c r="L85" t="n">
        <v>0</v>
      </c>
      <c r="M85" t="n">
        <v>0</v>
      </c>
      <c r="N85" t="n">
        <v>0</v>
      </c>
      <c r="O85" t="n">
        <v>0</v>
      </c>
      <c r="P85" t="n">
        <v>0</v>
      </c>
      <c r="Q85" t="n">
        <v>3</v>
      </c>
      <c r="R85" s="2" t="inlineStr">
        <is>
          <t>Brandticka
Blåsippa
Revlummer</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364-2026</t>
        </is>
      </c>
      <c r="B86" s="1" t="n">
        <v>46027</v>
      </c>
      <c r="C86" s="1" t="n">
        <v>46194</v>
      </c>
      <c r="D86" t="inlineStr">
        <is>
          <t>STOCKHOLMS LÄN</t>
        </is>
      </c>
      <c r="E86" t="inlineStr">
        <is>
          <t>NORRTÄLJE</t>
        </is>
      </c>
      <c r="F86" t="inlineStr">
        <is>
          <t>Holmen skog AB</t>
        </is>
      </c>
      <c r="G86" t="n">
        <v>4.3</v>
      </c>
      <c r="H86" t="n">
        <v>2</v>
      </c>
      <c r="I86" t="n">
        <v>1</v>
      </c>
      <c r="J86" t="n">
        <v>1</v>
      </c>
      <c r="K86" t="n">
        <v>0</v>
      </c>
      <c r="L86" t="n">
        <v>1</v>
      </c>
      <c r="M86" t="n">
        <v>0</v>
      </c>
      <c r="N86" t="n">
        <v>0</v>
      </c>
      <c r="O86" t="n">
        <v>2</v>
      </c>
      <c r="P86" t="n">
        <v>1</v>
      </c>
      <c r="Q86" t="n">
        <v>3</v>
      </c>
      <c r="R86" s="2" t="inlineStr">
        <is>
          <t>Asknätfjäril
Vårärt
Guckusko</t>
        </is>
      </c>
      <c r="S86">
        <f>HYPERLINK("https://klasma.github.io/Logging_0188/artfynd/A 364-2026 artfynd.xlsx", "A 364-2026")</f>
        <v/>
      </c>
      <c r="T86">
        <f>HYPERLINK("https://klasma.github.io/Logging_0188/kartor/A 364-2026 karta.png", "A 364-2026")</f>
        <v/>
      </c>
      <c r="V86">
        <f>HYPERLINK("https://klasma.github.io/Logging_0188/klagomål/A 364-2026 FSC-klagomål.docx", "A 364-2026")</f>
        <v/>
      </c>
      <c r="W86">
        <f>HYPERLINK("https://klasma.github.io/Logging_0188/klagomålsmail/A 364-2026 FSC-klagomål mail.docx", "A 364-2026")</f>
        <v/>
      </c>
      <c r="X86">
        <f>HYPERLINK("https://klasma.github.io/Logging_0188/tillsyn/A 364-2026 tillsynsbegäran.docx", "A 364-2026")</f>
        <v/>
      </c>
      <c r="Y86">
        <f>HYPERLINK("https://klasma.github.io/Logging_0188/tillsynsmail/A 364-2026 tillsynsbegäran mail.docx", "A 364-2026")</f>
        <v/>
      </c>
    </row>
    <row r="87" ht="15" customHeight="1">
      <c r="A87" t="inlineStr">
        <is>
          <t>A 50618-2022</t>
        </is>
      </c>
      <c r="B87" s="1" t="n">
        <v>44866</v>
      </c>
      <c r="C87" s="1" t="n">
        <v>46194</v>
      </c>
      <c r="D87" t="inlineStr">
        <is>
          <t>STOCKHOLMS LÄN</t>
        </is>
      </c>
      <c r="E87" t="inlineStr">
        <is>
          <t>NORRTÄLJE</t>
        </is>
      </c>
      <c r="G87" t="n">
        <v>7.8</v>
      </c>
      <c r="H87" t="n">
        <v>2</v>
      </c>
      <c r="I87" t="n">
        <v>1</v>
      </c>
      <c r="J87" t="n">
        <v>1</v>
      </c>
      <c r="K87" t="n">
        <v>0</v>
      </c>
      <c r="L87" t="n">
        <v>0</v>
      </c>
      <c r="M87" t="n">
        <v>0</v>
      </c>
      <c r="N87" t="n">
        <v>0</v>
      </c>
      <c r="O87" t="n">
        <v>1</v>
      </c>
      <c r="P87" t="n">
        <v>0</v>
      </c>
      <c r="Q87" t="n">
        <v>3</v>
      </c>
      <c r="R87" s="2" t="inlineStr">
        <is>
          <t>Vårärt
Skogsknipprot
Blåsippa</t>
        </is>
      </c>
      <c r="S87">
        <f>HYPERLINK("https://klasma.github.io/Logging_0188/artfynd/A 50618-2022 artfynd.xlsx", "A 50618-2022")</f>
        <v/>
      </c>
      <c r="T87">
        <f>HYPERLINK("https://klasma.github.io/Logging_0188/kartor/A 50618-2022 karta.png", "A 50618-2022")</f>
        <v/>
      </c>
      <c r="V87">
        <f>HYPERLINK("https://klasma.github.io/Logging_0188/klagomål/A 50618-2022 FSC-klagomål.docx", "A 50618-2022")</f>
        <v/>
      </c>
      <c r="W87">
        <f>HYPERLINK("https://klasma.github.io/Logging_0188/klagomålsmail/A 50618-2022 FSC-klagomål mail.docx", "A 50618-2022")</f>
        <v/>
      </c>
      <c r="X87">
        <f>HYPERLINK("https://klasma.github.io/Logging_0188/tillsyn/A 50618-2022 tillsynsbegäran.docx", "A 50618-2022")</f>
        <v/>
      </c>
      <c r="Y87">
        <f>HYPERLINK("https://klasma.github.io/Logging_0188/tillsynsmail/A 50618-2022 tillsynsbegäran mail.docx", "A 50618-2022")</f>
        <v/>
      </c>
    </row>
    <row r="88" ht="15" customHeight="1">
      <c r="A88" t="inlineStr">
        <is>
          <t>A 14365-2025</t>
        </is>
      </c>
      <c r="B88" s="1" t="n">
        <v>45741</v>
      </c>
      <c r="C88" s="1" t="n">
        <v>46194</v>
      </c>
      <c r="D88" t="inlineStr">
        <is>
          <t>STOCKHOLMS LÄN</t>
        </is>
      </c>
      <c r="E88" t="inlineStr">
        <is>
          <t>NORRTÄLJE</t>
        </is>
      </c>
      <c r="G88" t="n">
        <v>2.4</v>
      </c>
      <c r="H88" t="n">
        <v>1</v>
      </c>
      <c r="I88" t="n">
        <v>1</v>
      </c>
      <c r="J88" t="n">
        <v>2</v>
      </c>
      <c r="K88" t="n">
        <v>0</v>
      </c>
      <c r="L88" t="n">
        <v>0</v>
      </c>
      <c r="M88" t="n">
        <v>0</v>
      </c>
      <c r="N88" t="n">
        <v>0</v>
      </c>
      <c r="O88" t="n">
        <v>2</v>
      </c>
      <c r="P88" t="n">
        <v>0</v>
      </c>
      <c r="Q88" t="n">
        <v>3</v>
      </c>
      <c r="R88" s="2" t="inlineStr">
        <is>
          <t>Adam och eva
Jungfrulin
Underviol</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15886-2026</t>
        </is>
      </c>
      <c r="B89" s="1" t="n">
        <v>46107</v>
      </c>
      <c r="C89" s="1" t="n">
        <v>46194</v>
      </c>
      <c r="D89" t="inlineStr">
        <is>
          <t>STOCKHOLMS LÄN</t>
        </is>
      </c>
      <c r="E89" t="inlineStr">
        <is>
          <t>NORRTÄLJE</t>
        </is>
      </c>
      <c r="G89" t="n">
        <v>1.3</v>
      </c>
      <c r="H89" t="n">
        <v>2</v>
      </c>
      <c r="I89" t="n">
        <v>0</v>
      </c>
      <c r="J89" t="n">
        <v>1</v>
      </c>
      <c r="K89" t="n">
        <v>1</v>
      </c>
      <c r="L89" t="n">
        <v>0</v>
      </c>
      <c r="M89" t="n">
        <v>0</v>
      </c>
      <c r="N89" t="n">
        <v>0</v>
      </c>
      <c r="O89" t="n">
        <v>2</v>
      </c>
      <c r="P89" t="n">
        <v>1</v>
      </c>
      <c r="Q89" t="n">
        <v>3</v>
      </c>
      <c r="R89" s="2" t="inlineStr">
        <is>
          <t>Grönfink
Backklöver
Trädlärka</t>
        </is>
      </c>
      <c r="S89">
        <f>HYPERLINK("https://klasma.github.io/Logging_0188/artfynd/A 15886-2026 artfynd.xlsx", "A 15886-2026")</f>
        <v/>
      </c>
      <c r="T89">
        <f>HYPERLINK("https://klasma.github.io/Logging_0188/kartor/A 15886-2026 karta.png", "A 15886-2026")</f>
        <v/>
      </c>
      <c r="V89">
        <f>HYPERLINK("https://klasma.github.io/Logging_0188/klagomål/A 15886-2026 FSC-klagomål.docx", "A 15886-2026")</f>
        <v/>
      </c>
      <c r="W89">
        <f>HYPERLINK("https://klasma.github.io/Logging_0188/klagomålsmail/A 15886-2026 FSC-klagomål mail.docx", "A 15886-2026")</f>
        <v/>
      </c>
      <c r="X89">
        <f>HYPERLINK("https://klasma.github.io/Logging_0188/tillsyn/A 15886-2026 tillsynsbegäran.docx", "A 15886-2026")</f>
        <v/>
      </c>
      <c r="Y89">
        <f>HYPERLINK("https://klasma.github.io/Logging_0188/tillsynsmail/A 15886-2026 tillsynsbegäran mail.docx", "A 15886-2026")</f>
        <v/>
      </c>
      <c r="Z89">
        <f>HYPERLINK("https://klasma.github.io/Logging_0188/fåglar/A 15886-2026 prioriterade fågelarter.docx", "A 15886-2026")</f>
        <v/>
      </c>
    </row>
    <row r="90" ht="15" customHeight="1">
      <c r="A90" t="inlineStr">
        <is>
          <t>A 23548-2026</t>
        </is>
      </c>
      <c r="B90" s="1" t="n">
        <v>46163</v>
      </c>
      <c r="C90" s="1" t="n">
        <v>46194</v>
      </c>
      <c r="D90" t="inlineStr">
        <is>
          <t>STOCKHOLMS LÄN</t>
        </is>
      </c>
      <c r="E90" t="inlineStr">
        <is>
          <t>NORRTÄLJE</t>
        </is>
      </c>
      <c r="G90" t="n">
        <v>2.3</v>
      </c>
      <c r="H90" t="n">
        <v>2</v>
      </c>
      <c r="I90" t="n">
        <v>0</v>
      </c>
      <c r="J90" t="n">
        <v>1</v>
      </c>
      <c r="K90" t="n">
        <v>0</v>
      </c>
      <c r="L90" t="n">
        <v>0</v>
      </c>
      <c r="M90" t="n">
        <v>0</v>
      </c>
      <c r="N90" t="n">
        <v>0</v>
      </c>
      <c r="O90" t="n">
        <v>1</v>
      </c>
      <c r="P90" t="n">
        <v>0</v>
      </c>
      <c r="Q90" t="n">
        <v>3</v>
      </c>
      <c r="R90" s="2" t="inlineStr">
        <is>
          <t>Backklöver
Nattviol × grönvit nattviol
Ängsnattviol × grönvit nattviol</t>
        </is>
      </c>
      <c r="S90">
        <f>HYPERLINK("https://klasma.github.io/Logging_0188/artfynd/A 23548-2026 artfynd.xlsx", "A 23548-2026")</f>
        <v/>
      </c>
      <c r="T90">
        <f>HYPERLINK("https://klasma.github.io/Logging_0188/kartor/A 23548-2026 karta.png", "A 23548-2026")</f>
        <v/>
      </c>
      <c r="V90">
        <f>HYPERLINK("https://klasma.github.io/Logging_0188/klagomål/A 23548-2026 FSC-klagomål.docx", "A 23548-2026")</f>
        <v/>
      </c>
      <c r="W90">
        <f>HYPERLINK("https://klasma.github.io/Logging_0188/klagomålsmail/A 23548-2026 FSC-klagomål mail.docx", "A 23548-2026")</f>
        <v/>
      </c>
      <c r="X90">
        <f>HYPERLINK("https://klasma.github.io/Logging_0188/tillsyn/A 23548-2026 tillsynsbegäran.docx", "A 23548-2026")</f>
        <v/>
      </c>
      <c r="Y90">
        <f>HYPERLINK("https://klasma.github.io/Logging_0188/tillsynsmail/A 23548-2026 tillsynsbegäran mail.docx", "A 23548-2026")</f>
        <v/>
      </c>
    </row>
    <row r="91" ht="15" customHeight="1">
      <c r="A91" t="inlineStr">
        <is>
          <t>A 16870-2025</t>
        </is>
      </c>
      <c r="B91" s="1" t="n">
        <v>45754</v>
      </c>
      <c r="C91" s="1" t="n">
        <v>46194</v>
      </c>
      <c r="D91" t="inlineStr">
        <is>
          <t>STOCKHOLMS LÄN</t>
        </is>
      </c>
      <c r="E91" t="inlineStr">
        <is>
          <t>NORRTÄLJE</t>
        </is>
      </c>
      <c r="G91" t="n">
        <v>24.6</v>
      </c>
      <c r="H91" t="n">
        <v>1</v>
      </c>
      <c r="I91" t="n">
        <v>0</v>
      </c>
      <c r="J91" t="n">
        <v>0</v>
      </c>
      <c r="K91" t="n">
        <v>0</v>
      </c>
      <c r="L91" t="n">
        <v>0</v>
      </c>
      <c r="M91" t="n">
        <v>0</v>
      </c>
      <c r="N91" t="n">
        <v>0</v>
      </c>
      <c r="O91" t="n">
        <v>0</v>
      </c>
      <c r="P91" t="n">
        <v>0</v>
      </c>
      <c r="Q91" t="n">
        <v>3</v>
      </c>
      <c r="R91" s="2" t="inlineStr">
        <is>
          <t>Getrams
Kärrviol
Vanlig groda</t>
        </is>
      </c>
      <c r="S91">
        <f>HYPERLINK("https://klasma.github.io/Logging_0188/artfynd/A 16870-2025 artfynd.xlsx", "A 16870-2025")</f>
        <v/>
      </c>
      <c r="T91">
        <f>HYPERLINK("https://klasma.github.io/Logging_0188/kartor/A 16870-2025 karta.png", "A 16870-2025")</f>
        <v/>
      </c>
      <c r="V91">
        <f>HYPERLINK("https://klasma.github.io/Logging_0188/klagomål/A 16870-2025 FSC-klagomål.docx", "A 16870-2025")</f>
        <v/>
      </c>
      <c r="W91">
        <f>HYPERLINK("https://klasma.github.io/Logging_0188/klagomålsmail/A 16870-2025 FSC-klagomål mail.docx", "A 16870-2025")</f>
        <v/>
      </c>
      <c r="X91">
        <f>HYPERLINK("https://klasma.github.io/Logging_0188/tillsyn/A 16870-2025 tillsynsbegäran.docx", "A 16870-2025")</f>
        <v/>
      </c>
      <c r="Y91">
        <f>HYPERLINK("https://klasma.github.io/Logging_0188/tillsynsmail/A 16870-2025 tillsynsbegäran mail.docx", "A 16870-2025")</f>
        <v/>
      </c>
    </row>
    <row r="92" ht="15" customHeight="1">
      <c r="A92" t="inlineStr">
        <is>
          <t>A 33546-2025</t>
        </is>
      </c>
      <c r="B92" s="1" t="n">
        <v>45841</v>
      </c>
      <c r="C92" s="1" t="n">
        <v>46194</v>
      </c>
      <c r="D92" t="inlineStr">
        <is>
          <t>STOCKHOLMS LÄN</t>
        </is>
      </c>
      <c r="E92" t="inlineStr">
        <is>
          <t>NORRTÄLJE</t>
        </is>
      </c>
      <c r="G92" t="n">
        <v>7.2</v>
      </c>
      <c r="H92" t="n">
        <v>1</v>
      </c>
      <c r="I92" t="n">
        <v>3</v>
      </c>
      <c r="J92" t="n">
        <v>0</v>
      </c>
      <c r="K92" t="n">
        <v>0</v>
      </c>
      <c r="L92" t="n">
        <v>0</v>
      </c>
      <c r="M92" t="n">
        <v>0</v>
      </c>
      <c r="N92" t="n">
        <v>0</v>
      </c>
      <c r="O92" t="n">
        <v>0</v>
      </c>
      <c r="P92" t="n">
        <v>0</v>
      </c>
      <c r="Q92" t="n">
        <v>3</v>
      </c>
      <c r="R92" s="2" t="inlineStr">
        <is>
          <t>Fällmossa
Nästrot
Platt fjädermossa</t>
        </is>
      </c>
      <c r="S92">
        <f>HYPERLINK("https://klasma.github.io/Logging_0188/artfynd/A 33546-2025 artfynd.xlsx", "A 33546-2025")</f>
        <v/>
      </c>
      <c r="T92">
        <f>HYPERLINK("https://klasma.github.io/Logging_0188/kartor/A 33546-2025 karta.png", "A 33546-2025")</f>
        <v/>
      </c>
      <c r="V92">
        <f>HYPERLINK("https://klasma.github.io/Logging_0188/klagomål/A 33546-2025 FSC-klagomål.docx", "A 33546-2025")</f>
        <v/>
      </c>
      <c r="W92">
        <f>HYPERLINK("https://klasma.github.io/Logging_0188/klagomålsmail/A 33546-2025 FSC-klagomål mail.docx", "A 33546-2025")</f>
        <v/>
      </c>
      <c r="X92">
        <f>HYPERLINK("https://klasma.github.io/Logging_0188/tillsyn/A 33546-2025 tillsynsbegäran.docx", "A 33546-2025")</f>
        <v/>
      </c>
      <c r="Y92">
        <f>HYPERLINK("https://klasma.github.io/Logging_0188/tillsynsmail/A 33546-2025 tillsynsbegäran mail.docx", "A 33546-2025")</f>
        <v/>
      </c>
    </row>
    <row r="93" ht="15" customHeight="1">
      <c r="A93" t="inlineStr">
        <is>
          <t>A 5351-2022</t>
        </is>
      </c>
      <c r="B93" s="1" t="n">
        <v>44594</v>
      </c>
      <c r="C93" s="1" t="n">
        <v>46194</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41823-2021</t>
        </is>
      </c>
      <c r="B94" s="1" t="n">
        <v>44425</v>
      </c>
      <c r="C94" s="1" t="n">
        <v>46194</v>
      </c>
      <c r="D94" t="inlineStr">
        <is>
          <t>STOCKHOLMS LÄN</t>
        </is>
      </c>
      <c r="E94" t="inlineStr">
        <is>
          <t>NORRTÄLJE</t>
        </is>
      </c>
      <c r="G94" t="n">
        <v>2.4</v>
      </c>
      <c r="H94" t="n">
        <v>0</v>
      </c>
      <c r="I94" t="n">
        <v>0</v>
      </c>
      <c r="J94" t="n">
        <v>1</v>
      </c>
      <c r="K94" t="n">
        <v>1</v>
      </c>
      <c r="L94" t="n">
        <v>0</v>
      </c>
      <c r="M94" t="n">
        <v>0</v>
      </c>
      <c r="N94" t="n">
        <v>0</v>
      </c>
      <c r="O94" t="n">
        <v>2</v>
      </c>
      <c r="P94" t="n">
        <v>1</v>
      </c>
      <c r="Q94" t="n">
        <v>2</v>
      </c>
      <c r="R94" s="2" t="inlineStr">
        <is>
          <t>Fläckfingersvamp
Orange taggsvamp</t>
        </is>
      </c>
      <c r="S94">
        <f>HYPERLINK("https://klasma.github.io/Logging_0188/artfynd/A 41823-2021 artfynd.xlsx", "A 41823-2021")</f>
        <v/>
      </c>
      <c r="T94">
        <f>HYPERLINK("https://klasma.github.io/Logging_0188/kartor/A 41823-2021 karta.png", "A 41823-2021")</f>
        <v/>
      </c>
      <c r="V94">
        <f>HYPERLINK("https://klasma.github.io/Logging_0188/klagomål/A 41823-2021 FSC-klagomål.docx", "A 41823-2021")</f>
        <v/>
      </c>
      <c r="W94">
        <f>HYPERLINK("https://klasma.github.io/Logging_0188/klagomålsmail/A 41823-2021 FSC-klagomål mail.docx", "A 41823-2021")</f>
        <v/>
      </c>
      <c r="X94">
        <f>HYPERLINK("https://klasma.github.io/Logging_0188/tillsyn/A 41823-2021 tillsynsbegäran.docx", "A 41823-2021")</f>
        <v/>
      </c>
      <c r="Y94">
        <f>HYPERLINK("https://klasma.github.io/Logging_0188/tillsynsmail/A 41823-2021 tillsynsbegäran mail.docx", "A 41823-2021")</f>
        <v/>
      </c>
    </row>
    <row r="95" ht="15" customHeight="1">
      <c r="A95" t="inlineStr">
        <is>
          <t>A 38991-2022</t>
        </is>
      </c>
      <c r="B95" s="1" t="n">
        <v>44816</v>
      </c>
      <c r="C95" s="1" t="n">
        <v>46194</v>
      </c>
      <c r="D95" t="inlineStr">
        <is>
          <t>STOCKHOLMS LÄN</t>
        </is>
      </c>
      <c r="E95" t="inlineStr">
        <is>
          <t>NORRTÄLJE</t>
        </is>
      </c>
      <c r="G95" t="n">
        <v>1.9</v>
      </c>
      <c r="H95" t="n">
        <v>0</v>
      </c>
      <c r="I95" t="n">
        <v>2</v>
      </c>
      <c r="J95" t="n">
        <v>0</v>
      </c>
      <c r="K95" t="n">
        <v>0</v>
      </c>
      <c r="L95" t="n">
        <v>0</v>
      </c>
      <c r="M95" t="n">
        <v>0</v>
      </c>
      <c r="N95" t="n">
        <v>0</v>
      </c>
      <c r="O95" t="n">
        <v>0</v>
      </c>
      <c r="P95" t="n">
        <v>0</v>
      </c>
      <c r="Q95" t="n">
        <v>2</v>
      </c>
      <c r="R95" s="2" t="inlineStr">
        <is>
          <t>Bronshjon
Grovticka</t>
        </is>
      </c>
      <c r="S95">
        <f>HYPERLINK("https://klasma.github.io/Logging_0188/artfynd/A 38991-2022 artfynd.xlsx", "A 38991-2022")</f>
        <v/>
      </c>
      <c r="T95">
        <f>HYPERLINK("https://klasma.github.io/Logging_0188/kartor/A 38991-2022 karta.png", "A 38991-2022")</f>
        <v/>
      </c>
      <c r="V95">
        <f>HYPERLINK("https://klasma.github.io/Logging_0188/klagomål/A 38991-2022 FSC-klagomål.docx", "A 38991-2022")</f>
        <v/>
      </c>
      <c r="W95">
        <f>HYPERLINK("https://klasma.github.io/Logging_0188/klagomålsmail/A 38991-2022 FSC-klagomål mail.docx", "A 38991-2022")</f>
        <v/>
      </c>
      <c r="X95">
        <f>HYPERLINK("https://klasma.github.io/Logging_0188/tillsyn/A 38991-2022 tillsynsbegäran.docx", "A 38991-2022")</f>
        <v/>
      </c>
      <c r="Y95">
        <f>HYPERLINK("https://klasma.github.io/Logging_0188/tillsynsmail/A 38991-2022 tillsynsbegäran mail.docx", "A 38991-2022")</f>
        <v/>
      </c>
    </row>
    <row r="96" ht="15" customHeight="1">
      <c r="A96" t="inlineStr">
        <is>
          <t>A 51220-2023</t>
        </is>
      </c>
      <c r="B96" s="1" t="n">
        <v>45219</v>
      </c>
      <c r="C96" s="1" t="n">
        <v>46194</v>
      </c>
      <c r="D96" t="inlineStr">
        <is>
          <t>STOCKHOLMS LÄN</t>
        </is>
      </c>
      <c r="E96" t="inlineStr">
        <is>
          <t>NORRTÄLJE</t>
        </is>
      </c>
      <c r="G96" t="n">
        <v>7.7</v>
      </c>
      <c r="H96" t="n">
        <v>1</v>
      </c>
      <c r="I96" t="n">
        <v>0</v>
      </c>
      <c r="J96" t="n">
        <v>1</v>
      </c>
      <c r="K96" t="n">
        <v>0</v>
      </c>
      <c r="L96" t="n">
        <v>0</v>
      </c>
      <c r="M96" t="n">
        <v>0</v>
      </c>
      <c r="N96" t="n">
        <v>0</v>
      </c>
      <c r="O96" t="n">
        <v>1</v>
      </c>
      <c r="P96" t="n">
        <v>0</v>
      </c>
      <c r="Q96" t="n">
        <v>2</v>
      </c>
      <c r="R96" s="2" t="inlineStr">
        <is>
          <t>Ullticka
Blåsippa</t>
        </is>
      </c>
      <c r="S96">
        <f>HYPERLINK("https://klasma.github.io/Logging_0188/artfynd/A 51220-2023 artfynd.xlsx", "A 51220-2023")</f>
        <v/>
      </c>
      <c r="T96">
        <f>HYPERLINK("https://klasma.github.io/Logging_0188/kartor/A 51220-2023 karta.png", "A 51220-2023")</f>
        <v/>
      </c>
      <c r="V96">
        <f>HYPERLINK("https://klasma.github.io/Logging_0188/klagomål/A 51220-2023 FSC-klagomål.docx", "A 51220-2023")</f>
        <v/>
      </c>
      <c r="W96">
        <f>HYPERLINK("https://klasma.github.io/Logging_0188/klagomålsmail/A 51220-2023 FSC-klagomål mail.docx", "A 51220-2023")</f>
        <v/>
      </c>
      <c r="X96">
        <f>HYPERLINK("https://klasma.github.io/Logging_0188/tillsyn/A 51220-2023 tillsynsbegäran.docx", "A 51220-2023")</f>
        <v/>
      </c>
      <c r="Y96">
        <f>HYPERLINK("https://klasma.github.io/Logging_0188/tillsynsmail/A 51220-2023 tillsynsbegäran mail.docx", "A 51220-2023")</f>
        <v/>
      </c>
    </row>
    <row r="97" ht="15" customHeight="1">
      <c r="A97" t="inlineStr">
        <is>
          <t>A 62030-2021</t>
        </is>
      </c>
      <c r="B97" s="1" t="n">
        <v>44502</v>
      </c>
      <c r="C97" s="1" t="n">
        <v>46194</v>
      </c>
      <c r="D97" t="inlineStr">
        <is>
          <t>STOCKHOLMS LÄN</t>
        </is>
      </c>
      <c r="E97" t="inlineStr">
        <is>
          <t>NORRTÄLJE</t>
        </is>
      </c>
      <c r="G97" t="n">
        <v>4.7</v>
      </c>
      <c r="H97" t="n">
        <v>2</v>
      </c>
      <c r="I97" t="n">
        <v>1</v>
      </c>
      <c r="J97" t="n">
        <v>0</v>
      </c>
      <c r="K97" t="n">
        <v>0</v>
      </c>
      <c r="L97" t="n">
        <v>0</v>
      </c>
      <c r="M97" t="n">
        <v>0</v>
      </c>
      <c r="N97" t="n">
        <v>0</v>
      </c>
      <c r="O97" t="n">
        <v>0</v>
      </c>
      <c r="P97" t="n">
        <v>0</v>
      </c>
      <c r="Q97" t="n">
        <v>2</v>
      </c>
      <c r="R97" s="2" t="inlineStr">
        <is>
          <t>Tvåblad
Slaguggla</t>
        </is>
      </c>
      <c r="S97">
        <f>HYPERLINK("https://klasma.github.io/Logging_0188/artfynd/A 62030-2021 artfynd.xlsx", "A 62030-2021")</f>
        <v/>
      </c>
      <c r="T97">
        <f>HYPERLINK("https://klasma.github.io/Logging_0188/kartor/A 62030-2021 karta.png", "A 62030-2021")</f>
        <v/>
      </c>
      <c r="V97">
        <f>HYPERLINK("https://klasma.github.io/Logging_0188/klagomål/A 62030-2021 FSC-klagomål.docx", "A 62030-2021")</f>
        <v/>
      </c>
      <c r="W97">
        <f>HYPERLINK("https://klasma.github.io/Logging_0188/klagomålsmail/A 62030-2021 FSC-klagomål mail.docx", "A 62030-2021")</f>
        <v/>
      </c>
      <c r="X97">
        <f>HYPERLINK("https://klasma.github.io/Logging_0188/tillsyn/A 62030-2021 tillsynsbegäran.docx", "A 62030-2021")</f>
        <v/>
      </c>
      <c r="Y97">
        <f>HYPERLINK("https://klasma.github.io/Logging_0188/tillsynsmail/A 62030-2021 tillsynsbegäran mail.docx", "A 62030-2021")</f>
        <v/>
      </c>
      <c r="Z97">
        <f>HYPERLINK("https://klasma.github.io/Logging_0188/fåglar/A 62030-2021 prioriterade fågelarter.docx", "A 62030-2021")</f>
        <v/>
      </c>
    </row>
    <row r="98" ht="15" customHeight="1">
      <c r="A98" t="inlineStr">
        <is>
          <t>A 52124-2022</t>
        </is>
      </c>
      <c r="B98" s="1" t="n">
        <v>44868</v>
      </c>
      <c r="C98" s="1" t="n">
        <v>46194</v>
      </c>
      <c r="D98" t="inlineStr">
        <is>
          <t>STOCKHOLMS LÄN</t>
        </is>
      </c>
      <c r="E98" t="inlineStr">
        <is>
          <t>NORRTÄLJE</t>
        </is>
      </c>
      <c r="G98" t="n">
        <v>4.8</v>
      </c>
      <c r="H98" t="n">
        <v>1</v>
      </c>
      <c r="I98" t="n">
        <v>0</v>
      </c>
      <c r="J98" t="n">
        <v>1</v>
      </c>
      <c r="K98" t="n">
        <v>0</v>
      </c>
      <c r="L98" t="n">
        <v>0</v>
      </c>
      <c r="M98" t="n">
        <v>0</v>
      </c>
      <c r="N98" t="n">
        <v>0</v>
      </c>
      <c r="O98" t="n">
        <v>1</v>
      </c>
      <c r="P98" t="n">
        <v>0</v>
      </c>
      <c r="Q98" t="n">
        <v>2</v>
      </c>
      <c r="R98" s="2" t="inlineStr">
        <is>
          <t>Kandelabersvamp
Blåsippa</t>
        </is>
      </c>
      <c r="S98">
        <f>HYPERLINK("https://klasma.github.io/Logging_0188/artfynd/A 52124-2022 artfynd.xlsx", "A 52124-2022")</f>
        <v/>
      </c>
      <c r="T98">
        <f>HYPERLINK("https://klasma.github.io/Logging_0188/kartor/A 52124-2022 karta.png", "A 52124-2022")</f>
        <v/>
      </c>
      <c r="V98">
        <f>HYPERLINK("https://klasma.github.io/Logging_0188/klagomål/A 52124-2022 FSC-klagomål.docx", "A 52124-2022")</f>
        <v/>
      </c>
      <c r="W98">
        <f>HYPERLINK("https://klasma.github.io/Logging_0188/klagomålsmail/A 52124-2022 FSC-klagomål mail.docx", "A 52124-2022")</f>
        <v/>
      </c>
      <c r="X98">
        <f>HYPERLINK("https://klasma.github.io/Logging_0188/tillsyn/A 52124-2022 tillsynsbegäran.docx", "A 52124-2022")</f>
        <v/>
      </c>
      <c r="Y98">
        <f>HYPERLINK("https://klasma.github.io/Logging_0188/tillsynsmail/A 52124-2022 tillsynsbegäran mail.docx", "A 52124-2022")</f>
        <v/>
      </c>
    </row>
    <row r="99" ht="15" customHeight="1">
      <c r="A99" t="inlineStr">
        <is>
          <t>A 12629-2024</t>
        </is>
      </c>
      <c r="B99" s="1" t="n">
        <v>45383</v>
      </c>
      <c r="C99" s="1" t="n">
        <v>46194</v>
      </c>
      <c r="D99" t="inlineStr">
        <is>
          <t>STOCKHOLMS LÄN</t>
        </is>
      </c>
      <c r="E99" t="inlineStr">
        <is>
          <t>NORRTÄLJE</t>
        </is>
      </c>
      <c r="G99" t="n">
        <v>2.6</v>
      </c>
      <c r="H99" t="n">
        <v>2</v>
      </c>
      <c r="I99" t="n">
        <v>0</v>
      </c>
      <c r="J99" t="n">
        <v>1</v>
      </c>
      <c r="K99" t="n">
        <v>0</v>
      </c>
      <c r="L99" t="n">
        <v>0</v>
      </c>
      <c r="M99" t="n">
        <v>0</v>
      </c>
      <c r="N99" t="n">
        <v>0</v>
      </c>
      <c r="O99" t="n">
        <v>1</v>
      </c>
      <c r="P99" t="n">
        <v>0</v>
      </c>
      <c r="Q99" t="n">
        <v>2</v>
      </c>
      <c r="R99" s="2" t="inlineStr">
        <is>
          <t>Mindre hackspett
Sävsparv</t>
        </is>
      </c>
      <c r="S99">
        <f>HYPERLINK("https://klasma.github.io/Logging_0188/artfynd/A 12629-2024 artfynd.xlsx", "A 12629-2024")</f>
        <v/>
      </c>
      <c r="T99">
        <f>HYPERLINK("https://klasma.github.io/Logging_0188/kartor/A 12629-2024 karta.png", "A 12629-2024")</f>
        <v/>
      </c>
      <c r="V99">
        <f>HYPERLINK("https://klasma.github.io/Logging_0188/klagomål/A 12629-2024 FSC-klagomål.docx", "A 12629-2024")</f>
        <v/>
      </c>
      <c r="W99">
        <f>HYPERLINK("https://klasma.github.io/Logging_0188/klagomålsmail/A 12629-2024 FSC-klagomål mail.docx", "A 12629-2024")</f>
        <v/>
      </c>
      <c r="X99">
        <f>HYPERLINK("https://klasma.github.io/Logging_0188/tillsyn/A 12629-2024 tillsynsbegäran.docx", "A 12629-2024")</f>
        <v/>
      </c>
      <c r="Y99">
        <f>HYPERLINK("https://klasma.github.io/Logging_0188/tillsynsmail/A 12629-2024 tillsynsbegäran mail.docx", "A 12629-2024")</f>
        <v/>
      </c>
      <c r="Z99">
        <f>HYPERLINK("https://klasma.github.io/Logging_0188/fåglar/A 12629-2024 prioriterade fågelarter.docx", "A 12629-2024")</f>
        <v/>
      </c>
    </row>
    <row r="100" ht="15" customHeight="1">
      <c r="A100" t="inlineStr">
        <is>
          <t>A 22456-2023</t>
        </is>
      </c>
      <c r="B100" s="1" t="n">
        <v>45070</v>
      </c>
      <c r="C100" s="1" t="n">
        <v>46194</v>
      </c>
      <c r="D100" t="inlineStr">
        <is>
          <t>STOCKHOLMS LÄN</t>
        </is>
      </c>
      <c r="E100" t="inlineStr">
        <is>
          <t>NORRTÄLJE</t>
        </is>
      </c>
      <c r="G100" t="n">
        <v>3.1</v>
      </c>
      <c r="H100" t="n">
        <v>1</v>
      </c>
      <c r="I100" t="n">
        <v>1</v>
      </c>
      <c r="J100" t="n">
        <v>0</v>
      </c>
      <c r="K100" t="n">
        <v>0</v>
      </c>
      <c r="L100" t="n">
        <v>1</v>
      </c>
      <c r="M100" t="n">
        <v>0</v>
      </c>
      <c r="N100" t="n">
        <v>0</v>
      </c>
      <c r="O100" t="n">
        <v>1</v>
      </c>
      <c r="P100" t="n">
        <v>1</v>
      </c>
      <c r="Q100" t="n">
        <v>2</v>
      </c>
      <c r="R100" s="2" t="inlineStr">
        <is>
          <t>Asknätfjäril
Underviol</t>
        </is>
      </c>
      <c r="S100">
        <f>HYPERLINK("https://klasma.github.io/Logging_0188/artfynd/A 22456-2023 artfynd.xlsx", "A 22456-2023")</f>
        <v/>
      </c>
      <c r="T100">
        <f>HYPERLINK("https://klasma.github.io/Logging_0188/kartor/A 22456-2023 karta.png", "A 22456-2023")</f>
        <v/>
      </c>
      <c r="V100">
        <f>HYPERLINK("https://klasma.github.io/Logging_0188/klagomål/A 22456-2023 FSC-klagomål.docx", "A 22456-2023")</f>
        <v/>
      </c>
      <c r="W100">
        <f>HYPERLINK("https://klasma.github.io/Logging_0188/klagomålsmail/A 22456-2023 FSC-klagomål mail.docx", "A 22456-2023")</f>
        <v/>
      </c>
      <c r="X100">
        <f>HYPERLINK("https://klasma.github.io/Logging_0188/tillsyn/A 22456-2023 tillsynsbegäran.docx", "A 22456-2023")</f>
        <v/>
      </c>
      <c r="Y100">
        <f>HYPERLINK("https://klasma.github.io/Logging_0188/tillsynsmail/A 22456-2023 tillsynsbegäran mail.docx", "A 22456-2023")</f>
        <v/>
      </c>
    </row>
    <row r="101" ht="15" customHeight="1">
      <c r="A101" t="inlineStr">
        <is>
          <t>A 4595-2023</t>
        </is>
      </c>
      <c r="B101" s="1" t="n">
        <v>44956</v>
      </c>
      <c r="C101" s="1" t="n">
        <v>46194</v>
      </c>
      <c r="D101" t="inlineStr">
        <is>
          <t>STOCKHOLMS LÄN</t>
        </is>
      </c>
      <c r="E101" t="inlineStr">
        <is>
          <t>NORRTÄLJE</t>
        </is>
      </c>
      <c r="G101" t="n">
        <v>0.6</v>
      </c>
      <c r="H101" t="n">
        <v>1</v>
      </c>
      <c r="I101" t="n">
        <v>1</v>
      </c>
      <c r="J101" t="n">
        <v>0</v>
      </c>
      <c r="K101" t="n">
        <v>0</v>
      </c>
      <c r="L101" t="n">
        <v>0</v>
      </c>
      <c r="M101" t="n">
        <v>0</v>
      </c>
      <c r="N101" t="n">
        <v>0</v>
      </c>
      <c r="O101" t="n">
        <v>0</v>
      </c>
      <c r="P101" t="n">
        <v>0</v>
      </c>
      <c r="Q101" t="n">
        <v>2</v>
      </c>
      <c r="R101" s="2" t="inlineStr">
        <is>
          <t>Hasselticka
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55058-2021</t>
        </is>
      </c>
      <c r="B102" s="1" t="n">
        <v>44474</v>
      </c>
      <c r="C102" s="1" t="n">
        <v>46194</v>
      </c>
      <c r="D102" t="inlineStr">
        <is>
          <t>STOCKHOLMS LÄN</t>
        </is>
      </c>
      <c r="E102" t="inlineStr">
        <is>
          <t>NORRTÄLJE</t>
        </is>
      </c>
      <c r="G102" t="n">
        <v>1.9</v>
      </c>
      <c r="H102" t="n">
        <v>0</v>
      </c>
      <c r="I102" t="n">
        <v>1</v>
      </c>
      <c r="J102" t="n">
        <v>1</v>
      </c>
      <c r="K102" t="n">
        <v>0</v>
      </c>
      <c r="L102" t="n">
        <v>0</v>
      </c>
      <c r="M102" t="n">
        <v>0</v>
      </c>
      <c r="N102" t="n">
        <v>0</v>
      </c>
      <c r="O102" t="n">
        <v>1</v>
      </c>
      <c r="P102" t="n">
        <v>0</v>
      </c>
      <c r="Q102" t="n">
        <v>2</v>
      </c>
      <c r="R102" s="2" t="inlineStr">
        <is>
          <t>Tallkötticka
Blodvaxing</t>
        </is>
      </c>
      <c r="S102">
        <f>HYPERLINK("https://klasma.github.io/Logging_0188/artfynd/A 55058-2021 artfynd.xlsx", "A 55058-2021")</f>
        <v/>
      </c>
      <c r="T102">
        <f>HYPERLINK("https://klasma.github.io/Logging_0188/kartor/A 55058-2021 karta.png", "A 55058-2021")</f>
        <v/>
      </c>
      <c r="V102">
        <f>HYPERLINK("https://klasma.github.io/Logging_0188/klagomål/A 55058-2021 FSC-klagomål.docx", "A 55058-2021")</f>
        <v/>
      </c>
      <c r="W102">
        <f>HYPERLINK("https://klasma.github.io/Logging_0188/klagomålsmail/A 55058-2021 FSC-klagomål mail.docx", "A 55058-2021")</f>
        <v/>
      </c>
      <c r="X102">
        <f>HYPERLINK("https://klasma.github.io/Logging_0188/tillsyn/A 55058-2021 tillsynsbegäran.docx", "A 55058-2021")</f>
        <v/>
      </c>
      <c r="Y102">
        <f>HYPERLINK("https://klasma.github.io/Logging_0188/tillsynsmail/A 55058-2021 tillsynsbegäran mail.docx", "A 55058-2021")</f>
        <v/>
      </c>
    </row>
    <row r="103" ht="15" customHeight="1">
      <c r="A103" t="inlineStr">
        <is>
          <t>A 50097-2025</t>
        </is>
      </c>
      <c r="B103" s="1" t="n">
        <v>45943</v>
      </c>
      <c r="C103" s="1" t="n">
        <v>46194</v>
      </c>
      <c r="D103" t="inlineStr">
        <is>
          <t>STOCKHOLMS LÄN</t>
        </is>
      </c>
      <c r="E103" t="inlineStr">
        <is>
          <t>NORRTÄLJE</t>
        </is>
      </c>
      <c r="F103" t="inlineStr">
        <is>
          <t>Holmen skog AB</t>
        </is>
      </c>
      <c r="G103" t="n">
        <v>12</v>
      </c>
      <c r="H103" t="n">
        <v>1</v>
      </c>
      <c r="I103" t="n">
        <v>0</v>
      </c>
      <c r="J103" t="n">
        <v>1</v>
      </c>
      <c r="K103" t="n">
        <v>0</v>
      </c>
      <c r="L103" t="n">
        <v>1</v>
      </c>
      <c r="M103" t="n">
        <v>0</v>
      </c>
      <c r="N103" t="n">
        <v>0</v>
      </c>
      <c r="O103" t="n">
        <v>2</v>
      </c>
      <c r="P103" t="n">
        <v>1</v>
      </c>
      <c r="Q103" t="n">
        <v>2</v>
      </c>
      <c r="R103" s="2" t="inlineStr">
        <is>
          <t>Asknätfjäril
Kattfotslav</t>
        </is>
      </c>
      <c r="S103">
        <f>HYPERLINK("https://klasma.github.io/Logging_0188/artfynd/A 50097-2025 artfynd.xlsx", "A 50097-2025")</f>
        <v/>
      </c>
      <c r="T103">
        <f>HYPERLINK("https://klasma.github.io/Logging_0188/kartor/A 50097-2025 karta.png", "A 50097-2025")</f>
        <v/>
      </c>
      <c r="V103">
        <f>HYPERLINK("https://klasma.github.io/Logging_0188/klagomål/A 50097-2025 FSC-klagomål.docx", "A 50097-2025")</f>
        <v/>
      </c>
      <c r="W103">
        <f>HYPERLINK("https://klasma.github.io/Logging_0188/klagomålsmail/A 50097-2025 FSC-klagomål mail.docx", "A 50097-2025")</f>
        <v/>
      </c>
      <c r="X103">
        <f>HYPERLINK("https://klasma.github.io/Logging_0188/tillsyn/A 50097-2025 tillsynsbegäran.docx", "A 50097-2025")</f>
        <v/>
      </c>
      <c r="Y103">
        <f>HYPERLINK("https://klasma.github.io/Logging_0188/tillsynsmail/A 50097-2025 tillsynsbegäran mail.docx", "A 50097-2025")</f>
        <v/>
      </c>
    </row>
    <row r="104" ht="15" customHeight="1">
      <c r="A104" t="inlineStr">
        <is>
          <t>A 50697-2025</t>
        </is>
      </c>
      <c r="B104" s="1" t="n">
        <v>45945</v>
      </c>
      <c r="C104" s="1" t="n">
        <v>46194</v>
      </c>
      <c r="D104" t="inlineStr">
        <is>
          <t>STOCKHOLMS LÄN</t>
        </is>
      </c>
      <c r="E104" t="inlineStr">
        <is>
          <t>NORRTÄLJE</t>
        </is>
      </c>
      <c r="G104" t="n">
        <v>5.5</v>
      </c>
      <c r="H104" t="n">
        <v>0</v>
      </c>
      <c r="I104" t="n">
        <v>0</v>
      </c>
      <c r="J104" t="n">
        <v>2</v>
      </c>
      <c r="K104" t="n">
        <v>0</v>
      </c>
      <c r="L104" t="n">
        <v>0</v>
      </c>
      <c r="M104" t="n">
        <v>0</v>
      </c>
      <c r="N104" t="n">
        <v>0</v>
      </c>
      <c r="O104" t="n">
        <v>2</v>
      </c>
      <c r="P104" t="n">
        <v>0</v>
      </c>
      <c r="Q104" t="n">
        <v>2</v>
      </c>
      <c r="R104" s="2" t="inlineStr">
        <is>
          <t>Skogsklocka
Småflikig brosklav</t>
        </is>
      </c>
      <c r="S104">
        <f>HYPERLINK("https://klasma.github.io/Logging_0188/artfynd/A 50697-2025 artfynd.xlsx", "A 50697-2025")</f>
        <v/>
      </c>
      <c r="T104">
        <f>HYPERLINK("https://klasma.github.io/Logging_0188/kartor/A 50697-2025 karta.png", "A 50697-2025")</f>
        <v/>
      </c>
      <c r="V104">
        <f>HYPERLINK("https://klasma.github.io/Logging_0188/klagomål/A 50697-2025 FSC-klagomål.docx", "A 50697-2025")</f>
        <v/>
      </c>
      <c r="W104">
        <f>HYPERLINK("https://klasma.github.io/Logging_0188/klagomålsmail/A 50697-2025 FSC-klagomål mail.docx", "A 50697-2025")</f>
        <v/>
      </c>
      <c r="X104">
        <f>HYPERLINK("https://klasma.github.io/Logging_0188/tillsyn/A 50697-2025 tillsynsbegäran.docx", "A 50697-2025")</f>
        <v/>
      </c>
      <c r="Y104">
        <f>HYPERLINK("https://klasma.github.io/Logging_0188/tillsynsmail/A 50697-2025 tillsynsbegäran mail.docx", "A 50697-2025")</f>
        <v/>
      </c>
    </row>
    <row r="105" ht="15" customHeight="1">
      <c r="A105" t="inlineStr">
        <is>
          <t>A 26418-2026</t>
        </is>
      </c>
      <c r="B105" s="1" t="n">
        <v>46183</v>
      </c>
      <c r="C105" s="1" t="n">
        <v>46194</v>
      </c>
      <c r="D105" t="inlineStr">
        <is>
          <t>STOCKHOLMS LÄN</t>
        </is>
      </c>
      <c r="E105" t="inlineStr">
        <is>
          <t>NORRTÄLJE</t>
        </is>
      </c>
      <c r="G105" t="n">
        <v>2.2</v>
      </c>
      <c r="H105" t="n">
        <v>2</v>
      </c>
      <c r="I105" t="n">
        <v>1</v>
      </c>
      <c r="J105" t="n">
        <v>0</v>
      </c>
      <c r="K105" t="n">
        <v>0</v>
      </c>
      <c r="L105" t="n">
        <v>0</v>
      </c>
      <c r="M105" t="n">
        <v>0</v>
      </c>
      <c r="N105" t="n">
        <v>0</v>
      </c>
      <c r="O105" t="n">
        <v>0</v>
      </c>
      <c r="P105" t="n">
        <v>0</v>
      </c>
      <c r="Q105" t="n">
        <v>2</v>
      </c>
      <c r="R105" s="2" t="inlineStr">
        <is>
          <t>Korallrot
Brudsporre</t>
        </is>
      </c>
      <c r="S105">
        <f>HYPERLINK("https://klasma.github.io/Logging_0188/artfynd/A 26418-2026 artfynd.xlsx", "A 26418-2026")</f>
        <v/>
      </c>
      <c r="T105">
        <f>HYPERLINK("https://klasma.github.io/Logging_0188/kartor/A 26418-2026 karta.png", "A 26418-2026")</f>
        <v/>
      </c>
      <c r="V105">
        <f>HYPERLINK("https://klasma.github.io/Logging_0188/klagomål/A 26418-2026 FSC-klagomål.docx", "A 26418-2026")</f>
        <v/>
      </c>
      <c r="W105">
        <f>HYPERLINK("https://klasma.github.io/Logging_0188/klagomålsmail/A 26418-2026 FSC-klagomål mail.docx", "A 26418-2026")</f>
        <v/>
      </c>
      <c r="X105">
        <f>HYPERLINK("https://klasma.github.io/Logging_0188/tillsyn/A 26418-2026 tillsynsbegäran.docx", "A 26418-2026")</f>
        <v/>
      </c>
      <c r="Y105">
        <f>HYPERLINK("https://klasma.github.io/Logging_0188/tillsynsmail/A 26418-2026 tillsynsbegäran mail.docx", "A 26418-2026")</f>
        <v/>
      </c>
    </row>
    <row r="106" ht="15" customHeight="1">
      <c r="A106" t="inlineStr">
        <is>
          <t>A 35649-2023</t>
        </is>
      </c>
      <c r="B106" s="1" t="n">
        <v>45146</v>
      </c>
      <c r="C106" s="1" t="n">
        <v>46194</v>
      </c>
      <c r="D106" t="inlineStr">
        <is>
          <t>STOCKHOLMS LÄN</t>
        </is>
      </c>
      <c r="E106" t="inlineStr">
        <is>
          <t>NORRTÄLJE</t>
        </is>
      </c>
      <c r="G106" t="n">
        <v>25.1</v>
      </c>
      <c r="H106" t="n">
        <v>0</v>
      </c>
      <c r="I106" t="n">
        <v>0</v>
      </c>
      <c r="J106" t="n">
        <v>2</v>
      </c>
      <c r="K106" t="n">
        <v>0</v>
      </c>
      <c r="L106" t="n">
        <v>0</v>
      </c>
      <c r="M106" t="n">
        <v>0</v>
      </c>
      <c r="N106" t="n">
        <v>0</v>
      </c>
      <c r="O106" t="n">
        <v>2</v>
      </c>
      <c r="P106" t="n">
        <v>0</v>
      </c>
      <c r="Q106" t="n">
        <v>2</v>
      </c>
      <c r="R106" s="2" t="inlineStr">
        <is>
          <t>Majviva
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41218-2024</t>
        </is>
      </c>
      <c r="B107" s="1" t="n">
        <v>45559</v>
      </c>
      <c r="C107" s="1" t="n">
        <v>46194</v>
      </c>
      <c r="D107" t="inlineStr">
        <is>
          <t>STOCKHOLMS LÄN</t>
        </is>
      </c>
      <c r="E107" t="inlineStr">
        <is>
          <t>NORRTÄLJE</t>
        </is>
      </c>
      <c r="G107" t="n">
        <v>6</v>
      </c>
      <c r="H107" t="n">
        <v>1</v>
      </c>
      <c r="I107" t="n">
        <v>0</v>
      </c>
      <c r="J107" t="n">
        <v>0</v>
      </c>
      <c r="K107" t="n">
        <v>1</v>
      </c>
      <c r="L107" t="n">
        <v>0</v>
      </c>
      <c r="M107" t="n">
        <v>0</v>
      </c>
      <c r="N107" t="n">
        <v>0</v>
      </c>
      <c r="O107" t="n">
        <v>1</v>
      </c>
      <c r="P107" t="n">
        <v>1</v>
      </c>
      <c r="Q107" t="n">
        <v>2</v>
      </c>
      <c r="R107" s="2" t="inlineStr">
        <is>
          <t>Igelkott
Näktergal</t>
        </is>
      </c>
      <c r="S107">
        <f>HYPERLINK("https://klasma.github.io/Logging_0188/artfynd/A 41218-2024 artfynd.xlsx", "A 41218-2024")</f>
        <v/>
      </c>
      <c r="T107">
        <f>HYPERLINK("https://klasma.github.io/Logging_0188/kartor/A 41218-2024 karta.png", "A 41218-2024")</f>
        <v/>
      </c>
      <c r="V107">
        <f>HYPERLINK("https://klasma.github.io/Logging_0188/klagomål/A 41218-2024 FSC-klagomål.docx", "A 41218-2024")</f>
        <v/>
      </c>
      <c r="W107">
        <f>HYPERLINK("https://klasma.github.io/Logging_0188/klagomålsmail/A 41218-2024 FSC-klagomål mail.docx", "A 41218-2024")</f>
        <v/>
      </c>
      <c r="X107">
        <f>HYPERLINK("https://klasma.github.io/Logging_0188/tillsyn/A 41218-2024 tillsynsbegäran.docx", "A 41218-2024")</f>
        <v/>
      </c>
      <c r="Y107">
        <f>HYPERLINK("https://klasma.github.io/Logging_0188/tillsynsmail/A 41218-2024 tillsynsbegäran mail.docx", "A 41218-2024")</f>
        <v/>
      </c>
      <c r="Z107">
        <f>HYPERLINK("https://klasma.github.io/Logging_0188/fåglar/A 41218-2024 prioriterade fågelarter.docx", "A 41218-2024")</f>
        <v/>
      </c>
    </row>
    <row r="108" ht="15" customHeight="1">
      <c r="A108" t="inlineStr">
        <is>
          <t>A 25669-2025</t>
        </is>
      </c>
      <c r="B108" s="1" t="n">
        <v>45803</v>
      </c>
      <c r="C108" s="1" t="n">
        <v>46194</v>
      </c>
      <c r="D108" t="inlineStr">
        <is>
          <t>STOCKHOLMS LÄN</t>
        </is>
      </c>
      <c r="E108" t="inlineStr">
        <is>
          <t>NORRTÄLJE</t>
        </is>
      </c>
      <c r="F108" t="inlineStr">
        <is>
          <t>Holmen skog AB</t>
        </is>
      </c>
      <c r="G108" t="n">
        <v>3.1</v>
      </c>
      <c r="H108" t="n">
        <v>2</v>
      </c>
      <c r="I108" t="n">
        <v>0</v>
      </c>
      <c r="J108" t="n">
        <v>0</v>
      </c>
      <c r="K108" t="n">
        <v>0</v>
      </c>
      <c r="L108" t="n">
        <v>0</v>
      </c>
      <c r="M108" t="n">
        <v>0</v>
      </c>
      <c r="N108" t="n">
        <v>0</v>
      </c>
      <c r="O108" t="n">
        <v>0</v>
      </c>
      <c r="P108" t="n">
        <v>0</v>
      </c>
      <c r="Q108" t="n">
        <v>2</v>
      </c>
      <c r="R108" s="2" t="inlineStr">
        <is>
          <t>Tjäder
Revlummer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39202-2024</t>
        </is>
      </c>
      <c r="B109" s="1" t="n">
        <v>45548</v>
      </c>
      <c r="C109" s="1" t="n">
        <v>46194</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26635-2023</t>
        </is>
      </c>
      <c r="B110" s="1" t="n">
        <v>45092</v>
      </c>
      <c r="C110" s="1" t="n">
        <v>46194</v>
      </c>
      <c r="D110" t="inlineStr">
        <is>
          <t>STOCKHOLMS LÄN</t>
        </is>
      </c>
      <c r="E110" t="inlineStr">
        <is>
          <t>NORRTÄLJE</t>
        </is>
      </c>
      <c r="G110" t="n">
        <v>3.1</v>
      </c>
      <c r="H110" t="n">
        <v>1</v>
      </c>
      <c r="I110" t="n">
        <v>0</v>
      </c>
      <c r="J110" t="n">
        <v>0</v>
      </c>
      <c r="K110" t="n">
        <v>0</v>
      </c>
      <c r="L110" t="n">
        <v>0</v>
      </c>
      <c r="M110" t="n">
        <v>0</v>
      </c>
      <c r="N110" t="n">
        <v>0</v>
      </c>
      <c r="O110" t="n">
        <v>0</v>
      </c>
      <c r="P110" t="n">
        <v>0</v>
      </c>
      <c r="Q110" t="n">
        <v>2</v>
      </c>
      <c r="R110" s="2" t="inlineStr">
        <is>
          <t>Stjärnstarr
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53716-2025</t>
        </is>
      </c>
      <c r="B111" s="1" t="n">
        <v>45960</v>
      </c>
      <c r="C111" s="1" t="n">
        <v>46194</v>
      </c>
      <c r="D111" t="inlineStr">
        <is>
          <t>STOCKHOLMS LÄN</t>
        </is>
      </c>
      <c r="E111" t="inlineStr">
        <is>
          <t>NORRTÄLJE</t>
        </is>
      </c>
      <c r="G111" t="n">
        <v>3.4</v>
      </c>
      <c r="H111" t="n">
        <v>0</v>
      </c>
      <c r="I111" t="n">
        <v>1</v>
      </c>
      <c r="J111" t="n">
        <v>0</v>
      </c>
      <c r="K111" t="n">
        <v>1</v>
      </c>
      <c r="L111" t="n">
        <v>0</v>
      </c>
      <c r="M111" t="n">
        <v>0</v>
      </c>
      <c r="N111" t="n">
        <v>0</v>
      </c>
      <c r="O111" t="n">
        <v>1</v>
      </c>
      <c r="P111" t="n">
        <v>1</v>
      </c>
      <c r="Q111" t="n">
        <v>2</v>
      </c>
      <c r="R111" s="2" t="inlineStr">
        <is>
          <t>Fältgentiana
Fjällig jordtunga</t>
        </is>
      </c>
      <c r="S111">
        <f>HYPERLINK("https://klasma.github.io/Logging_0188/artfynd/A 53716-2025 artfynd.xlsx", "A 53716-2025")</f>
        <v/>
      </c>
      <c r="T111">
        <f>HYPERLINK("https://klasma.github.io/Logging_0188/kartor/A 53716-2025 karta.png", "A 53716-2025")</f>
        <v/>
      </c>
      <c r="V111">
        <f>HYPERLINK("https://klasma.github.io/Logging_0188/klagomål/A 53716-2025 FSC-klagomål.docx", "A 53716-2025")</f>
        <v/>
      </c>
      <c r="W111">
        <f>HYPERLINK("https://klasma.github.io/Logging_0188/klagomålsmail/A 53716-2025 FSC-klagomål mail.docx", "A 53716-2025")</f>
        <v/>
      </c>
      <c r="X111">
        <f>HYPERLINK("https://klasma.github.io/Logging_0188/tillsyn/A 53716-2025 tillsynsbegäran.docx", "A 53716-2025")</f>
        <v/>
      </c>
      <c r="Y111">
        <f>HYPERLINK("https://klasma.github.io/Logging_0188/tillsynsmail/A 53716-2025 tillsynsbegäran mail.docx", "A 53716-2025")</f>
        <v/>
      </c>
    </row>
    <row r="112" ht="15" customHeight="1">
      <c r="A112" t="inlineStr">
        <is>
          <t>A 21821-2026</t>
        </is>
      </c>
      <c r="B112" s="1" t="n">
        <v>46150</v>
      </c>
      <c r="C112" s="1" t="n">
        <v>46194</v>
      </c>
      <c r="D112" t="inlineStr">
        <is>
          <t>STOCKHOLMS LÄN</t>
        </is>
      </c>
      <c r="E112" t="inlineStr">
        <is>
          <t>NORRTÄLJE</t>
        </is>
      </c>
      <c r="G112" t="n">
        <v>2.6</v>
      </c>
      <c r="H112" t="n">
        <v>1</v>
      </c>
      <c r="I112" t="n">
        <v>0</v>
      </c>
      <c r="J112" t="n">
        <v>0</v>
      </c>
      <c r="K112" t="n">
        <v>2</v>
      </c>
      <c r="L112" t="n">
        <v>0</v>
      </c>
      <c r="M112" t="n">
        <v>0</v>
      </c>
      <c r="N112" t="n">
        <v>0</v>
      </c>
      <c r="O112" t="n">
        <v>2</v>
      </c>
      <c r="P112" t="n">
        <v>2</v>
      </c>
      <c r="Q112" t="n">
        <v>2</v>
      </c>
      <c r="R112" s="2" t="inlineStr">
        <is>
          <t>Bredgentiana
Fältgentiana</t>
        </is>
      </c>
      <c r="S112">
        <f>HYPERLINK("https://klasma.github.io/Logging_0188/artfynd/A 21821-2026 artfynd.xlsx", "A 21821-2026")</f>
        <v/>
      </c>
      <c r="T112">
        <f>HYPERLINK("https://klasma.github.io/Logging_0188/kartor/A 21821-2026 karta.png", "A 21821-2026")</f>
        <v/>
      </c>
      <c r="V112">
        <f>HYPERLINK("https://klasma.github.io/Logging_0188/klagomål/A 21821-2026 FSC-klagomål.docx", "A 21821-2026")</f>
        <v/>
      </c>
      <c r="W112">
        <f>HYPERLINK("https://klasma.github.io/Logging_0188/klagomålsmail/A 21821-2026 FSC-klagomål mail.docx", "A 21821-2026")</f>
        <v/>
      </c>
      <c r="X112">
        <f>HYPERLINK("https://klasma.github.io/Logging_0188/tillsyn/A 21821-2026 tillsynsbegäran.docx", "A 21821-2026")</f>
        <v/>
      </c>
      <c r="Y112">
        <f>HYPERLINK("https://klasma.github.io/Logging_0188/tillsynsmail/A 21821-2026 tillsynsbegäran mail.docx", "A 21821-2026")</f>
        <v/>
      </c>
    </row>
    <row r="113" ht="15" customHeight="1">
      <c r="A113" t="inlineStr">
        <is>
          <t>A 22157-2023</t>
        </is>
      </c>
      <c r="B113" s="1" t="n">
        <v>45069</v>
      </c>
      <c r="C113" s="1" t="n">
        <v>46194</v>
      </c>
      <c r="D113" t="inlineStr">
        <is>
          <t>STOCKHOLMS LÄN</t>
        </is>
      </c>
      <c r="E113" t="inlineStr">
        <is>
          <t>NORRTÄLJE</t>
        </is>
      </c>
      <c r="G113" t="n">
        <v>0.6</v>
      </c>
      <c r="H113" t="n">
        <v>1</v>
      </c>
      <c r="I113" t="n">
        <v>1</v>
      </c>
      <c r="J113" t="n">
        <v>0</v>
      </c>
      <c r="K113" t="n">
        <v>1</v>
      </c>
      <c r="L113" t="n">
        <v>0</v>
      </c>
      <c r="M113" t="n">
        <v>0</v>
      </c>
      <c r="N113" t="n">
        <v>0</v>
      </c>
      <c r="O113" t="n">
        <v>1</v>
      </c>
      <c r="P113" t="n">
        <v>1</v>
      </c>
      <c r="Q113" t="n">
        <v>2</v>
      </c>
      <c r="R113" s="2" t="inlineStr">
        <is>
          <t>Knärot
Grönpyrola</t>
        </is>
      </c>
      <c r="S113">
        <f>HYPERLINK("https://klasma.github.io/Logging_0188/artfynd/A 22157-2023 artfynd.xlsx", "A 22157-2023")</f>
        <v/>
      </c>
      <c r="T113">
        <f>HYPERLINK("https://klasma.github.io/Logging_0188/kartor/A 22157-2023 karta.png", "A 22157-2023")</f>
        <v/>
      </c>
      <c r="U113">
        <f>HYPERLINK("https://klasma.github.io/Logging_0188/knärot/A 22157-2023 karta knärot.png", "A 22157-2023")</f>
        <v/>
      </c>
      <c r="V113">
        <f>HYPERLINK("https://klasma.github.io/Logging_0188/klagomål/A 22157-2023 FSC-klagomål.docx", "A 22157-2023")</f>
        <v/>
      </c>
      <c r="W113">
        <f>HYPERLINK("https://klasma.github.io/Logging_0188/klagomålsmail/A 22157-2023 FSC-klagomål mail.docx", "A 22157-2023")</f>
        <v/>
      </c>
      <c r="X113">
        <f>HYPERLINK("https://klasma.github.io/Logging_0188/tillsyn/A 22157-2023 tillsynsbegäran.docx", "A 22157-2023")</f>
        <v/>
      </c>
      <c r="Y113">
        <f>HYPERLINK("https://klasma.github.io/Logging_0188/tillsynsmail/A 22157-2023 tillsynsbegäran mail.docx", "A 22157-2023")</f>
        <v/>
      </c>
    </row>
    <row r="114" ht="15" customHeight="1">
      <c r="A114" t="inlineStr">
        <is>
          <t>A 21781-2026</t>
        </is>
      </c>
      <c r="B114" s="1" t="n">
        <v>46150</v>
      </c>
      <c r="C114" s="1" t="n">
        <v>46194</v>
      </c>
      <c r="D114" t="inlineStr">
        <is>
          <t>STOCKHOLMS LÄN</t>
        </is>
      </c>
      <c r="E114" t="inlineStr">
        <is>
          <t>NORRTÄLJE</t>
        </is>
      </c>
      <c r="G114" t="n">
        <v>6.2</v>
      </c>
      <c r="H114" t="n">
        <v>1</v>
      </c>
      <c r="I114" t="n">
        <v>0</v>
      </c>
      <c r="J114" t="n">
        <v>1</v>
      </c>
      <c r="K114" t="n">
        <v>1</v>
      </c>
      <c r="L114" t="n">
        <v>0</v>
      </c>
      <c r="M114" t="n">
        <v>0</v>
      </c>
      <c r="N114" t="n">
        <v>0</v>
      </c>
      <c r="O114" t="n">
        <v>2</v>
      </c>
      <c r="P114" t="n">
        <v>1</v>
      </c>
      <c r="Q114" t="n">
        <v>2</v>
      </c>
      <c r="R114" s="2" t="inlineStr">
        <is>
          <t>Hällebräcka
Slåtterfibbla</t>
        </is>
      </c>
      <c r="S114">
        <f>HYPERLINK("https://klasma.github.io/Logging_0188/artfynd/A 21781-2026 artfynd.xlsx", "A 21781-2026")</f>
        <v/>
      </c>
      <c r="T114">
        <f>HYPERLINK("https://klasma.github.io/Logging_0188/kartor/A 21781-2026 karta.png", "A 21781-2026")</f>
        <v/>
      </c>
      <c r="V114">
        <f>HYPERLINK("https://klasma.github.io/Logging_0188/klagomål/A 21781-2026 FSC-klagomål.docx", "A 21781-2026")</f>
        <v/>
      </c>
      <c r="W114">
        <f>HYPERLINK("https://klasma.github.io/Logging_0188/klagomålsmail/A 21781-2026 FSC-klagomål mail.docx", "A 21781-2026")</f>
        <v/>
      </c>
      <c r="X114">
        <f>HYPERLINK("https://klasma.github.io/Logging_0188/tillsyn/A 21781-2026 tillsynsbegäran.docx", "A 21781-2026")</f>
        <v/>
      </c>
      <c r="Y114">
        <f>HYPERLINK("https://klasma.github.io/Logging_0188/tillsynsmail/A 21781-2026 tillsynsbegäran mail.docx", "A 21781-2026")</f>
        <v/>
      </c>
    </row>
    <row r="115" ht="15" customHeight="1">
      <c r="A115" t="inlineStr">
        <is>
          <t>A 52825-2023</t>
        </is>
      </c>
      <c r="B115" s="1" t="n">
        <v>45226</v>
      </c>
      <c r="C115" s="1" t="n">
        <v>46194</v>
      </c>
      <c r="D115" t="inlineStr">
        <is>
          <t>STOCKHOLMS LÄN</t>
        </is>
      </c>
      <c r="E115" t="inlineStr">
        <is>
          <t>NORRTÄLJE</t>
        </is>
      </c>
      <c r="G115" t="n">
        <v>1</v>
      </c>
      <c r="H115" t="n">
        <v>0</v>
      </c>
      <c r="I115" t="n">
        <v>1</v>
      </c>
      <c r="J115" t="n">
        <v>1</v>
      </c>
      <c r="K115" t="n">
        <v>0</v>
      </c>
      <c r="L115" t="n">
        <v>0</v>
      </c>
      <c r="M115" t="n">
        <v>0</v>
      </c>
      <c r="N115" t="n">
        <v>0</v>
      </c>
      <c r="O115" t="n">
        <v>1</v>
      </c>
      <c r="P115" t="n">
        <v>0</v>
      </c>
      <c r="Q115" t="n">
        <v>2</v>
      </c>
      <c r="R115" s="2" t="inlineStr">
        <is>
          <t>Fjällig taggsvamp s.str.
Strimspindling</t>
        </is>
      </c>
      <c r="S115">
        <f>HYPERLINK("https://klasma.github.io/Logging_0188/artfynd/A 52825-2023 artfynd.xlsx", "A 52825-2023")</f>
        <v/>
      </c>
      <c r="T115">
        <f>HYPERLINK("https://klasma.github.io/Logging_0188/kartor/A 52825-2023 karta.png", "A 52825-2023")</f>
        <v/>
      </c>
      <c r="V115">
        <f>HYPERLINK("https://klasma.github.io/Logging_0188/klagomål/A 52825-2023 FSC-klagomål.docx", "A 52825-2023")</f>
        <v/>
      </c>
      <c r="W115">
        <f>HYPERLINK("https://klasma.github.io/Logging_0188/klagomålsmail/A 52825-2023 FSC-klagomål mail.docx", "A 52825-2023")</f>
        <v/>
      </c>
      <c r="X115">
        <f>HYPERLINK("https://klasma.github.io/Logging_0188/tillsyn/A 52825-2023 tillsynsbegäran.docx", "A 52825-2023")</f>
        <v/>
      </c>
      <c r="Y115">
        <f>HYPERLINK("https://klasma.github.io/Logging_0188/tillsynsmail/A 52825-2023 tillsynsbegäran mail.docx", "A 52825-2023")</f>
        <v/>
      </c>
    </row>
    <row r="116" ht="15" customHeight="1">
      <c r="A116" t="inlineStr">
        <is>
          <t>A 50854-2022</t>
        </is>
      </c>
      <c r="B116" s="1" t="n">
        <v>44863</v>
      </c>
      <c r="C116" s="1" t="n">
        <v>46194</v>
      </c>
      <c r="D116" t="inlineStr">
        <is>
          <t>STOCKHOLMS LÄN</t>
        </is>
      </c>
      <c r="E116" t="inlineStr">
        <is>
          <t>NORRTÄLJE</t>
        </is>
      </c>
      <c r="G116" t="n">
        <v>2.9</v>
      </c>
      <c r="H116" t="n">
        <v>1</v>
      </c>
      <c r="I116" t="n">
        <v>1</v>
      </c>
      <c r="J116" t="n">
        <v>1</v>
      </c>
      <c r="K116" t="n">
        <v>0</v>
      </c>
      <c r="L116" t="n">
        <v>0</v>
      </c>
      <c r="M116" t="n">
        <v>0</v>
      </c>
      <c r="N116" t="n">
        <v>0</v>
      </c>
      <c r="O116" t="n">
        <v>1</v>
      </c>
      <c r="P116" t="n">
        <v>0</v>
      </c>
      <c r="Q116" t="n">
        <v>2</v>
      </c>
      <c r="R116" s="2" t="inlineStr">
        <is>
          <t>Mindre hackspett
Tibast</t>
        </is>
      </c>
      <c r="S116">
        <f>HYPERLINK("https://klasma.github.io/Logging_0188/artfynd/A 50854-2022 artfynd.xlsx", "A 50854-2022")</f>
        <v/>
      </c>
      <c r="T116">
        <f>HYPERLINK("https://klasma.github.io/Logging_0188/kartor/A 50854-2022 karta.png", "A 50854-2022")</f>
        <v/>
      </c>
      <c r="V116">
        <f>HYPERLINK("https://klasma.github.io/Logging_0188/klagomål/A 50854-2022 FSC-klagomål.docx", "A 50854-2022")</f>
        <v/>
      </c>
      <c r="W116">
        <f>HYPERLINK("https://klasma.github.io/Logging_0188/klagomålsmail/A 50854-2022 FSC-klagomål mail.docx", "A 50854-2022")</f>
        <v/>
      </c>
      <c r="X116">
        <f>HYPERLINK("https://klasma.github.io/Logging_0188/tillsyn/A 50854-2022 tillsynsbegäran.docx", "A 50854-2022")</f>
        <v/>
      </c>
      <c r="Y116">
        <f>HYPERLINK("https://klasma.github.io/Logging_0188/tillsynsmail/A 50854-2022 tillsynsbegäran mail.docx", "A 50854-2022")</f>
        <v/>
      </c>
      <c r="Z116">
        <f>HYPERLINK("https://klasma.github.io/Logging_0188/fåglar/A 50854-2022 prioriterade fågelarter.docx", "A 50854-2022")</f>
        <v/>
      </c>
    </row>
    <row r="117" ht="15" customHeight="1">
      <c r="A117" t="inlineStr">
        <is>
          <t>A 26207-2026</t>
        </is>
      </c>
      <c r="B117" s="1" t="n">
        <v>46182</v>
      </c>
      <c r="C117" s="1" t="n">
        <v>46194</v>
      </c>
      <c r="D117" t="inlineStr">
        <is>
          <t>STOCKHOLMS LÄN</t>
        </is>
      </c>
      <c r="E117" t="inlineStr">
        <is>
          <t>NORRTÄLJE</t>
        </is>
      </c>
      <c r="G117" t="n">
        <v>4.2</v>
      </c>
      <c r="H117" t="n">
        <v>2</v>
      </c>
      <c r="I117" t="n">
        <v>0</v>
      </c>
      <c r="J117" t="n">
        <v>1</v>
      </c>
      <c r="K117" t="n">
        <v>0</v>
      </c>
      <c r="L117" t="n">
        <v>0</v>
      </c>
      <c r="M117" t="n">
        <v>0</v>
      </c>
      <c r="N117" t="n">
        <v>0</v>
      </c>
      <c r="O117" t="n">
        <v>1</v>
      </c>
      <c r="P117" t="n">
        <v>0</v>
      </c>
      <c r="Q117" t="n">
        <v>2</v>
      </c>
      <c r="R117" s="2" t="inlineStr">
        <is>
          <t>Björktrast
Grönsiska</t>
        </is>
      </c>
      <c r="S117">
        <f>HYPERLINK("https://klasma.github.io/Logging_0188/artfynd/A 26207-2026 artfynd.xlsx", "A 26207-2026")</f>
        <v/>
      </c>
      <c r="T117">
        <f>HYPERLINK("https://klasma.github.io/Logging_0188/kartor/A 26207-2026 karta.png", "A 26207-2026")</f>
        <v/>
      </c>
      <c r="V117">
        <f>HYPERLINK("https://klasma.github.io/Logging_0188/klagomål/A 26207-2026 FSC-klagomål.docx", "A 26207-2026")</f>
        <v/>
      </c>
      <c r="W117">
        <f>HYPERLINK("https://klasma.github.io/Logging_0188/klagomålsmail/A 26207-2026 FSC-klagomål mail.docx", "A 26207-2026")</f>
        <v/>
      </c>
      <c r="X117">
        <f>HYPERLINK("https://klasma.github.io/Logging_0188/tillsyn/A 26207-2026 tillsynsbegäran.docx", "A 26207-2026")</f>
        <v/>
      </c>
      <c r="Y117">
        <f>HYPERLINK("https://klasma.github.io/Logging_0188/tillsynsmail/A 26207-2026 tillsynsbegäran mail.docx", "A 26207-2026")</f>
        <v/>
      </c>
      <c r="Z117">
        <f>HYPERLINK("https://klasma.github.io/Logging_0188/fåglar/A 26207-2026 prioriterade fågelarter.docx", "A 26207-2026")</f>
        <v/>
      </c>
    </row>
    <row r="118" ht="15" customHeight="1">
      <c r="A118" t="inlineStr">
        <is>
          <t>A 26221-2026</t>
        </is>
      </c>
      <c r="B118" s="1" t="n">
        <v>46182</v>
      </c>
      <c r="C118" s="1" t="n">
        <v>46194</v>
      </c>
      <c r="D118" t="inlineStr">
        <is>
          <t>STOCKHOLMS LÄN</t>
        </is>
      </c>
      <c r="E118" t="inlineStr">
        <is>
          <t>NORRTÄLJE</t>
        </is>
      </c>
      <c r="G118" t="n">
        <v>4.1</v>
      </c>
      <c r="H118" t="n">
        <v>2</v>
      </c>
      <c r="I118" t="n">
        <v>0</v>
      </c>
      <c r="J118" t="n">
        <v>1</v>
      </c>
      <c r="K118" t="n">
        <v>0</v>
      </c>
      <c r="L118" t="n">
        <v>0</v>
      </c>
      <c r="M118" t="n">
        <v>0</v>
      </c>
      <c r="N118" t="n">
        <v>0</v>
      </c>
      <c r="O118" t="n">
        <v>1</v>
      </c>
      <c r="P118" t="n">
        <v>0</v>
      </c>
      <c r="Q118" t="n">
        <v>2</v>
      </c>
      <c r="R118" s="2" t="inlineStr">
        <is>
          <t>Duvhök
Havsörn</t>
        </is>
      </c>
      <c r="S118">
        <f>HYPERLINK("https://klasma.github.io/Logging_0188/artfynd/A 26221-2026 artfynd.xlsx", "A 26221-2026")</f>
        <v/>
      </c>
      <c r="T118">
        <f>HYPERLINK("https://klasma.github.io/Logging_0188/kartor/A 26221-2026 karta.png", "A 26221-2026")</f>
        <v/>
      </c>
      <c r="V118">
        <f>HYPERLINK("https://klasma.github.io/Logging_0188/klagomål/A 26221-2026 FSC-klagomål.docx", "A 26221-2026")</f>
        <v/>
      </c>
      <c r="W118">
        <f>HYPERLINK("https://klasma.github.io/Logging_0188/klagomålsmail/A 26221-2026 FSC-klagomål mail.docx", "A 26221-2026")</f>
        <v/>
      </c>
      <c r="X118">
        <f>HYPERLINK("https://klasma.github.io/Logging_0188/tillsyn/A 26221-2026 tillsynsbegäran.docx", "A 26221-2026")</f>
        <v/>
      </c>
      <c r="Y118">
        <f>HYPERLINK("https://klasma.github.io/Logging_0188/tillsynsmail/A 26221-2026 tillsynsbegäran mail.docx", "A 26221-2026")</f>
        <v/>
      </c>
      <c r="Z118">
        <f>HYPERLINK("https://klasma.github.io/Logging_0188/fåglar/A 26221-2026 prioriterade fågelarter.docx", "A 26221-2026")</f>
        <v/>
      </c>
    </row>
    <row r="119" ht="15" customHeight="1">
      <c r="A119" t="inlineStr">
        <is>
          <t>A 1547-2022</t>
        </is>
      </c>
      <c r="B119" s="1" t="n">
        <v>44573</v>
      </c>
      <c r="C119" s="1" t="n">
        <v>46194</v>
      </c>
      <c r="D119" t="inlineStr">
        <is>
          <t>STOCKHOLMS LÄN</t>
        </is>
      </c>
      <c r="E119" t="inlineStr">
        <is>
          <t>NORRTÄLJE</t>
        </is>
      </c>
      <c r="G119" t="n">
        <v>1.8</v>
      </c>
      <c r="H119" t="n">
        <v>1</v>
      </c>
      <c r="I119" t="n">
        <v>0</v>
      </c>
      <c r="J119" t="n">
        <v>0</v>
      </c>
      <c r="K119" t="n">
        <v>1</v>
      </c>
      <c r="L119" t="n">
        <v>0</v>
      </c>
      <c r="M119" t="n">
        <v>0</v>
      </c>
      <c r="N119" t="n">
        <v>0</v>
      </c>
      <c r="O119" t="n">
        <v>1</v>
      </c>
      <c r="P119" t="n">
        <v>1</v>
      </c>
      <c r="Q119" t="n">
        <v>1</v>
      </c>
      <c r="R119" s="2" t="inlineStr">
        <is>
          <t>Hällebräcka</t>
        </is>
      </c>
      <c r="S119">
        <f>HYPERLINK("https://klasma.github.io/Logging_0188/artfynd/A 1547-2022 artfynd.xlsx", "A 1547-2022")</f>
        <v/>
      </c>
      <c r="T119">
        <f>HYPERLINK("https://klasma.github.io/Logging_0188/kartor/A 1547-2022 karta.png", "A 1547-2022")</f>
        <v/>
      </c>
      <c r="V119">
        <f>HYPERLINK("https://klasma.github.io/Logging_0188/klagomål/A 1547-2022 FSC-klagomål.docx", "A 1547-2022")</f>
        <v/>
      </c>
      <c r="W119">
        <f>HYPERLINK("https://klasma.github.io/Logging_0188/klagomålsmail/A 1547-2022 FSC-klagomål mail.docx", "A 1547-2022")</f>
        <v/>
      </c>
      <c r="X119">
        <f>HYPERLINK("https://klasma.github.io/Logging_0188/tillsyn/A 1547-2022 tillsynsbegäran.docx", "A 1547-2022")</f>
        <v/>
      </c>
      <c r="Y119">
        <f>HYPERLINK("https://klasma.github.io/Logging_0188/tillsynsmail/A 1547-2022 tillsynsbegäran mail.docx", "A 1547-2022")</f>
        <v/>
      </c>
    </row>
    <row r="120" ht="15" customHeight="1">
      <c r="A120" t="inlineStr">
        <is>
          <t>A 52133-2022</t>
        </is>
      </c>
      <c r="B120" s="1" t="n">
        <v>44868</v>
      </c>
      <c r="C120" s="1" t="n">
        <v>46194</v>
      </c>
      <c r="D120" t="inlineStr">
        <is>
          <t>STOCKHOLMS LÄN</t>
        </is>
      </c>
      <c r="E120" t="inlineStr">
        <is>
          <t>NORRTÄLJE</t>
        </is>
      </c>
      <c r="G120" t="n">
        <v>11.5</v>
      </c>
      <c r="H120" t="n">
        <v>1</v>
      </c>
      <c r="I120" t="n">
        <v>0</v>
      </c>
      <c r="J120" t="n">
        <v>0</v>
      </c>
      <c r="K120" t="n">
        <v>1</v>
      </c>
      <c r="L120" t="n">
        <v>0</v>
      </c>
      <c r="M120" t="n">
        <v>0</v>
      </c>
      <c r="N120" t="n">
        <v>0</v>
      </c>
      <c r="O120" t="n">
        <v>1</v>
      </c>
      <c r="P120" t="n">
        <v>1</v>
      </c>
      <c r="Q120" t="n">
        <v>1</v>
      </c>
      <c r="R120" s="2" t="inlineStr">
        <is>
          <t>Knärot</t>
        </is>
      </c>
      <c r="S120">
        <f>HYPERLINK("https://klasma.github.io/Logging_0188/artfynd/A 52133-2022 artfynd.xlsx", "A 52133-2022")</f>
        <v/>
      </c>
      <c r="T120">
        <f>HYPERLINK("https://klasma.github.io/Logging_0188/kartor/A 52133-2022 karta.png", "A 52133-2022")</f>
        <v/>
      </c>
      <c r="U120">
        <f>HYPERLINK("https://klasma.github.io/Logging_0188/knärot/A 52133-2022 karta knärot.png", "A 52133-2022")</f>
        <v/>
      </c>
      <c r="V120">
        <f>HYPERLINK("https://klasma.github.io/Logging_0188/klagomål/A 52133-2022 FSC-klagomål.docx", "A 52133-2022")</f>
        <v/>
      </c>
      <c r="W120">
        <f>HYPERLINK("https://klasma.github.io/Logging_0188/klagomålsmail/A 52133-2022 FSC-klagomål mail.docx", "A 52133-2022")</f>
        <v/>
      </c>
      <c r="X120">
        <f>HYPERLINK("https://klasma.github.io/Logging_0188/tillsyn/A 52133-2022 tillsynsbegäran.docx", "A 52133-2022")</f>
        <v/>
      </c>
      <c r="Y120">
        <f>HYPERLINK("https://klasma.github.io/Logging_0188/tillsynsmail/A 52133-2022 tillsynsbegäran mail.docx", "A 52133-2022")</f>
        <v/>
      </c>
    </row>
    <row r="121" ht="15" customHeight="1">
      <c r="A121" t="inlineStr">
        <is>
          <t>A 48492-2022</t>
        </is>
      </c>
      <c r="B121" s="1" t="n">
        <v>44858</v>
      </c>
      <c r="C121" s="1" t="n">
        <v>46194</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188-2022</t>
        </is>
      </c>
      <c r="B122" s="1" t="n">
        <v>44564</v>
      </c>
      <c r="C122" s="1" t="n">
        <v>46194</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60209-2021</t>
        </is>
      </c>
      <c r="B123" s="1" t="n">
        <v>44495</v>
      </c>
      <c r="C123" s="1" t="n">
        <v>46194</v>
      </c>
      <c r="D123" t="inlineStr">
        <is>
          <t>STOCKHOLMS LÄN</t>
        </is>
      </c>
      <c r="E123" t="inlineStr">
        <is>
          <t>NORRTÄLJE</t>
        </is>
      </c>
      <c r="G123" t="n">
        <v>4.3</v>
      </c>
      <c r="H123" t="n">
        <v>1</v>
      </c>
      <c r="I123" t="n">
        <v>0</v>
      </c>
      <c r="J123" t="n">
        <v>0</v>
      </c>
      <c r="K123" t="n">
        <v>0</v>
      </c>
      <c r="L123" t="n">
        <v>0</v>
      </c>
      <c r="M123" t="n">
        <v>0</v>
      </c>
      <c r="N123" t="n">
        <v>0</v>
      </c>
      <c r="O123" t="n">
        <v>0</v>
      </c>
      <c r="P123" t="n">
        <v>0</v>
      </c>
      <c r="Q123" t="n">
        <v>1</v>
      </c>
      <c r="R123" s="2" t="inlineStr">
        <is>
          <t>Blåsippa</t>
        </is>
      </c>
      <c r="S123">
        <f>HYPERLINK("https://klasma.github.io/Logging_0188/artfynd/A 60209-2021 artfynd.xlsx", "A 60209-2021")</f>
        <v/>
      </c>
      <c r="T123">
        <f>HYPERLINK("https://klasma.github.io/Logging_0188/kartor/A 60209-2021 karta.png", "A 60209-2021")</f>
        <v/>
      </c>
      <c r="V123">
        <f>HYPERLINK("https://klasma.github.io/Logging_0188/klagomål/A 60209-2021 FSC-klagomål.docx", "A 60209-2021")</f>
        <v/>
      </c>
      <c r="W123">
        <f>HYPERLINK("https://klasma.github.io/Logging_0188/klagomålsmail/A 60209-2021 FSC-klagomål mail.docx", "A 60209-2021")</f>
        <v/>
      </c>
      <c r="X123">
        <f>HYPERLINK("https://klasma.github.io/Logging_0188/tillsyn/A 60209-2021 tillsynsbegäran.docx", "A 60209-2021")</f>
        <v/>
      </c>
      <c r="Y123">
        <f>HYPERLINK("https://klasma.github.io/Logging_0188/tillsynsmail/A 60209-2021 tillsynsbegäran mail.docx", "A 60209-2021")</f>
        <v/>
      </c>
    </row>
    <row r="124" ht="15" customHeight="1">
      <c r="A124" t="inlineStr">
        <is>
          <t>A 53884-2022</t>
        </is>
      </c>
      <c r="B124" s="1" t="n">
        <v>44880</v>
      </c>
      <c r="C124" s="1" t="n">
        <v>46194</v>
      </c>
      <c r="D124" t="inlineStr">
        <is>
          <t>STOCKHOLMS LÄN</t>
        </is>
      </c>
      <c r="E124" t="inlineStr">
        <is>
          <t>NORRTÄLJE</t>
        </is>
      </c>
      <c r="G124" t="n">
        <v>0.6</v>
      </c>
      <c r="H124" t="n">
        <v>0</v>
      </c>
      <c r="I124" t="n">
        <v>0</v>
      </c>
      <c r="J124" t="n">
        <v>0</v>
      </c>
      <c r="K124" t="n">
        <v>1</v>
      </c>
      <c r="L124" t="n">
        <v>0</v>
      </c>
      <c r="M124" t="n">
        <v>0</v>
      </c>
      <c r="N124" t="n">
        <v>0</v>
      </c>
      <c r="O124" t="n">
        <v>1</v>
      </c>
      <c r="P124" t="n">
        <v>1</v>
      </c>
      <c r="Q124" t="n">
        <v>1</v>
      </c>
      <c r="R124" s="2" t="inlineStr">
        <is>
          <t>Hartmansstarr</t>
        </is>
      </c>
      <c r="S124">
        <f>HYPERLINK("https://klasma.github.io/Logging_0188/artfynd/A 53884-2022 artfynd.xlsx", "A 53884-2022")</f>
        <v/>
      </c>
      <c r="T124">
        <f>HYPERLINK("https://klasma.github.io/Logging_0188/kartor/A 53884-2022 karta.png", "A 53884-2022")</f>
        <v/>
      </c>
      <c r="V124">
        <f>HYPERLINK("https://klasma.github.io/Logging_0188/klagomål/A 53884-2022 FSC-klagomål.docx", "A 53884-2022")</f>
        <v/>
      </c>
      <c r="W124">
        <f>HYPERLINK("https://klasma.github.io/Logging_0188/klagomålsmail/A 53884-2022 FSC-klagomål mail.docx", "A 53884-2022")</f>
        <v/>
      </c>
      <c r="X124">
        <f>HYPERLINK("https://klasma.github.io/Logging_0188/tillsyn/A 53884-2022 tillsynsbegäran.docx", "A 53884-2022")</f>
        <v/>
      </c>
      <c r="Y124">
        <f>HYPERLINK("https://klasma.github.io/Logging_0188/tillsynsmail/A 53884-2022 tillsynsbegäran mail.docx", "A 53884-2022")</f>
        <v/>
      </c>
    </row>
    <row r="125" ht="15" customHeight="1">
      <c r="A125" t="inlineStr">
        <is>
          <t>A 17629-2022</t>
        </is>
      </c>
      <c r="B125" s="1" t="n">
        <v>44680</v>
      </c>
      <c r="C125" s="1" t="n">
        <v>46194</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64456-2023</t>
        </is>
      </c>
      <c r="B126" s="1" t="n">
        <v>45280</v>
      </c>
      <c r="C126" s="1" t="n">
        <v>46194</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4860-2022</t>
        </is>
      </c>
      <c r="B127" s="1" t="n">
        <v>44592</v>
      </c>
      <c r="C127" s="1" t="n">
        <v>46194</v>
      </c>
      <c r="D127" t="inlineStr">
        <is>
          <t>STOCKHOLMS LÄN</t>
        </is>
      </c>
      <c r="E127" t="inlineStr">
        <is>
          <t>NORRTÄLJE</t>
        </is>
      </c>
      <c r="G127" t="n">
        <v>22.3</v>
      </c>
      <c r="H127" t="n">
        <v>0</v>
      </c>
      <c r="I127" t="n">
        <v>0</v>
      </c>
      <c r="J127" t="n">
        <v>0</v>
      </c>
      <c r="K127" t="n">
        <v>1</v>
      </c>
      <c r="L127" t="n">
        <v>0</v>
      </c>
      <c r="M127" t="n">
        <v>0</v>
      </c>
      <c r="N127" t="n">
        <v>0</v>
      </c>
      <c r="O127" t="n">
        <v>1</v>
      </c>
      <c r="P127" t="n">
        <v>1</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38612-2022</t>
        </is>
      </c>
      <c r="B128" s="1" t="n">
        <v>44813</v>
      </c>
      <c r="C128" s="1" t="n">
        <v>46194</v>
      </c>
      <c r="D128" t="inlineStr">
        <is>
          <t>STOCKHOLMS LÄN</t>
        </is>
      </c>
      <c r="E128" t="inlineStr">
        <is>
          <t>NORRTÄLJE</t>
        </is>
      </c>
      <c r="G128" t="n">
        <v>1.7</v>
      </c>
      <c r="H128" t="n">
        <v>1</v>
      </c>
      <c r="I128" t="n">
        <v>0</v>
      </c>
      <c r="J128" t="n">
        <v>0</v>
      </c>
      <c r="K128" t="n">
        <v>1</v>
      </c>
      <c r="L128" t="n">
        <v>0</v>
      </c>
      <c r="M128" t="n">
        <v>0</v>
      </c>
      <c r="N128" t="n">
        <v>0</v>
      </c>
      <c r="O128" t="n">
        <v>1</v>
      </c>
      <c r="P128" t="n">
        <v>1</v>
      </c>
      <c r="Q128" t="n">
        <v>1</v>
      </c>
      <c r="R128" s="2" t="inlineStr">
        <is>
          <t>Hällebräcka</t>
        </is>
      </c>
      <c r="S128">
        <f>HYPERLINK("https://klasma.github.io/Logging_0188/artfynd/A 38612-2022 artfynd.xlsx", "A 38612-2022")</f>
        <v/>
      </c>
      <c r="T128">
        <f>HYPERLINK("https://klasma.github.io/Logging_0188/kartor/A 38612-2022 karta.png", "A 38612-2022")</f>
        <v/>
      </c>
      <c r="V128">
        <f>HYPERLINK("https://klasma.github.io/Logging_0188/klagomål/A 38612-2022 FSC-klagomål.docx", "A 38612-2022")</f>
        <v/>
      </c>
      <c r="W128">
        <f>HYPERLINK("https://klasma.github.io/Logging_0188/klagomålsmail/A 38612-2022 FSC-klagomål mail.docx", "A 38612-2022")</f>
        <v/>
      </c>
      <c r="X128">
        <f>HYPERLINK("https://klasma.github.io/Logging_0188/tillsyn/A 38612-2022 tillsynsbegäran.docx", "A 38612-2022")</f>
        <v/>
      </c>
      <c r="Y128">
        <f>HYPERLINK("https://klasma.github.io/Logging_0188/tillsynsmail/A 38612-2022 tillsynsbegäran mail.docx", "A 38612-2022")</f>
        <v/>
      </c>
    </row>
    <row r="129" ht="15" customHeight="1">
      <c r="A129" t="inlineStr">
        <is>
          <t>A 52139-2022</t>
        </is>
      </c>
      <c r="B129" s="1" t="n">
        <v>44868</v>
      </c>
      <c r="C129" s="1" t="n">
        <v>46194</v>
      </c>
      <c r="D129" t="inlineStr">
        <is>
          <t>STOCKHOLMS LÄN</t>
        </is>
      </c>
      <c r="E129" t="inlineStr">
        <is>
          <t>NORRTÄLJE</t>
        </is>
      </c>
      <c r="G129" t="n">
        <v>3.2</v>
      </c>
      <c r="H129" t="n">
        <v>1</v>
      </c>
      <c r="I129" t="n">
        <v>0</v>
      </c>
      <c r="J129" t="n">
        <v>0</v>
      </c>
      <c r="K129" t="n">
        <v>1</v>
      </c>
      <c r="L129" t="n">
        <v>0</v>
      </c>
      <c r="M129" t="n">
        <v>0</v>
      </c>
      <c r="N129" t="n">
        <v>0</v>
      </c>
      <c r="O129" t="n">
        <v>1</v>
      </c>
      <c r="P129" t="n">
        <v>1</v>
      </c>
      <c r="Q129" t="n">
        <v>1</v>
      </c>
      <c r="R129" s="2" t="inlineStr">
        <is>
          <t>Knärot</t>
        </is>
      </c>
      <c r="S129">
        <f>HYPERLINK("https://klasma.github.io/Logging_0188/artfynd/A 52139-2022 artfynd.xlsx", "A 52139-2022")</f>
        <v/>
      </c>
      <c r="T129">
        <f>HYPERLINK("https://klasma.github.io/Logging_0188/kartor/A 52139-2022 karta.png", "A 52139-2022")</f>
        <v/>
      </c>
      <c r="U129">
        <f>HYPERLINK("https://klasma.github.io/Logging_0188/knärot/A 52139-2022 karta knärot.png", "A 52139-2022")</f>
        <v/>
      </c>
      <c r="V129">
        <f>HYPERLINK("https://klasma.github.io/Logging_0188/klagomål/A 52139-2022 FSC-klagomål.docx", "A 52139-2022")</f>
        <v/>
      </c>
      <c r="W129">
        <f>HYPERLINK("https://klasma.github.io/Logging_0188/klagomålsmail/A 52139-2022 FSC-klagomål mail.docx", "A 52139-2022")</f>
        <v/>
      </c>
      <c r="X129">
        <f>HYPERLINK("https://klasma.github.io/Logging_0188/tillsyn/A 52139-2022 tillsynsbegäran.docx", "A 52139-2022")</f>
        <v/>
      </c>
      <c r="Y129">
        <f>HYPERLINK("https://klasma.github.io/Logging_0188/tillsynsmail/A 52139-2022 tillsynsbegäran mail.docx", "A 52139-2022")</f>
        <v/>
      </c>
    </row>
    <row r="130" ht="15" customHeight="1">
      <c r="A130" t="inlineStr">
        <is>
          <t>A 12348-2025</t>
        </is>
      </c>
      <c r="B130" s="1" t="n">
        <v>45730</v>
      </c>
      <c r="C130" s="1" t="n">
        <v>46194</v>
      </c>
      <c r="D130" t="inlineStr">
        <is>
          <t>STOCKHOLMS LÄN</t>
        </is>
      </c>
      <c r="E130" t="inlineStr">
        <is>
          <t>NORRTÄLJE</t>
        </is>
      </c>
      <c r="G130" t="n">
        <v>1.5</v>
      </c>
      <c r="H130" t="n">
        <v>0</v>
      </c>
      <c r="I130" t="n">
        <v>0</v>
      </c>
      <c r="J130" t="n">
        <v>0</v>
      </c>
      <c r="K130" t="n">
        <v>1</v>
      </c>
      <c r="L130" t="n">
        <v>0</v>
      </c>
      <c r="M130" t="n">
        <v>0</v>
      </c>
      <c r="N130" t="n">
        <v>0</v>
      </c>
      <c r="O130" t="n">
        <v>1</v>
      </c>
      <c r="P130" t="n">
        <v>1</v>
      </c>
      <c r="Q130" t="n">
        <v>1</v>
      </c>
      <c r="R130" s="2" t="inlineStr">
        <is>
          <t>Plattsäv</t>
        </is>
      </c>
      <c r="S130">
        <f>HYPERLINK("https://klasma.github.io/Logging_0188/artfynd/A 12348-2025 artfynd.xlsx", "A 12348-2025")</f>
        <v/>
      </c>
      <c r="T130">
        <f>HYPERLINK("https://klasma.github.io/Logging_0188/kartor/A 12348-2025 karta.png", "A 12348-2025")</f>
        <v/>
      </c>
      <c r="V130">
        <f>HYPERLINK("https://klasma.github.io/Logging_0188/klagomål/A 12348-2025 FSC-klagomål.docx", "A 12348-2025")</f>
        <v/>
      </c>
      <c r="W130">
        <f>HYPERLINK("https://klasma.github.io/Logging_0188/klagomålsmail/A 12348-2025 FSC-klagomål mail.docx", "A 12348-2025")</f>
        <v/>
      </c>
      <c r="X130">
        <f>HYPERLINK("https://klasma.github.io/Logging_0188/tillsyn/A 12348-2025 tillsynsbegäran.docx", "A 12348-2025")</f>
        <v/>
      </c>
      <c r="Y130">
        <f>HYPERLINK("https://klasma.github.io/Logging_0188/tillsynsmail/A 12348-2025 tillsynsbegäran mail.docx", "A 12348-2025")</f>
        <v/>
      </c>
    </row>
    <row r="131" ht="15" customHeight="1">
      <c r="A131" t="inlineStr">
        <is>
          <t>A 13860-2023</t>
        </is>
      </c>
      <c r="B131" s="1" t="n">
        <v>45007</v>
      </c>
      <c r="C131" s="1" t="n">
        <v>46194</v>
      </c>
      <c r="D131" t="inlineStr">
        <is>
          <t>STOCKHOLMS LÄN</t>
        </is>
      </c>
      <c r="E131" t="inlineStr">
        <is>
          <t>NORRTÄLJE</t>
        </is>
      </c>
      <c r="G131" t="n">
        <v>1.6</v>
      </c>
      <c r="H131" t="n">
        <v>0</v>
      </c>
      <c r="I131" t="n">
        <v>0</v>
      </c>
      <c r="J131" t="n">
        <v>0</v>
      </c>
      <c r="K131" t="n">
        <v>0</v>
      </c>
      <c r="L131" t="n">
        <v>0</v>
      </c>
      <c r="M131" t="n">
        <v>1</v>
      </c>
      <c r="N131" t="n">
        <v>0</v>
      </c>
      <c r="O131" t="n">
        <v>1</v>
      </c>
      <c r="P131" t="n">
        <v>1</v>
      </c>
      <c r="Q131" t="n">
        <v>1</v>
      </c>
      <c r="R131" s="2" t="inlineStr">
        <is>
          <t>Äkta stormhatt</t>
        </is>
      </c>
      <c r="S131">
        <f>HYPERLINK("https://klasma.github.io/Logging_0188/artfynd/A 13860-2023 artfynd.xlsx", "A 13860-2023")</f>
        <v/>
      </c>
      <c r="T131">
        <f>HYPERLINK("https://klasma.github.io/Logging_0188/kartor/A 13860-2023 karta.png", "A 13860-2023")</f>
        <v/>
      </c>
      <c r="V131">
        <f>HYPERLINK("https://klasma.github.io/Logging_0188/klagomål/A 13860-2023 FSC-klagomål.docx", "A 13860-2023")</f>
        <v/>
      </c>
      <c r="W131">
        <f>HYPERLINK("https://klasma.github.io/Logging_0188/klagomålsmail/A 13860-2023 FSC-klagomål mail.docx", "A 13860-2023")</f>
        <v/>
      </c>
      <c r="X131">
        <f>HYPERLINK("https://klasma.github.io/Logging_0188/tillsyn/A 13860-2023 tillsynsbegäran.docx", "A 13860-2023")</f>
        <v/>
      </c>
      <c r="Y131">
        <f>HYPERLINK("https://klasma.github.io/Logging_0188/tillsynsmail/A 13860-2023 tillsynsbegäran mail.docx", "A 13860-2023")</f>
        <v/>
      </c>
    </row>
    <row r="132" ht="15" customHeight="1">
      <c r="A132" t="inlineStr">
        <is>
          <t>A 32111-2022</t>
        </is>
      </c>
      <c r="B132" s="1" t="n">
        <v>44778</v>
      </c>
      <c r="C132" s="1" t="n">
        <v>46194</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43150-2023</t>
        </is>
      </c>
      <c r="B133" s="1" t="n">
        <v>45183</v>
      </c>
      <c r="C133" s="1" t="n">
        <v>46194</v>
      </c>
      <c r="D133" t="inlineStr">
        <is>
          <t>STOCKHOLMS LÄN</t>
        </is>
      </c>
      <c r="E133" t="inlineStr">
        <is>
          <t>NORRTÄLJE</t>
        </is>
      </c>
      <c r="G133" t="n">
        <v>2.4</v>
      </c>
      <c r="H133" t="n">
        <v>0</v>
      </c>
      <c r="I133" t="n">
        <v>0</v>
      </c>
      <c r="J133" t="n">
        <v>0</v>
      </c>
      <c r="K133" t="n">
        <v>0</v>
      </c>
      <c r="L133" t="n">
        <v>1</v>
      </c>
      <c r="M133" t="n">
        <v>0</v>
      </c>
      <c r="N133" t="n">
        <v>0</v>
      </c>
      <c r="O133" t="n">
        <v>1</v>
      </c>
      <c r="P133" t="n">
        <v>1</v>
      </c>
      <c r="Q133" t="n">
        <v>1</v>
      </c>
      <c r="R133" s="2" t="inlineStr">
        <is>
          <t>Skogsalm</t>
        </is>
      </c>
      <c r="S133">
        <f>HYPERLINK("https://klasma.github.io/Logging_0188/artfynd/A 43150-2023 artfynd.xlsx", "A 43150-2023")</f>
        <v/>
      </c>
      <c r="T133">
        <f>HYPERLINK("https://klasma.github.io/Logging_0188/kartor/A 43150-2023 karta.png", "A 43150-2023")</f>
        <v/>
      </c>
      <c r="V133">
        <f>HYPERLINK("https://klasma.github.io/Logging_0188/klagomål/A 43150-2023 FSC-klagomål.docx", "A 43150-2023")</f>
        <v/>
      </c>
      <c r="W133">
        <f>HYPERLINK("https://klasma.github.io/Logging_0188/klagomålsmail/A 43150-2023 FSC-klagomål mail.docx", "A 43150-2023")</f>
        <v/>
      </c>
      <c r="X133">
        <f>HYPERLINK("https://klasma.github.io/Logging_0188/tillsyn/A 43150-2023 tillsynsbegäran.docx", "A 43150-2023")</f>
        <v/>
      </c>
      <c r="Y133">
        <f>HYPERLINK("https://klasma.github.io/Logging_0188/tillsynsmail/A 43150-2023 tillsynsbegäran mail.docx", "A 43150-2023")</f>
        <v/>
      </c>
    </row>
    <row r="134" ht="15" customHeight="1">
      <c r="A134" t="inlineStr">
        <is>
          <t>A 52611-2024</t>
        </is>
      </c>
      <c r="B134" s="1" t="n">
        <v>45609</v>
      </c>
      <c r="C134" s="1" t="n">
        <v>46194</v>
      </c>
      <c r="D134" t="inlineStr">
        <is>
          <t>STOCKHOLMS LÄN</t>
        </is>
      </c>
      <c r="E134" t="inlineStr">
        <is>
          <t>NORRTÄLJE</t>
        </is>
      </c>
      <c r="G134" t="n">
        <v>10.6</v>
      </c>
      <c r="H134" t="n">
        <v>1</v>
      </c>
      <c r="I134" t="n">
        <v>0</v>
      </c>
      <c r="J134" t="n">
        <v>0</v>
      </c>
      <c r="K134" t="n">
        <v>0</v>
      </c>
      <c r="L134" t="n">
        <v>0</v>
      </c>
      <c r="M134" t="n">
        <v>0</v>
      </c>
      <c r="N134" t="n">
        <v>0</v>
      </c>
      <c r="O134" t="n">
        <v>0</v>
      </c>
      <c r="P134" t="n">
        <v>0</v>
      </c>
      <c r="Q134" t="n">
        <v>1</v>
      </c>
      <c r="R134" s="2" t="inlineStr">
        <is>
          <t>Blåsippa</t>
        </is>
      </c>
      <c r="S134">
        <f>HYPERLINK("https://klasma.github.io/Logging_0188/artfynd/A 52611-2024 artfynd.xlsx", "A 52611-2024")</f>
        <v/>
      </c>
      <c r="T134">
        <f>HYPERLINK("https://klasma.github.io/Logging_0188/kartor/A 52611-2024 karta.png", "A 52611-2024")</f>
        <v/>
      </c>
      <c r="V134">
        <f>HYPERLINK("https://klasma.github.io/Logging_0188/klagomål/A 52611-2024 FSC-klagomål.docx", "A 52611-2024")</f>
        <v/>
      </c>
      <c r="W134">
        <f>HYPERLINK("https://klasma.github.io/Logging_0188/klagomålsmail/A 52611-2024 FSC-klagomål mail.docx", "A 52611-2024")</f>
        <v/>
      </c>
      <c r="X134">
        <f>HYPERLINK("https://klasma.github.io/Logging_0188/tillsyn/A 52611-2024 tillsynsbegäran.docx", "A 52611-2024")</f>
        <v/>
      </c>
      <c r="Y134">
        <f>HYPERLINK("https://klasma.github.io/Logging_0188/tillsynsmail/A 52611-2024 tillsynsbegäran mail.docx", "A 52611-2024")</f>
        <v/>
      </c>
    </row>
    <row r="135" ht="15" customHeight="1">
      <c r="A135" t="inlineStr">
        <is>
          <t>A 50907-2022</t>
        </is>
      </c>
      <c r="B135" s="1" t="n">
        <v>44867</v>
      </c>
      <c r="C135" s="1" t="n">
        <v>46194</v>
      </c>
      <c r="D135" t="inlineStr">
        <is>
          <t>STOCKHOLMS LÄN</t>
        </is>
      </c>
      <c r="E135" t="inlineStr">
        <is>
          <t>NORRTÄLJE</t>
        </is>
      </c>
      <c r="G135" t="n">
        <v>8.199999999999999</v>
      </c>
      <c r="H135" t="n">
        <v>0</v>
      </c>
      <c r="I135" t="n">
        <v>1</v>
      </c>
      <c r="J135" t="n">
        <v>0</v>
      </c>
      <c r="K135" t="n">
        <v>0</v>
      </c>
      <c r="L135" t="n">
        <v>0</v>
      </c>
      <c r="M135" t="n">
        <v>0</v>
      </c>
      <c r="N135" t="n">
        <v>0</v>
      </c>
      <c r="O135" t="n">
        <v>0</v>
      </c>
      <c r="P135" t="n">
        <v>0</v>
      </c>
      <c r="Q135" t="n">
        <v>1</v>
      </c>
      <c r="R135" s="2" t="inlineStr">
        <is>
          <t>Tibast</t>
        </is>
      </c>
      <c r="S135">
        <f>HYPERLINK("https://klasma.github.io/Logging_0188/artfynd/A 50907-2022 artfynd.xlsx", "A 50907-2022")</f>
        <v/>
      </c>
      <c r="T135">
        <f>HYPERLINK("https://klasma.github.io/Logging_0188/kartor/A 50907-2022 karta.png", "A 50907-2022")</f>
        <v/>
      </c>
      <c r="V135">
        <f>HYPERLINK("https://klasma.github.io/Logging_0188/klagomål/A 50907-2022 FSC-klagomål.docx", "A 50907-2022")</f>
        <v/>
      </c>
      <c r="W135">
        <f>HYPERLINK("https://klasma.github.io/Logging_0188/klagomålsmail/A 50907-2022 FSC-klagomål mail.docx", "A 50907-2022")</f>
        <v/>
      </c>
      <c r="X135">
        <f>HYPERLINK("https://klasma.github.io/Logging_0188/tillsyn/A 50907-2022 tillsynsbegäran.docx", "A 50907-2022")</f>
        <v/>
      </c>
      <c r="Y135">
        <f>HYPERLINK("https://klasma.github.io/Logging_0188/tillsynsmail/A 50907-2022 tillsynsbegäran mail.docx", "A 50907-2022")</f>
        <v/>
      </c>
    </row>
    <row r="136" ht="15" customHeight="1">
      <c r="A136" t="inlineStr">
        <is>
          <t>A 51978-2023</t>
        </is>
      </c>
      <c r="B136" s="1" t="n">
        <v>45223</v>
      </c>
      <c r="C136" s="1" t="n">
        <v>46194</v>
      </c>
      <c r="D136" t="inlineStr">
        <is>
          <t>STOCKHOLMS LÄN</t>
        </is>
      </c>
      <c r="E136" t="inlineStr">
        <is>
          <t>NORRTÄLJE</t>
        </is>
      </c>
      <c r="G136" t="n">
        <v>1.9</v>
      </c>
      <c r="H136" t="n">
        <v>1</v>
      </c>
      <c r="I136" t="n">
        <v>1</v>
      </c>
      <c r="J136" t="n">
        <v>0</v>
      </c>
      <c r="K136" t="n">
        <v>0</v>
      </c>
      <c r="L136" t="n">
        <v>0</v>
      </c>
      <c r="M136" t="n">
        <v>0</v>
      </c>
      <c r="N136" t="n">
        <v>0</v>
      </c>
      <c r="O136" t="n">
        <v>0</v>
      </c>
      <c r="P136" t="n">
        <v>0</v>
      </c>
      <c r="Q136" t="n">
        <v>1</v>
      </c>
      <c r="R136" s="2" t="inlineStr">
        <is>
          <t>Skogsknipprot</t>
        </is>
      </c>
      <c r="S136">
        <f>HYPERLINK("https://klasma.github.io/Logging_0188/artfynd/A 51978-2023 artfynd.xlsx", "A 51978-2023")</f>
        <v/>
      </c>
      <c r="T136">
        <f>HYPERLINK("https://klasma.github.io/Logging_0188/kartor/A 51978-2023 karta.png", "A 51978-2023")</f>
        <v/>
      </c>
      <c r="V136">
        <f>HYPERLINK("https://klasma.github.io/Logging_0188/klagomål/A 51978-2023 FSC-klagomål.docx", "A 51978-2023")</f>
        <v/>
      </c>
      <c r="W136">
        <f>HYPERLINK("https://klasma.github.io/Logging_0188/klagomålsmail/A 51978-2023 FSC-klagomål mail.docx", "A 51978-2023")</f>
        <v/>
      </c>
      <c r="X136">
        <f>HYPERLINK("https://klasma.github.io/Logging_0188/tillsyn/A 51978-2023 tillsynsbegäran.docx", "A 51978-2023")</f>
        <v/>
      </c>
      <c r="Y136">
        <f>HYPERLINK("https://klasma.github.io/Logging_0188/tillsynsmail/A 51978-2023 tillsynsbegäran mail.docx", "A 51978-2023")</f>
        <v/>
      </c>
    </row>
    <row r="137" ht="15" customHeight="1">
      <c r="A137" t="inlineStr">
        <is>
          <t>A 5823-2023</t>
        </is>
      </c>
      <c r="B137" s="1" t="n">
        <v>44963</v>
      </c>
      <c r="C137" s="1" t="n">
        <v>46194</v>
      </c>
      <c r="D137" t="inlineStr">
        <is>
          <t>STOCKHOLMS LÄN</t>
        </is>
      </c>
      <c r="E137" t="inlineStr">
        <is>
          <t>NORRTÄLJE</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HYPERLINK("https://klasma.github.io/Logging_0188/artfynd/A 5823-2023 artfynd.xlsx", "A 5823-2023")</f>
        <v/>
      </c>
      <c r="T137">
        <f>HYPERLINK("https://klasma.github.io/Logging_0188/kartor/A 5823-2023 karta.png", "A 5823-2023")</f>
        <v/>
      </c>
      <c r="V137">
        <f>HYPERLINK("https://klasma.github.io/Logging_0188/klagomål/A 5823-2023 FSC-klagomål.docx", "A 5823-2023")</f>
        <v/>
      </c>
      <c r="W137">
        <f>HYPERLINK("https://klasma.github.io/Logging_0188/klagomålsmail/A 5823-2023 FSC-klagomål mail.docx", "A 5823-2023")</f>
        <v/>
      </c>
      <c r="X137">
        <f>HYPERLINK("https://klasma.github.io/Logging_0188/tillsyn/A 5823-2023 tillsynsbegäran.docx", "A 5823-2023")</f>
        <v/>
      </c>
      <c r="Y137">
        <f>HYPERLINK("https://klasma.github.io/Logging_0188/tillsynsmail/A 5823-2023 tillsynsbegäran mail.docx", "A 5823-2023")</f>
        <v/>
      </c>
    </row>
    <row r="138" ht="15" customHeight="1">
      <c r="A138" t="inlineStr">
        <is>
          <t>A 30731-2023</t>
        </is>
      </c>
      <c r="B138" s="1" t="n">
        <v>45112</v>
      </c>
      <c r="C138" s="1" t="n">
        <v>46194</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30731-2023 artfynd.xlsx", "A 30731-2023")</f>
        <v/>
      </c>
      <c r="T138">
        <f>HYPERLINK("https://klasma.github.io/Logging_0188/kartor/A 30731-2023 karta.png", "A 30731-2023")</f>
        <v/>
      </c>
      <c r="V138">
        <f>HYPERLINK("https://klasma.github.io/Logging_0188/klagomål/A 30731-2023 FSC-klagomål.docx", "A 30731-2023")</f>
        <v/>
      </c>
      <c r="W138">
        <f>HYPERLINK("https://klasma.github.io/Logging_0188/klagomålsmail/A 30731-2023 FSC-klagomål mail.docx", "A 30731-2023")</f>
        <v/>
      </c>
      <c r="X138">
        <f>HYPERLINK("https://klasma.github.io/Logging_0188/tillsyn/A 30731-2023 tillsynsbegäran.docx", "A 30731-2023")</f>
        <v/>
      </c>
      <c r="Y138">
        <f>HYPERLINK("https://klasma.github.io/Logging_0188/tillsynsmail/A 30731-2023 tillsynsbegäran mail.docx", "A 30731-2023")</f>
        <v/>
      </c>
    </row>
    <row r="139" ht="15" customHeight="1">
      <c r="A139" t="inlineStr">
        <is>
          <t>A 58888-2021</t>
        </is>
      </c>
      <c r="B139" s="1" t="n">
        <v>44489</v>
      </c>
      <c r="C139" s="1" t="n">
        <v>46194</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55952-2024</t>
        </is>
      </c>
      <c r="B140" s="1" t="n">
        <v>45623</v>
      </c>
      <c r="C140" s="1" t="n">
        <v>46194</v>
      </c>
      <c r="D140" t="inlineStr">
        <is>
          <t>STOCKHOLMS LÄN</t>
        </is>
      </c>
      <c r="E140" t="inlineStr">
        <is>
          <t>NORRTÄLJE</t>
        </is>
      </c>
      <c r="F140" t="inlineStr">
        <is>
          <t>Holmen skog AB</t>
        </is>
      </c>
      <c r="G140" t="n">
        <v>2.8</v>
      </c>
      <c r="H140" t="n">
        <v>1</v>
      </c>
      <c r="I140" t="n">
        <v>0</v>
      </c>
      <c r="J140" t="n">
        <v>0</v>
      </c>
      <c r="K140" t="n">
        <v>0</v>
      </c>
      <c r="L140" t="n">
        <v>1</v>
      </c>
      <c r="M140" t="n">
        <v>0</v>
      </c>
      <c r="N140" t="n">
        <v>0</v>
      </c>
      <c r="O140" t="n">
        <v>1</v>
      </c>
      <c r="P140" t="n">
        <v>1</v>
      </c>
      <c r="Q140" t="n">
        <v>1</v>
      </c>
      <c r="R140" s="2" t="inlineStr">
        <is>
          <t>Asknätfjäril</t>
        </is>
      </c>
      <c r="S140">
        <f>HYPERLINK("https://klasma.github.io/Logging_0188/artfynd/A 55952-2024 artfynd.xlsx", "A 55952-2024")</f>
        <v/>
      </c>
      <c r="T140">
        <f>HYPERLINK("https://klasma.github.io/Logging_0188/kartor/A 55952-2024 karta.png", "A 55952-2024")</f>
        <v/>
      </c>
      <c r="V140">
        <f>HYPERLINK("https://klasma.github.io/Logging_0188/klagomål/A 55952-2024 FSC-klagomål.docx", "A 55952-2024")</f>
        <v/>
      </c>
      <c r="W140">
        <f>HYPERLINK("https://klasma.github.io/Logging_0188/klagomålsmail/A 55952-2024 FSC-klagomål mail.docx", "A 55952-2024")</f>
        <v/>
      </c>
      <c r="X140">
        <f>HYPERLINK("https://klasma.github.io/Logging_0188/tillsyn/A 55952-2024 tillsynsbegäran.docx", "A 55952-2024")</f>
        <v/>
      </c>
      <c r="Y140">
        <f>HYPERLINK("https://klasma.github.io/Logging_0188/tillsynsmail/A 55952-2024 tillsynsbegäran mail.docx", "A 55952-2024")</f>
        <v/>
      </c>
    </row>
    <row r="141" ht="15" customHeight="1">
      <c r="A141" t="inlineStr">
        <is>
          <t>A 35161-2022</t>
        </is>
      </c>
      <c r="B141" s="1" t="n">
        <v>44797</v>
      </c>
      <c r="C141" s="1" t="n">
        <v>46194</v>
      </c>
      <c r="D141" t="inlineStr">
        <is>
          <t>STOCKHOLMS LÄN</t>
        </is>
      </c>
      <c r="E141" t="inlineStr">
        <is>
          <t>NORRTÄLJE</t>
        </is>
      </c>
      <c r="G141" t="n">
        <v>6</v>
      </c>
      <c r="H141" t="n">
        <v>1</v>
      </c>
      <c r="I141" t="n">
        <v>1</v>
      </c>
      <c r="J141" t="n">
        <v>0</v>
      </c>
      <c r="K141" t="n">
        <v>0</v>
      </c>
      <c r="L141" t="n">
        <v>0</v>
      </c>
      <c r="M141" t="n">
        <v>0</v>
      </c>
      <c r="N141" t="n">
        <v>0</v>
      </c>
      <c r="O141" t="n">
        <v>0</v>
      </c>
      <c r="P141" t="n">
        <v>0</v>
      </c>
      <c r="Q141" t="n">
        <v>1</v>
      </c>
      <c r="R141" s="2" t="inlineStr">
        <is>
          <t>Skogsknipprot</t>
        </is>
      </c>
      <c r="S141">
        <f>HYPERLINK("https://klasma.github.io/Logging_0188/artfynd/A 35161-2022 artfynd.xlsx", "A 35161-2022")</f>
        <v/>
      </c>
      <c r="T141">
        <f>HYPERLINK("https://klasma.github.io/Logging_0188/kartor/A 35161-2022 karta.png", "A 35161-2022")</f>
        <v/>
      </c>
      <c r="V141">
        <f>HYPERLINK("https://klasma.github.io/Logging_0188/klagomål/A 35161-2022 FSC-klagomål.docx", "A 35161-2022")</f>
        <v/>
      </c>
      <c r="W141">
        <f>HYPERLINK("https://klasma.github.io/Logging_0188/klagomålsmail/A 35161-2022 FSC-klagomål mail.docx", "A 35161-2022")</f>
        <v/>
      </c>
      <c r="X141">
        <f>HYPERLINK("https://klasma.github.io/Logging_0188/tillsyn/A 35161-2022 tillsynsbegäran.docx", "A 35161-2022")</f>
        <v/>
      </c>
      <c r="Y141">
        <f>HYPERLINK("https://klasma.github.io/Logging_0188/tillsynsmail/A 35161-2022 tillsynsbegäran mail.docx", "A 35161-2022")</f>
        <v/>
      </c>
    </row>
    <row r="142" ht="15" customHeight="1">
      <c r="A142" t="inlineStr">
        <is>
          <t>A 24245-2024</t>
        </is>
      </c>
      <c r="B142" s="1" t="n">
        <v>45457</v>
      </c>
      <c r="C142" s="1" t="n">
        <v>46194</v>
      </c>
      <c r="D142" t="inlineStr">
        <is>
          <t>STOCKHOLMS LÄN</t>
        </is>
      </c>
      <c r="E142" t="inlineStr">
        <is>
          <t>NORRTÄLJE</t>
        </is>
      </c>
      <c r="F142" t="inlineStr">
        <is>
          <t>Holmen skog AB</t>
        </is>
      </c>
      <c r="G142" t="n">
        <v>3.4</v>
      </c>
      <c r="H142" t="n">
        <v>1</v>
      </c>
      <c r="I142" t="n">
        <v>0</v>
      </c>
      <c r="J142" t="n">
        <v>0</v>
      </c>
      <c r="K142" t="n">
        <v>1</v>
      </c>
      <c r="L142" t="n">
        <v>0</v>
      </c>
      <c r="M142" t="n">
        <v>0</v>
      </c>
      <c r="N142" t="n">
        <v>0</v>
      </c>
      <c r="O142" t="n">
        <v>1</v>
      </c>
      <c r="P142" t="n">
        <v>1</v>
      </c>
      <c r="Q142" t="n">
        <v>1</v>
      </c>
      <c r="R142" s="2" t="inlineStr">
        <is>
          <t>Hällebräcka</t>
        </is>
      </c>
      <c r="S142">
        <f>HYPERLINK("https://klasma.github.io/Logging_0188/artfynd/A 24245-2024 artfynd.xlsx", "A 24245-2024")</f>
        <v/>
      </c>
      <c r="T142">
        <f>HYPERLINK("https://klasma.github.io/Logging_0188/kartor/A 24245-2024 karta.png", "A 24245-2024")</f>
        <v/>
      </c>
      <c r="V142">
        <f>HYPERLINK("https://klasma.github.io/Logging_0188/klagomål/A 24245-2024 FSC-klagomål.docx", "A 24245-2024")</f>
        <v/>
      </c>
      <c r="W142">
        <f>HYPERLINK("https://klasma.github.io/Logging_0188/klagomålsmail/A 24245-2024 FSC-klagomål mail.docx", "A 24245-2024")</f>
        <v/>
      </c>
      <c r="X142">
        <f>HYPERLINK("https://klasma.github.io/Logging_0188/tillsyn/A 24245-2024 tillsynsbegäran.docx", "A 24245-2024")</f>
        <v/>
      </c>
      <c r="Y142">
        <f>HYPERLINK("https://klasma.github.io/Logging_0188/tillsynsmail/A 24245-2024 tillsynsbegäran mail.docx", "A 24245-2024")</f>
        <v/>
      </c>
    </row>
    <row r="143" ht="15" customHeight="1">
      <c r="A143" t="inlineStr">
        <is>
          <t>A 58993-2022</t>
        </is>
      </c>
      <c r="B143" s="1" t="n">
        <v>44903</v>
      </c>
      <c r="C143" s="1" t="n">
        <v>46194</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Rödlånke</t>
        </is>
      </c>
      <c r="S143">
        <f>HYPERLINK("https://klasma.github.io/Logging_0188/artfynd/A 58993-2022 artfynd.xlsx", "A 58993-2022")</f>
        <v/>
      </c>
      <c r="T143">
        <f>HYPERLINK("https://klasma.github.io/Logging_0188/kartor/A 58993-2022 karta.png", "A 58993-2022")</f>
        <v/>
      </c>
      <c r="V143">
        <f>HYPERLINK("https://klasma.github.io/Logging_0188/klagomål/A 58993-2022 FSC-klagomål.docx", "A 58993-2022")</f>
        <v/>
      </c>
      <c r="W143">
        <f>HYPERLINK("https://klasma.github.io/Logging_0188/klagomålsmail/A 58993-2022 FSC-klagomål mail.docx", "A 58993-2022")</f>
        <v/>
      </c>
      <c r="X143">
        <f>HYPERLINK("https://klasma.github.io/Logging_0188/tillsyn/A 58993-2022 tillsynsbegäran.docx", "A 58993-2022")</f>
        <v/>
      </c>
      <c r="Y143">
        <f>HYPERLINK("https://klasma.github.io/Logging_0188/tillsynsmail/A 58993-2022 tillsynsbegäran mail.docx", "A 58993-2022")</f>
        <v/>
      </c>
    </row>
    <row r="144" ht="15" customHeight="1">
      <c r="A144" t="inlineStr">
        <is>
          <t>A 48131-2023</t>
        </is>
      </c>
      <c r="B144" s="1" t="n">
        <v>45205</v>
      </c>
      <c r="C144" s="1" t="n">
        <v>46194</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52260-2022</t>
        </is>
      </c>
      <c r="B145" s="1" t="n">
        <v>44869</v>
      </c>
      <c r="C145" s="1" t="n">
        <v>46194</v>
      </c>
      <c r="D145" t="inlineStr">
        <is>
          <t>STOCKHOLMS LÄN</t>
        </is>
      </c>
      <c r="E145" t="inlineStr">
        <is>
          <t>NORRTÄLJE</t>
        </is>
      </c>
      <c r="G145" t="n">
        <v>3.1</v>
      </c>
      <c r="H145" t="n">
        <v>1</v>
      </c>
      <c r="I145" t="n">
        <v>0</v>
      </c>
      <c r="J145" t="n">
        <v>0</v>
      </c>
      <c r="K145" t="n">
        <v>0</v>
      </c>
      <c r="L145" t="n">
        <v>0</v>
      </c>
      <c r="M145" t="n">
        <v>0</v>
      </c>
      <c r="N145" t="n">
        <v>0</v>
      </c>
      <c r="O145" t="n">
        <v>0</v>
      </c>
      <c r="P145" t="n">
        <v>0</v>
      </c>
      <c r="Q145" t="n">
        <v>1</v>
      </c>
      <c r="R145" s="2" t="inlineStr">
        <is>
          <t>Blåsippa</t>
        </is>
      </c>
      <c r="S145">
        <f>HYPERLINK("https://klasma.github.io/Logging_0188/artfynd/A 52260-2022 artfynd.xlsx", "A 52260-2022")</f>
        <v/>
      </c>
      <c r="T145">
        <f>HYPERLINK("https://klasma.github.io/Logging_0188/kartor/A 52260-2022 karta.png", "A 52260-2022")</f>
        <v/>
      </c>
      <c r="V145">
        <f>HYPERLINK("https://klasma.github.io/Logging_0188/klagomål/A 52260-2022 FSC-klagomål.docx", "A 52260-2022")</f>
        <v/>
      </c>
      <c r="W145">
        <f>HYPERLINK("https://klasma.github.io/Logging_0188/klagomålsmail/A 52260-2022 FSC-klagomål mail.docx", "A 52260-2022")</f>
        <v/>
      </c>
      <c r="X145">
        <f>HYPERLINK("https://klasma.github.io/Logging_0188/tillsyn/A 52260-2022 tillsynsbegäran.docx", "A 52260-2022")</f>
        <v/>
      </c>
      <c r="Y145">
        <f>HYPERLINK("https://klasma.github.io/Logging_0188/tillsynsmail/A 52260-2022 tillsynsbegäran mail.docx", "A 52260-2022")</f>
        <v/>
      </c>
    </row>
    <row r="146" ht="15" customHeight="1">
      <c r="A146" t="inlineStr">
        <is>
          <t>A 40861-2025</t>
        </is>
      </c>
      <c r="B146" s="1" t="n">
        <v>45897</v>
      </c>
      <c r="C146" s="1" t="n">
        <v>46194</v>
      </c>
      <c r="D146" t="inlineStr">
        <is>
          <t>STOCKHOLMS LÄN</t>
        </is>
      </c>
      <c r="E146" t="inlineStr">
        <is>
          <t>NORRTÄLJE</t>
        </is>
      </c>
      <c r="G146" t="n">
        <v>4</v>
      </c>
      <c r="H146" t="n">
        <v>0</v>
      </c>
      <c r="I146" t="n">
        <v>0</v>
      </c>
      <c r="J146" t="n">
        <v>1</v>
      </c>
      <c r="K146" t="n">
        <v>0</v>
      </c>
      <c r="L146" t="n">
        <v>0</v>
      </c>
      <c r="M146" t="n">
        <v>0</v>
      </c>
      <c r="N146" t="n">
        <v>0</v>
      </c>
      <c r="O146" t="n">
        <v>1</v>
      </c>
      <c r="P146" t="n">
        <v>0</v>
      </c>
      <c r="Q146" t="n">
        <v>1</v>
      </c>
      <c r="R146" s="2" t="inlineStr">
        <is>
          <t>Skogsklocka</t>
        </is>
      </c>
      <c r="S146">
        <f>HYPERLINK("https://klasma.github.io/Logging_0188/artfynd/A 40861-2025 artfynd.xlsx", "A 40861-2025")</f>
        <v/>
      </c>
      <c r="T146">
        <f>HYPERLINK("https://klasma.github.io/Logging_0188/kartor/A 40861-2025 karta.png", "A 40861-2025")</f>
        <v/>
      </c>
      <c r="V146">
        <f>HYPERLINK("https://klasma.github.io/Logging_0188/klagomål/A 40861-2025 FSC-klagomål.docx", "A 40861-2025")</f>
        <v/>
      </c>
      <c r="W146">
        <f>HYPERLINK("https://klasma.github.io/Logging_0188/klagomålsmail/A 40861-2025 FSC-klagomål mail.docx", "A 40861-2025")</f>
        <v/>
      </c>
      <c r="X146">
        <f>HYPERLINK("https://klasma.github.io/Logging_0188/tillsyn/A 40861-2025 tillsynsbegäran.docx", "A 40861-2025")</f>
        <v/>
      </c>
      <c r="Y146">
        <f>HYPERLINK("https://klasma.github.io/Logging_0188/tillsynsmail/A 40861-2025 tillsynsbegäran mail.docx", "A 40861-2025")</f>
        <v/>
      </c>
    </row>
    <row r="147" ht="15" customHeight="1">
      <c r="A147" t="inlineStr">
        <is>
          <t>A 62765-2022</t>
        </is>
      </c>
      <c r="B147" s="1" t="n">
        <v>44637</v>
      </c>
      <c r="C147" s="1" t="n">
        <v>46194</v>
      </c>
      <c r="D147" t="inlineStr">
        <is>
          <t>STOCKHOLMS LÄN</t>
        </is>
      </c>
      <c r="E147" t="inlineStr">
        <is>
          <t>NORRTÄLJE</t>
        </is>
      </c>
      <c r="G147" t="n">
        <v>2.7</v>
      </c>
      <c r="H147" t="n">
        <v>1</v>
      </c>
      <c r="I147" t="n">
        <v>0</v>
      </c>
      <c r="J147" t="n">
        <v>1</v>
      </c>
      <c r="K147" t="n">
        <v>0</v>
      </c>
      <c r="L147" t="n">
        <v>0</v>
      </c>
      <c r="M147" t="n">
        <v>0</v>
      </c>
      <c r="N147" t="n">
        <v>0</v>
      </c>
      <c r="O147" t="n">
        <v>1</v>
      </c>
      <c r="P147" t="n">
        <v>0</v>
      </c>
      <c r="Q147" t="n">
        <v>1</v>
      </c>
      <c r="R147" s="2" t="inlineStr">
        <is>
          <t>Adam och eva</t>
        </is>
      </c>
      <c r="S147">
        <f>HYPERLINK("https://klasma.github.io/Logging_0188/artfynd/A 62765-2022 artfynd.xlsx", "A 62765-2022")</f>
        <v/>
      </c>
      <c r="T147">
        <f>HYPERLINK("https://klasma.github.io/Logging_0188/kartor/A 62765-2022 karta.png", "A 62765-2022")</f>
        <v/>
      </c>
      <c r="V147">
        <f>HYPERLINK("https://klasma.github.io/Logging_0188/klagomål/A 62765-2022 FSC-klagomål.docx", "A 62765-2022")</f>
        <v/>
      </c>
      <c r="W147">
        <f>HYPERLINK("https://klasma.github.io/Logging_0188/klagomålsmail/A 62765-2022 FSC-klagomål mail.docx", "A 62765-2022")</f>
        <v/>
      </c>
      <c r="X147">
        <f>HYPERLINK("https://klasma.github.io/Logging_0188/tillsyn/A 62765-2022 tillsynsbegäran.docx", "A 62765-2022")</f>
        <v/>
      </c>
      <c r="Y147">
        <f>HYPERLINK("https://klasma.github.io/Logging_0188/tillsynsmail/A 62765-2022 tillsynsbegäran mail.docx", "A 62765-2022")</f>
        <v/>
      </c>
    </row>
    <row r="148" ht="15" customHeight="1">
      <c r="A148" t="inlineStr">
        <is>
          <t>A 42313-2025</t>
        </is>
      </c>
      <c r="B148" s="1" t="n">
        <v>45904</v>
      </c>
      <c r="C148" s="1" t="n">
        <v>46194</v>
      </c>
      <c r="D148" t="inlineStr">
        <is>
          <t>STOCKHOLMS LÄN</t>
        </is>
      </c>
      <c r="E148" t="inlineStr">
        <is>
          <t>NORRTÄLJE</t>
        </is>
      </c>
      <c r="G148" t="n">
        <v>1.7</v>
      </c>
      <c r="H148" t="n">
        <v>1</v>
      </c>
      <c r="I148" t="n">
        <v>0</v>
      </c>
      <c r="J148" t="n">
        <v>0</v>
      </c>
      <c r="K148" t="n">
        <v>0</v>
      </c>
      <c r="L148" t="n">
        <v>0</v>
      </c>
      <c r="M148" t="n">
        <v>0</v>
      </c>
      <c r="N148" t="n">
        <v>0</v>
      </c>
      <c r="O148" t="n">
        <v>0</v>
      </c>
      <c r="P148" t="n">
        <v>0</v>
      </c>
      <c r="Q148" t="n">
        <v>1</v>
      </c>
      <c r="R148" s="2" t="inlineStr">
        <is>
          <t>Vanlig padda</t>
        </is>
      </c>
      <c r="S148">
        <f>HYPERLINK("https://klasma.github.io/Logging_0188/artfynd/A 42313-2025 artfynd.xlsx", "A 42313-2025")</f>
        <v/>
      </c>
      <c r="T148">
        <f>HYPERLINK("https://klasma.github.io/Logging_0188/kartor/A 42313-2025 karta.png", "A 42313-2025")</f>
        <v/>
      </c>
      <c r="V148">
        <f>HYPERLINK("https://klasma.github.io/Logging_0188/klagomål/A 42313-2025 FSC-klagomål.docx", "A 42313-2025")</f>
        <v/>
      </c>
      <c r="W148">
        <f>HYPERLINK("https://klasma.github.io/Logging_0188/klagomålsmail/A 42313-2025 FSC-klagomål mail.docx", "A 42313-2025")</f>
        <v/>
      </c>
      <c r="X148">
        <f>HYPERLINK("https://klasma.github.io/Logging_0188/tillsyn/A 42313-2025 tillsynsbegäran.docx", "A 42313-2025")</f>
        <v/>
      </c>
      <c r="Y148">
        <f>HYPERLINK("https://klasma.github.io/Logging_0188/tillsynsmail/A 42313-2025 tillsynsbegäran mail.docx", "A 42313-2025")</f>
        <v/>
      </c>
    </row>
    <row r="149" ht="15" customHeight="1">
      <c r="A149" t="inlineStr">
        <is>
          <t>A 17956-2025</t>
        </is>
      </c>
      <c r="B149" s="1" t="n">
        <v>45760</v>
      </c>
      <c r="C149" s="1" t="n">
        <v>46194</v>
      </c>
      <c r="D149" t="inlineStr">
        <is>
          <t>STOCKHOLMS LÄN</t>
        </is>
      </c>
      <c r="E149" t="inlineStr">
        <is>
          <t>NORRTÄLJE</t>
        </is>
      </c>
      <c r="G149" t="n">
        <v>4.3</v>
      </c>
      <c r="H149" t="n">
        <v>0</v>
      </c>
      <c r="I149" t="n">
        <v>1</v>
      </c>
      <c r="J149" t="n">
        <v>0</v>
      </c>
      <c r="K149" t="n">
        <v>0</v>
      </c>
      <c r="L149" t="n">
        <v>0</v>
      </c>
      <c r="M149" t="n">
        <v>0</v>
      </c>
      <c r="N149" t="n">
        <v>0</v>
      </c>
      <c r="O149" t="n">
        <v>0</v>
      </c>
      <c r="P149" t="n">
        <v>0</v>
      </c>
      <c r="Q149" t="n">
        <v>1</v>
      </c>
      <c r="R149" s="2" t="inlineStr">
        <is>
          <t>Tibast</t>
        </is>
      </c>
      <c r="S149">
        <f>HYPERLINK("https://klasma.github.io/Logging_0188/artfynd/A 17956-2025 artfynd.xlsx", "A 17956-2025")</f>
        <v/>
      </c>
      <c r="T149">
        <f>HYPERLINK("https://klasma.github.io/Logging_0188/kartor/A 17956-2025 karta.png", "A 17956-2025")</f>
        <v/>
      </c>
      <c r="V149">
        <f>HYPERLINK("https://klasma.github.io/Logging_0188/klagomål/A 17956-2025 FSC-klagomål.docx", "A 17956-2025")</f>
        <v/>
      </c>
      <c r="W149">
        <f>HYPERLINK("https://klasma.github.io/Logging_0188/klagomålsmail/A 17956-2025 FSC-klagomål mail.docx", "A 17956-2025")</f>
        <v/>
      </c>
      <c r="X149">
        <f>HYPERLINK("https://klasma.github.io/Logging_0188/tillsyn/A 17956-2025 tillsynsbegäran.docx", "A 17956-2025")</f>
        <v/>
      </c>
      <c r="Y149">
        <f>HYPERLINK("https://klasma.github.io/Logging_0188/tillsynsmail/A 17956-2025 tillsynsbegäran mail.docx", "A 17956-2025")</f>
        <v/>
      </c>
    </row>
    <row r="150" ht="15" customHeight="1">
      <c r="A150" t="inlineStr">
        <is>
          <t>A 23146-2024</t>
        </is>
      </c>
      <c r="B150" s="1" t="n">
        <v>45450</v>
      </c>
      <c r="C150" s="1" t="n">
        <v>46194</v>
      </c>
      <c r="D150" t="inlineStr">
        <is>
          <t>STOCKHOLMS LÄN</t>
        </is>
      </c>
      <c r="E150" t="inlineStr">
        <is>
          <t>NORRTÄLJE</t>
        </is>
      </c>
      <c r="F150" t="inlineStr">
        <is>
          <t>Kommuner</t>
        </is>
      </c>
      <c r="G150" t="n">
        <v>6</v>
      </c>
      <c r="H150" t="n">
        <v>0</v>
      </c>
      <c r="I150" t="n">
        <v>0</v>
      </c>
      <c r="J150" t="n">
        <v>1</v>
      </c>
      <c r="K150" t="n">
        <v>0</v>
      </c>
      <c r="L150" t="n">
        <v>0</v>
      </c>
      <c r="M150" t="n">
        <v>0</v>
      </c>
      <c r="N150" t="n">
        <v>0</v>
      </c>
      <c r="O150" t="n">
        <v>1</v>
      </c>
      <c r="P150" t="n">
        <v>0</v>
      </c>
      <c r="Q150" t="n">
        <v>1</v>
      </c>
      <c r="R150" s="2" t="inlineStr">
        <is>
          <t>Motaggsvamp</t>
        </is>
      </c>
      <c r="S150">
        <f>HYPERLINK("https://klasma.github.io/Logging_0188/artfynd/A 23146-2024 artfynd.xlsx", "A 23146-2024")</f>
        <v/>
      </c>
      <c r="T150">
        <f>HYPERLINK("https://klasma.github.io/Logging_0188/kartor/A 23146-2024 karta.png", "A 23146-2024")</f>
        <v/>
      </c>
      <c r="V150">
        <f>HYPERLINK("https://klasma.github.io/Logging_0188/klagomål/A 23146-2024 FSC-klagomål.docx", "A 23146-2024")</f>
        <v/>
      </c>
      <c r="W150">
        <f>HYPERLINK("https://klasma.github.io/Logging_0188/klagomålsmail/A 23146-2024 FSC-klagomål mail.docx", "A 23146-2024")</f>
        <v/>
      </c>
      <c r="X150">
        <f>HYPERLINK("https://klasma.github.io/Logging_0188/tillsyn/A 23146-2024 tillsynsbegäran.docx", "A 23146-2024")</f>
        <v/>
      </c>
      <c r="Y150">
        <f>HYPERLINK("https://klasma.github.io/Logging_0188/tillsynsmail/A 23146-2024 tillsynsbegäran mail.docx", "A 23146-2024")</f>
        <v/>
      </c>
    </row>
    <row r="151" ht="15" customHeight="1">
      <c r="A151" t="inlineStr">
        <is>
          <t>A 27381-2024</t>
        </is>
      </c>
      <c r="B151" s="1" t="n">
        <v>45473</v>
      </c>
      <c r="C151" s="1" t="n">
        <v>46194</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Trana</t>
        </is>
      </c>
      <c r="S151">
        <f>HYPERLINK("https://klasma.github.io/Logging_0188/artfynd/A 27381-2024 artfynd.xlsx", "A 27381-2024")</f>
        <v/>
      </c>
      <c r="T151">
        <f>HYPERLINK("https://klasma.github.io/Logging_0188/kartor/A 27381-2024 karta.png", "A 27381-2024")</f>
        <v/>
      </c>
      <c r="V151">
        <f>HYPERLINK("https://klasma.github.io/Logging_0188/klagomål/A 27381-2024 FSC-klagomål.docx", "A 27381-2024")</f>
        <v/>
      </c>
      <c r="W151">
        <f>HYPERLINK("https://klasma.github.io/Logging_0188/klagomålsmail/A 27381-2024 FSC-klagomål mail.docx", "A 27381-2024")</f>
        <v/>
      </c>
      <c r="X151">
        <f>HYPERLINK("https://klasma.github.io/Logging_0188/tillsyn/A 27381-2024 tillsynsbegäran.docx", "A 27381-2024")</f>
        <v/>
      </c>
      <c r="Y151">
        <f>HYPERLINK("https://klasma.github.io/Logging_0188/tillsynsmail/A 27381-2024 tillsynsbegäran mail.docx", "A 27381-2024")</f>
        <v/>
      </c>
      <c r="Z151">
        <f>HYPERLINK("https://klasma.github.io/Logging_0188/fåglar/A 27381-2024 prioriterade fågelarter.docx", "A 27381-2024")</f>
        <v/>
      </c>
    </row>
    <row r="152" ht="15" customHeight="1">
      <c r="A152" t="inlineStr">
        <is>
          <t>A 7734-2026</t>
        </is>
      </c>
      <c r="B152" s="1" t="n">
        <v>46062</v>
      </c>
      <c r="C152" s="1" t="n">
        <v>46194</v>
      </c>
      <c r="D152" t="inlineStr">
        <is>
          <t>STOCKHOLMS LÄN</t>
        </is>
      </c>
      <c r="E152" t="inlineStr">
        <is>
          <t>NORRTÄLJE</t>
        </is>
      </c>
      <c r="G152" t="n">
        <v>6.6</v>
      </c>
      <c r="H152" t="n">
        <v>0</v>
      </c>
      <c r="I152" t="n">
        <v>1</v>
      </c>
      <c r="J152" t="n">
        <v>0</v>
      </c>
      <c r="K152" t="n">
        <v>0</v>
      </c>
      <c r="L152" t="n">
        <v>0</v>
      </c>
      <c r="M152" t="n">
        <v>0</v>
      </c>
      <c r="N152" t="n">
        <v>0</v>
      </c>
      <c r="O152" t="n">
        <v>0</v>
      </c>
      <c r="P152" t="n">
        <v>0</v>
      </c>
      <c r="Q152" t="n">
        <v>1</v>
      </c>
      <c r="R152" s="2" t="inlineStr">
        <is>
          <t>Kastanjefjällskivling</t>
        </is>
      </c>
      <c r="S152">
        <f>HYPERLINK("https://klasma.github.io/Logging_0188/artfynd/A 7734-2026 artfynd.xlsx", "A 7734-2026")</f>
        <v/>
      </c>
      <c r="T152">
        <f>HYPERLINK("https://klasma.github.io/Logging_0188/kartor/A 7734-2026 karta.png", "A 7734-2026")</f>
        <v/>
      </c>
      <c r="V152">
        <f>HYPERLINK("https://klasma.github.io/Logging_0188/klagomål/A 7734-2026 FSC-klagomål.docx", "A 7734-2026")</f>
        <v/>
      </c>
      <c r="W152">
        <f>HYPERLINK("https://klasma.github.io/Logging_0188/klagomålsmail/A 7734-2026 FSC-klagomål mail.docx", "A 7734-2026")</f>
        <v/>
      </c>
      <c r="X152">
        <f>HYPERLINK("https://klasma.github.io/Logging_0188/tillsyn/A 7734-2026 tillsynsbegäran.docx", "A 7734-2026")</f>
        <v/>
      </c>
      <c r="Y152">
        <f>HYPERLINK("https://klasma.github.io/Logging_0188/tillsynsmail/A 7734-2026 tillsynsbegäran mail.docx", "A 7734-2026")</f>
        <v/>
      </c>
    </row>
    <row r="153" ht="15" customHeight="1">
      <c r="A153" t="inlineStr">
        <is>
          <t>A 25917-2026</t>
        </is>
      </c>
      <c r="B153" s="1" t="n">
        <v>46178</v>
      </c>
      <c r="C153" s="1" t="n">
        <v>46194</v>
      </c>
      <c r="D153" t="inlineStr">
        <is>
          <t>STOCKHOLMS LÄN</t>
        </is>
      </c>
      <c r="E153" t="inlineStr">
        <is>
          <t>NORRTÄLJE</t>
        </is>
      </c>
      <c r="G153" t="n">
        <v>4</v>
      </c>
      <c r="H153" t="n">
        <v>1</v>
      </c>
      <c r="I153" t="n">
        <v>0</v>
      </c>
      <c r="J153" t="n">
        <v>1</v>
      </c>
      <c r="K153" t="n">
        <v>0</v>
      </c>
      <c r="L153" t="n">
        <v>0</v>
      </c>
      <c r="M153" t="n">
        <v>0</v>
      </c>
      <c r="N153" t="n">
        <v>0</v>
      </c>
      <c r="O153" t="n">
        <v>1</v>
      </c>
      <c r="P153" t="n">
        <v>0</v>
      </c>
      <c r="Q153" t="n">
        <v>1</v>
      </c>
      <c r="R153" s="2" t="inlineStr">
        <is>
          <t>Duvhök</t>
        </is>
      </c>
      <c r="S153">
        <f>HYPERLINK("https://klasma.github.io/Logging_0188/artfynd/A 25917-2026 artfynd.xlsx", "A 25917-2026")</f>
        <v/>
      </c>
      <c r="T153">
        <f>HYPERLINK("https://klasma.github.io/Logging_0188/kartor/A 25917-2026 karta.png", "A 25917-2026")</f>
        <v/>
      </c>
      <c r="V153">
        <f>HYPERLINK("https://klasma.github.io/Logging_0188/klagomål/A 25917-2026 FSC-klagomål.docx", "A 25917-2026")</f>
        <v/>
      </c>
      <c r="W153">
        <f>HYPERLINK("https://klasma.github.io/Logging_0188/klagomålsmail/A 25917-2026 FSC-klagomål mail.docx", "A 25917-2026")</f>
        <v/>
      </c>
      <c r="X153">
        <f>HYPERLINK("https://klasma.github.io/Logging_0188/tillsyn/A 25917-2026 tillsynsbegäran.docx", "A 25917-2026")</f>
        <v/>
      </c>
      <c r="Y153">
        <f>HYPERLINK("https://klasma.github.io/Logging_0188/tillsynsmail/A 25917-2026 tillsynsbegäran mail.docx", "A 25917-2026")</f>
        <v/>
      </c>
      <c r="Z153">
        <f>HYPERLINK("https://klasma.github.io/Logging_0188/fåglar/A 25917-2026 prioriterade fågelarter.docx", "A 25917-2026")</f>
        <v/>
      </c>
    </row>
    <row r="154" ht="15" customHeight="1">
      <c r="A154" t="inlineStr">
        <is>
          <t>A 9955-2022</t>
        </is>
      </c>
      <c r="B154" s="1" t="n">
        <v>44620</v>
      </c>
      <c r="C154" s="1" t="n">
        <v>46194</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27538-2024</t>
        </is>
      </c>
      <c r="B155" s="1" t="n">
        <v>45474</v>
      </c>
      <c r="C155" s="1" t="n">
        <v>46194</v>
      </c>
      <c r="D155" t="inlineStr">
        <is>
          <t>STOCKHOLMS LÄN</t>
        </is>
      </c>
      <c r="E155" t="inlineStr">
        <is>
          <t>NORRTÄLJE</t>
        </is>
      </c>
      <c r="G155" t="n">
        <v>1.5</v>
      </c>
      <c r="H155" t="n">
        <v>1</v>
      </c>
      <c r="I155" t="n">
        <v>1</v>
      </c>
      <c r="J155" t="n">
        <v>0</v>
      </c>
      <c r="K155" t="n">
        <v>0</v>
      </c>
      <c r="L155" t="n">
        <v>0</v>
      </c>
      <c r="M155" t="n">
        <v>0</v>
      </c>
      <c r="N155" t="n">
        <v>0</v>
      </c>
      <c r="O155" t="n">
        <v>0</v>
      </c>
      <c r="P155" t="n">
        <v>0</v>
      </c>
      <c r="Q155" t="n">
        <v>1</v>
      </c>
      <c r="R155" s="2" t="inlineStr">
        <is>
          <t>Skogsknipprot</t>
        </is>
      </c>
      <c r="S155">
        <f>HYPERLINK("https://klasma.github.io/Logging_0188/artfynd/A 27538-2024 artfynd.xlsx", "A 27538-2024")</f>
        <v/>
      </c>
      <c r="T155">
        <f>HYPERLINK("https://klasma.github.io/Logging_0188/kartor/A 27538-2024 karta.png", "A 27538-2024")</f>
        <v/>
      </c>
      <c r="V155">
        <f>HYPERLINK("https://klasma.github.io/Logging_0188/klagomål/A 27538-2024 FSC-klagomål.docx", "A 27538-2024")</f>
        <v/>
      </c>
      <c r="W155">
        <f>HYPERLINK("https://klasma.github.io/Logging_0188/klagomålsmail/A 27538-2024 FSC-klagomål mail.docx", "A 27538-2024")</f>
        <v/>
      </c>
      <c r="X155">
        <f>HYPERLINK("https://klasma.github.io/Logging_0188/tillsyn/A 27538-2024 tillsynsbegäran.docx", "A 27538-2024")</f>
        <v/>
      </c>
      <c r="Y155">
        <f>HYPERLINK("https://klasma.github.io/Logging_0188/tillsynsmail/A 27538-2024 tillsynsbegäran mail.docx", "A 27538-2024")</f>
        <v/>
      </c>
    </row>
    <row r="156" ht="15" customHeight="1">
      <c r="A156" t="inlineStr">
        <is>
          <t>A 24563-2024</t>
        </is>
      </c>
      <c r="B156" s="1" t="n">
        <v>45460</v>
      </c>
      <c r="C156" s="1" t="n">
        <v>46194</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Blåsippa</t>
        </is>
      </c>
      <c r="S156">
        <f>HYPERLINK("https://klasma.github.io/Logging_0188/artfynd/A 24563-2024 artfynd.xlsx", "A 24563-2024")</f>
        <v/>
      </c>
      <c r="T156">
        <f>HYPERLINK("https://klasma.github.io/Logging_0188/kartor/A 24563-2024 karta.png", "A 24563-2024")</f>
        <v/>
      </c>
      <c r="V156">
        <f>HYPERLINK("https://klasma.github.io/Logging_0188/klagomål/A 24563-2024 FSC-klagomål.docx", "A 24563-2024")</f>
        <v/>
      </c>
      <c r="W156">
        <f>HYPERLINK("https://klasma.github.io/Logging_0188/klagomålsmail/A 24563-2024 FSC-klagomål mail.docx", "A 24563-2024")</f>
        <v/>
      </c>
      <c r="X156">
        <f>HYPERLINK("https://klasma.github.io/Logging_0188/tillsyn/A 24563-2024 tillsynsbegäran.docx", "A 24563-2024")</f>
        <v/>
      </c>
      <c r="Y156">
        <f>HYPERLINK("https://klasma.github.io/Logging_0188/tillsynsmail/A 24563-2024 tillsynsbegäran mail.docx", "A 24563-2024")</f>
        <v/>
      </c>
    </row>
    <row r="157" ht="15" customHeight="1">
      <c r="A157" t="inlineStr">
        <is>
          <t>A 4385-2023</t>
        </is>
      </c>
      <c r="B157" s="1" t="n">
        <v>44955</v>
      </c>
      <c r="C157" s="1" t="n">
        <v>46194</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23905-2025</t>
        </is>
      </c>
      <c r="B158" s="1" t="n">
        <v>45794</v>
      </c>
      <c r="C158" s="1" t="n">
        <v>46194</v>
      </c>
      <c r="D158" t="inlineStr">
        <is>
          <t>STOCKHOLMS LÄN</t>
        </is>
      </c>
      <c r="E158" t="inlineStr">
        <is>
          <t>NORRTÄLJE</t>
        </is>
      </c>
      <c r="G158" t="n">
        <v>8.4</v>
      </c>
      <c r="H158" t="n">
        <v>1</v>
      </c>
      <c r="I158" t="n">
        <v>0</v>
      </c>
      <c r="J158" t="n">
        <v>0</v>
      </c>
      <c r="K158" t="n">
        <v>0</v>
      </c>
      <c r="L158" t="n">
        <v>0</v>
      </c>
      <c r="M158" t="n">
        <v>0</v>
      </c>
      <c r="N158" t="n">
        <v>0</v>
      </c>
      <c r="O158" t="n">
        <v>0</v>
      </c>
      <c r="P158" t="n">
        <v>0</v>
      </c>
      <c r="Q158" t="n">
        <v>1</v>
      </c>
      <c r="R158" s="2" t="inlineStr">
        <is>
          <t>Blåsippa</t>
        </is>
      </c>
      <c r="S158">
        <f>HYPERLINK("https://klasma.github.io/Logging_0188/artfynd/A 23905-2025 artfynd.xlsx", "A 23905-2025")</f>
        <v/>
      </c>
      <c r="T158">
        <f>HYPERLINK("https://klasma.github.io/Logging_0188/kartor/A 23905-2025 karta.png", "A 23905-2025")</f>
        <v/>
      </c>
      <c r="V158">
        <f>HYPERLINK("https://klasma.github.io/Logging_0188/klagomål/A 23905-2025 FSC-klagomål.docx", "A 23905-2025")</f>
        <v/>
      </c>
      <c r="W158">
        <f>HYPERLINK("https://klasma.github.io/Logging_0188/klagomålsmail/A 23905-2025 FSC-klagomål mail.docx", "A 23905-2025")</f>
        <v/>
      </c>
      <c r="X158">
        <f>HYPERLINK("https://klasma.github.io/Logging_0188/tillsyn/A 23905-2025 tillsynsbegäran.docx", "A 23905-2025")</f>
        <v/>
      </c>
      <c r="Y158">
        <f>HYPERLINK("https://klasma.github.io/Logging_0188/tillsynsmail/A 23905-2025 tillsynsbegäran mail.docx", "A 23905-2025")</f>
        <v/>
      </c>
    </row>
    <row r="159" ht="15" customHeight="1">
      <c r="A159" t="inlineStr">
        <is>
          <t>A 19025-2025</t>
        </is>
      </c>
      <c r="B159" s="1" t="n">
        <v>45764</v>
      </c>
      <c r="C159" s="1" t="n">
        <v>46194</v>
      </c>
      <c r="D159" t="inlineStr">
        <is>
          <t>STOCKHOLMS LÄN</t>
        </is>
      </c>
      <c r="E159" t="inlineStr">
        <is>
          <t>NORRTÄLJE</t>
        </is>
      </c>
      <c r="G159" t="n">
        <v>1.2</v>
      </c>
      <c r="H159" t="n">
        <v>0</v>
      </c>
      <c r="I159" t="n">
        <v>1</v>
      </c>
      <c r="J159" t="n">
        <v>0</v>
      </c>
      <c r="K159" t="n">
        <v>0</v>
      </c>
      <c r="L159" t="n">
        <v>0</v>
      </c>
      <c r="M159" t="n">
        <v>0</v>
      </c>
      <c r="N159" t="n">
        <v>0</v>
      </c>
      <c r="O159" t="n">
        <v>0</v>
      </c>
      <c r="P159" t="n">
        <v>0</v>
      </c>
      <c r="Q159" t="n">
        <v>1</v>
      </c>
      <c r="R159" s="2" t="inlineStr">
        <is>
          <t>Granbarkgnagare</t>
        </is>
      </c>
      <c r="S159">
        <f>HYPERLINK("https://klasma.github.io/Logging_0188/artfynd/A 19025-2025 artfynd.xlsx", "A 19025-2025")</f>
        <v/>
      </c>
      <c r="T159">
        <f>HYPERLINK("https://klasma.github.io/Logging_0188/kartor/A 19025-2025 karta.png", "A 19025-2025")</f>
        <v/>
      </c>
      <c r="V159">
        <f>HYPERLINK("https://klasma.github.io/Logging_0188/klagomål/A 19025-2025 FSC-klagomål.docx", "A 19025-2025")</f>
        <v/>
      </c>
      <c r="W159">
        <f>HYPERLINK("https://klasma.github.io/Logging_0188/klagomålsmail/A 19025-2025 FSC-klagomål mail.docx", "A 19025-2025")</f>
        <v/>
      </c>
      <c r="X159">
        <f>HYPERLINK("https://klasma.github.io/Logging_0188/tillsyn/A 19025-2025 tillsynsbegäran.docx", "A 19025-2025")</f>
        <v/>
      </c>
      <c r="Y159">
        <f>HYPERLINK("https://klasma.github.io/Logging_0188/tillsynsmail/A 19025-2025 tillsynsbegäran mail.docx", "A 19025-2025")</f>
        <v/>
      </c>
    </row>
    <row r="160" ht="15" customHeight="1">
      <c r="A160" t="inlineStr">
        <is>
          <t>A 24330-2023</t>
        </is>
      </c>
      <c r="B160" s="1" t="n">
        <v>45081</v>
      </c>
      <c r="C160" s="1" t="n">
        <v>46194</v>
      </c>
      <c r="D160" t="inlineStr">
        <is>
          <t>STOCKHOLMS LÄN</t>
        </is>
      </c>
      <c r="E160" t="inlineStr">
        <is>
          <t>NORRTÄLJE</t>
        </is>
      </c>
      <c r="G160" t="n">
        <v>5</v>
      </c>
      <c r="H160" t="n">
        <v>1</v>
      </c>
      <c r="I160" t="n">
        <v>0</v>
      </c>
      <c r="J160" t="n">
        <v>1</v>
      </c>
      <c r="K160" t="n">
        <v>0</v>
      </c>
      <c r="L160" t="n">
        <v>0</v>
      </c>
      <c r="M160" t="n">
        <v>0</v>
      </c>
      <c r="N160" t="n">
        <v>0</v>
      </c>
      <c r="O160" t="n">
        <v>1</v>
      </c>
      <c r="P160" t="n">
        <v>0</v>
      </c>
      <c r="Q160" t="n">
        <v>1</v>
      </c>
      <c r="R160" s="2" t="inlineStr">
        <is>
          <t>Mindre hackspett</t>
        </is>
      </c>
      <c r="S160">
        <f>HYPERLINK("https://klasma.github.io/Logging_0188/artfynd/A 24330-2023 artfynd.xlsx", "A 24330-2023")</f>
        <v/>
      </c>
      <c r="T160">
        <f>HYPERLINK("https://klasma.github.io/Logging_0188/kartor/A 24330-2023 karta.png", "A 24330-2023")</f>
        <v/>
      </c>
      <c r="V160">
        <f>HYPERLINK("https://klasma.github.io/Logging_0188/klagomål/A 24330-2023 FSC-klagomål.docx", "A 24330-2023")</f>
        <v/>
      </c>
      <c r="W160">
        <f>HYPERLINK("https://klasma.github.io/Logging_0188/klagomålsmail/A 24330-2023 FSC-klagomål mail.docx", "A 24330-2023")</f>
        <v/>
      </c>
      <c r="X160">
        <f>HYPERLINK("https://klasma.github.io/Logging_0188/tillsyn/A 24330-2023 tillsynsbegäran.docx", "A 24330-2023")</f>
        <v/>
      </c>
      <c r="Y160">
        <f>HYPERLINK("https://klasma.github.io/Logging_0188/tillsynsmail/A 24330-2023 tillsynsbegäran mail.docx", "A 24330-2023")</f>
        <v/>
      </c>
      <c r="Z160">
        <f>HYPERLINK("https://klasma.github.io/Logging_0188/fåglar/A 24330-2023 prioriterade fågelarter.docx", "A 24330-2023")</f>
        <v/>
      </c>
    </row>
    <row r="161" ht="15" customHeight="1">
      <c r="A161" t="inlineStr">
        <is>
          <t>A 26415-2026</t>
        </is>
      </c>
      <c r="B161" s="1" t="n">
        <v>46183</v>
      </c>
      <c r="C161" s="1" t="n">
        <v>46194</v>
      </c>
      <c r="D161" t="inlineStr">
        <is>
          <t>STOCKHOLMS LÄN</t>
        </is>
      </c>
      <c r="E161" t="inlineStr">
        <is>
          <t>NORRTÄLJE</t>
        </is>
      </c>
      <c r="G161" t="n">
        <v>2.3</v>
      </c>
      <c r="H161" t="n">
        <v>1</v>
      </c>
      <c r="I161" t="n">
        <v>1</v>
      </c>
      <c r="J161" t="n">
        <v>0</v>
      </c>
      <c r="K161" t="n">
        <v>0</v>
      </c>
      <c r="L161" t="n">
        <v>0</v>
      </c>
      <c r="M161" t="n">
        <v>0</v>
      </c>
      <c r="N161" t="n">
        <v>0</v>
      </c>
      <c r="O161" t="n">
        <v>0</v>
      </c>
      <c r="P161" t="n">
        <v>0</v>
      </c>
      <c r="Q161" t="n">
        <v>1</v>
      </c>
      <c r="R161" s="2" t="inlineStr">
        <is>
          <t>Korallrot</t>
        </is>
      </c>
      <c r="S161">
        <f>HYPERLINK("https://klasma.github.io/Logging_0188/artfynd/A 26415-2026 artfynd.xlsx", "A 26415-2026")</f>
        <v/>
      </c>
      <c r="T161">
        <f>HYPERLINK("https://klasma.github.io/Logging_0188/kartor/A 26415-2026 karta.png", "A 26415-2026")</f>
        <v/>
      </c>
      <c r="V161">
        <f>HYPERLINK("https://klasma.github.io/Logging_0188/klagomål/A 26415-2026 FSC-klagomål.docx", "A 26415-2026")</f>
        <v/>
      </c>
      <c r="W161">
        <f>HYPERLINK("https://klasma.github.io/Logging_0188/klagomålsmail/A 26415-2026 FSC-klagomål mail.docx", "A 26415-2026")</f>
        <v/>
      </c>
      <c r="X161">
        <f>HYPERLINK("https://klasma.github.io/Logging_0188/tillsyn/A 26415-2026 tillsynsbegäran.docx", "A 26415-2026")</f>
        <v/>
      </c>
      <c r="Y161">
        <f>HYPERLINK("https://klasma.github.io/Logging_0188/tillsynsmail/A 26415-2026 tillsynsbegäran mail.docx", "A 26415-2026")</f>
        <v/>
      </c>
    </row>
    <row r="162" ht="15" customHeight="1">
      <c r="A162" t="inlineStr">
        <is>
          <t>A 30290-2022</t>
        </is>
      </c>
      <c r="B162" s="1" t="n">
        <v>44760</v>
      </c>
      <c r="C162" s="1" t="n">
        <v>46194</v>
      </c>
      <c r="D162" t="inlineStr">
        <is>
          <t>STOCKHOLMS LÄN</t>
        </is>
      </c>
      <c r="E162" t="inlineStr">
        <is>
          <t>NORRTÄLJE</t>
        </is>
      </c>
      <c r="G162" t="n">
        <v>4.8</v>
      </c>
      <c r="H162" t="n">
        <v>1</v>
      </c>
      <c r="I162" t="n">
        <v>1</v>
      </c>
      <c r="J162" t="n">
        <v>0</v>
      </c>
      <c r="K162" t="n">
        <v>0</v>
      </c>
      <c r="L162" t="n">
        <v>0</v>
      </c>
      <c r="M162" t="n">
        <v>0</v>
      </c>
      <c r="N162" t="n">
        <v>0</v>
      </c>
      <c r="O162" t="n">
        <v>0</v>
      </c>
      <c r="P162" t="n">
        <v>0</v>
      </c>
      <c r="Q162" t="n">
        <v>1</v>
      </c>
      <c r="R162" s="2" t="inlineStr">
        <is>
          <t>Skogsknipprot</t>
        </is>
      </c>
      <c r="S162">
        <f>HYPERLINK("https://klasma.github.io/Logging_0188/artfynd/A 30290-2022 artfynd.xlsx", "A 30290-2022")</f>
        <v/>
      </c>
      <c r="T162">
        <f>HYPERLINK("https://klasma.github.io/Logging_0188/kartor/A 30290-2022 karta.png", "A 30290-2022")</f>
        <v/>
      </c>
      <c r="V162">
        <f>HYPERLINK("https://klasma.github.io/Logging_0188/klagomål/A 30290-2022 FSC-klagomål.docx", "A 30290-2022")</f>
        <v/>
      </c>
      <c r="W162">
        <f>HYPERLINK("https://klasma.github.io/Logging_0188/klagomålsmail/A 30290-2022 FSC-klagomål mail.docx", "A 30290-2022")</f>
        <v/>
      </c>
      <c r="X162">
        <f>HYPERLINK("https://klasma.github.io/Logging_0188/tillsyn/A 30290-2022 tillsynsbegäran.docx", "A 30290-2022")</f>
        <v/>
      </c>
      <c r="Y162">
        <f>HYPERLINK("https://klasma.github.io/Logging_0188/tillsynsmail/A 30290-2022 tillsynsbegäran mail.docx", "A 30290-2022")</f>
        <v/>
      </c>
    </row>
    <row r="163" ht="15" customHeight="1">
      <c r="A163" t="inlineStr">
        <is>
          <t>A 52529-2025</t>
        </is>
      </c>
      <c r="B163" s="1" t="n">
        <v>45954</v>
      </c>
      <c r="C163" s="1" t="n">
        <v>46194</v>
      </c>
      <c r="D163" t="inlineStr">
        <is>
          <t>STOCKHOLMS LÄN</t>
        </is>
      </c>
      <c r="E163" t="inlineStr">
        <is>
          <t>NORRTÄLJE</t>
        </is>
      </c>
      <c r="F163" t="inlineStr">
        <is>
          <t>Sveaskog</t>
        </is>
      </c>
      <c r="G163" t="n">
        <v>7.8</v>
      </c>
      <c r="H163" t="n">
        <v>1</v>
      </c>
      <c r="I163" t="n">
        <v>0</v>
      </c>
      <c r="J163" t="n">
        <v>0</v>
      </c>
      <c r="K163" t="n">
        <v>0</v>
      </c>
      <c r="L163" t="n">
        <v>1</v>
      </c>
      <c r="M163" t="n">
        <v>0</v>
      </c>
      <c r="N163" t="n">
        <v>0</v>
      </c>
      <c r="O163" t="n">
        <v>1</v>
      </c>
      <c r="P163" t="n">
        <v>1</v>
      </c>
      <c r="Q163" t="n">
        <v>1</v>
      </c>
      <c r="R163" s="2" t="inlineStr">
        <is>
          <t>Pärluggla</t>
        </is>
      </c>
      <c r="S163">
        <f>HYPERLINK("https://klasma.github.io/Logging_0188/artfynd/A 52529-2025 artfynd.xlsx", "A 52529-2025")</f>
        <v/>
      </c>
      <c r="T163">
        <f>HYPERLINK("https://klasma.github.io/Logging_0188/kartor/A 52529-2025 karta.png", "A 52529-2025")</f>
        <v/>
      </c>
      <c r="V163">
        <f>HYPERLINK("https://klasma.github.io/Logging_0188/klagomål/A 52529-2025 FSC-klagomål.docx", "A 52529-2025")</f>
        <v/>
      </c>
      <c r="W163">
        <f>HYPERLINK("https://klasma.github.io/Logging_0188/klagomålsmail/A 52529-2025 FSC-klagomål mail.docx", "A 52529-2025")</f>
        <v/>
      </c>
      <c r="X163">
        <f>HYPERLINK("https://klasma.github.io/Logging_0188/tillsyn/A 52529-2025 tillsynsbegäran.docx", "A 52529-2025")</f>
        <v/>
      </c>
      <c r="Y163">
        <f>HYPERLINK("https://klasma.github.io/Logging_0188/tillsynsmail/A 52529-2025 tillsynsbegäran mail.docx", "A 52529-2025")</f>
        <v/>
      </c>
      <c r="Z163">
        <f>HYPERLINK("https://klasma.github.io/Logging_0188/fåglar/A 52529-2025 prioriterade fågelarter.docx", "A 52529-2025")</f>
        <v/>
      </c>
    </row>
    <row r="164" ht="15" customHeight="1">
      <c r="A164" t="inlineStr">
        <is>
          <t>A 35764-2024</t>
        </is>
      </c>
      <c r="B164" s="1" t="n">
        <v>45532</v>
      </c>
      <c r="C164" s="1" t="n">
        <v>46194</v>
      </c>
      <c r="D164" t="inlineStr">
        <is>
          <t>STOCKHOLMS LÄN</t>
        </is>
      </c>
      <c r="E164" t="inlineStr">
        <is>
          <t>NORRTÄLJE</t>
        </is>
      </c>
      <c r="G164" t="n">
        <v>14.2</v>
      </c>
      <c r="H164" t="n">
        <v>1</v>
      </c>
      <c r="I164" t="n">
        <v>0</v>
      </c>
      <c r="J164" t="n">
        <v>0</v>
      </c>
      <c r="K164" t="n">
        <v>1</v>
      </c>
      <c r="L164" t="n">
        <v>0</v>
      </c>
      <c r="M164" t="n">
        <v>0</v>
      </c>
      <c r="N164" t="n">
        <v>0</v>
      </c>
      <c r="O164" t="n">
        <v>1</v>
      </c>
      <c r="P164" t="n">
        <v>1</v>
      </c>
      <c r="Q164" t="n">
        <v>1</v>
      </c>
      <c r="R164" s="2" t="inlineStr">
        <is>
          <t>Knärot</t>
        </is>
      </c>
      <c r="S164">
        <f>HYPERLINK("https://klasma.github.io/Logging_0188/artfynd/A 35764-2024 artfynd.xlsx", "A 35764-2024")</f>
        <v/>
      </c>
      <c r="T164">
        <f>HYPERLINK("https://klasma.github.io/Logging_0188/kartor/A 35764-2024 karta.png", "A 35764-2024")</f>
        <v/>
      </c>
      <c r="U164">
        <f>HYPERLINK("https://klasma.github.io/Logging_0188/knärot/A 35764-2024 karta knärot.png", "A 35764-2024")</f>
        <v/>
      </c>
      <c r="V164">
        <f>HYPERLINK("https://klasma.github.io/Logging_0188/klagomål/A 35764-2024 FSC-klagomål.docx", "A 35764-2024")</f>
        <v/>
      </c>
      <c r="W164">
        <f>HYPERLINK("https://klasma.github.io/Logging_0188/klagomålsmail/A 35764-2024 FSC-klagomål mail.docx", "A 35764-2024")</f>
        <v/>
      </c>
      <c r="X164">
        <f>HYPERLINK("https://klasma.github.io/Logging_0188/tillsyn/A 35764-2024 tillsynsbegäran.docx", "A 35764-2024")</f>
        <v/>
      </c>
      <c r="Y164">
        <f>HYPERLINK("https://klasma.github.io/Logging_0188/tillsynsmail/A 35764-2024 tillsynsbegäran mail.docx", "A 35764-2024")</f>
        <v/>
      </c>
    </row>
    <row r="165" ht="15" customHeight="1">
      <c r="A165" t="inlineStr">
        <is>
          <t>A 28816-2023</t>
        </is>
      </c>
      <c r="B165" s="1" t="n">
        <v>45104</v>
      </c>
      <c r="C165" s="1" t="n">
        <v>46194</v>
      </c>
      <c r="D165" t="inlineStr">
        <is>
          <t>STOCKHOLMS LÄN</t>
        </is>
      </c>
      <c r="E165" t="inlineStr">
        <is>
          <t>NORRTÄLJE</t>
        </is>
      </c>
      <c r="F165" t="inlineStr">
        <is>
          <t>Kommuner</t>
        </is>
      </c>
      <c r="G165" t="n">
        <v>0.5</v>
      </c>
      <c r="H165" t="n">
        <v>1</v>
      </c>
      <c r="I165" t="n">
        <v>0</v>
      </c>
      <c r="J165" t="n">
        <v>0</v>
      </c>
      <c r="K165" t="n">
        <v>0</v>
      </c>
      <c r="L165" t="n">
        <v>0</v>
      </c>
      <c r="M165" t="n">
        <v>0</v>
      </c>
      <c r="N165" t="n">
        <v>0</v>
      </c>
      <c r="O165" t="n">
        <v>0</v>
      </c>
      <c r="P165" t="n">
        <v>0</v>
      </c>
      <c r="Q165" t="n">
        <v>1</v>
      </c>
      <c r="R165" s="2" t="inlineStr">
        <is>
          <t>Kungsfågel</t>
        </is>
      </c>
      <c r="S165">
        <f>HYPERLINK("https://klasma.github.io/Logging_0188/artfynd/A 28816-2023 artfynd.xlsx", "A 28816-2023")</f>
        <v/>
      </c>
      <c r="T165">
        <f>HYPERLINK("https://klasma.github.io/Logging_0188/kartor/A 28816-2023 karta.png", "A 28816-2023")</f>
        <v/>
      </c>
      <c r="V165">
        <f>HYPERLINK("https://klasma.github.io/Logging_0188/klagomål/A 28816-2023 FSC-klagomål.docx", "A 28816-2023")</f>
        <v/>
      </c>
      <c r="W165">
        <f>HYPERLINK("https://klasma.github.io/Logging_0188/klagomålsmail/A 28816-2023 FSC-klagomål mail.docx", "A 28816-2023")</f>
        <v/>
      </c>
      <c r="X165">
        <f>HYPERLINK("https://klasma.github.io/Logging_0188/tillsyn/A 28816-2023 tillsynsbegäran.docx", "A 28816-2023")</f>
        <v/>
      </c>
      <c r="Y165">
        <f>HYPERLINK("https://klasma.github.io/Logging_0188/tillsynsmail/A 28816-2023 tillsynsbegäran mail.docx", "A 28816-2023")</f>
        <v/>
      </c>
      <c r="Z165">
        <f>HYPERLINK("https://klasma.github.io/Logging_0188/fåglar/A 28816-2023 prioriterade fågelarter.docx", "A 28816-2023")</f>
        <v/>
      </c>
    </row>
    <row r="166" ht="15" customHeight="1">
      <c r="A166" t="inlineStr">
        <is>
          <t>A 57442-2021</t>
        </is>
      </c>
      <c r="B166" s="1" t="n">
        <v>44483</v>
      </c>
      <c r="C166" s="1" t="n">
        <v>46194</v>
      </c>
      <c r="D166" t="inlineStr">
        <is>
          <t>STOCKHOLMS LÄN</t>
        </is>
      </c>
      <c r="E166" t="inlineStr">
        <is>
          <t>NORRTÄLJE</t>
        </is>
      </c>
      <c r="G166" t="n">
        <v>3.3</v>
      </c>
      <c r="H166" t="n">
        <v>0</v>
      </c>
      <c r="I166" t="n">
        <v>0</v>
      </c>
      <c r="J166" t="n">
        <v>1</v>
      </c>
      <c r="K166" t="n">
        <v>0</v>
      </c>
      <c r="L166" t="n">
        <v>0</v>
      </c>
      <c r="M166" t="n">
        <v>0</v>
      </c>
      <c r="N166" t="n">
        <v>0</v>
      </c>
      <c r="O166" t="n">
        <v>1</v>
      </c>
      <c r="P166" t="n">
        <v>0</v>
      </c>
      <c r="Q166" t="n">
        <v>1</v>
      </c>
      <c r="R166" s="2" t="inlineStr">
        <is>
          <t>Slåtterfibbla</t>
        </is>
      </c>
      <c r="S166">
        <f>HYPERLINK("https://klasma.github.io/Logging_0188/artfynd/A 57442-2021 artfynd.xlsx", "A 57442-2021")</f>
        <v/>
      </c>
      <c r="T166">
        <f>HYPERLINK("https://klasma.github.io/Logging_0188/kartor/A 57442-2021 karta.png", "A 57442-2021")</f>
        <v/>
      </c>
      <c r="V166">
        <f>HYPERLINK("https://klasma.github.io/Logging_0188/klagomål/A 57442-2021 FSC-klagomål.docx", "A 57442-2021")</f>
        <v/>
      </c>
      <c r="W166">
        <f>HYPERLINK("https://klasma.github.io/Logging_0188/klagomålsmail/A 57442-2021 FSC-klagomål mail.docx", "A 57442-2021")</f>
        <v/>
      </c>
      <c r="X166">
        <f>HYPERLINK("https://klasma.github.io/Logging_0188/tillsyn/A 57442-2021 tillsynsbegäran.docx", "A 57442-2021")</f>
        <v/>
      </c>
      <c r="Y166">
        <f>HYPERLINK("https://klasma.github.io/Logging_0188/tillsynsmail/A 57442-2021 tillsynsbegäran mail.docx", "A 57442-2021")</f>
        <v/>
      </c>
    </row>
    <row r="167" ht="15" customHeight="1">
      <c r="A167" t="inlineStr">
        <is>
          <t>A 52775-2025</t>
        </is>
      </c>
      <c r="B167" s="1" t="n">
        <v>45957</v>
      </c>
      <c r="C167" s="1" t="n">
        <v>46194</v>
      </c>
      <c r="D167" t="inlineStr">
        <is>
          <t>STOCKHOLMS LÄN</t>
        </is>
      </c>
      <c r="E167" t="inlineStr">
        <is>
          <t>NORRTÄLJE</t>
        </is>
      </c>
      <c r="F167" t="inlineStr">
        <is>
          <t>Sveaskog</t>
        </is>
      </c>
      <c r="G167" t="n">
        <v>5.6</v>
      </c>
      <c r="H167" t="n">
        <v>0</v>
      </c>
      <c r="I167" t="n">
        <v>0</v>
      </c>
      <c r="J167" t="n">
        <v>1</v>
      </c>
      <c r="K167" t="n">
        <v>0</v>
      </c>
      <c r="L167" t="n">
        <v>0</v>
      </c>
      <c r="M167" t="n">
        <v>0</v>
      </c>
      <c r="N167" t="n">
        <v>0</v>
      </c>
      <c r="O167" t="n">
        <v>1</v>
      </c>
      <c r="P167" t="n">
        <v>0</v>
      </c>
      <c r="Q167" t="n">
        <v>1</v>
      </c>
      <c r="R167" s="2" t="inlineStr">
        <is>
          <t>Vedtrappmossa</t>
        </is>
      </c>
      <c r="S167">
        <f>HYPERLINK("https://klasma.github.io/Logging_0188/artfynd/A 52775-2025 artfynd.xlsx", "A 52775-2025")</f>
        <v/>
      </c>
      <c r="T167">
        <f>HYPERLINK("https://klasma.github.io/Logging_0188/kartor/A 52775-2025 karta.png", "A 52775-2025")</f>
        <v/>
      </c>
      <c r="V167">
        <f>HYPERLINK("https://klasma.github.io/Logging_0188/klagomål/A 52775-2025 FSC-klagomål.docx", "A 52775-2025")</f>
        <v/>
      </c>
      <c r="W167">
        <f>HYPERLINK("https://klasma.github.io/Logging_0188/klagomålsmail/A 52775-2025 FSC-klagomål mail.docx", "A 52775-2025")</f>
        <v/>
      </c>
      <c r="X167">
        <f>HYPERLINK("https://klasma.github.io/Logging_0188/tillsyn/A 52775-2025 tillsynsbegäran.docx", "A 52775-2025")</f>
        <v/>
      </c>
      <c r="Y167">
        <f>HYPERLINK("https://klasma.github.io/Logging_0188/tillsynsmail/A 52775-2025 tillsynsbegäran mail.docx", "A 52775-2025")</f>
        <v/>
      </c>
    </row>
    <row r="168" ht="15" customHeight="1">
      <c r="A168" t="inlineStr">
        <is>
          <t>A 53629-2025</t>
        </is>
      </c>
      <c r="B168" s="1" t="n">
        <v>45960</v>
      </c>
      <c r="C168" s="1" t="n">
        <v>46194</v>
      </c>
      <c r="D168" t="inlineStr">
        <is>
          <t>STOCKHOLMS LÄN</t>
        </is>
      </c>
      <c r="E168" t="inlineStr">
        <is>
          <t>NORRTÄLJE</t>
        </is>
      </c>
      <c r="F168" t="inlineStr">
        <is>
          <t>Naturvårdsverket</t>
        </is>
      </c>
      <c r="G168" t="n">
        <v>7.9</v>
      </c>
      <c r="H168" t="n">
        <v>0</v>
      </c>
      <c r="I168" t="n">
        <v>0</v>
      </c>
      <c r="J168" t="n">
        <v>1</v>
      </c>
      <c r="K168" t="n">
        <v>0</v>
      </c>
      <c r="L168" t="n">
        <v>0</v>
      </c>
      <c r="M168" t="n">
        <v>0</v>
      </c>
      <c r="N168" t="n">
        <v>0</v>
      </c>
      <c r="O168" t="n">
        <v>1</v>
      </c>
      <c r="P168" t="n">
        <v>0</v>
      </c>
      <c r="Q168" t="n">
        <v>1</v>
      </c>
      <c r="R168" s="2" t="inlineStr">
        <is>
          <t>Olvonglasvinge</t>
        </is>
      </c>
      <c r="S168">
        <f>HYPERLINK("https://klasma.github.io/Logging_0188/artfynd/A 53629-2025 artfynd.xlsx", "A 53629-2025")</f>
        <v/>
      </c>
      <c r="T168">
        <f>HYPERLINK("https://klasma.github.io/Logging_0188/kartor/A 53629-2025 karta.png", "A 53629-2025")</f>
        <v/>
      </c>
      <c r="V168">
        <f>HYPERLINK("https://klasma.github.io/Logging_0188/klagomål/A 53629-2025 FSC-klagomål.docx", "A 53629-2025")</f>
        <v/>
      </c>
      <c r="W168">
        <f>HYPERLINK("https://klasma.github.io/Logging_0188/klagomålsmail/A 53629-2025 FSC-klagomål mail.docx", "A 53629-2025")</f>
        <v/>
      </c>
      <c r="X168">
        <f>HYPERLINK("https://klasma.github.io/Logging_0188/tillsyn/A 53629-2025 tillsynsbegäran.docx", "A 53629-2025")</f>
        <v/>
      </c>
      <c r="Y168">
        <f>HYPERLINK("https://klasma.github.io/Logging_0188/tillsynsmail/A 53629-2025 tillsynsbegäran mail.docx", "A 53629-2025")</f>
        <v/>
      </c>
    </row>
    <row r="169" ht="15" customHeight="1">
      <c r="A169" t="inlineStr">
        <is>
          <t>A 35691-2023</t>
        </is>
      </c>
      <c r="B169" s="1" t="n">
        <v>45147</v>
      </c>
      <c r="C169" s="1" t="n">
        <v>46194</v>
      </c>
      <c r="D169" t="inlineStr">
        <is>
          <t>STOCKHOLMS LÄN</t>
        </is>
      </c>
      <c r="E169" t="inlineStr">
        <is>
          <t>NORRTÄLJE</t>
        </is>
      </c>
      <c r="G169" t="n">
        <v>2.3</v>
      </c>
      <c r="H169" t="n">
        <v>1</v>
      </c>
      <c r="I169" t="n">
        <v>0</v>
      </c>
      <c r="J169" t="n">
        <v>0</v>
      </c>
      <c r="K169" t="n">
        <v>0</v>
      </c>
      <c r="L169" t="n">
        <v>0</v>
      </c>
      <c r="M169" t="n">
        <v>0</v>
      </c>
      <c r="N169" t="n">
        <v>0</v>
      </c>
      <c r="O169" t="n">
        <v>0</v>
      </c>
      <c r="P169" t="n">
        <v>0</v>
      </c>
      <c r="Q169" t="n">
        <v>1</v>
      </c>
      <c r="R169" s="2" t="inlineStr">
        <is>
          <t>Kungsfågel</t>
        </is>
      </c>
      <c r="S169">
        <f>HYPERLINK("https://klasma.github.io/Logging_0188/artfynd/A 35691-2023 artfynd.xlsx", "A 35691-2023")</f>
        <v/>
      </c>
      <c r="T169">
        <f>HYPERLINK("https://klasma.github.io/Logging_0188/kartor/A 35691-2023 karta.png", "A 35691-2023")</f>
        <v/>
      </c>
      <c r="V169">
        <f>HYPERLINK("https://klasma.github.io/Logging_0188/klagomål/A 35691-2023 FSC-klagomål.docx", "A 35691-2023")</f>
        <v/>
      </c>
      <c r="W169">
        <f>HYPERLINK("https://klasma.github.io/Logging_0188/klagomålsmail/A 35691-2023 FSC-klagomål mail.docx", "A 35691-2023")</f>
        <v/>
      </c>
      <c r="X169">
        <f>HYPERLINK("https://klasma.github.io/Logging_0188/tillsyn/A 35691-2023 tillsynsbegäran.docx", "A 35691-2023")</f>
        <v/>
      </c>
      <c r="Y169">
        <f>HYPERLINK("https://klasma.github.io/Logging_0188/tillsynsmail/A 35691-2023 tillsynsbegäran mail.docx", "A 35691-2023")</f>
        <v/>
      </c>
      <c r="Z169">
        <f>HYPERLINK("https://klasma.github.io/Logging_0188/fåglar/A 35691-2023 prioriterade fågelarter.docx", "A 35691-2023")</f>
        <v/>
      </c>
    </row>
    <row r="170" ht="15" customHeight="1">
      <c r="A170" t="inlineStr">
        <is>
          <t>A 35693-2023</t>
        </is>
      </c>
      <c r="B170" s="1" t="n">
        <v>45147</v>
      </c>
      <c r="C170" s="1" t="n">
        <v>46194</v>
      </c>
      <c r="D170" t="inlineStr">
        <is>
          <t>STOCKHOLMS LÄN</t>
        </is>
      </c>
      <c r="E170" t="inlineStr">
        <is>
          <t>NORRTÄLJE</t>
        </is>
      </c>
      <c r="G170" t="n">
        <v>2.2</v>
      </c>
      <c r="H170" t="n">
        <v>0</v>
      </c>
      <c r="I170" t="n">
        <v>0</v>
      </c>
      <c r="J170" t="n">
        <v>1</v>
      </c>
      <c r="K170" t="n">
        <v>0</v>
      </c>
      <c r="L170" t="n">
        <v>0</v>
      </c>
      <c r="M170" t="n">
        <v>0</v>
      </c>
      <c r="N170" t="n">
        <v>0</v>
      </c>
      <c r="O170" t="n">
        <v>1</v>
      </c>
      <c r="P170" t="n">
        <v>0</v>
      </c>
      <c r="Q170" t="n">
        <v>1</v>
      </c>
      <c r="R170" s="2" t="inlineStr">
        <is>
          <t>Motaggsvamp</t>
        </is>
      </c>
      <c r="S170">
        <f>HYPERLINK("https://klasma.github.io/Logging_0188/artfynd/A 35693-2023 artfynd.xlsx", "A 35693-2023")</f>
        <v/>
      </c>
      <c r="T170">
        <f>HYPERLINK("https://klasma.github.io/Logging_0188/kartor/A 35693-2023 karta.png", "A 35693-2023")</f>
        <v/>
      </c>
      <c r="V170">
        <f>HYPERLINK("https://klasma.github.io/Logging_0188/klagomål/A 35693-2023 FSC-klagomål.docx", "A 35693-2023")</f>
        <v/>
      </c>
      <c r="W170">
        <f>HYPERLINK("https://klasma.github.io/Logging_0188/klagomålsmail/A 35693-2023 FSC-klagomål mail.docx", "A 35693-2023")</f>
        <v/>
      </c>
      <c r="X170">
        <f>HYPERLINK("https://klasma.github.io/Logging_0188/tillsyn/A 35693-2023 tillsynsbegäran.docx", "A 35693-2023")</f>
        <v/>
      </c>
      <c r="Y170">
        <f>HYPERLINK("https://klasma.github.io/Logging_0188/tillsynsmail/A 35693-2023 tillsynsbegäran mail.docx", "A 35693-2023")</f>
        <v/>
      </c>
    </row>
    <row r="171" ht="15" customHeight="1">
      <c r="A171" t="inlineStr">
        <is>
          <t>A 21329-2022</t>
        </is>
      </c>
      <c r="B171" s="1" t="n">
        <v>44705</v>
      </c>
      <c r="C171" s="1" t="n">
        <v>46194</v>
      </c>
      <c r="D171" t="inlineStr">
        <is>
          <t>STOCKHOLMS LÄN</t>
        </is>
      </c>
      <c r="E171" t="inlineStr">
        <is>
          <t>NORRTÄLJE</t>
        </is>
      </c>
      <c r="G171" t="n">
        <v>4.1</v>
      </c>
      <c r="H171" t="n">
        <v>1</v>
      </c>
      <c r="I171" t="n">
        <v>1</v>
      </c>
      <c r="J171" t="n">
        <v>0</v>
      </c>
      <c r="K171" t="n">
        <v>0</v>
      </c>
      <c r="L171" t="n">
        <v>0</v>
      </c>
      <c r="M171" t="n">
        <v>0</v>
      </c>
      <c r="N171" t="n">
        <v>0</v>
      </c>
      <c r="O171" t="n">
        <v>0</v>
      </c>
      <c r="P171" t="n">
        <v>0</v>
      </c>
      <c r="Q171" t="n">
        <v>1</v>
      </c>
      <c r="R171" s="2" t="inlineStr">
        <is>
          <t>Skogsknipprot</t>
        </is>
      </c>
      <c r="S171">
        <f>HYPERLINK("https://klasma.github.io/Logging_0188/artfynd/A 21329-2022 artfynd.xlsx", "A 21329-2022")</f>
        <v/>
      </c>
      <c r="T171">
        <f>HYPERLINK("https://klasma.github.io/Logging_0188/kartor/A 21329-2022 karta.png", "A 21329-2022")</f>
        <v/>
      </c>
      <c r="V171">
        <f>HYPERLINK("https://klasma.github.io/Logging_0188/klagomål/A 21329-2022 FSC-klagomål.docx", "A 21329-2022")</f>
        <v/>
      </c>
      <c r="W171">
        <f>HYPERLINK("https://klasma.github.io/Logging_0188/klagomålsmail/A 21329-2022 FSC-klagomål mail.docx", "A 21329-2022")</f>
        <v/>
      </c>
      <c r="X171">
        <f>HYPERLINK("https://klasma.github.io/Logging_0188/tillsyn/A 21329-2022 tillsynsbegäran.docx", "A 21329-2022")</f>
        <v/>
      </c>
      <c r="Y171">
        <f>HYPERLINK("https://klasma.github.io/Logging_0188/tillsynsmail/A 21329-2022 tillsynsbegäran mail.docx", "A 21329-2022")</f>
        <v/>
      </c>
    </row>
    <row r="172" ht="15" customHeight="1">
      <c r="A172" t="inlineStr">
        <is>
          <t>A 6381-2023</t>
        </is>
      </c>
      <c r="B172" s="1" t="n">
        <v>44965</v>
      </c>
      <c r="C172" s="1" t="n">
        <v>46194</v>
      </c>
      <c r="D172" t="inlineStr">
        <is>
          <t>STOCKHOLMS LÄN</t>
        </is>
      </c>
      <c r="E172" t="inlineStr">
        <is>
          <t>NORRTÄLJE</t>
        </is>
      </c>
      <c r="G172" t="n">
        <v>3.5</v>
      </c>
      <c r="H172" t="n">
        <v>1</v>
      </c>
      <c r="I172" t="n">
        <v>1</v>
      </c>
      <c r="J172" t="n">
        <v>0</v>
      </c>
      <c r="K172" t="n">
        <v>0</v>
      </c>
      <c r="L172" t="n">
        <v>0</v>
      </c>
      <c r="M172" t="n">
        <v>0</v>
      </c>
      <c r="N172" t="n">
        <v>0</v>
      </c>
      <c r="O172" t="n">
        <v>0</v>
      </c>
      <c r="P172" t="n">
        <v>0</v>
      </c>
      <c r="Q172" t="n">
        <v>1</v>
      </c>
      <c r="R172" s="2" t="inlineStr">
        <is>
          <t>Guckusko</t>
        </is>
      </c>
      <c r="S172">
        <f>HYPERLINK("https://klasma.github.io/Logging_0188/artfynd/A 6381-2023 artfynd.xlsx", "A 6381-2023")</f>
        <v/>
      </c>
      <c r="T172">
        <f>HYPERLINK("https://klasma.github.io/Logging_0188/kartor/A 6381-2023 karta.png", "A 6381-2023")</f>
        <v/>
      </c>
      <c r="V172">
        <f>HYPERLINK("https://klasma.github.io/Logging_0188/klagomål/A 6381-2023 FSC-klagomål.docx", "A 6381-2023")</f>
        <v/>
      </c>
      <c r="W172">
        <f>HYPERLINK("https://klasma.github.io/Logging_0188/klagomålsmail/A 6381-2023 FSC-klagomål mail.docx", "A 6381-2023")</f>
        <v/>
      </c>
      <c r="X172">
        <f>HYPERLINK("https://klasma.github.io/Logging_0188/tillsyn/A 6381-2023 tillsynsbegäran.docx", "A 6381-2023")</f>
        <v/>
      </c>
      <c r="Y172">
        <f>HYPERLINK("https://klasma.github.io/Logging_0188/tillsynsmail/A 6381-2023 tillsynsbegäran mail.docx", "A 6381-2023")</f>
        <v/>
      </c>
    </row>
    <row r="173" ht="15" customHeight="1">
      <c r="A173" t="inlineStr">
        <is>
          <t>A 29946-2025</t>
        </is>
      </c>
      <c r="B173" s="1" t="n">
        <v>45826</v>
      </c>
      <c r="C173" s="1" t="n">
        <v>46194</v>
      </c>
      <c r="D173" t="inlineStr">
        <is>
          <t>STOCKHOLMS LÄN</t>
        </is>
      </c>
      <c r="E173" t="inlineStr">
        <is>
          <t>NORRTÄLJE</t>
        </is>
      </c>
      <c r="F173" t="inlineStr">
        <is>
          <t>Holmen skog AB</t>
        </is>
      </c>
      <c r="G173" t="n">
        <v>3.6</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29946-2025 artfynd.xlsx", "A 29946-2025")</f>
        <v/>
      </c>
      <c r="T173">
        <f>HYPERLINK("https://klasma.github.io/Logging_0188/kartor/A 29946-2025 karta.png", "A 29946-2025")</f>
        <v/>
      </c>
      <c r="V173">
        <f>HYPERLINK("https://klasma.github.io/Logging_0188/klagomål/A 29946-2025 FSC-klagomål.docx", "A 29946-2025")</f>
        <v/>
      </c>
      <c r="W173">
        <f>HYPERLINK("https://klasma.github.io/Logging_0188/klagomålsmail/A 29946-2025 FSC-klagomål mail.docx", "A 29946-2025")</f>
        <v/>
      </c>
      <c r="X173">
        <f>HYPERLINK("https://klasma.github.io/Logging_0188/tillsyn/A 29946-2025 tillsynsbegäran.docx", "A 29946-2025")</f>
        <v/>
      </c>
      <c r="Y173">
        <f>HYPERLINK("https://klasma.github.io/Logging_0188/tillsynsmail/A 29946-2025 tillsynsbegäran mail.docx", "A 29946-2025")</f>
        <v/>
      </c>
    </row>
    <row r="174" ht="15" customHeight="1">
      <c r="A174" t="inlineStr">
        <is>
          <t>A 17843-2024</t>
        </is>
      </c>
      <c r="B174" s="1" t="n">
        <v>45418</v>
      </c>
      <c r="C174" s="1" t="n">
        <v>46194</v>
      </c>
      <c r="D174" t="inlineStr">
        <is>
          <t>STOCKHOLMS LÄN</t>
        </is>
      </c>
      <c r="E174" t="inlineStr">
        <is>
          <t>NORRTÄLJE</t>
        </is>
      </c>
      <c r="G174" t="n">
        <v>5.4</v>
      </c>
      <c r="H174" t="n">
        <v>0</v>
      </c>
      <c r="I174" t="n">
        <v>0</v>
      </c>
      <c r="J174" t="n">
        <v>1</v>
      </c>
      <c r="K174" t="n">
        <v>0</v>
      </c>
      <c r="L174" t="n">
        <v>0</v>
      </c>
      <c r="M174" t="n">
        <v>0</v>
      </c>
      <c r="N174" t="n">
        <v>0</v>
      </c>
      <c r="O174" t="n">
        <v>1</v>
      </c>
      <c r="P174" t="n">
        <v>0</v>
      </c>
      <c r="Q174" t="n">
        <v>1</v>
      </c>
      <c r="R174" s="2" t="inlineStr">
        <is>
          <t>Krisslesköldbagge</t>
        </is>
      </c>
      <c r="S174">
        <f>HYPERLINK("https://klasma.github.io/Logging_0188/artfynd/A 17843-2024 artfynd.xlsx", "A 17843-2024")</f>
        <v/>
      </c>
      <c r="T174">
        <f>HYPERLINK("https://klasma.github.io/Logging_0188/kartor/A 17843-2024 karta.png", "A 17843-2024")</f>
        <v/>
      </c>
      <c r="V174">
        <f>HYPERLINK("https://klasma.github.io/Logging_0188/klagomål/A 17843-2024 FSC-klagomål.docx", "A 17843-2024")</f>
        <v/>
      </c>
      <c r="W174">
        <f>HYPERLINK("https://klasma.github.io/Logging_0188/klagomålsmail/A 17843-2024 FSC-klagomål mail.docx", "A 17843-2024")</f>
        <v/>
      </c>
      <c r="X174">
        <f>HYPERLINK("https://klasma.github.io/Logging_0188/tillsyn/A 17843-2024 tillsynsbegäran.docx", "A 17843-2024")</f>
        <v/>
      </c>
      <c r="Y174">
        <f>HYPERLINK("https://klasma.github.io/Logging_0188/tillsynsmail/A 17843-2024 tillsynsbegäran mail.docx", "A 17843-2024")</f>
        <v/>
      </c>
    </row>
    <row r="175" ht="15" customHeight="1">
      <c r="A175" t="inlineStr">
        <is>
          <t>A 60765-2023</t>
        </is>
      </c>
      <c r="B175" s="1" t="n">
        <v>45260</v>
      </c>
      <c r="C175" s="1" t="n">
        <v>46194</v>
      </c>
      <c r="D175" t="inlineStr">
        <is>
          <t>STOCKHOLMS LÄN</t>
        </is>
      </c>
      <c r="E175" t="inlineStr">
        <is>
          <t>NORRTÄLJE</t>
        </is>
      </c>
      <c r="G175" t="n">
        <v>3.7</v>
      </c>
      <c r="H175" t="n">
        <v>1</v>
      </c>
      <c r="I175" t="n">
        <v>0</v>
      </c>
      <c r="J175" t="n">
        <v>0</v>
      </c>
      <c r="K175" t="n">
        <v>0</v>
      </c>
      <c r="L175" t="n">
        <v>0</v>
      </c>
      <c r="M175" t="n">
        <v>0</v>
      </c>
      <c r="N175" t="n">
        <v>0</v>
      </c>
      <c r="O175" t="n">
        <v>0</v>
      </c>
      <c r="P175" t="n">
        <v>0</v>
      </c>
      <c r="Q175" t="n">
        <v>1</v>
      </c>
      <c r="R175" s="2" t="inlineStr">
        <is>
          <t>Pudrad kärrtrollslända</t>
        </is>
      </c>
      <c r="S175">
        <f>HYPERLINK("https://klasma.github.io/Logging_0188/artfynd/A 60765-2023 artfynd.xlsx", "A 60765-2023")</f>
        <v/>
      </c>
      <c r="T175">
        <f>HYPERLINK("https://klasma.github.io/Logging_0188/kartor/A 60765-2023 karta.png", "A 60765-2023")</f>
        <v/>
      </c>
      <c r="V175">
        <f>HYPERLINK("https://klasma.github.io/Logging_0188/klagomål/A 60765-2023 FSC-klagomål.docx", "A 60765-2023")</f>
        <v/>
      </c>
      <c r="W175">
        <f>HYPERLINK("https://klasma.github.io/Logging_0188/klagomålsmail/A 60765-2023 FSC-klagomål mail.docx", "A 60765-2023")</f>
        <v/>
      </c>
      <c r="X175">
        <f>HYPERLINK("https://klasma.github.io/Logging_0188/tillsyn/A 60765-2023 tillsynsbegäran.docx", "A 60765-2023")</f>
        <v/>
      </c>
      <c r="Y175">
        <f>HYPERLINK("https://klasma.github.io/Logging_0188/tillsynsmail/A 60765-2023 tillsynsbegäran mail.docx", "A 60765-2023")</f>
        <v/>
      </c>
    </row>
    <row r="176" ht="15" customHeight="1">
      <c r="A176" t="inlineStr">
        <is>
          <t>A 51315-2021</t>
        </is>
      </c>
      <c r="B176" s="1" t="n">
        <v>44461</v>
      </c>
      <c r="C176" s="1" t="n">
        <v>46194</v>
      </c>
      <c r="D176" t="inlineStr">
        <is>
          <t>STOCKHOLMS LÄN</t>
        </is>
      </c>
      <c r="E176" t="inlineStr">
        <is>
          <t>NORRTÄLJE</t>
        </is>
      </c>
      <c r="F176" t="inlineStr">
        <is>
          <t>Holmen skog AB</t>
        </is>
      </c>
      <c r="G176" t="n">
        <v>2.2</v>
      </c>
      <c r="H176" t="n">
        <v>1</v>
      </c>
      <c r="I176" t="n">
        <v>0</v>
      </c>
      <c r="J176" t="n">
        <v>0</v>
      </c>
      <c r="K176" t="n">
        <v>1</v>
      </c>
      <c r="L176" t="n">
        <v>0</v>
      </c>
      <c r="M176" t="n">
        <v>0</v>
      </c>
      <c r="N176" t="n">
        <v>0</v>
      </c>
      <c r="O176" t="n">
        <v>1</v>
      </c>
      <c r="P176" t="n">
        <v>1</v>
      </c>
      <c r="Q176" t="n">
        <v>1</v>
      </c>
      <c r="R176" s="2" t="inlineStr">
        <is>
          <t>Hällebräcka</t>
        </is>
      </c>
      <c r="S176">
        <f>HYPERLINK("https://klasma.github.io/Logging_0188/artfynd/A 51315-2021 artfynd.xlsx", "A 51315-2021")</f>
        <v/>
      </c>
      <c r="T176">
        <f>HYPERLINK("https://klasma.github.io/Logging_0188/kartor/A 51315-2021 karta.png", "A 51315-2021")</f>
        <v/>
      </c>
      <c r="V176">
        <f>HYPERLINK("https://klasma.github.io/Logging_0188/klagomål/A 51315-2021 FSC-klagomål.docx", "A 51315-2021")</f>
        <v/>
      </c>
      <c r="W176">
        <f>HYPERLINK("https://klasma.github.io/Logging_0188/klagomålsmail/A 51315-2021 FSC-klagomål mail.docx", "A 51315-2021")</f>
        <v/>
      </c>
      <c r="X176">
        <f>HYPERLINK("https://klasma.github.io/Logging_0188/tillsyn/A 51315-2021 tillsynsbegäran.docx", "A 51315-2021")</f>
        <v/>
      </c>
      <c r="Y176">
        <f>HYPERLINK("https://klasma.github.io/Logging_0188/tillsynsmail/A 51315-2021 tillsynsbegäran mail.docx", "A 51315-2021")</f>
        <v/>
      </c>
    </row>
    <row r="177" ht="15" customHeight="1">
      <c r="A177" t="inlineStr">
        <is>
          <t>A 58939-2025</t>
        </is>
      </c>
      <c r="B177" s="1" t="n">
        <v>45987</v>
      </c>
      <c r="C177" s="1" t="n">
        <v>46194</v>
      </c>
      <c r="D177" t="inlineStr">
        <is>
          <t>STOCKHOLMS LÄN</t>
        </is>
      </c>
      <c r="E177" t="inlineStr">
        <is>
          <t>NORRTÄLJE</t>
        </is>
      </c>
      <c r="G177" t="n">
        <v>2</v>
      </c>
      <c r="H177" t="n">
        <v>0</v>
      </c>
      <c r="I177" t="n">
        <v>1</v>
      </c>
      <c r="J177" t="n">
        <v>0</v>
      </c>
      <c r="K177" t="n">
        <v>0</v>
      </c>
      <c r="L177" t="n">
        <v>0</v>
      </c>
      <c r="M177" t="n">
        <v>0</v>
      </c>
      <c r="N177" t="n">
        <v>0</v>
      </c>
      <c r="O177" t="n">
        <v>0</v>
      </c>
      <c r="P177" t="n">
        <v>0</v>
      </c>
      <c r="Q177" t="n">
        <v>1</v>
      </c>
      <c r="R177" s="2" t="inlineStr">
        <is>
          <t>Bronshjon</t>
        </is>
      </c>
      <c r="S177">
        <f>HYPERLINK("https://klasma.github.io/Logging_0188/artfynd/A 58939-2025 artfynd.xlsx", "A 58939-2025")</f>
        <v/>
      </c>
      <c r="T177">
        <f>HYPERLINK("https://klasma.github.io/Logging_0188/kartor/A 58939-2025 karta.png", "A 58939-2025")</f>
        <v/>
      </c>
      <c r="V177">
        <f>HYPERLINK("https://klasma.github.io/Logging_0188/klagomål/A 58939-2025 FSC-klagomål.docx", "A 58939-2025")</f>
        <v/>
      </c>
      <c r="W177">
        <f>HYPERLINK("https://klasma.github.io/Logging_0188/klagomålsmail/A 58939-2025 FSC-klagomål mail.docx", "A 58939-2025")</f>
        <v/>
      </c>
      <c r="X177">
        <f>HYPERLINK("https://klasma.github.io/Logging_0188/tillsyn/A 58939-2025 tillsynsbegäran.docx", "A 58939-2025")</f>
        <v/>
      </c>
      <c r="Y177">
        <f>HYPERLINK("https://klasma.github.io/Logging_0188/tillsynsmail/A 58939-2025 tillsynsbegäran mail.docx", "A 58939-2025")</f>
        <v/>
      </c>
    </row>
    <row r="178" ht="15" customHeight="1">
      <c r="A178" t="inlineStr">
        <is>
          <t>A 59682-2025</t>
        </is>
      </c>
      <c r="B178" s="1" t="n">
        <v>45992</v>
      </c>
      <c r="C178" s="1" t="n">
        <v>46194</v>
      </c>
      <c r="D178" t="inlineStr">
        <is>
          <t>STOCKHOLMS LÄN</t>
        </is>
      </c>
      <c r="E178" t="inlineStr">
        <is>
          <t>NORRTÄLJE</t>
        </is>
      </c>
      <c r="G178" t="n">
        <v>1.6</v>
      </c>
      <c r="H178" t="n">
        <v>0</v>
      </c>
      <c r="I178" t="n">
        <v>1</v>
      </c>
      <c r="J178" t="n">
        <v>0</v>
      </c>
      <c r="K178" t="n">
        <v>0</v>
      </c>
      <c r="L178" t="n">
        <v>0</v>
      </c>
      <c r="M178" t="n">
        <v>0</v>
      </c>
      <c r="N178" t="n">
        <v>0</v>
      </c>
      <c r="O178" t="n">
        <v>0</v>
      </c>
      <c r="P178" t="n">
        <v>0</v>
      </c>
      <c r="Q178" t="n">
        <v>1</v>
      </c>
      <c r="R178" s="2" t="inlineStr">
        <is>
          <t>Grönpyrola</t>
        </is>
      </c>
      <c r="S178">
        <f>HYPERLINK("https://klasma.github.io/Logging_0188/artfynd/A 59682-2025 artfynd.xlsx", "A 59682-2025")</f>
        <v/>
      </c>
      <c r="T178">
        <f>HYPERLINK("https://klasma.github.io/Logging_0188/kartor/A 59682-2025 karta.png", "A 59682-2025")</f>
        <v/>
      </c>
      <c r="V178">
        <f>HYPERLINK("https://klasma.github.io/Logging_0188/klagomål/A 59682-2025 FSC-klagomål.docx", "A 59682-2025")</f>
        <v/>
      </c>
      <c r="W178">
        <f>HYPERLINK("https://klasma.github.io/Logging_0188/klagomålsmail/A 59682-2025 FSC-klagomål mail.docx", "A 59682-2025")</f>
        <v/>
      </c>
      <c r="X178">
        <f>HYPERLINK("https://klasma.github.io/Logging_0188/tillsyn/A 59682-2025 tillsynsbegäran.docx", "A 59682-2025")</f>
        <v/>
      </c>
      <c r="Y178">
        <f>HYPERLINK("https://klasma.github.io/Logging_0188/tillsynsmail/A 59682-2025 tillsynsbegäran mail.docx", "A 59682-2025")</f>
        <v/>
      </c>
    </row>
    <row r="179" ht="15" customHeight="1">
      <c r="A179" t="inlineStr">
        <is>
          <t>A 35451-2025</t>
        </is>
      </c>
      <c r="B179" s="1" t="n">
        <v>45855</v>
      </c>
      <c r="C179" s="1" t="n">
        <v>46194</v>
      </c>
      <c r="D179" t="inlineStr">
        <is>
          <t>STOCKHOLMS LÄN</t>
        </is>
      </c>
      <c r="E179" t="inlineStr">
        <is>
          <t>NORRTÄLJE</t>
        </is>
      </c>
      <c r="F179" t="inlineStr">
        <is>
          <t>Holmen skog AB</t>
        </is>
      </c>
      <c r="G179" t="n">
        <v>7.4</v>
      </c>
      <c r="H179" t="n">
        <v>1</v>
      </c>
      <c r="I179" t="n">
        <v>0</v>
      </c>
      <c r="J179" t="n">
        <v>0</v>
      </c>
      <c r="K179" t="n">
        <v>1</v>
      </c>
      <c r="L179" t="n">
        <v>0</v>
      </c>
      <c r="M179" t="n">
        <v>0</v>
      </c>
      <c r="N179" t="n">
        <v>0</v>
      </c>
      <c r="O179" t="n">
        <v>1</v>
      </c>
      <c r="P179" t="n">
        <v>1</v>
      </c>
      <c r="Q179" t="n">
        <v>1</v>
      </c>
      <c r="R179" s="2" t="inlineStr">
        <is>
          <t>Hällebräcka</t>
        </is>
      </c>
      <c r="S179">
        <f>HYPERLINK("https://klasma.github.io/Logging_0188/artfynd/A 35451-2025 artfynd.xlsx", "A 35451-2025")</f>
        <v/>
      </c>
      <c r="T179">
        <f>HYPERLINK("https://klasma.github.io/Logging_0188/kartor/A 35451-2025 karta.png", "A 35451-2025")</f>
        <v/>
      </c>
      <c r="V179">
        <f>HYPERLINK("https://klasma.github.io/Logging_0188/klagomål/A 35451-2025 FSC-klagomål.docx", "A 35451-2025")</f>
        <v/>
      </c>
      <c r="W179">
        <f>HYPERLINK("https://klasma.github.io/Logging_0188/klagomålsmail/A 35451-2025 FSC-klagomål mail.docx", "A 35451-2025")</f>
        <v/>
      </c>
      <c r="X179">
        <f>HYPERLINK("https://klasma.github.io/Logging_0188/tillsyn/A 35451-2025 tillsynsbegäran.docx", "A 35451-2025")</f>
        <v/>
      </c>
      <c r="Y179">
        <f>HYPERLINK("https://klasma.github.io/Logging_0188/tillsynsmail/A 35451-2025 tillsynsbegäran mail.docx", "A 35451-2025")</f>
        <v/>
      </c>
    </row>
    <row r="180" ht="15" customHeight="1">
      <c r="A180" t="inlineStr">
        <is>
          <t>A 42075-2023</t>
        </is>
      </c>
      <c r="B180" s="1" t="n">
        <v>45177</v>
      </c>
      <c r="C180" s="1" t="n">
        <v>46194</v>
      </c>
      <c r="D180" t="inlineStr">
        <is>
          <t>STOCKHOLMS LÄN</t>
        </is>
      </c>
      <c r="E180" t="inlineStr">
        <is>
          <t>NORRTÄLJE</t>
        </is>
      </c>
      <c r="G180" t="n">
        <v>2.5</v>
      </c>
      <c r="H180" t="n">
        <v>1</v>
      </c>
      <c r="I180" t="n">
        <v>1</v>
      </c>
      <c r="J180" t="n">
        <v>0</v>
      </c>
      <c r="K180" t="n">
        <v>0</v>
      </c>
      <c r="L180" t="n">
        <v>0</v>
      </c>
      <c r="M180" t="n">
        <v>0</v>
      </c>
      <c r="N180" t="n">
        <v>0</v>
      </c>
      <c r="O180" t="n">
        <v>0</v>
      </c>
      <c r="P180" t="n">
        <v>0</v>
      </c>
      <c r="Q180" t="n">
        <v>1</v>
      </c>
      <c r="R180" s="2" t="inlineStr">
        <is>
          <t>Skogsknipprot</t>
        </is>
      </c>
      <c r="S180">
        <f>HYPERLINK("https://klasma.github.io/Logging_0188/artfynd/A 42075-2023 artfynd.xlsx", "A 42075-2023")</f>
        <v/>
      </c>
      <c r="T180">
        <f>HYPERLINK("https://klasma.github.io/Logging_0188/kartor/A 42075-2023 karta.png", "A 42075-2023")</f>
        <v/>
      </c>
      <c r="V180">
        <f>HYPERLINK("https://klasma.github.io/Logging_0188/klagomål/A 42075-2023 FSC-klagomål.docx", "A 42075-2023")</f>
        <v/>
      </c>
      <c r="W180">
        <f>HYPERLINK("https://klasma.github.io/Logging_0188/klagomålsmail/A 42075-2023 FSC-klagomål mail.docx", "A 42075-2023")</f>
        <v/>
      </c>
      <c r="X180">
        <f>HYPERLINK("https://klasma.github.io/Logging_0188/tillsyn/A 42075-2023 tillsynsbegäran.docx", "A 42075-2023")</f>
        <v/>
      </c>
      <c r="Y180">
        <f>HYPERLINK("https://klasma.github.io/Logging_0188/tillsynsmail/A 42075-2023 tillsynsbegäran mail.docx", "A 42075-2023")</f>
        <v/>
      </c>
    </row>
    <row r="181" ht="15" customHeight="1">
      <c r="A181" t="inlineStr">
        <is>
          <t>A 53499-2025</t>
        </is>
      </c>
      <c r="B181" s="1" t="n">
        <v>45960</v>
      </c>
      <c r="C181" s="1" t="n">
        <v>46194</v>
      </c>
      <c r="D181" t="inlineStr">
        <is>
          <t>STOCKHOLMS LÄN</t>
        </is>
      </c>
      <c r="E181" t="inlineStr">
        <is>
          <t>NORRTÄLJE</t>
        </is>
      </c>
      <c r="G181" t="n">
        <v>23.8</v>
      </c>
      <c r="H181" t="n">
        <v>1</v>
      </c>
      <c r="I181" t="n">
        <v>0</v>
      </c>
      <c r="J181" t="n">
        <v>1</v>
      </c>
      <c r="K181" t="n">
        <v>0</v>
      </c>
      <c r="L181" t="n">
        <v>0</v>
      </c>
      <c r="M181" t="n">
        <v>0</v>
      </c>
      <c r="N181" t="n">
        <v>0</v>
      </c>
      <c r="O181" t="n">
        <v>1</v>
      </c>
      <c r="P181" t="n">
        <v>0</v>
      </c>
      <c r="Q181" t="n">
        <v>1</v>
      </c>
      <c r="R181" s="2" t="inlineStr">
        <is>
          <t>Talltita</t>
        </is>
      </c>
      <c r="S181">
        <f>HYPERLINK("https://klasma.github.io/Logging_0188/artfynd/A 53499-2025 artfynd.xlsx", "A 53499-2025")</f>
        <v/>
      </c>
      <c r="T181">
        <f>HYPERLINK("https://klasma.github.io/Logging_0188/kartor/A 53499-2025 karta.png", "A 53499-2025")</f>
        <v/>
      </c>
      <c r="V181">
        <f>HYPERLINK("https://klasma.github.io/Logging_0188/klagomål/A 53499-2025 FSC-klagomål.docx", "A 53499-2025")</f>
        <v/>
      </c>
      <c r="W181">
        <f>HYPERLINK("https://klasma.github.io/Logging_0188/klagomålsmail/A 53499-2025 FSC-klagomål mail.docx", "A 53499-2025")</f>
        <v/>
      </c>
      <c r="X181">
        <f>HYPERLINK("https://klasma.github.io/Logging_0188/tillsyn/A 53499-2025 tillsynsbegäran.docx", "A 53499-2025")</f>
        <v/>
      </c>
      <c r="Y181">
        <f>HYPERLINK("https://klasma.github.io/Logging_0188/tillsynsmail/A 53499-2025 tillsynsbegäran mail.docx", "A 53499-2025")</f>
        <v/>
      </c>
      <c r="Z181">
        <f>HYPERLINK("https://klasma.github.io/Logging_0188/fåglar/A 53499-2025 prioriterade fågelarter.docx", "A 53499-2025")</f>
        <v/>
      </c>
    </row>
    <row r="182" ht="15" customHeight="1">
      <c r="A182" t="inlineStr">
        <is>
          <t>A 31140-2023</t>
        </is>
      </c>
      <c r="B182" s="1" t="n">
        <v>45113</v>
      </c>
      <c r="C182" s="1" t="n">
        <v>46194</v>
      </c>
      <c r="D182" t="inlineStr">
        <is>
          <t>STOCKHOLMS LÄN</t>
        </is>
      </c>
      <c r="E182" t="inlineStr">
        <is>
          <t>NORRTÄLJE</t>
        </is>
      </c>
      <c r="G182" t="n">
        <v>1.3</v>
      </c>
      <c r="H182" t="n">
        <v>0</v>
      </c>
      <c r="I182" t="n">
        <v>0</v>
      </c>
      <c r="J182" t="n">
        <v>1</v>
      </c>
      <c r="K182" t="n">
        <v>0</v>
      </c>
      <c r="L182" t="n">
        <v>0</v>
      </c>
      <c r="M182" t="n">
        <v>0</v>
      </c>
      <c r="N182" t="n">
        <v>0</v>
      </c>
      <c r="O182" t="n">
        <v>1</v>
      </c>
      <c r="P182" t="n">
        <v>0</v>
      </c>
      <c r="Q182" t="n">
        <v>1</v>
      </c>
      <c r="R182" s="2" t="inlineStr">
        <is>
          <t>Krusfrö</t>
        </is>
      </c>
      <c r="S182">
        <f>HYPERLINK("https://klasma.github.io/Logging_0188/artfynd/A 31140-2023 artfynd.xlsx", "A 31140-2023")</f>
        <v/>
      </c>
      <c r="T182">
        <f>HYPERLINK("https://klasma.github.io/Logging_0188/kartor/A 31140-2023 karta.png", "A 31140-2023")</f>
        <v/>
      </c>
      <c r="V182">
        <f>HYPERLINK("https://klasma.github.io/Logging_0188/klagomål/A 31140-2023 FSC-klagomål.docx", "A 31140-2023")</f>
        <v/>
      </c>
      <c r="W182">
        <f>HYPERLINK("https://klasma.github.io/Logging_0188/klagomålsmail/A 31140-2023 FSC-klagomål mail.docx", "A 31140-2023")</f>
        <v/>
      </c>
      <c r="X182">
        <f>HYPERLINK("https://klasma.github.io/Logging_0188/tillsyn/A 31140-2023 tillsynsbegäran.docx", "A 31140-2023")</f>
        <v/>
      </c>
      <c r="Y182">
        <f>HYPERLINK("https://klasma.github.io/Logging_0188/tillsynsmail/A 31140-2023 tillsynsbegäran mail.docx", "A 31140-2023")</f>
        <v/>
      </c>
    </row>
    <row r="183" ht="15" customHeight="1">
      <c r="A183" t="inlineStr">
        <is>
          <t>A 33279-2025</t>
        </is>
      </c>
      <c r="B183" s="1" t="n">
        <v>45840</v>
      </c>
      <c r="C183" s="1" t="n">
        <v>46194</v>
      </c>
      <c r="D183" t="inlineStr">
        <is>
          <t>STOCKHOLMS LÄN</t>
        </is>
      </c>
      <c r="E183" t="inlineStr">
        <is>
          <t>NORRTÄLJE</t>
        </is>
      </c>
      <c r="G183" t="n">
        <v>1.8</v>
      </c>
      <c r="H183" t="n">
        <v>0</v>
      </c>
      <c r="I183" t="n">
        <v>1</v>
      </c>
      <c r="J183" t="n">
        <v>0</v>
      </c>
      <c r="K183" t="n">
        <v>0</v>
      </c>
      <c r="L183" t="n">
        <v>0</v>
      </c>
      <c r="M183" t="n">
        <v>0</v>
      </c>
      <c r="N183" t="n">
        <v>0</v>
      </c>
      <c r="O183" t="n">
        <v>0</v>
      </c>
      <c r="P183" t="n">
        <v>0</v>
      </c>
      <c r="Q183" t="n">
        <v>1</v>
      </c>
      <c r="R183" s="2" t="inlineStr">
        <is>
          <t>Platt fjädermossa</t>
        </is>
      </c>
      <c r="S183">
        <f>HYPERLINK("https://klasma.github.io/Logging_0188/artfynd/A 33279-2025 artfynd.xlsx", "A 33279-2025")</f>
        <v/>
      </c>
      <c r="T183">
        <f>HYPERLINK("https://klasma.github.io/Logging_0188/kartor/A 33279-2025 karta.png", "A 33279-2025")</f>
        <v/>
      </c>
      <c r="V183">
        <f>HYPERLINK("https://klasma.github.io/Logging_0188/klagomål/A 33279-2025 FSC-klagomål.docx", "A 33279-2025")</f>
        <v/>
      </c>
      <c r="W183">
        <f>HYPERLINK("https://klasma.github.io/Logging_0188/klagomålsmail/A 33279-2025 FSC-klagomål mail.docx", "A 33279-2025")</f>
        <v/>
      </c>
      <c r="X183">
        <f>HYPERLINK("https://klasma.github.io/Logging_0188/tillsyn/A 33279-2025 tillsynsbegäran.docx", "A 33279-2025")</f>
        <v/>
      </c>
      <c r="Y183">
        <f>HYPERLINK("https://klasma.github.io/Logging_0188/tillsynsmail/A 33279-2025 tillsynsbegäran mail.docx", "A 33279-2025")</f>
        <v/>
      </c>
    </row>
    <row r="184" ht="15" customHeight="1">
      <c r="A184" t="inlineStr">
        <is>
          <t>A 8371-2025</t>
        </is>
      </c>
      <c r="B184" s="1" t="n">
        <v>45708</v>
      </c>
      <c r="C184" s="1" t="n">
        <v>46194</v>
      </c>
      <c r="D184" t="inlineStr">
        <is>
          <t>STOCKHOLMS LÄN</t>
        </is>
      </c>
      <c r="E184" t="inlineStr">
        <is>
          <t>NORRTÄLJE</t>
        </is>
      </c>
      <c r="F184" t="inlineStr">
        <is>
          <t>Övriga Aktiebolag</t>
        </is>
      </c>
      <c r="G184" t="n">
        <v>2.9</v>
      </c>
      <c r="H184" t="n">
        <v>1</v>
      </c>
      <c r="I184" t="n">
        <v>0</v>
      </c>
      <c r="J184" t="n">
        <v>0</v>
      </c>
      <c r="K184" t="n">
        <v>0</v>
      </c>
      <c r="L184" t="n">
        <v>0</v>
      </c>
      <c r="M184" t="n">
        <v>0</v>
      </c>
      <c r="N184" t="n">
        <v>0</v>
      </c>
      <c r="O184" t="n">
        <v>0</v>
      </c>
      <c r="P184" t="n">
        <v>0</v>
      </c>
      <c r="Q184" t="n">
        <v>1</v>
      </c>
      <c r="R184" s="2" t="inlineStr">
        <is>
          <t>Spillkråka</t>
        </is>
      </c>
      <c r="S184">
        <f>HYPERLINK("https://klasma.github.io/Logging_0188/artfynd/A 8371-2025 artfynd.xlsx", "A 8371-2025")</f>
        <v/>
      </c>
      <c r="T184">
        <f>HYPERLINK("https://klasma.github.io/Logging_0188/kartor/A 8371-2025 karta.png", "A 8371-2025")</f>
        <v/>
      </c>
      <c r="V184">
        <f>HYPERLINK("https://klasma.github.io/Logging_0188/klagomål/A 8371-2025 FSC-klagomål.docx", "A 8371-2025")</f>
        <v/>
      </c>
      <c r="W184">
        <f>HYPERLINK("https://klasma.github.io/Logging_0188/klagomålsmail/A 8371-2025 FSC-klagomål mail.docx", "A 8371-2025")</f>
        <v/>
      </c>
      <c r="X184">
        <f>HYPERLINK("https://klasma.github.io/Logging_0188/tillsyn/A 8371-2025 tillsynsbegäran.docx", "A 8371-2025")</f>
        <v/>
      </c>
      <c r="Y184">
        <f>HYPERLINK("https://klasma.github.io/Logging_0188/tillsynsmail/A 8371-2025 tillsynsbegäran mail.docx", "A 8371-2025")</f>
        <v/>
      </c>
      <c r="Z184">
        <f>HYPERLINK("https://klasma.github.io/Logging_0188/fåglar/A 8371-2025 prioriterade fågelarter.docx", "A 8371-2025")</f>
        <v/>
      </c>
    </row>
    <row r="185" ht="15" customHeight="1">
      <c r="A185" t="inlineStr">
        <is>
          <t>A 13718-2022</t>
        </is>
      </c>
      <c r="B185" s="1" t="n">
        <v>44649</v>
      </c>
      <c r="C185" s="1" t="n">
        <v>46194</v>
      </c>
      <c r="D185" t="inlineStr">
        <is>
          <t>STOCKHOLMS LÄN</t>
        </is>
      </c>
      <c r="E185" t="inlineStr">
        <is>
          <t>NORRTÄLJE</t>
        </is>
      </c>
      <c r="G185" t="n">
        <v>8.800000000000001</v>
      </c>
      <c r="H185" t="n">
        <v>0</v>
      </c>
      <c r="I185" t="n">
        <v>0</v>
      </c>
      <c r="J185" t="n">
        <v>1</v>
      </c>
      <c r="K185" t="n">
        <v>0</v>
      </c>
      <c r="L185" t="n">
        <v>0</v>
      </c>
      <c r="M185" t="n">
        <v>0</v>
      </c>
      <c r="N185" t="n">
        <v>0</v>
      </c>
      <c r="O185" t="n">
        <v>1</v>
      </c>
      <c r="P185" t="n">
        <v>0</v>
      </c>
      <c r="Q185" t="n">
        <v>1</v>
      </c>
      <c r="R185" s="2" t="inlineStr">
        <is>
          <t>Flattoppad klubbsvamp</t>
        </is>
      </c>
      <c r="S185">
        <f>HYPERLINK("https://klasma.github.io/Logging_0188/artfynd/A 13718-2022 artfynd.xlsx", "A 13718-2022")</f>
        <v/>
      </c>
      <c r="T185">
        <f>HYPERLINK("https://klasma.github.io/Logging_0188/kartor/A 13718-2022 karta.png", "A 13718-2022")</f>
        <v/>
      </c>
      <c r="V185">
        <f>HYPERLINK("https://klasma.github.io/Logging_0188/klagomål/A 13718-2022 FSC-klagomål.docx", "A 13718-2022")</f>
        <v/>
      </c>
      <c r="W185">
        <f>HYPERLINK("https://klasma.github.io/Logging_0188/klagomålsmail/A 13718-2022 FSC-klagomål mail.docx", "A 13718-2022")</f>
        <v/>
      </c>
      <c r="X185">
        <f>HYPERLINK("https://klasma.github.io/Logging_0188/tillsyn/A 13718-2022 tillsynsbegäran.docx", "A 13718-2022")</f>
        <v/>
      </c>
      <c r="Y185">
        <f>HYPERLINK("https://klasma.github.io/Logging_0188/tillsynsmail/A 13718-2022 tillsynsbegäran mail.docx", "A 13718-2022")</f>
        <v/>
      </c>
    </row>
    <row r="186" ht="15" customHeight="1">
      <c r="A186" t="inlineStr">
        <is>
          <t>A 4580-2025</t>
        </is>
      </c>
      <c r="B186" s="1" t="n">
        <v>45687</v>
      </c>
      <c r="C186" s="1" t="n">
        <v>46194</v>
      </c>
      <c r="D186" t="inlineStr">
        <is>
          <t>STOCKHOLMS LÄN</t>
        </is>
      </c>
      <c r="E186" t="inlineStr">
        <is>
          <t>NORRTÄLJE</t>
        </is>
      </c>
      <c r="F186" t="inlineStr">
        <is>
          <t>Holmen skog AB</t>
        </is>
      </c>
      <c r="G186" t="n">
        <v>4.8</v>
      </c>
      <c r="H186" t="n">
        <v>1</v>
      </c>
      <c r="I186" t="n">
        <v>0</v>
      </c>
      <c r="J186" t="n">
        <v>0</v>
      </c>
      <c r="K186" t="n">
        <v>0</v>
      </c>
      <c r="L186" t="n">
        <v>1</v>
      </c>
      <c r="M186" t="n">
        <v>0</v>
      </c>
      <c r="N186" t="n">
        <v>0</v>
      </c>
      <c r="O186" t="n">
        <v>1</v>
      </c>
      <c r="P186" t="n">
        <v>1</v>
      </c>
      <c r="Q186" t="n">
        <v>1</v>
      </c>
      <c r="R186" s="2" t="inlineStr">
        <is>
          <t>Asknätfjäril</t>
        </is>
      </c>
      <c r="S186">
        <f>HYPERLINK("https://klasma.github.io/Logging_0188/artfynd/A 4580-2025 artfynd.xlsx", "A 4580-2025")</f>
        <v/>
      </c>
      <c r="T186">
        <f>HYPERLINK("https://klasma.github.io/Logging_0188/kartor/A 4580-2025 karta.png", "A 4580-2025")</f>
        <v/>
      </c>
      <c r="V186">
        <f>HYPERLINK("https://klasma.github.io/Logging_0188/klagomål/A 4580-2025 FSC-klagomål.docx", "A 4580-2025")</f>
        <v/>
      </c>
      <c r="W186">
        <f>HYPERLINK("https://klasma.github.io/Logging_0188/klagomålsmail/A 4580-2025 FSC-klagomål mail.docx", "A 4580-2025")</f>
        <v/>
      </c>
      <c r="X186">
        <f>HYPERLINK("https://klasma.github.io/Logging_0188/tillsyn/A 4580-2025 tillsynsbegäran.docx", "A 4580-2025")</f>
        <v/>
      </c>
      <c r="Y186">
        <f>HYPERLINK("https://klasma.github.io/Logging_0188/tillsynsmail/A 4580-2025 tillsynsbegäran mail.docx", "A 4580-2025")</f>
        <v/>
      </c>
    </row>
    <row r="187" ht="15" customHeight="1">
      <c r="A187" t="inlineStr">
        <is>
          <t>A 52321-2024</t>
        </is>
      </c>
      <c r="B187" s="1" t="n">
        <v>45608</v>
      </c>
      <c r="C187" s="1" t="n">
        <v>46194</v>
      </c>
      <c r="D187" t="inlineStr">
        <is>
          <t>STOCKHOLMS LÄN</t>
        </is>
      </c>
      <c r="E187" t="inlineStr">
        <is>
          <t>NORRTÄLJE</t>
        </is>
      </c>
      <c r="G187" t="n">
        <v>18.1</v>
      </c>
      <c r="H187" t="n">
        <v>0</v>
      </c>
      <c r="I187" t="n">
        <v>0</v>
      </c>
      <c r="J187" t="n">
        <v>0</v>
      </c>
      <c r="K187" t="n">
        <v>0</v>
      </c>
      <c r="L187" t="n">
        <v>0</v>
      </c>
      <c r="M187" t="n">
        <v>0</v>
      </c>
      <c r="N187" t="n">
        <v>0</v>
      </c>
      <c r="O187" t="n">
        <v>0</v>
      </c>
      <c r="P187" t="n">
        <v>0</v>
      </c>
      <c r="Q187" t="n">
        <v>1</v>
      </c>
      <c r="R187" s="2" t="inlineStr">
        <is>
          <t>Smånunneört</t>
        </is>
      </c>
      <c r="S187">
        <f>HYPERLINK("https://klasma.github.io/Logging_0188/artfynd/A 52321-2024 artfynd.xlsx", "A 52321-2024")</f>
        <v/>
      </c>
      <c r="T187">
        <f>HYPERLINK("https://klasma.github.io/Logging_0188/kartor/A 52321-2024 karta.png", "A 52321-2024")</f>
        <v/>
      </c>
      <c r="V187">
        <f>HYPERLINK("https://klasma.github.io/Logging_0188/klagomål/A 52321-2024 FSC-klagomål.docx", "A 52321-2024")</f>
        <v/>
      </c>
      <c r="W187">
        <f>HYPERLINK("https://klasma.github.io/Logging_0188/klagomålsmail/A 52321-2024 FSC-klagomål mail.docx", "A 52321-2024")</f>
        <v/>
      </c>
      <c r="X187">
        <f>HYPERLINK("https://klasma.github.io/Logging_0188/tillsyn/A 52321-2024 tillsynsbegäran.docx", "A 52321-2024")</f>
        <v/>
      </c>
      <c r="Y187">
        <f>HYPERLINK("https://klasma.github.io/Logging_0188/tillsynsmail/A 52321-2024 tillsynsbegäran mail.docx", "A 52321-2024")</f>
        <v/>
      </c>
    </row>
    <row r="188" ht="15" customHeight="1">
      <c r="A188" t="inlineStr">
        <is>
          <t>A 4532-2025</t>
        </is>
      </c>
      <c r="B188" s="1" t="n">
        <v>45687</v>
      </c>
      <c r="C188" s="1" t="n">
        <v>46194</v>
      </c>
      <c r="D188" t="inlineStr">
        <is>
          <t>STOCKHOLMS LÄN</t>
        </is>
      </c>
      <c r="E188" t="inlineStr">
        <is>
          <t>NORRTÄLJE</t>
        </is>
      </c>
      <c r="F188" t="inlineStr">
        <is>
          <t>Holmen skog AB</t>
        </is>
      </c>
      <c r="G188" t="n">
        <v>6.4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4532-2025 artfynd.xlsx", "A 4532-2025")</f>
        <v/>
      </c>
      <c r="T188">
        <f>HYPERLINK("https://klasma.github.io/Logging_0188/kartor/A 4532-2025 karta.png", "A 4532-2025")</f>
        <v/>
      </c>
      <c r="V188">
        <f>HYPERLINK("https://klasma.github.io/Logging_0188/klagomål/A 4532-2025 FSC-klagomål.docx", "A 4532-2025")</f>
        <v/>
      </c>
      <c r="W188">
        <f>HYPERLINK("https://klasma.github.io/Logging_0188/klagomålsmail/A 4532-2025 FSC-klagomål mail.docx", "A 4532-2025")</f>
        <v/>
      </c>
      <c r="X188">
        <f>HYPERLINK("https://klasma.github.io/Logging_0188/tillsyn/A 4532-2025 tillsynsbegäran.docx", "A 4532-2025")</f>
        <v/>
      </c>
      <c r="Y188">
        <f>HYPERLINK("https://klasma.github.io/Logging_0188/tillsynsmail/A 4532-2025 tillsynsbegäran mail.docx", "A 4532-2025")</f>
        <v/>
      </c>
    </row>
    <row r="189" ht="15" customHeight="1">
      <c r="A189" t="inlineStr">
        <is>
          <t>A 51312-2023</t>
        </is>
      </c>
      <c r="B189" s="1" t="n">
        <v>45219</v>
      </c>
      <c r="C189" s="1" t="n">
        <v>46194</v>
      </c>
      <c r="D189" t="inlineStr">
        <is>
          <t>STOCKHOLMS LÄN</t>
        </is>
      </c>
      <c r="E189" t="inlineStr">
        <is>
          <t>NORRTÄLJE</t>
        </is>
      </c>
      <c r="G189" t="n">
        <v>1.9</v>
      </c>
      <c r="H189" t="n">
        <v>1</v>
      </c>
      <c r="I189" t="n">
        <v>0</v>
      </c>
      <c r="J189" t="n">
        <v>0</v>
      </c>
      <c r="K189" t="n">
        <v>1</v>
      </c>
      <c r="L189" t="n">
        <v>0</v>
      </c>
      <c r="M189" t="n">
        <v>0</v>
      </c>
      <c r="N189" t="n">
        <v>0</v>
      </c>
      <c r="O189" t="n">
        <v>1</v>
      </c>
      <c r="P189" t="n">
        <v>1</v>
      </c>
      <c r="Q189" t="n">
        <v>1</v>
      </c>
      <c r="R189" s="2" t="inlineStr">
        <is>
          <t>Hällebräcka</t>
        </is>
      </c>
      <c r="S189">
        <f>HYPERLINK("https://klasma.github.io/Logging_0188/artfynd/A 51312-2023 artfynd.xlsx", "A 51312-2023")</f>
        <v/>
      </c>
      <c r="T189">
        <f>HYPERLINK("https://klasma.github.io/Logging_0188/kartor/A 51312-2023 karta.png", "A 51312-2023")</f>
        <v/>
      </c>
      <c r="V189">
        <f>HYPERLINK("https://klasma.github.io/Logging_0188/klagomål/A 51312-2023 FSC-klagomål.docx", "A 51312-2023")</f>
        <v/>
      </c>
      <c r="W189">
        <f>HYPERLINK("https://klasma.github.io/Logging_0188/klagomålsmail/A 51312-2023 FSC-klagomål mail.docx", "A 51312-2023")</f>
        <v/>
      </c>
      <c r="X189">
        <f>HYPERLINK("https://klasma.github.io/Logging_0188/tillsyn/A 51312-2023 tillsynsbegäran.docx", "A 51312-2023")</f>
        <v/>
      </c>
      <c r="Y189">
        <f>HYPERLINK("https://klasma.github.io/Logging_0188/tillsynsmail/A 51312-2023 tillsynsbegäran mail.docx", "A 51312-2023")</f>
        <v/>
      </c>
    </row>
    <row r="190" ht="15" customHeight="1">
      <c r="A190" t="inlineStr">
        <is>
          <t>A 38610-2022</t>
        </is>
      </c>
      <c r="B190" s="1" t="n">
        <v>44813</v>
      </c>
      <c r="C190" s="1" t="n">
        <v>46194</v>
      </c>
      <c r="D190" t="inlineStr">
        <is>
          <t>STOCKHOLMS LÄN</t>
        </is>
      </c>
      <c r="E190" t="inlineStr">
        <is>
          <t>NORRTÄLJE</t>
        </is>
      </c>
      <c r="G190" t="n">
        <v>1.9</v>
      </c>
      <c r="H190" t="n">
        <v>1</v>
      </c>
      <c r="I190" t="n">
        <v>0</v>
      </c>
      <c r="J190" t="n">
        <v>0</v>
      </c>
      <c r="K190" t="n">
        <v>1</v>
      </c>
      <c r="L190" t="n">
        <v>0</v>
      </c>
      <c r="M190" t="n">
        <v>0</v>
      </c>
      <c r="N190" t="n">
        <v>0</v>
      </c>
      <c r="O190" t="n">
        <v>1</v>
      </c>
      <c r="P190" t="n">
        <v>1</v>
      </c>
      <c r="Q190" t="n">
        <v>1</v>
      </c>
      <c r="R190" s="2" t="inlineStr">
        <is>
          <t>Hällebräcka</t>
        </is>
      </c>
      <c r="S190">
        <f>HYPERLINK("https://klasma.github.io/Logging_0188/artfynd/A 38610-2022 artfynd.xlsx", "A 38610-2022")</f>
        <v/>
      </c>
      <c r="T190">
        <f>HYPERLINK("https://klasma.github.io/Logging_0188/kartor/A 38610-2022 karta.png", "A 38610-2022")</f>
        <v/>
      </c>
      <c r="V190">
        <f>HYPERLINK("https://klasma.github.io/Logging_0188/klagomål/A 38610-2022 FSC-klagomål.docx", "A 38610-2022")</f>
        <v/>
      </c>
      <c r="W190">
        <f>HYPERLINK("https://klasma.github.io/Logging_0188/klagomålsmail/A 38610-2022 FSC-klagomål mail.docx", "A 38610-2022")</f>
        <v/>
      </c>
      <c r="X190">
        <f>HYPERLINK("https://klasma.github.io/Logging_0188/tillsyn/A 38610-2022 tillsynsbegäran.docx", "A 38610-2022")</f>
        <v/>
      </c>
      <c r="Y190">
        <f>HYPERLINK("https://klasma.github.io/Logging_0188/tillsynsmail/A 38610-2022 tillsynsbegäran mail.docx", "A 38610-2022")</f>
        <v/>
      </c>
    </row>
    <row r="191" ht="15" customHeight="1">
      <c r="A191" t="inlineStr">
        <is>
          <t>A 21150-2022</t>
        </is>
      </c>
      <c r="B191" s="1" t="n">
        <v>44704</v>
      </c>
      <c r="C191" s="1" t="n">
        <v>46194</v>
      </c>
      <c r="D191" t="inlineStr">
        <is>
          <t>STOCKHOLMS LÄN</t>
        </is>
      </c>
      <c r="E191" t="inlineStr">
        <is>
          <t>NORRTÄLJE</t>
        </is>
      </c>
      <c r="G191" t="n">
        <v>12.5</v>
      </c>
      <c r="H191" t="n">
        <v>1</v>
      </c>
      <c r="I191" t="n">
        <v>0</v>
      </c>
      <c r="J191" t="n">
        <v>0</v>
      </c>
      <c r="K191" t="n">
        <v>0</v>
      </c>
      <c r="L191" t="n">
        <v>1</v>
      </c>
      <c r="M191" t="n">
        <v>0</v>
      </c>
      <c r="N191" t="n">
        <v>0</v>
      </c>
      <c r="O191" t="n">
        <v>1</v>
      </c>
      <c r="P191" t="n">
        <v>1</v>
      </c>
      <c r="Q191" t="n">
        <v>1</v>
      </c>
      <c r="R191" s="2" t="inlineStr">
        <is>
          <t>Asknätfjäril</t>
        </is>
      </c>
      <c r="S191">
        <f>HYPERLINK("https://klasma.github.io/Logging_0188/artfynd/A 21150-2022 artfynd.xlsx", "A 21150-2022")</f>
        <v/>
      </c>
      <c r="T191">
        <f>HYPERLINK("https://klasma.github.io/Logging_0188/kartor/A 21150-2022 karta.png", "A 21150-2022")</f>
        <v/>
      </c>
      <c r="V191">
        <f>HYPERLINK("https://klasma.github.io/Logging_0188/klagomål/A 21150-2022 FSC-klagomål.docx", "A 21150-2022")</f>
        <v/>
      </c>
      <c r="W191">
        <f>HYPERLINK("https://klasma.github.io/Logging_0188/klagomålsmail/A 21150-2022 FSC-klagomål mail.docx", "A 21150-2022")</f>
        <v/>
      </c>
      <c r="X191">
        <f>HYPERLINK("https://klasma.github.io/Logging_0188/tillsyn/A 21150-2022 tillsynsbegäran.docx", "A 21150-2022")</f>
        <v/>
      </c>
      <c r="Y191">
        <f>HYPERLINK("https://klasma.github.io/Logging_0188/tillsynsmail/A 21150-2022 tillsynsbegäran mail.docx", "A 21150-2022")</f>
        <v/>
      </c>
    </row>
    <row r="192" ht="15" customHeight="1">
      <c r="A192" t="inlineStr">
        <is>
          <t>A 11-2024</t>
        </is>
      </c>
      <c r="B192" s="1" t="n">
        <v>45293</v>
      </c>
      <c r="C192" s="1" t="n">
        <v>46194</v>
      </c>
      <c r="D192" t="inlineStr">
        <is>
          <t>STOCKHOLMS LÄN</t>
        </is>
      </c>
      <c r="E192" t="inlineStr">
        <is>
          <t>NORRTÄLJE</t>
        </is>
      </c>
      <c r="F192" t="inlineStr">
        <is>
          <t>Sveaskog</t>
        </is>
      </c>
      <c r="G192" t="n">
        <v>3.2</v>
      </c>
      <c r="H192" t="n">
        <v>1</v>
      </c>
      <c r="I192" t="n">
        <v>0</v>
      </c>
      <c r="J192" t="n">
        <v>1</v>
      </c>
      <c r="K192" t="n">
        <v>0</v>
      </c>
      <c r="L192" t="n">
        <v>0</v>
      </c>
      <c r="M192" t="n">
        <v>0</v>
      </c>
      <c r="N192" t="n">
        <v>0</v>
      </c>
      <c r="O192" t="n">
        <v>1</v>
      </c>
      <c r="P192" t="n">
        <v>0</v>
      </c>
      <c r="Q192" t="n">
        <v>1</v>
      </c>
      <c r="R192" s="2" t="inlineStr">
        <is>
          <t>Talltita</t>
        </is>
      </c>
      <c r="S192">
        <f>HYPERLINK("https://klasma.github.io/Logging_0188/artfynd/A 11-2024 artfynd.xlsx", "A 11-2024")</f>
        <v/>
      </c>
      <c r="T192">
        <f>HYPERLINK("https://klasma.github.io/Logging_0188/kartor/A 11-2024 karta.png", "A 11-2024")</f>
        <v/>
      </c>
      <c r="V192">
        <f>HYPERLINK("https://klasma.github.io/Logging_0188/klagomål/A 11-2024 FSC-klagomål.docx", "A 11-2024")</f>
        <v/>
      </c>
      <c r="W192">
        <f>HYPERLINK("https://klasma.github.io/Logging_0188/klagomålsmail/A 11-2024 FSC-klagomål mail.docx", "A 11-2024")</f>
        <v/>
      </c>
      <c r="X192">
        <f>HYPERLINK("https://klasma.github.io/Logging_0188/tillsyn/A 11-2024 tillsynsbegäran.docx", "A 11-2024")</f>
        <v/>
      </c>
      <c r="Y192">
        <f>HYPERLINK("https://klasma.github.io/Logging_0188/tillsynsmail/A 11-2024 tillsynsbegäran mail.docx", "A 11-2024")</f>
        <v/>
      </c>
      <c r="Z192">
        <f>HYPERLINK("https://klasma.github.io/Logging_0188/fåglar/A 11-2024 prioriterade fågelarter.docx", "A 11-2024")</f>
        <v/>
      </c>
    </row>
    <row r="193" ht="15" customHeight="1">
      <c r="A193" t="inlineStr">
        <is>
          <t>A 26120-2024</t>
        </is>
      </c>
      <c r="B193" s="1" t="n">
        <v>45468</v>
      </c>
      <c r="C193" s="1" t="n">
        <v>46194</v>
      </c>
      <c r="D193" t="inlineStr">
        <is>
          <t>STOCKHOLMS LÄN</t>
        </is>
      </c>
      <c r="E193" t="inlineStr">
        <is>
          <t>NORRTÄLJE</t>
        </is>
      </c>
      <c r="G193" t="n">
        <v>1.8</v>
      </c>
      <c r="H193" t="n">
        <v>0</v>
      </c>
      <c r="I193" t="n">
        <v>0</v>
      </c>
      <c r="J193" t="n">
        <v>1</v>
      </c>
      <c r="K193" t="n">
        <v>0</v>
      </c>
      <c r="L193" t="n">
        <v>0</v>
      </c>
      <c r="M193" t="n">
        <v>0</v>
      </c>
      <c r="N193" t="n">
        <v>0</v>
      </c>
      <c r="O193" t="n">
        <v>1</v>
      </c>
      <c r="P193" t="n">
        <v>0</v>
      </c>
      <c r="Q193" t="n">
        <v>1</v>
      </c>
      <c r="R193" s="2" t="inlineStr">
        <is>
          <t>Majviva</t>
        </is>
      </c>
      <c r="S193">
        <f>HYPERLINK("https://klasma.github.io/Logging_0188/artfynd/A 26120-2024 artfynd.xlsx", "A 26120-2024")</f>
        <v/>
      </c>
      <c r="T193">
        <f>HYPERLINK("https://klasma.github.io/Logging_0188/kartor/A 26120-2024 karta.png", "A 26120-2024")</f>
        <v/>
      </c>
      <c r="V193">
        <f>HYPERLINK("https://klasma.github.io/Logging_0188/klagomål/A 26120-2024 FSC-klagomål.docx", "A 26120-2024")</f>
        <v/>
      </c>
      <c r="W193">
        <f>HYPERLINK("https://klasma.github.io/Logging_0188/klagomålsmail/A 26120-2024 FSC-klagomål mail.docx", "A 26120-2024")</f>
        <v/>
      </c>
      <c r="X193">
        <f>HYPERLINK("https://klasma.github.io/Logging_0188/tillsyn/A 26120-2024 tillsynsbegäran.docx", "A 26120-2024")</f>
        <v/>
      </c>
      <c r="Y193">
        <f>HYPERLINK("https://klasma.github.io/Logging_0188/tillsynsmail/A 26120-2024 tillsynsbegäran mail.docx", "A 26120-2024")</f>
        <v/>
      </c>
    </row>
    <row r="194" ht="15" customHeight="1">
      <c r="A194" t="inlineStr">
        <is>
          <t>A 11429-2023</t>
        </is>
      </c>
      <c r="B194" s="1" t="n">
        <v>44993</v>
      </c>
      <c r="C194" s="1" t="n">
        <v>46194</v>
      </c>
      <c r="D194" t="inlineStr">
        <is>
          <t>STOCKHOLMS LÄN</t>
        </is>
      </c>
      <c r="E194" t="inlineStr">
        <is>
          <t>NORRTÄLJE</t>
        </is>
      </c>
      <c r="G194" t="n">
        <v>2</v>
      </c>
      <c r="H194" t="n">
        <v>0</v>
      </c>
      <c r="I194" t="n">
        <v>0</v>
      </c>
      <c r="J194" t="n">
        <v>1</v>
      </c>
      <c r="K194" t="n">
        <v>0</v>
      </c>
      <c r="L194" t="n">
        <v>0</v>
      </c>
      <c r="M194" t="n">
        <v>0</v>
      </c>
      <c r="N194" t="n">
        <v>0</v>
      </c>
      <c r="O194" t="n">
        <v>1</v>
      </c>
      <c r="P194" t="n">
        <v>0</v>
      </c>
      <c r="Q194" t="n">
        <v>1</v>
      </c>
      <c r="R194" s="2" t="inlineStr">
        <is>
          <t>Skogsklocka</t>
        </is>
      </c>
      <c r="S194">
        <f>HYPERLINK("https://klasma.github.io/Logging_0188/artfynd/A 11429-2023 artfynd.xlsx", "A 11429-2023")</f>
        <v/>
      </c>
      <c r="T194">
        <f>HYPERLINK("https://klasma.github.io/Logging_0188/kartor/A 11429-2023 karta.png", "A 11429-2023")</f>
        <v/>
      </c>
      <c r="V194">
        <f>HYPERLINK("https://klasma.github.io/Logging_0188/klagomål/A 11429-2023 FSC-klagomål.docx", "A 11429-2023")</f>
        <v/>
      </c>
      <c r="W194">
        <f>HYPERLINK("https://klasma.github.io/Logging_0188/klagomålsmail/A 11429-2023 FSC-klagomål mail.docx", "A 11429-2023")</f>
        <v/>
      </c>
      <c r="X194">
        <f>HYPERLINK("https://klasma.github.io/Logging_0188/tillsyn/A 11429-2023 tillsynsbegäran.docx", "A 11429-2023")</f>
        <v/>
      </c>
      <c r="Y194">
        <f>HYPERLINK("https://klasma.github.io/Logging_0188/tillsynsmail/A 11429-2023 tillsynsbegäran mail.docx", "A 11429-2023")</f>
        <v/>
      </c>
    </row>
    <row r="195" ht="15" customHeight="1">
      <c r="A195" t="inlineStr">
        <is>
          <t>A 13109-2026</t>
        </is>
      </c>
      <c r="B195" s="1" t="n">
        <v>46093</v>
      </c>
      <c r="C195" s="1" t="n">
        <v>46194</v>
      </c>
      <c r="D195" t="inlineStr">
        <is>
          <t>STOCKHOLMS LÄN</t>
        </is>
      </c>
      <c r="E195" t="inlineStr">
        <is>
          <t>NORRTÄLJE</t>
        </is>
      </c>
      <c r="G195" t="n">
        <v>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13109-2026 artfynd.xlsx", "A 13109-2026")</f>
        <v/>
      </c>
      <c r="T195">
        <f>HYPERLINK("https://klasma.github.io/Logging_0188/kartor/A 13109-2026 karta.png", "A 13109-2026")</f>
        <v/>
      </c>
      <c r="V195">
        <f>HYPERLINK("https://klasma.github.io/Logging_0188/klagomål/A 13109-2026 FSC-klagomål.docx", "A 13109-2026")</f>
        <v/>
      </c>
      <c r="W195">
        <f>HYPERLINK("https://klasma.github.io/Logging_0188/klagomålsmail/A 13109-2026 FSC-klagomål mail.docx", "A 13109-2026")</f>
        <v/>
      </c>
      <c r="X195">
        <f>HYPERLINK("https://klasma.github.io/Logging_0188/tillsyn/A 13109-2026 tillsynsbegäran.docx", "A 13109-2026")</f>
        <v/>
      </c>
      <c r="Y195">
        <f>HYPERLINK("https://klasma.github.io/Logging_0188/tillsynsmail/A 13109-2026 tillsynsbegäran mail.docx", "A 13109-2026")</f>
        <v/>
      </c>
    </row>
    <row r="196" ht="15" customHeight="1">
      <c r="A196" t="inlineStr">
        <is>
          <t>A 28365-2022</t>
        </is>
      </c>
      <c r="B196" s="1" t="n">
        <v>44747</v>
      </c>
      <c r="C196" s="1" t="n">
        <v>46194</v>
      </c>
      <c r="D196" t="inlineStr">
        <is>
          <t>STOCKHOLMS LÄN</t>
        </is>
      </c>
      <c r="E196" t="inlineStr">
        <is>
          <t>NORRTÄLJE</t>
        </is>
      </c>
      <c r="G196" t="n">
        <v>5.1</v>
      </c>
      <c r="H196" t="n">
        <v>0</v>
      </c>
      <c r="I196" t="n">
        <v>0</v>
      </c>
      <c r="J196" t="n">
        <v>1</v>
      </c>
      <c r="K196" t="n">
        <v>0</v>
      </c>
      <c r="L196" t="n">
        <v>0</v>
      </c>
      <c r="M196" t="n">
        <v>0</v>
      </c>
      <c r="N196" t="n">
        <v>0</v>
      </c>
      <c r="O196" t="n">
        <v>1</v>
      </c>
      <c r="P196" t="n">
        <v>0</v>
      </c>
      <c r="Q196" t="n">
        <v>1</v>
      </c>
      <c r="R196" s="2" t="inlineStr">
        <is>
          <t>Oxtungssvamp</t>
        </is>
      </c>
      <c r="S196">
        <f>HYPERLINK("https://klasma.github.io/Logging_0188/artfynd/A 28365-2022 artfynd.xlsx", "A 28365-2022")</f>
        <v/>
      </c>
      <c r="T196">
        <f>HYPERLINK("https://klasma.github.io/Logging_0188/kartor/A 28365-2022 karta.png", "A 28365-2022")</f>
        <v/>
      </c>
      <c r="V196">
        <f>HYPERLINK("https://klasma.github.io/Logging_0188/klagomål/A 28365-2022 FSC-klagomål.docx", "A 28365-2022")</f>
        <v/>
      </c>
      <c r="W196">
        <f>HYPERLINK("https://klasma.github.io/Logging_0188/klagomålsmail/A 28365-2022 FSC-klagomål mail.docx", "A 28365-2022")</f>
        <v/>
      </c>
      <c r="X196">
        <f>HYPERLINK("https://klasma.github.io/Logging_0188/tillsyn/A 28365-2022 tillsynsbegäran.docx", "A 28365-2022")</f>
        <v/>
      </c>
      <c r="Y196">
        <f>HYPERLINK("https://klasma.github.io/Logging_0188/tillsynsmail/A 28365-2022 tillsynsbegäran mail.docx", "A 28365-2022")</f>
        <v/>
      </c>
    </row>
    <row r="197" ht="15" customHeight="1">
      <c r="A197" t="inlineStr">
        <is>
          <t>A 19355-2026</t>
        </is>
      </c>
      <c r="B197" s="1" t="n">
        <v>46133</v>
      </c>
      <c r="C197" s="1" t="n">
        <v>46194</v>
      </c>
      <c r="D197" t="inlineStr">
        <is>
          <t>STOCKHOLMS LÄN</t>
        </is>
      </c>
      <c r="E197" t="inlineStr">
        <is>
          <t>NORRTÄLJE</t>
        </is>
      </c>
      <c r="G197" t="n">
        <v>22.5</v>
      </c>
      <c r="H197" t="n">
        <v>0</v>
      </c>
      <c r="I197" t="n">
        <v>1</v>
      </c>
      <c r="J197" t="n">
        <v>0</v>
      </c>
      <c r="K197" t="n">
        <v>0</v>
      </c>
      <c r="L197" t="n">
        <v>0</v>
      </c>
      <c r="M197" t="n">
        <v>0</v>
      </c>
      <c r="N197" t="n">
        <v>0</v>
      </c>
      <c r="O197" t="n">
        <v>0</v>
      </c>
      <c r="P197" t="n">
        <v>0</v>
      </c>
      <c r="Q197" t="n">
        <v>1</v>
      </c>
      <c r="R197" s="2" t="inlineStr">
        <is>
          <t>Mönjevaxing</t>
        </is>
      </c>
      <c r="S197">
        <f>HYPERLINK("https://klasma.github.io/Logging_0188/artfynd/A 19355-2026 artfynd.xlsx", "A 19355-2026")</f>
        <v/>
      </c>
      <c r="T197">
        <f>HYPERLINK("https://klasma.github.io/Logging_0188/kartor/A 19355-2026 karta.png", "A 19355-2026")</f>
        <v/>
      </c>
      <c r="V197">
        <f>HYPERLINK("https://klasma.github.io/Logging_0188/klagomål/A 19355-2026 FSC-klagomål.docx", "A 19355-2026")</f>
        <v/>
      </c>
      <c r="W197">
        <f>HYPERLINK("https://klasma.github.io/Logging_0188/klagomålsmail/A 19355-2026 FSC-klagomål mail.docx", "A 19355-2026")</f>
        <v/>
      </c>
      <c r="X197">
        <f>HYPERLINK("https://klasma.github.io/Logging_0188/tillsyn/A 19355-2026 tillsynsbegäran.docx", "A 19355-2026")</f>
        <v/>
      </c>
      <c r="Y197">
        <f>HYPERLINK("https://klasma.github.io/Logging_0188/tillsynsmail/A 19355-2026 tillsynsbegäran mail.docx", "A 19355-2026")</f>
        <v/>
      </c>
    </row>
    <row r="198" ht="15" customHeight="1">
      <c r="A198" t="inlineStr">
        <is>
          <t>A 25911-2026</t>
        </is>
      </c>
      <c r="B198" s="1" t="n">
        <v>46178</v>
      </c>
      <c r="C198" s="1" t="n">
        <v>46194</v>
      </c>
      <c r="D198" t="inlineStr">
        <is>
          <t>STOCKHOLMS LÄN</t>
        </is>
      </c>
      <c r="E198" t="inlineStr">
        <is>
          <t>NORRTÄLJE</t>
        </is>
      </c>
      <c r="G198" t="n">
        <v>11.3</v>
      </c>
      <c r="H198" t="n">
        <v>1</v>
      </c>
      <c r="I198" t="n">
        <v>0</v>
      </c>
      <c r="J198" t="n">
        <v>1</v>
      </c>
      <c r="K198" t="n">
        <v>0</v>
      </c>
      <c r="L198" t="n">
        <v>0</v>
      </c>
      <c r="M198" t="n">
        <v>0</v>
      </c>
      <c r="N198" t="n">
        <v>0</v>
      </c>
      <c r="O198" t="n">
        <v>1</v>
      </c>
      <c r="P198" t="n">
        <v>0</v>
      </c>
      <c r="Q198" t="n">
        <v>1</v>
      </c>
      <c r="R198" s="2" t="inlineStr">
        <is>
          <t>Talltita</t>
        </is>
      </c>
      <c r="S198">
        <f>HYPERLINK("https://klasma.github.io/Logging_0188/artfynd/A 25911-2026 artfynd.xlsx", "A 25911-2026")</f>
        <v/>
      </c>
      <c r="T198">
        <f>HYPERLINK("https://klasma.github.io/Logging_0188/kartor/A 25911-2026 karta.png", "A 25911-2026")</f>
        <v/>
      </c>
      <c r="V198">
        <f>HYPERLINK("https://klasma.github.io/Logging_0188/klagomål/A 25911-2026 FSC-klagomål.docx", "A 25911-2026")</f>
        <v/>
      </c>
      <c r="W198">
        <f>HYPERLINK("https://klasma.github.io/Logging_0188/klagomålsmail/A 25911-2026 FSC-klagomål mail.docx", "A 25911-2026")</f>
        <v/>
      </c>
      <c r="X198">
        <f>HYPERLINK("https://klasma.github.io/Logging_0188/tillsyn/A 25911-2026 tillsynsbegäran.docx", "A 25911-2026")</f>
        <v/>
      </c>
      <c r="Y198">
        <f>HYPERLINK("https://klasma.github.io/Logging_0188/tillsynsmail/A 25911-2026 tillsynsbegäran mail.docx", "A 25911-2026")</f>
        <v/>
      </c>
      <c r="Z198">
        <f>HYPERLINK("https://klasma.github.io/Logging_0188/fåglar/A 25911-2026 prioriterade fågelarter.docx", "A 25911-2026")</f>
        <v/>
      </c>
    </row>
    <row r="199" ht="15" customHeight="1">
      <c r="A199" t="inlineStr">
        <is>
          <t>A 25916-2026</t>
        </is>
      </c>
      <c r="B199" s="1" t="n">
        <v>46178</v>
      </c>
      <c r="C199" s="1" t="n">
        <v>46194</v>
      </c>
      <c r="D199" t="inlineStr">
        <is>
          <t>STOCKHOLMS LÄN</t>
        </is>
      </c>
      <c r="E199" t="inlineStr">
        <is>
          <t>NORRTÄLJE</t>
        </is>
      </c>
      <c r="G199" t="n">
        <v>9.5</v>
      </c>
      <c r="H199" t="n">
        <v>0</v>
      </c>
      <c r="I199" t="n">
        <v>0</v>
      </c>
      <c r="J199" t="n">
        <v>0</v>
      </c>
      <c r="K199" t="n">
        <v>0</v>
      </c>
      <c r="L199" t="n">
        <v>1</v>
      </c>
      <c r="M199" t="n">
        <v>0</v>
      </c>
      <c r="N199" t="n">
        <v>0</v>
      </c>
      <c r="O199" t="n">
        <v>1</v>
      </c>
      <c r="P199" t="n">
        <v>1</v>
      </c>
      <c r="Q199" t="n">
        <v>1</v>
      </c>
      <c r="R199" s="2" t="inlineStr">
        <is>
          <t>Violgubbe</t>
        </is>
      </c>
      <c r="S199">
        <f>HYPERLINK("https://klasma.github.io/Logging_0188/artfynd/A 25916-2026 artfynd.xlsx", "A 25916-2026")</f>
        <v/>
      </c>
      <c r="T199">
        <f>HYPERLINK("https://klasma.github.io/Logging_0188/kartor/A 25916-2026 karta.png", "A 25916-2026")</f>
        <v/>
      </c>
      <c r="V199">
        <f>HYPERLINK("https://klasma.github.io/Logging_0188/klagomål/A 25916-2026 FSC-klagomål.docx", "A 25916-2026")</f>
        <v/>
      </c>
      <c r="W199">
        <f>HYPERLINK("https://klasma.github.io/Logging_0188/klagomålsmail/A 25916-2026 FSC-klagomål mail.docx", "A 25916-2026")</f>
        <v/>
      </c>
      <c r="X199">
        <f>HYPERLINK("https://klasma.github.io/Logging_0188/tillsyn/A 25916-2026 tillsynsbegäran.docx", "A 25916-2026")</f>
        <v/>
      </c>
      <c r="Y199">
        <f>HYPERLINK("https://klasma.github.io/Logging_0188/tillsynsmail/A 25916-2026 tillsynsbegäran mail.docx", "A 25916-2026")</f>
        <v/>
      </c>
    </row>
    <row r="200" ht="15" customHeight="1">
      <c r="A200" t="inlineStr">
        <is>
          <t>A 63292-2025</t>
        </is>
      </c>
      <c r="B200" s="1" t="n">
        <v>46010</v>
      </c>
      <c r="C200" s="1" t="n">
        <v>46194</v>
      </c>
      <c r="D200" t="inlineStr">
        <is>
          <t>STOCKHOLMS LÄN</t>
        </is>
      </c>
      <c r="E200" t="inlineStr">
        <is>
          <t>NORRTÄLJE</t>
        </is>
      </c>
      <c r="G200" t="n">
        <v>11.1</v>
      </c>
      <c r="H200" t="n">
        <v>1</v>
      </c>
      <c r="I200" t="n">
        <v>1</v>
      </c>
      <c r="J200" t="n">
        <v>0</v>
      </c>
      <c r="K200" t="n">
        <v>0</v>
      </c>
      <c r="L200" t="n">
        <v>0</v>
      </c>
      <c r="M200" t="n">
        <v>0</v>
      </c>
      <c r="N200" t="n">
        <v>0</v>
      </c>
      <c r="O200" t="n">
        <v>0</v>
      </c>
      <c r="P200" t="n">
        <v>0</v>
      </c>
      <c r="Q200" t="n">
        <v>1</v>
      </c>
      <c r="R200" s="2" t="inlineStr">
        <is>
          <t>Nästrot</t>
        </is>
      </c>
      <c r="S200">
        <f>HYPERLINK("https://klasma.github.io/Logging_0188/artfynd/A 63292-2025 artfynd.xlsx", "A 63292-2025")</f>
        <v/>
      </c>
      <c r="T200">
        <f>HYPERLINK("https://klasma.github.io/Logging_0188/kartor/A 63292-2025 karta.png", "A 63292-2025")</f>
        <v/>
      </c>
      <c r="V200">
        <f>HYPERLINK("https://klasma.github.io/Logging_0188/klagomål/A 63292-2025 FSC-klagomål.docx", "A 63292-2025")</f>
        <v/>
      </c>
      <c r="W200">
        <f>HYPERLINK("https://klasma.github.io/Logging_0188/klagomålsmail/A 63292-2025 FSC-klagomål mail.docx", "A 63292-2025")</f>
        <v/>
      </c>
      <c r="X200">
        <f>HYPERLINK("https://klasma.github.io/Logging_0188/tillsyn/A 63292-2025 tillsynsbegäran.docx", "A 63292-2025")</f>
        <v/>
      </c>
      <c r="Y200">
        <f>HYPERLINK("https://klasma.github.io/Logging_0188/tillsynsmail/A 63292-2025 tillsynsbegäran mail.docx", "A 63292-2025")</f>
        <v/>
      </c>
    </row>
    <row r="201" ht="15" customHeight="1">
      <c r="A201" t="inlineStr">
        <is>
          <t>A 37273-2024</t>
        </is>
      </c>
      <c r="B201" s="1" t="n">
        <v>45540</v>
      </c>
      <c r="C201" s="1" t="n">
        <v>46194</v>
      </c>
      <c r="D201" t="inlineStr">
        <is>
          <t>STOCKHOLMS LÄN</t>
        </is>
      </c>
      <c r="E201" t="inlineStr">
        <is>
          <t>NORRTÄLJE</t>
        </is>
      </c>
      <c r="F201" t="inlineStr">
        <is>
          <t>Sveaskog</t>
        </is>
      </c>
      <c r="G201" t="n">
        <v>12.5</v>
      </c>
      <c r="H201" t="n">
        <v>0</v>
      </c>
      <c r="I201" t="n">
        <v>1</v>
      </c>
      <c r="J201" t="n">
        <v>0</v>
      </c>
      <c r="K201" t="n">
        <v>0</v>
      </c>
      <c r="L201" t="n">
        <v>0</v>
      </c>
      <c r="M201" t="n">
        <v>0</v>
      </c>
      <c r="N201" t="n">
        <v>0</v>
      </c>
      <c r="O201" t="n">
        <v>0</v>
      </c>
      <c r="P201" t="n">
        <v>0</v>
      </c>
      <c r="Q201" t="n">
        <v>1</v>
      </c>
      <c r="R201" s="2" t="inlineStr">
        <is>
          <t>Trådticka</t>
        </is>
      </c>
      <c r="S201">
        <f>HYPERLINK("https://klasma.github.io/Logging_0188/artfynd/A 37273-2024 artfynd.xlsx", "A 37273-2024")</f>
        <v/>
      </c>
      <c r="T201">
        <f>HYPERLINK("https://klasma.github.io/Logging_0188/kartor/A 37273-2024 karta.png", "A 37273-2024")</f>
        <v/>
      </c>
      <c r="V201">
        <f>HYPERLINK("https://klasma.github.io/Logging_0188/klagomål/A 37273-2024 FSC-klagomål.docx", "A 37273-2024")</f>
        <v/>
      </c>
      <c r="W201">
        <f>HYPERLINK("https://klasma.github.io/Logging_0188/klagomålsmail/A 37273-2024 FSC-klagomål mail.docx", "A 37273-2024")</f>
        <v/>
      </c>
      <c r="X201">
        <f>HYPERLINK("https://klasma.github.io/Logging_0188/tillsyn/A 37273-2024 tillsynsbegäran.docx", "A 37273-2024")</f>
        <v/>
      </c>
      <c r="Y201">
        <f>HYPERLINK("https://klasma.github.io/Logging_0188/tillsynsmail/A 37273-2024 tillsynsbegäran mail.docx", "A 37273-2024")</f>
        <v/>
      </c>
    </row>
    <row r="202" ht="15" customHeight="1">
      <c r="A202" t="inlineStr">
        <is>
          <t>A 12877-2022</t>
        </is>
      </c>
      <c r="B202" s="1" t="n">
        <v>44642</v>
      </c>
      <c r="C202" s="1" t="n">
        <v>46194</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46194</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46194</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46194</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46194</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46194</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46194</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46194</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46194</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73855-2021</t>
        </is>
      </c>
      <c r="B212" s="1" t="n">
        <v>44552</v>
      </c>
      <c r="C212" s="1" t="n">
        <v>46194</v>
      </c>
      <c r="D212" t="inlineStr">
        <is>
          <t>STOCKHOLMS LÄN</t>
        </is>
      </c>
      <c r="E212" t="inlineStr">
        <is>
          <t>NORRTÄLJE</t>
        </is>
      </c>
      <c r="F212" t="inlineStr">
        <is>
          <t>Övriga Aktiebolag</t>
        </is>
      </c>
      <c r="G212" t="n">
        <v>4</v>
      </c>
      <c r="H212" t="n">
        <v>0</v>
      </c>
      <c r="I212" t="n">
        <v>0</v>
      </c>
      <c r="J212" t="n">
        <v>0</v>
      </c>
      <c r="K212" t="n">
        <v>0</v>
      </c>
      <c r="L212" t="n">
        <v>0</v>
      </c>
      <c r="M212" t="n">
        <v>0</v>
      </c>
      <c r="N212" t="n">
        <v>0</v>
      </c>
      <c r="O212" t="n">
        <v>0</v>
      </c>
      <c r="P212" t="n">
        <v>0</v>
      </c>
      <c r="Q212" t="n">
        <v>0</v>
      </c>
      <c r="R212" s="2" t="inlineStr"/>
    </row>
    <row r="213" ht="15" customHeight="1">
      <c r="A213" t="inlineStr">
        <is>
          <t>A 11821-2022</t>
        </is>
      </c>
      <c r="B213" s="1" t="n">
        <v>44634</v>
      </c>
      <c r="C213" s="1" t="n">
        <v>46194</v>
      </c>
      <c r="D213" t="inlineStr">
        <is>
          <t>STOCKHOLMS LÄN</t>
        </is>
      </c>
      <c r="E213" t="inlineStr">
        <is>
          <t>NORRTÄLJE</t>
        </is>
      </c>
      <c r="G213" t="n">
        <v>1.1</v>
      </c>
      <c r="H213" t="n">
        <v>0</v>
      </c>
      <c r="I213" t="n">
        <v>0</v>
      </c>
      <c r="J213" t="n">
        <v>0</v>
      </c>
      <c r="K213" t="n">
        <v>0</v>
      </c>
      <c r="L213" t="n">
        <v>0</v>
      </c>
      <c r="M213" t="n">
        <v>0</v>
      </c>
      <c r="N213" t="n">
        <v>0</v>
      </c>
      <c r="O213" t="n">
        <v>0</v>
      </c>
      <c r="P213" t="n">
        <v>0</v>
      </c>
      <c r="Q213" t="n">
        <v>0</v>
      </c>
      <c r="R213" s="2" t="inlineStr"/>
    </row>
    <row r="214" ht="15" customHeight="1">
      <c r="A214" t="inlineStr">
        <is>
          <t>A 2977-2022</t>
        </is>
      </c>
      <c r="B214" s="1" t="n">
        <v>44581</v>
      </c>
      <c r="C214" s="1" t="n">
        <v>46194</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46194</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31283-2022</t>
        </is>
      </c>
      <c r="B216" s="1" t="n">
        <v>44771</v>
      </c>
      <c r="C216" s="1" t="n">
        <v>46194</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46194</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46194</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46194</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46194</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46194</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46194</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46194</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46194</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46194</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10711-2022</t>
        </is>
      </c>
      <c r="B226" s="1" t="n">
        <v>44626</v>
      </c>
      <c r="C226" s="1" t="n">
        <v>46194</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18905-2022</t>
        </is>
      </c>
      <c r="B227" s="1" t="n">
        <v>44690</v>
      </c>
      <c r="C227" s="1" t="n">
        <v>46194</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46194</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46194</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46194</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46194</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46194</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46194</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46194</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46194</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46194</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46194</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46194</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46194</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46194</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46194</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46194</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46194</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46194</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47349-2021</t>
        </is>
      </c>
      <c r="B246" s="1" t="n">
        <v>44447</v>
      </c>
      <c r="C246" s="1" t="n">
        <v>46194</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44274-2021</t>
        </is>
      </c>
      <c r="B247" s="1" t="n">
        <v>44435</v>
      </c>
      <c r="C247" s="1" t="n">
        <v>46194</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36565-2021</t>
        </is>
      </c>
      <c r="B248" s="1" t="n">
        <v>44391</v>
      </c>
      <c r="C248" s="1" t="n">
        <v>46194</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46194</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46194</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46194</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46194</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46194</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65611-2021</t>
        </is>
      </c>
      <c r="B254" s="1" t="n">
        <v>44516</v>
      </c>
      <c r="C254" s="1" t="n">
        <v>46194</v>
      </c>
      <c r="D254" t="inlineStr">
        <is>
          <t>STOCKHOLMS LÄN</t>
        </is>
      </c>
      <c r="E254" t="inlineStr">
        <is>
          <t>NORRTÄLJE</t>
        </is>
      </c>
      <c r="G254" t="n">
        <v>2.5</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46194</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71325-2021</t>
        </is>
      </c>
      <c r="B256" s="1" t="n">
        <v>44539</v>
      </c>
      <c r="C256" s="1" t="n">
        <v>46194</v>
      </c>
      <c r="D256" t="inlineStr">
        <is>
          <t>STOCKHOLMS LÄN</t>
        </is>
      </c>
      <c r="E256" t="inlineStr">
        <is>
          <t>NORRTÄLJE</t>
        </is>
      </c>
      <c r="G256" t="n">
        <v>2.1</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46194</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46194</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46194</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46194</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46194</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46194</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46194</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46194</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46194</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46194</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46194</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46194</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46194</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46194</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46194</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46194</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46194</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46194</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46194</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46194</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46194</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46194</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46194</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46194</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46194</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46194</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7565-2022</t>
        </is>
      </c>
      <c r="B284" s="1" t="n">
        <v>44607</v>
      </c>
      <c r="C284" s="1" t="n">
        <v>46194</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41822-2021</t>
        </is>
      </c>
      <c r="B285" s="1" t="n">
        <v>44425</v>
      </c>
      <c r="C285" s="1" t="n">
        <v>46194</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5513-2022</t>
        </is>
      </c>
      <c r="B286" s="1" t="n">
        <v>44595</v>
      </c>
      <c r="C286" s="1" t="n">
        <v>46194</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37085-2021</t>
        </is>
      </c>
      <c r="B287" s="1" t="n">
        <v>44395</v>
      </c>
      <c r="C287" s="1" t="n">
        <v>46194</v>
      </c>
      <c r="D287" t="inlineStr">
        <is>
          <t>STOCKHOLMS LÄN</t>
        </is>
      </c>
      <c r="E287" t="inlineStr">
        <is>
          <t>NORRTÄLJE</t>
        </is>
      </c>
      <c r="G287" t="n">
        <v>11</v>
      </c>
      <c r="H287" t="n">
        <v>0</v>
      </c>
      <c r="I287" t="n">
        <v>0</v>
      </c>
      <c r="J287" t="n">
        <v>0</v>
      </c>
      <c r="K287" t="n">
        <v>0</v>
      </c>
      <c r="L287" t="n">
        <v>0</v>
      </c>
      <c r="M287" t="n">
        <v>0</v>
      </c>
      <c r="N287" t="n">
        <v>0</v>
      </c>
      <c r="O287" t="n">
        <v>0</v>
      </c>
      <c r="P287" t="n">
        <v>0</v>
      </c>
      <c r="Q287" t="n">
        <v>0</v>
      </c>
      <c r="R287" s="2" t="inlineStr"/>
    </row>
    <row r="288" ht="15" customHeight="1">
      <c r="A288" t="inlineStr">
        <is>
          <t>A 20295-2022</t>
        </is>
      </c>
      <c r="B288" s="1" t="n">
        <v>44698</v>
      </c>
      <c r="C288" s="1" t="n">
        <v>46194</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17775-2022</t>
        </is>
      </c>
      <c r="B289" s="1" t="n">
        <v>44682</v>
      </c>
      <c r="C289" s="1" t="n">
        <v>46194</v>
      </c>
      <c r="D289" t="inlineStr">
        <is>
          <t>STOCKHOLMS LÄN</t>
        </is>
      </c>
      <c r="E289" t="inlineStr">
        <is>
          <t>NORRTÄLJE</t>
        </is>
      </c>
      <c r="G289" t="n">
        <v>4.7</v>
      </c>
      <c r="H289" t="n">
        <v>0</v>
      </c>
      <c r="I289" t="n">
        <v>0</v>
      </c>
      <c r="J289" t="n">
        <v>0</v>
      </c>
      <c r="K289" t="n">
        <v>0</v>
      </c>
      <c r="L289" t="n">
        <v>0</v>
      </c>
      <c r="M289" t="n">
        <v>0</v>
      </c>
      <c r="N289" t="n">
        <v>0</v>
      </c>
      <c r="O289" t="n">
        <v>0</v>
      </c>
      <c r="P289" t="n">
        <v>0</v>
      </c>
      <c r="Q289" t="n">
        <v>0</v>
      </c>
      <c r="R289" s="2" t="inlineStr"/>
    </row>
    <row r="290" ht="15" customHeight="1">
      <c r="A290" t="inlineStr">
        <is>
          <t>A 37415-2021</t>
        </is>
      </c>
      <c r="B290" s="1" t="n">
        <v>44397</v>
      </c>
      <c r="C290" s="1" t="n">
        <v>46194</v>
      </c>
      <c r="D290" t="inlineStr">
        <is>
          <t>STOCKHOLMS LÄN</t>
        </is>
      </c>
      <c r="E290" t="inlineStr">
        <is>
          <t>NORRTÄLJE</t>
        </is>
      </c>
      <c r="F290" t="inlineStr">
        <is>
          <t>Övriga Aktiebolag</t>
        </is>
      </c>
      <c r="G290" t="n">
        <v>3</v>
      </c>
      <c r="H290" t="n">
        <v>0</v>
      </c>
      <c r="I290" t="n">
        <v>0</v>
      </c>
      <c r="J290" t="n">
        <v>0</v>
      </c>
      <c r="K290" t="n">
        <v>0</v>
      </c>
      <c r="L290" t="n">
        <v>0</v>
      </c>
      <c r="M290" t="n">
        <v>0</v>
      </c>
      <c r="N290" t="n">
        <v>0</v>
      </c>
      <c r="O290" t="n">
        <v>0</v>
      </c>
      <c r="P290" t="n">
        <v>0</v>
      </c>
      <c r="Q290" t="n">
        <v>0</v>
      </c>
      <c r="R290" s="2" t="inlineStr"/>
    </row>
    <row r="291" ht="15" customHeight="1">
      <c r="A291" t="inlineStr">
        <is>
          <t>A 46988-2024</t>
        </is>
      </c>
      <c r="B291" s="1" t="n">
        <v>45586</v>
      </c>
      <c r="C291" s="1" t="n">
        <v>46194</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71552-2021</t>
        </is>
      </c>
      <c r="B292" s="1" t="n">
        <v>44540</v>
      </c>
      <c r="C292" s="1" t="n">
        <v>46194</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47481-2024</t>
        </is>
      </c>
      <c r="B293" s="1" t="n">
        <v>45587</v>
      </c>
      <c r="C293" s="1" t="n">
        <v>46194</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24933-2023</t>
        </is>
      </c>
      <c r="B294" s="1" t="n">
        <v>45085</v>
      </c>
      <c r="C294" s="1" t="n">
        <v>46194</v>
      </c>
      <c r="D294" t="inlineStr">
        <is>
          <t>STOCKHOLMS LÄN</t>
        </is>
      </c>
      <c r="E294" t="inlineStr">
        <is>
          <t>NORRTÄLJE</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17382-2024</t>
        </is>
      </c>
      <c r="B295" s="1" t="n">
        <v>45414</v>
      </c>
      <c r="C295" s="1" t="n">
        <v>46194</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46194</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8160-2022</t>
        </is>
      </c>
      <c r="B297" s="1" t="n">
        <v>44609</v>
      </c>
      <c r="C297" s="1" t="n">
        <v>46194</v>
      </c>
      <c r="D297" t="inlineStr">
        <is>
          <t>STOCKHOLMS LÄN</t>
        </is>
      </c>
      <c r="E297" t="inlineStr">
        <is>
          <t>NORRTÄLJE</t>
        </is>
      </c>
      <c r="G297" t="n">
        <v>3.9</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46194</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39319-2022</t>
        </is>
      </c>
      <c r="B299" s="1" t="n">
        <v>44817</v>
      </c>
      <c r="C299" s="1" t="n">
        <v>46194</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28042-2022</t>
        </is>
      </c>
      <c r="B300" s="1" t="n">
        <v>44744</v>
      </c>
      <c r="C300" s="1" t="n">
        <v>46194</v>
      </c>
      <c r="D300" t="inlineStr">
        <is>
          <t>STOCKHOLMS LÄN</t>
        </is>
      </c>
      <c r="E300" t="inlineStr">
        <is>
          <t>NORRTÄLJE</t>
        </is>
      </c>
      <c r="G300" t="n">
        <v>0.2</v>
      </c>
      <c r="H300" t="n">
        <v>0</v>
      </c>
      <c r="I300" t="n">
        <v>0</v>
      </c>
      <c r="J300" t="n">
        <v>0</v>
      </c>
      <c r="K300" t="n">
        <v>0</v>
      </c>
      <c r="L300" t="n">
        <v>0</v>
      </c>
      <c r="M300" t="n">
        <v>0</v>
      </c>
      <c r="N300" t="n">
        <v>0</v>
      </c>
      <c r="O300" t="n">
        <v>0</v>
      </c>
      <c r="P300" t="n">
        <v>0</v>
      </c>
      <c r="Q300" t="n">
        <v>0</v>
      </c>
      <c r="R300" s="2" t="inlineStr"/>
    </row>
    <row r="301" ht="15" customHeight="1">
      <c r="A301" t="inlineStr">
        <is>
          <t>A 56219-2021</t>
        </is>
      </c>
      <c r="B301" s="1" t="n">
        <v>44477</v>
      </c>
      <c r="C301" s="1" t="n">
        <v>46194</v>
      </c>
      <c r="D301" t="inlineStr">
        <is>
          <t>STOCKHOLMS LÄN</t>
        </is>
      </c>
      <c r="E301" t="inlineStr">
        <is>
          <t>NORRTÄLJE</t>
        </is>
      </c>
      <c r="F301" t="inlineStr">
        <is>
          <t>Kommuner</t>
        </is>
      </c>
      <c r="G301" t="n">
        <v>2.3</v>
      </c>
      <c r="H301" t="n">
        <v>0</v>
      </c>
      <c r="I301" t="n">
        <v>0</v>
      </c>
      <c r="J301" t="n">
        <v>0</v>
      </c>
      <c r="K301" t="n">
        <v>0</v>
      </c>
      <c r="L301" t="n">
        <v>0</v>
      </c>
      <c r="M301" t="n">
        <v>0</v>
      </c>
      <c r="N301" t="n">
        <v>0</v>
      </c>
      <c r="O301" t="n">
        <v>0</v>
      </c>
      <c r="P301" t="n">
        <v>0</v>
      </c>
      <c r="Q301" t="n">
        <v>0</v>
      </c>
      <c r="R301" s="2" t="inlineStr"/>
    </row>
    <row r="302" ht="15" customHeight="1">
      <c r="A302" t="inlineStr">
        <is>
          <t>A 60525-2022</t>
        </is>
      </c>
      <c r="B302" s="1" t="n">
        <v>44904</v>
      </c>
      <c r="C302" s="1" t="n">
        <v>46194</v>
      </c>
      <c r="D302" t="inlineStr">
        <is>
          <t>STOCKHOLMS LÄN</t>
        </is>
      </c>
      <c r="E302" t="inlineStr">
        <is>
          <t>NORRTÄLJE</t>
        </is>
      </c>
      <c r="G302" t="n">
        <v>13.4</v>
      </c>
      <c r="H302" t="n">
        <v>0</v>
      </c>
      <c r="I302" t="n">
        <v>0</v>
      </c>
      <c r="J302" t="n">
        <v>0</v>
      </c>
      <c r="K302" t="n">
        <v>0</v>
      </c>
      <c r="L302" t="n">
        <v>0</v>
      </c>
      <c r="M302" t="n">
        <v>0</v>
      </c>
      <c r="N302" t="n">
        <v>0</v>
      </c>
      <c r="O302" t="n">
        <v>0</v>
      </c>
      <c r="P302" t="n">
        <v>0</v>
      </c>
      <c r="Q302" t="n">
        <v>0</v>
      </c>
      <c r="R302" s="2" t="inlineStr"/>
    </row>
    <row r="303" ht="15" customHeight="1">
      <c r="A303" t="inlineStr">
        <is>
          <t>A 576-2023</t>
        </is>
      </c>
      <c r="B303" s="1" t="n">
        <v>44925</v>
      </c>
      <c r="C303" s="1" t="n">
        <v>46194</v>
      </c>
      <c r="D303" t="inlineStr">
        <is>
          <t>STOCKHOLMS LÄN</t>
        </is>
      </c>
      <c r="E303" t="inlineStr">
        <is>
          <t>NORRTÄLJE</t>
        </is>
      </c>
      <c r="G303" t="n">
        <v>7.2</v>
      </c>
      <c r="H303" t="n">
        <v>0</v>
      </c>
      <c r="I303" t="n">
        <v>0</v>
      </c>
      <c r="J303" t="n">
        <v>0</v>
      </c>
      <c r="K303" t="n">
        <v>0</v>
      </c>
      <c r="L303" t="n">
        <v>0</v>
      </c>
      <c r="M303" t="n">
        <v>0</v>
      </c>
      <c r="N303" t="n">
        <v>0</v>
      </c>
      <c r="O303" t="n">
        <v>0</v>
      </c>
      <c r="P303" t="n">
        <v>0</v>
      </c>
      <c r="Q303" t="n">
        <v>0</v>
      </c>
      <c r="R303" s="2" t="inlineStr"/>
    </row>
    <row r="304" ht="15" customHeight="1">
      <c r="A304" t="inlineStr">
        <is>
          <t>A 50469-2022</t>
        </is>
      </c>
      <c r="B304" s="1" t="n">
        <v>44866</v>
      </c>
      <c r="C304" s="1" t="n">
        <v>46194</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58302-2022</t>
        </is>
      </c>
      <c r="B305" s="1" t="n">
        <v>44901</v>
      </c>
      <c r="C305" s="1" t="n">
        <v>46194</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41398-2022</t>
        </is>
      </c>
      <c r="B306" s="1" t="n">
        <v>44826</v>
      </c>
      <c r="C306" s="1" t="n">
        <v>46194</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41976-2024</t>
        </is>
      </c>
      <c r="B307" s="1" t="n">
        <v>45561</v>
      </c>
      <c r="C307" s="1" t="n">
        <v>46194</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23269-2023</t>
        </is>
      </c>
      <c r="B308" s="1" t="n">
        <v>45075</v>
      </c>
      <c r="C308" s="1" t="n">
        <v>46194</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45541-2022</t>
        </is>
      </c>
      <c r="B309" s="1" t="n">
        <v>44845</v>
      </c>
      <c r="C309" s="1" t="n">
        <v>46194</v>
      </c>
      <c r="D309" t="inlineStr">
        <is>
          <t>STOCKHOLMS LÄN</t>
        </is>
      </c>
      <c r="E309" t="inlineStr">
        <is>
          <t>NORRTÄLJE</t>
        </is>
      </c>
      <c r="G309" t="n">
        <v>0.4</v>
      </c>
      <c r="H309" t="n">
        <v>0</v>
      </c>
      <c r="I309" t="n">
        <v>0</v>
      </c>
      <c r="J309" t="n">
        <v>0</v>
      </c>
      <c r="K309" t="n">
        <v>0</v>
      </c>
      <c r="L309" t="n">
        <v>0</v>
      </c>
      <c r="M309" t="n">
        <v>0</v>
      </c>
      <c r="N309" t="n">
        <v>0</v>
      </c>
      <c r="O309" t="n">
        <v>0</v>
      </c>
      <c r="P309" t="n">
        <v>0</v>
      </c>
      <c r="Q309" t="n">
        <v>0</v>
      </c>
      <c r="R309" s="2" t="inlineStr"/>
    </row>
    <row r="310" ht="15" customHeight="1">
      <c r="A310" t="inlineStr">
        <is>
          <t>A 23060-2023</t>
        </is>
      </c>
      <c r="B310" s="1" t="n">
        <v>45075</v>
      </c>
      <c r="C310" s="1" t="n">
        <v>46194</v>
      </c>
      <c r="D310" t="inlineStr">
        <is>
          <t>STOCKHOLMS LÄN</t>
        </is>
      </c>
      <c r="E310" t="inlineStr">
        <is>
          <t>NORRTÄLJE</t>
        </is>
      </c>
      <c r="G310" t="n">
        <v>0.5</v>
      </c>
      <c r="H310" t="n">
        <v>0</v>
      </c>
      <c r="I310" t="n">
        <v>0</v>
      </c>
      <c r="J310" t="n">
        <v>0</v>
      </c>
      <c r="K310" t="n">
        <v>0</v>
      </c>
      <c r="L310" t="n">
        <v>0</v>
      </c>
      <c r="M310" t="n">
        <v>0</v>
      </c>
      <c r="N310" t="n">
        <v>0</v>
      </c>
      <c r="O310" t="n">
        <v>0</v>
      </c>
      <c r="P310" t="n">
        <v>0</v>
      </c>
      <c r="Q310" t="n">
        <v>0</v>
      </c>
      <c r="R310" s="2" t="inlineStr"/>
    </row>
    <row r="311" ht="15" customHeight="1">
      <c r="A311" t="inlineStr">
        <is>
          <t>A 62206-2022</t>
        </is>
      </c>
      <c r="B311" s="1" t="n">
        <v>44922</v>
      </c>
      <c r="C311" s="1" t="n">
        <v>46194</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30886-2022</t>
        </is>
      </c>
      <c r="B312" s="1" t="n">
        <v>44767</v>
      </c>
      <c r="C312" s="1" t="n">
        <v>46194</v>
      </c>
      <c r="D312" t="inlineStr">
        <is>
          <t>STOCKHOLMS LÄN</t>
        </is>
      </c>
      <c r="E312" t="inlineStr">
        <is>
          <t>NORRTÄLJE</t>
        </is>
      </c>
      <c r="G312" t="n">
        <v>2.6</v>
      </c>
      <c r="H312" t="n">
        <v>0</v>
      </c>
      <c r="I312" t="n">
        <v>0</v>
      </c>
      <c r="J312" t="n">
        <v>0</v>
      </c>
      <c r="K312" t="n">
        <v>0</v>
      </c>
      <c r="L312" t="n">
        <v>0</v>
      </c>
      <c r="M312" t="n">
        <v>0</v>
      </c>
      <c r="N312" t="n">
        <v>0</v>
      </c>
      <c r="O312" t="n">
        <v>0</v>
      </c>
      <c r="P312" t="n">
        <v>0</v>
      </c>
      <c r="Q312" t="n">
        <v>0</v>
      </c>
      <c r="R312" s="2" t="inlineStr"/>
    </row>
    <row r="313" ht="15" customHeight="1">
      <c r="A313" t="inlineStr">
        <is>
          <t>A 58989-2021</t>
        </is>
      </c>
      <c r="B313" s="1" t="n">
        <v>44490</v>
      </c>
      <c r="C313" s="1" t="n">
        <v>46194</v>
      </c>
      <c r="D313" t="inlineStr">
        <is>
          <t>STOCKHOLMS LÄN</t>
        </is>
      </c>
      <c r="E313" t="inlineStr">
        <is>
          <t>NORRTÄLJE</t>
        </is>
      </c>
      <c r="G313" t="n">
        <v>0.3</v>
      </c>
      <c r="H313" t="n">
        <v>0</v>
      </c>
      <c r="I313" t="n">
        <v>0</v>
      </c>
      <c r="J313" t="n">
        <v>0</v>
      </c>
      <c r="K313" t="n">
        <v>0</v>
      </c>
      <c r="L313" t="n">
        <v>0</v>
      </c>
      <c r="M313" t="n">
        <v>0</v>
      </c>
      <c r="N313" t="n">
        <v>0</v>
      </c>
      <c r="O313" t="n">
        <v>0</v>
      </c>
      <c r="P313" t="n">
        <v>0</v>
      </c>
      <c r="Q313" t="n">
        <v>0</v>
      </c>
      <c r="R313" s="2" t="inlineStr"/>
    </row>
    <row r="314" ht="15" customHeight="1">
      <c r="A314" t="inlineStr">
        <is>
          <t>A 58990-2021</t>
        </is>
      </c>
      <c r="B314" s="1" t="n">
        <v>44490</v>
      </c>
      <c r="C314" s="1" t="n">
        <v>46194</v>
      </c>
      <c r="D314" t="inlineStr">
        <is>
          <t>STOCKHOLMS LÄN</t>
        </is>
      </c>
      <c r="E314" t="inlineStr">
        <is>
          <t>NORRTÄLJE</t>
        </is>
      </c>
      <c r="G314" t="n">
        <v>4.2</v>
      </c>
      <c r="H314" t="n">
        <v>0</v>
      </c>
      <c r="I314" t="n">
        <v>0</v>
      </c>
      <c r="J314" t="n">
        <v>0</v>
      </c>
      <c r="K314" t="n">
        <v>0</v>
      </c>
      <c r="L314" t="n">
        <v>0</v>
      </c>
      <c r="M314" t="n">
        <v>0</v>
      </c>
      <c r="N314" t="n">
        <v>0</v>
      </c>
      <c r="O314" t="n">
        <v>0</v>
      </c>
      <c r="P314" t="n">
        <v>0</v>
      </c>
      <c r="Q314" t="n">
        <v>0</v>
      </c>
      <c r="R314" s="2" t="inlineStr"/>
    </row>
    <row r="315" ht="15" customHeight="1">
      <c r="A315" t="inlineStr">
        <is>
          <t>A 11940-2023</t>
        </is>
      </c>
      <c r="B315" s="1" t="n">
        <v>44995</v>
      </c>
      <c r="C315" s="1" t="n">
        <v>46194</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15226-2022</t>
        </is>
      </c>
      <c r="B316" s="1" t="n">
        <v>44658</v>
      </c>
      <c r="C316" s="1" t="n">
        <v>46194</v>
      </c>
      <c r="D316" t="inlineStr">
        <is>
          <t>STOCKHOLMS LÄN</t>
        </is>
      </c>
      <c r="E316" t="inlineStr">
        <is>
          <t>NORRTÄLJE</t>
        </is>
      </c>
      <c r="G316" t="n">
        <v>1.1</v>
      </c>
      <c r="H316" t="n">
        <v>0</v>
      </c>
      <c r="I316" t="n">
        <v>0</v>
      </c>
      <c r="J316" t="n">
        <v>0</v>
      </c>
      <c r="K316" t="n">
        <v>0</v>
      </c>
      <c r="L316" t="n">
        <v>0</v>
      </c>
      <c r="M316" t="n">
        <v>0</v>
      </c>
      <c r="N316" t="n">
        <v>0</v>
      </c>
      <c r="O316" t="n">
        <v>0</v>
      </c>
      <c r="P316" t="n">
        <v>0</v>
      </c>
      <c r="Q316" t="n">
        <v>0</v>
      </c>
      <c r="R316" s="2" t="inlineStr"/>
    </row>
    <row r="317" ht="15" customHeight="1">
      <c r="A317" t="inlineStr">
        <is>
          <t>A 3300-2022</t>
        </is>
      </c>
      <c r="B317" s="1" t="n">
        <v>44584</v>
      </c>
      <c r="C317" s="1" t="n">
        <v>46194</v>
      </c>
      <c r="D317" t="inlineStr">
        <is>
          <t>STOCKHOLMS LÄN</t>
        </is>
      </c>
      <c r="E317" t="inlineStr">
        <is>
          <t>NORRTÄLJE</t>
        </is>
      </c>
      <c r="G317" t="n">
        <v>0.4</v>
      </c>
      <c r="H317" t="n">
        <v>0</v>
      </c>
      <c r="I317" t="n">
        <v>0</v>
      </c>
      <c r="J317" t="n">
        <v>0</v>
      </c>
      <c r="K317" t="n">
        <v>0</v>
      </c>
      <c r="L317" t="n">
        <v>0</v>
      </c>
      <c r="M317" t="n">
        <v>0</v>
      </c>
      <c r="N317" t="n">
        <v>0</v>
      </c>
      <c r="O317" t="n">
        <v>0</v>
      </c>
      <c r="P317" t="n">
        <v>0</v>
      </c>
      <c r="Q317" t="n">
        <v>0</v>
      </c>
      <c r="R317" s="2" t="inlineStr"/>
    </row>
    <row r="318" ht="15" customHeight="1">
      <c r="A318" t="inlineStr">
        <is>
          <t>A 68273-2021</t>
        </is>
      </c>
      <c r="B318" s="1" t="n">
        <v>44526</v>
      </c>
      <c r="C318" s="1" t="n">
        <v>46194</v>
      </c>
      <c r="D318" t="inlineStr">
        <is>
          <t>STOCKHOLMS LÄN</t>
        </is>
      </c>
      <c r="E318" t="inlineStr">
        <is>
          <t>NORRTÄLJE</t>
        </is>
      </c>
      <c r="G318" t="n">
        <v>5.3</v>
      </c>
      <c r="H318" t="n">
        <v>0</v>
      </c>
      <c r="I318" t="n">
        <v>0</v>
      </c>
      <c r="J318" t="n">
        <v>0</v>
      </c>
      <c r="K318" t="n">
        <v>0</v>
      </c>
      <c r="L318" t="n">
        <v>0</v>
      </c>
      <c r="M318" t="n">
        <v>0</v>
      </c>
      <c r="N318" t="n">
        <v>0</v>
      </c>
      <c r="O318" t="n">
        <v>0</v>
      </c>
      <c r="P318" t="n">
        <v>0</v>
      </c>
      <c r="Q318" t="n">
        <v>0</v>
      </c>
      <c r="R318" s="2" t="inlineStr"/>
    </row>
    <row r="319" ht="15" customHeight="1">
      <c r="A319" t="inlineStr">
        <is>
          <t>A 17388-2022</t>
        </is>
      </c>
      <c r="B319" s="1" t="n">
        <v>44678</v>
      </c>
      <c r="C319" s="1" t="n">
        <v>46194</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17771-2022</t>
        </is>
      </c>
      <c r="B320" s="1" t="n">
        <v>44682</v>
      </c>
      <c r="C320" s="1" t="n">
        <v>46194</v>
      </c>
      <c r="D320" t="inlineStr">
        <is>
          <t>STOCKHOLMS LÄN</t>
        </is>
      </c>
      <c r="E320" t="inlineStr">
        <is>
          <t>NORRTÄLJE</t>
        </is>
      </c>
      <c r="G320" t="n">
        <v>13.3</v>
      </c>
      <c r="H320" t="n">
        <v>0</v>
      </c>
      <c r="I320" t="n">
        <v>0</v>
      </c>
      <c r="J320" t="n">
        <v>0</v>
      </c>
      <c r="K320" t="n">
        <v>0</v>
      </c>
      <c r="L320" t="n">
        <v>0</v>
      </c>
      <c r="M320" t="n">
        <v>0</v>
      </c>
      <c r="N320" t="n">
        <v>0</v>
      </c>
      <c r="O320" t="n">
        <v>0</v>
      </c>
      <c r="P320" t="n">
        <v>0</v>
      </c>
      <c r="Q320" t="n">
        <v>0</v>
      </c>
      <c r="R320" s="2" t="inlineStr"/>
    </row>
    <row r="321" ht="15" customHeight="1">
      <c r="A321" t="inlineStr">
        <is>
          <t>A 17773-2022</t>
        </is>
      </c>
      <c r="B321" s="1" t="n">
        <v>44682</v>
      </c>
      <c r="C321" s="1" t="n">
        <v>46194</v>
      </c>
      <c r="D321" t="inlineStr">
        <is>
          <t>STOCKHOLMS LÄN</t>
        </is>
      </c>
      <c r="E321" t="inlineStr">
        <is>
          <t>NORRTÄLJE</t>
        </is>
      </c>
      <c r="G321" t="n">
        <v>10.8</v>
      </c>
      <c r="H321" t="n">
        <v>0</v>
      </c>
      <c r="I321" t="n">
        <v>0</v>
      </c>
      <c r="J321" t="n">
        <v>0</v>
      </c>
      <c r="K321" t="n">
        <v>0</v>
      </c>
      <c r="L321" t="n">
        <v>0</v>
      </c>
      <c r="M321" t="n">
        <v>0</v>
      </c>
      <c r="N321" t="n">
        <v>0</v>
      </c>
      <c r="O321" t="n">
        <v>0</v>
      </c>
      <c r="P321" t="n">
        <v>0</v>
      </c>
      <c r="Q321" t="n">
        <v>0</v>
      </c>
      <c r="R321" s="2" t="inlineStr"/>
    </row>
    <row r="322" ht="15" customHeight="1">
      <c r="A322" t="inlineStr">
        <is>
          <t>A 52743-2024</t>
        </is>
      </c>
      <c r="B322" s="1" t="n">
        <v>45610</v>
      </c>
      <c r="C322" s="1" t="n">
        <v>46194</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29266-2022</t>
        </is>
      </c>
      <c r="B323" s="1" t="n">
        <v>44750</v>
      </c>
      <c r="C323" s="1" t="n">
        <v>46194</v>
      </c>
      <c r="D323" t="inlineStr">
        <is>
          <t>STOCKHOLMS LÄN</t>
        </is>
      </c>
      <c r="E323" t="inlineStr">
        <is>
          <t>NORRTÄLJE</t>
        </is>
      </c>
      <c r="G323" t="n">
        <v>1.8</v>
      </c>
      <c r="H323" t="n">
        <v>0</v>
      </c>
      <c r="I323" t="n">
        <v>0</v>
      </c>
      <c r="J323" t="n">
        <v>0</v>
      </c>
      <c r="K323" t="n">
        <v>0</v>
      </c>
      <c r="L323" t="n">
        <v>0</v>
      </c>
      <c r="M323" t="n">
        <v>0</v>
      </c>
      <c r="N323" t="n">
        <v>0</v>
      </c>
      <c r="O323" t="n">
        <v>0</v>
      </c>
      <c r="P323" t="n">
        <v>0</v>
      </c>
      <c r="Q323" t="n">
        <v>0</v>
      </c>
      <c r="R323" s="2" t="inlineStr"/>
    </row>
    <row r="324" ht="15" customHeight="1">
      <c r="A324" t="inlineStr">
        <is>
          <t>A 29278-2022</t>
        </is>
      </c>
      <c r="B324" s="1" t="n">
        <v>44750</v>
      </c>
      <c r="C324" s="1" t="n">
        <v>46194</v>
      </c>
      <c r="D324" t="inlineStr">
        <is>
          <t>STOCKHOLMS LÄN</t>
        </is>
      </c>
      <c r="E324" t="inlineStr">
        <is>
          <t>NORRTÄLJE</t>
        </is>
      </c>
      <c r="G324" t="n">
        <v>0.6</v>
      </c>
      <c r="H324" t="n">
        <v>0</v>
      </c>
      <c r="I324" t="n">
        <v>0</v>
      </c>
      <c r="J324" t="n">
        <v>0</v>
      </c>
      <c r="K324" t="n">
        <v>0</v>
      </c>
      <c r="L324" t="n">
        <v>0</v>
      </c>
      <c r="M324" t="n">
        <v>0</v>
      </c>
      <c r="N324" t="n">
        <v>0</v>
      </c>
      <c r="O324" t="n">
        <v>0</v>
      </c>
      <c r="P324" t="n">
        <v>0</v>
      </c>
      <c r="Q324" t="n">
        <v>0</v>
      </c>
      <c r="R324" s="2" t="inlineStr"/>
    </row>
    <row r="325" ht="15" customHeight="1">
      <c r="A325" t="inlineStr">
        <is>
          <t>A 10521-2022</t>
        </is>
      </c>
      <c r="B325" s="1" t="n">
        <v>44623</v>
      </c>
      <c r="C325" s="1" t="n">
        <v>46194</v>
      </c>
      <c r="D325" t="inlineStr">
        <is>
          <t>STOCKHOLMS LÄN</t>
        </is>
      </c>
      <c r="E325" t="inlineStr">
        <is>
          <t>NORRTÄLJE</t>
        </is>
      </c>
      <c r="G325" t="n">
        <v>2.9</v>
      </c>
      <c r="H325" t="n">
        <v>0</v>
      </c>
      <c r="I325" t="n">
        <v>0</v>
      </c>
      <c r="J325" t="n">
        <v>0</v>
      </c>
      <c r="K325" t="n">
        <v>0</v>
      </c>
      <c r="L325" t="n">
        <v>0</v>
      </c>
      <c r="M325" t="n">
        <v>0</v>
      </c>
      <c r="N325" t="n">
        <v>0</v>
      </c>
      <c r="O325" t="n">
        <v>0</v>
      </c>
      <c r="P325" t="n">
        <v>0</v>
      </c>
      <c r="Q325" t="n">
        <v>0</v>
      </c>
      <c r="R325" s="2" t="inlineStr"/>
    </row>
    <row r="326" ht="15" customHeight="1">
      <c r="A326" t="inlineStr">
        <is>
          <t>A 6401-2024</t>
        </is>
      </c>
      <c r="B326" s="1" t="n">
        <v>45338</v>
      </c>
      <c r="C326" s="1" t="n">
        <v>46194</v>
      </c>
      <c r="D326" t="inlineStr">
        <is>
          <t>STOCKHOLMS LÄN</t>
        </is>
      </c>
      <c r="E326" t="inlineStr">
        <is>
          <t>NORRTÄLJE</t>
        </is>
      </c>
      <c r="G326" t="n">
        <v>2.2</v>
      </c>
      <c r="H326" t="n">
        <v>0</v>
      </c>
      <c r="I326" t="n">
        <v>0</v>
      </c>
      <c r="J326" t="n">
        <v>0</v>
      </c>
      <c r="K326" t="n">
        <v>0</v>
      </c>
      <c r="L326" t="n">
        <v>0</v>
      </c>
      <c r="M326" t="n">
        <v>0</v>
      </c>
      <c r="N326" t="n">
        <v>0</v>
      </c>
      <c r="O326" t="n">
        <v>0</v>
      </c>
      <c r="P326" t="n">
        <v>0</v>
      </c>
      <c r="Q326" t="n">
        <v>0</v>
      </c>
      <c r="R326" s="2" t="inlineStr"/>
    </row>
    <row r="327" ht="15" customHeight="1">
      <c r="A327" t="inlineStr">
        <is>
          <t>A 24501-2023</t>
        </is>
      </c>
      <c r="B327" s="1" t="n">
        <v>45082</v>
      </c>
      <c r="C327" s="1" t="n">
        <v>46194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24520-2023</t>
        </is>
      </c>
      <c r="B328" s="1" t="n">
        <v>45082</v>
      </c>
      <c r="C328" s="1" t="n">
        <v>46194</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11499-2023</t>
        </is>
      </c>
      <c r="B329" s="1" t="n">
        <v>44993</v>
      </c>
      <c r="C329" s="1" t="n">
        <v>46194</v>
      </c>
      <c r="D329" t="inlineStr">
        <is>
          <t>STOCKHOLMS LÄN</t>
        </is>
      </c>
      <c r="E329" t="inlineStr">
        <is>
          <t>NORRTÄLJE</t>
        </is>
      </c>
      <c r="F329" t="inlineStr">
        <is>
          <t>Holmen skog AB</t>
        </is>
      </c>
      <c r="G329" t="n">
        <v>2.8</v>
      </c>
      <c r="H329" t="n">
        <v>0</v>
      </c>
      <c r="I329" t="n">
        <v>0</v>
      </c>
      <c r="J329" t="n">
        <v>0</v>
      </c>
      <c r="K329" t="n">
        <v>0</v>
      </c>
      <c r="L329" t="n">
        <v>0</v>
      </c>
      <c r="M329" t="n">
        <v>0</v>
      </c>
      <c r="N329" t="n">
        <v>0</v>
      </c>
      <c r="O329" t="n">
        <v>0</v>
      </c>
      <c r="P329" t="n">
        <v>0</v>
      </c>
      <c r="Q329" t="n">
        <v>0</v>
      </c>
      <c r="R329" s="2" t="inlineStr"/>
    </row>
    <row r="330" ht="15" customHeight="1">
      <c r="A330" t="inlineStr">
        <is>
          <t>A 35640-2024</t>
        </is>
      </c>
      <c r="B330" s="1" t="n">
        <v>45531</v>
      </c>
      <c r="C330" s="1" t="n">
        <v>46194</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16117-2022</t>
        </is>
      </c>
      <c r="B331" s="1" t="n">
        <v>44665</v>
      </c>
      <c r="C331" s="1" t="n">
        <v>46194</v>
      </c>
      <c r="D331" t="inlineStr">
        <is>
          <t>STOCKHOLMS LÄN</t>
        </is>
      </c>
      <c r="E331" t="inlineStr">
        <is>
          <t>NORRTÄLJE</t>
        </is>
      </c>
      <c r="G331" t="n">
        <v>8.1</v>
      </c>
      <c r="H331" t="n">
        <v>0</v>
      </c>
      <c r="I331" t="n">
        <v>0</v>
      </c>
      <c r="J331" t="n">
        <v>0</v>
      </c>
      <c r="K331" t="n">
        <v>0</v>
      </c>
      <c r="L331" t="n">
        <v>0</v>
      </c>
      <c r="M331" t="n">
        <v>0</v>
      </c>
      <c r="N331" t="n">
        <v>0</v>
      </c>
      <c r="O331" t="n">
        <v>0</v>
      </c>
      <c r="P331" t="n">
        <v>0</v>
      </c>
      <c r="Q331" t="n">
        <v>0</v>
      </c>
      <c r="R331" s="2" t="inlineStr"/>
    </row>
    <row r="332" ht="15" customHeight="1">
      <c r="A332" t="inlineStr">
        <is>
          <t>A 16132-2022</t>
        </is>
      </c>
      <c r="B332" s="1" t="n">
        <v>44665</v>
      </c>
      <c r="C332" s="1" t="n">
        <v>46194</v>
      </c>
      <c r="D332" t="inlineStr">
        <is>
          <t>STOCKHOLMS LÄN</t>
        </is>
      </c>
      <c r="E332" t="inlineStr">
        <is>
          <t>NORRTÄLJE</t>
        </is>
      </c>
      <c r="G332" t="n">
        <v>4.4</v>
      </c>
      <c r="H332" t="n">
        <v>0</v>
      </c>
      <c r="I332" t="n">
        <v>0</v>
      </c>
      <c r="J332" t="n">
        <v>0</v>
      </c>
      <c r="K332" t="n">
        <v>0</v>
      </c>
      <c r="L332" t="n">
        <v>0</v>
      </c>
      <c r="M332" t="n">
        <v>0</v>
      </c>
      <c r="N332" t="n">
        <v>0</v>
      </c>
      <c r="O332" t="n">
        <v>0</v>
      </c>
      <c r="P332" t="n">
        <v>0</v>
      </c>
      <c r="Q332" t="n">
        <v>0</v>
      </c>
      <c r="R332" s="2" t="inlineStr"/>
    </row>
    <row r="333" ht="15" customHeight="1">
      <c r="A333" t="inlineStr">
        <is>
          <t>A 70170-2021</t>
        </is>
      </c>
      <c r="B333" s="1" t="n">
        <v>44533</v>
      </c>
      <c r="C333" s="1" t="n">
        <v>46194</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67990-2021</t>
        </is>
      </c>
      <c r="B334" s="1" t="n">
        <v>44525</v>
      </c>
      <c r="C334" s="1" t="n">
        <v>46194</v>
      </c>
      <c r="D334" t="inlineStr">
        <is>
          <t>STOCKHOLMS LÄN</t>
        </is>
      </c>
      <c r="E334" t="inlineStr">
        <is>
          <t>NORRTÄLJE</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21102-2022</t>
        </is>
      </c>
      <c r="B335" s="1" t="n">
        <v>44704</v>
      </c>
      <c r="C335" s="1" t="n">
        <v>46194</v>
      </c>
      <c r="D335" t="inlineStr">
        <is>
          <t>STOCKHOLMS LÄN</t>
        </is>
      </c>
      <c r="E335" t="inlineStr">
        <is>
          <t>NORRTÄLJE</t>
        </is>
      </c>
      <c r="G335" t="n">
        <v>0.2</v>
      </c>
      <c r="H335" t="n">
        <v>0</v>
      </c>
      <c r="I335" t="n">
        <v>0</v>
      </c>
      <c r="J335" t="n">
        <v>0</v>
      </c>
      <c r="K335" t="n">
        <v>0</v>
      </c>
      <c r="L335" t="n">
        <v>0</v>
      </c>
      <c r="M335" t="n">
        <v>0</v>
      </c>
      <c r="N335" t="n">
        <v>0</v>
      </c>
      <c r="O335" t="n">
        <v>0</v>
      </c>
      <c r="P335" t="n">
        <v>0</v>
      </c>
      <c r="Q335" t="n">
        <v>0</v>
      </c>
      <c r="R335" s="2" t="inlineStr"/>
    </row>
    <row r="336" ht="15" customHeight="1">
      <c r="A336" t="inlineStr">
        <is>
          <t>A 71880-2021</t>
        </is>
      </c>
      <c r="B336" s="1" t="n">
        <v>44543</v>
      </c>
      <c r="C336" s="1" t="n">
        <v>46194</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17772-2022</t>
        </is>
      </c>
      <c r="B337" s="1" t="n">
        <v>44682</v>
      </c>
      <c r="C337" s="1" t="n">
        <v>46194</v>
      </c>
      <c r="D337" t="inlineStr">
        <is>
          <t>STOCKHOLMS LÄN</t>
        </is>
      </c>
      <c r="E337" t="inlineStr">
        <is>
          <t>NORRTÄLJE</t>
        </is>
      </c>
      <c r="G337" t="n">
        <v>4</v>
      </c>
      <c r="H337" t="n">
        <v>0</v>
      </c>
      <c r="I337" t="n">
        <v>0</v>
      </c>
      <c r="J337" t="n">
        <v>0</v>
      </c>
      <c r="K337" t="n">
        <v>0</v>
      </c>
      <c r="L337" t="n">
        <v>0</v>
      </c>
      <c r="M337" t="n">
        <v>0</v>
      </c>
      <c r="N337" t="n">
        <v>0</v>
      </c>
      <c r="O337" t="n">
        <v>0</v>
      </c>
      <c r="P337" t="n">
        <v>0</v>
      </c>
      <c r="Q337" t="n">
        <v>0</v>
      </c>
      <c r="R337" s="2" t="inlineStr"/>
    </row>
    <row r="338" ht="15" customHeight="1">
      <c r="A338" t="inlineStr">
        <is>
          <t>A 33040-2021</t>
        </is>
      </c>
      <c r="B338" s="1" t="n">
        <v>44376</v>
      </c>
      <c r="C338" s="1" t="n">
        <v>46194</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67285-2021</t>
        </is>
      </c>
      <c r="B339" s="1" t="n">
        <v>44523</v>
      </c>
      <c r="C339" s="1" t="n">
        <v>46194</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5611-2022</t>
        </is>
      </c>
      <c r="B340" s="1" t="n">
        <v>44595</v>
      </c>
      <c r="C340" s="1" t="n">
        <v>46194</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32055-2021</t>
        </is>
      </c>
      <c r="B341" s="1" t="n">
        <v>44370</v>
      </c>
      <c r="C341" s="1" t="n">
        <v>46194</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24101-2022</t>
        </is>
      </c>
      <c r="B342" s="1" t="n">
        <v>44725</v>
      </c>
      <c r="C342" s="1" t="n">
        <v>46194</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26117-2024</t>
        </is>
      </c>
      <c r="B343" s="1" t="n">
        <v>45468</v>
      </c>
      <c r="C343" s="1" t="n">
        <v>46194</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61113-2023</t>
        </is>
      </c>
      <c r="B344" s="1" t="n">
        <v>45261</v>
      </c>
      <c r="C344" s="1" t="n">
        <v>46194</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59310-2023</t>
        </is>
      </c>
      <c r="B345" s="1" t="n">
        <v>45253</v>
      </c>
      <c r="C345" s="1" t="n">
        <v>46194</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21696-2024</t>
        </is>
      </c>
      <c r="B346" s="1" t="n">
        <v>45442</v>
      </c>
      <c r="C346" s="1" t="n">
        <v>46194</v>
      </c>
      <c r="D346" t="inlineStr">
        <is>
          <t>STOCKHOLMS LÄN</t>
        </is>
      </c>
      <c r="E346" t="inlineStr">
        <is>
          <t>NORRTÄLJE</t>
        </is>
      </c>
      <c r="G346" t="n">
        <v>2.9</v>
      </c>
      <c r="H346" t="n">
        <v>0</v>
      </c>
      <c r="I346" t="n">
        <v>0</v>
      </c>
      <c r="J346" t="n">
        <v>0</v>
      </c>
      <c r="K346" t="n">
        <v>0</v>
      </c>
      <c r="L346" t="n">
        <v>0</v>
      </c>
      <c r="M346" t="n">
        <v>0</v>
      </c>
      <c r="N346" t="n">
        <v>0</v>
      </c>
      <c r="O346" t="n">
        <v>0</v>
      </c>
      <c r="P346" t="n">
        <v>0</v>
      </c>
      <c r="Q346" t="n">
        <v>0</v>
      </c>
      <c r="R346" s="2" t="inlineStr"/>
    </row>
    <row r="347" ht="15" customHeight="1">
      <c r="A347" t="inlineStr">
        <is>
          <t>A 37136-2023</t>
        </is>
      </c>
      <c r="B347" s="1" t="n">
        <v>45155</v>
      </c>
      <c r="C347" s="1" t="n">
        <v>46194</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55010-2024</t>
        </is>
      </c>
      <c r="B348" s="1" t="n">
        <v>45621</v>
      </c>
      <c r="C348" s="1" t="n">
        <v>46194</v>
      </c>
      <c r="D348" t="inlineStr">
        <is>
          <t>STOCKHOLMS LÄN</t>
        </is>
      </c>
      <c r="E348" t="inlineStr">
        <is>
          <t>NORRTÄLJE</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55018-2024</t>
        </is>
      </c>
      <c r="B349" s="1" t="n">
        <v>45621</v>
      </c>
      <c r="C349" s="1" t="n">
        <v>46194</v>
      </c>
      <c r="D349" t="inlineStr">
        <is>
          <t>STOCKHOLMS LÄN</t>
        </is>
      </c>
      <c r="E349" t="inlineStr">
        <is>
          <t>NORRTÄLJE</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38721-2022</t>
        </is>
      </c>
      <c r="B350" s="1" t="n">
        <v>44815</v>
      </c>
      <c r="C350" s="1" t="n">
        <v>46194</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60184-2021</t>
        </is>
      </c>
      <c r="B351" s="1" t="n">
        <v>44495</v>
      </c>
      <c r="C351" s="1" t="n">
        <v>46194</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46194</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1847-2023</t>
        </is>
      </c>
      <c r="B353" s="1" t="n">
        <v>44938</v>
      </c>
      <c r="C353" s="1" t="n">
        <v>46194</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55012-2024</t>
        </is>
      </c>
      <c r="B354" s="1" t="n">
        <v>45621</v>
      </c>
      <c r="C354" s="1" t="n">
        <v>46194</v>
      </c>
      <c r="D354" t="inlineStr">
        <is>
          <t>STOCKHOLMS LÄN</t>
        </is>
      </c>
      <c r="E354" t="inlineStr">
        <is>
          <t>NORRTÄLJE</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29362-2022</t>
        </is>
      </c>
      <c r="B355" s="1" t="n">
        <v>44753</v>
      </c>
      <c r="C355" s="1" t="n">
        <v>46194</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20291-2022</t>
        </is>
      </c>
      <c r="B356" s="1" t="n">
        <v>44698</v>
      </c>
      <c r="C356" s="1" t="n">
        <v>46194</v>
      </c>
      <c r="D356" t="inlineStr">
        <is>
          <t>STOCKHOLMS LÄN</t>
        </is>
      </c>
      <c r="E356" t="inlineStr">
        <is>
          <t>NORRTÄLJE</t>
        </is>
      </c>
      <c r="F356" t="inlineStr">
        <is>
          <t>Naturvårdsverket</t>
        </is>
      </c>
      <c r="G356" t="n">
        <v>2</v>
      </c>
      <c r="H356" t="n">
        <v>0</v>
      </c>
      <c r="I356" t="n">
        <v>0</v>
      </c>
      <c r="J356" t="n">
        <v>0</v>
      </c>
      <c r="K356" t="n">
        <v>0</v>
      </c>
      <c r="L356" t="n">
        <v>0</v>
      </c>
      <c r="M356" t="n">
        <v>0</v>
      </c>
      <c r="N356" t="n">
        <v>0</v>
      </c>
      <c r="O356" t="n">
        <v>0</v>
      </c>
      <c r="P356" t="n">
        <v>0</v>
      </c>
      <c r="Q356" t="n">
        <v>0</v>
      </c>
      <c r="R356" s="2" t="inlineStr"/>
    </row>
    <row r="357" ht="15" customHeight="1">
      <c r="A357" t="inlineStr">
        <is>
          <t>A 31926-2022</t>
        </is>
      </c>
      <c r="B357" s="1" t="n">
        <v>44777</v>
      </c>
      <c r="C357" s="1" t="n">
        <v>46194</v>
      </c>
      <c r="D357" t="inlineStr">
        <is>
          <t>STOCKHOLMS LÄN</t>
        </is>
      </c>
      <c r="E357" t="inlineStr">
        <is>
          <t>NORRTÄLJE</t>
        </is>
      </c>
      <c r="G357" t="n">
        <v>5.2</v>
      </c>
      <c r="H357" t="n">
        <v>0</v>
      </c>
      <c r="I357" t="n">
        <v>0</v>
      </c>
      <c r="J357" t="n">
        <v>0</v>
      </c>
      <c r="K357" t="n">
        <v>0</v>
      </c>
      <c r="L357" t="n">
        <v>0</v>
      </c>
      <c r="M357" t="n">
        <v>0</v>
      </c>
      <c r="N357" t="n">
        <v>0</v>
      </c>
      <c r="O357" t="n">
        <v>0</v>
      </c>
      <c r="P357" t="n">
        <v>0</v>
      </c>
      <c r="Q357" t="n">
        <v>0</v>
      </c>
      <c r="R357" s="2" t="inlineStr"/>
    </row>
    <row r="358" ht="15" customHeight="1">
      <c r="A358" t="inlineStr">
        <is>
          <t>A 27715-2022</t>
        </is>
      </c>
      <c r="B358" s="1" t="n">
        <v>44743</v>
      </c>
      <c r="C358" s="1" t="n">
        <v>46194</v>
      </c>
      <c r="D358" t="inlineStr">
        <is>
          <t>STOCKHOLMS LÄN</t>
        </is>
      </c>
      <c r="E358" t="inlineStr">
        <is>
          <t>NORRTÄLJE</t>
        </is>
      </c>
      <c r="G358" t="n">
        <v>2.2</v>
      </c>
      <c r="H358" t="n">
        <v>0</v>
      </c>
      <c r="I358" t="n">
        <v>0</v>
      </c>
      <c r="J358" t="n">
        <v>0</v>
      </c>
      <c r="K358" t="n">
        <v>0</v>
      </c>
      <c r="L358" t="n">
        <v>0</v>
      </c>
      <c r="M358" t="n">
        <v>0</v>
      </c>
      <c r="N358" t="n">
        <v>0</v>
      </c>
      <c r="O358" t="n">
        <v>0</v>
      </c>
      <c r="P358" t="n">
        <v>0</v>
      </c>
      <c r="Q358" t="n">
        <v>0</v>
      </c>
      <c r="R358" s="2" t="inlineStr"/>
    </row>
    <row r="359" ht="15" customHeight="1">
      <c r="A359" t="inlineStr">
        <is>
          <t>A 58492-2022</t>
        </is>
      </c>
      <c r="B359" s="1" t="n">
        <v>44902</v>
      </c>
      <c r="C359" s="1" t="n">
        <v>46194</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1425-2025</t>
        </is>
      </c>
      <c r="B360" s="1" t="n">
        <v>45668</v>
      </c>
      <c r="C360" s="1" t="n">
        <v>46194</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1453-2025</t>
        </is>
      </c>
      <c r="B361" s="1" t="n">
        <v>45670</v>
      </c>
      <c r="C361" s="1" t="n">
        <v>46194</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33053-2021</t>
        </is>
      </c>
      <c r="B362" s="1" t="n">
        <v>44376</v>
      </c>
      <c r="C362" s="1" t="n">
        <v>46194</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6070-2022</t>
        </is>
      </c>
      <c r="B363" s="1" t="n">
        <v>44599</v>
      </c>
      <c r="C363" s="1" t="n">
        <v>46194</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27828-2022</t>
        </is>
      </c>
      <c r="B364" s="1" t="n">
        <v>44743</v>
      </c>
      <c r="C364" s="1" t="n">
        <v>46194</v>
      </c>
      <c r="D364" t="inlineStr">
        <is>
          <t>STOCKHOLMS LÄN</t>
        </is>
      </c>
      <c r="E364" t="inlineStr">
        <is>
          <t>NORRTÄLJE</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63161-2023</t>
        </is>
      </c>
      <c r="B365" s="1" t="n">
        <v>45273</v>
      </c>
      <c r="C365" s="1" t="n">
        <v>46194</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4581-2025</t>
        </is>
      </c>
      <c r="B366" s="1" t="n">
        <v>45687</v>
      </c>
      <c r="C366" s="1" t="n">
        <v>46194</v>
      </c>
      <c r="D366" t="inlineStr">
        <is>
          <t>STOCKHOLMS LÄN</t>
        </is>
      </c>
      <c r="E366" t="inlineStr">
        <is>
          <t>NORRTÄLJE</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23271-2023</t>
        </is>
      </c>
      <c r="B367" s="1" t="n">
        <v>45075</v>
      </c>
      <c r="C367" s="1" t="n">
        <v>46194</v>
      </c>
      <c r="D367" t="inlineStr">
        <is>
          <t>STOCKHOLMS LÄN</t>
        </is>
      </c>
      <c r="E367" t="inlineStr">
        <is>
          <t>NORRTÄLJE</t>
        </is>
      </c>
      <c r="G367" t="n">
        <v>5.1</v>
      </c>
      <c r="H367" t="n">
        <v>0</v>
      </c>
      <c r="I367" t="n">
        <v>0</v>
      </c>
      <c r="J367" t="n">
        <v>0</v>
      </c>
      <c r="K367" t="n">
        <v>0</v>
      </c>
      <c r="L367" t="n">
        <v>0</v>
      </c>
      <c r="M367" t="n">
        <v>0</v>
      </c>
      <c r="N367" t="n">
        <v>0</v>
      </c>
      <c r="O367" t="n">
        <v>0</v>
      </c>
      <c r="P367" t="n">
        <v>0</v>
      </c>
      <c r="Q367" t="n">
        <v>0</v>
      </c>
      <c r="R367" s="2" t="inlineStr"/>
    </row>
    <row r="368" ht="15" customHeight="1">
      <c r="A368" t="inlineStr">
        <is>
          <t>A 23273-2023</t>
        </is>
      </c>
      <c r="B368" s="1" t="n">
        <v>45075</v>
      </c>
      <c r="C368" s="1" t="n">
        <v>46194</v>
      </c>
      <c r="D368" t="inlineStr">
        <is>
          <t>STOCKHOLMS LÄN</t>
        </is>
      </c>
      <c r="E368" t="inlineStr">
        <is>
          <t>NORRTÄLJE</t>
        </is>
      </c>
      <c r="G368" t="n">
        <v>7.5</v>
      </c>
      <c r="H368" t="n">
        <v>0</v>
      </c>
      <c r="I368" t="n">
        <v>0</v>
      </c>
      <c r="J368" t="n">
        <v>0</v>
      </c>
      <c r="K368" t="n">
        <v>0</v>
      </c>
      <c r="L368" t="n">
        <v>0</v>
      </c>
      <c r="M368" t="n">
        <v>0</v>
      </c>
      <c r="N368" t="n">
        <v>0</v>
      </c>
      <c r="O368" t="n">
        <v>0</v>
      </c>
      <c r="P368" t="n">
        <v>0</v>
      </c>
      <c r="Q368" t="n">
        <v>0</v>
      </c>
      <c r="R368" s="2" t="inlineStr"/>
    </row>
    <row r="369" ht="15" customHeight="1">
      <c r="A369" t="inlineStr">
        <is>
          <t>A 30802-2022</t>
        </is>
      </c>
      <c r="B369" s="1" t="n">
        <v>44764</v>
      </c>
      <c r="C369" s="1" t="n">
        <v>46194</v>
      </c>
      <c r="D369" t="inlineStr">
        <is>
          <t>STOCKHOLMS LÄN</t>
        </is>
      </c>
      <c r="E369" t="inlineStr">
        <is>
          <t>NORRTÄLJE</t>
        </is>
      </c>
      <c r="G369" t="n">
        <v>1.7</v>
      </c>
      <c r="H369" t="n">
        <v>0</v>
      </c>
      <c r="I369" t="n">
        <v>0</v>
      </c>
      <c r="J369" t="n">
        <v>0</v>
      </c>
      <c r="K369" t="n">
        <v>0</v>
      </c>
      <c r="L369" t="n">
        <v>0</v>
      </c>
      <c r="M369" t="n">
        <v>0</v>
      </c>
      <c r="N369" t="n">
        <v>0</v>
      </c>
      <c r="O369" t="n">
        <v>0</v>
      </c>
      <c r="P369" t="n">
        <v>0</v>
      </c>
      <c r="Q369" t="n">
        <v>0</v>
      </c>
      <c r="R369" s="2" t="inlineStr"/>
    </row>
    <row r="370" ht="15" customHeight="1">
      <c r="A370" t="inlineStr">
        <is>
          <t>A 19706-2023</t>
        </is>
      </c>
      <c r="B370" s="1" t="n">
        <v>45051</v>
      </c>
      <c r="C370" s="1" t="n">
        <v>46194</v>
      </c>
      <c r="D370" t="inlineStr">
        <is>
          <t>STOCKHOLMS LÄN</t>
        </is>
      </c>
      <c r="E370" t="inlineStr">
        <is>
          <t>NORRTÄLJE</t>
        </is>
      </c>
      <c r="G370" t="n">
        <v>0.2</v>
      </c>
      <c r="H370" t="n">
        <v>0</v>
      </c>
      <c r="I370" t="n">
        <v>0</v>
      </c>
      <c r="J370" t="n">
        <v>0</v>
      </c>
      <c r="K370" t="n">
        <v>0</v>
      </c>
      <c r="L370" t="n">
        <v>0</v>
      </c>
      <c r="M370" t="n">
        <v>0</v>
      </c>
      <c r="N370" t="n">
        <v>0</v>
      </c>
      <c r="O370" t="n">
        <v>0</v>
      </c>
      <c r="P370" t="n">
        <v>0</v>
      </c>
      <c r="Q370" t="n">
        <v>0</v>
      </c>
      <c r="R370" s="2" t="inlineStr"/>
    </row>
    <row r="371" ht="15" customHeight="1">
      <c r="A371" t="inlineStr">
        <is>
          <t>A 16008-2025</t>
        </is>
      </c>
      <c r="B371" s="1" t="n">
        <v>45749</v>
      </c>
      <c r="C371" s="1" t="n">
        <v>46194</v>
      </c>
      <c r="D371" t="inlineStr">
        <is>
          <t>STOCKHOLMS LÄN</t>
        </is>
      </c>
      <c r="E371" t="inlineStr">
        <is>
          <t>NORRTÄLJE</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9765-2024</t>
        </is>
      </c>
      <c r="B372" s="1" t="n">
        <v>45362</v>
      </c>
      <c r="C372" s="1" t="n">
        <v>46194</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59873-2024</t>
        </is>
      </c>
      <c r="B373" s="1" t="n">
        <v>45640</v>
      </c>
      <c r="C373" s="1" t="n">
        <v>46194</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62398-2022</t>
        </is>
      </c>
      <c r="B374" s="1" t="n">
        <v>44923</v>
      </c>
      <c r="C374" s="1" t="n">
        <v>46194</v>
      </c>
      <c r="D374" t="inlineStr">
        <is>
          <t>STOCKHOLMS LÄN</t>
        </is>
      </c>
      <c r="E374" t="inlineStr">
        <is>
          <t>NORRTÄLJE</t>
        </is>
      </c>
      <c r="G374" t="n">
        <v>4</v>
      </c>
      <c r="H374" t="n">
        <v>0</v>
      </c>
      <c r="I374" t="n">
        <v>0</v>
      </c>
      <c r="J374" t="n">
        <v>0</v>
      </c>
      <c r="K374" t="n">
        <v>0</v>
      </c>
      <c r="L374" t="n">
        <v>0</v>
      </c>
      <c r="M374" t="n">
        <v>0</v>
      </c>
      <c r="N374" t="n">
        <v>0</v>
      </c>
      <c r="O374" t="n">
        <v>0</v>
      </c>
      <c r="P374" t="n">
        <v>0</v>
      </c>
      <c r="Q374" t="n">
        <v>0</v>
      </c>
      <c r="R374" s="2" t="inlineStr"/>
    </row>
    <row r="375" ht="15" customHeight="1">
      <c r="A375" t="inlineStr">
        <is>
          <t>A 17039-2024</t>
        </is>
      </c>
      <c r="B375" s="1" t="n">
        <v>45412</v>
      </c>
      <c r="C375" s="1" t="n">
        <v>46194</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3509-2022</t>
        </is>
      </c>
      <c r="B376" s="1" t="n">
        <v>44585</v>
      </c>
      <c r="C376" s="1" t="n">
        <v>46194</v>
      </c>
      <c r="D376" t="inlineStr">
        <is>
          <t>STOCKHOLMS LÄN</t>
        </is>
      </c>
      <c r="E376" t="inlineStr">
        <is>
          <t>NORRTÄLJE</t>
        </is>
      </c>
      <c r="F376" t="inlineStr">
        <is>
          <t>Kommuner</t>
        </is>
      </c>
      <c r="G376" t="n">
        <v>0.8</v>
      </c>
      <c r="H376" t="n">
        <v>0</v>
      </c>
      <c r="I376" t="n">
        <v>0</v>
      </c>
      <c r="J376" t="n">
        <v>0</v>
      </c>
      <c r="K376" t="n">
        <v>0</v>
      </c>
      <c r="L376" t="n">
        <v>0</v>
      </c>
      <c r="M376" t="n">
        <v>0</v>
      </c>
      <c r="N376" t="n">
        <v>0</v>
      </c>
      <c r="O376" t="n">
        <v>0</v>
      </c>
      <c r="P376" t="n">
        <v>0</v>
      </c>
      <c r="Q376" t="n">
        <v>0</v>
      </c>
      <c r="R376" s="2" t="inlineStr"/>
    </row>
    <row r="377" ht="15" customHeight="1">
      <c r="A377" t="inlineStr">
        <is>
          <t>A 48161-2022</t>
        </is>
      </c>
      <c r="B377" s="1" t="n">
        <v>44858</v>
      </c>
      <c r="C377" s="1" t="n">
        <v>46194</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47694-2023</t>
        </is>
      </c>
      <c r="B378" s="1" t="n">
        <v>45203</v>
      </c>
      <c r="C378" s="1" t="n">
        <v>46194</v>
      </c>
      <c r="D378" t="inlineStr">
        <is>
          <t>STOCKHOLMS LÄN</t>
        </is>
      </c>
      <c r="E378" t="inlineStr">
        <is>
          <t>NORRTÄLJE</t>
        </is>
      </c>
      <c r="G378" t="n">
        <v>5.2</v>
      </c>
      <c r="H378" t="n">
        <v>0</v>
      </c>
      <c r="I378" t="n">
        <v>0</v>
      </c>
      <c r="J378" t="n">
        <v>0</v>
      </c>
      <c r="K378" t="n">
        <v>0</v>
      </c>
      <c r="L378" t="n">
        <v>0</v>
      </c>
      <c r="M378" t="n">
        <v>0</v>
      </c>
      <c r="N378" t="n">
        <v>0</v>
      </c>
      <c r="O378" t="n">
        <v>0</v>
      </c>
      <c r="P378" t="n">
        <v>0</v>
      </c>
      <c r="Q378" t="n">
        <v>0</v>
      </c>
      <c r="R378" s="2" t="inlineStr"/>
    </row>
    <row r="379" ht="15" customHeight="1">
      <c r="A379" t="inlineStr">
        <is>
          <t>A 40656-2022</t>
        </is>
      </c>
      <c r="B379" s="1" t="n">
        <v>44824</v>
      </c>
      <c r="C379" s="1" t="n">
        <v>46194</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40425-2021</t>
        </is>
      </c>
      <c r="B380" s="1" t="n">
        <v>44419</v>
      </c>
      <c r="C380" s="1" t="n">
        <v>46194</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v>
      </c>
      <c r="C381" s="1" t="n">
        <v>46194</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23307-2024</t>
        </is>
      </c>
      <c r="B382" s="1" t="n">
        <v>45453</v>
      </c>
      <c r="C382" s="1" t="n">
        <v>46194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12875-2022</t>
        </is>
      </c>
      <c r="B383" s="1" t="n">
        <v>44642</v>
      </c>
      <c r="C383" s="1" t="n">
        <v>46194</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v>
      </c>
      <c r="C384" s="1" t="n">
        <v>46194</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2281-2024</t>
        </is>
      </c>
      <c r="B385" s="1" t="n">
        <v>45310</v>
      </c>
      <c r="C385" s="1" t="n">
        <v>46194</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1448-2023</t>
        </is>
      </c>
      <c r="B386" s="1" t="n">
        <v>44937</v>
      </c>
      <c r="C386" s="1" t="n">
        <v>46194</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2287-2024</t>
        </is>
      </c>
      <c r="B387" s="1" t="n">
        <v>45310</v>
      </c>
      <c r="C387" s="1" t="n">
        <v>46194</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56631-2024</t>
        </is>
      </c>
      <c r="B388" s="1" t="n">
        <v>45625</v>
      </c>
      <c r="C388" s="1" t="n">
        <v>46194</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48587-2023</t>
        </is>
      </c>
      <c r="B389" s="1" t="n">
        <v>45208</v>
      </c>
      <c r="C389" s="1" t="n">
        <v>46194</v>
      </c>
      <c r="D389" t="inlineStr">
        <is>
          <t>STOCKHOLMS LÄN</t>
        </is>
      </c>
      <c r="E389" t="inlineStr">
        <is>
          <t>NORRTÄLJE</t>
        </is>
      </c>
      <c r="G389" t="n">
        <v>7</v>
      </c>
      <c r="H389" t="n">
        <v>0</v>
      </c>
      <c r="I389" t="n">
        <v>0</v>
      </c>
      <c r="J389" t="n">
        <v>0</v>
      </c>
      <c r="K389" t="n">
        <v>0</v>
      </c>
      <c r="L389" t="n">
        <v>0</v>
      </c>
      <c r="M389" t="n">
        <v>0</v>
      </c>
      <c r="N389" t="n">
        <v>0</v>
      </c>
      <c r="O389" t="n">
        <v>0</v>
      </c>
      <c r="P389" t="n">
        <v>0</v>
      </c>
      <c r="Q389" t="n">
        <v>0</v>
      </c>
      <c r="R389" s="2" t="inlineStr"/>
    </row>
    <row r="390" ht="15" customHeight="1">
      <c r="A390" t="inlineStr">
        <is>
          <t>A 35127-2023</t>
        </is>
      </c>
      <c r="B390" s="1" t="n">
        <v>45145</v>
      </c>
      <c r="C390" s="1" t="n">
        <v>46194</v>
      </c>
      <c r="D390" t="inlineStr">
        <is>
          <t>STOCKHOLMS LÄN</t>
        </is>
      </c>
      <c r="E390" t="inlineStr">
        <is>
          <t>NORRTÄLJE</t>
        </is>
      </c>
      <c r="G390" t="n">
        <v>4.7</v>
      </c>
      <c r="H390" t="n">
        <v>0</v>
      </c>
      <c r="I390" t="n">
        <v>0</v>
      </c>
      <c r="J390" t="n">
        <v>0</v>
      </c>
      <c r="K390" t="n">
        <v>0</v>
      </c>
      <c r="L390" t="n">
        <v>0</v>
      </c>
      <c r="M390" t="n">
        <v>0</v>
      </c>
      <c r="N390" t="n">
        <v>0</v>
      </c>
      <c r="O390" t="n">
        <v>0</v>
      </c>
      <c r="P390" t="n">
        <v>0</v>
      </c>
      <c r="Q390" t="n">
        <v>0</v>
      </c>
      <c r="R390" s="2" t="inlineStr"/>
    </row>
    <row r="391" ht="15" customHeight="1">
      <c r="A391" t="inlineStr">
        <is>
          <t>A 53600-2022</t>
        </is>
      </c>
      <c r="B391" s="1" t="n">
        <v>44879</v>
      </c>
      <c r="C391" s="1" t="n">
        <v>46194</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50136-2023</t>
        </is>
      </c>
      <c r="B392" s="1" t="n">
        <v>45215</v>
      </c>
      <c r="C392" s="1" t="n">
        <v>46194</v>
      </c>
      <c r="D392" t="inlineStr">
        <is>
          <t>STOCKHOLMS LÄN</t>
        </is>
      </c>
      <c r="E392" t="inlineStr">
        <is>
          <t>NORRTÄLJE</t>
        </is>
      </c>
      <c r="G392" t="n">
        <v>5.2</v>
      </c>
      <c r="H392" t="n">
        <v>0</v>
      </c>
      <c r="I392" t="n">
        <v>0</v>
      </c>
      <c r="J392" t="n">
        <v>0</v>
      </c>
      <c r="K392" t="n">
        <v>0</v>
      </c>
      <c r="L392" t="n">
        <v>0</v>
      </c>
      <c r="M392" t="n">
        <v>0</v>
      </c>
      <c r="N392" t="n">
        <v>0</v>
      </c>
      <c r="O392" t="n">
        <v>0</v>
      </c>
      <c r="P392" t="n">
        <v>0</v>
      </c>
      <c r="Q392" t="n">
        <v>0</v>
      </c>
      <c r="R392" s="2" t="inlineStr"/>
    </row>
    <row r="393" ht="15" customHeight="1">
      <c r="A393" t="inlineStr">
        <is>
          <t>A 20618-2022</t>
        </is>
      </c>
      <c r="B393" s="1" t="n">
        <v>44700</v>
      </c>
      <c r="C393" s="1" t="n">
        <v>46194</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9654-2022</t>
        </is>
      </c>
      <c r="B394" s="1" t="n">
        <v>44617</v>
      </c>
      <c r="C394" s="1" t="n">
        <v>46194</v>
      </c>
      <c r="D394" t="inlineStr">
        <is>
          <t>STOCKHOLMS LÄN</t>
        </is>
      </c>
      <c r="E394" t="inlineStr">
        <is>
          <t>NORRTÄLJE</t>
        </is>
      </c>
      <c r="G394" t="n">
        <v>6.4</v>
      </c>
      <c r="H394" t="n">
        <v>0</v>
      </c>
      <c r="I394" t="n">
        <v>0</v>
      </c>
      <c r="J394" t="n">
        <v>0</v>
      </c>
      <c r="K394" t="n">
        <v>0</v>
      </c>
      <c r="L394" t="n">
        <v>0</v>
      </c>
      <c r="M394" t="n">
        <v>0</v>
      </c>
      <c r="N394" t="n">
        <v>0</v>
      </c>
      <c r="O394" t="n">
        <v>0</v>
      </c>
      <c r="P394" t="n">
        <v>0</v>
      </c>
      <c r="Q394" t="n">
        <v>0</v>
      </c>
      <c r="R394" s="2" t="inlineStr"/>
    </row>
    <row r="395" ht="15" customHeight="1">
      <c r="A395" t="inlineStr">
        <is>
          <t>A 59504-2023</t>
        </is>
      </c>
      <c r="B395" s="1" t="n">
        <v>45254</v>
      </c>
      <c r="C395" s="1" t="n">
        <v>46194</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37147-2023</t>
        </is>
      </c>
      <c r="B396" s="1" t="n">
        <v>45155</v>
      </c>
      <c r="C396" s="1" t="n">
        <v>46194</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59499-2023</t>
        </is>
      </c>
      <c r="B397" s="1" t="n">
        <v>45254</v>
      </c>
      <c r="C397" s="1" t="n">
        <v>46194</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60654-2023</t>
        </is>
      </c>
      <c r="B398" s="1" t="n">
        <v>45260</v>
      </c>
      <c r="C398" s="1" t="n">
        <v>46194</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60656-2023</t>
        </is>
      </c>
      <c r="B399" s="1" t="n">
        <v>45260</v>
      </c>
      <c r="C399" s="1" t="n">
        <v>46194</v>
      </c>
      <c r="D399" t="inlineStr">
        <is>
          <t>STOCKHOLMS LÄN</t>
        </is>
      </c>
      <c r="E399" t="inlineStr">
        <is>
          <t>NORRTÄLJE</t>
        </is>
      </c>
      <c r="G399" t="n">
        <v>4.8</v>
      </c>
      <c r="H399" t="n">
        <v>0</v>
      </c>
      <c r="I399" t="n">
        <v>0</v>
      </c>
      <c r="J399" t="n">
        <v>0</v>
      </c>
      <c r="K399" t="n">
        <v>0</v>
      </c>
      <c r="L399" t="n">
        <v>0</v>
      </c>
      <c r="M399" t="n">
        <v>0</v>
      </c>
      <c r="N399" t="n">
        <v>0</v>
      </c>
      <c r="O399" t="n">
        <v>0</v>
      </c>
      <c r="P399" t="n">
        <v>0</v>
      </c>
      <c r="Q399" t="n">
        <v>0</v>
      </c>
      <c r="R399" s="2" t="inlineStr"/>
    </row>
    <row r="400" ht="15" customHeight="1">
      <c r="A400" t="inlineStr">
        <is>
          <t>A 42955-2022</t>
        </is>
      </c>
      <c r="B400" s="1" t="n">
        <v>44833</v>
      </c>
      <c r="C400" s="1" t="n">
        <v>46194</v>
      </c>
      <c r="D400" t="inlineStr">
        <is>
          <t>STOCKHOLMS LÄN</t>
        </is>
      </c>
      <c r="E400" t="inlineStr">
        <is>
          <t>NORRTÄLJE</t>
        </is>
      </c>
      <c r="G400" t="n">
        <v>13.1</v>
      </c>
      <c r="H400" t="n">
        <v>0</v>
      </c>
      <c r="I400" t="n">
        <v>0</v>
      </c>
      <c r="J400" t="n">
        <v>0</v>
      </c>
      <c r="K400" t="n">
        <v>0</v>
      </c>
      <c r="L400" t="n">
        <v>0</v>
      </c>
      <c r="M400" t="n">
        <v>0</v>
      </c>
      <c r="N400" t="n">
        <v>0</v>
      </c>
      <c r="O400" t="n">
        <v>0</v>
      </c>
      <c r="P400" t="n">
        <v>0</v>
      </c>
      <c r="Q400" t="n">
        <v>0</v>
      </c>
      <c r="R400" s="2" t="inlineStr"/>
    </row>
    <row r="401" ht="15" customHeight="1">
      <c r="A401" t="inlineStr">
        <is>
          <t>A 22697-2022</t>
        </is>
      </c>
      <c r="B401" s="1" t="n">
        <v>44714</v>
      </c>
      <c r="C401" s="1" t="n">
        <v>46194</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25656-2023</t>
        </is>
      </c>
      <c r="B402" s="1" t="n">
        <v>45089</v>
      </c>
      <c r="C402" s="1" t="n">
        <v>46194</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38049-2023</t>
        </is>
      </c>
      <c r="B403" s="1" t="n">
        <v>45159</v>
      </c>
      <c r="C403" s="1" t="n">
        <v>46194</v>
      </c>
      <c r="D403" t="inlineStr">
        <is>
          <t>STOCKHOLMS LÄN</t>
        </is>
      </c>
      <c r="E403" t="inlineStr">
        <is>
          <t>NORRTÄLJE</t>
        </is>
      </c>
      <c r="G403" t="n">
        <v>3.6</v>
      </c>
      <c r="H403" t="n">
        <v>0</v>
      </c>
      <c r="I403" t="n">
        <v>0</v>
      </c>
      <c r="J403" t="n">
        <v>0</v>
      </c>
      <c r="K403" t="n">
        <v>0</v>
      </c>
      <c r="L403" t="n">
        <v>0</v>
      </c>
      <c r="M403" t="n">
        <v>0</v>
      </c>
      <c r="N403" t="n">
        <v>0</v>
      </c>
      <c r="O403" t="n">
        <v>0</v>
      </c>
      <c r="P403" t="n">
        <v>0</v>
      </c>
      <c r="Q403" t="n">
        <v>0</v>
      </c>
      <c r="R403" s="2" t="inlineStr"/>
    </row>
    <row r="404" ht="15" customHeight="1">
      <c r="A404" t="inlineStr">
        <is>
          <t>A 3966-2024</t>
        </is>
      </c>
      <c r="B404" s="1" t="n">
        <v>45322</v>
      </c>
      <c r="C404" s="1" t="n">
        <v>46194</v>
      </c>
      <c r="D404" t="inlineStr">
        <is>
          <t>STOCKHOLMS LÄN</t>
        </is>
      </c>
      <c r="E404" t="inlineStr">
        <is>
          <t>NORRTÄLJE</t>
        </is>
      </c>
      <c r="G404" t="n">
        <v>5.3</v>
      </c>
      <c r="H404" t="n">
        <v>0</v>
      </c>
      <c r="I404" t="n">
        <v>0</v>
      </c>
      <c r="J404" t="n">
        <v>0</v>
      </c>
      <c r="K404" t="n">
        <v>0</v>
      </c>
      <c r="L404" t="n">
        <v>0</v>
      </c>
      <c r="M404" t="n">
        <v>0</v>
      </c>
      <c r="N404" t="n">
        <v>0</v>
      </c>
      <c r="O404" t="n">
        <v>0</v>
      </c>
      <c r="P404" t="n">
        <v>0</v>
      </c>
      <c r="Q404" t="n">
        <v>0</v>
      </c>
      <c r="R404" s="2" t="inlineStr"/>
    </row>
    <row r="405" ht="15" customHeight="1">
      <c r="A405" t="inlineStr">
        <is>
          <t>A 17348-2024</t>
        </is>
      </c>
      <c r="B405" s="1" t="n">
        <v>45414</v>
      </c>
      <c r="C405" s="1" t="n">
        <v>46194</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12355-2022</t>
        </is>
      </c>
      <c r="B406" s="1" t="n">
        <v>44637</v>
      </c>
      <c r="C406" s="1" t="n">
        <v>46194</v>
      </c>
      <c r="D406" t="inlineStr">
        <is>
          <t>STOCKHOLMS LÄN</t>
        </is>
      </c>
      <c r="E406" t="inlineStr">
        <is>
          <t>NORRTÄLJE</t>
        </is>
      </c>
      <c r="G406" t="n">
        <v>10.4</v>
      </c>
      <c r="H406" t="n">
        <v>0</v>
      </c>
      <c r="I406" t="n">
        <v>0</v>
      </c>
      <c r="J406" t="n">
        <v>0</v>
      </c>
      <c r="K406" t="n">
        <v>0</v>
      </c>
      <c r="L406" t="n">
        <v>0</v>
      </c>
      <c r="M406" t="n">
        <v>0</v>
      </c>
      <c r="N406" t="n">
        <v>0</v>
      </c>
      <c r="O406" t="n">
        <v>0</v>
      </c>
      <c r="P406" t="n">
        <v>0</v>
      </c>
      <c r="Q406" t="n">
        <v>0</v>
      </c>
      <c r="R406" s="2" t="inlineStr"/>
    </row>
    <row r="407" ht="15" customHeight="1">
      <c r="A407" t="inlineStr">
        <is>
          <t>A 48180-2023</t>
        </is>
      </c>
      <c r="B407" s="1" t="n">
        <v>45205</v>
      </c>
      <c r="C407" s="1" t="n">
        <v>46194</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57353-2024</t>
        </is>
      </c>
      <c r="B408" s="1" t="n">
        <v>45629</v>
      </c>
      <c r="C408" s="1" t="n">
        <v>46194</v>
      </c>
      <c r="D408" t="inlineStr">
        <is>
          <t>STOCKHOLMS LÄN</t>
        </is>
      </c>
      <c r="E408" t="inlineStr">
        <is>
          <t>NORRTÄLJE</t>
        </is>
      </c>
      <c r="F408" t="inlineStr">
        <is>
          <t>Holmen skog AB</t>
        </is>
      </c>
      <c r="G408" t="n">
        <v>0.9</v>
      </c>
      <c r="H408" t="n">
        <v>0</v>
      </c>
      <c r="I408" t="n">
        <v>0</v>
      </c>
      <c r="J408" t="n">
        <v>0</v>
      </c>
      <c r="K408" t="n">
        <v>0</v>
      </c>
      <c r="L408" t="n">
        <v>0</v>
      </c>
      <c r="M408" t="n">
        <v>0</v>
      </c>
      <c r="N408" t="n">
        <v>0</v>
      </c>
      <c r="O408" t="n">
        <v>0</v>
      </c>
      <c r="P408" t="n">
        <v>0</v>
      </c>
      <c r="Q408" t="n">
        <v>0</v>
      </c>
      <c r="R408" s="2" t="inlineStr"/>
    </row>
    <row r="409" ht="15" customHeight="1">
      <c r="A409" t="inlineStr">
        <is>
          <t>A 6919-2025</t>
        </is>
      </c>
      <c r="B409" s="1" t="n">
        <v>45701</v>
      </c>
      <c r="C409" s="1" t="n">
        <v>46194</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5158-2024</t>
        </is>
      </c>
      <c r="B410" s="1" t="n">
        <v>45330</v>
      </c>
      <c r="C410" s="1" t="n">
        <v>46194</v>
      </c>
      <c r="D410" t="inlineStr">
        <is>
          <t>STOCKHOLMS LÄN</t>
        </is>
      </c>
      <c r="E410" t="inlineStr">
        <is>
          <t>NORRTÄLJE</t>
        </is>
      </c>
      <c r="G410" t="n">
        <v>0.8</v>
      </c>
      <c r="H410" t="n">
        <v>0</v>
      </c>
      <c r="I410" t="n">
        <v>0</v>
      </c>
      <c r="J410" t="n">
        <v>0</v>
      </c>
      <c r="K410" t="n">
        <v>0</v>
      </c>
      <c r="L410" t="n">
        <v>0</v>
      </c>
      <c r="M410" t="n">
        <v>0</v>
      </c>
      <c r="N410" t="n">
        <v>0</v>
      </c>
      <c r="O410" t="n">
        <v>0</v>
      </c>
      <c r="P410" t="n">
        <v>0</v>
      </c>
      <c r="Q410" t="n">
        <v>0</v>
      </c>
      <c r="R410" s="2" t="inlineStr"/>
    </row>
    <row r="411" ht="15" customHeight="1">
      <c r="A411" t="inlineStr">
        <is>
          <t>A 52508-2023</t>
        </is>
      </c>
      <c r="B411" s="1" t="n">
        <v>45225</v>
      </c>
      <c r="C411" s="1" t="n">
        <v>46194</v>
      </c>
      <c r="D411" t="inlineStr">
        <is>
          <t>STOCKHOLMS LÄN</t>
        </is>
      </c>
      <c r="E411" t="inlineStr">
        <is>
          <t>NORRTÄLJE</t>
        </is>
      </c>
      <c r="G411" t="n">
        <v>19.7</v>
      </c>
      <c r="H411" t="n">
        <v>0</v>
      </c>
      <c r="I411" t="n">
        <v>0</v>
      </c>
      <c r="J411" t="n">
        <v>0</v>
      </c>
      <c r="K411" t="n">
        <v>0</v>
      </c>
      <c r="L411" t="n">
        <v>0</v>
      </c>
      <c r="M411" t="n">
        <v>0</v>
      </c>
      <c r="N411" t="n">
        <v>0</v>
      </c>
      <c r="O411" t="n">
        <v>0</v>
      </c>
      <c r="P411" t="n">
        <v>0</v>
      </c>
      <c r="Q411" t="n">
        <v>0</v>
      </c>
      <c r="R411" s="2" t="inlineStr"/>
    </row>
    <row r="412" ht="15" customHeight="1">
      <c r="A412" t="inlineStr">
        <is>
          <t>A 34461-2023</t>
        </is>
      </c>
      <c r="B412" s="1" t="n">
        <v>45139</v>
      </c>
      <c r="C412" s="1" t="n">
        <v>46194</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67921-2021</t>
        </is>
      </c>
      <c r="B413" s="1" t="n">
        <v>44525</v>
      </c>
      <c r="C413" s="1" t="n">
        <v>46194</v>
      </c>
      <c r="D413" t="inlineStr">
        <is>
          <t>STOCKHOLMS LÄN</t>
        </is>
      </c>
      <c r="E413" t="inlineStr">
        <is>
          <t>NORRTÄLJE</t>
        </is>
      </c>
      <c r="G413" t="n">
        <v>6.3</v>
      </c>
      <c r="H413" t="n">
        <v>0</v>
      </c>
      <c r="I413" t="n">
        <v>0</v>
      </c>
      <c r="J413" t="n">
        <v>0</v>
      </c>
      <c r="K413" t="n">
        <v>0</v>
      </c>
      <c r="L413" t="n">
        <v>0</v>
      </c>
      <c r="M413" t="n">
        <v>0</v>
      </c>
      <c r="N413" t="n">
        <v>0</v>
      </c>
      <c r="O413" t="n">
        <v>0</v>
      </c>
      <c r="P413" t="n">
        <v>0</v>
      </c>
      <c r="Q413" t="n">
        <v>0</v>
      </c>
      <c r="R413" s="2" t="inlineStr"/>
    </row>
    <row r="414" ht="15" customHeight="1">
      <c r="A414" t="inlineStr">
        <is>
          <t>A 51046-2023</t>
        </is>
      </c>
      <c r="B414" s="1" t="n">
        <v>45218</v>
      </c>
      <c r="C414" s="1" t="n">
        <v>46194</v>
      </c>
      <c r="D414" t="inlineStr">
        <is>
          <t>STOCKHOLMS LÄN</t>
        </is>
      </c>
      <c r="E414" t="inlineStr">
        <is>
          <t>NORRTÄLJE</t>
        </is>
      </c>
      <c r="G414" t="n">
        <v>2.5</v>
      </c>
      <c r="H414" t="n">
        <v>0</v>
      </c>
      <c r="I414" t="n">
        <v>0</v>
      </c>
      <c r="J414" t="n">
        <v>0</v>
      </c>
      <c r="K414" t="n">
        <v>0</v>
      </c>
      <c r="L414" t="n">
        <v>0</v>
      </c>
      <c r="M414" t="n">
        <v>0</v>
      </c>
      <c r="N414" t="n">
        <v>0</v>
      </c>
      <c r="O414" t="n">
        <v>0</v>
      </c>
      <c r="P414" t="n">
        <v>0</v>
      </c>
      <c r="Q414" t="n">
        <v>0</v>
      </c>
      <c r="R414" s="2" t="inlineStr"/>
    </row>
    <row r="415" ht="15" customHeight="1">
      <c r="A415" t="inlineStr">
        <is>
          <t>A 8433-2022</t>
        </is>
      </c>
      <c r="B415" s="1" t="n">
        <v>44611</v>
      </c>
      <c r="C415" s="1" t="n">
        <v>46194</v>
      </c>
      <c r="D415" t="inlineStr">
        <is>
          <t>STOCKHOLMS LÄN</t>
        </is>
      </c>
      <c r="E415" t="inlineStr">
        <is>
          <t>NORRTÄLJE</t>
        </is>
      </c>
      <c r="G415" t="n">
        <v>0.9</v>
      </c>
      <c r="H415" t="n">
        <v>0</v>
      </c>
      <c r="I415" t="n">
        <v>0</v>
      </c>
      <c r="J415" t="n">
        <v>0</v>
      </c>
      <c r="K415" t="n">
        <v>0</v>
      </c>
      <c r="L415" t="n">
        <v>0</v>
      </c>
      <c r="M415" t="n">
        <v>0</v>
      </c>
      <c r="N415" t="n">
        <v>0</v>
      </c>
      <c r="O415" t="n">
        <v>0</v>
      </c>
      <c r="P415" t="n">
        <v>0</v>
      </c>
      <c r="Q415" t="n">
        <v>0</v>
      </c>
      <c r="R415" s="2" t="inlineStr"/>
    </row>
    <row r="416" ht="15" customHeight="1">
      <c r="A416" t="inlineStr">
        <is>
          <t>A 24522-2023</t>
        </is>
      </c>
      <c r="B416" s="1" t="n">
        <v>45082</v>
      </c>
      <c r="C416" s="1" t="n">
        <v>46194</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10215-2023</t>
        </is>
      </c>
      <c r="B417" s="1" t="n">
        <v>44986</v>
      </c>
      <c r="C417" s="1" t="n">
        <v>46194</v>
      </c>
      <c r="D417" t="inlineStr">
        <is>
          <t>STOCKHOLMS LÄN</t>
        </is>
      </c>
      <c r="E417" t="inlineStr">
        <is>
          <t>NORRTÄLJE</t>
        </is>
      </c>
      <c r="G417" t="n">
        <v>6.5</v>
      </c>
      <c r="H417" t="n">
        <v>0</v>
      </c>
      <c r="I417" t="n">
        <v>0</v>
      </c>
      <c r="J417" t="n">
        <v>0</v>
      </c>
      <c r="K417" t="n">
        <v>0</v>
      </c>
      <c r="L417" t="n">
        <v>0</v>
      </c>
      <c r="M417" t="n">
        <v>0</v>
      </c>
      <c r="N417" t="n">
        <v>0</v>
      </c>
      <c r="O417" t="n">
        <v>0</v>
      </c>
      <c r="P417" t="n">
        <v>0</v>
      </c>
      <c r="Q417" t="n">
        <v>0</v>
      </c>
      <c r="R417" s="2" t="inlineStr"/>
    </row>
    <row r="418" ht="15" customHeight="1">
      <c r="A418" t="inlineStr">
        <is>
          <t>A 8736-2024</t>
        </is>
      </c>
      <c r="B418" s="1" t="n">
        <v>45356</v>
      </c>
      <c r="C418" s="1" t="n">
        <v>46194</v>
      </c>
      <c r="D418" t="inlineStr">
        <is>
          <t>STOCKHOLMS LÄN</t>
        </is>
      </c>
      <c r="E418" t="inlineStr">
        <is>
          <t>NORRTÄLJE</t>
        </is>
      </c>
      <c r="G418" t="n">
        <v>8.9</v>
      </c>
      <c r="H418" t="n">
        <v>0</v>
      </c>
      <c r="I418" t="n">
        <v>0</v>
      </c>
      <c r="J418" t="n">
        <v>0</v>
      </c>
      <c r="K418" t="n">
        <v>0</v>
      </c>
      <c r="L418" t="n">
        <v>0</v>
      </c>
      <c r="M418" t="n">
        <v>0</v>
      </c>
      <c r="N418" t="n">
        <v>0</v>
      </c>
      <c r="O418" t="n">
        <v>0</v>
      </c>
      <c r="P418" t="n">
        <v>0</v>
      </c>
      <c r="Q418" t="n">
        <v>0</v>
      </c>
      <c r="R418" s="2" t="inlineStr"/>
    </row>
    <row r="419" ht="15" customHeight="1">
      <c r="A419" t="inlineStr">
        <is>
          <t>A 29176-2024</t>
        </is>
      </c>
      <c r="B419" s="1" t="n">
        <v>45482</v>
      </c>
      <c r="C419" s="1" t="n">
        <v>46194</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45255-2022</t>
        </is>
      </c>
      <c r="B420" s="1" t="n">
        <v>44840</v>
      </c>
      <c r="C420" s="1" t="n">
        <v>46194</v>
      </c>
      <c r="D420" t="inlineStr">
        <is>
          <t>STOCKHOLMS LÄN</t>
        </is>
      </c>
      <c r="E420" t="inlineStr">
        <is>
          <t>NORRTÄLJE</t>
        </is>
      </c>
      <c r="G420" t="n">
        <v>4.1</v>
      </c>
      <c r="H420" t="n">
        <v>0</v>
      </c>
      <c r="I420" t="n">
        <v>0</v>
      </c>
      <c r="J420" t="n">
        <v>0</v>
      </c>
      <c r="K420" t="n">
        <v>0</v>
      </c>
      <c r="L420" t="n">
        <v>0</v>
      </c>
      <c r="M420" t="n">
        <v>0</v>
      </c>
      <c r="N420" t="n">
        <v>0</v>
      </c>
      <c r="O420" t="n">
        <v>0</v>
      </c>
      <c r="P420" t="n">
        <v>0</v>
      </c>
      <c r="Q420" t="n">
        <v>0</v>
      </c>
      <c r="R420" s="2" t="inlineStr"/>
    </row>
    <row r="421" ht="15" customHeight="1">
      <c r="A421" t="inlineStr">
        <is>
          <t>A 19915-2024</t>
        </is>
      </c>
      <c r="B421" s="1" t="n">
        <v>45433</v>
      </c>
      <c r="C421" s="1" t="n">
        <v>46194</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31559-2022</t>
        </is>
      </c>
      <c r="B422" s="1" t="n">
        <v>44775</v>
      </c>
      <c r="C422" s="1" t="n">
        <v>46194</v>
      </c>
      <c r="D422" t="inlineStr">
        <is>
          <t>STOCKHOLMS LÄN</t>
        </is>
      </c>
      <c r="E422" t="inlineStr">
        <is>
          <t>NORRTÄLJE</t>
        </is>
      </c>
      <c r="G422" t="n">
        <v>5.6</v>
      </c>
      <c r="H422" t="n">
        <v>0</v>
      </c>
      <c r="I422" t="n">
        <v>0</v>
      </c>
      <c r="J422" t="n">
        <v>0</v>
      </c>
      <c r="K422" t="n">
        <v>0</v>
      </c>
      <c r="L422" t="n">
        <v>0</v>
      </c>
      <c r="M422" t="n">
        <v>0</v>
      </c>
      <c r="N422" t="n">
        <v>0</v>
      </c>
      <c r="O422" t="n">
        <v>0</v>
      </c>
      <c r="P422" t="n">
        <v>0</v>
      </c>
      <c r="Q422" t="n">
        <v>0</v>
      </c>
      <c r="R422" s="2" t="inlineStr"/>
    </row>
    <row r="423" ht="15" customHeight="1">
      <c r="A423" t="inlineStr">
        <is>
          <t>A 20428-2024</t>
        </is>
      </c>
      <c r="B423" s="1" t="n">
        <v>45435</v>
      </c>
      <c r="C423" s="1" t="n">
        <v>46194</v>
      </c>
      <c r="D423" t="inlineStr">
        <is>
          <t>STOCKHOLMS LÄN</t>
        </is>
      </c>
      <c r="E423" t="inlineStr">
        <is>
          <t>NORRTÄLJE</t>
        </is>
      </c>
      <c r="G423" t="n">
        <v>3.7</v>
      </c>
      <c r="H423" t="n">
        <v>0</v>
      </c>
      <c r="I423" t="n">
        <v>0</v>
      </c>
      <c r="J423" t="n">
        <v>0</v>
      </c>
      <c r="K423" t="n">
        <v>0</v>
      </c>
      <c r="L423" t="n">
        <v>0</v>
      </c>
      <c r="M423" t="n">
        <v>0</v>
      </c>
      <c r="N423" t="n">
        <v>0</v>
      </c>
      <c r="O423" t="n">
        <v>0</v>
      </c>
      <c r="P423" t="n">
        <v>0</v>
      </c>
      <c r="Q423" t="n">
        <v>0</v>
      </c>
      <c r="R423" s="2" t="inlineStr"/>
    </row>
    <row r="424" ht="15" customHeight="1">
      <c r="A424" t="inlineStr">
        <is>
          <t>A 52001-2023</t>
        </is>
      </c>
      <c r="B424" s="1" t="n">
        <v>45223</v>
      </c>
      <c r="C424" s="1" t="n">
        <v>46194</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57037-2022</t>
        </is>
      </c>
      <c r="B425" s="1" t="n">
        <v>44895</v>
      </c>
      <c r="C425" s="1" t="n">
        <v>46194</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4596-2023</t>
        </is>
      </c>
      <c r="B426" s="1" t="n">
        <v>44956</v>
      </c>
      <c r="C426" s="1" t="n">
        <v>46194</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24727-2023</t>
        </is>
      </c>
      <c r="B427" s="1" t="n">
        <v>45084</v>
      </c>
      <c r="C427" s="1" t="n">
        <v>46194</v>
      </c>
      <c r="D427" t="inlineStr">
        <is>
          <t>STOCKHOLMS LÄN</t>
        </is>
      </c>
      <c r="E427" t="inlineStr">
        <is>
          <t>NORRTÄLJE</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59904-2023</t>
        </is>
      </c>
      <c r="B428" s="1" t="n">
        <v>45257</v>
      </c>
      <c r="C428" s="1" t="n">
        <v>46194</v>
      </c>
      <c r="D428" t="inlineStr">
        <is>
          <t>STOCKHOLMS LÄN</t>
        </is>
      </c>
      <c r="E428" t="inlineStr">
        <is>
          <t>NORRTÄLJE</t>
        </is>
      </c>
      <c r="G428" t="n">
        <v>17.4</v>
      </c>
      <c r="H428" t="n">
        <v>0</v>
      </c>
      <c r="I428" t="n">
        <v>0</v>
      </c>
      <c r="J428" t="n">
        <v>0</v>
      </c>
      <c r="K428" t="n">
        <v>0</v>
      </c>
      <c r="L428" t="n">
        <v>0</v>
      </c>
      <c r="M428" t="n">
        <v>0</v>
      </c>
      <c r="N428" t="n">
        <v>0</v>
      </c>
      <c r="O428" t="n">
        <v>0</v>
      </c>
      <c r="P428" t="n">
        <v>0</v>
      </c>
      <c r="Q428" t="n">
        <v>0</v>
      </c>
      <c r="R428" s="2" t="inlineStr"/>
    </row>
    <row r="429" ht="15" customHeight="1">
      <c r="A429" t="inlineStr">
        <is>
          <t>A 36308-2022</t>
        </is>
      </c>
      <c r="B429" s="1" t="n">
        <v>44803</v>
      </c>
      <c r="C429" s="1" t="n">
        <v>46194</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23149-2024</t>
        </is>
      </c>
      <c r="B430" s="1" t="n">
        <v>45450</v>
      </c>
      <c r="C430" s="1" t="n">
        <v>46194</v>
      </c>
      <c r="D430" t="inlineStr">
        <is>
          <t>STOCKHOLMS LÄN</t>
        </is>
      </c>
      <c r="E430" t="inlineStr">
        <is>
          <t>NORRTÄLJE</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23151-2024</t>
        </is>
      </c>
      <c r="B431" s="1" t="n">
        <v>45450</v>
      </c>
      <c r="C431" s="1" t="n">
        <v>46194</v>
      </c>
      <c r="D431" t="inlineStr">
        <is>
          <t>STOCKHOLMS LÄN</t>
        </is>
      </c>
      <c r="E431" t="inlineStr">
        <is>
          <t>NORRTÄLJE</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16913-2025</t>
        </is>
      </c>
      <c r="B432" s="1" t="n">
        <v>45755</v>
      </c>
      <c r="C432" s="1" t="n">
        <v>46194</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65499-2021</t>
        </is>
      </c>
      <c r="B433" s="1" t="n">
        <v>44516</v>
      </c>
      <c r="C433" s="1" t="n">
        <v>46194</v>
      </c>
      <c r="D433" t="inlineStr">
        <is>
          <t>STOCKHOLMS LÄN</t>
        </is>
      </c>
      <c r="E433" t="inlineStr">
        <is>
          <t>NORRTÄLJE</t>
        </is>
      </c>
      <c r="F433" t="inlineStr">
        <is>
          <t>Kommuner</t>
        </is>
      </c>
      <c r="G433" t="n">
        <v>5.2</v>
      </c>
      <c r="H433" t="n">
        <v>0</v>
      </c>
      <c r="I433" t="n">
        <v>0</v>
      </c>
      <c r="J433" t="n">
        <v>0</v>
      </c>
      <c r="K433" t="n">
        <v>0</v>
      </c>
      <c r="L433" t="n">
        <v>0</v>
      </c>
      <c r="M433" t="n">
        <v>0</v>
      </c>
      <c r="N433" t="n">
        <v>0</v>
      </c>
      <c r="O433" t="n">
        <v>0</v>
      </c>
      <c r="P433" t="n">
        <v>0</v>
      </c>
      <c r="Q433" t="n">
        <v>0</v>
      </c>
      <c r="R433" s="2" t="inlineStr"/>
    </row>
    <row r="434" ht="15" customHeight="1">
      <c r="A434" t="inlineStr">
        <is>
          <t>A 55755-2023</t>
        </is>
      </c>
      <c r="B434" s="1" t="n">
        <v>45239</v>
      </c>
      <c r="C434" s="1" t="n">
        <v>46194</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45549-2022</t>
        </is>
      </c>
      <c r="B435" s="1" t="n">
        <v>44845</v>
      </c>
      <c r="C435" s="1" t="n">
        <v>46194</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40761-2024</t>
        </is>
      </c>
      <c r="B436" s="1" t="n">
        <v>45558</v>
      </c>
      <c r="C436" s="1" t="n">
        <v>46194</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23692-2024</t>
        </is>
      </c>
      <c r="B437" s="1" t="n">
        <v>45454</v>
      </c>
      <c r="C437" s="1" t="n">
        <v>46194</v>
      </c>
      <c r="D437" t="inlineStr">
        <is>
          <t>STOCKHOLMS LÄN</t>
        </is>
      </c>
      <c r="E437" t="inlineStr">
        <is>
          <t>NORRTÄLJE</t>
        </is>
      </c>
      <c r="G437" t="n">
        <v>3.7</v>
      </c>
      <c r="H437" t="n">
        <v>0</v>
      </c>
      <c r="I437" t="n">
        <v>0</v>
      </c>
      <c r="J437" t="n">
        <v>0</v>
      </c>
      <c r="K437" t="n">
        <v>0</v>
      </c>
      <c r="L437" t="n">
        <v>0</v>
      </c>
      <c r="M437" t="n">
        <v>0</v>
      </c>
      <c r="N437" t="n">
        <v>0</v>
      </c>
      <c r="O437" t="n">
        <v>0</v>
      </c>
      <c r="P437" t="n">
        <v>0</v>
      </c>
      <c r="Q437" t="n">
        <v>0</v>
      </c>
      <c r="R437" s="2" t="inlineStr"/>
    </row>
    <row r="438" ht="15" customHeight="1">
      <c r="A438" t="inlineStr">
        <is>
          <t>A 38720-2025</t>
        </is>
      </c>
      <c r="B438" s="1" t="n">
        <v>45886</v>
      </c>
      <c r="C438" s="1" t="n">
        <v>46194</v>
      </c>
      <c r="D438" t="inlineStr">
        <is>
          <t>STOCKHOLMS LÄN</t>
        </is>
      </c>
      <c r="E438" t="inlineStr">
        <is>
          <t>NORRTÄLJE</t>
        </is>
      </c>
      <c r="G438" t="n">
        <v>1.6</v>
      </c>
      <c r="H438" t="n">
        <v>0</v>
      </c>
      <c r="I438" t="n">
        <v>0</v>
      </c>
      <c r="J438" t="n">
        <v>0</v>
      </c>
      <c r="K438" t="n">
        <v>0</v>
      </c>
      <c r="L438" t="n">
        <v>0</v>
      </c>
      <c r="M438" t="n">
        <v>0</v>
      </c>
      <c r="N438" t="n">
        <v>0</v>
      </c>
      <c r="O438" t="n">
        <v>0</v>
      </c>
      <c r="P438" t="n">
        <v>0</v>
      </c>
      <c r="Q438" t="n">
        <v>0</v>
      </c>
      <c r="R438" s="2" t="inlineStr"/>
    </row>
    <row r="439" ht="15" customHeight="1">
      <c r="A439" t="inlineStr">
        <is>
          <t>A 19580-2022</t>
        </is>
      </c>
      <c r="B439" s="1" t="n">
        <v>44693</v>
      </c>
      <c r="C439" s="1" t="n">
        <v>46194</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18787-2022</t>
        </is>
      </c>
      <c r="B440" s="1" t="n">
        <v>44687</v>
      </c>
      <c r="C440" s="1" t="n">
        <v>46194</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37550-2022</t>
        </is>
      </c>
      <c r="B441" s="1" t="n">
        <v>44809</v>
      </c>
      <c r="C441" s="1" t="n">
        <v>46194</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47431-2023</t>
        </is>
      </c>
      <c r="B442" s="1" t="n">
        <v>45202</v>
      </c>
      <c r="C442" s="1" t="n">
        <v>46194</v>
      </c>
      <c r="D442" t="inlineStr">
        <is>
          <t>STOCKHOLMS LÄN</t>
        </is>
      </c>
      <c r="E442" t="inlineStr">
        <is>
          <t>NORRTÄLJE</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51653-2022</t>
        </is>
      </c>
      <c r="B443" s="1" t="n">
        <v>44867</v>
      </c>
      <c r="C443" s="1" t="n">
        <v>46194</v>
      </c>
      <c r="D443" t="inlineStr">
        <is>
          <t>STOCKHOLMS LÄN</t>
        </is>
      </c>
      <c r="E443" t="inlineStr">
        <is>
          <t>NORRTÄLJE</t>
        </is>
      </c>
      <c r="G443" t="n">
        <v>6.6</v>
      </c>
      <c r="H443" t="n">
        <v>0</v>
      </c>
      <c r="I443" t="n">
        <v>0</v>
      </c>
      <c r="J443" t="n">
        <v>0</v>
      </c>
      <c r="K443" t="n">
        <v>0</v>
      </c>
      <c r="L443" t="n">
        <v>0</v>
      </c>
      <c r="M443" t="n">
        <v>0</v>
      </c>
      <c r="N443" t="n">
        <v>0</v>
      </c>
      <c r="O443" t="n">
        <v>0</v>
      </c>
      <c r="P443" t="n">
        <v>0</v>
      </c>
      <c r="Q443" t="n">
        <v>0</v>
      </c>
      <c r="R443" s="2" t="inlineStr"/>
    </row>
    <row r="444" ht="15" customHeight="1">
      <c r="A444" t="inlineStr">
        <is>
          <t>A 23262-2023</t>
        </is>
      </c>
      <c r="B444" s="1" t="n">
        <v>45075</v>
      </c>
      <c r="C444" s="1" t="n">
        <v>46194</v>
      </c>
      <c r="D444" t="inlineStr">
        <is>
          <t>STOCKHOLMS LÄN</t>
        </is>
      </c>
      <c r="E444" t="inlineStr">
        <is>
          <t>NORRTÄLJE</t>
        </is>
      </c>
      <c r="F444" t="inlineStr">
        <is>
          <t>Kommuner</t>
        </is>
      </c>
      <c r="G444" t="n">
        <v>1.9</v>
      </c>
      <c r="H444" t="n">
        <v>0</v>
      </c>
      <c r="I444" t="n">
        <v>0</v>
      </c>
      <c r="J444" t="n">
        <v>0</v>
      </c>
      <c r="K444" t="n">
        <v>0</v>
      </c>
      <c r="L444" t="n">
        <v>0</v>
      </c>
      <c r="M444" t="n">
        <v>0</v>
      </c>
      <c r="N444" t="n">
        <v>0</v>
      </c>
      <c r="O444" t="n">
        <v>0</v>
      </c>
      <c r="P444" t="n">
        <v>0</v>
      </c>
      <c r="Q444" t="n">
        <v>0</v>
      </c>
      <c r="R444" s="2" t="inlineStr"/>
    </row>
    <row r="445" ht="15" customHeight="1">
      <c r="A445" t="inlineStr">
        <is>
          <t>A 23268-2023</t>
        </is>
      </c>
      <c r="B445" s="1" t="n">
        <v>45075</v>
      </c>
      <c r="C445" s="1" t="n">
        <v>46194</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23270-2023</t>
        </is>
      </c>
      <c r="B446" s="1" t="n">
        <v>45075</v>
      </c>
      <c r="C446" s="1" t="n">
        <v>46194</v>
      </c>
      <c r="D446" t="inlineStr">
        <is>
          <t>STOCKHOLMS LÄN</t>
        </is>
      </c>
      <c r="E446" t="inlineStr">
        <is>
          <t>NORRTÄLJE</t>
        </is>
      </c>
      <c r="G446" t="n">
        <v>12.3</v>
      </c>
      <c r="H446" t="n">
        <v>0</v>
      </c>
      <c r="I446" t="n">
        <v>0</v>
      </c>
      <c r="J446" t="n">
        <v>0</v>
      </c>
      <c r="K446" t="n">
        <v>0</v>
      </c>
      <c r="L446" t="n">
        <v>0</v>
      </c>
      <c r="M446" t="n">
        <v>0</v>
      </c>
      <c r="N446" t="n">
        <v>0</v>
      </c>
      <c r="O446" t="n">
        <v>0</v>
      </c>
      <c r="P446" t="n">
        <v>0</v>
      </c>
      <c r="Q446" t="n">
        <v>0</v>
      </c>
      <c r="R446" s="2" t="inlineStr"/>
    </row>
    <row r="447" ht="15" customHeight="1">
      <c r="A447" t="inlineStr">
        <is>
          <t>A 23274-2023</t>
        </is>
      </c>
      <c r="B447" s="1" t="n">
        <v>45075</v>
      </c>
      <c r="C447" s="1" t="n">
        <v>46194</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5732-2023</t>
        </is>
      </c>
      <c r="B448" s="1" t="n">
        <v>44962</v>
      </c>
      <c r="C448" s="1" t="n">
        <v>46194</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23070-2023</t>
        </is>
      </c>
      <c r="B449" s="1" t="n">
        <v>45075</v>
      </c>
      <c r="C449" s="1" t="n">
        <v>46194</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25609-2023</t>
        </is>
      </c>
      <c r="B450" s="1" t="n">
        <v>45089</v>
      </c>
      <c r="C450" s="1" t="n">
        <v>46194</v>
      </c>
      <c r="D450" t="inlineStr">
        <is>
          <t>STOCKHOLMS LÄN</t>
        </is>
      </c>
      <c r="E450" t="inlineStr">
        <is>
          <t>NORRTÄLJE</t>
        </is>
      </c>
      <c r="G450" t="n">
        <v>2.5</v>
      </c>
      <c r="H450" t="n">
        <v>0</v>
      </c>
      <c r="I450" t="n">
        <v>0</v>
      </c>
      <c r="J450" t="n">
        <v>0</v>
      </c>
      <c r="K450" t="n">
        <v>0</v>
      </c>
      <c r="L450" t="n">
        <v>0</v>
      </c>
      <c r="M450" t="n">
        <v>0</v>
      </c>
      <c r="N450" t="n">
        <v>0</v>
      </c>
      <c r="O450" t="n">
        <v>0</v>
      </c>
      <c r="P450" t="n">
        <v>0</v>
      </c>
      <c r="Q450" t="n">
        <v>0</v>
      </c>
      <c r="R450" s="2" t="inlineStr"/>
    </row>
    <row r="451" ht="15" customHeight="1">
      <c r="A451" t="inlineStr">
        <is>
          <t>A 7571-2024</t>
        </is>
      </c>
      <c r="B451" s="1" t="n">
        <v>45348</v>
      </c>
      <c r="C451" s="1" t="n">
        <v>46194</v>
      </c>
      <c r="D451" t="inlineStr">
        <is>
          <t>STOCKHOLMS LÄN</t>
        </is>
      </c>
      <c r="E451" t="inlineStr">
        <is>
          <t>NORRTÄLJE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50569-2022</t>
        </is>
      </c>
      <c r="B452" s="1" t="n">
        <v>44866</v>
      </c>
      <c r="C452" s="1" t="n">
        <v>46194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36269-2022</t>
        </is>
      </c>
      <c r="B453" s="1" t="n">
        <v>44803</v>
      </c>
      <c r="C453" s="1" t="n">
        <v>46194</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22833-2024</t>
        </is>
      </c>
      <c r="B454" s="1" t="n">
        <v>45448</v>
      </c>
      <c r="C454" s="1" t="n">
        <v>46194</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5665-2025</t>
        </is>
      </c>
      <c r="B455" s="1" t="n">
        <v>45693</v>
      </c>
      <c r="C455" s="1" t="n">
        <v>46194</v>
      </c>
      <c r="D455" t="inlineStr">
        <is>
          <t>STOCKHOLMS LÄN</t>
        </is>
      </c>
      <c r="E455" t="inlineStr">
        <is>
          <t>NORRTÄLJE</t>
        </is>
      </c>
      <c r="G455" t="n">
        <v>4</v>
      </c>
      <c r="H455" t="n">
        <v>0</v>
      </c>
      <c r="I455" t="n">
        <v>0</v>
      </c>
      <c r="J455" t="n">
        <v>0</v>
      </c>
      <c r="K455" t="n">
        <v>0</v>
      </c>
      <c r="L455" t="n">
        <v>0</v>
      </c>
      <c r="M455" t="n">
        <v>0</v>
      </c>
      <c r="N455" t="n">
        <v>0</v>
      </c>
      <c r="O455" t="n">
        <v>0</v>
      </c>
      <c r="P455" t="n">
        <v>0</v>
      </c>
      <c r="Q455" t="n">
        <v>0</v>
      </c>
      <c r="R455" s="2" t="inlineStr"/>
    </row>
    <row r="456" ht="15" customHeight="1">
      <c r="A456" t="inlineStr">
        <is>
          <t>A 60224-2023</t>
        </is>
      </c>
      <c r="B456" s="1" t="n">
        <v>45257</v>
      </c>
      <c r="C456" s="1" t="n">
        <v>46194</v>
      </c>
      <c r="D456" t="inlineStr">
        <is>
          <t>STOCKHOLMS LÄN</t>
        </is>
      </c>
      <c r="E456" t="inlineStr">
        <is>
          <t>NORRTÄLJE</t>
        </is>
      </c>
      <c r="G456" t="n">
        <v>8.1</v>
      </c>
      <c r="H456" t="n">
        <v>0</v>
      </c>
      <c r="I456" t="n">
        <v>0</v>
      </c>
      <c r="J456" t="n">
        <v>0</v>
      </c>
      <c r="K456" t="n">
        <v>0</v>
      </c>
      <c r="L456" t="n">
        <v>0</v>
      </c>
      <c r="M456" t="n">
        <v>0</v>
      </c>
      <c r="N456" t="n">
        <v>0</v>
      </c>
      <c r="O456" t="n">
        <v>0</v>
      </c>
      <c r="P456" t="n">
        <v>0</v>
      </c>
      <c r="Q456" t="n">
        <v>0</v>
      </c>
      <c r="R456" s="2" t="inlineStr"/>
    </row>
    <row r="457" ht="15" customHeight="1">
      <c r="A457" t="inlineStr">
        <is>
          <t>A 50108-2021</t>
        </is>
      </c>
      <c r="B457" s="1" t="n">
        <v>44456</v>
      </c>
      <c r="C457" s="1" t="n">
        <v>46194</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26636-2023</t>
        </is>
      </c>
      <c r="B458" s="1" t="n">
        <v>45092</v>
      </c>
      <c r="C458" s="1" t="n">
        <v>46194</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26637-2023</t>
        </is>
      </c>
      <c r="B459" s="1" t="n">
        <v>45092</v>
      </c>
      <c r="C459" s="1" t="n">
        <v>46194</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23266-2023</t>
        </is>
      </c>
      <c r="B460" s="1" t="n">
        <v>45075</v>
      </c>
      <c r="C460" s="1" t="n">
        <v>46194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39152-2025</t>
        </is>
      </c>
      <c r="B461" s="1" t="n">
        <v>45888</v>
      </c>
      <c r="C461" s="1" t="n">
        <v>46194</v>
      </c>
      <c r="D461" t="inlineStr">
        <is>
          <t>STOCKHOLMS LÄN</t>
        </is>
      </c>
      <c r="E461" t="inlineStr">
        <is>
          <t>NORRTÄLJE</t>
        </is>
      </c>
      <c r="G461" t="n">
        <v>4.6</v>
      </c>
      <c r="H461" t="n">
        <v>0</v>
      </c>
      <c r="I461" t="n">
        <v>0</v>
      </c>
      <c r="J461" t="n">
        <v>0</v>
      </c>
      <c r="K461" t="n">
        <v>0</v>
      </c>
      <c r="L461" t="n">
        <v>0</v>
      </c>
      <c r="M461" t="n">
        <v>0</v>
      </c>
      <c r="N461" t="n">
        <v>0</v>
      </c>
      <c r="O461" t="n">
        <v>0</v>
      </c>
      <c r="P461" t="n">
        <v>0</v>
      </c>
      <c r="Q461" t="n">
        <v>0</v>
      </c>
      <c r="R461" s="2" t="inlineStr"/>
    </row>
    <row r="462" ht="15" customHeight="1">
      <c r="A462" t="inlineStr">
        <is>
          <t>A 21386-2023</t>
        </is>
      </c>
      <c r="B462" s="1" t="n">
        <v>45063</v>
      </c>
      <c r="C462" s="1" t="n">
        <v>46194</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20304-2023</t>
        </is>
      </c>
      <c r="B463" s="1" t="n">
        <v>45056</v>
      </c>
      <c r="C463" s="1" t="n">
        <v>46194</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4593-2023</t>
        </is>
      </c>
      <c r="B464" s="1" t="n">
        <v>44956</v>
      </c>
      <c r="C464" s="1" t="n">
        <v>46194</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35235-2024</t>
        </is>
      </c>
      <c r="B465" s="1" t="n">
        <v>45530</v>
      </c>
      <c r="C465" s="1" t="n">
        <v>46194</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46194</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58863-2024</t>
        </is>
      </c>
      <c r="B467" s="1" t="n">
        <v>45636</v>
      </c>
      <c r="C467" s="1" t="n">
        <v>46194</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15447-2023</t>
        </is>
      </c>
      <c r="B468" s="1" t="n">
        <v>45020</v>
      </c>
      <c r="C468" s="1" t="n">
        <v>46194</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34391-2023</t>
        </is>
      </c>
      <c r="B469" s="1" t="n">
        <v>45139</v>
      </c>
      <c r="C469" s="1" t="n">
        <v>46194</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51061-2023</t>
        </is>
      </c>
      <c r="B470" s="1" t="n">
        <v>45218</v>
      </c>
      <c r="C470" s="1" t="n">
        <v>46194</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32071-2023</t>
        </is>
      </c>
      <c r="B471" s="1" t="n">
        <v>45119</v>
      </c>
      <c r="C471" s="1" t="n">
        <v>46194</v>
      </c>
      <c r="D471" t="inlineStr">
        <is>
          <t>STOCKHOLMS LÄN</t>
        </is>
      </c>
      <c r="E471" t="inlineStr">
        <is>
          <t>NORRTÄLJE</t>
        </is>
      </c>
      <c r="G471" t="n">
        <v>6.5</v>
      </c>
      <c r="H471" t="n">
        <v>0</v>
      </c>
      <c r="I471" t="n">
        <v>0</v>
      </c>
      <c r="J471" t="n">
        <v>0</v>
      </c>
      <c r="K471" t="n">
        <v>0</v>
      </c>
      <c r="L471" t="n">
        <v>0</v>
      </c>
      <c r="M471" t="n">
        <v>0</v>
      </c>
      <c r="N471" t="n">
        <v>0</v>
      </c>
      <c r="O471" t="n">
        <v>0</v>
      </c>
      <c r="P471" t="n">
        <v>0</v>
      </c>
      <c r="Q471" t="n">
        <v>0</v>
      </c>
      <c r="R471" s="2" t="inlineStr"/>
    </row>
    <row r="472" ht="15" customHeight="1">
      <c r="A472" t="inlineStr">
        <is>
          <t>A 39213-2022</t>
        </is>
      </c>
      <c r="B472" s="1" t="n">
        <v>44817</v>
      </c>
      <c r="C472" s="1" t="n">
        <v>46194</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25681-2024</t>
        </is>
      </c>
      <c r="B473" s="1" t="n">
        <v>45463</v>
      </c>
      <c r="C473" s="1" t="n">
        <v>46194</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36246-2021</t>
        </is>
      </c>
      <c r="B474" s="1" t="n">
        <v>44390</v>
      </c>
      <c r="C474" s="1" t="n">
        <v>46194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53312-2024</t>
        </is>
      </c>
      <c r="B475" s="1" t="n">
        <v>45614</v>
      </c>
      <c r="C475" s="1" t="n">
        <v>46194</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15905-2023</t>
        </is>
      </c>
      <c r="B476" s="1" t="n">
        <v>45022</v>
      </c>
      <c r="C476" s="1" t="n">
        <v>46194</v>
      </c>
      <c r="D476" t="inlineStr">
        <is>
          <t>STOCKHOLMS LÄN</t>
        </is>
      </c>
      <c r="E476" t="inlineStr">
        <is>
          <t>NORRTÄLJE</t>
        </is>
      </c>
      <c r="G476" t="n">
        <v>3.2</v>
      </c>
      <c r="H476" t="n">
        <v>0</v>
      </c>
      <c r="I476" t="n">
        <v>0</v>
      </c>
      <c r="J476" t="n">
        <v>0</v>
      </c>
      <c r="K476" t="n">
        <v>0</v>
      </c>
      <c r="L476" t="n">
        <v>0</v>
      </c>
      <c r="M476" t="n">
        <v>0</v>
      </c>
      <c r="N476" t="n">
        <v>0</v>
      </c>
      <c r="O476" t="n">
        <v>0</v>
      </c>
      <c r="P476" t="n">
        <v>0</v>
      </c>
      <c r="Q476" t="n">
        <v>0</v>
      </c>
      <c r="R476" s="2" t="inlineStr"/>
    </row>
    <row r="477" ht="15" customHeight="1">
      <c r="A477" t="inlineStr">
        <is>
          <t>A 21158-2022</t>
        </is>
      </c>
      <c r="B477" s="1" t="n">
        <v>44704</v>
      </c>
      <c r="C477" s="1" t="n">
        <v>46194</v>
      </c>
      <c r="D477" t="inlineStr">
        <is>
          <t>STOCKHOLMS LÄN</t>
        </is>
      </c>
      <c r="E477" t="inlineStr">
        <is>
          <t>NORRTÄLJE</t>
        </is>
      </c>
      <c r="G477" t="n">
        <v>17.8</v>
      </c>
      <c r="H477" t="n">
        <v>0</v>
      </c>
      <c r="I477" t="n">
        <v>0</v>
      </c>
      <c r="J477" t="n">
        <v>0</v>
      </c>
      <c r="K477" t="n">
        <v>0</v>
      </c>
      <c r="L477" t="n">
        <v>0</v>
      </c>
      <c r="M477" t="n">
        <v>0</v>
      </c>
      <c r="N477" t="n">
        <v>0</v>
      </c>
      <c r="O477" t="n">
        <v>0</v>
      </c>
      <c r="P477" t="n">
        <v>0</v>
      </c>
      <c r="Q477" t="n">
        <v>0</v>
      </c>
      <c r="R477" s="2" t="inlineStr"/>
    </row>
    <row r="478" ht="15" customHeight="1">
      <c r="A478" t="inlineStr">
        <is>
          <t>A 26115-2024</t>
        </is>
      </c>
      <c r="B478" s="1" t="n">
        <v>45468</v>
      </c>
      <c r="C478" s="1" t="n">
        <v>46194</v>
      </c>
      <c r="D478" t="inlineStr">
        <is>
          <t>STOCKHOLMS LÄN</t>
        </is>
      </c>
      <c r="E478" t="inlineStr">
        <is>
          <t>NORRTÄLJE</t>
        </is>
      </c>
      <c r="G478" t="n">
        <v>0.3</v>
      </c>
      <c r="H478" t="n">
        <v>0</v>
      </c>
      <c r="I478" t="n">
        <v>0</v>
      </c>
      <c r="J478" t="n">
        <v>0</v>
      </c>
      <c r="K478" t="n">
        <v>0</v>
      </c>
      <c r="L478" t="n">
        <v>0</v>
      </c>
      <c r="M478" t="n">
        <v>0</v>
      </c>
      <c r="N478" t="n">
        <v>0</v>
      </c>
      <c r="O478" t="n">
        <v>0</v>
      </c>
      <c r="P478" t="n">
        <v>0</v>
      </c>
      <c r="Q478" t="n">
        <v>0</v>
      </c>
      <c r="R478" s="2" t="inlineStr"/>
    </row>
    <row r="479" ht="15" customHeight="1">
      <c r="A479" t="inlineStr">
        <is>
          <t>A 15915-2023</t>
        </is>
      </c>
      <c r="B479" s="1" t="n">
        <v>45022</v>
      </c>
      <c r="C479" s="1" t="n">
        <v>46194</v>
      </c>
      <c r="D479" t="inlineStr">
        <is>
          <t>STOCKHOLMS LÄN</t>
        </is>
      </c>
      <c r="E479" t="inlineStr">
        <is>
          <t>NORRTÄLJE</t>
        </is>
      </c>
      <c r="G479" t="n">
        <v>2.9</v>
      </c>
      <c r="H479" t="n">
        <v>0</v>
      </c>
      <c r="I479" t="n">
        <v>0</v>
      </c>
      <c r="J479" t="n">
        <v>0</v>
      </c>
      <c r="K479" t="n">
        <v>0</v>
      </c>
      <c r="L479" t="n">
        <v>0</v>
      </c>
      <c r="M479" t="n">
        <v>0</v>
      </c>
      <c r="N479" t="n">
        <v>0</v>
      </c>
      <c r="O479" t="n">
        <v>0</v>
      </c>
      <c r="P479" t="n">
        <v>0</v>
      </c>
      <c r="Q479" t="n">
        <v>0</v>
      </c>
      <c r="R479" s="2" t="inlineStr"/>
    </row>
    <row r="480" ht="15" customHeight="1">
      <c r="A480" t="inlineStr">
        <is>
          <t>A 39905-2023</t>
        </is>
      </c>
      <c r="B480" s="1" t="n">
        <v>45168</v>
      </c>
      <c r="C480" s="1" t="n">
        <v>46194</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44917-2022</t>
        </is>
      </c>
      <c r="B481" s="1" t="n">
        <v>44841</v>
      </c>
      <c r="C481" s="1" t="n">
        <v>46194</v>
      </c>
      <c r="D481" t="inlineStr">
        <is>
          <t>STOCKHOLMS LÄN</t>
        </is>
      </c>
      <c r="E481" t="inlineStr">
        <is>
          <t>NORRTÄLJE</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33173-2024</t>
        </is>
      </c>
      <c r="B482" s="1" t="n">
        <v>45518</v>
      </c>
      <c r="C482" s="1" t="n">
        <v>46194</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33793-2022</t>
        </is>
      </c>
      <c r="B483" s="1" t="n">
        <v>44790</v>
      </c>
      <c r="C483" s="1" t="n">
        <v>46194</v>
      </c>
      <c r="D483" t="inlineStr">
        <is>
          <t>STOCKHOLMS LÄN</t>
        </is>
      </c>
      <c r="E483" t="inlineStr">
        <is>
          <t>NORRTÄLJE</t>
        </is>
      </c>
      <c r="G483" t="n">
        <v>1.5</v>
      </c>
      <c r="H483" t="n">
        <v>0</v>
      </c>
      <c r="I483" t="n">
        <v>0</v>
      </c>
      <c r="J483" t="n">
        <v>0</v>
      </c>
      <c r="K483" t="n">
        <v>0</v>
      </c>
      <c r="L483" t="n">
        <v>0</v>
      </c>
      <c r="M483" t="n">
        <v>0</v>
      </c>
      <c r="N483" t="n">
        <v>0</v>
      </c>
      <c r="O483" t="n">
        <v>0</v>
      </c>
      <c r="P483" t="n">
        <v>0</v>
      </c>
      <c r="Q483" t="n">
        <v>0</v>
      </c>
      <c r="R483" s="2" t="inlineStr"/>
    </row>
    <row r="484" ht="15" customHeight="1">
      <c r="A484" t="inlineStr">
        <is>
          <t>A 17551-2025</t>
        </is>
      </c>
      <c r="B484" s="1" t="n">
        <v>45757</v>
      </c>
      <c r="C484" s="1" t="n">
        <v>46194</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39692-2025</t>
        </is>
      </c>
      <c r="B485" s="1" t="n">
        <v>45890</v>
      </c>
      <c r="C485" s="1" t="n">
        <v>46194</v>
      </c>
      <c r="D485" t="inlineStr">
        <is>
          <t>STOCKHOLMS LÄN</t>
        </is>
      </c>
      <c r="E485" t="inlineStr">
        <is>
          <t>NORRTÄLJE</t>
        </is>
      </c>
      <c r="G485" t="n">
        <v>10.5</v>
      </c>
      <c r="H485" t="n">
        <v>0</v>
      </c>
      <c r="I485" t="n">
        <v>0</v>
      </c>
      <c r="J485" t="n">
        <v>0</v>
      </c>
      <c r="K485" t="n">
        <v>0</v>
      </c>
      <c r="L485" t="n">
        <v>0</v>
      </c>
      <c r="M485" t="n">
        <v>0</v>
      </c>
      <c r="N485" t="n">
        <v>0</v>
      </c>
      <c r="O485" t="n">
        <v>0</v>
      </c>
      <c r="P485" t="n">
        <v>0</v>
      </c>
      <c r="Q485" t="n">
        <v>0</v>
      </c>
      <c r="R485" s="2" t="inlineStr"/>
    </row>
    <row r="486" ht="15" customHeight="1">
      <c r="A486" t="inlineStr">
        <is>
          <t>A 17304-2024</t>
        </is>
      </c>
      <c r="B486" s="1" t="n">
        <v>45414</v>
      </c>
      <c r="C486" s="1" t="n">
        <v>46194</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54273-2021</t>
        </is>
      </c>
      <c r="B487" s="1" t="n">
        <v>44470</v>
      </c>
      <c r="C487" s="1" t="n">
        <v>46194</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43212-2022</t>
        </is>
      </c>
      <c r="B488" s="1" t="n">
        <v>44834</v>
      </c>
      <c r="C488" s="1" t="n">
        <v>46194</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27677-2025</t>
        </is>
      </c>
      <c r="B489" s="1" t="n">
        <v>45813</v>
      </c>
      <c r="C489" s="1" t="n">
        <v>46194</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10678-2025</t>
        </is>
      </c>
      <c r="B490" s="1" t="n">
        <v>45721</v>
      </c>
      <c r="C490" s="1" t="n">
        <v>46194</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16852-2024</t>
        </is>
      </c>
      <c r="B491" s="1" t="n">
        <v>45411</v>
      </c>
      <c r="C491" s="1" t="n">
        <v>46194</v>
      </c>
      <c r="D491" t="inlineStr">
        <is>
          <t>STOCKHOLMS LÄN</t>
        </is>
      </c>
      <c r="E491" t="inlineStr">
        <is>
          <t>NORRTÄLJE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4326-2023</t>
        </is>
      </c>
      <c r="B492" s="1" t="n">
        <v>44953</v>
      </c>
      <c r="C492" s="1" t="n">
        <v>46194</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8370-2025</t>
        </is>
      </c>
      <c r="B493" s="1" t="n">
        <v>45708</v>
      </c>
      <c r="C493" s="1" t="n">
        <v>46194</v>
      </c>
      <c r="D493" t="inlineStr">
        <is>
          <t>STOCKHOLMS LÄN</t>
        </is>
      </c>
      <c r="E493" t="inlineStr">
        <is>
          <t>NORRTÄLJE</t>
        </is>
      </c>
      <c r="F493" t="inlineStr">
        <is>
          <t>Övriga Aktiebolag</t>
        </is>
      </c>
      <c r="G493" t="n">
        <v>5.6</v>
      </c>
      <c r="H493" t="n">
        <v>0</v>
      </c>
      <c r="I493" t="n">
        <v>0</v>
      </c>
      <c r="J493" t="n">
        <v>0</v>
      </c>
      <c r="K493" t="n">
        <v>0</v>
      </c>
      <c r="L493" t="n">
        <v>0</v>
      </c>
      <c r="M493" t="n">
        <v>0</v>
      </c>
      <c r="N493" t="n">
        <v>0</v>
      </c>
      <c r="O493" t="n">
        <v>0</v>
      </c>
      <c r="P493" t="n">
        <v>0</v>
      </c>
      <c r="Q493" t="n">
        <v>0</v>
      </c>
      <c r="R493" s="2" t="inlineStr"/>
    </row>
    <row r="494" ht="15" customHeight="1">
      <c r="A494" t="inlineStr">
        <is>
          <t>A 33385-2024</t>
        </is>
      </c>
      <c r="B494" s="1" t="n">
        <v>45519</v>
      </c>
      <c r="C494" s="1" t="n">
        <v>46194</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29714-2023</t>
        </is>
      </c>
      <c r="B495" s="1" t="n">
        <v>45107</v>
      </c>
      <c r="C495" s="1" t="n">
        <v>46194</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30508-2023</t>
        </is>
      </c>
      <c r="B496" s="1" t="n">
        <v>45111</v>
      </c>
      <c r="C496" s="1" t="n">
        <v>46194</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951-2023</t>
        </is>
      </c>
      <c r="B497" s="1" t="n">
        <v>44934</v>
      </c>
      <c r="C497" s="1" t="n">
        <v>46194</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32100-2022</t>
        </is>
      </c>
      <c r="B498" s="1" t="n">
        <v>44778</v>
      </c>
      <c r="C498" s="1" t="n">
        <v>46194</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34295-2024</t>
        </is>
      </c>
      <c r="B499" s="1" t="n">
        <v>45524</v>
      </c>
      <c r="C499" s="1" t="n">
        <v>46194</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2888-2022</t>
        </is>
      </c>
      <c r="B500" s="1" t="n">
        <v>44581</v>
      </c>
      <c r="C500" s="1" t="n">
        <v>46194</v>
      </c>
      <c r="D500" t="inlineStr">
        <is>
          <t>STOCKHOLMS LÄN</t>
        </is>
      </c>
      <c r="E500" t="inlineStr">
        <is>
          <t>NORRTÄLJE</t>
        </is>
      </c>
      <c r="G500" t="n">
        <v>2.4</v>
      </c>
      <c r="H500" t="n">
        <v>0</v>
      </c>
      <c r="I500" t="n">
        <v>0</v>
      </c>
      <c r="J500" t="n">
        <v>0</v>
      </c>
      <c r="K500" t="n">
        <v>0</v>
      </c>
      <c r="L500" t="n">
        <v>0</v>
      </c>
      <c r="M500" t="n">
        <v>0</v>
      </c>
      <c r="N500" t="n">
        <v>0</v>
      </c>
      <c r="O500" t="n">
        <v>0</v>
      </c>
      <c r="P500" t="n">
        <v>0</v>
      </c>
      <c r="Q500" t="n">
        <v>0</v>
      </c>
      <c r="R500" s="2" t="inlineStr"/>
    </row>
    <row r="501" ht="15" customHeight="1">
      <c r="A501" t="inlineStr">
        <is>
          <t>A 6537-2024</t>
        </is>
      </c>
      <c r="B501" s="1" t="n">
        <v>45341</v>
      </c>
      <c r="C501" s="1" t="n">
        <v>46194</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11902-2024</t>
        </is>
      </c>
      <c r="B502" s="1" t="n">
        <v>45376</v>
      </c>
      <c r="C502" s="1" t="n">
        <v>46194</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8296-2023</t>
        </is>
      </c>
      <c r="B503" s="1" t="n">
        <v>44974</v>
      </c>
      <c r="C503" s="1" t="n">
        <v>46194</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13-2024</t>
        </is>
      </c>
      <c r="B504" s="1" t="n">
        <v>45293</v>
      </c>
      <c r="C504" s="1" t="n">
        <v>46194</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58260-2023</t>
        </is>
      </c>
      <c r="B505" s="1" t="n">
        <v>45245</v>
      </c>
      <c r="C505" s="1" t="n">
        <v>46194</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58261-2023</t>
        </is>
      </c>
      <c r="B506" s="1" t="n">
        <v>45245</v>
      </c>
      <c r="C506" s="1" t="n">
        <v>46194</v>
      </c>
      <c r="D506" t="inlineStr">
        <is>
          <t>STOCKHOLMS LÄN</t>
        </is>
      </c>
      <c r="E506" t="inlineStr">
        <is>
          <t>NORRTÄLJE</t>
        </is>
      </c>
      <c r="G506" t="n">
        <v>53.5</v>
      </c>
      <c r="H506" t="n">
        <v>0</v>
      </c>
      <c r="I506" t="n">
        <v>0</v>
      </c>
      <c r="J506" t="n">
        <v>0</v>
      </c>
      <c r="K506" t="n">
        <v>0</v>
      </c>
      <c r="L506" t="n">
        <v>0</v>
      </c>
      <c r="M506" t="n">
        <v>0</v>
      </c>
      <c r="N506" t="n">
        <v>0</v>
      </c>
      <c r="O506" t="n">
        <v>0</v>
      </c>
      <c r="P506" t="n">
        <v>0</v>
      </c>
      <c r="Q506" t="n">
        <v>0</v>
      </c>
      <c r="R506" s="2" t="inlineStr"/>
    </row>
    <row r="507" ht="15" customHeight="1">
      <c r="A507" t="inlineStr">
        <is>
          <t>A 4553-2023</t>
        </is>
      </c>
      <c r="B507" s="1" t="n">
        <v>44956</v>
      </c>
      <c r="C507" s="1" t="n">
        <v>46194</v>
      </c>
      <c r="D507" t="inlineStr">
        <is>
          <t>STOCKHOLMS LÄN</t>
        </is>
      </c>
      <c r="E507" t="inlineStr">
        <is>
          <t>NORRTÄLJE</t>
        </is>
      </c>
      <c r="G507" t="n">
        <v>7.5</v>
      </c>
      <c r="H507" t="n">
        <v>0</v>
      </c>
      <c r="I507" t="n">
        <v>0</v>
      </c>
      <c r="J507" t="n">
        <v>0</v>
      </c>
      <c r="K507" t="n">
        <v>0</v>
      </c>
      <c r="L507" t="n">
        <v>0</v>
      </c>
      <c r="M507" t="n">
        <v>0</v>
      </c>
      <c r="N507" t="n">
        <v>0</v>
      </c>
      <c r="O507" t="n">
        <v>0</v>
      </c>
      <c r="P507" t="n">
        <v>0</v>
      </c>
      <c r="Q507" t="n">
        <v>0</v>
      </c>
      <c r="R507" s="2" t="inlineStr"/>
    </row>
    <row r="508" ht="15" customHeight="1">
      <c r="A508" t="inlineStr">
        <is>
          <t>A 31236-2022</t>
        </is>
      </c>
      <c r="B508" s="1" t="n">
        <v>44771</v>
      </c>
      <c r="C508" s="1" t="n">
        <v>46194</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875-2023</t>
        </is>
      </c>
      <c r="B509" s="1" t="n">
        <v>44931</v>
      </c>
      <c r="C509" s="1" t="n">
        <v>46194</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24575-2024</t>
        </is>
      </c>
      <c r="B510" s="1" t="n">
        <v>45460</v>
      </c>
      <c r="C510" s="1" t="n">
        <v>46194</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19-2024</t>
        </is>
      </c>
      <c r="B511" s="1" t="n">
        <v>45293</v>
      </c>
      <c r="C511" s="1" t="n">
        <v>46194</v>
      </c>
      <c r="D511" t="inlineStr">
        <is>
          <t>STOCKHOLMS LÄN</t>
        </is>
      </c>
      <c r="E511" t="inlineStr">
        <is>
          <t>NORRTÄLJE</t>
        </is>
      </c>
      <c r="G511" t="n">
        <v>0.3</v>
      </c>
      <c r="H511" t="n">
        <v>0</v>
      </c>
      <c r="I511" t="n">
        <v>0</v>
      </c>
      <c r="J511" t="n">
        <v>0</v>
      </c>
      <c r="K511" t="n">
        <v>0</v>
      </c>
      <c r="L511" t="n">
        <v>0</v>
      </c>
      <c r="M511" t="n">
        <v>0</v>
      </c>
      <c r="N511" t="n">
        <v>0</v>
      </c>
      <c r="O511" t="n">
        <v>0</v>
      </c>
      <c r="P511" t="n">
        <v>0</v>
      </c>
      <c r="Q511" t="n">
        <v>0</v>
      </c>
      <c r="R511" s="2" t="inlineStr"/>
    </row>
    <row r="512" ht="15" customHeight="1">
      <c r="A512" t="inlineStr">
        <is>
          <t>A 52593-2024</t>
        </is>
      </c>
      <c r="B512" s="1" t="n">
        <v>45609</v>
      </c>
      <c r="C512" s="1" t="n">
        <v>46194</v>
      </c>
      <c r="D512" t="inlineStr">
        <is>
          <t>STOCKHOLMS LÄN</t>
        </is>
      </c>
      <c r="E512" t="inlineStr">
        <is>
          <t>NORRTÄLJE</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52617-2024</t>
        </is>
      </c>
      <c r="B513" s="1" t="n">
        <v>45609</v>
      </c>
      <c r="C513" s="1" t="n">
        <v>46194</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27824-2022</t>
        </is>
      </c>
      <c r="B514" s="1" t="n">
        <v>44743</v>
      </c>
      <c r="C514" s="1" t="n">
        <v>46194</v>
      </c>
      <c r="D514" t="inlineStr">
        <is>
          <t>STOCKHOLMS LÄN</t>
        </is>
      </c>
      <c r="E514" t="inlineStr">
        <is>
          <t>NORRTÄLJE</t>
        </is>
      </c>
      <c r="F514" t="inlineStr">
        <is>
          <t>Kommuner</t>
        </is>
      </c>
      <c r="G514" t="n">
        <v>3.1</v>
      </c>
      <c r="H514" t="n">
        <v>0</v>
      </c>
      <c r="I514" t="n">
        <v>0</v>
      </c>
      <c r="J514" t="n">
        <v>0</v>
      </c>
      <c r="K514" t="n">
        <v>0</v>
      </c>
      <c r="L514" t="n">
        <v>0</v>
      </c>
      <c r="M514" t="n">
        <v>0</v>
      </c>
      <c r="N514" t="n">
        <v>0</v>
      </c>
      <c r="O514" t="n">
        <v>0</v>
      </c>
      <c r="P514" t="n">
        <v>0</v>
      </c>
      <c r="Q514" t="n">
        <v>0</v>
      </c>
      <c r="R514" s="2" t="inlineStr"/>
    </row>
    <row r="515" ht="15" customHeight="1">
      <c r="A515" t="inlineStr">
        <is>
          <t>A 4035-2023</t>
        </is>
      </c>
      <c r="B515" s="1" t="n">
        <v>44952</v>
      </c>
      <c r="C515" s="1" t="n">
        <v>46194</v>
      </c>
      <c r="D515" t="inlineStr">
        <is>
          <t>STOCKHOLMS LÄN</t>
        </is>
      </c>
      <c r="E515" t="inlineStr">
        <is>
          <t>NORRTÄLJE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31827-2023</t>
        </is>
      </c>
      <c r="B516" s="1" t="n">
        <v>45118</v>
      </c>
      <c r="C516" s="1" t="n">
        <v>46194</v>
      </c>
      <c r="D516" t="inlineStr">
        <is>
          <t>STOCKHOLMS LÄN</t>
        </is>
      </c>
      <c r="E516" t="inlineStr">
        <is>
          <t>NORRTÄLJE</t>
        </is>
      </c>
      <c r="F516" t="inlineStr">
        <is>
          <t>Kyrkan</t>
        </is>
      </c>
      <c r="G516" t="n">
        <v>4.9</v>
      </c>
      <c r="H516" t="n">
        <v>0</v>
      </c>
      <c r="I516" t="n">
        <v>0</v>
      </c>
      <c r="J516" t="n">
        <v>0</v>
      </c>
      <c r="K516" t="n">
        <v>0</v>
      </c>
      <c r="L516" t="n">
        <v>0</v>
      </c>
      <c r="M516" t="n">
        <v>0</v>
      </c>
      <c r="N516" t="n">
        <v>0</v>
      </c>
      <c r="O516" t="n">
        <v>0</v>
      </c>
      <c r="P516" t="n">
        <v>0</v>
      </c>
      <c r="Q516" t="n">
        <v>0</v>
      </c>
      <c r="R516" s="2" t="inlineStr"/>
    </row>
    <row r="517" ht="15" customHeight="1">
      <c r="A517" t="inlineStr">
        <is>
          <t>A 26644-2024</t>
        </is>
      </c>
      <c r="B517" s="1" t="n">
        <v>45469</v>
      </c>
      <c r="C517" s="1" t="n">
        <v>46194</v>
      </c>
      <c r="D517" t="inlineStr">
        <is>
          <t>STOCKHOLMS LÄN</t>
        </is>
      </c>
      <c r="E517" t="inlineStr">
        <is>
          <t>NORRTÄLJE</t>
        </is>
      </c>
      <c r="G517" t="n">
        <v>4.3</v>
      </c>
      <c r="H517" t="n">
        <v>0</v>
      </c>
      <c r="I517" t="n">
        <v>0</v>
      </c>
      <c r="J517" t="n">
        <v>0</v>
      </c>
      <c r="K517" t="n">
        <v>0</v>
      </c>
      <c r="L517" t="n">
        <v>0</v>
      </c>
      <c r="M517" t="n">
        <v>0</v>
      </c>
      <c r="N517" t="n">
        <v>0</v>
      </c>
      <c r="O517" t="n">
        <v>0</v>
      </c>
      <c r="P517" t="n">
        <v>0</v>
      </c>
      <c r="Q517" t="n">
        <v>0</v>
      </c>
      <c r="R517" s="2" t="inlineStr"/>
    </row>
    <row r="518" ht="15" customHeight="1">
      <c r="A518" t="inlineStr">
        <is>
          <t>A 26668-2024</t>
        </is>
      </c>
      <c r="B518" s="1" t="n">
        <v>45469</v>
      </c>
      <c r="C518" s="1" t="n">
        <v>46194</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54496-2024</t>
        </is>
      </c>
      <c r="B519" s="1" t="n">
        <v>45617</v>
      </c>
      <c r="C519" s="1" t="n">
        <v>46194</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50534-2024</t>
        </is>
      </c>
      <c r="B520" s="1" t="n">
        <v>45601</v>
      </c>
      <c r="C520" s="1" t="n">
        <v>46194</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40230-2025</t>
        </is>
      </c>
      <c r="B521" s="1" t="n">
        <v>45894</v>
      </c>
      <c r="C521" s="1" t="n">
        <v>46194</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42094-2023</t>
        </is>
      </c>
      <c r="B522" s="1" t="n">
        <v>45177</v>
      </c>
      <c r="C522" s="1" t="n">
        <v>46194</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30620-2022</t>
        </is>
      </c>
      <c r="B523" s="1" t="n">
        <v>44763</v>
      </c>
      <c r="C523" s="1" t="n">
        <v>46194</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59767-2022</t>
        </is>
      </c>
      <c r="B524" s="1" t="n">
        <v>44900</v>
      </c>
      <c r="C524" s="1" t="n">
        <v>46194</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22756-2022</t>
        </is>
      </c>
      <c r="B525" s="1" t="n">
        <v>44714</v>
      </c>
      <c r="C525" s="1" t="n">
        <v>46194</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41110-2025</t>
        </is>
      </c>
      <c r="B526" s="1" t="n">
        <v>45898</v>
      </c>
      <c r="C526" s="1" t="n">
        <v>46194</v>
      </c>
      <c r="D526" t="inlineStr">
        <is>
          <t>STOCKHOLMS LÄN</t>
        </is>
      </c>
      <c r="E526" t="inlineStr">
        <is>
          <t>NORRTÄLJE</t>
        </is>
      </c>
      <c r="F526" t="inlineStr">
        <is>
          <t>Holmen skog AB</t>
        </is>
      </c>
      <c r="G526" t="n">
        <v>6.7</v>
      </c>
      <c r="H526" t="n">
        <v>0</v>
      </c>
      <c r="I526" t="n">
        <v>0</v>
      </c>
      <c r="J526" t="n">
        <v>0</v>
      </c>
      <c r="K526" t="n">
        <v>0</v>
      </c>
      <c r="L526" t="n">
        <v>0</v>
      </c>
      <c r="M526" t="n">
        <v>0</v>
      </c>
      <c r="N526" t="n">
        <v>0</v>
      </c>
      <c r="O526" t="n">
        <v>0</v>
      </c>
      <c r="P526" t="n">
        <v>0</v>
      </c>
      <c r="Q526" t="n">
        <v>0</v>
      </c>
      <c r="R526" s="2" t="inlineStr"/>
    </row>
    <row r="527" ht="15" customHeight="1">
      <c r="A527" t="inlineStr">
        <is>
          <t>A 40829-2025</t>
        </is>
      </c>
      <c r="B527" s="1" t="n">
        <v>45897</v>
      </c>
      <c r="C527" s="1" t="n">
        <v>46194</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40831-2025</t>
        </is>
      </c>
      <c r="B528" s="1" t="n">
        <v>45897</v>
      </c>
      <c r="C528" s="1" t="n">
        <v>46194</v>
      </c>
      <c r="D528" t="inlineStr">
        <is>
          <t>STOCKHOLMS LÄN</t>
        </is>
      </c>
      <c r="E528" t="inlineStr">
        <is>
          <t>NORRTÄLJE</t>
        </is>
      </c>
      <c r="G528" t="n">
        <v>1.8</v>
      </c>
      <c r="H528" t="n">
        <v>0</v>
      </c>
      <c r="I528" t="n">
        <v>0</v>
      </c>
      <c r="J528" t="n">
        <v>0</v>
      </c>
      <c r="K528" t="n">
        <v>0</v>
      </c>
      <c r="L528" t="n">
        <v>0</v>
      </c>
      <c r="M528" t="n">
        <v>0</v>
      </c>
      <c r="N528" t="n">
        <v>0</v>
      </c>
      <c r="O528" t="n">
        <v>0</v>
      </c>
      <c r="P528" t="n">
        <v>0</v>
      </c>
      <c r="Q528" t="n">
        <v>0</v>
      </c>
      <c r="R528" s="2" t="inlineStr"/>
    </row>
    <row r="529" ht="15" customHeight="1">
      <c r="A529" t="inlineStr">
        <is>
          <t>A 40228-2025</t>
        </is>
      </c>
      <c r="B529" s="1" t="n">
        <v>45894</v>
      </c>
      <c r="C529" s="1" t="n">
        <v>46194</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35636-2025</t>
        </is>
      </c>
      <c r="B530" s="1" t="n">
        <v>45859</v>
      </c>
      <c r="C530" s="1" t="n">
        <v>46194</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40033-2025</t>
        </is>
      </c>
      <c r="B531" s="1" t="n">
        <v>45893</v>
      </c>
      <c r="C531" s="1" t="n">
        <v>46194</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40217-2025</t>
        </is>
      </c>
      <c r="B532" s="1" t="n">
        <v>45894</v>
      </c>
      <c r="C532" s="1" t="n">
        <v>46194</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35639-2025</t>
        </is>
      </c>
      <c r="B533" s="1" t="n">
        <v>45859</v>
      </c>
      <c r="C533" s="1" t="n">
        <v>46194</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40032-2025</t>
        </is>
      </c>
      <c r="B534" s="1" t="n">
        <v>45893</v>
      </c>
      <c r="C534" s="1" t="n">
        <v>46194</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58311-2023</t>
        </is>
      </c>
      <c r="B535" s="1" t="n">
        <v>45245</v>
      </c>
      <c r="C535" s="1" t="n">
        <v>46194</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60217-2021</t>
        </is>
      </c>
      <c r="B536" s="1" t="n">
        <v>44495</v>
      </c>
      <c r="C536" s="1" t="n">
        <v>46194</v>
      </c>
      <c r="D536" t="inlineStr">
        <is>
          <t>STOCKHOLMS LÄN</t>
        </is>
      </c>
      <c r="E536" t="inlineStr">
        <is>
          <t>NORRTÄLJE</t>
        </is>
      </c>
      <c r="G536" t="n">
        <v>4.3</v>
      </c>
      <c r="H536" t="n">
        <v>0</v>
      </c>
      <c r="I536" t="n">
        <v>0</v>
      </c>
      <c r="J536" t="n">
        <v>0</v>
      </c>
      <c r="K536" t="n">
        <v>0</v>
      </c>
      <c r="L536" t="n">
        <v>0</v>
      </c>
      <c r="M536" t="n">
        <v>0</v>
      </c>
      <c r="N536" t="n">
        <v>0</v>
      </c>
      <c r="O536" t="n">
        <v>0</v>
      </c>
      <c r="P536" t="n">
        <v>0</v>
      </c>
      <c r="Q536" t="n">
        <v>0</v>
      </c>
      <c r="R536" s="2" t="inlineStr"/>
    </row>
    <row r="537" ht="15" customHeight="1">
      <c r="A537" t="inlineStr">
        <is>
          <t>A 40097-2025</t>
        </is>
      </c>
      <c r="B537" s="1" t="n">
        <v>45894</v>
      </c>
      <c r="C537" s="1" t="n">
        <v>46194</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8739-2024</t>
        </is>
      </c>
      <c r="B538" s="1" t="n">
        <v>45356</v>
      </c>
      <c r="C538" s="1" t="n">
        <v>46194</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19058-2024</t>
        </is>
      </c>
      <c r="B539" s="1" t="n">
        <v>45427</v>
      </c>
      <c r="C539" s="1" t="n">
        <v>46194</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40529-2025</t>
        </is>
      </c>
      <c r="B540" s="1" t="n">
        <v>45896</v>
      </c>
      <c r="C540" s="1" t="n">
        <v>46194</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40292-2025</t>
        </is>
      </c>
      <c r="B541" s="1" t="n">
        <v>45895</v>
      </c>
      <c r="C541" s="1" t="n">
        <v>46194</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28900-2022</t>
        </is>
      </c>
      <c r="B542" s="1" t="n">
        <v>44749</v>
      </c>
      <c r="C542" s="1" t="n">
        <v>46194</v>
      </c>
      <c r="D542" t="inlineStr">
        <is>
          <t>STOCKHOLMS LÄN</t>
        </is>
      </c>
      <c r="E542" t="inlineStr">
        <is>
          <t>NORRTÄLJE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32514-2022</t>
        </is>
      </c>
      <c r="B543" s="1" t="n">
        <v>44782</v>
      </c>
      <c r="C543" s="1" t="n">
        <v>46194</v>
      </c>
      <c r="D543" t="inlineStr">
        <is>
          <t>STOCKHOLMS LÄN</t>
        </is>
      </c>
      <c r="E543" t="inlineStr">
        <is>
          <t>NORRTÄLJE</t>
        </is>
      </c>
      <c r="G543" t="n">
        <v>5.1</v>
      </c>
      <c r="H543" t="n">
        <v>0</v>
      </c>
      <c r="I543" t="n">
        <v>0</v>
      </c>
      <c r="J543" t="n">
        <v>0</v>
      </c>
      <c r="K543" t="n">
        <v>0</v>
      </c>
      <c r="L543" t="n">
        <v>0</v>
      </c>
      <c r="M543" t="n">
        <v>0</v>
      </c>
      <c r="N543" t="n">
        <v>0</v>
      </c>
      <c r="O543" t="n">
        <v>0</v>
      </c>
      <c r="P543" t="n">
        <v>0</v>
      </c>
      <c r="Q543" t="n">
        <v>0</v>
      </c>
      <c r="R543" s="2" t="inlineStr"/>
    </row>
    <row r="544" ht="15" customHeight="1">
      <c r="A544" t="inlineStr">
        <is>
          <t>A 26640-2023</t>
        </is>
      </c>
      <c r="B544" s="1" t="n">
        <v>45092</v>
      </c>
      <c r="C544" s="1" t="n">
        <v>46194</v>
      </c>
      <c r="D544" t="inlineStr">
        <is>
          <t>STOCKHOLMS LÄN</t>
        </is>
      </c>
      <c r="E544" t="inlineStr">
        <is>
          <t>NORRTÄLJE</t>
        </is>
      </c>
      <c r="G544" t="n">
        <v>5.7</v>
      </c>
      <c r="H544" t="n">
        <v>0</v>
      </c>
      <c r="I544" t="n">
        <v>0</v>
      </c>
      <c r="J544" t="n">
        <v>0</v>
      </c>
      <c r="K544" t="n">
        <v>0</v>
      </c>
      <c r="L544" t="n">
        <v>0</v>
      </c>
      <c r="M544" t="n">
        <v>0</v>
      </c>
      <c r="N544" t="n">
        <v>0</v>
      </c>
      <c r="O544" t="n">
        <v>0</v>
      </c>
      <c r="P544" t="n">
        <v>0</v>
      </c>
      <c r="Q544" t="n">
        <v>0</v>
      </c>
      <c r="R544" s="2" t="inlineStr"/>
    </row>
    <row r="545" ht="15" customHeight="1">
      <c r="A545" t="inlineStr">
        <is>
          <t>A 40837-2025</t>
        </is>
      </c>
      <c r="B545" s="1" t="n">
        <v>45897</v>
      </c>
      <c r="C545" s="1" t="n">
        <v>46194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41158-2025</t>
        </is>
      </c>
      <c r="B546" s="1" t="n">
        <v>45898</v>
      </c>
      <c r="C546" s="1" t="n">
        <v>46194</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10511-2025</t>
        </is>
      </c>
      <c r="B547" s="1" t="n">
        <v>45721</v>
      </c>
      <c r="C547" s="1" t="n">
        <v>46194</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41174-2025</t>
        </is>
      </c>
      <c r="B548" s="1" t="n">
        <v>45898</v>
      </c>
      <c r="C548" s="1" t="n">
        <v>46194</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25968-2026</t>
        </is>
      </c>
      <c r="B549" s="1" t="n">
        <v>46181</v>
      </c>
      <c r="C549" s="1" t="n">
        <v>46194</v>
      </c>
      <c r="D549" t="inlineStr">
        <is>
          <t>STOCKHOLMS LÄN</t>
        </is>
      </c>
      <c r="E549" t="inlineStr">
        <is>
          <t>NORRTÄLJE</t>
        </is>
      </c>
      <c r="F549" t="inlineStr">
        <is>
          <t>Kyrkan</t>
        </is>
      </c>
      <c r="G549" t="n">
        <v>3.6</v>
      </c>
      <c r="H549" t="n">
        <v>0</v>
      </c>
      <c r="I549" t="n">
        <v>0</v>
      </c>
      <c r="J549" t="n">
        <v>0</v>
      </c>
      <c r="K549" t="n">
        <v>0</v>
      </c>
      <c r="L549" t="n">
        <v>0</v>
      </c>
      <c r="M549" t="n">
        <v>0</v>
      </c>
      <c r="N549" t="n">
        <v>0</v>
      </c>
      <c r="O549" t="n">
        <v>0</v>
      </c>
      <c r="P549" t="n">
        <v>0</v>
      </c>
      <c r="Q549" t="n">
        <v>0</v>
      </c>
      <c r="R549" s="2" t="inlineStr"/>
    </row>
    <row r="550" ht="15" customHeight="1">
      <c r="A550" t="inlineStr">
        <is>
          <t>A 47521-2024</t>
        </is>
      </c>
      <c r="B550" s="1" t="n">
        <v>45587</v>
      </c>
      <c r="C550" s="1" t="n">
        <v>46194</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30699-2025</t>
        </is>
      </c>
      <c r="B551" s="1" t="n">
        <v>45831</v>
      </c>
      <c r="C551" s="1" t="n">
        <v>46194</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23125-2022</t>
        </is>
      </c>
      <c r="B552" s="1" t="n">
        <v>44719</v>
      </c>
      <c r="C552" s="1" t="n">
        <v>46194</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38990-2022</t>
        </is>
      </c>
      <c r="B553" s="1" t="n">
        <v>44816</v>
      </c>
      <c r="C553" s="1" t="n">
        <v>46194</v>
      </c>
      <c r="D553" t="inlineStr">
        <is>
          <t>STOCKHOLMS LÄN</t>
        </is>
      </c>
      <c r="E553" t="inlineStr">
        <is>
          <t>NORRTÄLJE</t>
        </is>
      </c>
      <c r="G553" t="n">
        <v>5.7</v>
      </c>
      <c r="H553" t="n">
        <v>0</v>
      </c>
      <c r="I553" t="n">
        <v>0</v>
      </c>
      <c r="J553" t="n">
        <v>0</v>
      </c>
      <c r="K553" t="n">
        <v>0</v>
      </c>
      <c r="L553" t="n">
        <v>0</v>
      </c>
      <c r="M553" t="n">
        <v>0</v>
      </c>
      <c r="N553" t="n">
        <v>0</v>
      </c>
      <c r="O553" t="n">
        <v>0</v>
      </c>
      <c r="P553" t="n">
        <v>0</v>
      </c>
      <c r="Q553" t="n">
        <v>0</v>
      </c>
      <c r="R553" s="2" t="inlineStr"/>
    </row>
    <row r="554" ht="15" customHeight="1">
      <c r="A554" t="inlineStr">
        <is>
          <t>A 42856-2025</t>
        </is>
      </c>
      <c r="B554" s="1" t="n">
        <v>45908</v>
      </c>
      <c r="C554" s="1" t="n">
        <v>46194</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20011-2025</t>
        </is>
      </c>
      <c r="B555" s="1" t="n">
        <v>45772</v>
      </c>
      <c r="C555" s="1" t="n">
        <v>46194</v>
      </c>
      <c r="D555" t="inlineStr">
        <is>
          <t>STOCKHOLMS LÄN</t>
        </is>
      </c>
      <c r="E555" t="inlineStr">
        <is>
          <t>NORRTÄLJE</t>
        </is>
      </c>
      <c r="G555" t="n">
        <v>3.5</v>
      </c>
      <c r="H555" t="n">
        <v>0</v>
      </c>
      <c r="I555" t="n">
        <v>0</v>
      </c>
      <c r="J555" t="n">
        <v>0</v>
      </c>
      <c r="K555" t="n">
        <v>0</v>
      </c>
      <c r="L555" t="n">
        <v>0</v>
      </c>
      <c r="M555" t="n">
        <v>0</v>
      </c>
      <c r="N555" t="n">
        <v>0</v>
      </c>
      <c r="O555" t="n">
        <v>0</v>
      </c>
      <c r="P555" t="n">
        <v>0</v>
      </c>
      <c r="Q555" t="n">
        <v>0</v>
      </c>
      <c r="R555" s="2" t="inlineStr"/>
    </row>
    <row r="556" ht="15" customHeight="1">
      <c r="A556" t="inlineStr">
        <is>
          <t>A 9329-2023</t>
        </is>
      </c>
      <c r="B556" s="1" t="n">
        <v>44980</v>
      </c>
      <c r="C556" s="1" t="n">
        <v>46194</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6855-2025</t>
        </is>
      </c>
      <c r="B557" s="1" t="n">
        <v>45700</v>
      </c>
      <c r="C557" s="1" t="n">
        <v>46194</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23265-2023</t>
        </is>
      </c>
      <c r="B558" s="1" t="n">
        <v>45075</v>
      </c>
      <c r="C558" s="1" t="n">
        <v>46194</v>
      </c>
      <c r="D558" t="inlineStr">
        <is>
          <t>STOCKHOLMS LÄN</t>
        </is>
      </c>
      <c r="E558" t="inlineStr">
        <is>
          <t>NORRTÄLJE</t>
        </is>
      </c>
      <c r="G558" t="n">
        <v>2.6</v>
      </c>
      <c r="H558" t="n">
        <v>0</v>
      </c>
      <c r="I558" t="n">
        <v>0</v>
      </c>
      <c r="J558" t="n">
        <v>0</v>
      </c>
      <c r="K558" t="n">
        <v>0</v>
      </c>
      <c r="L558" t="n">
        <v>0</v>
      </c>
      <c r="M558" t="n">
        <v>0</v>
      </c>
      <c r="N558" t="n">
        <v>0</v>
      </c>
      <c r="O558" t="n">
        <v>0</v>
      </c>
      <c r="P558" t="n">
        <v>0</v>
      </c>
      <c r="Q558" t="n">
        <v>0</v>
      </c>
      <c r="R558" s="2" t="inlineStr"/>
    </row>
    <row r="559" ht="15" customHeight="1">
      <c r="A559" t="inlineStr">
        <is>
          <t>A 30268-2024</t>
        </is>
      </c>
      <c r="B559" s="1" t="n">
        <v>45490</v>
      </c>
      <c r="C559" s="1" t="n">
        <v>46194</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9246-2024</t>
        </is>
      </c>
      <c r="B560" s="1" t="n">
        <v>45357</v>
      </c>
      <c r="C560" s="1" t="n">
        <v>46194</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8135-2025</t>
        </is>
      </c>
      <c r="B561" s="1" t="n">
        <v>45707</v>
      </c>
      <c r="C561" s="1" t="n">
        <v>46194</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31936-2022</t>
        </is>
      </c>
      <c r="B562" s="1" t="n">
        <v>44777</v>
      </c>
      <c r="C562" s="1" t="n">
        <v>46194</v>
      </c>
      <c r="D562" t="inlineStr">
        <is>
          <t>STOCKHOLMS LÄN</t>
        </is>
      </c>
      <c r="E562" t="inlineStr">
        <is>
          <t>NORRTÄLJE</t>
        </is>
      </c>
      <c r="G562" t="n">
        <v>5.2</v>
      </c>
      <c r="H562" t="n">
        <v>0</v>
      </c>
      <c r="I562" t="n">
        <v>0</v>
      </c>
      <c r="J562" t="n">
        <v>0</v>
      </c>
      <c r="K562" t="n">
        <v>0</v>
      </c>
      <c r="L562" t="n">
        <v>0</v>
      </c>
      <c r="M562" t="n">
        <v>0</v>
      </c>
      <c r="N562" t="n">
        <v>0</v>
      </c>
      <c r="O562" t="n">
        <v>0</v>
      </c>
      <c r="P562" t="n">
        <v>0</v>
      </c>
      <c r="Q562" t="n">
        <v>0</v>
      </c>
      <c r="R562" s="2" t="inlineStr"/>
    </row>
    <row r="563" ht="15" customHeight="1">
      <c r="A563" t="inlineStr">
        <is>
          <t>A 43269-2025</t>
        </is>
      </c>
      <c r="B563" s="1" t="n">
        <v>45910</v>
      </c>
      <c r="C563" s="1" t="n">
        <v>46194</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24887-2023</t>
        </is>
      </c>
      <c r="B564" s="1" t="n">
        <v>45085</v>
      </c>
      <c r="C564" s="1" t="n">
        <v>46194</v>
      </c>
      <c r="D564" t="inlineStr">
        <is>
          <t>STOCKHOLMS LÄN</t>
        </is>
      </c>
      <c r="E564" t="inlineStr">
        <is>
          <t>NORRTÄLJE</t>
        </is>
      </c>
      <c r="G564" t="n">
        <v>13.9</v>
      </c>
      <c r="H564" t="n">
        <v>0</v>
      </c>
      <c r="I564" t="n">
        <v>0</v>
      </c>
      <c r="J564" t="n">
        <v>0</v>
      </c>
      <c r="K564" t="n">
        <v>0</v>
      </c>
      <c r="L564" t="n">
        <v>0</v>
      </c>
      <c r="M564" t="n">
        <v>0</v>
      </c>
      <c r="N564" t="n">
        <v>0</v>
      </c>
      <c r="O564" t="n">
        <v>0</v>
      </c>
      <c r="P564" t="n">
        <v>0</v>
      </c>
      <c r="Q564" t="n">
        <v>0</v>
      </c>
      <c r="R564" s="2" t="inlineStr"/>
    </row>
    <row r="565" ht="15" customHeight="1">
      <c r="A565" t="inlineStr">
        <is>
          <t>A 56428-2023</t>
        </is>
      </c>
      <c r="B565" s="1" t="n">
        <v>45243</v>
      </c>
      <c r="C565" s="1" t="n">
        <v>46194</v>
      </c>
      <c r="D565" t="inlineStr">
        <is>
          <t>STOCKHOLMS LÄN</t>
        </is>
      </c>
      <c r="E565" t="inlineStr">
        <is>
          <t>NORRTÄLJE</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7806-2025</t>
        </is>
      </c>
      <c r="B566" s="1" t="n">
        <v>45706</v>
      </c>
      <c r="C566" s="1" t="n">
        <v>46194</v>
      </c>
      <c r="D566" t="inlineStr">
        <is>
          <t>STOCKHOLMS LÄN</t>
        </is>
      </c>
      <c r="E566" t="inlineStr">
        <is>
          <t>NORRTÄLJE</t>
        </is>
      </c>
      <c r="F566" t="inlineStr">
        <is>
          <t>Holmen skog AB</t>
        </is>
      </c>
      <c r="G566" t="n">
        <v>3.5</v>
      </c>
      <c r="H566" t="n">
        <v>0</v>
      </c>
      <c r="I566" t="n">
        <v>0</v>
      </c>
      <c r="J566" t="n">
        <v>0</v>
      </c>
      <c r="K566" t="n">
        <v>0</v>
      </c>
      <c r="L566" t="n">
        <v>0</v>
      </c>
      <c r="M566" t="n">
        <v>0</v>
      </c>
      <c r="N566" t="n">
        <v>0</v>
      </c>
      <c r="O566" t="n">
        <v>0</v>
      </c>
      <c r="P566" t="n">
        <v>0</v>
      </c>
      <c r="Q566" t="n">
        <v>0</v>
      </c>
      <c r="R566" s="2" t="inlineStr"/>
    </row>
    <row r="567" ht="15" customHeight="1">
      <c r="A567" t="inlineStr">
        <is>
          <t>A 30338-2022</t>
        </is>
      </c>
      <c r="B567" s="1" t="n">
        <v>44760</v>
      </c>
      <c r="C567" s="1" t="n">
        <v>46194</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11041-2025</t>
        </is>
      </c>
      <c r="B568" s="1" t="n">
        <v>45723</v>
      </c>
      <c r="C568" s="1" t="n">
        <v>46194</v>
      </c>
      <c r="D568" t="inlineStr">
        <is>
          <t>STOCKHOLMS LÄN</t>
        </is>
      </c>
      <c r="E568" t="inlineStr">
        <is>
          <t>NORRTÄLJE</t>
        </is>
      </c>
      <c r="F568" t="inlineStr">
        <is>
          <t>Övriga Aktiebolag</t>
        </is>
      </c>
      <c r="G568" t="n">
        <v>1.8</v>
      </c>
      <c r="H568" t="n">
        <v>0</v>
      </c>
      <c r="I568" t="n">
        <v>0</v>
      </c>
      <c r="J568" t="n">
        <v>0</v>
      </c>
      <c r="K568" t="n">
        <v>0</v>
      </c>
      <c r="L568" t="n">
        <v>0</v>
      </c>
      <c r="M568" t="n">
        <v>0</v>
      </c>
      <c r="N568" t="n">
        <v>0</v>
      </c>
      <c r="O568" t="n">
        <v>0</v>
      </c>
      <c r="P568" t="n">
        <v>0</v>
      </c>
      <c r="Q568" t="n">
        <v>0</v>
      </c>
      <c r="R568" s="2" t="inlineStr"/>
    </row>
    <row r="569" ht="15" customHeight="1">
      <c r="A569" t="inlineStr">
        <is>
          <t>A 50355-2024</t>
        </is>
      </c>
      <c r="B569" s="1" t="n">
        <v>45600</v>
      </c>
      <c r="C569" s="1" t="n">
        <v>46194</v>
      </c>
      <c r="D569" t="inlineStr">
        <is>
          <t>STOCKHOLMS LÄN</t>
        </is>
      </c>
      <c r="E569" t="inlineStr">
        <is>
          <t>NORRTÄLJE</t>
        </is>
      </c>
      <c r="F569" t="inlineStr">
        <is>
          <t>Kommuner</t>
        </is>
      </c>
      <c r="G569" t="n">
        <v>1</v>
      </c>
      <c r="H569" t="n">
        <v>0</v>
      </c>
      <c r="I569" t="n">
        <v>0</v>
      </c>
      <c r="J569" t="n">
        <v>0</v>
      </c>
      <c r="K569" t="n">
        <v>0</v>
      </c>
      <c r="L569" t="n">
        <v>0</v>
      </c>
      <c r="M569" t="n">
        <v>0</v>
      </c>
      <c r="N569" t="n">
        <v>0</v>
      </c>
      <c r="O569" t="n">
        <v>0</v>
      </c>
      <c r="P569" t="n">
        <v>0</v>
      </c>
      <c r="Q569" t="n">
        <v>0</v>
      </c>
      <c r="R569" s="2" t="inlineStr"/>
    </row>
    <row r="570" ht="15" customHeight="1">
      <c r="A570" t="inlineStr">
        <is>
          <t>A 18541-2023</t>
        </is>
      </c>
      <c r="B570" s="1" t="n">
        <v>45042</v>
      </c>
      <c r="C570" s="1" t="n">
        <v>46194</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32857-2021</t>
        </is>
      </c>
      <c r="B571" s="1" t="n">
        <v>44375</v>
      </c>
      <c r="C571" s="1" t="n">
        <v>46194</v>
      </c>
      <c r="D571" t="inlineStr">
        <is>
          <t>STOCKHOLMS LÄN</t>
        </is>
      </c>
      <c r="E571" t="inlineStr">
        <is>
          <t>NORRTÄLJE</t>
        </is>
      </c>
      <c r="G571" t="n">
        <v>2.9</v>
      </c>
      <c r="H571" t="n">
        <v>0</v>
      </c>
      <c r="I571" t="n">
        <v>0</v>
      </c>
      <c r="J571" t="n">
        <v>0</v>
      </c>
      <c r="K571" t="n">
        <v>0</v>
      </c>
      <c r="L571" t="n">
        <v>0</v>
      </c>
      <c r="M571" t="n">
        <v>0</v>
      </c>
      <c r="N571" t="n">
        <v>0</v>
      </c>
      <c r="O571" t="n">
        <v>0</v>
      </c>
      <c r="P571" t="n">
        <v>0</v>
      </c>
      <c r="Q571" t="n">
        <v>0</v>
      </c>
      <c r="R571" s="2" t="inlineStr"/>
    </row>
    <row r="572" ht="15" customHeight="1">
      <c r="A572" t="inlineStr">
        <is>
          <t>A 60694-2024</t>
        </is>
      </c>
      <c r="B572" s="1" t="n">
        <v>45644</v>
      </c>
      <c r="C572" s="1" t="n">
        <v>46194</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51325-2023</t>
        </is>
      </c>
      <c r="B573" s="1" t="n">
        <v>45219</v>
      </c>
      <c r="C573" s="1" t="n">
        <v>46194</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30719-2025</t>
        </is>
      </c>
      <c r="B574" s="1" t="n">
        <v>45831</v>
      </c>
      <c r="C574" s="1" t="n">
        <v>46194</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21729-2024</t>
        </is>
      </c>
      <c r="B575" s="1" t="n">
        <v>45442</v>
      </c>
      <c r="C575" s="1" t="n">
        <v>46194</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v>
      </c>
      <c r="C576" s="1" t="n">
        <v>46194</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59276-2023</t>
        </is>
      </c>
      <c r="B577" s="1" t="n">
        <v>45253</v>
      </c>
      <c r="C577" s="1" t="n">
        <v>46194</v>
      </c>
      <c r="D577" t="inlineStr">
        <is>
          <t>STOCKHOLMS LÄN</t>
        </is>
      </c>
      <c r="E577" t="inlineStr">
        <is>
          <t>NORRTÄLJE</t>
        </is>
      </c>
      <c r="G577" t="n">
        <v>1.5</v>
      </c>
      <c r="H577" t="n">
        <v>0</v>
      </c>
      <c r="I577" t="n">
        <v>0</v>
      </c>
      <c r="J577" t="n">
        <v>0</v>
      </c>
      <c r="K577" t="n">
        <v>0</v>
      </c>
      <c r="L577" t="n">
        <v>0</v>
      </c>
      <c r="M577" t="n">
        <v>0</v>
      </c>
      <c r="N577" t="n">
        <v>0</v>
      </c>
      <c r="O577" t="n">
        <v>0</v>
      </c>
      <c r="P577" t="n">
        <v>0</v>
      </c>
      <c r="Q577" t="n">
        <v>0</v>
      </c>
      <c r="R577" s="2" t="inlineStr"/>
    </row>
    <row r="578" ht="15" customHeight="1">
      <c r="A578" t="inlineStr">
        <is>
          <t>A 13767-2025</t>
        </is>
      </c>
      <c r="B578" s="1" t="n">
        <v>45737</v>
      </c>
      <c r="C578" s="1" t="n">
        <v>46194</v>
      </c>
      <c r="D578" t="inlineStr">
        <is>
          <t>STOCKHOLMS LÄN</t>
        </is>
      </c>
      <c r="E578" t="inlineStr">
        <is>
          <t>NORRTÄLJE</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41587-2023</t>
        </is>
      </c>
      <c r="B579" s="1" t="n">
        <v>45175</v>
      </c>
      <c r="C579" s="1" t="n">
        <v>46194</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21894-2023</t>
        </is>
      </c>
      <c r="B580" s="1" t="n">
        <v>45068</v>
      </c>
      <c r="C580" s="1" t="n">
        <v>46194</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44311-2025</t>
        </is>
      </c>
      <c r="B581" s="1" t="n">
        <v>45916</v>
      </c>
      <c r="C581" s="1" t="n">
        <v>46194</v>
      </c>
      <c r="D581" t="inlineStr">
        <is>
          <t>STOCKHOLMS LÄN</t>
        </is>
      </c>
      <c r="E581" t="inlineStr">
        <is>
          <t>NORRTÄLJE</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21732-2023</t>
        </is>
      </c>
      <c r="B582" s="1" t="n">
        <v>45063</v>
      </c>
      <c r="C582" s="1" t="n">
        <v>46194</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60529-2023</t>
        </is>
      </c>
      <c r="B583" s="1" t="n">
        <v>45259</v>
      </c>
      <c r="C583" s="1" t="n">
        <v>46194</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44937-2025</t>
        </is>
      </c>
      <c r="B584" s="1" t="n">
        <v>45918</v>
      </c>
      <c r="C584" s="1" t="n">
        <v>46194</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46194</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59326-2023</t>
        </is>
      </c>
      <c r="B586" s="1" t="n">
        <v>45253</v>
      </c>
      <c r="C586" s="1" t="n">
        <v>46194</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3152-2024</t>
        </is>
      </c>
      <c r="B587" s="1" t="n">
        <v>45316</v>
      </c>
      <c r="C587" s="1" t="n">
        <v>46194</v>
      </c>
      <c r="D587" t="inlineStr">
        <is>
          <t>STOCKHOLMS LÄN</t>
        </is>
      </c>
      <c r="E587" t="inlineStr">
        <is>
          <t>NORRTÄLJE</t>
        </is>
      </c>
      <c r="G587" t="n">
        <v>7.9</v>
      </c>
      <c r="H587" t="n">
        <v>0</v>
      </c>
      <c r="I587" t="n">
        <v>0</v>
      </c>
      <c r="J587" t="n">
        <v>0</v>
      </c>
      <c r="K587" t="n">
        <v>0</v>
      </c>
      <c r="L587" t="n">
        <v>0</v>
      </c>
      <c r="M587" t="n">
        <v>0</v>
      </c>
      <c r="N587" t="n">
        <v>0</v>
      </c>
      <c r="O587" t="n">
        <v>0</v>
      </c>
      <c r="P587" t="n">
        <v>0</v>
      </c>
      <c r="Q587" t="n">
        <v>0</v>
      </c>
      <c r="R587" s="2" t="inlineStr"/>
    </row>
    <row r="588" ht="15" customHeight="1">
      <c r="A588" t="inlineStr">
        <is>
          <t>A 22359-2025</t>
        </is>
      </c>
      <c r="B588" s="1" t="n">
        <v>45786</v>
      </c>
      <c r="C588" s="1" t="n">
        <v>46194</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20699-2025</t>
        </is>
      </c>
      <c r="B589" s="1" t="n">
        <v>45776</v>
      </c>
      <c r="C589" s="1" t="n">
        <v>46194</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45173-2023</t>
        </is>
      </c>
      <c r="B590" s="1" t="n">
        <v>45191</v>
      </c>
      <c r="C590" s="1" t="n">
        <v>46194</v>
      </c>
      <c r="D590" t="inlineStr">
        <is>
          <t>STOCKHOLMS LÄN</t>
        </is>
      </c>
      <c r="E590" t="inlineStr">
        <is>
          <t>NORRTÄLJE</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44836-2023</t>
        </is>
      </c>
      <c r="B591" s="1" t="n">
        <v>45190</v>
      </c>
      <c r="C591" s="1" t="n">
        <v>46194</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26083-2026</t>
        </is>
      </c>
      <c r="B592" s="1" t="n">
        <v>46181</v>
      </c>
      <c r="C592" s="1" t="n">
        <v>46194</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55503-2025</t>
        </is>
      </c>
      <c r="B593" s="1" t="n">
        <v>45971</v>
      </c>
      <c r="C593" s="1" t="n">
        <v>46194</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64137-2021</t>
        </is>
      </c>
      <c r="B594" s="1" t="n">
        <v>44510</v>
      </c>
      <c r="C594" s="1" t="n">
        <v>46194</v>
      </c>
      <c r="D594" t="inlineStr">
        <is>
          <t>STOCKHOLMS LÄN</t>
        </is>
      </c>
      <c r="E594" t="inlineStr">
        <is>
          <t>NORRTÄLJE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38720-2022</t>
        </is>
      </c>
      <c r="B595" s="1" t="n">
        <v>44815</v>
      </c>
      <c r="C595" s="1" t="n">
        <v>46194</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45697-2025</t>
        </is>
      </c>
      <c r="B596" s="1" t="n">
        <v>45923</v>
      </c>
      <c r="C596" s="1" t="n">
        <v>46194</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34432-2021</t>
        </is>
      </c>
      <c r="B597" s="1" t="n">
        <v>44380</v>
      </c>
      <c r="C597" s="1" t="n">
        <v>46194</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19911-2025</t>
        </is>
      </c>
      <c r="B598" s="1" t="n">
        <v>45771</v>
      </c>
      <c r="C598" s="1" t="n">
        <v>46194</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35256-2025</t>
        </is>
      </c>
      <c r="B599" s="1" t="n">
        <v>45853</v>
      </c>
      <c r="C599" s="1" t="n">
        <v>46194</v>
      </c>
      <c r="D599" t="inlineStr">
        <is>
          <t>STOCKHOLMS LÄN</t>
        </is>
      </c>
      <c r="E599" t="inlineStr">
        <is>
          <t>NORRTÄLJE</t>
        </is>
      </c>
      <c r="G599" t="n">
        <v>6.4</v>
      </c>
      <c r="H599" t="n">
        <v>0</v>
      </c>
      <c r="I599" t="n">
        <v>0</v>
      </c>
      <c r="J599" t="n">
        <v>0</v>
      </c>
      <c r="K599" t="n">
        <v>0</v>
      </c>
      <c r="L599" t="n">
        <v>0</v>
      </c>
      <c r="M599" t="n">
        <v>0</v>
      </c>
      <c r="N599" t="n">
        <v>0</v>
      </c>
      <c r="O599" t="n">
        <v>0</v>
      </c>
      <c r="P599" t="n">
        <v>0</v>
      </c>
      <c r="Q599" t="n">
        <v>0</v>
      </c>
      <c r="R599" s="2" t="inlineStr"/>
    </row>
    <row r="600" ht="15" customHeight="1">
      <c r="A600" t="inlineStr">
        <is>
          <t>A 21771-2025</t>
        </is>
      </c>
      <c r="B600" s="1" t="n">
        <v>45783</v>
      </c>
      <c r="C600" s="1" t="n">
        <v>46194</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25919-2026</t>
        </is>
      </c>
      <c r="B601" s="1" t="n">
        <v>46178</v>
      </c>
      <c r="C601" s="1" t="n">
        <v>46194</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21778-2025</t>
        </is>
      </c>
      <c r="B602" s="1" t="n">
        <v>45783</v>
      </c>
      <c r="C602" s="1" t="n">
        <v>46194</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12532-2025</t>
        </is>
      </c>
      <c r="B603" s="1" t="n">
        <v>45730</v>
      </c>
      <c r="C603" s="1" t="n">
        <v>46194</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40175-2024</t>
        </is>
      </c>
      <c r="B604" s="1" t="n">
        <v>45554</v>
      </c>
      <c r="C604" s="1" t="n">
        <v>46194</v>
      </c>
      <c r="D604" t="inlineStr">
        <is>
          <t>STOCKHOLMS LÄN</t>
        </is>
      </c>
      <c r="E604" t="inlineStr">
        <is>
          <t>NORRTÄLJE</t>
        </is>
      </c>
      <c r="G604" t="n">
        <v>7.7</v>
      </c>
      <c r="H604" t="n">
        <v>0</v>
      </c>
      <c r="I604" t="n">
        <v>0</v>
      </c>
      <c r="J604" t="n">
        <v>0</v>
      </c>
      <c r="K604" t="n">
        <v>0</v>
      </c>
      <c r="L604" t="n">
        <v>0</v>
      </c>
      <c r="M604" t="n">
        <v>0</v>
      </c>
      <c r="N604" t="n">
        <v>0</v>
      </c>
      <c r="O604" t="n">
        <v>0</v>
      </c>
      <c r="P604" t="n">
        <v>0</v>
      </c>
      <c r="Q604" t="n">
        <v>0</v>
      </c>
      <c r="R604" s="2" t="inlineStr"/>
    </row>
    <row r="605" ht="15" customHeight="1">
      <c r="A605" t="inlineStr">
        <is>
          <t>A 16229-2022</t>
        </is>
      </c>
      <c r="B605" s="1" t="n">
        <v>44670</v>
      </c>
      <c r="C605" s="1" t="n">
        <v>46194</v>
      </c>
      <c r="D605" t="inlineStr">
        <is>
          <t>STOCKHOLMS LÄN</t>
        </is>
      </c>
      <c r="E605" t="inlineStr">
        <is>
          <t>NORRTÄLJE</t>
        </is>
      </c>
      <c r="G605" t="n">
        <v>7.4</v>
      </c>
      <c r="H605" t="n">
        <v>0</v>
      </c>
      <c r="I605" t="n">
        <v>0</v>
      </c>
      <c r="J605" t="n">
        <v>0</v>
      </c>
      <c r="K605" t="n">
        <v>0</v>
      </c>
      <c r="L605" t="n">
        <v>0</v>
      </c>
      <c r="M605" t="n">
        <v>0</v>
      </c>
      <c r="N605" t="n">
        <v>0</v>
      </c>
      <c r="O605" t="n">
        <v>0</v>
      </c>
      <c r="P605" t="n">
        <v>0</v>
      </c>
      <c r="Q605" t="n">
        <v>0</v>
      </c>
      <c r="R605" s="2" t="inlineStr"/>
    </row>
    <row r="606" ht="15" customHeight="1">
      <c r="A606" t="inlineStr">
        <is>
          <t>A 12902-2024</t>
        </is>
      </c>
      <c r="B606" s="1" t="n">
        <v>45385</v>
      </c>
      <c r="C606" s="1" t="n">
        <v>46194</v>
      </c>
      <c r="D606" t="inlineStr">
        <is>
          <t>STOCKHOLMS LÄN</t>
        </is>
      </c>
      <c r="E606" t="inlineStr">
        <is>
          <t>NORRTÄLJE</t>
        </is>
      </c>
      <c r="G606" t="n">
        <v>3.7</v>
      </c>
      <c r="H606" t="n">
        <v>0</v>
      </c>
      <c r="I606" t="n">
        <v>0</v>
      </c>
      <c r="J606" t="n">
        <v>0</v>
      </c>
      <c r="K606" t="n">
        <v>0</v>
      </c>
      <c r="L606" t="n">
        <v>0</v>
      </c>
      <c r="M606" t="n">
        <v>0</v>
      </c>
      <c r="N606" t="n">
        <v>0</v>
      </c>
      <c r="O606" t="n">
        <v>0</v>
      </c>
      <c r="P606" t="n">
        <v>0</v>
      </c>
      <c r="Q606" t="n">
        <v>0</v>
      </c>
      <c r="R606" s="2" t="inlineStr"/>
    </row>
    <row r="607" ht="15" customHeight="1">
      <c r="A607" t="inlineStr">
        <is>
          <t>A 39237-2024</t>
        </is>
      </c>
      <c r="B607" s="1" t="n">
        <v>45549</v>
      </c>
      <c r="C607" s="1" t="n">
        <v>46194</v>
      </c>
      <c r="D607" t="inlineStr">
        <is>
          <t>STOCKHOLMS LÄN</t>
        </is>
      </c>
      <c r="E607" t="inlineStr">
        <is>
          <t>NORRTÄLJE</t>
        </is>
      </c>
      <c r="G607" t="n">
        <v>13.3</v>
      </c>
      <c r="H607" t="n">
        <v>0</v>
      </c>
      <c r="I607" t="n">
        <v>0</v>
      </c>
      <c r="J607" t="n">
        <v>0</v>
      </c>
      <c r="K607" t="n">
        <v>0</v>
      </c>
      <c r="L607" t="n">
        <v>0</v>
      </c>
      <c r="M607" t="n">
        <v>0</v>
      </c>
      <c r="N607" t="n">
        <v>0</v>
      </c>
      <c r="O607" t="n">
        <v>0</v>
      </c>
      <c r="P607" t="n">
        <v>0</v>
      </c>
      <c r="Q607" t="n">
        <v>0</v>
      </c>
      <c r="R607" s="2" t="inlineStr"/>
    </row>
    <row r="608" ht="15" customHeight="1">
      <c r="A608" t="inlineStr">
        <is>
          <t>A 46914-2022</t>
        </is>
      </c>
      <c r="B608" s="1" t="n">
        <v>44851</v>
      </c>
      <c r="C608" s="1" t="n">
        <v>46194</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44891-2023</t>
        </is>
      </c>
      <c r="B609" s="1" t="n">
        <v>45187</v>
      </c>
      <c r="C609" s="1" t="n">
        <v>46194</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13268-2025</t>
        </is>
      </c>
      <c r="B610" s="1" t="n">
        <v>45735</v>
      </c>
      <c r="C610" s="1" t="n">
        <v>46194</v>
      </c>
      <c r="D610" t="inlineStr">
        <is>
          <t>STOCKHOLMS LÄN</t>
        </is>
      </c>
      <c r="E610" t="inlineStr">
        <is>
          <t>NORRTÄLJE</t>
        </is>
      </c>
      <c r="G610" t="n">
        <v>11.4</v>
      </c>
      <c r="H610" t="n">
        <v>0</v>
      </c>
      <c r="I610" t="n">
        <v>0</v>
      </c>
      <c r="J610" t="n">
        <v>0</v>
      </c>
      <c r="K610" t="n">
        <v>0</v>
      </c>
      <c r="L610" t="n">
        <v>0</v>
      </c>
      <c r="M610" t="n">
        <v>0</v>
      </c>
      <c r="N610" t="n">
        <v>0</v>
      </c>
      <c r="O610" t="n">
        <v>0</v>
      </c>
      <c r="P610" t="n">
        <v>0</v>
      </c>
      <c r="Q610" t="n">
        <v>0</v>
      </c>
      <c r="R610" s="2" t="inlineStr"/>
    </row>
    <row r="611" ht="15" customHeight="1">
      <c r="A611" t="inlineStr">
        <is>
          <t>A 8414-2025</t>
        </is>
      </c>
      <c r="B611" s="1" t="n">
        <v>45709</v>
      </c>
      <c r="C611" s="1" t="n">
        <v>46194</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20015-2023</t>
        </is>
      </c>
      <c r="B612" s="1" t="n">
        <v>45054</v>
      </c>
      <c r="C612" s="1" t="n">
        <v>46194</v>
      </c>
      <c r="D612" t="inlineStr">
        <is>
          <t>STOCKHOLMS LÄN</t>
        </is>
      </c>
      <c r="E612" t="inlineStr">
        <is>
          <t>NORRTÄLJE</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44032-2024</t>
        </is>
      </c>
      <c r="B613" s="1" t="n">
        <v>45572</v>
      </c>
      <c r="C613" s="1" t="n">
        <v>46194</v>
      </c>
      <c r="D613" t="inlineStr">
        <is>
          <t>STOCKHOLMS LÄN</t>
        </is>
      </c>
      <c r="E613" t="inlineStr">
        <is>
          <t>NORRTÄLJE</t>
        </is>
      </c>
      <c r="G613" t="n">
        <v>8.6</v>
      </c>
      <c r="H613" t="n">
        <v>0</v>
      </c>
      <c r="I613" t="n">
        <v>0</v>
      </c>
      <c r="J613" t="n">
        <v>0</v>
      </c>
      <c r="K613" t="n">
        <v>0</v>
      </c>
      <c r="L613" t="n">
        <v>0</v>
      </c>
      <c r="M613" t="n">
        <v>0</v>
      </c>
      <c r="N613" t="n">
        <v>0</v>
      </c>
      <c r="O613" t="n">
        <v>0</v>
      </c>
      <c r="P613" t="n">
        <v>0</v>
      </c>
      <c r="Q613" t="n">
        <v>0</v>
      </c>
      <c r="R613" s="2" t="inlineStr"/>
    </row>
    <row r="614" ht="15" customHeight="1">
      <c r="A614" t="inlineStr">
        <is>
          <t>A 47498-2025</t>
        </is>
      </c>
      <c r="B614" s="1" t="n">
        <v>45930</v>
      </c>
      <c r="C614" s="1" t="n">
        <v>46194</v>
      </c>
      <c r="D614" t="inlineStr">
        <is>
          <t>STOCKHOLMS LÄN</t>
        </is>
      </c>
      <c r="E614" t="inlineStr">
        <is>
          <t>NORRTÄLJE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22202-2025</t>
        </is>
      </c>
      <c r="B615" s="1" t="n">
        <v>45785</v>
      </c>
      <c r="C615" s="1" t="n">
        <v>46194</v>
      </c>
      <c r="D615" t="inlineStr">
        <is>
          <t>STOCKHOLMS LÄN</t>
        </is>
      </c>
      <c r="E615" t="inlineStr">
        <is>
          <t>NORRTÄLJE</t>
        </is>
      </c>
      <c r="G615" t="n">
        <v>10.2</v>
      </c>
      <c r="H615" t="n">
        <v>0</v>
      </c>
      <c r="I615" t="n">
        <v>0</v>
      </c>
      <c r="J615" t="n">
        <v>0</v>
      </c>
      <c r="K615" t="n">
        <v>0</v>
      </c>
      <c r="L615" t="n">
        <v>0</v>
      </c>
      <c r="M615" t="n">
        <v>0</v>
      </c>
      <c r="N615" t="n">
        <v>0</v>
      </c>
      <c r="O615" t="n">
        <v>0</v>
      </c>
      <c r="P615" t="n">
        <v>0</v>
      </c>
      <c r="Q615" t="n">
        <v>0</v>
      </c>
      <c r="R615" s="2" t="inlineStr"/>
    </row>
    <row r="616" ht="15" customHeight="1">
      <c r="A616" t="inlineStr">
        <is>
          <t>A 47496-2025</t>
        </is>
      </c>
      <c r="B616" s="1" t="n">
        <v>45930</v>
      </c>
      <c r="C616" s="1" t="n">
        <v>46194</v>
      </c>
      <c r="D616" t="inlineStr">
        <is>
          <t>STOCKHOLMS LÄN</t>
        </is>
      </c>
      <c r="E616" t="inlineStr">
        <is>
          <t>NORRTÄLJE</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47497-2025</t>
        </is>
      </c>
      <c r="B617" s="1" t="n">
        <v>45930</v>
      </c>
      <c r="C617" s="1" t="n">
        <v>46194</v>
      </c>
      <c r="D617" t="inlineStr">
        <is>
          <t>STOCKHOLMS LÄN</t>
        </is>
      </c>
      <c r="E617" t="inlineStr">
        <is>
          <t>NORRTÄLJE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5027-2025</t>
        </is>
      </c>
      <c r="B618" s="1" t="n">
        <v>45691</v>
      </c>
      <c r="C618" s="1" t="n">
        <v>46194</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36625-2024</t>
        </is>
      </c>
      <c r="B619" s="1" t="n">
        <v>45537</v>
      </c>
      <c r="C619" s="1" t="n">
        <v>46194</v>
      </c>
      <c r="D619" t="inlineStr">
        <is>
          <t>STOCKHOLMS LÄN</t>
        </is>
      </c>
      <c r="E619" t="inlineStr">
        <is>
          <t>NORRTÄLJE</t>
        </is>
      </c>
      <c r="G619" t="n">
        <v>3.8</v>
      </c>
      <c r="H619" t="n">
        <v>0</v>
      </c>
      <c r="I619" t="n">
        <v>0</v>
      </c>
      <c r="J619" t="n">
        <v>0</v>
      </c>
      <c r="K619" t="n">
        <v>0</v>
      </c>
      <c r="L619" t="n">
        <v>0</v>
      </c>
      <c r="M619" t="n">
        <v>0</v>
      </c>
      <c r="N619" t="n">
        <v>0</v>
      </c>
      <c r="O619" t="n">
        <v>0</v>
      </c>
      <c r="P619" t="n">
        <v>0</v>
      </c>
      <c r="Q619" t="n">
        <v>0</v>
      </c>
      <c r="R619" s="2" t="inlineStr"/>
    </row>
    <row r="620" ht="15" customHeight="1">
      <c r="A620" t="inlineStr">
        <is>
          <t>A 45746-2024</t>
        </is>
      </c>
      <c r="B620" s="1" t="n">
        <v>45579</v>
      </c>
      <c r="C620" s="1" t="n">
        <v>46194</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48718-2025</t>
        </is>
      </c>
      <c r="B621" s="1" t="n">
        <v>45936</v>
      </c>
      <c r="C621" s="1" t="n">
        <v>46194</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8400-2024</t>
        </is>
      </c>
      <c r="B622" s="1" t="n">
        <v>45352</v>
      </c>
      <c r="C622" s="1" t="n">
        <v>46194</v>
      </c>
      <c r="D622" t="inlineStr">
        <is>
          <t>STOCKHOLMS LÄN</t>
        </is>
      </c>
      <c r="E622" t="inlineStr">
        <is>
          <t>NORRTÄLJE</t>
        </is>
      </c>
      <c r="G622" t="n">
        <v>4.7</v>
      </c>
      <c r="H622" t="n">
        <v>0</v>
      </c>
      <c r="I622" t="n">
        <v>0</v>
      </c>
      <c r="J622" t="n">
        <v>0</v>
      </c>
      <c r="K622" t="n">
        <v>0</v>
      </c>
      <c r="L622" t="n">
        <v>0</v>
      </c>
      <c r="M622" t="n">
        <v>0</v>
      </c>
      <c r="N622" t="n">
        <v>0</v>
      </c>
      <c r="O622" t="n">
        <v>0</v>
      </c>
      <c r="P622" t="n">
        <v>0</v>
      </c>
      <c r="Q622" t="n">
        <v>0</v>
      </c>
      <c r="R622" s="2" t="inlineStr"/>
    </row>
    <row r="623" ht="15" customHeight="1">
      <c r="A623" t="inlineStr">
        <is>
          <t>A 2182-2022</t>
        </is>
      </c>
      <c r="B623" s="1" t="n">
        <v>44578</v>
      </c>
      <c r="C623" s="1" t="n">
        <v>46194</v>
      </c>
      <c r="D623" t="inlineStr">
        <is>
          <t>STOCKHOLMS LÄN</t>
        </is>
      </c>
      <c r="E623" t="inlineStr">
        <is>
          <t>NORRTÄLJE</t>
        </is>
      </c>
      <c r="G623" t="n">
        <v>7.2</v>
      </c>
      <c r="H623" t="n">
        <v>0</v>
      </c>
      <c r="I623" t="n">
        <v>0</v>
      </c>
      <c r="J623" t="n">
        <v>0</v>
      </c>
      <c r="K623" t="n">
        <v>0</v>
      </c>
      <c r="L623" t="n">
        <v>0</v>
      </c>
      <c r="M623" t="n">
        <v>0</v>
      </c>
      <c r="N623" t="n">
        <v>0</v>
      </c>
      <c r="O623" t="n">
        <v>0</v>
      </c>
      <c r="P623" t="n">
        <v>0</v>
      </c>
      <c r="Q623" t="n">
        <v>0</v>
      </c>
      <c r="R623" s="2" t="inlineStr"/>
    </row>
    <row r="624" ht="15" customHeight="1">
      <c r="A624" t="inlineStr">
        <is>
          <t>A 48443-2025</t>
        </is>
      </c>
      <c r="B624" s="1" t="n">
        <v>45935</v>
      </c>
      <c r="C624" s="1" t="n">
        <v>46194</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16620-2024</t>
        </is>
      </c>
      <c r="B625" s="1" t="n">
        <v>45408</v>
      </c>
      <c r="C625" s="1" t="n">
        <v>46194</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48364-2025</t>
        </is>
      </c>
      <c r="B626" s="1" t="n">
        <v>45933</v>
      </c>
      <c r="C626" s="1" t="n">
        <v>46194</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v>
      </c>
      <c r="C627" s="1" t="n">
        <v>46194</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58785-2024</t>
        </is>
      </c>
      <c r="B628" s="1" t="n">
        <v>45635</v>
      </c>
      <c r="C628" s="1" t="n">
        <v>46194</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54776-2023</t>
        </is>
      </c>
      <c r="B629" s="1" t="n">
        <v>45236</v>
      </c>
      <c r="C629" s="1" t="n">
        <v>46194</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20144-2023</t>
        </is>
      </c>
      <c r="B630" s="1" t="n">
        <v>45055</v>
      </c>
      <c r="C630" s="1" t="n">
        <v>46194</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v>
      </c>
      <c r="C631" s="1" t="n">
        <v>46194</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48780-2025</t>
        </is>
      </c>
      <c r="B632" s="1" t="n">
        <v>45937</v>
      </c>
      <c r="C632" s="1" t="n">
        <v>46194</v>
      </c>
      <c r="D632" t="inlineStr">
        <is>
          <t>STOCKHOLMS LÄN</t>
        </is>
      </c>
      <c r="E632" t="inlineStr">
        <is>
          <t>NORRTÄLJE</t>
        </is>
      </c>
      <c r="G632" t="n">
        <v>7.7</v>
      </c>
      <c r="H632" t="n">
        <v>0</v>
      </c>
      <c r="I632" t="n">
        <v>0</v>
      </c>
      <c r="J632" t="n">
        <v>0</v>
      </c>
      <c r="K632" t="n">
        <v>0</v>
      </c>
      <c r="L632" t="n">
        <v>0</v>
      </c>
      <c r="M632" t="n">
        <v>0</v>
      </c>
      <c r="N632" t="n">
        <v>0</v>
      </c>
      <c r="O632" t="n">
        <v>0</v>
      </c>
      <c r="P632" t="n">
        <v>0</v>
      </c>
      <c r="Q632" t="n">
        <v>0</v>
      </c>
      <c r="R632" s="2" t="inlineStr"/>
    </row>
    <row r="633" ht="15" customHeight="1">
      <c r="A633" t="inlineStr">
        <is>
          <t>A 23056-2023</t>
        </is>
      </c>
      <c r="B633" s="1" t="n">
        <v>45075</v>
      </c>
      <c r="C633" s="1" t="n">
        <v>46194</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62998-2023</t>
        </is>
      </c>
      <c r="B634" s="1" t="n">
        <v>45272</v>
      </c>
      <c r="C634" s="1" t="n">
        <v>46194</v>
      </c>
      <c r="D634" t="inlineStr">
        <is>
          <t>STOCKHOLMS LÄN</t>
        </is>
      </c>
      <c r="E634" t="inlineStr">
        <is>
          <t>NORRTÄLJE</t>
        </is>
      </c>
      <c r="G634" t="n">
        <v>16.3</v>
      </c>
      <c r="H634" t="n">
        <v>0</v>
      </c>
      <c r="I634" t="n">
        <v>0</v>
      </c>
      <c r="J634" t="n">
        <v>0</v>
      </c>
      <c r="K634" t="n">
        <v>0</v>
      </c>
      <c r="L634" t="n">
        <v>0</v>
      </c>
      <c r="M634" t="n">
        <v>0</v>
      </c>
      <c r="N634" t="n">
        <v>0</v>
      </c>
      <c r="O634" t="n">
        <v>0</v>
      </c>
      <c r="P634" t="n">
        <v>0</v>
      </c>
      <c r="Q634" t="n">
        <v>0</v>
      </c>
      <c r="R634" s="2" t="inlineStr"/>
    </row>
    <row r="635" ht="15" customHeight="1">
      <c r="A635" t="inlineStr">
        <is>
          <t>A 63015-2023</t>
        </is>
      </c>
      <c r="B635" s="1" t="n">
        <v>45272</v>
      </c>
      <c r="C635" s="1" t="n">
        <v>46194</v>
      </c>
      <c r="D635" t="inlineStr">
        <is>
          <t>STOCKHOLMS LÄN</t>
        </is>
      </c>
      <c r="E635" t="inlineStr">
        <is>
          <t>NORRTÄLJE</t>
        </is>
      </c>
      <c r="G635" t="n">
        <v>13.1</v>
      </c>
      <c r="H635" t="n">
        <v>0</v>
      </c>
      <c r="I635" t="n">
        <v>0</v>
      </c>
      <c r="J635" t="n">
        <v>0</v>
      </c>
      <c r="K635" t="n">
        <v>0</v>
      </c>
      <c r="L635" t="n">
        <v>0</v>
      </c>
      <c r="M635" t="n">
        <v>0</v>
      </c>
      <c r="N635" t="n">
        <v>0</v>
      </c>
      <c r="O635" t="n">
        <v>0</v>
      </c>
      <c r="P635" t="n">
        <v>0</v>
      </c>
      <c r="Q635" t="n">
        <v>0</v>
      </c>
      <c r="R635" s="2" t="inlineStr"/>
    </row>
    <row r="636" ht="15" customHeight="1">
      <c r="A636" t="inlineStr">
        <is>
          <t>A 12901-2024</t>
        </is>
      </c>
      <c r="B636" s="1" t="n">
        <v>45385</v>
      </c>
      <c r="C636" s="1" t="n">
        <v>46194</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12301-2025</t>
        </is>
      </c>
      <c r="B637" s="1" t="n">
        <v>45729</v>
      </c>
      <c r="C637" s="1" t="n">
        <v>46194</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5867-2022</t>
        </is>
      </c>
      <c r="B638" s="1" t="n">
        <v>44596</v>
      </c>
      <c r="C638" s="1" t="n">
        <v>46194</v>
      </c>
      <c r="D638" t="inlineStr">
        <is>
          <t>STOCKHOLMS LÄN</t>
        </is>
      </c>
      <c r="E638" t="inlineStr">
        <is>
          <t>NORRTÄLJE</t>
        </is>
      </c>
      <c r="F638" t="inlineStr">
        <is>
          <t>Naturvårdsverket</t>
        </is>
      </c>
      <c r="G638" t="n">
        <v>1.6</v>
      </c>
      <c r="H638" t="n">
        <v>0</v>
      </c>
      <c r="I638" t="n">
        <v>0</v>
      </c>
      <c r="J638" t="n">
        <v>0</v>
      </c>
      <c r="K638" t="n">
        <v>0</v>
      </c>
      <c r="L638" t="n">
        <v>0</v>
      </c>
      <c r="M638" t="n">
        <v>0</v>
      </c>
      <c r="N638" t="n">
        <v>0</v>
      </c>
      <c r="O638" t="n">
        <v>0</v>
      </c>
      <c r="P638" t="n">
        <v>0</v>
      </c>
      <c r="Q638" t="n">
        <v>0</v>
      </c>
      <c r="R638" s="2" t="inlineStr"/>
    </row>
    <row r="639" ht="15" customHeight="1">
      <c r="A639" t="inlineStr">
        <is>
          <t>A 8950-2025</t>
        </is>
      </c>
      <c r="B639" s="1" t="n">
        <v>45713</v>
      </c>
      <c r="C639" s="1" t="n">
        <v>46194</v>
      </c>
      <c r="D639" t="inlineStr">
        <is>
          <t>STOCKHOLMS LÄN</t>
        </is>
      </c>
      <c r="E639" t="inlineStr">
        <is>
          <t>NORRTÄLJE</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20730-2024</t>
        </is>
      </c>
      <c r="B640" s="1" t="n">
        <v>45436</v>
      </c>
      <c r="C640" s="1" t="n">
        <v>46194</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33175-2024</t>
        </is>
      </c>
      <c r="B641" s="1" t="n">
        <v>45518</v>
      </c>
      <c r="C641" s="1" t="n">
        <v>46194</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13283-2025</t>
        </is>
      </c>
      <c r="B642" s="1" t="n">
        <v>45735</v>
      </c>
      <c r="C642" s="1" t="n">
        <v>46194</v>
      </c>
      <c r="D642" t="inlineStr">
        <is>
          <t>STOCKHOLMS LÄN</t>
        </is>
      </c>
      <c r="E642" t="inlineStr">
        <is>
          <t>NORRTÄLJE</t>
        </is>
      </c>
      <c r="G642" t="n">
        <v>4.9</v>
      </c>
      <c r="H642" t="n">
        <v>0</v>
      </c>
      <c r="I642" t="n">
        <v>0</v>
      </c>
      <c r="J642" t="n">
        <v>0</v>
      </c>
      <c r="K642" t="n">
        <v>0</v>
      </c>
      <c r="L642" t="n">
        <v>0</v>
      </c>
      <c r="M642" t="n">
        <v>0</v>
      </c>
      <c r="N642" t="n">
        <v>0</v>
      </c>
      <c r="O642" t="n">
        <v>0</v>
      </c>
      <c r="P642" t="n">
        <v>0</v>
      </c>
      <c r="Q642" t="n">
        <v>0</v>
      </c>
      <c r="R642" s="2" t="inlineStr"/>
    </row>
    <row r="643" ht="15" customHeight="1">
      <c r="A643" t="inlineStr">
        <is>
          <t>A 73307-2021</t>
        </is>
      </c>
      <c r="B643" s="1" t="n">
        <v>44549</v>
      </c>
      <c r="C643" s="1" t="n">
        <v>46194</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27831-2024</t>
        </is>
      </c>
      <c r="B644" s="1" t="n">
        <v>45475</v>
      </c>
      <c r="C644" s="1" t="n">
        <v>46194</v>
      </c>
      <c r="D644" t="inlineStr">
        <is>
          <t>STOCKHOLMS LÄN</t>
        </is>
      </c>
      <c r="E644" t="inlineStr">
        <is>
          <t>NORRTÄLJE</t>
        </is>
      </c>
      <c r="G644" t="n">
        <v>3.8</v>
      </c>
      <c r="H644" t="n">
        <v>0</v>
      </c>
      <c r="I644" t="n">
        <v>0</v>
      </c>
      <c r="J644" t="n">
        <v>0</v>
      </c>
      <c r="K644" t="n">
        <v>0</v>
      </c>
      <c r="L644" t="n">
        <v>0</v>
      </c>
      <c r="M644" t="n">
        <v>0</v>
      </c>
      <c r="N644" t="n">
        <v>0</v>
      </c>
      <c r="O644" t="n">
        <v>0</v>
      </c>
      <c r="P644" t="n">
        <v>0</v>
      </c>
      <c r="Q644" t="n">
        <v>0</v>
      </c>
      <c r="R644" s="2" t="inlineStr"/>
    </row>
    <row r="645" ht="15" customHeight="1">
      <c r="A645" t="inlineStr">
        <is>
          <t>A 21731-2023</t>
        </is>
      </c>
      <c r="B645" s="1" t="n">
        <v>45063</v>
      </c>
      <c r="C645" s="1" t="n">
        <v>46194</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21745-2023</t>
        </is>
      </c>
      <c r="B646" s="1" t="n">
        <v>45065</v>
      </c>
      <c r="C646" s="1" t="n">
        <v>46194</v>
      </c>
      <c r="D646" t="inlineStr">
        <is>
          <t>STOCKHOLMS LÄN</t>
        </is>
      </c>
      <c r="E646" t="inlineStr">
        <is>
          <t>NORRTÄLJE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50563-2025</t>
        </is>
      </c>
      <c r="B647" s="1" t="n">
        <v>45944</v>
      </c>
      <c r="C647" s="1" t="n">
        <v>46194</v>
      </c>
      <c r="D647" t="inlineStr">
        <is>
          <t>STOCKHOLMS LÄN</t>
        </is>
      </c>
      <c r="E647" t="inlineStr">
        <is>
          <t>NORRTÄLJE</t>
        </is>
      </c>
      <c r="G647" t="n">
        <v>1</v>
      </c>
      <c r="H647" t="n">
        <v>0</v>
      </c>
      <c r="I647" t="n">
        <v>0</v>
      </c>
      <c r="J647" t="n">
        <v>0</v>
      </c>
      <c r="K647" t="n">
        <v>0</v>
      </c>
      <c r="L647" t="n">
        <v>0</v>
      </c>
      <c r="M647" t="n">
        <v>0</v>
      </c>
      <c r="N647" t="n">
        <v>0</v>
      </c>
      <c r="O647" t="n">
        <v>0</v>
      </c>
      <c r="P647" t="n">
        <v>0</v>
      </c>
      <c r="Q647" t="n">
        <v>0</v>
      </c>
      <c r="R647" s="2" t="inlineStr"/>
    </row>
    <row r="648" ht="15" customHeight="1">
      <c r="A648" t="inlineStr">
        <is>
          <t>A 50327-2025</t>
        </is>
      </c>
      <c r="B648" s="1" t="n">
        <v>45944</v>
      </c>
      <c r="C648" s="1" t="n">
        <v>46194</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26365-2024</t>
        </is>
      </c>
      <c r="B649" s="1" t="n">
        <v>45469</v>
      </c>
      <c r="C649" s="1" t="n">
        <v>46194</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21803-2022</t>
        </is>
      </c>
      <c r="B650" s="1" t="n">
        <v>44708</v>
      </c>
      <c r="C650" s="1" t="n">
        <v>46194</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50602-2021</t>
        </is>
      </c>
      <c r="B651" s="1" t="n">
        <v>44459</v>
      </c>
      <c r="C651" s="1" t="n">
        <v>46194</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24687-2025</t>
        </is>
      </c>
      <c r="B652" s="1" t="n">
        <v>45798</v>
      </c>
      <c r="C652" s="1" t="n">
        <v>46194</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48798-2021</t>
        </is>
      </c>
      <c r="B653" s="1" t="n">
        <v>44452</v>
      </c>
      <c r="C653" s="1" t="n">
        <v>46194</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24690-2025</t>
        </is>
      </c>
      <c r="B654" s="1" t="n">
        <v>45798</v>
      </c>
      <c r="C654" s="1" t="n">
        <v>46194</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24638-2025</t>
        </is>
      </c>
      <c r="B655" s="1" t="n">
        <v>45798</v>
      </c>
      <c r="C655" s="1" t="n">
        <v>46194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51240-2025</t>
        </is>
      </c>
      <c r="B656" s="1" t="n">
        <v>45947</v>
      </c>
      <c r="C656" s="1" t="n">
        <v>46194</v>
      </c>
      <c r="D656" t="inlineStr">
        <is>
          <t>STOCKHOLMS LÄN</t>
        </is>
      </c>
      <c r="E656" t="inlineStr">
        <is>
          <t>NORRTÄLJE</t>
        </is>
      </c>
      <c r="F656" t="inlineStr">
        <is>
          <t>Naturvårdsverket</t>
        </is>
      </c>
      <c r="G656" t="n">
        <v>3</v>
      </c>
      <c r="H656" t="n">
        <v>0</v>
      </c>
      <c r="I656" t="n">
        <v>0</v>
      </c>
      <c r="J656" t="n">
        <v>0</v>
      </c>
      <c r="K656" t="n">
        <v>0</v>
      </c>
      <c r="L656" t="n">
        <v>0</v>
      </c>
      <c r="M656" t="n">
        <v>0</v>
      </c>
      <c r="N656" t="n">
        <v>0</v>
      </c>
      <c r="O656" t="n">
        <v>0</v>
      </c>
      <c r="P656" t="n">
        <v>0</v>
      </c>
      <c r="Q656" t="n">
        <v>0</v>
      </c>
      <c r="R656" s="2" t="inlineStr"/>
    </row>
    <row r="657" ht="15" customHeight="1">
      <c r="A657" t="inlineStr">
        <is>
          <t>A 51121-2025</t>
        </is>
      </c>
      <c r="B657" s="1" t="n">
        <v>45947</v>
      </c>
      <c r="C657" s="1" t="n">
        <v>46194</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26416-2026</t>
        </is>
      </c>
      <c r="B658" s="1" t="n">
        <v>46183</v>
      </c>
      <c r="C658" s="1" t="n">
        <v>46194</v>
      </c>
      <c r="D658" t="inlineStr">
        <is>
          <t>STOCKHOLMS LÄN</t>
        </is>
      </c>
      <c r="E658" t="inlineStr">
        <is>
          <t>NORRTÄLJE</t>
        </is>
      </c>
      <c r="G658" t="n">
        <v>3.7</v>
      </c>
      <c r="H658" t="n">
        <v>0</v>
      </c>
      <c r="I658" t="n">
        <v>0</v>
      </c>
      <c r="J658" t="n">
        <v>0</v>
      </c>
      <c r="K658" t="n">
        <v>0</v>
      </c>
      <c r="L658" t="n">
        <v>0</v>
      </c>
      <c r="M658" t="n">
        <v>0</v>
      </c>
      <c r="N658" t="n">
        <v>0</v>
      </c>
      <c r="O658" t="n">
        <v>0</v>
      </c>
      <c r="P658" t="n">
        <v>0</v>
      </c>
      <c r="Q658" t="n">
        <v>0</v>
      </c>
      <c r="R658" s="2" t="inlineStr"/>
    </row>
    <row r="659" ht="15" customHeight="1">
      <c r="A659" t="inlineStr">
        <is>
          <t>A 30283-2022</t>
        </is>
      </c>
      <c r="B659" s="1" t="n">
        <v>44760</v>
      </c>
      <c r="C659" s="1" t="n">
        <v>46194</v>
      </c>
      <c r="D659" t="inlineStr">
        <is>
          <t>STOCKHOLMS LÄN</t>
        </is>
      </c>
      <c r="E659" t="inlineStr">
        <is>
          <t>NORRTÄLJE</t>
        </is>
      </c>
      <c r="G659" t="n">
        <v>6.2</v>
      </c>
      <c r="H659" t="n">
        <v>0</v>
      </c>
      <c r="I659" t="n">
        <v>0</v>
      </c>
      <c r="J659" t="n">
        <v>0</v>
      </c>
      <c r="K659" t="n">
        <v>0</v>
      </c>
      <c r="L659" t="n">
        <v>0</v>
      </c>
      <c r="M659" t="n">
        <v>0</v>
      </c>
      <c r="N659" t="n">
        <v>0</v>
      </c>
      <c r="O659" t="n">
        <v>0</v>
      </c>
      <c r="P659" t="n">
        <v>0</v>
      </c>
      <c r="Q659" t="n">
        <v>0</v>
      </c>
      <c r="R659" s="2" t="inlineStr"/>
    </row>
    <row r="660" ht="15" customHeight="1">
      <c r="A660" t="inlineStr">
        <is>
          <t>A 25733-2025</t>
        </is>
      </c>
      <c r="B660" s="1" t="n">
        <v>45800</v>
      </c>
      <c r="C660" s="1" t="n">
        <v>46194</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38985-2022</t>
        </is>
      </c>
      <c r="B661" s="1" t="n">
        <v>44816</v>
      </c>
      <c r="C661" s="1" t="n">
        <v>46194</v>
      </c>
      <c r="D661" t="inlineStr">
        <is>
          <t>STOCKHOLMS LÄN</t>
        </is>
      </c>
      <c r="E661" t="inlineStr">
        <is>
          <t>NORRTÄLJE</t>
        </is>
      </c>
      <c r="G661" t="n">
        <v>10.1</v>
      </c>
      <c r="H661" t="n">
        <v>0</v>
      </c>
      <c r="I661" t="n">
        <v>0</v>
      </c>
      <c r="J661" t="n">
        <v>0</v>
      </c>
      <c r="K661" t="n">
        <v>0</v>
      </c>
      <c r="L661" t="n">
        <v>0</v>
      </c>
      <c r="M661" t="n">
        <v>0</v>
      </c>
      <c r="N661" t="n">
        <v>0</v>
      </c>
      <c r="O661" t="n">
        <v>0</v>
      </c>
      <c r="P661" t="n">
        <v>0</v>
      </c>
      <c r="Q661" t="n">
        <v>0</v>
      </c>
      <c r="R661" s="2" t="inlineStr"/>
    </row>
    <row r="662" ht="15" customHeight="1">
      <c r="A662" t="inlineStr">
        <is>
          <t>A 28603-2024</t>
        </is>
      </c>
      <c r="B662" s="1" t="n">
        <v>45478</v>
      </c>
      <c r="C662" s="1" t="n">
        <v>46194</v>
      </c>
      <c r="D662" t="inlineStr">
        <is>
          <t>STOCKHOLMS LÄN</t>
        </is>
      </c>
      <c r="E662" t="inlineStr">
        <is>
          <t>NORRTÄLJE</t>
        </is>
      </c>
      <c r="G662" t="n">
        <v>5.6</v>
      </c>
      <c r="H662" t="n">
        <v>0</v>
      </c>
      <c r="I662" t="n">
        <v>0</v>
      </c>
      <c r="J662" t="n">
        <v>0</v>
      </c>
      <c r="K662" t="n">
        <v>0</v>
      </c>
      <c r="L662" t="n">
        <v>0</v>
      </c>
      <c r="M662" t="n">
        <v>0</v>
      </c>
      <c r="N662" t="n">
        <v>0</v>
      </c>
      <c r="O662" t="n">
        <v>0</v>
      </c>
      <c r="P662" t="n">
        <v>0</v>
      </c>
      <c r="Q662" t="n">
        <v>0</v>
      </c>
      <c r="R662" s="2" t="inlineStr"/>
    </row>
    <row r="663" ht="15" customHeight="1">
      <c r="A663" t="inlineStr">
        <is>
          <t>A 51532-2025</t>
        </is>
      </c>
      <c r="B663" s="1" t="n">
        <v>45950</v>
      </c>
      <c r="C663" s="1" t="n">
        <v>46194</v>
      </c>
      <c r="D663" t="inlineStr">
        <is>
          <t>STOCKHOLMS LÄN</t>
        </is>
      </c>
      <c r="E663" t="inlineStr">
        <is>
          <t>NORRTÄLJE</t>
        </is>
      </c>
      <c r="F663" t="inlineStr">
        <is>
          <t>Naturvårdsverket</t>
        </is>
      </c>
      <c r="G663" t="n">
        <v>17.3</v>
      </c>
      <c r="H663" t="n">
        <v>0</v>
      </c>
      <c r="I663" t="n">
        <v>0</v>
      </c>
      <c r="J663" t="n">
        <v>0</v>
      </c>
      <c r="K663" t="n">
        <v>0</v>
      </c>
      <c r="L663" t="n">
        <v>0</v>
      </c>
      <c r="M663" t="n">
        <v>0</v>
      </c>
      <c r="N663" t="n">
        <v>0</v>
      </c>
      <c r="O663" t="n">
        <v>0</v>
      </c>
      <c r="P663" t="n">
        <v>0</v>
      </c>
      <c r="Q663" t="n">
        <v>0</v>
      </c>
      <c r="R663" s="2" t="inlineStr"/>
    </row>
    <row r="664" ht="15" customHeight="1">
      <c r="A664" t="inlineStr">
        <is>
          <t>A 25625-2023</t>
        </is>
      </c>
      <c r="B664" s="1" t="n">
        <v>45089</v>
      </c>
      <c r="C664" s="1" t="n">
        <v>46194</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51233-2025</t>
        </is>
      </c>
      <c r="B665" s="1" t="n">
        <v>45947</v>
      </c>
      <c r="C665" s="1" t="n">
        <v>46194</v>
      </c>
      <c r="D665" t="inlineStr">
        <is>
          <t>STOCKHOLMS LÄN</t>
        </is>
      </c>
      <c r="E665" t="inlineStr">
        <is>
          <t>NORRTÄLJE</t>
        </is>
      </c>
      <c r="F665" t="inlineStr">
        <is>
          <t>Naturvårdsverket</t>
        </is>
      </c>
      <c r="G665" t="n">
        <v>8.1</v>
      </c>
      <c r="H665" t="n">
        <v>0</v>
      </c>
      <c r="I665" t="n">
        <v>0</v>
      </c>
      <c r="J665" t="n">
        <v>0</v>
      </c>
      <c r="K665" t="n">
        <v>0</v>
      </c>
      <c r="L665" t="n">
        <v>0</v>
      </c>
      <c r="M665" t="n">
        <v>0</v>
      </c>
      <c r="N665" t="n">
        <v>0</v>
      </c>
      <c r="O665" t="n">
        <v>0</v>
      </c>
      <c r="P665" t="n">
        <v>0</v>
      </c>
      <c r="Q665" t="n">
        <v>0</v>
      </c>
      <c r="R665" s="2" t="inlineStr"/>
    </row>
    <row r="666" ht="15" customHeight="1">
      <c r="A666" t="inlineStr">
        <is>
          <t>A 51236-2025</t>
        </is>
      </c>
      <c r="B666" s="1" t="n">
        <v>45947</v>
      </c>
      <c r="C666" s="1" t="n">
        <v>46194</v>
      </c>
      <c r="D666" t="inlineStr">
        <is>
          <t>STOCKHOLMS LÄN</t>
        </is>
      </c>
      <c r="E666" t="inlineStr">
        <is>
          <t>NORRTÄLJE</t>
        </is>
      </c>
      <c r="F666" t="inlineStr">
        <is>
          <t>Naturvårdsverket</t>
        </is>
      </c>
      <c r="G666" t="n">
        <v>6.3</v>
      </c>
      <c r="H666" t="n">
        <v>0</v>
      </c>
      <c r="I666" t="n">
        <v>0</v>
      </c>
      <c r="J666" t="n">
        <v>0</v>
      </c>
      <c r="K666" t="n">
        <v>0</v>
      </c>
      <c r="L666" t="n">
        <v>0</v>
      </c>
      <c r="M666" t="n">
        <v>0</v>
      </c>
      <c r="N666" t="n">
        <v>0</v>
      </c>
      <c r="O666" t="n">
        <v>0</v>
      </c>
      <c r="P666" t="n">
        <v>0</v>
      </c>
      <c r="Q666" t="n">
        <v>0</v>
      </c>
      <c r="R666" s="2" t="inlineStr"/>
    </row>
    <row r="667" ht="15" customHeight="1">
      <c r="A667" t="inlineStr">
        <is>
          <t>A 51241-2025</t>
        </is>
      </c>
      <c r="B667" s="1" t="n">
        <v>45947</v>
      </c>
      <c r="C667" s="1" t="n">
        <v>46194</v>
      </c>
      <c r="D667" t="inlineStr">
        <is>
          <t>STOCKHOLMS LÄN</t>
        </is>
      </c>
      <c r="E667" t="inlineStr">
        <is>
          <t>NORRTÄLJE</t>
        </is>
      </c>
      <c r="F667" t="inlineStr">
        <is>
          <t>Naturvårdsverket</t>
        </is>
      </c>
      <c r="G667" t="n">
        <v>6.4</v>
      </c>
      <c r="H667" t="n">
        <v>0</v>
      </c>
      <c r="I667" t="n">
        <v>0</v>
      </c>
      <c r="J667" t="n">
        <v>0</v>
      </c>
      <c r="K667" t="n">
        <v>0</v>
      </c>
      <c r="L667" t="n">
        <v>0</v>
      </c>
      <c r="M667" t="n">
        <v>0</v>
      </c>
      <c r="N667" t="n">
        <v>0</v>
      </c>
      <c r="O667" t="n">
        <v>0</v>
      </c>
      <c r="P667" t="n">
        <v>0</v>
      </c>
      <c r="Q667" t="n">
        <v>0</v>
      </c>
      <c r="R667" s="2" t="inlineStr"/>
    </row>
    <row r="668" ht="15" customHeight="1">
      <c r="A668" t="inlineStr">
        <is>
          <t>A 25721-2025</t>
        </is>
      </c>
      <c r="B668" s="1" t="n">
        <v>45800</v>
      </c>
      <c r="C668" s="1" t="n">
        <v>46194</v>
      </c>
      <c r="D668" t="inlineStr">
        <is>
          <t>STOCKHOLMS LÄN</t>
        </is>
      </c>
      <c r="E668" t="inlineStr">
        <is>
          <t>NORRTÄLJE</t>
        </is>
      </c>
      <c r="G668" t="n">
        <v>6</v>
      </c>
      <c r="H668" t="n">
        <v>0</v>
      </c>
      <c r="I668" t="n">
        <v>0</v>
      </c>
      <c r="J668" t="n">
        <v>0</v>
      </c>
      <c r="K668" t="n">
        <v>0</v>
      </c>
      <c r="L668" t="n">
        <v>0</v>
      </c>
      <c r="M668" t="n">
        <v>0</v>
      </c>
      <c r="N668" t="n">
        <v>0</v>
      </c>
      <c r="O668" t="n">
        <v>0</v>
      </c>
      <c r="P668" t="n">
        <v>0</v>
      </c>
      <c r="Q668" t="n">
        <v>0</v>
      </c>
      <c r="R668" s="2" t="inlineStr"/>
    </row>
    <row r="669" ht="15" customHeight="1">
      <c r="A669" t="inlineStr">
        <is>
          <t>A 51945-2025</t>
        </is>
      </c>
      <c r="B669" s="1" t="n">
        <v>45952</v>
      </c>
      <c r="C669" s="1" t="n">
        <v>46194</v>
      </c>
      <c r="D669" t="inlineStr">
        <is>
          <t>STOCKHOLMS LÄN</t>
        </is>
      </c>
      <c r="E669" t="inlineStr">
        <is>
          <t>NORRTÄLJE</t>
        </is>
      </c>
      <c r="G669" t="n">
        <v>7</v>
      </c>
      <c r="H669" t="n">
        <v>0</v>
      </c>
      <c r="I669" t="n">
        <v>0</v>
      </c>
      <c r="J669" t="n">
        <v>0</v>
      </c>
      <c r="K669" t="n">
        <v>0</v>
      </c>
      <c r="L669" t="n">
        <v>0</v>
      </c>
      <c r="M669" t="n">
        <v>0</v>
      </c>
      <c r="N669" t="n">
        <v>0</v>
      </c>
      <c r="O669" t="n">
        <v>0</v>
      </c>
      <c r="P669" t="n">
        <v>0</v>
      </c>
      <c r="Q669" t="n">
        <v>0</v>
      </c>
      <c r="R669" s="2" t="inlineStr"/>
    </row>
    <row r="670" ht="15" customHeight="1">
      <c r="A670" t="inlineStr">
        <is>
          <t>A 52061-2025</t>
        </is>
      </c>
      <c r="B670" s="1" t="n">
        <v>45952</v>
      </c>
      <c r="C670" s="1" t="n">
        <v>46194</v>
      </c>
      <c r="D670" t="inlineStr">
        <is>
          <t>STOCKHOLMS LÄN</t>
        </is>
      </c>
      <c r="E670" t="inlineStr">
        <is>
          <t>NORRTÄLJE</t>
        </is>
      </c>
      <c r="G670" t="n">
        <v>9.5</v>
      </c>
      <c r="H670" t="n">
        <v>0</v>
      </c>
      <c r="I670" t="n">
        <v>0</v>
      </c>
      <c r="J670" t="n">
        <v>0</v>
      </c>
      <c r="K670" t="n">
        <v>0</v>
      </c>
      <c r="L670" t="n">
        <v>0</v>
      </c>
      <c r="M670" t="n">
        <v>0</v>
      </c>
      <c r="N670" t="n">
        <v>0</v>
      </c>
      <c r="O670" t="n">
        <v>0</v>
      </c>
      <c r="P670" t="n">
        <v>0</v>
      </c>
      <c r="Q670" t="n">
        <v>0</v>
      </c>
      <c r="R670" s="2" t="inlineStr"/>
    </row>
    <row r="671" ht="15" customHeight="1">
      <c r="A671" t="inlineStr">
        <is>
          <t>A 25571-2025</t>
        </is>
      </c>
      <c r="B671" s="1" t="n">
        <v>45803</v>
      </c>
      <c r="C671" s="1" t="n">
        <v>46194</v>
      </c>
      <c r="D671" t="inlineStr">
        <is>
          <t>STOCKHOLMS LÄN</t>
        </is>
      </c>
      <c r="E671" t="inlineStr">
        <is>
          <t>NORRTÄLJE</t>
        </is>
      </c>
      <c r="G671" t="n">
        <v>5.4</v>
      </c>
      <c r="H671" t="n">
        <v>0</v>
      </c>
      <c r="I671" t="n">
        <v>0</v>
      </c>
      <c r="J671" t="n">
        <v>0</v>
      </c>
      <c r="K671" t="n">
        <v>0</v>
      </c>
      <c r="L671" t="n">
        <v>0</v>
      </c>
      <c r="M671" t="n">
        <v>0</v>
      </c>
      <c r="N671" t="n">
        <v>0</v>
      </c>
      <c r="O671" t="n">
        <v>0</v>
      </c>
      <c r="P671" t="n">
        <v>0</v>
      </c>
      <c r="Q671" t="n">
        <v>0</v>
      </c>
      <c r="R671" s="2" t="inlineStr"/>
    </row>
    <row r="672" ht="15" customHeight="1">
      <c r="A672" t="inlineStr">
        <is>
          <t>A 51960-2025</t>
        </is>
      </c>
      <c r="B672" s="1" t="n">
        <v>45952</v>
      </c>
      <c r="C672" s="1" t="n">
        <v>46194</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53561-2023</t>
        </is>
      </c>
      <c r="B673" s="1" t="n">
        <v>45224</v>
      </c>
      <c r="C673" s="1" t="n">
        <v>46194</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51789-2025</t>
        </is>
      </c>
      <c r="B674" s="1" t="n">
        <v>45951</v>
      </c>
      <c r="C674" s="1" t="n">
        <v>46194</v>
      </c>
      <c r="D674" t="inlineStr">
        <is>
          <t>STOCKHOLMS LÄN</t>
        </is>
      </c>
      <c r="E674" t="inlineStr">
        <is>
          <t>NORRTÄLJE</t>
        </is>
      </c>
      <c r="F674" t="inlineStr">
        <is>
          <t>Naturvårdsverket</t>
        </is>
      </c>
      <c r="G674" t="n">
        <v>8.9</v>
      </c>
      <c r="H674" t="n">
        <v>0</v>
      </c>
      <c r="I674" t="n">
        <v>0</v>
      </c>
      <c r="J674" t="n">
        <v>0</v>
      </c>
      <c r="K674" t="n">
        <v>0</v>
      </c>
      <c r="L674" t="n">
        <v>0</v>
      </c>
      <c r="M674" t="n">
        <v>0</v>
      </c>
      <c r="N674" t="n">
        <v>0</v>
      </c>
      <c r="O674" t="n">
        <v>0</v>
      </c>
      <c r="P674" t="n">
        <v>0</v>
      </c>
      <c r="Q674" t="n">
        <v>0</v>
      </c>
      <c r="R674" s="2" t="inlineStr"/>
    </row>
    <row r="675" ht="15" customHeight="1">
      <c r="A675" t="inlineStr">
        <is>
          <t>A 14132-2025</t>
        </is>
      </c>
      <c r="B675" s="1" t="n">
        <v>45740</v>
      </c>
      <c r="C675" s="1" t="n">
        <v>46194</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14133-2025</t>
        </is>
      </c>
      <c r="B676" s="1" t="n">
        <v>45740</v>
      </c>
      <c r="C676" s="1" t="n">
        <v>46194</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25712-2025</t>
        </is>
      </c>
      <c r="B677" s="1" t="n">
        <v>45803</v>
      </c>
      <c r="C677" s="1" t="n">
        <v>46194</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7186-2024</t>
        </is>
      </c>
      <c r="B678" s="1" t="n">
        <v>45344</v>
      </c>
      <c r="C678" s="1" t="n">
        <v>46194</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39238-2024</t>
        </is>
      </c>
      <c r="B679" s="1" t="n">
        <v>45549</v>
      </c>
      <c r="C679" s="1" t="n">
        <v>46194</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38449-2022</t>
        </is>
      </c>
      <c r="B680" s="1" t="n">
        <v>44813</v>
      </c>
      <c r="C680" s="1" t="n">
        <v>46194</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27554-2025</t>
        </is>
      </c>
      <c r="B681" s="1" t="n">
        <v>45813</v>
      </c>
      <c r="C681" s="1" t="n">
        <v>46194</v>
      </c>
      <c r="D681" t="inlineStr">
        <is>
          <t>STOCKHOLMS LÄN</t>
        </is>
      </c>
      <c r="E681" t="inlineStr">
        <is>
          <t>NORRTÄLJE</t>
        </is>
      </c>
      <c r="F681" t="inlineStr">
        <is>
          <t>Övriga Aktiebolag</t>
        </is>
      </c>
      <c r="G681" t="n">
        <v>2.5</v>
      </c>
      <c r="H681" t="n">
        <v>0</v>
      </c>
      <c r="I681" t="n">
        <v>0</v>
      </c>
      <c r="J681" t="n">
        <v>0</v>
      </c>
      <c r="K681" t="n">
        <v>0</v>
      </c>
      <c r="L681" t="n">
        <v>0</v>
      </c>
      <c r="M681" t="n">
        <v>0</v>
      </c>
      <c r="N681" t="n">
        <v>0</v>
      </c>
      <c r="O681" t="n">
        <v>0</v>
      </c>
      <c r="P681" t="n">
        <v>0</v>
      </c>
      <c r="Q681" t="n">
        <v>0</v>
      </c>
      <c r="R681" s="2" t="inlineStr"/>
    </row>
    <row r="682" ht="15" customHeight="1">
      <c r="A682" t="inlineStr">
        <is>
          <t>A 26406-2026</t>
        </is>
      </c>
      <c r="B682" s="1" t="n">
        <v>46183</v>
      </c>
      <c r="C682" s="1" t="n">
        <v>46194</v>
      </c>
      <c r="D682" t="inlineStr">
        <is>
          <t>STOCKHOLMS LÄN</t>
        </is>
      </c>
      <c r="E682" t="inlineStr">
        <is>
          <t>NORRTÄLJE</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26408-2026</t>
        </is>
      </c>
      <c r="B683" s="1" t="n">
        <v>46183</v>
      </c>
      <c r="C683" s="1" t="n">
        <v>46194</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47259-2024</t>
        </is>
      </c>
      <c r="B684" s="1" t="n">
        <v>45586</v>
      </c>
      <c r="C684" s="1" t="n">
        <v>46194</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52729-2025</t>
        </is>
      </c>
      <c r="B685" s="1" t="n">
        <v>45957</v>
      </c>
      <c r="C685" s="1" t="n">
        <v>46194</v>
      </c>
      <c r="D685" t="inlineStr">
        <is>
          <t>STOCKHOLMS LÄN</t>
        </is>
      </c>
      <c r="E685" t="inlineStr">
        <is>
          <t>NORRTÄLJE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52777-2025</t>
        </is>
      </c>
      <c r="B686" s="1" t="n">
        <v>45957</v>
      </c>
      <c r="C686" s="1" t="n">
        <v>46194</v>
      </c>
      <c r="D686" t="inlineStr">
        <is>
          <t>STOCKHOLMS LÄN</t>
        </is>
      </c>
      <c r="E686" t="inlineStr">
        <is>
          <t>NORRTÄLJE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52553-2025</t>
        </is>
      </c>
      <c r="B687" s="1" t="n">
        <v>45954</v>
      </c>
      <c r="C687" s="1" t="n">
        <v>46194</v>
      </c>
      <c r="D687" t="inlineStr">
        <is>
          <t>STOCKHOLMS LÄN</t>
        </is>
      </c>
      <c r="E687" t="inlineStr">
        <is>
          <t>NORRTÄLJE</t>
        </is>
      </c>
      <c r="G687" t="n">
        <v>4.4</v>
      </c>
      <c r="H687" t="n">
        <v>0</v>
      </c>
      <c r="I687" t="n">
        <v>0</v>
      </c>
      <c r="J687" t="n">
        <v>0</v>
      </c>
      <c r="K687" t="n">
        <v>0</v>
      </c>
      <c r="L687" t="n">
        <v>0</v>
      </c>
      <c r="M687" t="n">
        <v>0</v>
      </c>
      <c r="N687" t="n">
        <v>0</v>
      </c>
      <c r="O687" t="n">
        <v>0</v>
      </c>
      <c r="P687" t="n">
        <v>0</v>
      </c>
      <c r="Q687" t="n">
        <v>0</v>
      </c>
      <c r="R687" s="2" t="inlineStr"/>
    </row>
    <row r="688" ht="15" customHeight="1">
      <c r="A688" t="inlineStr">
        <is>
          <t>A 53792-2023</t>
        </is>
      </c>
      <c r="B688" s="1" t="n">
        <v>45231</v>
      </c>
      <c r="C688" s="1" t="n">
        <v>46194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11280-2023</t>
        </is>
      </c>
      <c r="B689" s="1" t="n">
        <v>44992</v>
      </c>
      <c r="C689" s="1" t="n">
        <v>46194</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52704-2025</t>
        </is>
      </c>
      <c r="B690" s="1" t="n">
        <v>45956</v>
      </c>
      <c r="C690" s="1" t="n">
        <v>46194</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19952-2023</t>
        </is>
      </c>
      <c r="B691" s="1" t="n">
        <v>45054</v>
      </c>
      <c r="C691" s="1" t="n">
        <v>46194</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19994-2023</t>
        </is>
      </c>
      <c r="B692" s="1" t="n">
        <v>45054</v>
      </c>
      <c r="C692" s="1" t="n">
        <v>46194</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52734-2025</t>
        </is>
      </c>
      <c r="B693" s="1" t="n">
        <v>45957</v>
      </c>
      <c r="C693" s="1" t="n">
        <v>46194</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23061-2025</t>
        </is>
      </c>
      <c r="B694" s="1" t="n">
        <v>45790</v>
      </c>
      <c r="C694" s="1" t="n">
        <v>46194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29003-2023</t>
        </is>
      </c>
      <c r="B695" s="1" t="n">
        <v>45104</v>
      </c>
      <c r="C695" s="1" t="n">
        <v>46194</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26747-2025</t>
        </is>
      </c>
      <c r="B696" s="1" t="n">
        <v>45810</v>
      </c>
      <c r="C696" s="1" t="n">
        <v>46194</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v>
      </c>
      <c r="C697" s="1" t="n">
        <v>46194</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52703-2025</t>
        </is>
      </c>
      <c r="B698" s="1" t="n">
        <v>45956</v>
      </c>
      <c r="C698" s="1" t="n">
        <v>46194</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15956-2023</t>
        </is>
      </c>
      <c r="B699" s="1" t="n">
        <v>45022</v>
      </c>
      <c r="C699" s="1" t="n">
        <v>46194</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26557-2026</t>
        </is>
      </c>
      <c r="B700" s="1" t="n">
        <v>46183</v>
      </c>
      <c r="C700" s="1" t="n">
        <v>46194</v>
      </c>
      <c r="D700" t="inlineStr">
        <is>
          <t>STOCKHOLMS LÄN</t>
        </is>
      </c>
      <c r="E700" t="inlineStr">
        <is>
          <t>NORRTÄLJE</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v>
      </c>
      <c r="C701" s="1" t="n">
        <v>46194</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53747-2025</t>
        </is>
      </c>
      <c r="B702" s="1" t="n">
        <v>45960</v>
      </c>
      <c r="C702" s="1" t="n">
        <v>46194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13053-2022</t>
        </is>
      </c>
      <c r="B703" s="1" t="n">
        <v>44643</v>
      </c>
      <c r="C703" s="1" t="n">
        <v>46194</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26702-2025</t>
        </is>
      </c>
      <c r="B704" s="1" t="n">
        <v>45810</v>
      </c>
      <c r="C704" s="1" t="n">
        <v>46194</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3383-2023</t>
        </is>
      </c>
      <c r="B705" s="1" t="n">
        <v>44949</v>
      </c>
      <c r="C705" s="1" t="n">
        <v>46194</v>
      </c>
      <c r="D705" t="inlineStr">
        <is>
          <t>STOCKHOLMS LÄN</t>
        </is>
      </c>
      <c r="E705" t="inlineStr">
        <is>
          <t>NORRTÄLJE</t>
        </is>
      </c>
      <c r="G705" t="n">
        <v>14.6</v>
      </c>
      <c r="H705" t="n">
        <v>0</v>
      </c>
      <c r="I705" t="n">
        <v>0</v>
      </c>
      <c r="J705" t="n">
        <v>0</v>
      </c>
      <c r="K705" t="n">
        <v>0</v>
      </c>
      <c r="L705" t="n">
        <v>0</v>
      </c>
      <c r="M705" t="n">
        <v>0</v>
      </c>
      <c r="N705" t="n">
        <v>0</v>
      </c>
      <c r="O705" t="n">
        <v>0</v>
      </c>
      <c r="P705" t="n">
        <v>0</v>
      </c>
      <c r="Q705" t="n">
        <v>0</v>
      </c>
      <c r="R705" s="2" t="inlineStr"/>
    </row>
    <row r="706" ht="15" customHeight="1">
      <c r="A706" t="inlineStr">
        <is>
          <t>A 26708-2025</t>
        </is>
      </c>
      <c r="B706" s="1" t="n">
        <v>45810</v>
      </c>
      <c r="C706" s="1" t="n">
        <v>46194</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4316-2023</t>
        </is>
      </c>
      <c r="B707" s="1" t="n">
        <v>44953</v>
      </c>
      <c r="C707" s="1" t="n">
        <v>46194</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27040-2025</t>
        </is>
      </c>
      <c r="B708" s="1" t="n">
        <v>45811</v>
      </c>
      <c r="C708" s="1" t="n">
        <v>46194</v>
      </c>
      <c r="D708" t="inlineStr">
        <is>
          <t>STOCKHOLMS LÄN</t>
        </is>
      </c>
      <c r="E708" t="inlineStr">
        <is>
          <t>NORRTÄLJE</t>
        </is>
      </c>
      <c r="G708" t="n">
        <v>4.3</v>
      </c>
      <c r="H708" t="n">
        <v>0</v>
      </c>
      <c r="I708" t="n">
        <v>0</v>
      </c>
      <c r="J708" t="n">
        <v>0</v>
      </c>
      <c r="K708" t="n">
        <v>0</v>
      </c>
      <c r="L708" t="n">
        <v>0</v>
      </c>
      <c r="M708" t="n">
        <v>0</v>
      </c>
      <c r="N708" t="n">
        <v>0</v>
      </c>
      <c r="O708" t="n">
        <v>0</v>
      </c>
      <c r="P708" t="n">
        <v>0</v>
      </c>
      <c r="Q708" t="n">
        <v>0</v>
      </c>
      <c r="R708" s="2" t="inlineStr"/>
    </row>
    <row r="709" ht="15" customHeight="1">
      <c r="A709" t="inlineStr">
        <is>
          <t>A 5839-2023</t>
        </is>
      </c>
      <c r="B709" s="1" t="n">
        <v>44963</v>
      </c>
      <c r="C709" s="1" t="n">
        <v>46194</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24705-2023</t>
        </is>
      </c>
      <c r="B710" s="1" t="n">
        <v>45084</v>
      </c>
      <c r="C710" s="1" t="n">
        <v>46194</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27700-2025</t>
        </is>
      </c>
      <c r="B711" s="1" t="n">
        <v>45813</v>
      </c>
      <c r="C711" s="1" t="n">
        <v>46194</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54358-2022</t>
        </is>
      </c>
      <c r="B712" s="1" t="n">
        <v>44882</v>
      </c>
      <c r="C712" s="1" t="n">
        <v>46194</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11901-2024</t>
        </is>
      </c>
      <c r="B713" s="1" t="n">
        <v>45376</v>
      </c>
      <c r="C713" s="1" t="n">
        <v>46194</v>
      </c>
      <c r="D713" t="inlineStr">
        <is>
          <t>STOCKHOLMS LÄN</t>
        </is>
      </c>
      <c r="E713" t="inlineStr">
        <is>
          <t>NORRTÄLJE</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23749-2024</t>
        </is>
      </c>
      <c r="B714" s="1" t="n">
        <v>45455</v>
      </c>
      <c r="C714" s="1" t="n">
        <v>46194</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35698-2023</t>
        </is>
      </c>
      <c r="B715" s="1" t="n">
        <v>45147</v>
      </c>
      <c r="C715" s="1" t="n">
        <v>46194</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27808-2025</t>
        </is>
      </c>
      <c r="B716" s="1" t="n">
        <v>45817</v>
      </c>
      <c r="C716" s="1" t="n">
        <v>46194</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27818-2025</t>
        </is>
      </c>
      <c r="B717" s="1" t="n">
        <v>45817</v>
      </c>
      <c r="C717" s="1" t="n">
        <v>46194</v>
      </c>
      <c r="D717" t="inlineStr">
        <is>
          <t>STOCKHOLMS LÄN</t>
        </is>
      </c>
      <c r="E717" t="inlineStr">
        <is>
          <t>NORRTÄLJE</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73992-2021</t>
        </is>
      </c>
      <c r="B718" s="1" t="n">
        <v>44556</v>
      </c>
      <c r="C718" s="1" t="n">
        <v>46194</v>
      </c>
      <c r="D718" t="inlineStr">
        <is>
          <t>STOCKHOLMS LÄN</t>
        </is>
      </c>
      <c r="E718" t="inlineStr">
        <is>
          <t>NORRTÄLJE</t>
        </is>
      </c>
      <c r="G718" t="n">
        <v>12.5</v>
      </c>
      <c r="H718" t="n">
        <v>0</v>
      </c>
      <c r="I718" t="n">
        <v>0</v>
      </c>
      <c r="J718" t="n">
        <v>0</v>
      </c>
      <c r="K718" t="n">
        <v>0</v>
      </c>
      <c r="L718" t="n">
        <v>0</v>
      </c>
      <c r="M718" t="n">
        <v>0</v>
      </c>
      <c r="N718" t="n">
        <v>0</v>
      </c>
      <c r="O718" t="n">
        <v>0</v>
      </c>
      <c r="P718" t="n">
        <v>0</v>
      </c>
      <c r="Q718" t="n">
        <v>0</v>
      </c>
      <c r="R718" s="2" t="inlineStr"/>
    </row>
    <row r="719" ht="15" customHeight="1">
      <c r="A719" t="inlineStr">
        <is>
          <t>A 15528-2025</t>
        </is>
      </c>
      <c r="B719" s="1" t="n">
        <v>45747</v>
      </c>
      <c r="C719" s="1" t="n">
        <v>46194</v>
      </c>
      <c r="D719" t="inlineStr">
        <is>
          <t>STOCKHOLMS LÄN</t>
        </is>
      </c>
      <c r="E719" t="inlineStr">
        <is>
          <t>NORRTÄLJE</t>
        </is>
      </c>
      <c r="G719" t="n">
        <v>10</v>
      </c>
      <c r="H719" t="n">
        <v>0</v>
      </c>
      <c r="I719" t="n">
        <v>0</v>
      </c>
      <c r="J719" t="n">
        <v>0</v>
      </c>
      <c r="K719" t="n">
        <v>0</v>
      </c>
      <c r="L719" t="n">
        <v>0</v>
      </c>
      <c r="M719" t="n">
        <v>0</v>
      </c>
      <c r="N719" t="n">
        <v>0</v>
      </c>
      <c r="O719" t="n">
        <v>0</v>
      </c>
      <c r="P719" t="n">
        <v>0</v>
      </c>
      <c r="Q719" t="n">
        <v>0</v>
      </c>
      <c r="R719" s="2" t="inlineStr"/>
    </row>
    <row r="720" ht="15" customHeight="1">
      <c r="A720" t="inlineStr">
        <is>
          <t>A 27821-2025</t>
        </is>
      </c>
      <c r="B720" s="1" t="n">
        <v>45817</v>
      </c>
      <c r="C720" s="1" t="n">
        <v>46194</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54276-2021</t>
        </is>
      </c>
      <c r="B721" s="1" t="n">
        <v>44470</v>
      </c>
      <c r="C721" s="1" t="n">
        <v>46194</v>
      </c>
      <c r="D721" t="inlineStr">
        <is>
          <t>STOCKHOLMS LÄN</t>
        </is>
      </c>
      <c r="E721" t="inlineStr">
        <is>
          <t>NORRTÄLJE</t>
        </is>
      </c>
      <c r="G721" t="n">
        <v>7.3</v>
      </c>
      <c r="H721" t="n">
        <v>0</v>
      </c>
      <c r="I721" t="n">
        <v>0</v>
      </c>
      <c r="J721" t="n">
        <v>0</v>
      </c>
      <c r="K721" t="n">
        <v>0</v>
      </c>
      <c r="L721" t="n">
        <v>0</v>
      </c>
      <c r="M721" t="n">
        <v>0</v>
      </c>
      <c r="N721" t="n">
        <v>0</v>
      </c>
      <c r="O721" t="n">
        <v>0</v>
      </c>
      <c r="P721" t="n">
        <v>0</v>
      </c>
      <c r="Q721" t="n">
        <v>0</v>
      </c>
      <c r="R721" s="2" t="inlineStr"/>
    </row>
    <row r="722" ht="15" customHeight="1">
      <c r="A722" t="inlineStr">
        <is>
          <t>A 54907-2025</t>
        </is>
      </c>
      <c r="B722" s="1" t="n">
        <v>45967</v>
      </c>
      <c r="C722" s="1" t="n">
        <v>46194</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10090-2022</t>
        </is>
      </c>
      <c r="B723" s="1" t="n">
        <v>44621</v>
      </c>
      <c r="C723" s="1" t="n">
        <v>46194</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51116-2022</t>
        </is>
      </c>
      <c r="B724" s="1" t="n">
        <v>44868</v>
      </c>
      <c r="C724" s="1" t="n">
        <v>46194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29250-2025</t>
        </is>
      </c>
      <c r="B725" s="1" t="n">
        <v>45824</v>
      </c>
      <c r="C725" s="1" t="n">
        <v>46194</v>
      </c>
      <c r="D725" t="inlineStr">
        <is>
          <t>STOCKHOLMS LÄN</t>
        </is>
      </c>
      <c r="E725" t="inlineStr">
        <is>
          <t>NORRTÄLJE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55599-2025</t>
        </is>
      </c>
      <c r="B726" s="1" t="n">
        <v>45971</v>
      </c>
      <c r="C726" s="1" t="n">
        <v>46194</v>
      </c>
      <c r="D726" t="inlineStr">
        <is>
          <t>STOCKHOLMS LÄN</t>
        </is>
      </c>
      <c r="E726" t="inlineStr">
        <is>
          <t>NORRTÄLJE</t>
        </is>
      </c>
      <c r="F726" t="inlineStr">
        <is>
          <t>Holmen skog AB</t>
        </is>
      </c>
      <c r="G726" t="n">
        <v>6.4</v>
      </c>
      <c r="H726" t="n">
        <v>0</v>
      </c>
      <c r="I726" t="n">
        <v>0</v>
      </c>
      <c r="J726" t="n">
        <v>0</v>
      </c>
      <c r="K726" t="n">
        <v>0</v>
      </c>
      <c r="L726" t="n">
        <v>0</v>
      </c>
      <c r="M726" t="n">
        <v>0</v>
      </c>
      <c r="N726" t="n">
        <v>0</v>
      </c>
      <c r="O726" t="n">
        <v>0</v>
      </c>
      <c r="P726" t="n">
        <v>0</v>
      </c>
      <c r="Q726" t="n">
        <v>0</v>
      </c>
      <c r="R726" s="2" t="inlineStr"/>
    </row>
    <row r="727" ht="15" customHeight="1">
      <c r="A727" t="inlineStr">
        <is>
          <t>A 28809-2023</t>
        </is>
      </c>
      <c r="B727" s="1" t="n">
        <v>45104</v>
      </c>
      <c r="C727" s="1" t="n">
        <v>46194</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28813-2023</t>
        </is>
      </c>
      <c r="B728" s="1" t="n">
        <v>45104</v>
      </c>
      <c r="C728" s="1" t="n">
        <v>46194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56207-2025</t>
        </is>
      </c>
      <c r="B729" s="1" t="n">
        <v>45974</v>
      </c>
      <c r="C729" s="1" t="n">
        <v>46194</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11929-2024</t>
        </is>
      </c>
      <c r="B730" s="1" t="n">
        <v>45376</v>
      </c>
      <c r="C730" s="1" t="n">
        <v>46194</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64145-2021</t>
        </is>
      </c>
      <c r="B731" s="1" t="n">
        <v>44510</v>
      </c>
      <c r="C731" s="1" t="n">
        <v>46194</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45451-2024</t>
        </is>
      </c>
      <c r="B732" s="1" t="n">
        <v>45576</v>
      </c>
      <c r="C732" s="1" t="n">
        <v>46194</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56114-2025</t>
        </is>
      </c>
      <c r="B733" s="1" t="n">
        <v>45973</v>
      </c>
      <c r="C733" s="1" t="n">
        <v>46194</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30668-2025</t>
        </is>
      </c>
      <c r="B734" s="1" t="n">
        <v>45831</v>
      </c>
      <c r="C734" s="1" t="n">
        <v>46194</v>
      </c>
      <c r="D734" t="inlineStr">
        <is>
          <t>STOCKHOLMS LÄN</t>
        </is>
      </c>
      <c r="E734" t="inlineStr">
        <is>
          <t>NORRTÄLJE</t>
        </is>
      </c>
      <c r="G734" t="n">
        <v>4.9</v>
      </c>
      <c r="H734" t="n">
        <v>0</v>
      </c>
      <c r="I734" t="n">
        <v>0</v>
      </c>
      <c r="J734" t="n">
        <v>0</v>
      </c>
      <c r="K734" t="n">
        <v>0</v>
      </c>
      <c r="L734" t="n">
        <v>0</v>
      </c>
      <c r="M734" t="n">
        <v>0</v>
      </c>
      <c r="N734" t="n">
        <v>0</v>
      </c>
      <c r="O734" t="n">
        <v>0</v>
      </c>
      <c r="P734" t="n">
        <v>0</v>
      </c>
      <c r="Q734" t="n">
        <v>0</v>
      </c>
      <c r="R734" s="2" t="inlineStr"/>
    </row>
    <row r="735" ht="15" customHeight="1">
      <c r="A735" t="inlineStr">
        <is>
          <t>A 30639-2025</t>
        </is>
      </c>
      <c r="B735" s="1" t="n">
        <v>45831</v>
      </c>
      <c r="C735" s="1" t="n">
        <v>46194</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12890-2024</t>
        </is>
      </c>
      <c r="B736" s="1" t="n">
        <v>45385</v>
      </c>
      <c r="C736" s="1" t="n">
        <v>46194</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27179-2026</t>
        </is>
      </c>
      <c r="B737" s="1" t="n">
        <v>46188</v>
      </c>
      <c r="C737" s="1" t="n">
        <v>46194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27181-2026</t>
        </is>
      </c>
      <c r="B738" s="1" t="n">
        <v>46188</v>
      </c>
      <c r="C738" s="1" t="n">
        <v>46194</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27187-2026</t>
        </is>
      </c>
      <c r="B739" s="1" t="n">
        <v>46188</v>
      </c>
      <c r="C739" s="1" t="n">
        <v>46194</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36430-2024</t>
        </is>
      </c>
      <c r="B740" s="1" t="n">
        <v>45536</v>
      </c>
      <c r="C740" s="1" t="n">
        <v>46194</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31874-2025</t>
        </is>
      </c>
      <c r="B741" s="1" t="n">
        <v>45834</v>
      </c>
      <c r="C741" s="1" t="n">
        <v>46194</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31868-2025</t>
        </is>
      </c>
      <c r="B742" s="1" t="n">
        <v>45834</v>
      </c>
      <c r="C742" s="1" t="n">
        <v>46194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41172-2023</t>
        </is>
      </c>
      <c r="B743" s="1" t="n">
        <v>45170</v>
      </c>
      <c r="C743" s="1" t="n">
        <v>46194</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67921-2021</t>
        </is>
      </c>
      <c r="B744" s="1" t="n">
        <v>44525</v>
      </c>
      <c r="C744" s="1" t="n">
        <v>46194</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72704-2021</t>
        </is>
      </c>
      <c r="B745" s="1" t="n">
        <v>44546</v>
      </c>
      <c r="C745" s="1" t="n">
        <v>46194</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31880-2025</t>
        </is>
      </c>
      <c r="B746" s="1" t="n">
        <v>45834</v>
      </c>
      <c r="C746" s="1" t="n">
        <v>46194</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65499-2021</t>
        </is>
      </c>
      <c r="B747" s="1" t="n">
        <v>44516</v>
      </c>
      <c r="C747" s="1" t="n">
        <v>46194</v>
      </c>
      <c r="D747" t="inlineStr">
        <is>
          <t>STOCKHOLMS LÄN</t>
        </is>
      </c>
      <c r="E747" t="inlineStr">
        <is>
          <t>NORRTÄLJE</t>
        </is>
      </c>
      <c r="F747" t="inlineStr">
        <is>
          <t>Kommuner</t>
        </is>
      </c>
      <c r="G747" t="n">
        <v>5.2</v>
      </c>
      <c r="H747" t="n">
        <v>0</v>
      </c>
      <c r="I747" t="n">
        <v>0</v>
      </c>
      <c r="J747" t="n">
        <v>0</v>
      </c>
      <c r="K747" t="n">
        <v>0</v>
      </c>
      <c r="L747" t="n">
        <v>0</v>
      </c>
      <c r="M747" t="n">
        <v>0</v>
      </c>
      <c r="N747" t="n">
        <v>0</v>
      </c>
      <c r="O747" t="n">
        <v>0</v>
      </c>
      <c r="P747" t="n">
        <v>0</v>
      </c>
      <c r="Q747" t="n">
        <v>0</v>
      </c>
      <c r="R747" s="2" t="inlineStr"/>
    </row>
    <row r="748" ht="15" customHeight="1">
      <c r="A748" t="inlineStr">
        <is>
          <t>A 65511-2021</t>
        </is>
      </c>
      <c r="B748" s="1" t="n">
        <v>44516</v>
      </c>
      <c r="C748" s="1" t="n">
        <v>46194</v>
      </c>
      <c r="D748" t="inlineStr">
        <is>
          <t>STOCKHOLMS LÄN</t>
        </is>
      </c>
      <c r="E748" t="inlineStr">
        <is>
          <t>NORRTÄLJE</t>
        </is>
      </c>
      <c r="F748" t="inlineStr">
        <is>
          <t>Kommuner</t>
        </is>
      </c>
      <c r="G748" t="n">
        <v>2.8</v>
      </c>
      <c r="H748" t="n">
        <v>0</v>
      </c>
      <c r="I748" t="n">
        <v>0</v>
      </c>
      <c r="J748" t="n">
        <v>0</v>
      </c>
      <c r="K748" t="n">
        <v>0</v>
      </c>
      <c r="L748" t="n">
        <v>0</v>
      </c>
      <c r="M748" t="n">
        <v>0</v>
      </c>
      <c r="N748" t="n">
        <v>0</v>
      </c>
      <c r="O748" t="n">
        <v>0</v>
      </c>
      <c r="P748" t="n">
        <v>0</v>
      </c>
      <c r="Q748" t="n">
        <v>0</v>
      </c>
      <c r="R748" s="2" t="inlineStr"/>
    </row>
    <row r="749" ht="15" customHeight="1">
      <c r="A749" t="inlineStr">
        <is>
          <t>A 32283-2025</t>
        </is>
      </c>
      <c r="B749" s="1" t="n">
        <v>45835</v>
      </c>
      <c r="C749" s="1" t="n">
        <v>46194</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26113-2024</t>
        </is>
      </c>
      <c r="B750" s="1" t="n">
        <v>45468</v>
      </c>
      <c r="C750" s="1" t="n">
        <v>46194</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26116-2024</t>
        </is>
      </c>
      <c r="B751" s="1" t="n">
        <v>45468</v>
      </c>
      <c r="C751" s="1" t="n">
        <v>46194</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52686-2024</t>
        </is>
      </c>
      <c r="B752" s="1" t="n">
        <v>45610</v>
      </c>
      <c r="C752" s="1" t="n">
        <v>46194</v>
      </c>
      <c r="D752" t="inlineStr">
        <is>
          <t>STOCKHOLMS LÄN</t>
        </is>
      </c>
      <c r="E752" t="inlineStr">
        <is>
          <t>NORRTÄLJE</t>
        </is>
      </c>
      <c r="G752" t="n">
        <v>5.7</v>
      </c>
      <c r="H752" t="n">
        <v>0</v>
      </c>
      <c r="I752" t="n">
        <v>0</v>
      </c>
      <c r="J752" t="n">
        <v>0</v>
      </c>
      <c r="K752" t="n">
        <v>0</v>
      </c>
      <c r="L752" t="n">
        <v>0</v>
      </c>
      <c r="M752" t="n">
        <v>0</v>
      </c>
      <c r="N752" t="n">
        <v>0</v>
      </c>
      <c r="O752" t="n">
        <v>0</v>
      </c>
      <c r="P752" t="n">
        <v>0</v>
      </c>
      <c r="Q752" t="n">
        <v>0</v>
      </c>
      <c r="R752" s="2" t="inlineStr"/>
    </row>
    <row r="753" ht="15" customHeight="1">
      <c r="A753" t="inlineStr">
        <is>
          <t>A 32480-2025</t>
        </is>
      </c>
      <c r="B753" s="1" t="n">
        <v>45838</v>
      </c>
      <c r="C753" s="1" t="n">
        <v>46194</v>
      </c>
      <c r="D753" t="inlineStr">
        <is>
          <t>STOCKHOLMS LÄN</t>
        </is>
      </c>
      <c r="E753" t="inlineStr">
        <is>
          <t>NORRTÄLJE</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31105-2022</t>
        </is>
      </c>
      <c r="B754" s="1" t="n">
        <v>44769</v>
      </c>
      <c r="C754" s="1" t="n">
        <v>46194</v>
      </c>
      <c r="D754" t="inlineStr">
        <is>
          <t>STOCKHOLMS LÄN</t>
        </is>
      </c>
      <c r="E754" t="inlineStr">
        <is>
          <t>NORRTÄLJE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33211-2025</t>
        </is>
      </c>
      <c r="B755" s="1" t="n">
        <v>45840</v>
      </c>
      <c r="C755" s="1" t="n">
        <v>46194</v>
      </c>
      <c r="D755" t="inlineStr">
        <is>
          <t>STOCKHOLMS LÄN</t>
        </is>
      </c>
      <c r="E755" t="inlineStr">
        <is>
          <t>NORRTÄLJE</t>
        </is>
      </c>
      <c r="G755" t="n">
        <v>5.1</v>
      </c>
      <c r="H755" t="n">
        <v>0</v>
      </c>
      <c r="I755" t="n">
        <v>0</v>
      </c>
      <c r="J755" t="n">
        <v>0</v>
      </c>
      <c r="K755" t="n">
        <v>0</v>
      </c>
      <c r="L755" t="n">
        <v>0</v>
      </c>
      <c r="M755" t="n">
        <v>0</v>
      </c>
      <c r="N755" t="n">
        <v>0</v>
      </c>
      <c r="O755" t="n">
        <v>0</v>
      </c>
      <c r="P755" t="n">
        <v>0</v>
      </c>
      <c r="Q755" t="n">
        <v>0</v>
      </c>
      <c r="R755" s="2" t="inlineStr"/>
    </row>
    <row r="756" ht="15" customHeight="1">
      <c r="A756" t="inlineStr">
        <is>
          <t>A 32872-2025</t>
        </is>
      </c>
      <c r="B756" s="1" t="n">
        <v>45839</v>
      </c>
      <c r="C756" s="1" t="n">
        <v>46194</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62644-2023</t>
        </is>
      </c>
      <c r="B757" s="1" t="n">
        <v>45271</v>
      </c>
      <c r="C757" s="1" t="n">
        <v>46194</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60185-2024</t>
        </is>
      </c>
      <c r="B758" s="1" t="n">
        <v>45642</v>
      </c>
      <c r="C758" s="1" t="n">
        <v>46194</v>
      </c>
      <c r="D758" t="inlineStr">
        <is>
          <t>STOCKHOLMS LÄN</t>
        </is>
      </c>
      <c r="E758" t="inlineStr">
        <is>
          <t>NORRTÄLJE</t>
        </is>
      </c>
      <c r="G758" t="n">
        <v>0.3</v>
      </c>
      <c r="H758" t="n">
        <v>0</v>
      </c>
      <c r="I758" t="n">
        <v>0</v>
      </c>
      <c r="J758" t="n">
        <v>0</v>
      </c>
      <c r="K758" t="n">
        <v>0</v>
      </c>
      <c r="L758" t="n">
        <v>0</v>
      </c>
      <c r="M758" t="n">
        <v>0</v>
      </c>
      <c r="N758" t="n">
        <v>0</v>
      </c>
      <c r="O758" t="n">
        <v>0</v>
      </c>
      <c r="P758" t="n">
        <v>0</v>
      </c>
      <c r="Q758" t="n">
        <v>0</v>
      </c>
      <c r="R758" s="2" t="inlineStr"/>
    </row>
    <row r="759" ht="15" customHeight="1">
      <c r="A759" t="inlineStr">
        <is>
          <t>A 33336-2025</t>
        </is>
      </c>
      <c r="B759" s="1" t="n">
        <v>45841</v>
      </c>
      <c r="C759" s="1" t="n">
        <v>46194</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57953-2025</t>
        </is>
      </c>
      <c r="B760" s="1" t="n">
        <v>45982</v>
      </c>
      <c r="C760" s="1" t="n">
        <v>46194</v>
      </c>
      <c r="D760" t="inlineStr">
        <is>
          <t>STOCKHOLMS LÄN</t>
        </is>
      </c>
      <c r="E760" t="inlineStr">
        <is>
          <t>NORRTÄLJE</t>
        </is>
      </c>
      <c r="F760" t="inlineStr">
        <is>
          <t>Sveaskog</t>
        </is>
      </c>
      <c r="G760" t="n">
        <v>3</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46194</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33824-2025</t>
        </is>
      </c>
      <c r="B762" s="1" t="n">
        <v>45842</v>
      </c>
      <c r="C762" s="1" t="n">
        <v>46194</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46073-2024</t>
        </is>
      </c>
      <c r="B763" s="1" t="n">
        <v>45581</v>
      </c>
      <c r="C763" s="1" t="n">
        <v>46194</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46194</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36689-2023</t>
        </is>
      </c>
      <c r="B765" s="1" t="n">
        <v>45152</v>
      </c>
      <c r="C765" s="1" t="n">
        <v>46194</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34139-2025</t>
        </is>
      </c>
      <c r="B766" s="1" t="n">
        <v>45845</v>
      </c>
      <c r="C766" s="1" t="n">
        <v>46194</v>
      </c>
      <c r="D766" t="inlineStr">
        <is>
          <t>STOCKHOLMS LÄN</t>
        </is>
      </c>
      <c r="E766" t="inlineStr">
        <is>
          <t>NORRTÄLJE</t>
        </is>
      </c>
      <c r="G766" t="n">
        <v>5.5</v>
      </c>
      <c r="H766" t="n">
        <v>0</v>
      </c>
      <c r="I766" t="n">
        <v>0</v>
      </c>
      <c r="J766" t="n">
        <v>0</v>
      </c>
      <c r="K766" t="n">
        <v>0</v>
      </c>
      <c r="L766" t="n">
        <v>0</v>
      </c>
      <c r="M766" t="n">
        <v>0</v>
      </c>
      <c r="N766" t="n">
        <v>0</v>
      </c>
      <c r="O766" t="n">
        <v>0</v>
      </c>
      <c r="P766" t="n">
        <v>0</v>
      </c>
      <c r="Q766" t="n">
        <v>0</v>
      </c>
      <c r="R766" s="2" t="inlineStr"/>
    </row>
    <row r="767" ht="15" customHeight="1">
      <c r="A767" t="inlineStr">
        <is>
          <t>A 58403-2025</t>
        </is>
      </c>
      <c r="B767" s="1" t="n">
        <v>45985</v>
      </c>
      <c r="C767" s="1" t="n">
        <v>46194</v>
      </c>
      <c r="D767" t="inlineStr">
        <is>
          <t>STOCKHOLMS LÄN</t>
        </is>
      </c>
      <c r="E767" t="inlineStr">
        <is>
          <t>NORRTÄLJE</t>
        </is>
      </c>
      <c r="F767" t="inlineStr">
        <is>
          <t>Naturvårdsverket</t>
        </is>
      </c>
      <c r="G767" t="n">
        <v>13.5</v>
      </c>
      <c r="H767" t="n">
        <v>0</v>
      </c>
      <c r="I767" t="n">
        <v>0</v>
      </c>
      <c r="J767" t="n">
        <v>0</v>
      </c>
      <c r="K767" t="n">
        <v>0</v>
      </c>
      <c r="L767" t="n">
        <v>0</v>
      </c>
      <c r="M767" t="n">
        <v>0</v>
      </c>
      <c r="N767" t="n">
        <v>0</v>
      </c>
      <c r="O767" t="n">
        <v>0</v>
      </c>
      <c r="P767" t="n">
        <v>0</v>
      </c>
      <c r="Q767" t="n">
        <v>0</v>
      </c>
      <c r="R767" s="2" t="inlineStr"/>
    </row>
    <row r="768" ht="15" customHeight="1">
      <c r="A768" t="inlineStr">
        <is>
          <t>A 58277-2023</t>
        </is>
      </c>
      <c r="B768" s="1" t="n">
        <v>45245</v>
      </c>
      <c r="C768" s="1" t="n">
        <v>46194</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34010-2025</t>
        </is>
      </c>
      <c r="B769" s="1" t="n">
        <v>45844</v>
      </c>
      <c r="C769" s="1" t="n">
        <v>46194</v>
      </c>
      <c r="D769" t="inlineStr">
        <is>
          <t>STOCKHOLMS LÄN</t>
        </is>
      </c>
      <c r="E769" t="inlineStr">
        <is>
          <t>NORRTÄLJE</t>
        </is>
      </c>
      <c r="F769" t="inlineStr">
        <is>
          <t>Övriga Aktiebolag</t>
        </is>
      </c>
      <c r="G769" t="n">
        <v>1.1</v>
      </c>
      <c r="H769" t="n">
        <v>0</v>
      </c>
      <c r="I769" t="n">
        <v>0</v>
      </c>
      <c r="J769" t="n">
        <v>0</v>
      </c>
      <c r="K769" t="n">
        <v>0</v>
      </c>
      <c r="L769" t="n">
        <v>0</v>
      </c>
      <c r="M769" t="n">
        <v>0</v>
      </c>
      <c r="N769" t="n">
        <v>0</v>
      </c>
      <c r="O769" t="n">
        <v>0</v>
      </c>
      <c r="P769" t="n">
        <v>0</v>
      </c>
      <c r="Q769" t="n">
        <v>0</v>
      </c>
      <c r="R769" s="2" t="inlineStr"/>
    </row>
    <row r="770" ht="15" customHeight="1">
      <c r="A770" t="inlineStr">
        <is>
          <t>A 4322-2023</t>
        </is>
      </c>
      <c r="B770" s="1" t="n">
        <v>44953</v>
      </c>
      <c r="C770" s="1" t="n">
        <v>46194</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35916-2024</t>
        </is>
      </c>
      <c r="B771" s="1" t="n">
        <v>45533</v>
      </c>
      <c r="C771" s="1" t="n">
        <v>46194</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38889-2024</t>
        </is>
      </c>
      <c r="B772" s="1" t="n">
        <v>45547</v>
      </c>
      <c r="C772" s="1" t="n">
        <v>46194</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59672-2025</t>
        </is>
      </c>
      <c r="B773" s="1" t="n">
        <v>45992</v>
      </c>
      <c r="C773" s="1" t="n">
        <v>46194</v>
      </c>
      <c r="D773" t="inlineStr">
        <is>
          <t>STOCKHOLMS LÄN</t>
        </is>
      </c>
      <c r="E773" t="inlineStr">
        <is>
          <t>NORRTÄLJE</t>
        </is>
      </c>
      <c r="G773" t="n">
        <v>4</v>
      </c>
      <c r="H773" t="n">
        <v>0</v>
      </c>
      <c r="I773" t="n">
        <v>0</v>
      </c>
      <c r="J773" t="n">
        <v>0</v>
      </c>
      <c r="K773" t="n">
        <v>0</v>
      </c>
      <c r="L773" t="n">
        <v>0</v>
      </c>
      <c r="M773" t="n">
        <v>0</v>
      </c>
      <c r="N773" t="n">
        <v>0</v>
      </c>
      <c r="O773" t="n">
        <v>0</v>
      </c>
      <c r="P773" t="n">
        <v>0</v>
      </c>
      <c r="Q773" t="n">
        <v>0</v>
      </c>
      <c r="R773" s="2" t="inlineStr"/>
    </row>
    <row r="774" ht="15" customHeight="1">
      <c r="A774" t="inlineStr">
        <is>
          <t>A 35110-2025</t>
        </is>
      </c>
      <c r="B774" s="1" t="n">
        <v>45852</v>
      </c>
      <c r="C774" s="1" t="n">
        <v>46194</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60223-2025</t>
        </is>
      </c>
      <c r="B775" s="1" t="n">
        <v>45994</v>
      </c>
      <c r="C775" s="1" t="n">
        <v>46194</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35479-2025</t>
        </is>
      </c>
      <c r="B776" s="1" t="n">
        <v>45855</v>
      </c>
      <c r="C776" s="1" t="n">
        <v>46194</v>
      </c>
      <c r="D776" t="inlineStr">
        <is>
          <t>STOCKHOLMS LÄN</t>
        </is>
      </c>
      <c r="E776" t="inlineStr">
        <is>
          <t>NORRTÄLJE</t>
        </is>
      </c>
      <c r="F776" t="inlineStr">
        <is>
          <t>Holmen skog AB</t>
        </is>
      </c>
      <c r="G776" t="n">
        <v>1.8</v>
      </c>
      <c r="H776" t="n">
        <v>0</v>
      </c>
      <c r="I776" t="n">
        <v>0</v>
      </c>
      <c r="J776" t="n">
        <v>0</v>
      </c>
      <c r="K776" t="n">
        <v>0</v>
      </c>
      <c r="L776" t="n">
        <v>0</v>
      </c>
      <c r="M776" t="n">
        <v>0</v>
      </c>
      <c r="N776" t="n">
        <v>0</v>
      </c>
      <c r="O776" t="n">
        <v>0</v>
      </c>
      <c r="P776" t="n">
        <v>0</v>
      </c>
      <c r="Q776" t="n">
        <v>0</v>
      </c>
      <c r="R776" s="2" t="inlineStr"/>
    </row>
    <row r="777" ht="15" customHeight="1">
      <c r="A777" t="inlineStr">
        <is>
          <t>A 35478-2025</t>
        </is>
      </c>
      <c r="B777" s="1" t="n">
        <v>45855</v>
      </c>
      <c r="C777" s="1" t="n">
        <v>46194</v>
      </c>
      <c r="D777" t="inlineStr">
        <is>
          <t>STOCKHOLMS LÄN</t>
        </is>
      </c>
      <c r="E777" t="inlineStr">
        <is>
          <t>NORRTÄLJE</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3299-2022</t>
        </is>
      </c>
      <c r="B778" s="1" t="n">
        <v>44584</v>
      </c>
      <c r="C778" s="1" t="n">
        <v>46194</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59914-2025</t>
        </is>
      </c>
      <c r="B779" s="1" t="n">
        <v>45993</v>
      </c>
      <c r="C779" s="1" t="n">
        <v>46194</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10676-2025</t>
        </is>
      </c>
      <c r="B780" s="1" t="n">
        <v>45721</v>
      </c>
      <c r="C780" s="1" t="n">
        <v>46194</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60214-2025</t>
        </is>
      </c>
      <c r="B781" s="1" t="n">
        <v>45994</v>
      </c>
      <c r="C781" s="1" t="n">
        <v>46194</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60253-2025</t>
        </is>
      </c>
      <c r="B782" s="1" t="n">
        <v>45994</v>
      </c>
      <c r="C782" s="1" t="n">
        <v>46194</v>
      </c>
      <c r="D782" t="inlineStr">
        <is>
          <t>STOCKHOLMS LÄN</t>
        </is>
      </c>
      <c r="E782" t="inlineStr">
        <is>
          <t>NORRTÄLJE</t>
        </is>
      </c>
      <c r="F782" t="inlineStr">
        <is>
          <t>Holmen skog AB</t>
        </is>
      </c>
      <c r="G782" t="n">
        <v>3.6</v>
      </c>
      <c r="H782" t="n">
        <v>0</v>
      </c>
      <c r="I782" t="n">
        <v>0</v>
      </c>
      <c r="J782" t="n">
        <v>0</v>
      </c>
      <c r="K782" t="n">
        <v>0</v>
      </c>
      <c r="L782" t="n">
        <v>0</v>
      </c>
      <c r="M782" t="n">
        <v>0</v>
      </c>
      <c r="N782" t="n">
        <v>0</v>
      </c>
      <c r="O782" t="n">
        <v>0</v>
      </c>
      <c r="P782" t="n">
        <v>0</v>
      </c>
      <c r="Q782" t="n">
        <v>0</v>
      </c>
      <c r="R782" s="2" t="inlineStr"/>
    </row>
    <row r="783" ht="15" customHeight="1">
      <c r="A783" t="inlineStr">
        <is>
          <t>A 59907-2025</t>
        </is>
      </c>
      <c r="B783" s="1" t="n">
        <v>45993</v>
      </c>
      <c r="C783" s="1" t="n">
        <v>46194</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59924-2025</t>
        </is>
      </c>
      <c r="B784" s="1" t="n">
        <v>45993</v>
      </c>
      <c r="C784" s="1" t="n">
        <v>46194</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20698-2025</t>
        </is>
      </c>
      <c r="B785" s="1" t="n">
        <v>45776</v>
      </c>
      <c r="C785" s="1" t="n">
        <v>46194</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60649-2025</t>
        </is>
      </c>
      <c r="B786" s="1" t="n">
        <v>45996</v>
      </c>
      <c r="C786" s="1" t="n">
        <v>46194</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34773-2022</t>
        </is>
      </c>
      <c r="B787" s="1" t="n">
        <v>44795</v>
      </c>
      <c r="C787" s="1" t="n">
        <v>46194</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23263-2023</t>
        </is>
      </c>
      <c r="B788" s="1" t="n">
        <v>45075</v>
      </c>
      <c r="C788" s="1" t="n">
        <v>46194</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23264-2023</t>
        </is>
      </c>
      <c r="B789" s="1" t="n">
        <v>45075</v>
      </c>
      <c r="C789" s="1" t="n">
        <v>46194</v>
      </c>
      <c r="D789" t="inlineStr">
        <is>
          <t>STOCKHOLMS LÄN</t>
        </is>
      </c>
      <c r="E789" t="inlineStr">
        <is>
          <t>NORRTÄLJE</t>
        </is>
      </c>
      <c r="G789" t="n">
        <v>2.9</v>
      </c>
      <c r="H789" t="n">
        <v>0</v>
      </c>
      <c r="I789" t="n">
        <v>0</v>
      </c>
      <c r="J789" t="n">
        <v>0</v>
      </c>
      <c r="K789" t="n">
        <v>0</v>
      </c>
      <c r="L789" t="n">
        <v>0</v>
      </c>
      <c r="M789" t="n">
        <v>0</v>
      </c>
      <c r="N789" t="n">
        <v>0</v>
      </c>
      <c r="O789" t="n">
        <v>0</v>
      </c>
      <c r="P789" t="n">
        <v>0</v>
      </c>
      <c r="Q789" t="n">
        <v>0</v>
      </c>
      <c r="R789" s="2" t="inlineStr"/>
    </row>
    <row r="790" ht="15" customHeight="1">
      <c r="A790" t="inlineStr">
        <is>
          <t>A 23267-2023</t>
        </is>
      </c>
      <c r="B790" s="1" t="n">
        <v>45075</v>
      </c>
      <c r="C790" s="1" t="n">
        <v>46194</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25654-2023</t>
        </is>
      </c>
      <c r="B791" s="1" t="n">
        <v>45089</v>
      </c>
      <c r="C791" s="1" t="n">
        <v>46194</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22232-2024</t>
        </is>
      </c>
      <c r="B792" s="1" t="n">
        <v>45446</v>
      </c>
      <c r="C792" s="1" t="n">
        <v>46194</v>
      </c>
      <c r="D792" t="inlineStr">
        <is>
          <t>STOCKHOLMS LÄN</t>
        </is>
      </c>
      <c r="E792" t="inlineStr">
        <is>
          <t>NORRTÄLJE</t>
        </is>
      </c>
      <c r="G792" t="n">
        <v>12.8</v>
      </c>
      <c r="H792" t="n">
        <v>0</v>
      </c>
      <c r="I792" t="n">
        <v>0</v>
      </c>
      <c r="J792" t="n">
        <v>0</v>
      </c>
      <c r="K792" t="n">
        <v>0</v>
      </c>
      <c r="L792" t="n">
        <v>0</v>
      </c>
      <c r="M792" t="n">
        <v>0</v>
      </c>
      <c r="N792" t="n">
        <v>0</v>
      </c>
      <c r="O792" t="n">
        <v>0</v>
      </c>
      <c r="P792" t="n">
        <v>0</v>
      </c>
      <c r="Q792" t="n">
        <v>0</v>
      </c>
      <c r="R792" s="2" t="inlineStr"/>
    </row>
    <row r="793" ht="15" customHeight="1">
      <c r="A793" t="inlineStr">
        <is>
          <t>A 34444-2024</t>
        </is>
      </c>
      <c r="B793" s="1" t="n">
        <v>45525</v>
      </c>
      <c r="C793" s="1" t="n">
        <v>46194</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47758-2023</t>
        </is>
      </c>
      <c r="B794" s="1" t="n">
        <v>45203</v>
      </c>
      <c r="C794" s="1" t="n">
        <v>46194</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60948-2025</t>
        </is>
      </c>
      <c r="B795" s="1" t="n">
        <v>45999</v>
      </c>
      <c r="C795" s="1" t="n">
        <v>46194</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61160-2025</t>
        </is>
      </c>
      <c r="B796" s="1" t="n">
        <v>46000</v>
      </c>
      <c r="C796" s="1" t="n">
        <v>46194</v>
      </c>
      <c r="D796" t="inlineStr">
        <is>
          <t>STOCKHOLMS LÄN</t>
        </is>
      </c>
      <c r="E796" t="inlineStr">
        <is>
          <t>NORRTÄLJE</t>
        </is>
      </c>
      <c r="G796" t="n">
        <v>5.3</v>
      </c>
      <c r="H796" t="n">
        <v>0</v>
      </c>
      <c r="I796" t="n">
        <v>0</v>
      </c>
      <c r="J796" t="n">
        <v>0</v>
      </c>
      <c r="K796" t="n">
        <v>0</v>
      </c>
      <c r="L796" t="n">
        <v>0</v>
      </c>
      <c r="M796" t="n">
        <v>0</v>
      </c>
      <c r="N796" t="n">
        <v>0</v>
      </c>
      <c r="O796" t="n">
        <v>0</v>
      </c>
      <c r="P796" t="n">
        <v>0</v>
      </c>
      <c r="Q796" t="n">
        <v>0</v>
      </c>
      <c r="R796" s="2" t="inlineStr"/>
    </row>
    <row r="797" ht="15" customHeight="1">
      <c r="A797" t="inlineStr">
        <is>
          <t>A 5831-2022</t>
        </is>
      </c>
      <c r="B797" s="1" t="n">
        <v>44596</v>
      </c>
      <c r="C797" s="1" t="n">
        <v>46194</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58853-2024</t>
        </is>
      </c>
      <c r="B798" s="1" t="n">
        <v>45636</v>
      </c>
      <c r="C798" s="1" t="n">
        <v>46194</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61769-2025</t>
        </is>
      </c>
      <c r="B799" s="1" t="n">
        <v>46002</v>
      </c>
      <c r="C799" s="1" t="n">
        <v>46194</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61764-2025</t>
        </is>
      </c>
      <c r="B800" s="1" t="n">
        <v>46002</v>
      </c>
      <c r="C800" s="1" t="n">
        <v>46194</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61289-2025</t>
        </is>
      </c>
      <c r="B801" s="1" t="n">
        <v>46000</v>
      </c>
      <c r="C801" s="1" t="n">
        <v>46194</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61430-2025</t>
        </is>
      </c>
      <c r="B802" s="1" t="n">
        <v>46001</v>
      </c>
      <c r="C802" s="1" t="n">
        <v>46194</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27422-2026</t>
        </is>
      </c>
      <c r="B803" s="1" t="n">
        <v>46189</v>
      </c>
      <c r="C803" s="1" t="n">
        <v>46194</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59712-2024</t>
        </is>
      </c>
      <c r="B804" s="1" t="n">
        <v>45639</v>
      </c>
      <c r="C804" s="1" t="n">
        <v>46194</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60884-2024</t>
        </is>
      </c>
      <c r="B805" s="1" t="n">
        <v>45644</v>
      </c>
      <c r="C805" s="1" t="n">
        <v>46194</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23150-2024</t>
        </is>
      </c>
      <c r="B806" s="1" t="n">
        <v>45450</v>
      </c>
      <c r="C806" s="1" t="n">
        <v>46194</v>
      </c>
      <c r="D806" t="inlineStr">
        <is>
          <t>STOCKHOLMS LÄN</t>
        </is>
      </c>
      <c r="E806" t="inlineStr">
        <is>
          <t>NORRTÄLJE</t>
        </is>
      </c>
      <c r="F806" t="inlineStr">
        <is>
          <t>Kommuner</t>
        </is>
      </c>
      <c r="G806" t="n">
        <v>2.7</v>
      </c>
      <c r="H806" t="n">
        <v>0</v>
      </c>
      <c r="I806" t="n">
        <v>0</v>
      </c>
      <c r="J806" t="n">
        <v>0</v>
      </c>
      <c r="K806" t="n">
        <v>0</v>
      </c>
      <c r="L806" t="n">
        <v>0</v>
      </c>
      <c r="M806" t="n">
        <v>0</v>
      </c>
      <c r="N806" t="n">
        <v>0</v>
      </c>
      <c r="O806" t="n">
        <v>0</v>
      </c>
      <c r="P806" t="n">
        <v>0</v>
      </c>
      <c r="Q806" t="n">
        <v>0</v>
      </c>
      <c r="R806" s="2" t="inlineStr"/>
    </row>
    <row r="807" ht="15" customHeight="1">
      <c r="A807" t="inlineStr">
        <is>
          <t>A 2549-2022</t>
        </is>
      </c>
      <c r="B807" s="1" t="n">
        <v>44580</v>
      </c>
      <c r="C807" s="1" t="n">
        <v>46194</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62708-2025</t>
        </is>
      </c>
      <c r="B808" s="1" t="n">
        <v>46008</v>
      </c>
      <c r="C808" s="1" t="n">
        <v>46194</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31149-2023</t>
        </is>
      </c>
      <c r="B809" s="1" t="n">
        <v>45113</v>
      </c>
      <c r="C809" s="1" t="n">
        <v>46194</v>
      </c>
      <c r="D809" t="inlineStr">
        <is>
          <t>STOCKHOLMS LÄN</t>
        </is>
      </c>
      <c r="E809" t="inlineStr">
        <is>
          <t>NORRTÄLJE</t>
        </is>
      </c>
      <c r="G809" t="n">
        <v>7.1</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46194</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62689-2025</t>
        </is>
      </c>
      <c r="B811" s="1" t="n">
        <v>46008</v>
      </c>
      <c r="C811" s="1" t="n">
        <v>46194</v>
      </c>
      <c r="D811" t="inlineStr">
        <is>
          <t>STOCKHOLMS LÄN</t>
        </is>
      </c>
      <c r="E811" t="inlineStr">
        <is>
          <t>NORRTÄLJE</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13701-2022</t>
        </is>
      </c>
      <c r="B812" s="1" t="n">
        <v>44648</v>
      </c>
      <c r="C812" s="1" t="n">
        <v>46194</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46194</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62681-2025</t>
        </is>
      </c>
      <c r="B814" s="1" t="n">
        <v>46008</v>
      </c>
      <c r="C814" s="1" t="n">
        <v>46194</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34478-2025</t>
        </is>
      </c>
      <c r="B815" s="1" t="n">
        <v>45847</v>
      </c>
      <c r="C815" s="1" t="n">
        <v>46194</v>
      </c>
      <c r="D815" t="inlineStr">
        <is>
          <t>STOCKHOLMS LÄN</t>
        </is>
      </c>
      <c r="E815" t="inlineStr">
        <is>
          <t>NORRTÄLJE</t>
        </is>
      </c>
      <c r="F815" t="inlineStr">
        <is>
          <t>Övriga Aktiebolag</t>
        </is>
      </c>
      <c r="G815" t="n">
        <v>10.8</v>
      </c>
      <c r="H815" t="n">
        <v>0</v>
      </c>
      <c r="I815" t="n">
        <v>0</v>
      </c>
      <c r="J815" t="n">
        <v>0</v>
      </c>
      <c r="K815" t="n">
        <v>0</v>
      </c>
      <c r="L815" t="n">
        <v>0</v>
      </c>
      <c r="M815" t="n">
        <v>0</v>
      </c>
      <c r="N815" t="n">
        <v>0</v>
      </c>
      <c r="O815" t="n">
        <v>0</v>
      </c>
      <c r="P815" t="n">
        <v>0</v>
      </c>
      <c r="Q815" t="n">
        <v>0</v>
      </c>
      <c r="R815" s="2" t="inlineStr"/>
    </row>
    <row r="816" ht="15" customHeight="1">
      <c r="A816" t="inlineStr">
        <is>
          <t>A 20692-2025</t>
        </is>
      </c>
      <c r="B816" s="1" t="n">
        <v>45776</v>
      </c>
      <c r="C816" s="1" t="n">
        <v>46194</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46071-2024</t>
        </is>
      </c>
      <c r="B817" s="1" t="n">
        <v>45581</v>
      </c>
      <c r="C817" s="1" t="n">
        <v>46194</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62922-2025</t>
        </is>
      </c>
      <c r="B818" s="1" t="n">
        <v>46009</v>
      </c>
      <c r="C818" s="1" t="n">
        <v>46194</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37632-2025</t>
        </is>
      </c>
      <c r="B819" s="1" t="n">
        <v>45880</v>
      </c>
      <c r="C819" s="1" t="n">
        <v>46194</v>
      </c>
      <c r="D819" t="inlineStr">
        <is>
          <t>STOCKHOLMS LÄN</t>
        </is>
      </c>
      <c r="E819" t="inlineStr">
        <is>
          <t>NORRTÄLJE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38759-2022</t>
        </is>
      </c>
      <c r="B820" s="1" t="n">
        <v>44816</v>
      </c>
      <c r="C820" s="1" t="n">
        <v>46194</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23998-2024</t>
        </is>
      </c>
      <c r="B821" s="1" t="n">
        <v>45456</v>
      </c>
      <c r="C821" s="1" t="n">
        <v>46194</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v>
      </c>
      <c r="C822" s="1" t="n">
        <v>46194</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32595-2023</t>
        </is>
      </c>
      <c r="B823" s="1" t="n">
        <v>45121</v>
      </c>
      <c r="C823" s="1" t="n">
        <v>46194</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13137-2024</t>
        </is>
      </c>
      <c r="B824" s="1" t="n">
        <v>45386</v>
      </c>
      <c r="C824" s="1" t="n">
        <v>46194</v>
      </c>
      <c r="D824" t="inlineStr">
        <is>
          <t>STOCKHOLMS LÄN</t>
        </is>
      </c>
      <c r="E824" t="inlineStr">
        <is>
          <t>NORRTÄLJE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38153-2025</t>
        </is>
      </c>
      <c r="B825" s="1" t="n">
        <v>45882</v>
      </c>
      <c r="C825" s="1" t="n">
        <v>46194</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21753-2026</t>
        </is>
      </c>
      <c r="B826" s="1" t="n">
        <v>46149</v>
      </c>
      <c r="C826" s="1" t="n">
        <v>46194</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54259-2023</t>
        </is>
      </c>
      <c r="B827" s="1" t="n">
        <v>45232</v>
      </c>
      <c r="C827" s="1" t="n">
        <v>46194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21818-2026</t>
        </is>
      </c>
      <c r="B828" s="1" t="n">
        <v>46150</v>
      </c>
      <c r="C828" s="1" t="n">
        <v>46194</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21780-2026</t>
        </is>
      </c>
      <c r="B829" s="1" t="n">
        <v>46150</v>
      </c>
      <c r="C829" s="1" t="n">
        <v>46194</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11900-2024</t>
        </is>
      </c>
      <c r="B830" s="1" t="n">
        <v>45376</v>
      </c>
      <c r="C830" s="1" t="n">
        <v>46194</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43300-2023</t>
        </is>
      </c>
      <c r="B831" s="1" t="n">
        <v>45183</v>
      </c>
      <c r="C831" s="1" t="n">
        <v>46194</v>
      </c>
      <c r="D831" t="inlineStr">
        <is>
          <t>STOCKHOLMS LÄN</t>
        </is>
      </c>
      <c r="E831" t="inlineStr">
        <is>
          <t>NORRTÄLJE</t>
        </is>
      </c>
      <c r="G831" t="n">
        <v>2.3</v>
      </c>
      <c r="H831" t="n">
        <v>0</v>
      </c>
      <c r="I831" t="n">
        <v>0</v>
      </c>
      <c r="J831" t="n">
        <v>0</v>
      </c>
      <c r="K831" t="n">
        <v>0</v>
      </c>
      <c r="L831" t="n">
        <v>0</v>
      </c>
      <c r="M831" t="n">
        <v>0</v>
      </c>
      <c r="N831" t="n">
        <v>0</v>
      </c>
      <c r="O831" t="n">
        <v>0</v>
      </c>
      <c r="P831" t="n">
        <v>0</v>
      </c>
      <c r="Q831" t="n">
        <v>0</v>
      </c>
      <c r="R831" s="2" t="inlineStr"/>
    </row>
    <row r="832" ht="15" customHeight="1">
      <c r="A832" t="inlineStr">
        <is>
          <t>A 13276-2022</t>
        </is>
      </c>
      <c r="B832" s="1" t="n">
        <v>44644</v>
      </c>
      <c r="C832" s="1" t="n">
        <v>46194</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11900-2022</t>
        </is>
      </c>
      <c r="B833" s="1" t="n">
        <v>44635</v>
      </c>
      <c r="C833" s="1" t="n">
        <v>46194</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16202-2022</t>
        </is>
      </c>
      <c r="B834" s="1" t="n">
        <v>44670</v>
      </c>
      <c r="C834" s="1" t="n">
        <v>46194</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21815-2026</t>
        </is>
      </c>
      <c r="B835" s="1" t="n">
        <v>46150</v>
      </c>
      <c r="C835" s="1" t="n">
        <v>46194</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6003-2025</t>
        </is>
      </c>
      <c r="B836" s="1" t="n">
        <v>45695</v>
      </c>
      <c r="C836" s="1" t="n">
        <v>46194</v>
      </c>
      <c r="D836" t="inlineStr">
        <is>
          <t>STOCKHOLMS LÄN</t>
        </is>
      </c>
      <c r="E836" t="inlineStr">
        <is>
          <t>NORRTÄLJE</t>
        </is>
      </c>
      <c r="F836" t="inlineStr">
        <is>
          <t>Holmen skog AB</t>
        </is>
      </c>
      <c r="G836" t="n">
        <v>2.3</v>
      </c>
      <c r="H836" t="n">
        <v>0</v>
      </c>
      <c r="I836" t="n">
        <v>0</v>
      </c>
      <c r="J836" t="n">
        <v>0</v>
      </c>
      <c r="K836" t="n">
        <v>0</v>
      </c>
      <c r="L836" t="n">
        <v>0</v>
      </c>
      <c r="M836" t="n">
        <v>0</v>
      </c>
      <c r="N836" t="n">
        <v>0</v>
      </c>
      <c r="O836" t="n">
        <v>0</v>
      </c>
      <c r="P836" t="n">
        <v>0</v>
      </c>
      <c r="Q836" t="n">
        <v>0</v>
      </c>
      <c r="R836" s="2" t="inlineStr"/>
    </row>
    <row r="837" ht="15" customHeight="1">
      <c r="A837" t="inlineStr">
        <is>
          <t>A 48633-2023</t>
        </is>
      </c>
      <c r="B837" s="1" t="n">
        <v>45208</v>
      </c>
      <c r="C837" s="1" t="n">
        <v>46194</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718-2026</t>
        </is>
      </c>
      <c r="B838" s="1" t="n">
        <v>46029</v>
      </c>
      <c r="C838" s="1" t="n">
        <v>46194</v>
      </c>
      <c r="D838" t="inlineStr">
        <is>
          <t>STOCKHOLMS LÄN</t>
        </is>
      </c>
      <c r="E838" t="inlineStr">
        <is>
          <t>NORRTÄLJE</t>
        </is>
      </c>
      <c r="G838" t="n">
        <v>2.4</v>
      </c>
      <c r="H838" t="n">
        <v>0</v>
      </c>
      <c r="I838" t="n">
        <v>0</v>
      </c>
      <c r="J838" t="n">
        <v>0</v>
      </c>
      <c r="K838" t="n">
        <v>0</v>
      </c>
      <c r="L838" t="n">
        <v>0</v>
      </c>
      <c r="M838" t="n">
        <v>0</v>
      </c>
      <c r="N838" t="n">
        <v>0</v>
      </c>
      <c r="O838" t="n">
        <v>0</v>
      </c>
      <c r="P838" t="n">
        <v>0</v>
      </c>
      <c r="Q838" t="n">
        <v>0</v>
      </c>
      <c r="R838" s="2" t="inlineStr"/>
    </row>
    <row r="839" ht="15" customHeight="1">
      <c r="A839" t="inlineStr">
        <is>
          <t>A 694-2026</t>
        </is>
      </c>
      <c r="B839" s="1" t="n">
        <v>46029</v>
      </c>
      <c r="C839" s="1" t="n">
        <v>46194</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47419-2023</t>
        </is>
      </c>
      <c r="B840" s="1" t="n">
        <v>45202</v>
      </c>
      <c r="C840" s="1" t="n">
        <v>46194</v>
      </c>
      <c r="D840" t="inlineStr">
        <is>
          <t>STOCKHOLMS LÄN</t>
        </is>
      </c>
      <c r="E840" t="inlineStr">
        <is>
          <t>NORRTÄLJE</t>
        </is>
      </c>
      <c r="G840" t="n">
        <v>11.4</v>
      </c>
      <c r="H840" t="n">
        <v>0</v>
      </c>
      <c r="I840" t="n">
        <v>0</v>
      </c>
      <c r="J840" t="n">
        <v>0</v>
      </c>
      <c r="K840" t="n">
        <v>0</v>
      </c>
      <c r="L840" t="n">
        <v>0</v>
      </c>
      <c r="M840" t="n">
        <v>0</v>
      </c>
      <c r="N840" t="n">
        <v>0</v>
      </c>
      <c r="O840" t="n">
        <v>0</v>
      </c>
      <c r="P840" t="n">
        <v>0</v>
      </c>
      <c r="Q840" t="n">
        <v>0</v>
      </c>
      <c r="R840" s="2" t="inlineStr"/>
    </row>
    <row r="841" ht="15" customHeight="1">
      <c r="A841" t="inlineStr">
        <is>
          <t>A 693-2026</t>
        </is>
      </c>
      <c r="B841" s="1" t="n">
        <v>46029</v>
      </c>
      <c r="C841" s="1" t="n">
        <v>46194</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10653-2022</t>
        </is>
      </c>
      <c r="B842" s="1" t="n">
        <v>44624</v>
      </c>
      <c r="C842" s="1" t="n">
        <v>46194</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812-2026</t>
        </is>
      </c>
      <c r="B843" s="1" t="n">
        <v>46030</v>
      </c>
      <c r="C843" s="1" t="n">
        <v>46194</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717-2026</t>
        </is>
      </c>
      <c r="B844" s="1" t="n">
        <v>46029</v>
      </c>
      <c r="C844" s="1" t="n">
        <v>46194</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475-2026</t>
        </is>
      </c>
      <c r="B845" s="1" t="n">
        <v>46029</v>
      </c>
      <c r="C845" s="1" t="n">
        <v>46194</v>
      </c>
      <c r="D845" t="inlineStr">
        <is>
          <t>STOCKHOLMS LÄN</t>
        </is>
      </c>
      <c r="E845" t="inlineStr">
        <is>
          <t>NORRTÄLJE</t>
        </is>
      </c>
      <c r="G845" t="n">
        <v>4.6</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v>
      </c>
      <c r="C846" s="1" t="n">
        <v>46194</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18665-2022</t>
        </is>
      </c>
      <c r="B847" s="1" t="n">
        <v>44687</v>
      </c>
      <c r="C847" s="1" t="n">
        <v>46194</v>
      </c>
      <c r="D847" t="inlineStr">
        <is>
          <t>STOCKHOLMS LÄN</t>
        </is>
      </c>
      <c r="E847" t="inlineStr">
        <is>
          <t>NORRTÄLJE</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v>
      </c>
      <c r="C848" s="1" t="n">
        <v>46194</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27760-2026</t>
        </is>
      </c>
      <c r="B849" s="1" t="n">
        <v>46191</v>
      </c>
      <c r="C849" s="1" t="n">
        <v>46194</v>
      </c>
      <c r="D849" t="inlineStr">
        <is>
          <t>STOCKHOLMS LÄN</t>
        </is>
      </c>
      <c r="E849" t="inlineStr">
        <is>
          <t>NORRTÄLJE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27764-2026</t>
        </is>
      </c>
      <c r="B850" s="1" t="n">
        <v>46191</v>
      </c>
      <c r="C850" s="1" t="n">
        <v>46194</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27767-2026</t>
        </is>
      </c>
      <c r="B851" s="1" t="n">
        <v>46191</v>
      </c>
      <c r="C851" s="1" t="n">
        <v>46194</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19982-2022</t>
        </is>
      </c>
      <c r="B852" s="1" t="n">
        <v>44697</v>
      </c>
      <c r="C852" s="1" t="n">
        <v>46194</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1789-2026</t>
        </is>
      </c>
      <c r="B853" s="1" t="n">
        <v>46034</v>
      </c>
      <c r="C853" s="1" t="n">
        <v>46194</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35438-2023</t>
        </is>
      </c>
      <c r="B854" s="1" t="n">
        <v>45146</v>
      </c>
      <c r="C854" s="1" t="n">
        <v>46194</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33878-2024</t>
        </is>
      </c>
      <c r="B855" s="1" t="n">
        <v>45522</v>
      </c>
      <c r="C855" s="1" t="n">
        <v>46194</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1755-2026</t>
        </is>
      </c>
      <c r="B856" s="1" t="n">
        <v>46034</v>
      </c>
      <c r="C856" s="1" t="n">
        <v>46194</v>
      </c>
      <c r="D856" t="inlineStr">
        <is>
          <t>STOCKHOLMS LÄN</t>
        </is>
      </c>
      <c r="E856" t="inlineStr">
        <is>
          <t>NORRTÄLJE</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v>
      </c>
      <c r="C857" s="1" t="n">
        <v>46194</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2088-2026</t>
        </is>
      </c>
      <c r="B858" s="1" t="n">
        <v>46036</v>
      </c>
      <c r="C858" s="1" t="n">
        <v>46194</v>
      </c>
      <c r="D858" t="inlineStr">
        <is>
          <t>STOCKHOLMS LÄN</t>
        </is>
      </c>
      <c r="E858" t="inlineStr">
        <is>
          <t>NORRTÄLJE</t>
        </is>
      </c>
      <c r="G858" t="n">
        <v>7</v>
      </c>
      <c r="H858" t="n">
        <v>0</v>
      </c>
      <c r="I858" t="n">
        <v>0</v>
      </c>
      <c r="J858" t="n">
        <v>0</v>
      </c>
      <c r="K858" t="n">
        <v>0</v>
      </c>
      <c r="L858" t="n">
        <v>0</v>
      </c>
      <c r="M858" t="n">
        <v>0</v>
      </c>
      <c r="N858" t="n">
        <v>0</v>
      </c>
      <c r="O858" t="n">
        <v>0</v>
      </c>
      <c r="P858" t="n">
        <v>0</v>
      </c>
      <c r="Q858" t="n">
        <v>0</v>
      </c>
      <c r="R858" s="2" t="inlineStr"/>
    </row>
    <row r="859" ht="15" customHeight="1">
      <c r="A859" t="inlineStr">
        <is>
          <t>A 2116-2026</t>
        </is>
      </c>
      <c r="B859" s="1" t="n">
        <v>46036</v>
      </c>
      <c r="C859" s="1" t="n">
        <v>46194</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v>
      </c>
      <c r="C860" s="1" t="n">
        <v>46194</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v>
      </c>
      <c r="C861" s="1" t="n">
        <v>46194</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v>
      </c>
      <c r="C862" s="1" t="n">
        <v>46194</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21480-2022</t>
        </is>
      </c>
      <c r="B863" s="1" t="n">
        <v>44704</v>
      </c>
      <c r="C863" s="1" t="n">
        <v>46194</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48686-2023</t>
        </is>
      </c>
      <c r="B864" s="1" t="n">
        <v>45208</v>
      </c>
      <c r="C864" s="1" t="n">
        <v>46194</v>
      </c>
      <c r="D864" t="inlineStr">
        <is>
          <t>STOCKHOLMS LÄN</t>
        </is>
      </c>
      <c r="E864" t="inlineStr">
        <is>
          <t>NORRTÄLJE</t>
        </is>
      </c>
      <c r="G864" t="n">
        <v>6</v>
      </c>
      <c r="H864" t="n">
        <v>0</v>
      </c>
      <c r="I864" t="n">
        <v>0</v>
      </c>
      <c r="J864" t="n">
        <v>0</v>
      </c>
      <c r="K864" t="n">
        <v>0</v>
      </c>
      <c r="L864" t="n">
        <v>0</v>
      </c>
      <c r="M864" t="n">
        <v>0</v>
      </c>
      <c r="N864" t="n">
        <v>0</v>
      </c>
      <c r="O864" t="n">
        <v>0</v>
      </c>
      <c r="P864" t="n">
        <v>0</v>
      </c>
      <c r="Q864" t="n">
        <v>0</v>
      </c>
      <c r="R864" s="2" t="inlineStr"/>
    </row>
    <row r="865" ht="15" customHeight="1">
      <c r="A865" t="inlineStr">
        <is>
          <t>A 48691-2023</t>
        </is>
      </c>
      <c r="B865" s="1" t="n">
        <v>45208</v>
      </c>
      <c r="C865" s="1" t="n">
        <v>46194</v>
      </c>
      <c r="D865" t="inlineStr">
        <is>
          <t>STOCKHOLMS LÄN</t>
        </is>
      </c>
      <c r="E865" t="inlineStr">
        <is>
          <t>NORRTÄLJE</t>
        </is>
      </c>
      <c r="G865" t="n">
        <v>5.8</v>
      </c>
      <c r="H865" t="n">
        <v>0</v>
      </c>
      <c r="I865" t="n">
        <v>0</v>
      </c>
      <c r="J865" t="n">
        <v>0</v>
      </c>
      <c r="K865" t="n">
        <v>0</v>
      </c>
      <c r="L865" t="n">
        <v>0</v>
      </c>
      <c r="M865" t="n">
        <v>0</v>
      </c>
      <c r="N865" t="n">
        <v>0</v>
      </c>
      <c r="O865" t="n">
        <v>0</v>
      </c>
      <c r="P865" t="n">
        <v>0</v>
      </c>
      <c r="Q865" t="n">
        <v>0</v>
      </c>
      <c r="R865" s="2" t="inlineStr"/>
    </row>
    <row r="866" ht="15" customHeight="1">
      <c r="A866" t="inlineStr">
        <is>
          <t>A 55243-2023</t>
        </is>
      </c>
      <c r="B866" s="1" t="n">
        <v>45237</v>
      </c>
      <c r="C866" s="1" t="n">
        <v>46194</v>
      </c>
      <c r="D866" t="inlineStr">
        <is>
          <t>STOCKHOLMS LÄN</t>
        </is>
      </c>
      <c r="E866" t="inlineStr">
        <is>
          <t>NORRTÄLJE</t>
        </is>
      </c>
      <c r="G866" t="n">
        <v>6.5</v>
      </c>
      <c r="H866" t="n">
        <v>0</v>
      </c>
      <c r="I866" t="n">
        <v>0</v>
      </c>
      <c r="J866" t="n">
        <v>0</v>
      </c>
      <c r="K866" t="n">
        <v>0</v>
      </c>
      <c r="L866" t="n">
        <v>0</v>
      </c>
      <c r="M866" t="n">
        <v>0</v>
      </c>
      <c r="N866" t="n">
        <v>0</v>
      </c>
      <c r="O866" t="n">
        <v>0</v>
      </c>
      <c r="P866" t="n">
        <v>0</v>
      </c>
      <c r="Q866" t="n">
        <v>0</v>
      </c>
      <c r="R866" s="2" t="inlineStr"/>
    </row>
    <row r="867" ht="15" customHeight="1">
      <c r="A867" t="inlineStr">
        <is>
          <t>A 35210-2023</t>
        </is>
      </c>
      <c r="B867" s="1" t="n">
        <v>45145</v>
      </c>
      <c r="C867" s="1" t="n">
        <v>46194</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21786-2026</t>
        </is>
      </c>
      <c r="B868" s="1" t="n">
        <v>46150</v>
      </c>
      <c r="C868" s="1" t="n">
        <v>46194</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21820-2026</t>
        </is>
      </c>
      <c r="B869" s="1" t="n">
        <v>46150</v>
      </c>
      <c r="C869" s="1" t="n">
        <v>46194</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3549-2026</t>
        </is>
      </c>
      <c r="B870" s="1" t="n">
        <v>46042</v>
      </c>
      <c r="C870" s="1" t="n">
        <v>46194</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58297-2023</t>
        </is>
      </c>
      <c r="B871" s="1" t="n">
        <v>45245</v>
      </c>
      <c r="C871" s="1" t="n">
        <v>46194</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21726-2022</t>
        </is>
      </c>
      <c r="B872" s="1" t="n">
        <v>44708</v>
      </c>
      <c r="C872" s="1" t="n">
        <v>46194</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21739-2022</t>
        </is>
      </c>
      <c r="B873" s="1" t="n">
        <v>44708</v>
      </c>
      <c r="C873" s="1" t="n">
        <v>46194</v>
      </c>
      <c r="D873" t="inlineStr">
        <is>
          <t>STOCKHOLMS LÄN</t>
        </is>
      </c>
      <c r="E873" t="inlineStr">
        <is>
          <t>NORRTÄLJE</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46194</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18092-2022</t>
        </is>
      </c>
      <c r="B875" s="1" t="n">
        <v>44684</v>
      </c>
      <c r="C875" s="1" t="n">
        <v>46194</v>
      </c>
      <c r="D875" t="inlineStr">
        <is>
          <t>STOCKHOLMS LÄN</t>
        </is>
      </c>
      <c r="E875" t="inlineStr">
        <is>
          <t>NORRTÄLJE</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33295-2023</t>
        </is>
      </c>
      <c r="B876" s="1" t="n">
        <v>45127</v>
      </c>
      <c r="C876" s="1" t="n">
        <v>46194</v>
      </c>
      <c r="D876" t="inlineStr">
        <is>
          <t>STOCKHOLMS LÄN</t>
        </is>
      </c>
      <c r="E876" t="inlineStr">
        <is>
          <t>NORRTÄLJE</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3933-2026</t>
        </is>
      </c>
      <c r="B877" s="1" t="n">
        <v>46043</v>
      </c>
      <c r="C877" s="1" t="n">
        <v>46194</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58404-2023</t>
        </is>
      </c>
      <c r="B878" s="1" t="n">
        <v>45245</v>
      </c>
      <c r="C878" s="1" t="n">
        <v>46194</v>
      </c>
      <c r="D878" t="inlineStr">
        <is>
          <t>STOCKHOLMS LÄN</t>
        </is>
      </c>
      <c r="E878" t="inlineStr">
        <is>
          <t>NORRTÄLJE</t>
        </is>
      </c>
      <c r="G878" t="n">
        <v>53.5</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46194</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25525-2022</t>
        </is>
      </c>
      <c r="B880" s="1" t="n">
        <v>44732</v>
      </c>
      <c r="C880" s="1" t="n">
        <v>46194</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4549-2026</t>
        </is>
      </c>
      <c r="B881" s="1" t="n">
        <v>46047</v>
      </c>
      <c r="C881" s="1" t="n">
        <v>46194</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v>
      </c>
      <c r="C882" s="1" t="n">
        <v>46194</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4886-2026</t>
        </is>
      </c>
      <c r="B883" s="1" t="n">
        <v>46048</v>
      </c>
      <c r="C883" s="1" t="n">
        <v>46194</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v>
      </c>
      <c r="C884" s="1" t="n">
        <v>46194</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4232-2026</t>
        </is>
      </c>
      <c r="B885" s="1" t="n">
        <v>46044</v>
      </c>
      <c r="C885" s="1" t="n">
        <v>46194</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5241-2026</t>
        </is>
      </c>
      <c r="B886" s="1" t="n">
        <v>46049</v>
      </c>
      <c r="C886" s="1" t="n">
        <v>46194</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5224-2026</t>
        </is>
      </c>
      <c r="B887" s="1" t="n">
        <v>46049</v>
      </c>
      <c r="C887" s="1" t="n">
        <v>46194</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5227-2026</t>
        </is>
      </c>
      <c r="B888" s="1" t="n">
        <v>46049</v>
      </c>
      <c r="C888" s="1" t="n">
        <v>46194</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5226-2026</t>
        </is>
      </c>
      <c r="B889" s="1" t="n">
        <v>46049</v>
      </c>
      <c r="C889" s="1" t="n">
        <v>46194</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33353-2023</t>
        </is>
      </c>
      <c r="B890" s="1" t="n">
        <v>45128</v>
      </c>
      <c r="C890" s="1" t="n">
        <v>46194</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5934-2026</t>
        </is>
      </c>
      <c r="B891" s="1" t="n">
        <v>46052</v>
      </c>
      <c r="C891" s="1" t="n">
        <v>46194</v>
      </c>
      <c r="D891" t="inlineStr">
        <is>
          <t>STOCKHOLMS LÄN</t>
        </is>
      </c>
      <c r="E891" t="inlineStr">
        <is>
          <t>NORRTÄLJE</t>
        </is>
      </c>
      <c r="F891" t="inlineStr">
        <is>
          <t>Holmen skog AB</t>
        </is>
      </c>
      <c r="G891" t="n">
        <v>5.5</v>
      </c>
      <c r="H891" t="n">
        <v>0</v>
      </c>
      <c r="I891" t="n">
        <v>0</v>
      </c>
      <c r="J891" t="n">
        <v>0</v>
      </c>
      <c r="K891" t="n">
        <v>0</v>
      </c>
      <c r="L891" t="n">
        <v>0</v>
      </c>
      <c r="M891" t="n">
        <v>0</v>
      </c>
      <c r="N891" t="n">
        <v>0</v>
      </c>
      <c r="O891" t="n">
        <v>0</v>
      </c>
      <c r="P891" t="n">
        <v>0</v>
      </c>
      <c r="Q891" t="n">
        <v>0</v>
      </c>
      <c r="R891" s="2" t="inlineStr"/>
    </row>
    <row r="892" ht="15" customHeight="1">
      <c r="A892" t="inlineStr">
        <is>
          <t>A 39610-2025</t>
        </is>
      </c>
      <c r="B892" s="1" t="n">
        <v>45890</v>
      </c>
      <c r="C892" s="1" t="n">
        <v>46194</v>
      </c>
      <c r="D892" t="inlineStr">
        <is>
          <t>STOCKHOLMS LÄN</t>
        </is>
      </c>
      <c r="E892" t="inlineStr">
        <is>
          <t>NORRTÄLJE</t>
        </is>
      </c>
      <c r="G892" t="n">
        <v>28.6</v>
      </c>
      <c r="H892" t="n">
        <v>0</v>
      </c>
      <c r="I892" t="n">
        <v>0</v>
      </c>
      <c r="J892" t="n">
        <v>0</v>
      </c>
      <c r="K892" t="n">
        <v>0</v>
      </c>
      <c r="L892" t="n">
        <v>0</v>
      </c>
      <c r="M892" t="n">
        <v>0</v>
      </c>
      <c r="N892" t="n">
        <v>0</v>
      </c>
      <c r="O892" t="n">
        <v>0</v>
      </c>
      <c r="P892" t="n">
        <v>0</v>
      </c>
      <c r="Q892" t="n">
        <v>0</v>
      </c>
      <c r="R892" s="2" t="inlineStr"/>
    </row>
    <row r="893" ht="15" customHeight="1">
      <c r="A893" t="inlineStr">
        <is>
          <t>A 35708-2022</t>
        </is>
      </c>
      <c r="B893" s="1" t="n">
        <v>44799</v>
      </c>
      <c r="C893" s="1" t="n">
        <v>46194</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6724-2026</t>
        </is>
      </c>
      <c r="B894" s="1" t="n">
        <v>46056</v>
      </c>
      <c r="C894" s="1" t="n">
        <v>46194</v>
      </c>
      <c r="D894" t="inlineStr">
        <is>
          <t>STOCKHOLMS LÄN</t>
        </is>
      </c>
      <c r="E894" t="inlineStr">
        <is>
          <t>NORRTÄLJE</t>
        </is>
      </c>
      <c r="F894" t="inlineStr">
        <is>
          <t>Holmen skog AB</t>
        </is>
      </c>
      <c r="G894" t="n">
        <v>16.2</v>
      </c>
      <c r="H894" t="n">
        <v>0</v>
      </c>
      <c r="I894" t="n">
        <v>0</v>
      </c>
      <c r="J894" t="n">
        <v>0</v>
      </c>
      <c r="K894" t="n">
        <v>0</v>
      </c>
      <c r="L894" t="n">
        <v>0</v>
      </c>
      <c r="M894" t="n">
        <v>0</v>
      </c>
      <c r="N894" t="n">
        <v>0</v>
      </c>
      <c r="O894" t="n">
        <v>0</v>
      </c>
      <c r="P894" t="n">
        <v>0</v>
      </c>
      <c r="Q894" t="n">
        <v>0</v>
      </c>
      <c r="R894" s="2" t="inlineStr"/>
    </row>
    <row r="895" ht="15" customHeight="1">
      <c r="A895" t="inlineStr">
        <is>
          <t>A 9-2024</t>
        </is>
      </c>
      <c r="B895" s="1" t="n">
        <v>45293</v>
      </c>
      <c r="C895" s="1" t="n">
        <v>46194</v>
      </c>
      <c r="D895" t="inlineStr">
        <is>
          <t>STOCKHOLMS LÄN</t>
        </is>
      </c>
      <c r="E895" t="inlineStr">
        <is>
          <t>NORRTÄLJE</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11849-2025</t>
        </is>
      </c>
      <c r="B896" s="1" t="n">
        <v>45728</v>
      </c>
      <c r="C896" s="1" t="n">
        <v>46194</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7308-2026</t>
        </is>
      </c>
      <c r="B897" s="1" t="n">
        <v>46058</v>
      </c>
      <c r="C897" s="1" t="n">
        <v>46194</v>
      </c>
      <c r="D897" t="inlineStr">
        <is>
          <t>STOCKHOLMS LÄN</t>
        </is>
      </c>
      <c r="E897" t="inlineStr">
        <is>
          <t>NORRTÄLJE</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6838-2026</t>
        </is>
      </c>
      <c r="B898" s="1" t="n">
        <v>46057</v>
      </c>
      <c r="C898" s="1" t="n">
        <v>46194</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6874-2026</t>
        </is>
      </c>
      <c r="B899" s="1" t="n">
        <v>46057</v>
      </c>
      <c r="C899" s="1" t="n">
        <v>46194</v>
      </c>
      <c r="D899" t="inlineStr">
        <is>
          <t>STOCKHOLMS LÄN</t>
        </is>
      </c>
      <c r="E899" t="inlineStr">
        <is>
          <t>NORRTÄLJE</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6828-2026</t>
        </is>
      </c>
      <c r="B900" s="1" t="n">
        <v>46057</v>
      </c>
      <c r="C900" s="1" t="n">
        <v>46194</v>
      </c>
      <c r="D900" t="inlineStr">
        <is>
          <t>STOCKHOLMS LÄN</t>
        </is>
      </c>
      <c r="E900" t="inlineStr">
        <is>
          <t>NORRTÄLJE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7532-2026</t>
        </is>
      </c>
      <c r="B901" s="1" t="n">
        <v>46059</v>
      </c>
      <c r="C901" s="1" t="n">
        <v>46194</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59468-2023</t>
        </is>
      </c>
      <c r="B902" s="1" t="n">
        <v>45254</v>
      </c>
      <c r="C902" s="1" t="n">
        <v>46194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7582-2026</t>
        </is>
      </c>
      <c r="B903" s="1" t="n">
        <v>46061</v>
      </c>
      <c r="C903" s="1" t="n">
        <v>46194</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7793-2026</t>
        </is>
      </c>
      <c r="B904" s="1" t="n">
        <v>46062</v>
      </c>
      <c r="C904" s="1" t="n">
        <v>46194</v>
      </c>
      <c r="D904" t="inlineStr">
        <is>
          <t>STOCKHOLMS LÄN</t>
        </is>
      </c>
      <c r="E904" t="inlineStr">
        <is>
          <t>NORRTÄLJE</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8091-2026</t>
        </is>
      </c>
      <c r="B905" s="1" t="n">
        <v>46063</v>
      </c>
      <c r="C905" s="1" t="n">
        <v>46194</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8096-2026</t>
        </is>
      </c>
      <c r="B906" s="1" t="n">
        <v>46063</v>
      </c>
      <c r="C906" s="1" t="n">
        <v>46194</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8055-2026</t>
        </is>
      </c>
      <c r="B907" s="1" t="n">
        <v>46063</v>
      </c>
      <c r="C907" s="1" t="n">
        <v>46194</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574-2023</t>
        </is>
      </c>
      <c r="B908" s="1" t="n">
        <v>44925</v>
      </c>
      <c r="C908" s="1" t="n">
        <v>46194</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8454-2026</t>
        </is>
      </c>
      <c r="B909" s="1" t="n">
        <v>46065</v>
      </c>
      <c r="C909" s="1" t="n">
        <v>46194</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8465-2026</t>
        </is>
      </c>
      <c r="B910" s="1" t="n">
        <v>46065</v>
      </c>
      <c r="C910" s="1" t="n">
        <v>46194</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8489-2026</t>
        </is>
      </c>
      <c r="B911" s="1" t="n">
        <v>46065</v>
      </c>
      <c r="C911" s="1" t="n">
        <v>46194</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8985-2026</t>
        </is>
      </c>
      <c r="B912" s="1" t="n">
        <v>46069</v>
      </c>
      <c r="C912" s="1" t="n">
        <v>46194</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8989-2026</t>
        </is>
      </c>
      <c r="B913" s="1" t="n">
        <v>46069</v>
      </c>
      <c r="C913" s="1" t="n">
        <v>46194</v>
      </c>
      <c r="D913" t="inlineStr">
        <is>
          <t>STOCKHOLMS LÄN</t>
        </is>
      </c>
      <c r="E913" t="inlineStr">
        <is>
          <t>NORRTÄLJE</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37010-2022</t>
        </is>
      </c>
      <c r="B914" s="1" t="n">
        <v>44806</v>
      </c>
      <c r="C914" s="1" t="n">
        <v>46194</v>
      </c>
      <c r="D914" t="inlineStr">
        <is>
          <t>STOCKHOLMS LÄN</t>
        </is>
      </c>
      <c r="E914" t="inlineStr">
        <is>
          <t>NORRTÄLJE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32705-2022</t>
        </is>
      </c>
      <c r="B915" s="1" t="n">
        <v>44783</v>
      </c>
      <c r="C915" s="1" t="n">
        <v>46194</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8962-2026</t>
        </is>
      </c>
      <c r="B916" s="1" t="n">
        <v>46069</v>
      </c>
      <c r="C916" s="1" t="n">
        <v>46194</v>
      </c>
      <c r="D916" t="inlineStr">
        <is>
          <t>STOCKHOLMS LÄN</t>
        </is>
      </c>
      <c r="E916" t="inlineStr">
        <is>
          <t>NORRTÄLJE</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33149-2022</t>
        </is>
      </c>
      <c r="B917" s="1" t="n">
        <v>44785</v>
      </c>
      <c r="C917" s="1" t="n">
        <v>46194</v>
      </c>
      <c r="D917" t="inlineStr">
        <is>
          <t>STOCKHOLMS LÄN</t>
        </is>
      </c>
      <c r="E917" t="inlineStr">
        <is>
          <t>NORRTÄLJE</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v>
      </c>
      <c r="C918" s="1" t="n">
        <v>46194</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15256-2023</t>
        </is>
      </c>
      <c r="B919" s="1" t="n">
        <v>45019</v>
      </c>
      <c r="C919" s="1" t="n">
        <v>46194</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9720-2026</t>
        </is>
      </c>
      <c r="B920" s="1" t="n">
        <v>46072</v>
      </c>
      <c r="C920" s="1" t="n">
        <v>46194</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10399-2026</t>
        </is>
      </c>
      <c r="B921" s="1" t="n">
        <v>46077</v>
      </c>
      <c r="C921" s="1" t="n">
        <v>46194</v>
      </c>
      <c r="D921" t="inlineStr">
        <is>
          <t>STOCKHOLMS LÄN</t>
        </is>
      </c>
      <c r="E921" t="inlineStr">
        <is>
          <t>NORRTÄLJE</t>
        </is>
      </c>
      <c r="F921" t="inlineStr">
        <is>
          <t>Övriga Aktiebolag</t>
        </is>
      </c>
      <c r="G921" t="n">
        <v>0.2</v>
      </c>
      <c r="H921" t="n">
        <v>0</v>
      </c>
      <c r="I921" t="n">
        <v>0</v>
      </c>
      <c r="J921" t="n">
        <v>0</v>
      </c>
      <c r="K921" t="n">
        <v>0</v>
      </c>
      <c r="L921" t="n">
        <v>0</v>
      </c>
      <c r="M921" t="n">
        <v>0</v>
      </c>
      <c r="N921" t="n">
        <v>0</v>
      </c>
      <c r="O921" t="n">
        <v>0</v>
      </c>
      <c r="P921" t="n">
        <v>0</v>
      </c>
      <c r="Q921" t="n">
        <v>0</v>
      </c>
      <c r="R921" s="2" t="inlineStr"/>
    </row>
    <row r="922" ht="15" customHeight="1">
      <c r="A922" t="inlineStr">
        <is>
          <t>A 10429-2026</t>
        </is>
      </c>
      <c r="B922" s="1" t="n">
        <v>46077</v>
      </c>
      <c r="C922" s="1" t="n">
        <v>46194</v>
      </c>
      <c r="D922" t="inlineStr">
        <is>
          <t>STOCKHOLMS LÄN</t>
        </is>
      </c>
      <c r="E922" t="inlineStr">
        <is>
          <t>NORRTÄLJE</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58041-2024</t>
        </is>
      </c>
      <c r="B923" s="1" t="n">
        <v>45631</v>
      </c>
      <c r="C923" s="1" t="n">
        <v>46194</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31057-2022</t>
        </is>
      </c>
      <c r="B924" s="1" t="n">
        <v>44769</v>
      </c>
      <c r="C924" s="1" t="n">
        <v>46194</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10586-2026</t>
        </is>
      </c>
      <c r="B925" s="1" t="n">
        <v>46077</v>
      </c>
      <c r="C925" s="1" t="n">
        <v>46194</v>
      </c>
      <c r="D925" t="inlineStr">
        <is>
          <t>STOCKHOLMS LÄN</t>
        </is>
      </c>
      <c r="E925" t="inlineStr">
        <is>
          <t>NORRTÄLJE</t>
        </is>
      </c>
      <c r="F925" t="inlineStr">
        <is>
          <t>Holmen skog AB</t>
        </is>
      </c>
      <c r="G925" t="n">
        <v>3.3</v>
      </c>
      <c r="H925" t="n">
        <v>0</v>
      </c>
      <c r="I925" t="n">
        <v>0</v>
      </c>
      <c r="J925" t="n">
        <v>0</v>
      </c>
      <c r="K925" t="n">
        <v>0</v>
      </c>
      <c r="L925" t="n">
        <v>0</v>
      </c>
      <c r="M925" t="n">
        <v>0</v>
      </c>
      <c r="N925" t="n">
        <v>0</v>
      </c>
      <c r="O925" t="n">
        <v>0</v>
      </c>
      <c r="P925" t="n">
        <v>0</v>
      </c>
      <c r="Q925" t="n">
        <v>0</v>
      </c>
      <c r="R925" s="2" t="inlineStr"/>
    </row>
    <row r="926" ht="15" customHeight="1">
      <c r="A926" t="inlineStr">
        <is>
          <t>A 10444-2026</t>
        </is>
      </c>
      <c r="B926" s="1" t="n">
        <v>46077</v>
      </c>
      <c r="C926" s="1" t="n">
        <v>46194</v>
      </c>
      <c r="D926" t="inlineStr">
        <is>
          <t>STOCKHOLMS LÄN</t>
        </is>
      </c>
      <c r="E926" t="inlineStr">
        <is>
          <t>NORRTÄLJE</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10553-2026</t>
        </is>
      </c>
      <c r="B927" s="1" t="n">
        <v>46077</v>
      </c>
      <c r="C927" s="1" t="n">
        <v>46194</v>
      </c>
      <c r="D927" t="inlineStr">
        <is>
          <t>STOCKHOLMS LÄN</t>
        </is>
      </c>
      <c r="E927" t="inlineStr">
        <is>
          <t>NORRTÄLJE</t>
        </is>
      </c>
      <c r="G927" t="n">
        <v>4.9</v>
      </c>
      <c r="H927" t="n">
        <v>0</v>
      </c>
      <c r="I927" t="n">
        <v>0</v>
      </c>
      <c r="J927" t="n">
        <v>0</v>
      </c>
      <c r="K927" t="n">
        <v>0</v>
      </c>
      <c r="L927" t="n">
        <v>0</v>
      </c>
      <c r="M927" t="n">
        <v>0</v>
      </c>
      <c r="N927" t="n">
        <v>0</v>
      </c>
      <c r="O927" t="n">
        <v>0</v>
      </c>
      <c r="P927" t="n">
        <v>0</v>
      </c>
      <c r="Q927" t="n">
        <v>0</v>
      </c>
      <c r="R927" s="2" t="inlineStr"/>
    </row>
    <row r="928" ht="15" customHeight="1">
      <c r="A928" t="inlineStr">
        <is>
          <t>A 25619-2022</t>
        </is>
      </c>
      <c r="B928" s="1" t="n">
        <v>44732</v>
      </c>
      <c r="C928" s="1" t="n">
        <v>46194</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15422-2024</t>
        </is>
      </c>
      <c r="B929" s="1" t="n">
        <v>45401</v>
      </c>
      <c r="C929" s="1" t="n">
        <v>46194</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48716-2023</t>
        </is>
      </c>
      <c r="B930" s="1" t="n">
        <v>45208</v>
      </c>
      <c r="C930" s="1" t="n">
        <v>46194</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55369-2023</t>
        </is>
      </c>
      <c r="B931" s="1" t="n">
        <v>45238</v>
      </c>
      <c r="C931" s="1" t="n">
        <v>46194</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20121-2022</t>
        </is>
      </c>
      <c r="B932" s="1" t="n">
        <v>44698</v>
      </c>
      <c r="C932" s="1" t="n">
        <v>46194</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26407-2024</t>
        </is>
      </c>
      <c r="B933" s="1" t="n">
        <v>45469</v>
      </c>
      <c r="C933" s="1" t="n">
        <v>46194</v>
      </c>
      <c r="D933" t="inlineStr">
        <is>
          <t>STOCKHOLMS LÄN</t>
        </is>
      </c>
      <c r="E933" t="inlineStr">
        <is>
          <t>NORRTÄLJE</t>
        </is>
      </c>
      <c r="G933" t="n">
        <v>3.5</v>
      </c>
      <c r="H933" t="n">
        <v>0</v>
      </c>
      <c r="I933" t="n">
        <v>0</v>
      </c>
      <c r="J933" t="n">
        <v>0</v>
      </c>
      <c r="K933" t="n">
        <v>0</v>
      </c>
      <c r="L933" t="n">
        <v>0</v>
      </c>
      <c r="M933" t="n">
        <v>0</v>
      </c>
      <c r="N933" t="n">
        <v>0</v>
      </c>
      <c r="O933" t="n">
        <v>0</v>
      </c>
      <c r="P933" t="n">
        <v>0</v>
      </c>
      <c r="Q933" t="n">
        <v>0</v>
      </c>
      <c r="R933" s="2" t="inlineStr"/>
    </row>
    <row r="934" ht="15" customHeight="1">
      <c r="A934" t="inlineStr">
        <is>
          <t>A 10098-2022</t>
        </is>
      </c>
      <c r="B934" s="1" t="n">
        <v>44621</v>
      </c>
      <c r="C934" s="1" t="n">
        <v>46194</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10646-2026</t>
        </is>
      </c>
      <c r="B935" s="1" t="n">
        <v>46078</v>
      </c>
      <c r="C935" s="1" t="n">
        <v>46194</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49700-2023</t>
        </is>
      </c>
      <c r="B936" s="1" t="n">
        <v>45212</v>
      </c>
      <c r="C936" s="1" t="n">
        <v>46194</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59875-2024</t>
        </is>
      </c>
      <c r="B937" s="1" t="n">
        <v>45640</v>
      </c>
      <c r="C937" s="1" t="n">
        <v>46194</v>
      </c>
      <c r="D937" t="inlineStr">
        <is>
          <t>STOCKHOLMS LÄN</t>
        </is>
      </c>
      <c r="E937" t="inlineStr">
        <is>
          <t>NORRTÄLJE</t>
        </is>
      </c>
      <c r="G937" t="n">
        <v>0.3</v>
      </c>
      <c r="H937" t="n">
        <v>0</v>
      </c>
      <c r="I937" t="n">
        <v>0</v>
      </c>
      <c r="J937" t="n">
        <v>0</v>
      </c>
      <c r="K937" t="n">
        <v>0</v>
      </c>
      <c r="L937" t="n">
        <v>0</v>
      </c>
      <c r="M937" t="n">
        <v>0</v>
      </c>
      <c r="N937" t="n">
        <v>0</v>
      </c>
      <c r="O937" t="n">
        <v>0</v>
      </c>
      <c r="P937" t="n">
        <v>0</v>
      </c>
      <c r="Q937" t="n">
        <v>0</v>
      </c>
      <c r="R937" s="2" t="inlineStr"/>
    </row>
    <row r="938" ht="15" customHeight="1">
      <c r="A938" t="inlineStr">
        <is>
          <t>A 4658-2024</t>
        </is>
      </c>
      <c r="B938" s="1" t="n">
        <v>45328</v>
      </c>
      <c r="C938" s="1" t="n">
        <v>46194</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11648-2026</t>
        </is>
      </c>
      <c r="B939" s="1" t="n">
        <v>46084</v>
      </c>
      <c r="C939" s="1" t="n">
        <v>46194</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10642-2025</t>
        </is>
      </c>
      <c r="B940" s="1" t="n">
        <v>45721</v>
      </c>
      <c r="C940" s="1" t="n">
        <v>46194</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24024-2024</t>
        </is>
      </c>
      <c r="B941" s="1" t="n">
        <v>45456</v>
      </c>
      <c r="C941" s="1" t="n">
        <v>46194</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12234-2026</t>
        </is>
      </c>
      <c r="B942" s="1" t="n">
        <v>46087</v>
      </c>
      <c r="C942" s="1" t="n">
        <v>46194</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35532-2024</t>
        </is>
      </c>
      <c r="B943" s="1" t="n">
        <v>45531</v>
      </c>
      <c r="C943" s="1" t="n">
        <v>46194</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19118-2022</t>
        </is>
      </c>
      <c r="B944" s="1" t="n">
        <v>44691</v>
      </c>
      <c r="C944" s="1" t="n">
        <v>46194</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59893-2022</t>
        </is>
      </c>
      <c r="B945" s="1" t="n">
        <v>44908</v>
      </c>
      <c r="C945" s="1" t="n">
        <v>46194</v>
      </c>
      <c r="D945" t="inlineStr">
        <is>
          <t>STOCKHOLMS LÄN</t>
        </is>
      </c>
      <c r="E945" t="inlineStr">
        <is>
          <t>NORRTÄLJE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33226-2024</t>
        </is>
      </c>
      <c r="B946" s="1" t="n">
        <v>45518</v>
      </c>
      <c r="C946" s="1" t="n">
        <v>46194</v>
      </c>
      <c r="D946" t="inlineStr">
        <is>
          <t>STOCKHOLMS LÄN</t>
        </is>
      </c>
      <c r="E946" t="inlineStr">
        <is>
          <t>NORRTÄLJE</t>
        </is>
      </c>
      <c r="G946" t="n">
        <v>13.8</v>
      </c>
      <c r="H946" t="n">
        <v>0</v>
      </c>
      <c r="I946" t="n">
        <v>0</v>
      </c>
      <c r="J946" t="n">
        <v>0</v>
      </c>
      <c r="K946" t="n">
        <v>0</v>
      </c>
      <c r="L946" t="n">
        <v>0</v>
      </c>
      <c r="M946" t="n">
        <v>0</v>
      </c>
      <c r="N946" t="n">
        <v>0</v>
      </c>
      <c r="O946" t="n">
        <v>0</v>
      </c>
      <c r="P946" t="n">
        <v>0</v>
      </c>
      <c r="Q946" t="n">
        <v>0</v>
      </c>
      <c r="R946" s="2" t="inlineStr"/>
    </row>
    <row r="947" ht="15" customHeight="1">
      <c r="A947" t="inlineStr">
        <is>
          <t>A 13204-2026</t>
        </is>
      </c>
      <c r="B947" s="1" t="n">
        <v>46093</v>
      </c>
      <c r="C947" s="1" t="n">
        <v>46194</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16980-2023</t>
        </is>
      </c>
      <c r="B948" s="1" t="n">
        <v>45033</v>
      </c>
      <c r="C948" s="1" t="n">
        <v>46194</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13544-2026</t>
        </is>
      </c>
      <c r="B949" s="1" t="n">
        <v>46094</v>
      </c>
      <c r="C949" s="1" t="n">
        <v>46194</v>
      </c>
      <c r="D949" t="inlineStr">
        <is>
          <t>STOCKHOLMS LÄN</t>
        </is>
      </c>
      <c r="E949" t="inlineStr">
        <is>
          <t>NORRTÄLJE</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13545-2026</t>
        </is>
      </c>
      <c r="B950" s="1" t="n">
        <v>46094</v>
      </c>
      <c r="C950" s="1" t="n">
        <v>46194</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31107-2022</t>
        </is>
      </c>
      <c r="B951" s="1" t="n">
        <v>44769</v>
      </c>
      <c r="C951" s="1" t="n">
        <v>46194</v>
      </c>
      <c r="D951" t="inlineStr">
        <is>
          <t>STOCKHOLMS LÄN</t>
        </is>
      </c>
      <c r="E951" t="inlineStr">
        <is>
          <t>NORRTÄLJE</t>
        </is>
      </c>
      <c r="G951" t="n">
        <v>3.8</v>
      </c>
      <c r="H951" t="n">
        <v>0</v>
      </c>
      <c r="I951" t="n">
        <v>0</v>
      </c>
      <c r="J951" t="n">
        <v>0</v>
      </c>
      <c r="K951" t="n">
        <v>0</v>
      </c>
      <c r="L951" t="n">
        <v>0</v>
      </c>
      <c r="M951" t="n">
        <v>0</v>
      </c>
      <c r="N951" t="n">
        <v>0</v>
      </c>
      <c r="O951" t="n">
        <v>0</v>
      </c>
      <c r="P951" t="n">
        <v>0</v>
      </c>
      <c r="Q951" t="n">
        <v>0</v>
      </c>
      <c r="R951" s="2" t="inlineStr"/>
    </row>
    <row r="952" ht="15" customHeight="1">
      <c r="A952" t="inlineStr">
        <is>
          <t>A 43170-2023</t>
        </is>
      </c>
      <c r="B952" s="1" t="n">
        <v>45183</v>
      </c>
      <c r="C952" s="1" t="n">
        <v>46194</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13546-2026</t>
        </is>
      </c>
      <c r="B953" s="1" t="n">
        <v>46094</v>
      </c>
      <c r="C953" s="1" t="n">
        <v>46194</v>
      </c>
      <c r="D953" t="inlineStr">
        <is>
          <t>STOCKHOLMS LÄN</t>
        </is>
      </c>
      <c r="E953" t="inlineStr">
        <is>
          <t>NORRTÄLJE</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46194</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32101-2022</t>
        </is>
      </c>
      <c r="B955" s="1" t="n">
        <v>44778</v>
      </c>
      <c r="C955" s="1" t="n">
        <v>46194</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46194</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v>
      </c>
      <c r="C957" s="1" t="n">
        <v>46194</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14475-2026</t>
        </is>
      </c>
      <c r="B958" s="1" t="n">
        <v>46100</v>
      </c>
      <c r="C958" s="1" t="n">
        <v>46194</v>
      </c>
      <c r="D958" t="inlineStr">
        <is>
          <t>STOCKHOLMS LÄN</t>
        </is>
      </c>
      <c r="E958" t="inlineStr">
        <is>
          <t>NORRTÄLJE</t>
        </is>
      </c>
      <c r="G958" t="n">
        <v>12.3</v>
      </c>
      <c r="H958" t="n">
        <v>0</v>
      </c>
      <c r="I958" t="n">
        <v>0</v>
      </c>
      <c r="J958" t="n">
        <v>0</v>
      </c>
      <c r="K958" t="n">
        <v>0</v>
      </c>
      <c r="L958" t="n">
        <v>0</v>
      </c>
      <c r="M958" t="n">
        <v>0</v>
      </c>
      <c r="N958" t="n">
        <v>0</v>
      </c>
      <c r="O958" t="n">
        <v>0</v>
      </c>
      <c r="P958" t="n">
        <v>0</v>
      </c>
      <c r="Q958" t="n">
        <v>0</v>
      </c>
      <c r="R958" s="2" t="inlineStr"/>
    </row>
    <row r="959" ht="15" customHeight="1">
      <c r="A959" t="inlineStr">
        <is>
          <t>A 16243-2026</t>
        </is>
      </c>
      <c r="B959" s="1" t="n">
        <v>46111</v>
      </c>
      <c r="C959" s="1" t="n">
        <v>46194</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16229-2026</t>
        </is>
      </c>
      <c r="B960" s="1" t="n">
        <v>46111</v>
      </c>
      <c r="C960" s="1" t="n">
        <v>46194</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17025-2026</t>
        </is>
      </c>
      <c r="B961" s="1" t="n">
        <v>46113</v>
      </c>
      <c r="C961" s="1" t="n">
        <v>46194</v>
      </c>
      <c r="D961" t="inlineStr">
        <is>
          <t>STOCKHOLMS LÄN</t>
        </is>
      </c>
      <c r="E961" t="inlineStr">
        <is>
          <t>NORRTÄLJE</t>
        </is>
      </c>
      <c r="G961" t="n">
        <v>5.4</v>
      </c>
      <c r="H961" t="n">
        <v>0</v>
      </c>
      <c r="I961" t="n">
        <v>0</v>
      </c>
      <c r="J961" t="n">
        <v>0</v>
      </c>
      <c r="K961" t="n">
        <v>0</v>
      </c>
      <c r="L961" t="n">
        <v>0</v>
      </c>
      <c r="M961" t="n">
        <v>0</v>
      </c>
      <c r="N961" t="n">
        <v>0</v>
      </c>
      <c r="O961" t="n">
        <v>0</v>
      </c>
      <c r="P961" t="n">
        <v>0</v>
      </c>
      <c r="Q961" t="n">
        <v>0</v>
      </c>
      <c r="R961" s="2" t="inlineStr"/>
    </row>
    <row r="962" ht="15" customHeight="1">
      <c r="A962" t="inlineStr">
        <is>
          <t>A 22618-2026</t>
        </is>
      </c>
      <c r="B962" s="1" t="n">
        <v>46155</v>
      </c>
      <c r="C962" s="1" t="n">
        <v>46194</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17345-2026</t>
        </is>
      </c>
      <c r="B963" s="1" t="n">
        <v>46119</v>
      </c>
      <c r="C963" s="1" t="n">
        <v>46194</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17207-2026</t>
        </is>
      </c>
      <c r="B964" s="1" t="n">
        <v>46119</v>
      </c>
      <c r="C964" s="1" t="n">
        <v>46194</v>
      </c>
      <c r="D964" t="inlineStr">
        <is>
          <t>STOCKHOLMS LÄN</t>
        </is>
      </c>
      <c r="E964" t="inlineStr">
        <is>
          <t>NORRTÄLJE</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17215-2026</t>
        </is>
      </c>
      <c r="B965" s="1" t="n">
        <v>46119</v>
      </c>
      <c r="C965" s="1" t="n">
        <v>46194</v>
      </c>
      <c r="D965" t="inlineStr">
        <is>
          <t>STOCKHOLMS LÄN</t>
        </is>
      </c>
      <c r="E965" t="inlineStr">
        <is>
          <t>NORRTÄLJE</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17347-2026</t>
        </is>
      </c>
      <c r="B966" s="1" t="n">
        <v>46119</v>
      </c>
      <c r="C966" s="1" t="n">
        <v>46194</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17651-2026</t>
        </is>
      </c>
      <c r="B967" s="1" t="n">
        <v>46121</v>
      </c>
      <c r="C967" s="1" t="n">
        <v>46194</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23855-2026</t>
        </is>
      </c>
      <c r="B968" s="1" t="n">
        <v>46167</v>
      </c>
      <c r="C968" s="1" t="n">
        <v>46194</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14937-2026</t>
        </is>
      </c>
      <c r="B969" s="1" t="n">
        <v>46104</v>
      </c>
      <c r="C969" s="1" t="n">
        <v>46194</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24891-2026</t>
        </is>
      </c>
      <c r="B970" s="1" t="n">
        <v>46174</v>
      </c>
      <c r="C970" s="1" t="n">
        <v>46194</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15836-2026</t>
        </is>
      </c>
      <c r="B971" s="1" t="n">
        <v>46107</v>
      </c>
      <c r="C971" s="1" t="n">
        <v>46194</v>
      </c>
      <c r="D971" t="inlineStr">
        <is>
          <t>STOCKHOLMS LÄN</t>
        </is>
      </c>
      <c r="E971" t="inlineStr">
        <is>
          <t>NORRTÄLJE</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19129-2026</t>
        </is>
      </c>
      <c r="B972" s="1" t="n">
        <v>46132</v>
      </c>
      <c r="C972" s="1" t="n">
        <v>46194</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19170-2026</t>
        </is>
      </c>
      <c r="B973" s="1" t="n">
        <v>46132</v>
      </c>
      <c r="C973" s="1" t="n">
        <v>46194</v>
      </c>
      <c r="D973" t="inlineStr">
        <is>
          <t>STOCKHOLMS LÄN</t>
        </is>
      </c>
      <c r="E973" t="inlineStr">
        <is>
          <t>NORRTÄLJE</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24835-2025</t>
        </is>
      </c>
      <c r="B974" s="1" t="n">
        <v>45799</v>
      </c>
      <c r="C974" s="1" t="n">
        <v>46194</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19688-2026</t>
        </is>
      </c>
      <c r="B975" s="1" t="n">
        <v>46134</v>
      </c>
      <c r="C975" s="1" t="n">
        <v>46194</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19352-2026</t>
        </is>
      </c>
      <c r="B976" s="1" t="n">
        <v>46133</v>
      </c>
      <c r="C976" s="1" t="n">
        <v>46194</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19358-2026</t>
        </is>
      </c>
      <c r="B977" s="1" t="n">
        <v>46133</v>
      </c>
      <c r="C977" s="1" t="n">
        <v>46194</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25697-2026</t>
        </is>
      </c>
      <c r="B978" s="1" t="n">
        <v>46178</v>
      </c>
      <c r="C978" s="1" t="n">
        <v>46194</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25529-2026</t>
        </is>
      </c>
      <c r="B979" s="1" t="n">
        <v>46177</v>
      </c>
      <c r="C979" s="1" t="n">
        <v>46194</v>
      </c>
      <c r="D979" t="inlineStr">
        <is>
          <t>STOCKHOLMS LÄN</t>
        </is>
      </c>
      <c r="E979" t="inlineStr">
        <is>
          <t>NORRTÄLJE</t>
        </is>
      </c>
      <c r="G979" t="n">
        <v>6.3</v>
      </c>
      <c r="H979" t="n">
        <v>0</v>
      </c>
      <c r="I979" t="n">
        <v>0</v>
      </c>
      <c r="J979" t="n">
        <v>0</v>
      </c>
      <c r="K979" t="n">
        <v>0</v>
      </c>
      <c r="L979" t="n">
        <v>0</v>
      </c>
      <c r="M979" t="n">
        <v>0</v>
      </c>
      <c r="N979" t="n">
        <v>0</v>
      </c>
      <c r="O979" t="n">
        <v>0</v>
      </c>
      <c r="P979" t="n">
        <v>0</v>
      </c>
      <c r="Q979" t="n">
        <v>0</v>
      </c>
      <c r="R979" s="2" t="inlineStr"/>
    </row>
    <row r="980" ht="15" customHeight="1">
      <c r="A980" t="inlineStr">
        <is>
          <t>A 25507-2026</t>
        </is>
      </c>
      <c r="B980" s="1" t="n">
        <v>46177</v>
      </c>
      <c r="C980" s="1" t="n">
        <v>46194</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59534-2024</t>
        </is>
      </c>
      <c r="B981" s="1" t="n">
        <v>45638</v>
      </c>
      <c r="C981" s="1" t="n">
        <v>46194</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8792-2025</t>
        </is>
      </c>
      <c r="B982" s="1" t="n">
        <v>45712</v>
      </c>
      <c r="C982" s="1" t="n">
        <v>46194</v>
      </c>
      <c r="D982" t="inlineStr">
        <is>
          <t>STOCKHOLMS LÄN</t>
        </is>
      </c>
      <c r="E982" t="inlineStr">
        <is>
          <t>NORRTÄLJE</t>
        </is>
      </c>
      <c r="F982" t="inlineStr">
        <is>
          <t>Övriga Aktiebolag</t>
        </is>
      </c>
      <c r="G982" t="n">
        <v>6.6</v>
      </c>
      <c r="H982" t="n">
        <v>0</v>
      </c>
      <c r="I982" t="n">
        <v>0</v>
      </c>
      <c r="J982" t="n">
        <v>0</v>
      </c>
      <c r="K982" t="n">
        <v>0</v>
      </c>
      <c r="L982" t="n">
        <v>0</v>
      </c>
      <c r="M982" t="n">
        <v>0</v>
      </c>
      <c r="N982" t="n">
        <v>0</v>
      </c>
      <c r="O982" t="n">
        <v>0</v>
      </c>
      <c r="P982" t="n">
        <v>0</v>
      </c>
      <c r="Q982" t="n">
        <v>0</v>
      </c>
      <c r="R982" s="2" t="inlineStr"/>
    </row>
    <row r="983" ht="15" customHeight="1">
      <c r="A983" t="inlineStr">
        <is>
          <t>A 41301-2025</t>
        </is>
      </c>
      <c r="B983" s="1" t="n">
        <v>45898</v>
      </c>
      <c r="C983" s="1" t="n">
        <v>46194</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6678-2025</t>
        </is>
      </c>
      <c r="B984" s="1" t="n">
        <v>45700</v>
      </c>
      <c r="C984" s="1" t="n">
        <v>46194</v>
      </c>
      <c r="D984" t="inlineStr">
        <is>
          <t>STOCKHOLMS LÄN</t>
        </is>
      </c>
      <c r="E984" t="inlineStr">
        <is>
          <t>NORRTÄLJE</t>
        </is>
      </c>
      <c r="F984" t="inlineStr">
        <is>
          <t>Övriga Aktiebolag</t>
        </is>
      </c>
      <c r="G984" t="n">
        <v>6.6</v>
      </c>
      <c r="H984" t="n">
        <v>0</v>
      </c>
      <c r="I984" t="n">
        <v>0</v>
      </c>
      <c r="J984" t="n">
        <v>0</v>
      </c>
      <c r="K984" t="n">
        <v>0</v>
      </c>
      <c r="L984" t="n">
        <v>0</v>
      </c>
      <c r="M984" t="n">
        <v>0</v>
      </c>
      <c r="N984" t="n">
        <v>0</v>
      </c>
      <c r="O984" t="n">
        <v>0</v>
      </c>
      <c r="P984" t="n">
        <v>0</v>
      </c>
      <c r="Q984" t="n">
        <v>0</v>
      </c>
      <c r="R984" s="2" t="inlineStr"/>
    </row>
    <row r="985" ht="15" customHeight="1">
      <c r="A985" t="inlineStr">
        <is>
          <t>A 17209-2026</t>
        </is>
      </c>
      <c r="B985" s="1" t="n">
        <v>46119</v>
      </c>
      <c r="C985" s="1" t="n">
        <v>46194</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13314-2025</t>
        </is>
      </c>
      <c r="B986" s="1" t="n">
        <v>45735</v>
      </c>
      <c r="C986" s="1" t="n">
        <v>46194</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19759-2026</t>
        </is>
      </c>
      <c r="B987" s="1" t="n">
        <v>46135</v>
      </c>
      <c r="C987" s="1" t="n">
        <v>46194</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v>
      </c>
      <c r="C988" s="1" t="n">
        <v>46194</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8315-2025</t>
        </is>
      </c>
      <c r="B989" s="1" t="n">
        <v>45708</v>
      </c>
      <c r="C989" s="1" t="n">
        <v>46194</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25696-2026</t>
        </is>
      </c>
      <c r="B990" s="1" t="n">
        <v>46178</v>
      </c>
      <c r="C990" s="1" t="n">
        <v>46194</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20336-2024</t>
        </is>
      </c>
      <c r="B991" s="1" t="n">
        <v>45435</v>
      </c>
      <c r="C991" s="1" t="n">
        <v>46194</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41966-2025</t>
        </is>
      </c>
      <c r="B992" s="1" t="n">
        <v>45903</v>
      </c>
      <c r="C992" s="1" t="n">
        <v>46194</v>
      </c>
      <c r="D992" t="inlineStr">
        <is>
          <t>STOCKHOLMS LÄN</t>
        </is>
      </c>
      <c r="E992" t="inlineStr">
        <is>
          <t>NORRTÄLJE</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30221-2024</t>
        </is>
      </c>
      <c r="B993" s="1" t="n">
        <v>45490</v>
      </c>
      <c r="C993" s="1" t="n">
        <v>46194</v>
      </c>
      <c r="D993" t="inlineStr">
        <is>
          <t>STOCKHOLMS LÄN</t>
        </is>
      </c>
      <c r="E993" t="inlineStr">
        <is>
          <t>NORRTÄLJE</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1283-2025</t>
        </is>
      </c>
      <c r="B994" s="1" t="n">
        <v>45667</v>
      </c>
      <c r="C994" s="1" t="n">
        <v>46194</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35254-2025</t>
        </is>
      </c>
      <c r="B995" s="1" t="n">
        <v>45853</v>
      </c>
      <c r="C995" s="1" t="n">
        <v>46194</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52254-2025</t>
        </is>
      </c>
      <c r="B996" s="1" t="n">
        <v>45953</v>
      </c>
      <c r="C996" s="1" t="n">
        <v>46194</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27806-2025</t>
        </is>
      </c>
      <c r="B997" s="1" t="n">
        <v>45817</v>
      </c>
      <c r="C997" s="1" t="n">
        <v>46194</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24351-2025</t>
        </is>
      </c>
      <c r="B998" s="1" t="n">
        <v>45797</v>
      </c>
      <c r="C998" s="1" t="n">
        <v>46194</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52251-2025</t>
        </is>
      </c>
      <c r="B999" s="1" t="n">
        <v>45953</v>
      </c>
      <c r="C999" s="1" t="n">
        <v>46194</v>
      </c>
      <c r="D999" t="inlineStr">
        <is>
          <t>STOCKHOLMS LÄN</t>
        </is>
      </c>
      <c r="E999" t="inlineStr">
        <is>
          <t>NORRTÄLJE</t>
        </is>
      </c>
      <c r="G999" t="n">
        <v>6.2</v>
      </c>
      <c r="H999" t="n">
        <v>0</v>
      </c>
      <c r="I999" t="n">
        <v>0</v>
      </c>
      <c r="J999" t="n">
        <v>0</v>
      </c>
      <c r="K999" t="n">
        <v>0</v>
      </c>
      <c r="L999" t="n">
        <v>0</v>
      </c>
      <c r="M999" t="n">
        <v>0</v>
      </c>
      <c r="N999" t="n">
        <v>0</v>
      </c>
      <c r="O999" t="n">
        <v>0</v>
      </c>
      <c r="P999" t="n">
        <v>0</v>
      </c>
      <c r="Q999" t="n">
        <v>0</v>
      </c>
      <c r="R999" s="2" t="inlineStr"/>
    </row>
    <row r="1000" ht="15" customHeight="1">
      <c r="A1000" t="inlineStr">
        <is>
          <t>A 32094-2025</t>
        </is>
      </c>
      <c r="B1000" s="1" t="n">
        <v>45835</v>
      </c>
      <c r="C1000" s="1" t="n">
        <v>46194</v>
      </c>
      <c r="D1000" t="inlineStr">
        <is>
          <t>STOCKHOLMS LÄN</t>
        </is>
      </c>
      <c r="E1000" t="inlineStr">
        <is>
          <t>NORRTÄLJE</t>
        </is>
      </c>
      <c r="F1000" t="inlineStr">
        <is>
          <t>Holmen skog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27813-2025</t>
        </is>
      </c>
      <c r="B1001" s="1" t="n">
        <v>45817</v>
      </c>
      <c r="C1001" s="1" t="n">
        <v>46194</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37628-2025</t>
        </is>
      </c>
      <c r="B1002" s="1" t="n">
        <v>45880</v>
      </c>
      <c r="C1002" s="1" t="n">
        <v>46194</v>
      </c>
      <c r="D1002" t="inlineStr">
        <is>
          <t>STOCKHOLMS LÄN</t>
        </is>
      </c>
      <c r="E1002" t="inlineStr">
        <is>
          <t>NORRTÄLJE</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26210-2026</t>
        </is>
      </c>
      <c r="B1003" s="1" t="n">
        <v>46182</v>
      </c>
      <c r="C1003" s="1" t="n">
        <v>46194</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13785-2024</t>
        </is>
      </c>
      <c r="B1004" s="1" t="n">
        <v>45391</v>
      </c>
      <c r="C1004" s="1" t="n">
        <v>46194</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c r="A1005" t="inlineStr">
        <is>
          <t>A 1654-2025</t>
        </is>
      </c>
      <c r="B1005" s="1" t="n">
        <v>45670</v>
      </c>
      <c r="C1005" s="1" t="n">
        <v>46194</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2026-06-21T00:45:12Z</dcterms:created>
  <dcterms:modified xmlns:dcterms="http://purl.org/dc/terms/" xmlns:xsi="http://www.w3.org/2001/XMLSchema-instance" xsi:type="dcterms:W3CDTF">2026-06-21T00:45:13Z</dcterms:modified>
</cp:coreProperties>
</file>