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46126</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46126</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46126</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46126</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46126</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46126</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25732-2025</t>
        </is>
      </c>
      <c r="B20" s="1" t="n">
        <v>45800</v>
      </c>
      <c r="C20" s="1" t="n">
        <v>46126</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46126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46126</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46126</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46126</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46126</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46126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46126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46126</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46126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46126</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46126</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46126</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46126</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47346-2021</t>
        </is>
      </c>
      <c r="B34" s="1" t="n">
        <v>44447</v>
      </c>
      <c r="C34" s="1" t="n">
        <v>46126</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46126</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46126</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46126</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72111-2021</t>
        </is>
      </c>
      <c r="B39" s="1" t="n">
        <v>44544</v>
      </c>
      <c r="C39" s="1" t="n">
        <v>46126</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30687-2025</t>
        </is>
      </c>
      <c r="B40" s="1" t="n">
        <v>45831.53390046296</v>
      </c>
      <c r="C40" s="1" t="n">
        <v>46126</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46126</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46126</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46126</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46126</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17645-2026</t>
        </is>
      </c>
      <c r="B45" s="1" t="n">
        <v>46121.51921296296</v>
      </c>
      <c r="C45" s="1" t="n">
        <v>46126</v>
      </c>
      <c r="D45" t="inlineStr">
        <is>
          <t>STOCKHOLMS LÄN</t>
        </is>
      </c>
      <c r="E45" t="inlineStr">
        <is>
          <t>NORRTÄLJE</t>
        </is>
      </c>
      <c r="G45" t="n">
        <v>8.199999999999999</v>
      </c>
      <c r="H45" t="n">
        <v>1</v>
      </c>
      <c r="I45" t="n">
        <v>1</v>
      </c>
      <c r="J45" t="n">
        <v>3</v>
      </c>
      <c r="K45" t="n">
        <v>1</v>
      </c>
      <c r="L45" t="n">
        <v>0</v>
      </c>
      <c r="M45" t="n">
        <v>0</v>
      </c>
      <c r="N45" t="n">
        <v>0</v>
      </c>
      <c r="O45" t="n">
        <v>4</v>
      </c>
      <c r="P45" t="n">
        <v>1</v>
      </c>
      <c r="Q45" t="n">
        <v>5</v>
      </c>
      <c r="R45" s="2" t="inlineStr">
        <is>
          <t>Knärot
Tallticka
Ullticka
Vit vedfingersvamp
Grönpyrola</t>
        </is>
      </c>
      <c r="S45">
        <f>HYPERLINK("https://klasma.github.io/Logging_0188/artfynd/A 17645-2026 artfynd.xlsx", "A 17645-2026")</f>
        <v/>
      </c>
      <c r="T45">
        <f>HYPERLINK("https://klasma.github.io/Logging_0188/kartor/A 17645-2026 karta.png", "A 17645-2026")</f>
        <v/>
      </c>
      <c r="U45">
        <f>HYPERLINK("https://klasma.github.io/Logging_0188/knärot/A 17645-2026 karta knärot.png", "A 17645-2026")</f>
        <v/>
      </c>
      <c r="V45">
        <f>HYPERLINK("https://klasma.github.io/Logging_0188/klagomål/A 17645-2026 FSC-klagomål.docx", "A 17645-2026")</f>
        <v/>
      </c>
      <c r="W45">
        <f>HYPERLINK("https://klasma.github.io/Logging_0188/klagomålsmail/A 17645-2026 FSC-klagomål mail.docx", "A 17645-2026")</f>
        <v/>
      </c>
      <c r="X45">
        <f>HYPERLINK("https://klasma.github.io/Logging_0188/tillsyn/A 17645-2026 tillsynsbegäran.docx", "A 17645-2026")</f>
        <v/>
      </c>
      <c r="Y45">
        <f>HYPERLINK("https://klasma.github.io/Logging_0188/tillsynsmail/A 17645-2026 tillsynsbegäran mail.docx", "A 17645-2026")</f>
        <v/>
      </c>
    </row>
    <row r="46" ht="15" customHeight="1">
      <c r="A46" t="inlineStr">
        <is>
          <t>A 22071-2022</t>
        </is>
      </c>
      <c r="B46" s="1" t="n">
        <v>44711</v>
      </c>
      <c r="C46" s="1" t="n">
        <v>46126</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46126</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46126</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21730-2025</t>
        </is>
      </c>
      <c r="B49" s="1" t="n">
        <v>45783.58123842593</v>
      </c>
      <c r="C49" s="1" t="n">
        <v>46126</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47212-2025</t>
        </is>
      </c>
      <c r="B50" s="1" t="n">
        <v>45930</v>
      </c>
      <c r="C50" s="1" t="n">
        <v>46126</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25687-2025</t>
        </is>
      </c>
      <c r="B51" s="1" t="n">
        <v>45800</v>
      </c>
      <c r="C51" s="1" t="n">
        <v>46126</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34521-2025</t>
        </is>
      </c>
      <c r="B52" s="1" t="n">
        <v>45847.47052083333</v>
      </c>
      <c r="C52" s="1" t="n">
        <v>46126</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46126</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46126</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46126</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46126</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46126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46126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54110-2024</t>
        </is>
      </c>
      <c r="B59" s="1" t="n">
        <v>45616.54866898148</v>
      </c>
      <c r="C59" s="1" t="n">
        <v>46126</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46126</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2851-2023</t>
        </is>
      </c>
      <c r="B61" s="1" t="n">
        <v>44945</v>
      </c>
      <c r="C61" s="1" t="n">
        <v>46126</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46126</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29185-2025</t>
        </is>
      </c>
      <c r="B63" s="1" t="n">
        <v>45821</v>
      </c>
      <c r="C63" s="1" t="n">
        <v>46126</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46126</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46126</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46126</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46126</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46126</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27870-2022</t>
        </is>
      </c>
      <c r="B69" s="1" t="n">
        <v>44743.64592592593</v>
      </c>
      <c r="C69" s="1" t="n">
        <v>46126</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46126</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46126</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46126</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46126</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22190-2024</t>
        </is>
      </c>
      <c r="B74" s="1" t="n">
        <v>45446.35888888889</v>
      </c>
      <c r="C74" s="1" t="n">
        <v>46126</v>
      </c>
      <c r="D74" t="inlineStr">
        <is>
          <t>STOCKHOLMS LÄN</t>
        </is>
      </c>
      <c r="E74" t="inlineStr">
        <is>
          <t>NORRTÄLJE</t>
        </is>
      </c>
      <c r="G74" t="n">
        <v>2.8</v>
      </c>
      <c r="H74" t="n">
        <v>2</v>
      </c>
      <c r="I74" t="n">
        <v>1</v>
      </c>
      <c r="J74" t="n">
        <v>0</v>
      </c>
      <c r="K74" t="n">
        <v>0</v>
      </c>
      <c r="L74" t="n">
        <v>0</v>
      </c>
      <c r="M74" t="n">
        <v>0</v>
      </c>
      <c r="N74" t="n">
        <v>0</v>
      </c>
      <c r="O74" t="n">
        <v>0</v>
      </c>
      <c r="P74" t="n">
        <v>0</v>
      </c>
      <c r="Q74" t="n">
        <v>2</v>
      </c>
      <c r="R74" s="2" t="inlineStr">
        <is>
          <t>Skogsknipprot
Vanlig groda</t>
        </is>
      </c>
      <c r="S74">
        <f>HYPERLINK("https://klasma.github.io/Logging_0188/artfynd/A 22190-2024 artfynd.xlsx", "A 22190-2024")</f>
        <v/>
      </c>
      <c r="T74">
        <f>HYPERLINK("https://klasma.github.io/Logging_0188/kartor/A 22190-2024 karta.png", "A 22190-2024")</f>
        <v/>
      </c>
      <c r="V74">
        <f>HYPERLINK("https://klasma.github.io/Logging_0188/klagomål/A 22190-2024 FSC-klagomål.docx", "A 22190-2024")</f>
        <v/>
      </c>
      <c r="W74">
        <f>HYPERLINK("https://klasma.github.io/Logging_0188/klagomålsmail/A 22190-2024 FSC-klagomål mail.docx", "A 22190-2024")</f>
        <v/>
      </c>
      <c r="X74">
        <f>HYPERLINK("https://klasma.github.io/Logging_0188/tillsyn/A 22190-2024 tillsynsbegäran.docx", "A 22190-2024")</f>
        <v/>
      </c>
      <c r="Y74">
        <f>HYPERLINK("https://klasma.github.io/Logging_0188/tillsynsmail/A 22190-2024 tillsynsbegäran mail.docx", "A 22190-2024")</f>
        <v/>
      </c>
    </row>
    <row r="75" ht="15" customHeight="1">
      <c r="A75" t="inlineStr">
        <is>
          <t>A 51220-2023</t>
        </is>
      </c>
      <c r="B75" s="1" t="n">
        <v>45219</v>
      </c>
      <c r="C75" s="1" t="n">
        <v>46126</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46126</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11031-2025</t>
        </is>
      </c>
      <c r="B77" s="1" t="n">
        <v>45723</v>
      </c>
      <c r="C77" s="1" t="n">
        <v>46126</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51980-2022</t>
        </is>
      </c>
      <c r="B78" s="1" t="n">
        <v>44872</v>
      </c>
      <c r="C78" s="1" t="n">
        <v>46126</v>
      </c>
      <c r="D78" t="inlineStr">
        <is>
          <t>STOCKHOLMS LÄN</t>
        </is>
      </c>
      <c r="E78" t="inlineStr">
        <is>
          <t>NORRTÄLJE</t>
        </is>
      </c>
      <c r="G78" t="n">
        <v>7.9</v>
      </c>
      <c r="H78" t="n">
        <v>1</v>
      </c>
      <c r="I78" t="n">
        <v>2</v>
      </c>
      <c r="J78" t="n">
        <v>0</v>
      </c>
      <c r="K78" t="n">
        <v>0</v>
      </c>
      <c r="L78" t="n">
        <v>0</v>
      </c>
      <c r="M78" t="n">
        <v>0</v>
      </c>
      <c r="N78" t="n">
        <v>0</v>
      </c>
      <c r="O78" t="n">
        <v>0</v>
      </c>
      <c r="P78" t="n">
        <v>0</v>
      </c>
      <c r="Q78" t="n">
        <v>2</v>
      </c>
      <c r="R78" s="2" t="inlineStr">
        <is>
          <t>Rödgul trumpetsvamp
Skogsknipprot</t>
        </is>
      </c>
      <c r="S78">
        <f>HYPERLINK("https://klasma.github.io/Logging_0188/artfynd/A 51980-2022 artfynd.xlsx", "A 51980-2022")</f>
        <v/>
      </c>
      <c r="T78">
        <f>HYPERLINK("https://klasma.github.io/Logging_0188/kartor/A 51980-2022 karta.png", "A 51980-2022")</f>
        <v/>
      </c>
      <c r="V78">
        <f>HYPERLINK("https://klasma.github.io/Logging_0188/klagomål/A 51980-2022 FSC-klagomål.docx", "A 51980-2022")</f>
        <v/>
      </c>
      <c r="W78">
        <f>HYPERLINK("https://klasma.github.io/Logging_0188/klagomålsmail/A 51980-2022 FSC-klagomål mail.docx", "A 51980-2022")</f>
        <v/>
      </c>
      <c r="X78">
        <f>HYPERLINK("https://klasma.github.io/Logging_0188/tillsyn/A 51980-2022 tillsynsbegäran.docx", "A 51980-2022")</f>
        <v/>
      </c>
      <c r="Y78">
        <f>HYPERLINK("https://klasma.github.io/Logging_0188/tillsynsmail/A 51980-2022 tillsynsbegäran mail.docx", "A 51980-2022")</f>
        <v/>
      </c>
    </row>
    <row r="79" ht="15" customHeight="1">
      <c r="A79" t="inlineStr">
        <is>
          <t>A 17952-2022</t>
        </is>
      </c>
      <c r="B79" s="1" t="n">
        <v>44683</v>
      </c>
      <c r="C79" s="1" t="n">
        <v>46126</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16260-2022</t>
        </is>
      </c>
      <c r="B80" s="1" t="n">
        <v>44670</v>
      </c>
      <c r="C80" s="1" t="n">
        <v>46126</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50697-2025</t>
        </is>
      </c>
      <c r="B81" s="1" t="n">
        <v>45945.90854166666</v>
      </c>
      <c r="C81" s="1" t="n">
        <v>46126</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33548-2025</t>
        </is>
      </c>
      <c r="B82" s="1" t="n">
        <v>45841.5721875</v>
      </c>
      <c r="C82" s="1" t="n">
        <v>46126</v>
      </c>
      <c r="D82" t="inlineStr">
        <is>
          <t>STOCKHOLMS LÄN</t>
        </is>
      </c>
      <c r="E82" t="inlineStr">
        <is>
          <t>NORRTÄLJE</t>
        </is>
      </c>
      <c r="G82" t="n">
        <v>12.2</v>
      </c>
      <c r="H82" t="n">
        <v>1</v>
      </c>
      <c r="I82" t="n">
        <v>0</v>
      </c>
      <c r="J82" t="n">
        <v>1</v>
      </c>
      <c r="K82" t="n">
        <v>0</v>
      </c>
      <c r="L82" t="n">
        <v>0</v>
      </c>
      <c r="M82" t="n">
        <v>0</v>
      </c>
      <c r="N82" t="n">
        <v>0</v>
      </c>
      <c r="O82" t="n">
        <v>1</v>
      </c>
      <c r="P82" t="n">
        <v>0</v>
      </c>
      <c r="Q82" t="n">
        <v>2</v>
      </c>
      <c r="R82" s="2" t="inlineStr">
        <is>
          <t>Dofttaggsvamp
Sparvuggla</t>
        </is>
      </c>
      <c r="S82">
        <f>HYPERLINK("https://klasma.github.io/Logging_0188/artfynd/A 33548-2025 artfynd.xlsx", "A 33548-2025")</f>
        <v/>
      </c>
      <c r="T82">
        <f>HYPERLINK("https://klasma.github.io/Logging_0188/kartor/A 33548-2025 karta.png", "A 33548-2025")</f>
        <v/>
      </c>
      <c r="V82">
        <f>HYPERLINK("https://klasma.github.io/Logging_0188/klagomål/A 33548-2025 FSC-klagomål.docx", "A 33548-2025")</f>
        <v/>
      </c>
      <c r="W82">
        <f>HYPERLINK("https://klasma.github.io/Logging_0188/klagomålsmail/A 33548-2025 FSC-klagomål mail.docx", "A 33548-2025")</f>
        <v/>
      </c>
      <c r="X82">
        <f>HYPERLINK("https://klasma.github.io/Logging_0188/tillsyn/A 33548-2025 tillsynsbegäran.docx", "A 33548-2025")</f>
        <v/>
      </c>
      <c r="Y82">
        <f>HYPERLINK("https://klasma.github.io/Logging_0188/tillsynsmail/A 33548-2025 tillsynsbegäran mail.docx", "A 33548-2025")</f>
        <v/>
      </c>
      <c r="Z82">
        <f>HYPERLINK("https://klasma.github.io/Logging_0188/fåglar/A 33548-2025 prioriterade fågelarter.docx", "A 33548-2025")</f>
        <v/>
      </c>
    </row>
    <row r="83" ht="15" customHeight="1">
      <c r="A83" t="inlineStr">
        <is>
          <t>A 52360-2024</t>
        </is>
      </c>
      <c r="B83" s="1" t="n">
        <v>45609.37094907407</v>
      </c>
      <c r="C83" s="1" t="n">
        <v>46126</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15925-2026</t>
        </is>
      </c>
      <c r="B84" s="1" t="n">
        <v>46107.66046296297</v>
      </c>
      <c r="C84" s="1" t="n">
        <v>46126</v>
      </c>
      <c r="D84" t="inlineStr">
        <is>
          <t>STOCKHOLMS LÄN</t>
        </is>
      </c>
      <c r="E84" t="inlineStr">
        <is>
          <t>NORRTÄLJE</t>
        </is>
      </c>
      <c r="G84" t="n">
        <v>2.9</v>
      </c>
      <c r="H84" t="n">
        <v>1</v>
      </c>
      <c r="I84" t="n">
        <v>1</v>
      </c>
      <c r="J84" t="n">
        <v>0</v>
      </c>
      <c r="K84" t="n">
        <v>0</v>
      </c>
      <c r="L84" t="n">
        <v>0</v>
      </c>
      <c r="M84" t="n">
        <v>0</v>
      </c>
      <c r="N84" t="n">
        <v>0</v>
      </c>
      <c r="O84" t="n">
        <v>0</v>
      </c>
      <c r="P84" t="n">
        <v>0</v>
      </c>
      <c r="Q84" t="n">
        <v>2</v>
      </c>
      <c r="R84" s="2" t="inlineStr">
        <is>
          <t>Fjällig taggsvamp s.str.
Blåsippa</t>
        </is>
      </c>
      <c r="S84">
        <f>HYPERLINK("https://klasma.github.io/Logging_0188/artfynd/A 15925-2026 artfynd.xlsx", "A 15925-2026")</f>
        <v/>
      </c>
      <c r="T84">
        <f>HYPERLINK("https://klasma.github.io/Logging_0188/kartor/A 15925-2026 karta.png", "A 15925-2026")</f>
        <v/>
      </c>
      <c r="V84">
        <f>HYPERLINK("https://klasma.github.io/Logging_0188/klagomål/A 15925-2026 FSC-klagomål.docx", "A 15925-2026")</f>
        <v/>
      </c>
      <c r="W84">
        <f>HYPERLINK("https://klasma.github.io/Logging_0188/klagomålsmail/A 15925-2026 FSC-klagomål mail.docx", "A 15925-2026")</f>
        <v/>
      </c>
      <c r="X84">
        <f>HYPERLINK("https://klasma.github.io/Logging_0188/tillsyn/A 15925-2026 tillsynsbegäran.docx", "A 15925-2026")</f>
        <v/>
      </c>
      <c r="Y84">
        <f>HYPERLINK("https://klasma.github.io/Logging_0188/tillsynsmail/A 15925-2026 tillsynsbegäran mail.docx", "A 15925-2026")</f>
        <v/>
      </c>
    </row>
    <row r="85" ht="15" customHeight="1">
      <c r="A85" t="inlineStr">
        <is>
          <t>A 53608-2025</t>
        </is>
      </c>
      <c r="B85" s="1" t="n">
        <v>45960</v>
      </c>
      <c r="C85" s="1" t="n">
        <v>46126</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52825-2023</t>
        </is>
      </c>
      <c r="B86" s="1" t="n">
        <v>45226</v>
      </c>
      <c r="C86" s="1" t="n">
        <v>46126</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46126</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1547-2022</t>
        </is>
      </c>
      <c r="B88" s="1" t="n">
        <v>44573</v>
      </c>
      <c r="C88" s="1" t="n">
        <v>46126</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46126</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46126</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46126</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46126</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52508-2023</t>
        </is>
      </c>
      <c r="B93" s="1" t="n">
        <v>45225</v>
      </c>
      <c r="C93" s="1" t="n">
        <v>46126</v>
      </c>
      <c r="D93" t="inlineStr">
        <is>
          <t>STOCKHOLMS LÄN</t>
        </is>
      </c>
      <c r="E93" t="inlineStr">
        <is>
          <t>NORRTÄLJE</t>
        </is>
      </c>
      <c r="G93" t="n">
        <v>19.7</v>
      </c>
      <c r="H93" t="n">
        <v>1</v>
      </c>
      <c r="I93" t="n">
        <v>0</v>
      </c>
      <c r="J93" t="n">
        <v>0</v>
      </c>
      <c r="K93" t="n">
        <v>1</v>
      </c>
      <c r="L93" t="n">
        <v>0</v>
      </c>
      <c r="M93" t="n">
        <v>0</v>
      </c>
      <c r="N93" t="n">
        <v>0</v>
      </c>
      <c r="O93" t="n">
        <v>1</v>
      </c>
      <c r="P93" t="n">
        <v>1</v>
      </c>
      <c r="Q93" t="n">
        <v>1</v>
      </c>
      <c r="R93" s="2" t="inlineStr">
        <is>
          <t>Svärta</t>
        </is>
      </c>
      <c r="S93">
        <f>HYPERLINK("https://klasma.github.io/Logging_0188/artfynd/A 52508-2023 artfynd.xlsx", "A 52508-2023")</f>
        <v/>
      </c>
      <c r="T93">
        <f>HYPERLINK("https://klasma.github.io/Logging_0188/kartor/A 52508-2023 karta.png", "A 52508-2023")</f>
        <v/>
      </c>
      <c r="V93">
        <f>HYPERLINK("https://klasma.github.io/Logging_0188/klagomål/A 52508-2023 FSC-klagomål.docx", "A 52508-2023")</f>
        <v/>
      </c>
      <c r="W93">
        <f>HYPERLINK("https://klasma.github.io/Logging_0188/klagomålsmail/A 52508-2023 FSC-klagomål mail.docx", "A 52508-2023")</f>
        <v/>
      </c>
      <c r="X93">
        <f>HYPERLINK("https://klasma.github.io/Logging_0188/tillsyn/A 52508-2023 tillsynsbegäran.docx", "A 52508-2023")</f>
        <v/>
      </c>
      <c r="Y93">
        <f>HYPERLINK("https://klasma.github.io/Logging_0188/tillsynsmail/A 52508-2023 tillsynsbegäran mail.docx", "A 52508-2023")</f>
        <v/>
      </c>
    </row>
    <row r="94" ht="15" customHeight="1">
      <c r="A94" t="inlineStr">
        <is>
          <t>A 32111-2022</t>
        </is>
      </c>
      <c r="B94" s="1" t="n">
        <v>44778.92797453704</v>
      </c>
      <c r="C94" s="1" t="n">
        <v>46126</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21744-2023</t>
        </is>
      </c>
      <c r="B95" s="1" t="n">
        <v>45065</v>
      </c>
      <c r="C95" s="1" t="n">
        <v>46126</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48131-2023</t>
        </is>
      </c>
      <c r="B96" s="1" t="n">
        <v>45205</v>
      </c>
      <c r="C96" s="1" t="n">
        <v>46126</v>
      </c>
      <c r="D96" t="inlineStr">
        <is>
          <t>STOCKHOLMS LÄN</t>
        </is>
      </c>
      <c r="E96" t="inlineStr">
        <is>
          <t>NORRTÄLJE</t>
        </is>
      </c>
      <c r="G96" t="n">
        <v>2.3</v>
      </c>
      <c r="H96" t="n">
        <v>0</v>
      </c>
      <c r="I96" t="n">
        <v>0</v>
      </c>
      <c r="J96" t="n">
        <v>1</v>
      </c>
      <c r="K96" t="n">
        <v>0</v>
      </c>
      <c r="L96" t="n">
        <v>0</v>
      </c>
      <c r="M96" t="n">
        <v>0</v>
      </c>
      <c r="N96" t="n">
        <v>0</v>
      </c>
      <c r="O96" t="n">
        <v>1</v>
      </c>
      <c r="P96" t="n">
        <v>0</v>
      </c>
      <c r="Q96" t="n">
        <v>1</v>
      </c>
      <c r="R96" s="2" t="inlineStr">
        <is>
          <t>Slåtterfibbla</t>
        </is>
      </c>
      <c r="S96">
        <f>HYPERLINK("https://klasma.github.io/Logging_0188/artfynd/A 48131-2023 artfynd.xlsx", "A 48131-2023")</f>
        <v/>
      </c>
      <c r="T96">
        <f>HYPERLINK("https://klasma.github.io/Logging_0188/kartor/A 48131-2023 karta.png", "A 48131-2023")</f>
        <v/>
      </c>
      <c r="V96">
        <f>HYPERLINK("https://klasma.github.io/Logging_0188/klagomål/A 48131-2023 FSC-klagomål.docx", "A 48131-2023")</f>
        <v/>
      </c>
      <c r="W96">
        <f>HYPERLINK("https://klasma.github.io/Logging_0188/klagomålsmail/A 48131-2023 FSC-klagomål mail.docx", "A 48131-2023")</f>
        <v/>
      </c>
      <c r="X96">
        <f>HYPERLINK("https://klasma.github.io/Logging_0188/tillsyn/A 48131-2023 tillsynsbegäran.docx", "A 48131-2023")</f>
        <v/>
      </c>
      <c r="Y96">
        <f>HYPERLINK("https://klasma.github.io/Logging_0188/tillsynsmail/A 48131-2023 tillsynsbegäran mail.docx", "A 48131-2023")</f>
        <v/>
      </c>
    </row>
    <row r="97" ht="15" customHeight="1">
      <c r="A97" t="inlineStr">
        <is>
          <t>A 47898-2022</t>
        </is>
      </c>
      <c r="B97" s="1" t="n">
        <v>44855</v>
      </c>
      <c r="C97" s="1" t="n">
        <v>46126</v>
      </c>
      <c r="D97" t="inlineStr">
        <is>
          <t>STOCKHOLMS LÄN</t>
        </is>
      </c>
      <c r="E97" t="inlineStr">
        <is>
          <t>NORRTÄLJE</t>
        </is>
      </c>
      <c r="G97" t="n">
        <v>6.7</v>
      </c>
      <c r="H97" t="n">
        <v>1</v>
      </c>
      <c r="I97" t="n">
        <v>1</v>
      </c>
      <c r="J97" t="n">
        <v>0</v>
      </c>
      <c r="K97" t="n">
        <v>0</v>
      </c>
      <c r="L97" t="n">
        <v>0</v>
      </c>
      <c r="M97" t="n">
        <v>0</v>
      </c>
      <c r="N97" t="n">
        <v>0</v>
      </c>
      <c r="O97" t="n">
        <v>0</v>
      </c>
      <c r="P97" t="n">
        <v>0</v>
      </c>
      <c r="Q97" t="n">
        <v>1</v>
      </c>
      <c r="R97" s="2" t="inlineStr">
        <is>
          <t>Guckusko</t>
        </is>
      </c>
      <c r="S97">
        <f>HYPERLINK("https://klasma.github.io/Logging_0188/artfynd/A 47898-2022 artfynd.xlsx", "A 47898-2022")</f>
        <v/>
      </c>
      <c r="T97">
        <f>HYPERLINK("https://klasma.github.io/Logging_0188/kartor/A 47898-2022 karta.png", "A 47898-2022")</f>
        <v/>
      </c>
      <c r="V97">
        <f>HYPERLINK("https://klasma.github.io/Logging_0188/klagomål/A 47898-2022 FSC-klagomål.docx", "A 47898-2022")</f>
        <v/>
      </c>
      <c r="W97">
        <f>HYPERLINK("https://klasma.github.io/Logging_0188/klagomålsmail/A 47898-2022 FSC-klagomål mail.docx", "A 47898-2022")</f>
        <v/>
      </c>
      <c r="X97">
        <f>HYPERLINK("https://klasma.github.io/Logging_0188/tillsyn/A 47898-2022 tillsynsbegäran.docx", "A 47898-2022")</f>
        <v/>
      </c>
      <c r="Y97">
        <f>HYPERLINK("https://klasma.github.io/Logging_0188/tillsynsmail/A 47898-2022 tillsynsbegäran mail.docx", "A 47898-2022")</f>
        <v/>
      </c>
    </row>
    <row r="98" ht="15" customHeight="1">
      <c r="A98" t="inlineStr">
        <is>
          <t>A 4595-2023</t>
        </is>
      </c>
      <c r="B98" s="1" t="n">
        <v>44956</v>
      </c>
      <c r="C98" s="1" t="n">
        <v>46126</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27827-2022</t>
        </is>
      </c>
      <c r="B99" s="1" t="n">
        <v>44743.59504629629</v>
      </c>
      <c r="C99" s="1" t="n">
        <v>46126</v>
      </c>
      <c r="D99" t="inlineStr">
        <is>
          <t>STOCKHOLMS LÄN</t>
        </is>
      </c>
      <c r="E99" t="inlineStr">
        <is>
          <t>NORRTÄLJE</t>
        </is>
      </c>
      <c r="F99" t="inlineStr">
        <is>
          <t>Holmen skog AB</t>
        </is>
      </c>
      <c r="G99" t="n">
        <v>4.7</v>
      </c>
      <c r="H99" t="n">
        <v>1</v>
      </c>
      <c r="I99" t="n">
        <v>0</v>
      </c>
      <c r="J99" t="n">
        <v>1</v>
      </c>
      <c r="K99" t="n">
        <v>0</v>
      </c>
      <c r="L99" t="n">
        <v>0</v>
      </c>
      <c r="M99" t="n">
        <v>0</v>
      </c>
      <c r="N99" t="n">
        <v>0</v>
      </c>
      <c r="O99" t="n">
        <v>1</v>
      </c>
      <c r="P99" t="n">
        <v>0</v>
      </c>
      <c r="Q99" t="n">
        <v>1</v>
      </c>
      <c r="R99" s="2" t="inlineStr">
        <is>
          <t>Nordfladdermus</t>
        </is>
      </c>
      <c r="S99">
        <f>HYPERLINK("https://klasma.github.io/Logging_0188/artfynd/A 27827-2022 artfynd.xlsx", "A 27827-2022")</f>
        <v/>
      </c>
      <c r="T99">
        <f>HYPERLINK("https://klasma.github.io/Logging_0188/kartor/A 27827-2022 karta.png", "A 27827-2022")</f>
        <v/>
      </c>
      <c r="V99">
        <f>HYPERLINK("https://klasma.github.io/Logging_0188/klagomål/A 27827-2022 FSC-klagomål.docx", "A 27827-2022")</f>
        <v/>
      </c>
      <c r="W99">
        <f>HYPERLINK("https://klasma.github.io/Logging_0188/klagomålsmail/A 27827-2022 FSC-klagomål mail.docx", "A 27827-2022")</f>
        <v/>
      </c>
      <c r="X99">
        <f>HYPERLINK("https://klasma.github.io/Logging_0188/tillsyn/A 27827-2022 tillsynsbegäran.docx", "A 27827-2022")</f>
        <v/>
      </c>
      <c r="Y99">
        <f>HYPERLINK("https://klasma.github.io/Logging_0188/tillsynsmail/A 27827-2022 tillsynsbegäran mail.docx", "A 27827-2022")</f>
        <v/>
      </c>
    </row>
    <row r="100" ht="15" customHeight="1">
      <c r="A100" t="inlineStr">
        <is>
          <t>A 40861-2025</t>
        </is>
      </c>
      <c r="B100" s="1" t="n">
        <v>45897.56356481482</v>
      </c>
      <c r="C100" s="1" t="n">
        <v>46126</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46126</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46126</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4860-2022</t>
        </is>
      </c>
      <c r="B103" s="1" t="n">
        <v>44592</v>
      </c>
      <c r="C103" s="1" t="n">
        <v>46126</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9955-2022</t>
        </is>
      </c>
      <c r="B104" s="1" t="n">
        <v>44620</v>
      </c>
      <c r="C104" s="1" t="n">
        <v>46126</v>
      </c>
      <c r="D104" t="inlineStr">
        <is>
          <t>STOCKHOLMS LÄN</t>
        </is>
      </c>
      <c r="E104" t="inlineStr">
        <is>
          <t>NORRTÄLJE</t>
        </is>
      </c>
      <c r="G104" t="n">
        <v>7.8</v>
      </c>
      <c r="H104" t="n">
        <v>1</v>
      </c>
      <c r="I104" t="n">
        <v>0</v>
      </c>
      <c r="J104" t="n">
        <v>0</v>
      </c>
      <c r="K104" t="n">
        <v>0</v>
      </c>
      <c r="L104" t="n">
        <v>0</v>
      </c>
      <c r="M104" t="n">
        <v>0</v>
      </c>
      <c r="N104" t="n">
        <v>0</v>
      </c>
      <c r="O104" t="n">
        <v>0</v>
      </c>
      <c r="P104" t="n">
        <v>0</v>
      </c>
      <c r="Q104" t="n">
        <v>1</v>
      </c>
      <c r="R104" s="2" t="inlineStr">
        <is>
          <t>Åkergroda</t>
        </is>
      </c>
      <c r="S104">
        <f>HYPERLINK("https://klasma.github.io/Logging_0188/artfynd/A 9955-2022 artfynd.xlsx", "A 9955-2022")</f>
        <v/>
      </c>
      <c r="T104">
        <f>HYPERLINK("https://klasma.github.io/Logging_0188/kartor/A 9955-2022 karta.png", "A 9955-2022")</f>
        <v/>
      </c>
      <c r="V104">
        <f>HYPERLINK("https://klasma.github.io/Logging_0188/klagomål/A 9955-2022 FSC-klagomål.docx", "A 9955-2022")</f>
        <v/>
      </c>
      <c r="W104">
        <f>HYPERLINK("https://klasma.github.io/Logging_0188/klagomålsmail/A 9955-2022 FSC-klagomål mail.docx", "A 9955-2022")</f>
        <v/>
      </c>
      <c r="X104">
        <f>HYPERLINK("https://klasma.github.io/Logging_0188/tillsyn/A 9955-2022 tillsynsbegäran.docx", "A 9955-2022")</f>
        <v/>
      </c>
      <c r="Y104">
        <f>HYPERLINK("https://klasma.github.io/Logging_0188/tillsynsmail/A 9955-2022 tillsynsbegäran mail.docx", "A 9955-2022")</f>
        <v/>
      </c>
    </row>
    <row r="105" ht="15" customHeight="1">
      <c r="A105" t="inlineStr">
        <is>
          <t>A 23146-2024</t>
        </is>
      </c>
      <c r="B105" s="1" t="n">
        <v>45450.63958333333</v>
      </c>
      <c r="C105" s="1" t="n">
        <v>46126</v>
      </c>
      <c r="D105" t="inlineStr">
        <is>
          <t>STOCKHOLMS LÄN</t>
        </is>
      </c>
      <c r="E105" t="inlineStr">
        <is>
          <t>NORRTÄLJE</t>
        </is>
      </c>
      <c r="F105" t="inlineStr">
        <is>
          <t>Kommuner</t>
        </is>
      </c>
      <c r="G105" t="n">
        <v>6</v>
      </c>
      <c r="H105" t="n">
        <v>0</v>
      </c>
      <c r="I105" t="n">
        <v>0</v>
      </c>
      <c r="J105" t="n">
        <v>1</v>
      </c>
      <c r="K105" t="n">
        <v>0</v>
      </c>
      <c r="L105" t="n">
        <v>0</v>
      </c>
      <c r="M105" t="n">
        <v>0</v>
      </c>
      <c r="N105" t="n">
        <v>0</v>
      </c>
      <c r="O105" t="n">
        <v>1</v>
      </c>
      <c r="P105" t="n">
        <v>0</v>
      </c>
      <c r="Q105" t="n">
        <v>1</v>
      </c>
      <c r="R105" s="2" t="inlineStr">
        <is>
          <t>Motaggsvamp</t>
        </is>
      </c>
      <c r="S105">
        <f>HYPERLINK("https://klasma.github.io/Logging_0188/artfynd/A 23146-2024 artfynd.xlsx", "A 23146-2024")</f>
        <v/>
      </c>
      <c r="T105">
        <f>HYPERLINK("https://klasma.github.io/Logging_0188/kartor/A 23146-2024 karta.png", "A 23146-2024")</f>
        <v/>
      </c>
      <c r="V105">
        <f>HYPERLINK("https://klasma.github.io/Logging_0188/klagomål/A 23146-2024 FSC-klagomål.docx", "A 23146-2024")</f>
        <v/>
      </c>
      <c r="W105">
        <f>HYPERLINK("https://klasma.github.io/Logging_0188/klagomålsmail/A 23146-2024 FSC-klagomål mail.docx", "A 23146-2024")</f>
        <v/>
      </c>
      <c r="X105">
        <f>HYPERLINK("https://klasma.github.io/Logging_0188/tillsyn/A 23146-2024 tillsynsbegäran.docx", "A 23146-2024")</f>
        <v/>
      </c>
      <c r="Y105">
        <f>HYPERLINK("https://klasma.github.io/Logging_0188/tillsynsmail/A 23146-2024 tillsynsbegäran mail.docx", "A 23146-2024")</f>
        <v/>
      </c>
    </row>
    <row r="106" ht="15" customHeight="1">
      <c r="A106" t="inlineStr">
        <is>
          <t>A 13291-2025</t>
        </is>
      </c>
      <c r="B106" s="1" t="n">
        <v>45735</v>
      </c>
      <c r="C106" s="1" t="n">
        <v>46126</v>
      </c>
      <c r="D106" t="inlineStr">
        <is>
          <t>STOCKHOLMS LÄN</t>
        </is>
      </c>
      <c r="E106" t="inlineStr">
        <is>
          <t>NORRTÄLJE</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HYPERLINK("https://klasma.github.io/Logging_0188/artfynd/A 13291-2025 artfynd.xlsx", "A 13291-2025")</f>
        <v/>
      </c>
      <c r="T106">
        <f>HYPERLINK("https://klasma.github.io/Logging_0188/kartor/A 13291-2025 karta.png", "A 13291-2025")</f>
        <v/>
      </c>
      <c r="V106">
        <f>HYPERLINK("https://klasma.github.io/Logging_0188/klagomål/A 13291-2025 FSC-klagomål.docx", "A 13291-2025")</f>
        <v/>
      </c>
      <c r="W106">
        <f>HYPERLINK("https://klasma.github.io/Logging_0188/klagomålsmail/A 13291-2025 FSC-klagomål mail.docx", "A 13291-2025")</f>
        <v/>
      </c>
      <c r="X106">
        <f>HYPERLINK("https://klasma.github.io/Logging_0188/tillsyn/A 13291-2025 tillsynsbegäran.docx", "A 13291-2025")</f>
        <v/>
      </c>
      <c r="Y106">
        <f>HYPERLINK("https://klasma.github.io/Logging_0188/tillsynsmail/A 13291-2025 tillsynsbegäran mail.docx", "A 13291-2025")</f>
        <v/>
      </c>
    </row>
    <row r="107" ht="15" customHeight="1">
      <c r="A107" t="inlineStr">
        <is>
          <t>A 23905-2025</t>
        </is>
      </c>
      <c r="B107" s="1" t="n">
        <v>45794.63298611111</v>
      </c>
      <c r="C107" s="1" t="n">
        <v>46126</v>
      </c>
      <c r="D107" t="inlineStr">
        <is>
          <t>STOCKHOLMS LÄN</t>
        </is>
      </c>
      <c r="E107" t="inlineStr">
        <is>
          <t>NORRTÄLJE</t>
        </is>
      </c>
      <c r="G107" t="n">
        <v>8.4</v>
      </c>
      <c r="H107" t="n">
        <v>1</v>
      </c>
      <c r="I107" t="n">
        <v>0</v>
      </c>
      <c r="J107" t="n">
        <v>0</v>
      </c>
      <c r="K107" t="n">
        <v>0</v>
      </c>
      <c r="L107" t="n">
        <v>0</v>
      </c>
      <c r="M107" t="n">
        <v>0</v>
      </c>
      <c r="N107" t="n">
        <v>0</v>
      </c>
      <c r="O107" t="n">
        <v>0</v>
      </c>
      <c r="P107" t="n">
        <v>0</v>
      </c>
      <c r="Q107" t="n">
        <v>1</v>
      </c>
      <c r="R107" s="2" t="inlineStr">
        <is>
          <t>Blåsippa</t>
        </is>
      </c>
      <c r="S107">
        <f>HYPERLINK("https://klasma.github.io/Logging_0188/artfynd/A 23905-2025 artfynd.xlsx", "A 23905-2025")</f>
        <v/>
      </c>
      <c r="T107">
        <f>HYPERLINK("https://klasma.github.io/Logging_0188/kartor/A 23905-2025 karta.png", "A 23905-2025")</f>
        <v/>
      </c>
      <c r="V107">
        <f>HYPERLINK("https://klasma.github.io/Logging_0188/klagomål/A 23905-2025 FSC-klagomål.docx", "A 23905-2025")</f>
        <v/>
      </c>
      <c r="W107">
        <f>HYPERLINK("https://klasma.github.io/Logging_0188/klagomålsmail/A 23905-2025 FSC-klagomål mail.docx", "A 23905-2025")</f>
        <v/>
      </c>
      <c r="X107">
        <f>HYPERLINK("https://klasma.github.io/Logging_0188/tillsyn/A 23905-2025 tillsynsbegäran.docx", "A 23905-2025")</f>
        <v/>
      </c>
      <c r="Y107">
        <f>HYPERLINK("https://klasma.github.io/Logging_0188/tillsynsmail/A 23905-2025 tillsynsbegäran mail.docx", "A 23905-2025")</f>
        <v/>
      </c>
    </row>
    <row r="108" ht="15" customHeight="1">
      <c r="A108" t="inlineStr">
        <is>
          <t>A 39158-2025</t>
        </is>
      </c>
      <c r="B108" s="1" t="n">
        <v>45888</v>
      </c>
      <c r="C108" s="1" t="n">
        <v>46126</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25709-2025</t>
        </is>
      </c>
      <c r="B109" s="1" t="n">
        <v>45800</v>
      </c>
      <c r="C109" s="1" t="n">
        <v>46126</v>
      </c>
      <c r="D109" t="inlineStr">
        <is>
          <t>STOCKHOLMS LÄN</t>
        </is>
      </c>
      <c r="E109" t="inlineStr">
        <is>
          <t>NORRTÄLJE</t>
        </is>
      </c>
      <c r="G109" t="n">
        <v>4.6</v>
      </c>
      <c r="H109" t="n">
        <v>0</v>
      </c>
      <c r="I109" t="n">
        <v>0</v>
      </c>
      <c r="J109" t="n">
        <v>1</v>
      </c>
      <c r="K109" t="n">
        <v>0</v>
      </c>
      <c r="L109" t="n">
        <v>0</v>
      </c>
      <c r="M109" t="n">
        <v>0</v>
      </c>
      <c r="N109" t="n">
        <v>0</v>
      </c>
      <c r="O109" t="n">
        <v>1</v>
      </c>
      <c r="P109" t="n">
        <v>0</v>
      </c>
      <c r="Q109" t="n">
        <v>1</v>
      </c>
      <c r="R109" s="2" t="inlineStr">
        <is>
          <t>Ullticka</t>
        </is>
      </c>
      <c r="S109">
        <f>HYPERLINK("https://klasma.github.io/Logging_0188/artfynd/A 25709-2025 artfynd.xlsx", "A 25709-2025")</f>
        <v/>
      </c>
      <c r="T109">
        <f>HYPERLINK("https://klasma.github.io/Logging_0188/kartor/A 25709-2025 karta.png", "A 25709-2025")</f>
        <v/>
      </c>
      <c r="V109">
        <f>HYPERLINK("https://klasma.github.io/Logging_0188/klagomål/A 25709-2025 FSC-klagomål.docx", "A 25709-2025")</f>
        <v/>
      </c>
      <c r="W109">
        <f>HYPERLINK("https://klasma.github.io/Logging_0188/klagomålsmail/A 25709-2025 FSC-klagomål mail.docx", "A 25709-2025")</f>
        <v/>
      </c>
      <c r="X109">
        <f>HYPERLINK("https://klasma.github.io/Logging_0188/tillsyn/A 25709-2025 tillsynsbegäran.docx", "A 25709-2025")</f>
        <v/>
      </c>
      <c r="Y109">
        <f>HYPERLINK("https://klasma.github.io/Logging_0188/tillsynsmail/A 25709-2025 tillsynsbegäran mail.docx", "A 25709-2025")</f>
        <v/>
      </c>
    </row>
    <row r="110" ht="15" customHeight="1">
      <c r="A110" t="inlineStr">
        <is>
          <t>A 25725-2025</t>
        </is>
      </c>
      <c r="B110" s="1" t="n">
        <v>45800</v>
      </c>
      <c r="C110" s="1" t="n">
        <v>46126</v>
      </c>
      <c r="D110" t="inlineStr">
        <is>
          <t>STOCKHOLMS LÄN</t>
        </is>
      </c>
      <c r="E110" t="inlineStr">
        <is>
          <t>NORRTÄLJE</t>
        </is>
      </c>
      <c r="G110" t="n">
        <v>5.2</v>
      </c>
      <c r="H110" t="n">
        <v>0</v>
      </c>
      <c r="I110" t="n">
        <v>0</v>
      </c>
      <c r="J110" t="n">
        <v>1</v>
      </c>
      <c r="K110" t="n">
        <v>0</v>
      </c>
      <c r="L110" t="n">
        <v>0</v>
      </c>
      <c r="M110" t="n">
        <v>0</v>
      </c>
      <c r="N110" t="n">
        <v>0</v>
      </c>
      <c r="O110" t="n">
        <v>1</v>
      </c>
      <c r="P110" t="n">
        <v>0</v>
      </c>
      <c r="Q110" t="n">
        <v>1</v>
      </c>
      <c r="R110" s="2" t="inlineStr">
        <is>
          <t>Tallticka</t>
        </is>
      </c>
      <c r="S110">
        <f>HYPERLINK("https://klasma.github.io/Logging_0188/artfynd/A 25725-2025 artfynd.xlsx", "A 25725-2025")</f>
        <v/>
      </c>
      <c r="T110">
        <f>HYPERLINK("https://klasma.github.io/Logging_0188/kartor/A 25725-2025 karta.png", "A 25725-2025")</f>
        <v/>
      </c>
      <c r="V110">
        <f>HYPERLINK("https://klasma.github.io/Logging_0188/klagomål/A 25725-2025 FSC-klagomål.docx", "A 25725-2025")</f>
        <v/>
      </c>
      <c r="W110">
        <f>HYPERLINK("https://klasma.github.io/Logging_0188/klagomålsmail/A 25725-2025 FSC-klagomål mail.docx", "A 25725-2025")</f>
        <v/>
      </c>
      <c r="X110">
        <f>HYPERLINK("https://klasma.github.io/Logging_0188/tillsyn/A 25725-2025 tillsynsbegäran.docx", "A 25725-2025")</f>
        <v/>
      </c>
      <c r="Y110">
        <f>HYPERLINK("https://klasma.github.io/Logging_0188/tillsynsmail/A 25725-2025 tillsynsbegäran mail.docx", "A 25725-2025")</f>
        <v/>
      </c>
    </row>
    <row r="111" ht="15" customHeight="1">
      <c r="A111" t="inlineStr">
        <is>
          <t>A 35649-2023</t>
        </is>
      </c>
      <c r="B111" s="1" t="n">
        <v>45146</v>
      </c>
      <c r="C111" s="1" t="n">
        <v>46126</v>
      </c>
      <c r="D111" t="inlineStr">
        <is>
          <t>STOCKHOLMS LÄN</t>
        </is>
      </c>
      <c r="E111" t="inlineStr">
        <is>
          <t>NORRTÄLJE</t>
        </is>
      </c>
      <c r="G111" t="n">
        <v>25.1</v>
      </c>
      <c r="H111" t="n">
        <v>0</v>
      </c>
      <c r="I111" t="n">
        <v>0</v>
      </c>
      <c r="J111" t="n">
        <v>1</v>
      </c>
      <c r="K111" t="n">
        <v>0</v>
      </c>
      <c r="L111" t="n">
        <v>0</v>
      </c>
      <c r="M111" t="n">
        <v>0</v>
      </c>
      <c r="N111" t="n">
        <v>0</v>
      </c>
      <c r="O111" t="n">
        <v>1</v>
      </c>
      <c r="P111" t="n">
        <v>0</v>
      </c>
      <c r="Q111" t="n">
        <v>1</v>
      </c>
      <c r="R111" s="2" t="inlineStr">
        <is>
          <t>Månlåsbräken</t>
        </is>
      </c>
      <c r="S111">
        <f>HYPERLINK("https://klasma.github.io/Logging_0188/artfynd/A 35649-2023 artfynd.xlsx", "A 35649-2023")</f>
        <v/>
      </c>
      <c r="T111">
        <f>HYPERLINK("https://klasma.github.io/Logging_0188/kartor/A 35649-2023 karta.png", "A 35649-2023")</f>
        <v/>
      </c>
      <c r="V111">
        <f>HYPERLINK("https://klasma.github.io/Logging_0188/klagomål/A 35649-2023 FSC-klagomål.docx", "A 35649-2023")</f>
        <v/>
      </c>
      <c r="W111">
        <f>HYPERLINK("https://klasma.github.io/Logging_0188/klagomålsmail/A 35649-2023 FSC-klagomål mail.docx", "A 35649-2023")</f>
        <v/>
      </c>
      <c r="X111">
        <f>HYPERLINK("https://klasma.github.io/Logging_0188/tillsyn/A 35649-2023 tillsynsbegäran.docx", "A 35649-2023")</f>
        <v/>
      </c>
      <c r="Y111">
        <f>HYPERLINK("https://klasma.github.io/Logging_0188/tillsynsmail/A 35649-2023 tillsynsbegäran mail.docx", "A 35649-2023")</f>
        <v/>
      </c>
    </row>
    <row r="112" ht="15" customHeight="1">
      <c r="A112" t="inlineStr">
        <is>
          <t>A 35764-2024</t>
        </is>
      </c>
      <c r="B112" s="1" t="n">
        <v>45532</v>
      </c>
      <c r="C112" s="1" t="n">
        <v>46126</v>
      </c>
      <c r="D112" t="inlineStr">
        <is>
          <t>STOCKHOLMS LÄN</t>
        </is>
      </c>
      <c r="E112" t="inlineStr">
        <is>
          <t>NORRTÄLJE</t>
        </is>
      </c>
      <c r="G112" t="n">
        <v>14.2</v>
      </c>
      <c r="H112" t="n">
        <v>1</v>
      </c>
      <c r="I112" t="n">
        <v>0</v>
      </c>
      <c r="J112" t="n">
        <v>0</v>
      </c>
      <c r="K112" t="n">
        <v>1</v>
      </c>
      <c r="L112" t="n">
        <v>0</v>
      </c>
      <c r="M112" t="n">
        <v>0</v>
      </c>
      <c r="N112" t="n">
        <v>0</v>
      </c>
      <c r="O112" t="n">
        <v>1</v>
      </c>
      <c r="P112" t="n">
        <v>1</v>
      </c>
      <c r="Q112" t="n">
        <v>1</v>
      </c>
      <c r="R112" s="2" t="inlineStr">
        <is>
          <t>Knärot</t>
        </is>
      </c>
      <c r="S112">
        <f>HYPERLINK("https://klasma.github.io/Logging_0188/artfynd/A 35764-2024 artfynd.xlsx", "A 35764-2024")</f>
        <v/>
      </c>
      <c r="T112">
        <f>HYPERLINK("https://klasma.github.io/Logging_0188/kartor/A 35764-2024 karta.png", "A 35764-2024")</f>
        <v/>
      </c>
      <c r="U112">
        <f>HYPERLINK("https://klasma.github.io/Logging_0188/knärot/A 35764-2024 karta knärot.png", "A 35764-2024")</f>
        <v/>
      </c>
      <c r="V112">
        <f>HYPERLINK("https://klasma.github.io/Logging_0188/klagomål/A 35764-2024 FSC-klagomål.docx", "A 35764-2024")</f>
        <v/>
      </c>
      <c r="W112">
        <f>HYPERLINK("https://klasma.github.io/Logging_0188/klagomålsmail/A 35764-2024 FSC-klagomål mail.docx", "A 35764-2024")</f>
        <v/>
      </c>
      <c r="X112">
        <f>HYPERLINK("https://klasma.github.io/Logging_0188/tillsyn/A 35764-2024 tillsynsbegäran.docx", "A 35764-2024")</f>
        <v/>
      </c>
      <c r="Y112">
        <f>HYPERLINK("https://klasma.github.io/Logging_0188/tillsynsmail/A 35764-2024 tillsynsbegäran mail.docx", "A 35764-2024")</f>
        <v/>
      </c>
    </row>
    <row r="113" ht="15" customHeight="1">
      <c r="A113" t="inlineStr">
        <is>
          <t>A 25669-2025</t>
        </is>
      </c>
      <c r="B113" s="1" t="n">
        <v>45803.62766203703</v>
      </c>
      <c r="C113" s="1" t="n">
        <v>46126</v>
      </c>
      <c r="D113" t="inlineStr">
        <is>
          <t>STOCKHOLMS LÄN</t>
        </is>
      </c>
      <c r="E113" t="inlineStr">
        <is>
          <t>NORRTÄLJE</t>
        </is>
      </c>
      <c r="F113" t="inlineStr">
        <is>
          <t>Holmen skog AB</t>
        </is>
      </c>
      <c r="G113" t="n">
        <v>3.1</v>
      </c>
      <c r="H113" t="n">
        <v>1</v>
      </c>
      <c r="I113" t="n">
        <v>0</v>
      </c>
      <c r="J113" t="n">
        <v>0</v>
      </c>
      <c r="K113" t="n">
        <v>0</v>
      </c>
      <c r="L113" t="n">
        <v>0</v>
      </c>
      <c r="M113" t="n">
        <v>0</v>
      </c>
      <c r="N113" t="n">
        <v>0</v>
      </c>
      <c r="O113" t="n">
        <v>0</v>
      </c>
      <c r="P113" t="n">
        <v>0</v>
      </c>
      <c r="Q113" t="n">
        <v>1</v>
      </c>
      <c r="R113" s="2" t="inlineStr">
        <is>
          <t>Tjäder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58888-2021</t>
        </is>
      </c>
      <c r="B114" s="1" t="n">
        <v>44489</v>
      </c>
      <c r="C114" s="1" t="n">
        <v>46126</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6381-2023</t>
        </is>
      </c>
      <c r="B115" s="1" t="n">
        <v>44965</v>
      </c>
      <c r="C115" s="1" t="n">
        <v>46126</v>
      </c>
      <c r="D115" t="inlineStr">
        <is>
          <t>STOCKHOLMS LÄN</t>
        </is>
      </c>
      <c r="E115" t="inlineStr">
        <is>
          <t>NORRTÄLJE</t>
        </is>
      </c>
      <c r="G115" t="n">
        <v>3.5</v>
      </c>
      <c r="H115" t="n">
        <v>1</v>
      </c>
      <c r="I115" t="n">
        <v>1</v>
      </c>
      <c r="J115" t="n">
        <v>0</v>
      </c>
      <c r="K115" t="n">
        <v>0</v>
      </c>
      <c r="L115" t="n">
        <v>0</v>
      </c>
      <c r="M115" t="n">
        <v>0</v>
      </c>
      <c r="N115" t="n">
        <v>0</v>
      </c>
      <c r="O115" t="n">
        <v>0</v>
      </c>
      <c r="P115" t="n">
        <v>0</v>
      </c>
      <c r="Q115" t="n">
        <v>1</v>
      </c>
      <c r="R115" s="2" t="inlineStr">
        <is>
          <t>Guckusko</t>
        </is>
      </c>
      <c r="S115">
        <f>HYPERLINK("https://klasma.github.io/Logging_0188/artfynd/A 6381-2023 artfynd.xlsx", "A 6381-2023")</f>
        <v/>
      </c>
      <c r="T115">
        <f>HYPERLINK("https://klasma.github.io/Logging_0188/kartor/A 6381-2023 karta.png", "A 6381-2023")</f>
        <v/>
      </c>
      <c r="V115">
        <f>HYPERLINK("https://klasma.github.io/Logging_0188/klagomål/A 6381-2023 FSC-klagomål.docx", "A 6381-2023")</f>
        <v/>
      </c>
      <c r="W115">
        <f>HYPERLINK("https://klasma.github.io/Logging_0188/klagomålsmail/A 6381-2023 FSC-klagomål mail.docx", "A 6381-2023")</f>
        <v/>
      </c>
      <c r="X115">
        <f>HYPERLINK("https://klasma.github.io/Logging_0188/tillsyn/A 6381-2023 tillsynsbegäran.docx", "A 6381-2023")</f>
        <v/>
      </c>
      <c r="Y115">
        <f>HYPERLINK("https://klasma.github.io/Logging_0188/tillsynsmail/A 6381-2023 tillsynsbegäran mail.docx", "A 6381-2023")</f>
        <v/>
      </c>
    </row>
    <row r="116" ht="15" customHeight="1">
      <c r="A116" t="inlineStr">
        <is>
          <t>A 27538-2024</t>
        </is>
      </c>
      <c r="B116" s="1" t="n">
        <v>45474</v>
      </c>
      <c r="C116" s="1" t="n">
        <v>46126</v>
      </c>
      <c r="D116" t="inlineStr">
        <is>
          <t>STOCKHOLMS LÄN</t>
        </is>
      </c>
      <c r="E116" t="inlineStr">
        <is>
          <t>NORRTÄLJE</t>
        </is>
      </c>
      <c r="G116" t="n">
        <v>1.5</v>
      </c>
      <c r="H116" t="n">
        <v>1</v>
      </c>
      <c r="I116" t="n">
        <v>1</v>
      </c>
      <c r="J116" t="n">
        <v>0</v>
      </c>
      <c r="K116" t="n">
        <v>0</v>
      </c>
      <c r="L116" t="n">
        <v>0</v>
      </c>
      <c r="M116" t="n">
        <v>0</v>
      </c>
      <c r="N116" t="n">
        <v>0</v>
      </c>
      <c r="O116" t="n">
        <v>0</v>
      </c>
      <c r="P116" t="n">
        <v>0</v>
      </c>
      <c r="Q116" t="n">
        <v>1</v>
      </c>
      <c r="R116" s="2" t="inlineStr">
        <is>
          <t>Skogsknipprot</t>
        </is>
      </c>
      <c r="S116">
        <f>HYPERLINK("https://klasma.github.io/Logging_0188/artfynd/A 27538-2024 artfynd.xlsx", "A 27538-2024")</f>
        <v/>
      </c>
      <c r="T116">
        <f>HYPERLINK("https://klasma.github.io/Logging_0188/kartor/A 27538-2024 karta.png", "A 27538-2024")</f>
        <v/>
      </c>
      <c r="V116">
        <f>HYPERLINK("https://klasma.github.io/Logging_0188/klagomål/A 27538-2024 FSC-klagomål.docx", "A 27538-2024")</f>
        <v/>
      </c>
      <c r="W116">
        <f>HYPERLINK("https://klasma.github.io/Logging_0188/klagomålsmail/A 27538-2024 FSC-klagomål mail.docx", "A 27538-2024")</f>
        <v/>
      </c>
      <c r="X116">
        <f>HYPERLINK("https://klasma.github.io/Logging_0188/tillsyn/A 27538-2024 tillsynsbegäran.docx", "A 27538-2024")</f>
        <v/>
      </c>
      <c r="Y116">
        <f>HYPERLINK("https://klasma.github.io/Logging_0188/tillsynsmail/A 27538-2024 tillsynsbegäran mail.docx", "A 27538-2024")</f>
        <v/>
      </c>
    </row>
    <row r="117" ht="15" customHeight="1">
      <c r="A117" t="inlineStr">
        <is>
          <t>A 52775-2025</t>
        </is>
      </c>
      <c r="B117" s="1" t="n">
        <v>45957.41608796296</v>
      </c>
      <c r="C117" s="1" t="n">
        <v>46126</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29946-2025</t>
        </is>
      </c>
      <c r="B118" s="1" t="n">
        <v>45826.46392361111</v>
      </c>
      <c r="C118" s="1" t="n">
        <v>46126</v>
      </c>
      <c r="D118" t="inlineStr">
        <is>
          <t>STOCKHOLMS LÄN</t>
        </is>
      </c>
      <c r="E118" t="inlineStr">
        <is>
          <t>NORRTÄLJE</t>
        </is>
      </c>
      <c r="F118" t="inlineStr">
        <is>
          <t>Holmen skog AB</t>
        </is>
      </c>
      <c r="G118" t="n">
        <v>3.6</v>
      </c>
      <c r="H118" t="n">
        <v>1</v>
      </c>
      <c r="I118" t="n">
        <v>0</v>
      </c>
      <c r="J118" t="n">
        <v>0</v>
      </c>
      <c r="K118" t="n">
        <v>0</v>
      </c>
      <c r="L118" t="n">
        <v>1</v>
      </c>
      <c r="M118" t="n">
        <v>0</v>
      </c>
      <c r="N118" t="n">
        <v>0</v>
      </c>
      <c r="O118" t="n">
        <v>1</v>
      </c>
      <c r="P118" t="n">
        <v>1</v>
      </c>
      <c r="Q118" t="n">
        <v>1</v>
      </c>
      <c r="R118" s="2" t="inlineStr">
        <is>
          <t>Asknätfjäril</t>
        </is>
      </c>
      <c r="S118">
        <f>HYPERLINK("https://klasma.github.io/Logging_0188/artfynd/A 29946-2025 artfynd.xlsx", "A 29946-2025")</f>
        <v/>
      </c>
      <c r="T118">
        <f>HYPERLINK("https://klasma.github.io/Logging_0188/kartor/A 29946-2025 karta.png", "A 29946-2025")</f>
        <v/>
      </c>
      <c r="V118">
        <f>HYPERLINK("https://klasma.github.io/Logging_0188/klagomål/A 29946-2025 FSC-klagomål.docx", "A 29946-2025")</f>
        <v/>
      </c>
      <c r="W118">
        <f>HYPERLINK("https://klasma.github.io/Logging_0188/klagomålsmail/A 29946-2025 FSC-klagomål mail.docx", "A 29946-2025")</f>
        <v/>
      </c>
      <c r="X118">
        <f>HYPERLINK("https://klasma.github.io/Logging_0188/tillsyn/A 29946-2025 tillsynsbegäran.docx", "A 29946-2025")</f>
        <v/>
      </c>
      <c r="Y118">
        <f>HYPERLINK("https://klasma.github.io/Logging_0188/tillsynsmail/A 29946-2025 tillsynsbegäran mail.docx", "A 29946-2025")</f>
        <v/>
      </c>
    </row>
    <row r="119" ht="15" customHeight="1">
      <c r="A119" t="inlineStr">
        <is>
          <t>A 53716-2025</t>
        </is>
      </c>
      <c r="B119" s="1" t="n">
        <v>45960.61782407408</v>
      </c>
      <c r="C119" s="1" t="n">
        <v>46126</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4385-2023</t>
        </is>
      </c>
      <c r="B120" s="1" t="n">
        <v>44955.71322916666</v>
      </c>
      <c r="C120" s="1" t="n">
        <v>46126</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16870-2025</t>
        </is>
      </c>
      <c r="B121" s="1" t="n">
        <v>45754</v>
      </c>
      <c r="C121" s="1" t="n">
        <v>46126</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33546-2025</t>
        </is>
      </c>
      <c r="B122" s="1" t="n">
        <v>45841.56996527778</v>
      </c>
      <c r="C122" s="1" t="n">
        <v>46126</v>
      </c>
      <c r="D122" t="inlineStr">
        <is>
          <t>STOCKHOLMS LÄN</t>
        </is>
      </c>
      <c r="E122" t="inlineStr">
        <is>
          <t>NORRTÄLJE</t>
        </is>
      </c>
      <c r="G122" t="n">
        <v>7.2</v>
      </c>
      <c r="H122" t="n">
        <v>1</v>
      </c>
      <c r="I122" t="n">
        <v>1</v>
      </c>
      <c r="J122" t="n">
        <v>0</v>
      </c>
      <c r="K122" t="n">
        <v>0</v>
      </c>
      <c r="L122" t="n">
        <v>0</v>
      </c>
      <c r="M122" t="n">
        <v>0</v>
      </c>
      <c r="N122" t="n">
        <v>0</v>
      </c>
      <c r="O122" t="n">
        <v>0</v>
      </c>
      <c r="P122" t="n">
        <v>0</v>
      </c>
      <c r="Q122" t="n">
        <v>1</v>
      </c>
      <c r="R122" s="2" t="inlineStr">
        <is>
          <t>Nästrot</t>
        </is>
      </c>
      <c r="S122">
        <f>HYPERLINK("https://klasma.github.io/Logging_0188/artfynd/A 33546-2025 artfynd.xlsx", "A 33546-2025")</f>
        <v/>
      </c>
      <c r="T122">
        <f>HYPERLINK("https://klasma.github.io/Logging_0188/kartor/A 33546-2025 karta.png", "A 33546-2025")</f>
        <v/>
      </c>
      <c r="V122">
        <f>HYPERLINK("https://klasma.github.io/Logging_0188/klagomål/A 33546-2025 FSC-klagomål.docx", "A 33546-2025")</f>
        <v/>
      </c>
      <c r="W122">
        <f>HYPERLINK("https://klasma.github.io/Logging_0188/klagomålsmail/A 33546-2025 FSC-klagomål mail.docx", "A 33546-2025")</f>
        <v/>
      </c>
      <c r="X122">
        <f>HYPERLINK("https://klasma.github.io/Logging_0188/tillsyn/A 33546-2025 tillsynsbegäran.docx", "A 33546-2025")</f>
        <v/>
      </c>
      <c r="Y122">
        <f>HYPERLINK("https://klasma.github.io/Logging_0188/tillsynsmail/A 33546-2025 tillsynsbegäran mail.docx", "A 33546-2025")</f>
        <v/>
      </c>
    </row>
    <row r="123" ht="15" customHeight="1">
      <c r="A123" t="inlineStr">
        <is>
          <t>A 24330-2023</t>
        </is>
      </c>
      <c r="B123" s="1" t="n">
        <v>45081</v>
      </c>
      <c r="C123" s="1" t="n">
        <v>46126</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46126</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59682-2025</t>
        </is>
      </c>
      <c r="B125" s="1" t="n">
        <v>45992.47116898148</v>
      </c>
      <c r="C125" s="1" t="n">
        <v>46126</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26635-2023</t>
        </is>
      </c>
      <c r="B126" s="1" t="n">
        <v>45092</v>
      </c>
      <c r="C126" s="1" t="n">
        <v>46126</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46126</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8371-2025</t>
        </is>
      </c>
      <c r="B128" s="1" t="n">
        <v>45708</v>
      </c>
      <c r="C128" s="1" t="n">
        <v>46126</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62715-2025</t>
        </is>
      </c>
      <c r="B129" s="1" t="n">
        <v>46008.52034722222</v>
      </c>
      <c r="C129" s="1" t="n">
        <v>46126</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63292-2025</t>
        </is>
      </c>
      <c r="B130" s="1" t="n">
        <v>46010.59232638889</v>
      </c>
      <c r="C130" s="1" t="n">
        <v>46126</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19829-2022</t>
        </is>
      </c>
      <c r="B131" s="1" t="n">
        <v>44695.43527777777</v>
      </c>
      <c r="C131" s="1" t="n">
        <v>46126</v>
      </c>
      <c r="D131" t="inlineStr">
        <is>
          <t>STOCKHOLMS LÄN</t>
        </is>
      </c>
      <c r="E131" t="inlineStr">
        <is>
          <t>NORRTÄLJE</t>
        </is>
      </c>
      <c r="G131" t="n">
        <v>2</v>
      </c>
      <c r="H131" t="n">
        <v>1</v>
      </c>
      <c r="I131" t="n">
        <v>1</v>
      </c>
      <c r="J131" t="n">
        <v>0</v>
      </c>
      <c r="K131" t="n">
        <v>0</v>
      </c>
      <c r="L131" t="n">
        <v>0</v>
      </c>
      <c r="M131" t="n">
        <v>0</v>
      </c>
      <c r="N131" t="n">
        <v>0</v>
      </c>
      <c r="O131" t="n">
        <v>0</v>
      </c>
      <c r="P131" t="n">
        <v>0</v>
      </c>
      <c r="Q131" t="n">
        <v>1</v>
      </c>
      <c r="R131" s="2" t="inlineStr">
        <is>
          <t>Guckusko</t>
        </is>
      </c>
      <c r="S131">
        <f>HYPERLINK("https://klasma.github.io/Logging_0188/artfynd/A 19829-2022 artfynd.xlsx", "A 19829-2022")</f>
        <v/>
      </c>
      <c r="T131">
        <f>HYPERLINK("https://klasma.github.io/Logging_0188/kartor/A 19829-2022 karta.png", "A 19829-2022")</f>
        <v/>
      </c>
      <c r="V131">
        <f>HYPERLINK("https://klasma.github.io/Logging_0188/klagomål/A 19829-2022 FSC-klagomål.docx", "A 19829-2022")</f>
        <v/>
      </c>
      <c r="W131">
        <f>HYPERLINK("https://klasma.github.io/Logging_0188/klagomålsmail/A 19829-2022 FSC-klagomål mail.docx", "A 19829-2022")</f>
        <v/>
      </c>
      <c r="X131">
        <f>HYPERLINK("https://klasma.github.io/Logging_0188/tillsyn/A 19829-2022 tillsynsbegäran.docx", "A 19829-2022")</f>
        <v/>
      </c>
      <c r="Y131">
        <f>HYPERLINK("https://klasma.github.io/Logging_0188/tillsynsmail/A 19829-2022 tillsynsbegäran mail.docx", "A 19829-2022")</f>
        <v/>
      </c>
    </row>
    <row r="132" ht="15" customHeight="1">
      <c r="A132" t="inlineStr">
        <is>
          <t>A 35691-2023</t>
        </is>
      </c>
      <c r="B132" s="1" t="n">
        <v>45147.65222222222</v>
      </c>
      <c r="C132" s="1" t="n">
        <v>46126</v>
      </c>
      <c r="D132" t="inlineStr">
        <is>
          <t>STOCKHOLMS LÄN</t>
        </is>
      </c>
      <c r="E132" t="inlineStr">
        <is>
          <t>NORRTÄLJE</t>
        </is>
      </c>
      <c r="G132" t="n">
        <v>2.3</v>
      </c>
      <c r="H132" t="n">
        <v>1</v>
      </c>
      <c r="I132" t="n">
        <v>0</v>
      </c>
      <c r="J132" t="n">
        <v>0</v>
      </c>
      <c r="K132" t="n">
        <v>0</v>
      </c>
      <c r="L132" t="n">
        <v>0</v>
      </c>
      <c r="M132" t="n">
        <v>0</v>
      </c>
      <c r="N132" t="n">
        <v>0</v>
      </c>
      <c r="O132" t="n">
        <v>0</v>
      </c>
      <c r="P132" t="n">
        <v>0</v>
      </c>
      <c r="Q132" t="n">
        <v>1</v>
      </c>
      <c r="R132" s="2" t="inlineStr">
        <is>
          <t>Kungsfågel</t>
        </is>
      </c>
      <c r="S132">
        <f>HYPERLINK("https://klasma.github.io/Logging_0188/artfynd/A 35691-2023 artfynd.xlsx", "A 35691-2023")</f>
        <v/>
      </c>
      <c r="T132">
        <f>HYPERLINK("https://klasma.github.io/Logging_0188/kartor/A 35691-2023 karta.png", "A 35691-2023")</f>
        <v/>
      </c>
      <c r="V132">
        <f>HYPERLINK("https://klasma.github.io/Logging_0188/klagomål/A 35691-2023 FSC-klagomål.docx", "A 35691-2023")</f>
        <v/>
      </c>
      <c r="W132">
        <f>HYPERLINK("https://klasma.github.io/Logging_0188/klagomålsmail/A 35691-2023 FSC-klagomål mail.docx", "A 35691-2023")</f>
        <v/>
      </c>
      <c r="X132">
        <f>HYPERLINK("https://klasma.github.io/Logging_0188/tillsyn/A 35691-2023 tillsynsbegäran.docx", "A 35691-2023")</f>
        <v/>
      </c>
      <c r="Y132">
        <f>HYPERLINK("https://klasma.github.io/Logging_0188/tillsynsmail/A 35691-2023 tillsynsbegäran mail.docx", "A 35691-2023")</f>
        <v/>
      </c>
      <c r="Z132">
        <f>HYPERLINK("https://klasma.github.io/Logging_0188/fåglar/A 35691-2023 prioriterade fågelarter.docx", "A 35691-2023")</f>
        <v/>
      </c>
    </row>
    <row r="133" ht="15" customHeight="1">
      <c r="A133" t="inlineStr">
        <is>
          <t>A 35693-2023</t>
        </is>
      </c>
      <c r="B133" s="1" t="n">
        <v>45147.65311342593</v>
      </c>
      <c r="C133" s="1" t="n">
        <v>46126</v>
      </c>
      <c r="D133" t="inlineStr">
        <is>
          <t>STOCKHOLMS LÄN</t>
        </is>
      </c>
      <c r="E133" t="inlineStr">
        <is>
          <t>NORRTÄLJE</t>
        </is>
      </c>
      <c r="G133" t="n">
        <v>2.2</v>
      </c>
      <c r="H133" t="n">
        <v>0</v>
      </c>
      <c r="I133" t="n">
        <v>0</v>
      </c>
      <c r="J133" t="n">
        <v>1</v>
      </c>
      <c r="K133" t="n">
        <v>0</v>
      </c>
      <c r="L133" t="n">
        <v>0</v>
      </c>
      <c r="M133" t="n">
        <v>0</v>
      </c>
      <c r="N133" t="n">
        <v>0</v>
      </c>
      <c r="O133" t="n">
        <v>1</v>
      </c>
      <c r="P133" t="n">
        <v>0</v>
      </c>
      <c r="Q133" t="n">
        <v>1</v>
      </c>
      <c r="R133" s="2" t="inlineStr">
        <is>
          <t>Motaggsvamp</t>
        </is>
      </c>
      <c r="S133">
        <f>HYPERLINK("https://klasma.github.io/Logging_0188/artfynd/A 35693-2023 artfynd.xlsx", "A 35693-2023")</f>
        <v/>
      </c>
      <c r="T133">
        <f>HYPERLINK("https://klasma.github.io/Logging_0188/kartor/A 35693-2023 karta.png", "A 35693-2023")</f>
        <v/>
      </c>
      <c r="V133">
        <f>HYPERLINK("https://klasma.github.io/Logging_0188/klagomål/A 35693-2023 FSC-klagomål.docx", "A 35693-2023")</f>
        <v/>
      </c>
      <c r="W133">
        <f>HYPERLINK("https://klasma.github.io/Logging_0188/klagomålsmail/A 35693-2023 FSC-klagomål mail.docx", "A 35693-2023")</f>
        <v/>
      </c>
      <c r="X133">
        <f>HYPERLINK("https://klasma.github.io/Logging_0188/tillsyn/A 35693-2023 tillsynsbegäran.docx", "A 35693-2023")</f>
        <v/>
      </c>
      <c r="Y133">
        <f>HYPERLINK("https://klasma.github.io/Logging_0188/tillsynsmail/A 35693-2023 tillsynsbegäran mail.docx", "A 35693-2023")</f>
        <v/>
      </c>
    </row>
    <row r="134" ht="15" customHeight="1">
      <c r="A134" t="inlineStr">
        <is>
          <t>A 364-2026</t>
        </is>
      </c>
      <c r="B134" s="1" t="n">
        <v>46027.67134259259</v>
      </c>
      <c r="C134" s="1" t="n">
        <v>46126</v>
      </c>
      <c r="D134" t="inlineStr">
        <is>
          <t>STOCKHOLMS LÄN</t>
        </is>
      </c>
      <c r="E134" t="inlineStr">
        <is>
          <t>NORRTÄLJE</t>
        </is>
      </c>
      <c r="F134" t="inlineStr">
        <is>
          <t>Holmen skog AB</t>
        </is>
      </c>
      <c r="G134" t="n">
        <v>4.3</v>
      </c>
      <c r="H134" t="n">
        <v>1</v>
      </c>
      <c r="I134" t="n">
        <v>0</v>
      </c>
      <c r="J134" t="n">
        <v>0</v>
      </c>
      <c r="K134" t="n">
        <v>0</v>
      </c>
      <c r="L134" t="n">
        <v>1</v>
      </c>
      <c r="M134" t="n">
        <v>0</v>
      </c>
      <c r="N134" t="n">
        <v>0</v>
      </c>
      <c r="O134" t="n">
        <v>1</v>
      </c>
      <c r="P134" t="n">
        <v>1</v>
      </c>
      <c r="Q134" t="n">
        <v>1</v>
      </c>
      <c r="R134" s="2" t="inlineStr">
        <is>
          <t>Asknätfjäril</t>
        </is>
      </c>
      <c r="S134">
        <f>HYPERLINK("https://klasma.github.io/Logging_0188/artfynd/A 364-2026 artfynd.xlsx", "A 364-2026")</f>
        <v/>
      </c>
      <c r="T134">
        <f>HYPERLINK("https://klasma.github.io/Logging_0188/kartor/A 364-2026 karta.png", "A 364-2026")</f>
        <v/>
      </c>
      <c r="V134">
        <f>HYPERLINK("https://klasma.github.io/Logging_0188/klagomål/A 364-2026 FSC-klagomål.docx", "A 364-2026")</f>
        <v/>
      </c>
      <c r="W134">
        <f>HYPERLINK("https://klasma.github.io/Logging_0188/klagomålsmail/A 364-2026 FSC-klagomål mail.docx", "A 364-2026")</f>
        <v/>
      </c>
      <c r="X134">
        <f>HYPERLINK("https://klasma.github.io/Logging_0188/tillsyn/A 364-2026 tillsynsbegäran.docx", "A 364-2026")</f>
        <v/>
      </c>
      <c r="Y134">
        <f>HYPERLINK("https://klasma.github.io/Logging_0188/tillsynsmail/A 364-2026 tillsynsbegäran mail.docx", "A 364-2026")</f>
        <v/>
      </c>
    </row>
    <row r="135" ht="15" customHeight="1">
      <c r="A135" t="inlineStr">
        <is>
          <t>A 7734-2026</t>
        </is>
      </c>
      <c r="B135" s="1" t="n">
        <v>46062.52902777777</v>
      </c>
      <c r="C135" s="1" t="n">
        <v>46126</v>
      </c>
      <c r="D135" t="inlineStr">
        <is>
          <t>STOCKHOLMS LÄN</t>
        </is>
      </c>
      <c r="E135" t="inlineStr">
        <is>
          <t>NORRTÄLJE</t>
        </is>
      </c>
      <c r="G135" t="n">
        <v>6.6</v>
      </c>
      <c r="H135" t="n">
        <v>0</v>
      </c>
      <c r="I135" t="n">
        <v>1</v>
      </c>
      <c r="J135" t="n">
        <v>0</v>
      </c>
      <c r="K135" t="n">
        <v>0</v>
      </c>
      <c r="L135" t="n">
        <v>0</v>
      </c>
      <c r="M135" t="n">
        <v>0</v>
      </c>
      <c r="N135" t="n">
        <v>0</v>
      </c>
      <c r="O135" t="n">
        <v>0</v>
      </c>
      <c r="P135" t="n">
        <v>0</v>
      </c>
      <c r="Q135" t="n">
        <v>1</v>
      </c>
      <c r="R135" s="2" t="inlineStr">
        <is>
          <t>Kastanjefjällskivling</t>
        </is>
      </c>
      <c r="S135">
        <f>HYPERLINK("https://klasma.github.io/Logging_0188/artfynd/A 7734-2026 artfynd.xlsx", "A 7734-2026")</f>
        <v/>
      </c>
      <c r="T135">
        <f>HYPERLINK("https://klasma.github.io/Logging_0188/kartor/A 7734-2026 karta.png", "A 7734-2026")</f>
        <v/>
      </c>
      <c r="V135">
        <f>HYPERLINK("https://klasma.github.io/Logging_0188/klagomål/A 7734-2026 FSC-klagomål.docx", "A 7734-2026")</f>
        <v/>
      </c>
      <c r="W135">
        <f>HYPERLINK("https://klasma.github.io/Logging_0188/klagomålsmail/A 7734-2026 FSC-klagomål mail.docx", "A 7734-2026")</f>
        <v/>
      </c>
      <c r="X135">
        <f>HYPERLINK("https://klasma.github.io/Logging_0188/tillsyn/A 7734-2026 tillsynsbegäran.docx", "A 7734-2026")</f>
        <v/>
      </c>
      <c r="Y135">
        <f>HYPERLINK("https://klasma.github.io/Logging_0188/tillsynsmail/A 7734-2026 tillsynsbegäran mail.docx", "A 7734-2026")</f>
        <v/>
      </c>
    </row>
    <row r="136" ht="15" customHeight="1">
      <c r="A136" t="inlineStr">
        <is>
          <t>A 4532-2025</t>
        </is>
      </c>
      <c r="B136" s="1" t="n">
        <v>45687.34177083334</v>
      </c>
      <c r="C136" s="1" t="n">
        <v>46126</v>
      </c>
      <c r="D136" t="inlineStr">
        <is>
          <t>STOCKHOLMS LÄN</t>
        </is>
      </c>
      <c r="E136" t="inlineStr">
        <is>
          <t>NORRTÄLJE</t>
        </is>
      </c>
      <c r="F136" t="inlineStr">
        <is>
          <t>Holmen skog AB</t>
        </is>
      </c>
      <c r="G136" t="n">
        <v>6.4</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4532-2025 artfynd.xlsx", "A 4532-2025")</f>
        <v/>
      </c>
      <c r="T136">
        <f>HYPERLINK("https://klasma.github.io/Logging_0188/kartor/A 4532-2025 karta.png", "A 4532-2025")</f>
        <v/>
      </c>
      <c r="V136">
        <f>HYPERLINK("https://klasma.github.io/Logging_0188/klagomål/A 4532-2025 FSC-klagomål.docx", "A 4532-2025")</f>
        <v/>
      </c>
      <c r="W136">
        <f>HYPERLINK("https://klasma.github.io/Logging_0188/klagomålsmail/A 4532-2025 FSC-klagomål mail.docx", "A 4532-2025")</f>
        <v/>
      </c>
      <c r="X136">
        <f>HYPERLINK("https://klasma.github.io/Logging_0188/tillsyn/A 4532-2025 tillsynsbegäran.docx", "A 4532-2025")</f>
        <v/>
      </c>
      <c r="Y136">
        <f>HYPERLINK("https://klasma.github.io/Logging_0188/tillsynsmail/A 4532-2025 tillsynsbegäran mail.docx", "A 4532-2025")</f>
        <v/>
      </c>
    </row>
    <row r="137" ht="15" customHeight="1">
      <c r="A137" t="inlineStr">
        <is>
          <t>A 15886-2026</t>
        </is>
      </c>
      <c r="B137" s="1" t="n">
        <v>46107</v>
      </c>
      <c r="C137" s="1" t="n">
        <v>46126</v>
      </c>
      <c r="D137" t="inlineStr">
        <is>
          <t>STOCKHOLMS LÄN</t>
        </is>
      </c>
      <c r="E137" t="inlineStr">
        <is>
          <t>NORRTÄLJE</t>
        </is>
      </c>
      <c r="G137" t="n">
        <v>1.3</v>
      </c>
      <c r="H137" t="n">
        <v>1</v>
      </c>
      <c r="I137" t="n">
        <v>0</v>
      </c>
      <c r="J137" t="n">
        <v>0</v>
      </c>
      <c r="K137" t="n">
        <v>0</v>
      </c>
      <c r="L137" t="n">
        <v>1</v>
      </c>
      <c r="M137" t="n">
        <v>0</v>
      </c>
      <c r="N137" t="n">
        <v>0</v>
      </c>
      <c r="O137" t="n">
        <v>1</v>
      </c>
      <c r="P137" t="n">
        <v>1</v>
      </c>
      <c r="Q137" t="n">
        <v>1</v>
      </c>
      <c r="R137" s="2" t="inlineStr">
        <is>
          <t>Grönfink</t>
        </is>
      </c>
      <c r="S137">
        <f>HYPERLINK("https://klasma.github.io/Logging_0188/artfynd/A 15886-2026 artfynd.xlsx", "A 15886-2026")</f>
        <v/>
      </c>
      <c r="T137">
        <f>HYPERLINK("https://klasma.github.io/Logging_0188/kartor/A 15886-2026 karta.png", "A 15886-2026")</f>
        <v/>
      </c>
      <c r="V137">
        <f>HYPERLINK("https://klasma.github.io/Logging_0188/klagomål/A 15886-2026 FSC-klagomål.docx", "A 15886-2026")</f>
        <v/>
      </c>
      <c r="W137">
        <f>HYPERLINK("https://klasma.github.io/Logging_0188/klagomålsmail/A 15886-2026 FSC-klagomål mail.docx", "A 15886-2026")</f>
        <v/>
      </c>
      <c r="X137">
        <f>HYPERLINK("https://klasma.github.io/Logging_0188/tillsyn/A 15886-2026 tillsynsbegäran.docx", "A 15886-2026")</f>
        <v/>
      </c>
      <c r="Y137">
        <f>HYPERLINK("https://klasma.github.io/Logging_0188/tillsynsmail/A 15886-2026 tillsynsbegäran mail.docx", "A 15886-2026")</f>
        <v/>
      </c>
      <c r="Z137">
        <f>HYPERLINK("https://klasma.github.io/Logging_0188/fåglar/A 15886-2026 prioriterade fågelarter.docx", "A 15886-2026")</f>
        <v/>
      </c>
    </row>
    <row r="138" ht="15" customHeight="1">
      <c r="A138" t="inlineStr">
        <is>
          <t>A 14365-2025</t>
        </is>
      </c>
      <c r="B138" s="1" t="n">
        <v>45741.38688657407</v>
      </c>
      <c r="C138" s="1" t="n">
        <v>46126</v>
      </c>
      <c r="D138" t="inlineStr">
        <is>
          <t>STOCKHOLMS LÄN</t>
        </is>
      </c>
      <c r="E138" t="inlineStr">
        <is>
          <t>NORRTÄLJE</t>
        </is>
      </c>
      <c r="G138" t="n">
        <v>2.4</v>
      </c>
      <c r="H138" t="n">
        <v>0</v>
      </c>
      <c r="I138" t="n">
        <v>0</v>
      </c>
      <c r="J138" t="n">
        <v>1</v>
      </c>
      <c r="K138" t="n">
        <v>0</v>
      </c>
      <c r="L138" t="n">
        <v>0</v>
      </c>
      <c r="M138" t="n">
        <v>0</v>
      </c>
      <c r="N138" t="n">
        <v>0</v>
      </c>
      <c r="O138" t="n">
        <v>1</v>
      </c>
      <c r="P138" t="n">
        <v>0</v>
      </c>
      <c r="Q138" t="n">
        <v>1</v>
      </c>
      <c r="R138" s="2" t="inlineStr">
        <is>
          <t>Granticka</t>
        </is>
      </c>
      <c r="S138">
        <f>HYPERLINK("https://klasma.github.io/Logging_0188/artfynd/A 14365-2025 artfynd.xlsx", "A 14365-2025")</f>
        <v/>
      </c>
      <c r="T138">
        <f>HYPERLINK("https://klasma.github.io/Logging_0188/kartor/A 14365-2025 karta.png", "A 14365-2025")</f>
        <v/>
      </c>
      <c r="V138">
        <f>HYPERLINK("https://klasma.github.io/Logging_0188/klagomål/A 14365-2025 FSC-klagomål.docx", "A 14365-2025")</f>
        <v/>
      </c>
      <c r="W138">
        <f>HYPERLINK("https://klasma.github.io/Logging_0188/klagomålsmail/A 14365-2025 FSC-klagomål mail.docx", "A 14365-2025")</f>
        <v/>
      </c>
      <c r="X138">
        <f>HYPERLINK("https://klasma.github.io/Logging_0188/tillsyn/A 14365-2025 tillsynsbegäran.docx", "A 14365-2025")</f>
        <v/>
      </c>
      <c r="Y138">
        <f>HYPERLINK("https://klasma.github.io/Logging_0188/tillsynsmail/A 14365-2025 tillsynsbegäran mail.docx", "A 14365-2025")</f>
        <v/>
      </c>
    </row>
    <row r="139" ht="15" customHeight="1">
      <c r="A139" t="inlineStr">
        <is>
          <t>A 21150-2022</t>
        </is>
      </c>
      <c r="B139" s="1" t="n">
        <v>44704</v>
      </c>
      <c r="C139" s="1" t="n">
        <v>46126</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21150-2022 artfynd.xlsx", "A 21150-2022")</f>
        <v/>
      </c>
      <c r="T139">
        <f>HYPERLINK("https://klasma.github.io/Logging_0188/kartor/A 21150-2022 karta.png", "A 21150-2022")</f>
        <v/>
      </c>
      <c r="V139">
        <f>HYPERLINK("https://klasma.github.io/Logging_0188/klagomål/A 21150-2022 FSC-klagomål.docx", "A 21150-2022")</f>
        <v/>
      </c>
      <c r="W139">
        <f>HYPERLINK("https://klasma.github.io/Logging_0188/klagomålsmail/A 21150-2022 FSC-klagomål mail.docx", "A 21150-2022")</f>
        <v/>
      </c>
      <c r="X139">
        <f>HYPERLINK("https://klasma.github.io/Logging_0188/tillsyn/A 21150-2022 tillsynsbegäran.docx", "A 21150-2022")</f>
        <v/>
      </c>
      <c r="Y139">
        <f>HYPERLINK("https://klasma.github.io/Logging_0188/tillsynsmail/A 21150-2022 tillsynsbegäran mail.docx", "A 21150-2022")</f>
        <v/>
      </c>
    </row>
    <row r="140" ht="15" customHeight="1">
      <c r="A140" t="inlineStr">
        <is>
          <t>A 26120-2024</t>
        </is>
      </c>
      <c r="B140" s="1" t="n">
        <v>45468.45995370371</v>
      </c>
      <c r="C140" s="1" t="n">
        <v>46126</v>
      </c>
      <c r="D140" t="inlineStr">
        <is>
          <t>STOCKHOLMS LÄN</t>
        </is>
      </c>
      <c r="E140" t="inlineStr">
        <is>
          <t>NORRTÄLJE</t>
        </is>
      </c>
      <c r="G140" t="n">
        <v>1.8</v>
      </c>
      <c r="H140" t="n">
        <v>0</v>
      </c>
      <c r="I140" t="n">
        <v>0</v>
      </c>
      <c r="J140" t="n">
        <v>1</v>
      </c>
      <c r="K140" t="n">
        <v>0</v>
      </c>
      <c r="L140" t="n">
        <v>0</v>
      </c>
      <c r="M140" t="n">
        <v>0</v>
      </c>
      <c r="N140" t="n">
        <v>0</v>
      </c>
      <c r="O140" t="n">
        <v>1</v>
      </c>
      <c r="P140" t="n">
        <v>0</v>
      </c>
      <c r="Q140" t="n">
        <v>1</v>
      </c>
      <c r="R140" s="2" t="inlineStr">
        <is>
          <t>Majviva</t>
        </is>
      </c>
      <c r="S140">
        <f>HYPERLINK("https://klasma.github.io/Logging_0188/artfynd/A 26120-2024 artfynd.xlsx", "A 26120-2024")</f>
        <v/>
      </c>
      <c r="T140">
        <f>HYPERLINK("https://klasma.github.io/Logging_0188/kartor/A 26120-2024 karta.png", "A 26120-2024")</f>
        <v/>
      </c>
      <c r="V140">
        <f>HYPERLINK("https://klasma.github.io/Logging_0188/klagomål/A 26120-2024 FSC-klagomål.docx", "A 26120-2024")</f>
        <v/>
      </c>
      <c r="W140">
        <f>HYPERLINK("https://klasma.github.io/Logging_0188/klagomålsmail/A 26120-2024 FSC-klagomål mail.docx", "A 26120-2024")</f>
        <v/>
      </c>
      <c r="X140">
        <f>HYPERLINK("https://klasma.github.io/Logging_0188/tillsyn/A 26120-2024 tillsynsbegäran.docx", "A 26120-2024")</f>
        <v/>
      </c>
      <c r="Y140">
        <f>HYPERLINK("https://klasma.github.io/Logging_0188/tillsynsmail/A 26120-2024 tillsynsbegäran mail.docx", "A 26120-2024")</f>
        <v/>
      </c>
    </row>
    <row r="141" ht="15" customHeight="1">
      <c r="A141" t="inlineStr">
        <is>
          <t>A 11429-2023</t>
        </is>
      </c>
      <c r="B141" s="1" t="n">
        <v>44993</v>
      </c>
      <c r="C141" s="1" t="n">
        <v>46126</v>
      </c>
      <c r="D141" t="inlineStr">
        <is>
          <t>STOCKHOLMS LÄN</t>
        </is>
      </c>
      <c r="E141" t="inlineStr">
        <is>
          <t>NORRTÄLJE</t>
        </is>
      </c>
      <c r="G141" t="n">
        <v>2</v>
      </c>
      <c r="H141" t="n">
        <v>0</v>
      </c>
      <c r="I141" t="n">
        <v>0</v>
      </c>
      <c r="J141" t="n">
        <v>1</v>
      </c>
      <c r="K141" t="n">
        <v>0</v>
      </c>
      <c r="L141" t="n">
        <v>0</v>
      </c>
      <c r="M141" t="n">
        <v>0</v>
      </c>
      <c r="N141" t="n">
        <v>0</v>
      </c>
      <c r="O141" t="n">
        <v>1</v>
      </c>
      <c r="P141" t="n">
        <v>0</v>
      </c>
      <c r="Q141" t="n">
        <v>1</v>
      </c>
      <c r="R141" s="2" t="inlineStr">
        <is>
          <t>Skogsklocka</t>
        </is>
      </c>
      <c r="S141">
        <f>HYPERLINK("https://klasma.github.io/Logging_0188/artfynd/A 11429-2023 artfynd.xlsx", "A 11429-2023")</f>
        <v/>
      </c>
      <c r="T141">
        <f>HYPERLINK("https://klasma.github.io/Logging_0188/kartor/A 11429-2023 karta.png", "A 11429-2023")</f>
        <v/>
      </c>
      <c r="V141">
        <f>HYPERLINK("https://klasma.github.io/Logging_0188/klagomål/A 11429-2023 FSC-klagomål.docx", "A 11429-2023")</f>
        <v/>
      </c>
      <c r="W141">
        <f>HYPERLINK("https://klasma.github.io/Logging_0188/klagomålsmail/A 11429-2023 FSC-klagomål mail.docx", "A 11429-2023")</f>
        <v/>
      </c>
      <c r="X141">
        <f>HYPERLINK("https://klasma.github.io/Logging_0188/tillsyn/A 11429-2023 tillsynsbegäran.docx", "A 11429-2023")</f>
        <v/>
      </c>
      <c r="Y141">
        <f>HYPERLINK("https://klasma.github.io/Logging_0188/tillsynsmail/A 11429-2023 tillsynsbegäran mail.docx", "A 11429-2023")</f>
        <v/>
      </c>
    </row>
    <row r="142" ht="15" customHeight="1">
      <c r="A142" t="inlineStr">
        <is>
          <t>A 50854-2022</t>
        </is>
      </c>
      <c r="B142" s="1" t="n">
        <v>44863</v>
      </c>
      <c r="C142" s="1" t="n">
        <v>46126</v>
      </c>
      <c r="D142" t="inlineStr">
        <is>
          <t>STOCKHOLMS LÄN</t>
        </is>
      </c>
      <c r="E142" t="inlineStr">
        <is>
          <t>NORRTÄLJE</t>
        </is>
      </c>
      <c r="G142" t="n">
        <v>2.9</v>
      </c>
      <c r="H142" t="n">
        <v>0</v>
      </c>
      <c r="I142" t="n">
        <v>1</v>
      </c>
      <c r="J142" t="n">
        <v>0</v>
      </c>
      <c r="K142" t="n">
        <v>0</v>
      </c>
      <c r="L142" t="n">
        <v>0</v>
      </c>
      <c r="M142" t="n">
        <v>0</v>
      </c>
      <c r="N142" t="n">
        <v>0</v>
      </c>
      <c r="O142" t="n">
        <v>0</v>
      </c>
      <c r="P142" t="n">
        <v>0</v>
      </c>
      <c r="Q142" t="n">
        <v>1</v>
      </c>
      <c r="R142" s="2" t="inlineStr">
        <is>
          <t>Tibast</t>
        </is>
      </c>
      <c r="S142">
        <f>HYPERLINK("https://klasma.github.io/Logging_0188/artfynd/A 50854-2022 artfynd.xlsx", "A 50854-2022")</f>
        <v/>
      </c>
      <c r="T142">
        <f>HYPERLINK("https://klasma.github.io/Logging_0188/kartor/A 50854-2022 karta.png", "A 50854-2022")</f>
        <v/>
      </c>
      <c r="V142">
        <f>HYPERLINK("https://klasma.github.io/Logging_0188/klagomål/A 50854-2022 FSC-klagomål.docx", "A 50854-2022")</f>
        <v/>
      </c>
      <c r="W142">
        <f>HYPERLINK("https://klasma.github.io/Logging_0188/klagomålsmail/A 50854-2022 FSC-klagomål mail.docx", "A 50854-2022")</f>
        <v/>
      </c>
      <c r="X142">
        <f>HYPERLINK("https://klasma.github.io/Logging_0188/tillsyn/A 50854-2022 tillsynsbegäran.docx", "A 50854-2022")</f>
        <v/>
      </c>
      <c r="Y142">
        <f>HYPERLINK("https://klasma.github.io/Logging_0188/tillsynsmail/A 50854-2022 tillsynsbegäran mail.docx", "A 50854-2022")</f>
        <v/>
      </c>
    </row>
    <row r="143" ht="15" customHeight="1">
      <c r="A143" t="inlineStr">
        <is>
          <t>A 64456-2023</t>
        </is>
      </c>
      <c r="B143" s="1" t="n">
        <v>45280</v>
      </c>
      <c r="C143" s="1" t="n">
        <v>46126</v>
      </c>
      <c r="D143" t="inlineStr">
        <is>
          <t>STOCKHOLMS LÄN</t>
        </is>
      </c>
      <c r="E143" t="inlineStr">
        <is>
          <t>NORRTÄLJE</t>
        </is>
      </c>
      <c r="G143" t="n">
        <v>2.5</v>
      </c>
      <c r="H143" t="n">
        <v>0</v>
      </c>
      <c r="I143" t="n">
        <v>1</v>
      </c>
      <c r="J143" t="n">
        <v>0</v>
      </c>
      <c r="K143" t="n">
        <v>0</v>
      </c>
      <c r="L143" t="n">
        <v>0</v>
      </c>
      <c r="M143" t="n">
        <v>0</v>
      </c>
      <c r="N143" t="n">
        <v>0</v>
      </c>
      <c r="O143" t="n">
        <v>0</v>
      </c>
      <c r="P143" t="n">
        <v>0</v>
      </c>
      <c r="Q143" t="n">
        <v>1</v>
      </c>
      <c r="R143" s="2" t="inlineStr">
        <is>
          <t>Rödgul trumpetsvamp</t>
        </is>
      </c>
      <c r="S143">
        <f>HYPERLINK("https://klasma.github.io/Logging_0188/artfynd/A 64456-2023 artfynd.xlsx", "A 64456-2023")</f>
        <v/>
      </c>
      <c r="T143">
        <f>HYPERLINK("https://klasma.github.io/Logging_0188/kartor/A 64456-2023 karta.png", "A 64456-2023")</f>
        <v/>
      </c>
      <c r="V143">
        <f>HYPERLINK("https://klasma.github.io/Logging_0188/klagomål/A 64456-2023 FSC-klagomål.docx", "A 64456-2023")</f>
        <v/>
      </c>
      <c r="W143">
        <f>HYPERLINK("https://klasma.github.io/Logging_0188/klagomålsmail/A 64456-2023 FSC-klagomål mail.docx", "A 64456-2023")</f>
        <v/>
      </c>
      <c r="X143">
        <f>HYPERLINK("https://klasma.github.io/Logging_0188/tillsyn/A 64456-2023 tillsynsbegäran.docx", "A 64456-2023")</f>
        <v/>
      </c>
      <c r="Y143">
        <f>HYPERLINK("https://klasma.github.io/Logging_0188/tillsynsmail/A 64456-2023 tillsynsbegäran mail.docx", "A 64456-2023")</f>
        <v/>
      </c>
    </row>
    <row r="144" ht="15" customHeight="1">
      <c r="A144" t="inlineStr">
        <is>
          <t>A 31281-2022</t>
        </is>
      </c>
      <c r="B144" s="1" t="n">
        <v>44771</v>
      </c>
      <c r="C144" s="1" t="n">
        <v>46126</v>
      </c>
      <c r="D144" t="inlineStr">
        <is>
          <t>STOCKHOLMS LÄN</t>
        </is>
      </c>
      <c r="E144" t="inlineStr">
        <is>
          <t>NORRTÄLJE</t>
        </is>
      </c>
      <c r="F144" t="inlineStr">
        <is>
          <t>Holmen skog AB</t>
        </is>
      </c>
      <c r="G144" t="n">
        <v>5.2</v>
      </c>
      <c r="H144" t="n">
        <v>1</v>
      </c>
      <c r="I144" t="n">
        <v>0</v>
      </c>
      <c r="J144" t="n">
        <v>1</v>
      </c>
      <c r="K144" t="n">
        <v>0</v>
      </c>
      <c r="L144" t="n">
        <v>0</v>
      </c>
      <c r="M144" t="n">
        <v>0</v>
      </c>
      <c r="N144" t="n">
        <v>0</v>
      </c>
      <c r="O144" t="n">
        <v>1</v>
      </c>
      <c r="P144" t="n">
        <v>0</v>
      </c>
      <c r="Q144" t="n">
        <v>1</v>
      </c>
      <c r="R144" s="2" t="inlineStr">
        <is>
          <t>Kråka</t>
        </is>
      </c>
      <c r="S144">
        <f>HYPERLINK("https://klasma.github.io/Logging_0188/artfynd/A 31281-2022 artfynd.xlsx", "A 31281-2022")</f>
        <v/>
      </c>
      <c r="T144">
        <f>HYPERLINK("https://klasma.github.io/Logging_0188/kartor/A 31281-2022 karta.png", "A 31281-2022")</f>
        <v/>
      </c>
      <c r="V144">
        <f>HYPERLINK("https://klasma.github.io/Logging_0188/klagomål/A 31281-2022 FSC-klagomål.docx", "A 31281-2022")</f>
        <v/>
      </c>
      <c r="W144">
        <f>HYPERLINK("https://klasma.github.io/Logging_0188/klagomålsmail/A 31281-2022 FSC-klagomål mail.docx", "A 31281-2022")</f>
        <v/>
      </c>
      <c r="X144">
        <f>HYPERLINK("https://klasma.github.io/Logging_0188/tillsyn/A 31281-2022 tillsynsbegäran.docx", "A 31281-2022")</f>
        <v/>
      </c>
      <c r="Y144">
        <f>HYPERLINK("https://klasma.github.io/Logging_0188/tillsynsmail/A 31281-2022 tillsynsbegäran mail.docx", "A 31281-2022")</f>
        <v/>
      </c>
      <c r="Z144">
        <f>HYPERLINK("https://klasma.github.io/Logging_0188/fåglar/A 31281-2022 prioriterade fågelarter.docx", "A 31281-2022")</f>
        <v/>
      </c>
    </row>
    <row r="145" ht="15" customHeight="1">
      <c r="A145" t="inlineStr">
        <is>
          <t>A 52611-2024</t>
        </is>
      </c>
      <c r="B145" s="1" t="n">
        <v>45609.83747685186</v>
      </c>
      <c r="C145" s="1" t="n">
        <v>46126</v>
      </c>
      <c r="D145" t="inlineStr">
        <is>
          <t>STOCKHOLMS LÄN</t>
        </is>
      </c>
      <c r="E145" t="inlineStr">
        <is>
          <t>NORRTÄLJE</t>
        </is>
      </c>
      <c r="G145" t="n">
        <v>10.6</v>
      </c>
      <c r="H145" t="n">
        <v>1</v>
      </c>
      <c r="I145" t="n">
        <v>0</v>
      </c>
      <c r="J145" t="n">
        <v>0</v>
      </c>
      <c r="K145" t="n">
        <v>0</v>
      </c>
      <c r="L145" t="n">
        <v>0</v>
      </c>
      <c r="M145" t="n">
        <v>0</v>
      </c>
      <c r="N145" t="n">
        <v>0</v>
      </c>
      <c r="O145" t="n">
        <v>0</v>
      </c>
      <c r="P145" t="n">
        <v>0</v>
      </c>
      <c r="Q145" t="n">
        <v>1</v>
      </c>
      <c r="R145" s="2" t="inlineStr">
        <is>
          <t>Blåsippa</t>
        </is>
      </c>
      <c r="S145">
        <f>HYPERLINK("https://klasma.github.io/Logging_0188/artfynd/A 52611-2024 artfynd.xlsx", "A 52611-2024")</f>
        <v/>
      </c>
      <c r="T145">
        <f>HYPERLINK("https://klasma.github.io/Logging_0188/kartor/A 52611-2024 karta.png", "A 52611-2024")</f>
        <v/>
      </c>
      <c r="V145">
        <f>HYPERLINK("https://klasma.github.io/Logging_0188/klagomål/A 52611-2024 FSC-klagomål.docx", "A 52611-2024")</f>
        <v/>
      </c>
      <c r="W145">
        <f>HYPERLINK("https://klasma.github.io/Logging_0188/klagomålsmail/A 52611-2024 FSC-klagomål mail.docx", "A 52611-2024")</f>
        <v/>
      </c>
      <c r="X145">
        <f>HYPERLINK("https://klasma.github.io/Logging_0188/tillsyn/A 52611-2024 tillsynsbegäran.docx", "A 52611-2024")</f>
        <v/>
      </c>
      <c r="Y145">
        <f>HYPERLINK("https://klasma.github.io/Logging_0188/tillsynsmail/A 52611-2024 tillsynsbegäran mail.docx", "A 52611-2024")</f>
        <v/>
      </c>
    </row>
    <row r="146" ht="15" customHeight="1">
      <c r="A146" t="inlineStr">
        <is>
          <t>A 18580-2021</t>
        </is>
      </c>
      <c r="B146" s="1" t="n">
        <v>44306</v>
      </c>
      <c r="C146" s="1" t="n">
        <v>46126</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46126</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46126</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46126</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46126</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46126</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46126</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46126</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46126</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46126</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46126</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46126</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46126</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46126</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46126</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46126</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46126</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46126</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46126</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46126</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46126</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46126</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46126</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46126</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46126</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46126</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46126</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46126</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46126</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46126</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46126</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46126</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46126</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46126</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46126</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46126</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46126</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46126</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46126</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46126</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46126</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46126</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46126</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46126</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46126</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46126</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46126</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46126</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46126</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46126</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46126</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36975-2022</t>
        </is>
      </c>
      <c r="B197" s="1" t="n">
        <v>44806.34577546296</v>
      </c>
      <c r="C197" s="1" t="n">
        <v>46126</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46126</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46126</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46126</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46126</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46126</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46126</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46126</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46126</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46126</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46126</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46126</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46126</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46126</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46126</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46126</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46126</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46126</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46126</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46126</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46126</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46126</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46126</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46126</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46126</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46126</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46126</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46126</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46126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46126</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46126</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46126</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46126</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46126</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46126</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46126</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67598-2021</t>
        </is>
      </c>
      <c r="B233" s="1" t="n">
        <v>44524</v>
      </c>
      <c r="C233" s="1" t="n">
        <v>46126</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34520-2021</t>
        </is>
      </c>
      <c r="B234" s="1" t="n">
        <v>44379</v>
      </c>
      <c r="C234" s="1" t="n">
        <v>46126</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68273-2021</t>
        </is>
      </c>
      <c r="B235" s="1" t="n">
        <v>44526</v>
      </c>
      <c r="C235" s="1" t="n">
        <v>46126</v>
      </c>
      <c r="D235" t="inlineStr">
        <is>
          <t>STOCKHOLMS LÄN</t>
        </is>
      </c>
      <c r="E235" t="inlineStr">
        <is>
          <t>NORRTÄLJE</t>
        </is>
      </c>
      <c r="G235" t="n">
        <v>5.3</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46126</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21158-2022</t>
        </is>
      </c>
      <c r="B237" s="1" t="n">
        <v>44704</v>
      </c>
      <c r="C237" s="1" t="n">
        <v>46126</v>
      </c>
      <c r="D237" t="inlineStr">
        <is>
          <t>STOCKHOLMS LÄN</t>
        </is>
      </c>
      <c r="E237" t="inlineStr">
        <is>
          <t>NORRTÄLJE</t>
        </is>
      </c>
      <c r="G237" t="n">
        <v>17.8</v>
      </c>
      <c r="H237" t="n">
        <v>0</v>
      </c>
      <c r="I237" t="n">
        <v>0</v>
      </c>
      <c r="J237" t="n">
        <v>0</v>
      </c>
      <c r="K237" t="n">
        <v>0</v>
      </c>
      <c r="L237" t="n">
        <v>0</v>
      </c>
      <c r="M237" t="n">
        <v>0</v>
      </c>
      <c r="N237" t="n">
        <v>0</v>
      </c>
      <c r="O237" t="n">
        <v>0</v>
      </c>
      <c r="P237" t="n">
        <v>0</v>
      </c>
      <c r="Q237" t="n">
        <v>0</v>
      </c>
      <c r="R237" s="2" t="inlineStr"/>
    </row>
    <row r="238" ht="15" customHeight="1">
      <c r="A238" t="inlineStr">
        <is>
          <t>A 15226-2022</t>
        </is>
      </c>
      <c r="B238" s="1" t="n">
        <v>44658</v>
      </c>
      <c r="C238" s="1" t="n">
        <v>46126</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3300-2022</t>
        </is>
      </c>
      <c r="B239" s="1" t="n">
        <v>44584.91538194445</v>
      </c>
      <c r="C239" s="1" t="n">
        <v>46126</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17388-2022</t>
        </is>
      </c>
      <c r="B240" s="1" t="n">
        <v>44678</v>
      </c>
      <c r="C240" s="1" t="n">
        <v>46126</v>
      </c>
      <c r="D240" t="inlineStr">
        <is>
          <t>STOCKHOLMS LÄN</t>
        </is>
      </c>
      <c r="E240" t="inlineStr">
        <is>
          <t>NORRTÄLJE</t>
        </is>
      </c>
      <c r="G240" t="n">
        <v>2.4</v>
      </c>
      <c r="H240" t="n">
        <v>0</v>
      </c>
      <c r="I240" t="n">
        <v>0</v>
      </c>
      <c r="J240" t="n">
        <v>0</v>
      </c>
      <c r="K240" t="n">
        <v>0</v>
      </c>
      <c r="L240" t="n">
        <v>0</v>
      </c>
      <c r="M240" t="n">
        <v>0</v>
      </c>
      <c r="N240" t="n">
        <v>0</v>
      </c>
      <c r="O240" t="n">
        <v>0</v>
      </c>
      <c r="P240" t="n">
        <v>0</v>
      </c>
      <c r="Q240" t="n">
        <v>0</v>
      </c>
      <c r="R240" s="2" t="inlineStr"/>
    </row>
    <row r="241" ht="15" customHeight="1">
      <c r="A241" t="inlineStr">
        <is>
          <t>A 17771-2022</t>
        </is>
      </c>
      <c r="B241" s="1" t="n">
        <v>44682.75924768519</v>
      </c>
      <c r="C241" s="1" t="n">
        <v>46126</v>
      </c>
      <c r="D241" t="inlineStr">
        <is>
          <t>STOCKHOLMS LÄN</t>
        </is>
      </c>
      <c r="E241" t="inlineStr">
        <is>
          <t>NORRTÄLJE</t>
        </is>
      </c>
      <c r="G241" t="n">
        <v>13.3</v>
      </c>
      <c r="H241" t="n">
        <v>0</v>
      </c>
      <c r="I241" t="n">
        <v>0</v>
      </c>
      <c r="J241" t="n">
        <v>0</v>
      </c>
      <c r="K241" t="n">
        <v>0</v>
      </c>
      <c r="L241" t="n">
        <v>0</v>
      </c>
      <c r="M241" t="n">
        <v>0</v>
      </c>
      <c r="N241" t="n">
        <v>0</v>
      </c>
      <c r="O241" t="n">
        <v>0</v>
      </c>
      <c r="P241" t="n">
        <v>0</v>
      </c>
      <c r="Q241" t="n">
        <v>0</v>
      </c>
      <c r="R241" s="2" t="inlineStr"/>
    </row>
    <row r="242" ht="15" customHeight="1">
      <c r="A242" t="inlineStr">
        <is>
          <t>A 17773-2022</t>
        </is>
      </c>
      <c r="B242" s="1" t="n">
        <v>44682.77616898148</v>
      </c>
      <c r="C242" s="1" t="n">
        <v>46126</v>
      </c>
      <c r="D242" t="inlineStr">
        <is>
          <t>STOCKHOLMS LÄN</t>
        </is>
      </c>
      <c r="E242" t="inlineStr">
        <is>
          <t>NORRTÄLJE</t>
        </is>
      </c>
      <c r="G242" t="n">
        <v>10.8</v>
      </c>
      <c r="H242" t="n">
        <v>0</v>
      </c>
      <c r="I242" t="n">
        <v>0</v>
      </c>
      <c r="J242" t="n">
        <v>0</v>
      </c>
      <c r="K242" t="n">
        <v>0</v>
      </c>
      <c r="L242" t="n">
        <v>0</v>
      </c>
      <c r="M242" t="n">
        <v>0</v>
      </c>
      <c r="N242" t="n">
        <v>0</v>
      </c>
      <c r="O242" t="n">
        <v>0</v>
      </c>
      <c r="P242" t="n">
        <v>0</v>
      </c>
      <c r="Q242" t="n">
        <v>0</v>
      </c>
      <c r="R242" s="2" t="inlineStr"/>
    </row>
    <row r="243" ht="15" customHeight="1">
      <c r="A243" t="inlineStr">
        <is>
          <t>A 10521-2022</t>
        </is>
      </c>
      <c r="B243" s="1" t="n">
        <v>44623</v>
      </c>
      <c r="C243" s="1" t="n">
        <v>46126</v>
      </c>
      <c r="D243" t="inlineStr">
        <is>
          <t>STOCKHOLMS LÄN</t>
        </is>
      </c>
      <c r="E243" t="inlineStr">
        <is>
          <t>NORRTÄLJE</t>
        </is>
      </c>
      <c r="G243" t="n">
        <v>2.9</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46126</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46126</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15915-2023</t>
        </is>
      </c>
      <c r="B246" s="1" t="n">
        <v>45022</v>
      </c>
      <c r="C246" s="1" t="n">
        <v>46126</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16117-2022</t>
        </is>
      </c>
      <c r="B247" s="1" t="n">
        <v>44665.65474537037</v>
      </c>
      <c r="C247" s="1" t="n">
        <v>46126</v>
      </c>
      <c r="D247" t="inlineStr">
        <is>
          <t>STOCKHOLMS LÄN</t>
        </is>
      </c>
      <c r="E247" t="inlineStr">
        <is>
          <t>NORRTÄLJE</t>
        </is>
      </c>
      <c r="G247" t="n">
        <v>8.1</v>
      </c>
      <c r="H247" t="n">
        <v>0</v>
      </c>
      <c r="I247" t="n">
        <v>0</v>
      </c>
      <c r="J247" t="n">
        <v>0</v>
      </c>
      <c r="K247" t="n">
        <v>0</v>
      </c>
      <c r="L247" t="n">
        <v>0</v>
      </c>
      <c r="M247" t="n">
        <v>0</v>
      </c>
      <c r="N247" t="n">
        <v>0</v>
      </c>
      <c r="O247" t="n">
        <v>0</v>
      </c>
      <c r="P247" t="n">
        <v>0</v>
      </c>
      <c r="Q247" t="n">
        <v>0</v>
      </c>
      <c r="R247" s="2" t="inlineStr"/>
    </row>
    <row r="248" ht="15" customHeight="1">
      <c r="A248" t="inlineStr">
        <is>
          <t>A 16132-2022</t>
        </is>
      </c>
      <c r="B248" s="1" t="n">
        <v>44665.78351851852</v>
      </c>
      <c r="C248" s="1" t="n">
        <v>46126</v>
      </c>
      <c r="D248" t="inlineStr">
        <is>
          <t>STOCKHOLMS LÄN</t>
        </is>
      </c>
      <c r="E248" t="inlineStr">
        <is>
          <t>NORRTÄLJE</t>
        </is>
      </c>
      <c r="G248" t="n">
        <v>4.4</v>
      </c>
      <c r="H248" t="n">
        <v>0</v>
      </c>
      <c r="I248" t="n">
        <v>0</v>
      </c>
      <c r="J248" t="n">
        <v>0</v>
      </c>
      <c r="K248" t="n">
        <v>0</v>
      </c>
      <c r="L248" t="n">
        <v>0</v>
      </c>
      <c r="M248" t="n">
        <v>0</v>
      </c>
      <c r="N248" t="n">
        <v>0</v>
      </c>
      <c r="O248" t="n">
        <v>0</v>
      </c>
      <c r="P248" t="n">
        <v>0</v>
      </c>
      <c r="Q248" t="n">
        <v>0</v>
      </c>
      <c r="R248" s="2" t="inlineStr"/>
    </row>
    <row r="249" ht="15" customHeight="1">
      <c r="A249" t="inlineStr">
        <is>
          <t>A 14051-2022</t>
        </is>
      </c>
      <c r="B249" s="1" t="n">
        <v>44650.92714120371</v>
      </c>
      <c r="C249" s="1" t="n">
        <v>46126</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58993-2022</t>
        </is>
      </c>
      <c r="B250" s="1" t="n">
        <v>44903</v>
      </c>
      <c r="C250" s="1" t="n">
        <v>46126</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17673-2021</t>
        </is>
      </c>
      <c r="B251" s="1" t="n">
        <v>44300</v>
      </c>
      <c r="C251" s="1" t="n">
        <v>46126</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c r="T251">
        <f>HYPERLINK("https://klasma.github.io/Logging_0188/kartor/A 17673-2021 karta.png", "A 17673-2021")</f>
        <v/>
      </c>
      <c r="V251">
        <f>HYPERLINK("https://klasma.github.io/Logging_0188/klagomål/A 17673-2021 FSC-klagomål.docx", "A 17673-2021")</f>
        <v/>
      </c>
      <c r="W251">
        <f>HYPERLINK("https://klasma.github.io/Logging_0188/klagomålsmail/A 17673-2021 FSC-klagomål mail.docx", "A 17673-2021")</f>
        <v/>
      </c>
      <c r="X251">
        <f>HYPERLINK("https://klasma.github.io/Logging_0188/tillsyn/A 17673-2021 tillsynsbegäran.docx", "A 17673-2021")</f>
        <v/>
      </c>
      <c r="Y251">
        <f>HYPERLINK("https://klasma.github.io/Logging_0188/tillsynsmail/A 17673-2021 tillsynsbegäran mail.docx", "A 17673-2021")</f>
        <v/>
      </c>
      <c r="Z251">
        <f>HYPERLINK("https://klasma.github.io/Logging_0188/fåglar/A 17673-2021 prioriterade fågelarter.docx", "A 17673-2021")</f>
        <v/>
      </c>
    </row>
    <row r="252" ht="15" customHeight="1">
      <c r="A252" t="inlineStr">
        <is>
          <t>A 39905-2023</t>
        </is>
      </c>
      <c r="B252" s="1" t="n">
        <v>45168.44489583333</v>
      </c>
      <c r="C252" s="1" t="n">
        <v>46126</v>
      </c>
      <c r="D252" t="inlineStr">
        <is>
          <t>STOCKHOLMS LÄN</t>
        </is>
      </c>
      <c r="E252" t="inlineStr">
        <is>
          <t>NORRTÄLJE</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24167-2022</t>
        </is>
      </c>
      <c r="B253" s="1" t="n">
        <v>44725.49491898148</v>
      </c>
      <c r="C253" s="1" t="n">
        <v>46126</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42396-2021</t>
        </is>
      </c>
      <c r="B254" s="1" t="n">
        <v>44427</v>
      </c>
      <c r="C254" s="1" t="n">
        <v>46126</v>
      </c>
      <c r="D254" t="inlineStr">
        <is>
          <t>STOCKHOLMS LÄN</t>
        </is>
      </c>
      <c r="E254" t="inlineStr">
        <is>
          <t>NORRTÄLJE</t>
        </is>
      </c>
      <c r="G254" t="n">
        <v>2</v>
      </c>
      <c r="H254" t="n">
        <v>0</v>
      </c>
      <c r="I254" t="n">
        <v>0</v>
      </c>
      <c r="J254" t="n">
        <v>0</v>
      </c>
      <c r="K254" t="n">
        <v>0</v>
      </c>
      <c r="L254" t="n">
        <v>0</v>
      </c>
      <c r="M254" t="n">
        <v>0</v>
      </c>
      <c r="N254" t="n">
        <v>0</v>
      </c>
      <c r="O254" t="n">
        <v>0</v>
      </c>
      <c r="P254" t="n">
        <v>0</v>
      </c>
      <c r="Q254" t="n">
        <v>0</v>
      </c>
      <c r="R254" s="2" t="inlineStr"/>
    </row>
    <row r="255" ht="15" customHeight="1">
      <c r="A255" t="inlineStr">
        <is>
          <t>A 27217-2021</t>
        </is>
      </c>
      <c r="B255" s="1" t="n">
        <v>44350</v>
      </c>
      <c r="C255" s="1" t="n">
        <v>46126</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46126</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33793-2022</t>
        </is>
      </c>
      <c r="B257" s="1" t="n">
        <v>44790</v>
      </c>
      <c r="C257" s="1" t="n">
        <v>46126</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46126</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2732-2022</t>
        </is>
      </c>
      <c r="B259" s="1" t="n">
        <v>44580</v>
      </c>
      <c r="C259" s="1" t="n">
        <v>46126</v>
      </c>
      <c r="D259" t="inlineStr">
        <is>
          <t>STOCKHOLMS LÄN</t>
        </is>
      </c>
      <c r="E259" t="inlineStr">
        <is>
          <t>NORRTÄLJE</t>
        </is>
      </c>
      <c r="G259" t="n">
        <v>0.5</v>
      </c>
      <c r="H259" t="n">
        <v>0</v>
      </c>
      <c r="I259" t="n">
        <v>0</v>
      </c>
      <c r="J259" t="n">
        <v>0</v>
      </c>
      <c r="K259" t="n">
        <v>0</v>
      </c>
      <c r="L259" t="n">
        <v>0</v>
      </c>
      <c r="M259" t="n">
        <v>0</v>
      </c>
      <c r="N259" t="n">
        <v>0</v>
      </c>
      <c r="O259" t="n">
        <v>0</v>
      </c>
      <c r="P259" t="n">
        <v>0</v>
      </c>
      <c r="Q259" t="n">
        <v>0</v>
      </c>
      <c r="R259" s="2" t="inlineStr"/>
    </row>
    <row r="260" ht="15" customHeight="1">
      <c r="A260" t="inlineStr">
        <is>
          <t>A 23453-2021</t>
        </is>
      </c>
      <c r="B260" s="1" t="n">
        <v>44333</v>
      </c>
      <c r="C260" s="1" t="n">
        <v>46126</v>
      </c>
      <c r="D260" t="inlineStr">
        <is>
          <t>STOCKHOLMS LÄN</t>
        </is>
      </c>
      <c r="E260" t="inlineStr">
        <is>
          <t>NORRTÄLJE</t>
        </is>
      </c>
      <c r="G260" t="n">
        <v>1.8</v>
      </c>
      <c r="H260" t="n">
        <v>0</v>
      </c>
      <c r="I260" t="n">
        <v>0</v>
      </c>
      <c r="J260" t="n">
        <v>0</v>
      </c>
      <c r="K260" t="n">
        <v>0</v>
      </c>
      <c r="L260" t="n">
        <v>0</v>
      </c>
      <c r="M260" t="n">
        <v>0</v>
      </c>
      <c r="N260" t="n">
        <v>0</v>
      </c>
      <c r="O260" t="n">
        <v>0</v>
      </c>
      <c r="P260" t="n">
        <v>0</v>
      </c>
      <c r="Q260" t="n">
        <v>0</v>
      </c>
      <c r="R260" s="2" t="inlineStr"/>
    </row>
    <row r="261" ht="15" customHeight="1">
      <c r="A261" t="inlineStr">
        <is>
          <t>A 17304-2024</t>
        </is>
      </c>
      <c r="B261" s="1" t="n">
        <v>45414</v>
      </c>
      <c r="C261" s="1" t="n">
        <v>46126</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70170-2021</t>
        </is>
      </c>
      <c r="B262" s="1" t="n">
        <v>44533</v>
      </c>
      <c r="C262" s="1" t="n">
        <v>46126</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16119-2022</t>
        </is>
      </c>
      <c r="B263" s="1" t="n">
        <v>44665.66407407408</v>
      </c>
      <c r="C263" s="1" t="n">
        <v>46126</v>
      </c>
      <c r="D263" t="inlineStr">
        <is>
          <t>STOCKHOLMS LÄN</t>
        </is>
      </c>
      <c r="E263" t="inlineStr">
        <is>
          <t>NORRTÄLJE</t>
        </is>
      </c>
      <c r="G263" t="n">
        <v>3.9</v>
      </c>
      <c r="H263" t="n">
        <v>0</v>
      </c>
      <c r="I263" t="n">
        <v>0</v>
      </c>
      <c r="J263" t="n">
        <v>0</v>
      </c>
      <c r="K263" t="n">
        <v>0</v>
      </c>
      <c r="L263" t="n">
        <v>0</v>
      </c>
      <c r="M263" t="n">
        <v>0</v>
      </c>
      <c r="N263" t="n">
        <v>0</v>
      </c>
      <c r="O263" t="n">
        <v>0</v>
      </c>
      <c r="P263" t="n">
        <v>0</v>
      </c>
      <c r="Q263" t="n">
        <v>0</v>
      </c>
      <c r="R263" s="2" t="inlineStr"/>
    </row>
    <row r="264" ht="15" customHeight="1">
      <c r="A264" t="inlineStr">
        <is>
          <t>A 31924-2022</t>
        </is>
      </c>
      <c r="B264" s="1" t="n">
        <v>44777</v>
      </c>
      <c r="C264" s="1" t="n">
        <v>46126</v>
      </c>
      <c r="D264" t="inlineStr">
        <is>
          <t>STOCKHOLMS LÄN</t>
        </is>
      </c>
      <c r="E264" t="inlineStr">
        <is>
          <t>NORRTÄLJE</t>
        </is>
      </c>
      <c r="G264" t="n">
        <v>0.7</v>
      </c>
      <c r="H264" t="n">
        <v>0</v>
      </c>
      <c r="I264" t="n">
        <v>0</v>
      </c>
      <c r="J264" t="n">
        <v>0</v>
      </c>
      <c r="K264" t="n">
        <v>0</v>
      </c>
      <c r="L264" t="n">
        <v>0</v>
      </c>
      <c r="M264" t="n">
        <v>0</v>
      </c>
      <c r="N264" t="n">
        <v>0</v>
      </c>
      <c r="O264" t="n">
        <v>0</v>
      </c>
      <c r="P264" t="n">
        <v>0</v>
      </c>
      <c r="Q264" t="n">
        <v>0</v>
      </c>
      <c r="R264" s="2" t="inlineStr"/>
    </row>
    <row r="265" ht="15" customHeight="1">
      <c r="A265" t="inlineStr">
        <is>
          <t>A 25463-2021</t>
        </is>
      </c>
      <c r="B265" s="1" t="n">
        <v>44342</v>
      </c>
      <c r="C265" s="1" t="n">
        <v>46126</v>
      </c>
      <c r="D265" t="inlineStr">
        <is>
          <t>STOCKHOLMS LÄN</t>
        </is>
      </c>
      <c r="E265" t="inlineStr">
        <is>
          <t>NORRTÄLJE</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27214-2021</t>
        </is>
      </c>
      <c r="B266" s="1" t="n">
        <v>44350</v>
      </c>
      <c r="C266" s="1" t="n">
        <v>46126</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12270-2022</t>
        </is>
      </c>
      <c r="B267" s="1" t="n">
        <v>44637</v>
      </c>
      <c r="C267" s="1" t="n">
        <v>46126</v>
      </c>
      <c r="D267" t="inlineStr">
        <is>
          <t>STOCKHOLMS LÄN</t>
        </is>
      </c>
      <c r="E267" t="inlineStr">
        <is>
          <t>NORRTÄLJE</t>
        </is>
      </c>
      <c r="G267" t="n">
        <v>2.3</v>
      </c>
      <c r="H267" t="n">
        <v>0</v>
      </c>
      <c r="I267" t="n">
        <v>0</v>
      </c>
      <c r="J267" t="n">
        <v>0</v>
      </c>
      <c r="K267" t="n">
        <v>0</v>
      </c>
      <c r="L267" t="n">
        <v>0</v>
      </c>
      <c r="M267" t="n">
        <v>0</v>
      </c>
      <c r="N267" t="n">
        <v>0</v>
      </c>
      <c r="O267" t="n">
        <v>0</v>
      </c>
      <c r="P267" t="n">
        <v>0</v>
      </c>
      <c r="Q267" t="n">
        <v>0</v>
      </c>
      <c r="R267" s="2" t="inlineStr"/>
    </row>
    <row r="268" ht="15" customHeight="1">
      <c r="A268" t="inlineStr">
        <is>
          <t>A 12355-2022</t>
        </is>
      </c>
      <c r="B268" s="1" t="n">
        <v>44637</v>
      </c>
      <c r="C268" s="1" t="n">
        <v>46126</v>
      </c>
      <c r="D268" t="inlineStr">
        <is>
          <t>STOCKHOLMS LÄN</t>
        </is>
      </c>
      <c r="E268" t="inlineStr">
        <is>
          <t>NORRTÄLJE</t>
        </is>
      </c>
      <c r="G268" t="n">
        <v>10.4</v>
      </c>
      <c r="H268" t="n">
        <v>0</v>
      </c>
      <c r="I268" t="n">
        <v>0</v>
      </c>
      <c r="J268" t="n">
        <v>0</v>
      </c>
      <c r="K268" t="n">
        <v>0</v>
      </c>
      <c r="L268" t="n">
        <v>0</v>
      </c>
      <c r="M268" t="n">
        <v>0</v>
      </c>
      <c r="N268" t="n">
        <v>0</v>
      </c>
      <c r="O268" t="n">
        <v>0</v>
      </c>
      <c r="P268" t="n">
        <v>0</v>
      </c>
      <c r="Q268" t="n">
        <v>0</v>
      </c>
      <c r="R268" s="2" t="inlineStr"/>
    </row>
    <row r="269" ht="15" customHeight="1">
      <c r="A269" t="inlineStr">
        <is>
          <t>A 21102-2022</t>
        </is>
      </c>
      <c r="B269" s="1" t="n">
        <v>44704</v>
      </c>
      <c r="C269" s="1" t="n">
        <v>46126</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14543-2022</t>
        </is>
      </c>
      <c r="B270" s="1" t="n">
        <v>44655.45373842592</v>
      </c>
      <c r="C270" s="1" t="n">
        <v>46126</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46126</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17772-2022</t>
        </is>
      </c>
      <c r="B272" s="1" t="n">
        <v>44682.76528935185</v>
      </c>
      <c r="C272" s="1" t="n">
        <v>46126</v>
      </c>
      <c r="D272" t="inlineStr">
        <is>
          <t>STOCKHOLMS LÄN</t>
        </is>
      </c>
      <c r="E272" t="inlineStr">
        <is>
          <t>NORRTÄLJE</t>
        </is>
      </c>
      <c r="G272" t="n">
        <v>4</v>
      </c>
      <c r="H272" t="n">
        <v>0</v>
      </c>
      <c r="I272" t="n">
        <v>0</v>
      </c>
      <c r="J272" t="n">
        <v>0</v>
      </c>
      <c r="K272" t="n">
        <v>0</v>
      </c>
      <c r="L272" t="n">
        <v>0</v>
      </c>
      <c r="M272" t="n">
        <v>0</v>
      </c>
      <c r="N272" t="n">
        <v>0</v>
      </c>
      <c r="O272" t="n">
        <v>0</v>
      </c>
      <c r="P272" t="n">
        <v>0</v>
      </c>
      <c r="Q272" t="n">
        <v>0</v>
      </c>
      <c r="R272" s="2" t="inlineStr"/>
    </row>
    <row r="273" ht="15" customHeight="1">
      <c r="A273" t="inlineStr">
        <is>
          <t>A 7565-2022</t>
        </is>
      </c>
      <c r="B273" s="1" t="n">
        <v>44607</v>
      </c>
      <c r="C273" s="1" t="n">
        <v>46126</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46126</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46126</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46126</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46126</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46126</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46126</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16852-2024</t>
        </is>
      </c>
      <c r="B280" s="1" t="n">
        <v>45411.54768518519</v>
      </c>
      <c r="C280" s="1" t="n">
        <v>46126</v>
      </c>
      <c r="D280" t="inlineStr">
        <is>
          <t>STOCKHOLMS LÄN</t>
        </is>
      </c>
      <c r="E280" t="inlineStr">
        <is>
          <t>NORRTÄLJE</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5513-2022</t>
        </is>
      </c>
      <c r="B281" s="1" t="n">
        <v>44595</v>
      </c>
      <c r="C281" s="1" t="n">
        <v>46126</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4326-2023</t>
        </is>
      </c>
      <c r="B282" s="1" t="n">
        <v>44953.70481481482</v>
      </c>
      <c r="C282" s="1" t="n">
        <v>46126</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46126</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20295-2022</t>
        </is>
      </c>
      <c r="B284" s="1" t="n">
        <v>44698</v>
      </c>
      <c r="C284" s="1" t="n">
        <v>46126</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60184-2021</t>
        </is>
      </c>
      <c r="B285" s="1" t="n">
        <v>44495</v>
      </c>
      <c r="C285" s="1" t="n">
        <v>46126</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28042-2022</t>
        </is>
      </c>
      <c r="B286" s="1" t="n">
        <v>44744</v>
      </c>
      <c r="C286" s="1" t="n">
        <v>46126</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37415-2021</t>
        </is>
      </c>
      <c r="B287" s="1" t="n">
        <v>44397</v>
      </c>
      <c r="C287" s="1" t="n">
        <v>46126</v>
      </c>
      <c r="D287" t="inlineStr">
        <is>
          <t>STOCKHOLMS LÄN</t>
        </is>
      </c>
      <c r="E287" t="inlineStr">
        <is>
          <t>NORRTÄLJE</t>
        </is>
      </c>
      <c r="F287" t="inlineStr">
        <is>
          <t>Övriga Aktiebolag</t>
        </is>
      </c>
      <c r="G287" t="n">
        <v>3</v>
      </c>
      <c r="H287" t="n">
        <v>0</v>
      </c>
      <c r="I287" t="n">
        <v>0</v>
      </c>
      <c r="J287" t="n">
        <v>0</v>
      </c>
      <c r="K287" t="n">
        <v>0</v>
      </c>
      <c r="L287" t="n">
        <v>0</v>
      </c>
      <c r="M287" t="n">
        <v>0</v>
      </c>
      <c r="N287" t="n">
        <v>0</v>
      </c>
      <c r="O287" t="n">
        <v>0</v>
      </c>
      <c r="P287" t="n">
        <v>0</v>
      </c>
      <c r="Q287" t="n">
        <v>0</v>
      </c>
      <c r="R287" s="2" t="inlineStr"/>
    </row>
    <row r="288" ht="15" customHeight="1">
      <c r="A288" t="inlineStr">
        <is>
          <t>A 33385-2024</t>
        </is>
      </c>
      <c r="B288" s="1" t="n">
        <v>45519</v>
      </c>
      <c r="C288" s="1" t="n">
        <v>46126</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29714-2023</t>
        </is>
      </c>
      <c r="B289" s="1" t="n">
        <v>45107.42538194444</v>
      </c>
      <c r="C289" s="1" t="n">
        <v>46126</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30508-2023</t>
        </is>
      </c>
      <c r="B290" s="1" t="n">
        <v>45111</v>
      </c>
      <c r="C290" s="1" t="n">
        <v>46126</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41398-2022</t>
        </is>
      </c>
      <c r="B291" s="1" t="n">
        <v>44826</v>
      </c>
      <c r="C291" s="1" t="n">
        <v>46126</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22369-2021</t>
        </is>
      </c>
      <c r="B292" s="1" t="n">
        <v>44326</v>
      </c>
      <c r="C292" s="1" t="n">
        <v>46126</v>
      </c>
      <c r="D292" t="inlineStr">
        <is>
          <t>STOCKHOLMS LÄN</t>
        </is>
      </c>
      <c r="E292" t="inlineStr">
        <is>
          <t>NORRTÄLJE</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55012-2024</t>
        </is>
      </c>
      <c r="B293" s="1" t="n">
        <v>45621.34813657407</v>
      </c>
      <c r="C293" s="1" t="n">
        <v>46126</v>
      </c>
      <c r="D293" t="inlineStr">
        <is>
          <t>STOCKHOLMS LÄN</t>
        </is>
      </c>
      <c r="E293" t="inlineStr">
        <is>
          <t>NORRTÄLJE</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30286-2022</t>
        </is>
      </c>
      <c r="B294" s="1" t="n">
        <v>44760</v>
      </c>
      <c r="C294" s="1" t="n">
        <v>46126</v>
      </c>
      <c r="D294" t="inlineStr">
        <is>
          <t>STOCKHOLMS LÄN</t>
        </is>
      </c>
      <c r="E294" t="inlineStr">
        <is>
          <t>NORRTÄLJE</t>
        </is>
      </c>
      <c r="G294" t="n">
        <v>0.3</v>
      </c>
      <c r="H294" t="n">
        <v>0</v>
      </c>
      <c r="I294" t="n">
        <v>0</v>
      </c>
      <c r="J294" t="n">
        <v>0</v>
      </c>
      <c r="K294" t="n">
        <v>0</v>
      </c>
      <c r="L294" t="n">
        <v>0</v>
      </c>
      <c r="M294" t="n">
        <v>0</v>
      </c>
      <c r="N294" t="n">
        <v>0</v>
      </c>
      <c r="O294" t="n">
        <v>0</v>
      </c>
      <c r="P294" t="n">
        <v>0</v>
      </c>
      <c r="Q294" t="n">
        <v>0</v>
      </c>
      <c r="R294" s="2" t="inlineStr"/>
    </row>
    <row r="295" ht="15" customHeight="1">
      <c r="A295" t="inlineStr">
        <is>
          <t>A 8160-2022</t>
        </is>
      </c>
      <c r="B295" s="1" t="n">
        <v>44609</v>
      </c>
      <c r="C295" s="1" t="n">
        <v>46126</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39319-2022</t>
        </is>
      </c>
      <c r="B296" s="1" t="n">
        <v>44817.70516203704</v>
      </c>
      <c r="C296" s="1" t="n">
        <v>46126</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19398-2021</t>
        </is>
      </c>
      <c r="B297" s="1" t="n">
        <v>44309</v>
      </c>
      <c r="C297" s="1" t="n">
        <v>46126</v>
      </c>
      <c r="D297" t="inlineStr">
        <is>
          <t>STOCKHOLMS LÄN</t>
        </is>
      </c>
      <c r="E297" t="inlineStr">
        <is>
          <t>NORRTÄLJE</t>
        </is>
      </c>
      <c r="F297" t="inlineStr">
        <is>
          <t>Kommuner</t>
        </is>
      </c>
      <c r="G297" t="n">
        <v>2.1</v>
      </c>
      <c r="H297" t="n">
        <v>0</v>
      </c>
      <c r="I297" t="n">
        <v>0</v>
      </c>
      <c r="J297" t="n">
        <v>0</v>
      </c>
      <c r="K297" t="n">
        <v>0</v>
      </c>
      <c r="L297" t="n">
        <v>0</v>
      </c>
      <c r="M297" t="n">
        <v>0</v>
      </c>
      <c r="N297" t="n">
        <v>0</v>
      </c>
      <c r="O297" t="n">
        <v>0</v>
      </c>
      <c r="P297" t="n">
        <v>0</v>
      </c>
      <c r="Q297" t="n">
        <v>0</v>
      </c>
      <c r="R297" s="2" t="inlineStr"/>
    </row>
    <row r="298" ht="15" customHeight="1">
      <c r="A298" t="inlineStr">
        <is>
          <t>A 56219-2021</t>
        </is>
      </c>
      <c r="B298" s="1" t="n">
        <v>44477</v>
      </c>
      <c r="C298" s="1" t="n">
        <v>46126</v>
      </c>
      <c r="D298" t="inlineStr">
        <is>
          <t>STOCKHOLMS LÄN</t>
        </is>
      </c>
      <c r="E298" t="inlineStr">
        <is>
          <t>NORRTÄLJE</t>
        </is>
      </c>
      <c r="F298" t="inlineStr">
        <is>
          <t>Kommuner</t>
        </is>
      </c>
      <c r="G298" t="n">
        <v>2.3</v>
      </c>
      <c r="H298" t="n">
        <v>0</v>
      </c>
      <c r="I298" t="n">
        <v>0</v>
      </c>
      <c r="J298" t="n">
        <v>0</v>
      </c>
      <c r="K298" t="n">
        <v>0</v>
      </c>
      <c r="L298" t="n">
        <v>0</v>
      </c>
      <c r="M298" t="n">
        <v>0</v>
      </c>
      <c r="N298" t="n">
        <v>0</v>
      </c>
      <c r="O298" t="n">
        <v>0</v>
      </c>
      <c r="P298" t="n">
        <v>0</v>
      </c>
      <c r="Q298" t="n">
        <v>0</v>
      </c>
      <c r="R298" s="2" t="inlineStr"/>
    </row>
    <row r="299" ht="15" customHeight="1">
      <c r="A299" t="inlineStr">
        <is>
          <t>A 45541-2022</t>
        </is>
      </c>
      <c r="B299" s="1" t="n">
        <v>44845.47672453704</v>
      </c>
      <c r="C299" s="1" t="n">
        <v>46126</v>
      </c>
      <c r="D299" t="inlineStr">
        <is>
          <t>STOCKHOLMS LÄN</t>
        </is>
      </c>
      <c r="E299" t="inlineStr">
        <is>
          <t>NORRTÄLJE</t>
        </is>
      </c>
      <c r="G299" t="n">
        <v>0.4</v>
      </c>
      <c r="H299" t="n">
        <v>0</v>
      </c>
      <c r="I299" t="n">
        <v>0</v>
      </c>
      <c r="J299" t="n">
        <v>0</v>
      </c>
      <c r="K299" t="n">
        <v>0</v>
      </c>
      <c r="L299" t="n">
        <v>0</v>
      </c>
      <c r="M299" t="n">
        <v>0</v>
      </c>
      <c r="N299" t="n">
        <v>0</v>
      </c>
      <c r="O299" t="n">
        <v>0</v>
      </c>
      <c r="P299" t="n">
        <v>0</v>
      </c>
      <c r="Q299" t="n">
        <v>0</v>
      </c>
      <c r="R299" s="2" t="inlineStr"/>
    </row>
    <row r="300" ht="15" customHeight="1">
      <c r="A300" t="inlineStr">
        <is>
          <t>A 12348-2025</t>
        </is>
      </c>
      <c r="B300" s="1" t="n">
        <v>45730.35026620371</v>
      </c>
      <c r="C300" s="1" t="n">
        <v>46126</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17348-2024</t>
        </is>
      </c>
      <c r="B301" s="1" t="n">
        <v>45414.58650462963</v>
      </c>
      <c r="C301" s="1" t="n">
        <v>46126</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27715-2022</t>
        </is>
      </c>
      <c r="B302" s="1" t="n">
        <v>44743.47407407407</v>
      </c>
      <c r="C302" s="1" t="n">
        <v>46126</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38591-2023</t>
        </is>
      </c>
      <c r="B303" s="1" t="n">
        <v>45162</v>
      </c>
      <c r="C303" s="1" t="n">
        <v>46126</v>
      </c>
      <c r="D303" t="inlineStr">
        <is>
          <t>STOCKHOLMS LÄN</t>
        </is>
      </c>
      <c r="E303" t="inlineStr">
        <is>
          <t>NORRTÄLJE</t>
        </is>
      </c>
      <c r="F303" t="inlineStr">
        <is>
          <t>Övriga Aktiebolag</t>
        </is>
      </c>
      <c r="G303" t="n">
        <v>3.1</v>
      </c>
      <c r="H303" t="n">
        <v>0</v>
      </c>
      <c r="I303" t="n">
        <v>0</v>
      </c>
      <c r="J303" t="n">
        <v>0</v>
      </c>
      <c r="K303" t="n">
        <v>0</v>
      </c>
      <c r="L303" t="n">
        <v>0</v>
      </c>
      <c r="M303" t="n">
        <v>0</v>
      </c>
      <c r="N303" t="n">
        <v>0</v>
      </c>
      <c r="O303" t="n">
        <v>0</v>
      </c>
      <c r="P303" t="n">
        <v>0</v>
      </c>
      <c r="Q303" t="n">
        <v>0</v>
      </c>
      <c r="R303" s="2" t="inlineStr"/>
    </row>
    <row r="304" ht="15" customHeight="1">
      <c r="A304" t="inlineStr">
        <is>
          <t>A 3273-2025</t>
        </is>
      </c>
      <c r="B304" s="1" t="n">
        <v>45679</v>
      </c>
      <c r="C304" s="1" t="n">
        <v>46126</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38593-2025</t>
        </is>
      </c>
      <c r="B305" s="1" t="n">
        <v>45884.48696759259</v>
      </c>
      <c r="C305" s="1" t="n">
        <v>46126</v>
      </c>
      <c r="D305" t="inlineStr">
        <is>
          <t>STOCKHOLMS LÄN</t>
        </is>
      </c>
      <c r="E305" t="inlineStr">
        <is>
          <t>NORRTÄLJE</t>
        </is>
      </c>
      <c r="G305" t="n">
        <v>3</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46126</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46126</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34461-2023</t>
        </is>
      </c>
      <c r="B308" s="1" t="n">
        <v>45139</v>
      </c>
      <c r="C308" s="1" t="n">
        <v>46126</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63161-2023</t>
        </is>
      </c>
      <c r="B309" s="1" t="n">
        <v>45273</v>
      </c>
      <c r="C309" s="1" t="n">
        <v>46126</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23271-2023</t>
        </is>
      </c>
      <c r="B310" s="1" t="n">
        <v>45075.91362268518</v>
      </c>
      <c r="C310" s="1" t="n">
        <v>46126</v>
      </c>
      <c r="D310" t="inlineStr">
        <is>
          <t>STOCKHOLMS LÄN</t>
        </is>
      </c>
      <c r="E310" t="inlineStr">
        <is>
          <t>NORRTÄLJE</t>
        </is>
      </c>
      <c r="G310" t="n">
        <v>5.1</v>
      </c>
      <c r="H310" t="n">
        <v>0</v>
      </c>
      <c r="I310" t="n">
        <v>0</v>
      </c>
      <c r="J310" t="n">
        <v>0</v>
      </c>
      <c r="K310" t="n">
        <v>0</v>
      </c>
      <c r="L310" t="n">
        <v>0</v>
      </c>
      <c r="M310" t="n">
        <v>0</v>
      </c>
      <c r="N310" t="n">
        <v>0</v>
      </c>
      <c r="O310" t="n">
        <v>0</v>
      </c>
      <c r="P310" t="n">
        <v>0</v>
      </c>
      <c r="Q310" t="n">
        <v>0</v>
      </c>
      <c r="R310" s="2" t="inlineStr"/>
    </row>
    <row r="311" ht="15" customHeight="1">
      <c r="A311" t="inlineStr">
        <is>
          <t>A 23273-2023</t>
        </is>
      </c>
      <c r="B311" s="1" t="n">
        <v>45075.91971064815</v>
      </c>
      <c r="C311" s="1" t="n">
        <v>46126</v>
      </c>
      <c r="D311" t="inlineStr">
        <is>
          <t>STOCKHOLMS LÄN</t>
        </is>
      </c>
      <c r="E311" t="inlineStr">
        <is>
          <t>NORRTÄLJE</t>
        </is>
      </c>
      <c r="G311" t="n">
        <v>7.5</v>
      </c>
      <c r="H311" t="n">
        <v>0</v>
      </c>
      <c r="I311" t="n">
        <v>0</v>
      </c>
      <c r="J311" t="n">
        <v>0</v>
      </c>
      <c r="K311" t="n">
        <v>0</v>
      </c>
      <c r="L311" t="n">
        <v>0</v>
      </c>
      <c r="M311" t="n">
        <v>0</v>
      </c>
      <c r="N311" t="n">
        <v>0</v>
      </c>
      <c r="O311" t="n">
        <v>0</v>
      </c>
      <c r="P311" t="n">
        <v>0</v>
      </c>
      <c r="Q311" t="n">
        <v>0</v>
      </c>
      <c r="R311" s="2" t="inlineStr"/>
    </row>
    <row r="312" ht="15" customHeight="1">
      <c r="A312" t="inlineStr">
        <is>
          <t>A 30802-2022</t>
        </is>
      </c>
      <c r="B312" s="1" t="n">
        <v>44764</v>
      </c>
      <c r="C312" s="1" t="n">
        <v>46126</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19706-2023</t>
        </is>
      </c>
      <c r="B313" s="1" t="n">
        <v>45051.455</v>
      </c>
      <c r="C313" s="1" t="n">
        <v>46126</v>
      </c>
      <c r="D313" t="inlineStr">
        <is>
          <t>STOCKHOLMS LÄN</t>
        </is>
      </c>
      <c r="E313" t="inlineStr">
        <is>
          <t>NORRTÄLJE</t>
        </is>
      </c>
      <c r="G313" t="n">
        <v>0.2</v>
      </c>
      <c r="H313" t="n">
        <v>0</v>
      </c>
      <c r="I313" t="n">
        <v>0</v>
      </c>
      <c r="J313" t="n">
        <v>0</v>
      </c>
      <c r="K313" t="n">
        <v>0</v>
      </c>
      <c r="L313" t="n">
        <v>0</v>
      </c>
      <c r="M313" t="n">
        <v>0</v>
      </c>
      <c r="N313" t="n">
        <v>0</v>
      </c>
      <c r="O313" t="n">
        <v>0</v>
      </c>
      <c r="P313" t="n">
        <v>0</v>
      </c>
      <c r="Q313" t="n">
        <v>0</v>
      </c>
      <c r="R313" s="2" t="inlineStr"/>
    </row>
    <row r="314" ht="15" customHeight="1">
      <c r="A314" t="inlineStr">
        <is>
          <t>A 16008-2025</t>
        </is>
      </c>
      <c r="B314" s="1" t="n">
        <v>45749</v>
      </c>
      <c r="C314" s="1" t="n">
        <v>46126</v>
      </c>
      <c r="D314" t="inlineStr">
        <is>
          <t>STOCKHOLMS LÄN</t>
        </is>
      </c>
      <c r="E314" t="inlineStr">
        <is>
          <t>NORRTÄLJE</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9765-2024</t>
        </is>
      </c>
      <c r="B315" s="1" t="n">
        <v>45362.62811342593</v>
      </c>
      <c r="C315" s="1" t="n">
        <v>46126</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15217-2023</t>
        </is>
      </c>
      <c r="B316" s="1" t="n">
        <v>45019.28847222222</v>
      </c>
      <c r="C316" s="1" t="n">
        <v>46126</v>
      </c>
      <c r="D316" t="inlineStr">
        <is>
          <t>STOCKHOLMS LÄN</t>
        </is>
      </c>
      <c r="E316" t="inlineStr">
        <is>
          <t>NORRTÄLJE</t>
        </is>
      </c>
      <c r="G316" t="n">
        <v>3.6</v>
      </c>
      <c r="H316" t="n">
        <v>0</v>
      </c>
      <c r="I316" t="n">
        <v>0</v>
      </c>
      <c r="J316" t="n">
        <v>0</v>
      </c>
      <c r="K316" t="n">
        <v>0</v>
      </c>
      <c r="L316" t="n">
        <v>0</v>
      </c>
      <c r="M316" t="n">
        <v>0</v>
      </c>
      <c r="N316" t="n">
        <v>0</v>
      </c>
      <c r="O316" t="n">
        <v>0</v>
      </c>
      <c r="P316" t="n">
        <v>0</v>
      </c>
      <c r="Q316" t="n">
        <v>0</v>
      </c>
      <c r="R316" s="2" t="inlineStr"/>
    </row>
    <row r="317" ht="15" customHeight="1">
      <c r="A317" t="inlineStr">
        <is>
          <t>A 8296-2023</t>
        </is>
      </c>
      <c r="B317" s="1" t="n">
        <v>44974</v>
      </c>
      <c r="C317" s="1" t="n">
        <v>46126</v>
      </c>
      <c r="D317" t="inlineStr">
        <is>
          <t>STOCKHOLMS LÄN</t>
        </is>
      </c>
      <c r="E317" t="inlineStr">
        <is>
          <t>NORRTÄLJE</t>
        </is>
      </c>
      <c r="G317" t="n">
        <v>3.8</v>
      </c>
      <c r="H317" t="n">
        <v>0</v>
      </c>
      <c r="I317" t="n">
        <v>0</v>
      </c>
      <c r="J317" t="n">
        <v>0</v>
      </c>
      <c r="K317" t="n">
        <v>0</v>
      </c>
      <c r="L317" t="n">
        <v>0</v>
      </c>
      <c r="M317" t="n">
        <v>0</v>
      </c>
      <c r="N317" t="n">
        <v>0</v>
      </c>
      <c r="O317" t="n">
        <v>0</v>
      </c>
      <c r="P317" t="n">
        <v>0</v>
      </c>
      <c r="Q317" t="n">
        <v>0</v>
      </c>
      <c r="R317" s="2" t="inlineStr"/>
    </row>
    <row r="318" ht="15" customHeight="1">
      <c r="A318" t="inlineStr">
        <is>
          <t>A 24522-2023</t>
        </is>
      </c>
      <c r="B318" s="1" t="n">
        <v>45082.69179398148</v>
      </c>
      <c r="C318" s="1" t="n">
        <v>46126</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67921-2021</t>
        </is>
      </c>
      <c r="B319" s="1" t="n">
        <v>44525</v>
      </c>
      <c r="C319" s="1" t="n">
        <v>46126</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31236-2022</t>
        </is>
      </c>
      <c r="B320" s="1" t="n">
        <v>44771</v>
      </c>
      <c r="C320" s="1" t="n">
        <v>46126</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47694-2023</t>
        </is>
      </c>
      <c r="B321" s="1" t="n">
        <v>45203.63303240741</v>
      </c>
      <c r="C321" s="1" t="n">
        <v>46126</v>
      </c>
      <c r="D321" t="inlineStr">
        <is>
          <t>STOCKHOLMS LÄN</t>
        </is>
      </c>
      <c r="E321" t="inlineStr">
        <is>
          <t>NORRTÄLJE</t>
        </is>
      </c>
      <c r="G321" t="n">
        <v>5.2</v>
      </c>
      <c r="H321" t="n">
        <v>0</v>
      </c>
      <c r="I321" t="n">
        <v>0</v>
      </c>
      <c r="J321" t="n">
        <v>0</v>
      </c>
      <c r="K321" t="n">
        <v>0</v>
      </c>
      <c r="L321" t="n">
        <v>0</v>
      </c>
      <c r="M321" t="n">
        <v>0</v>
      </c>
      <c r="N321" t="n">
        <v>0</v>
      </c>
      <c r="O321" t="n">
        <v>0</v>
      </c>
      <c r="P321" t="n">
        <v>0</v>
      </c>
      <c r="Q321" t="n">
        <v>0</v>
      </c>
      <c r="R321" s="2" t="inlineStr"/>
    </row>
    <row r="322" ht="15" customHeight="1">
      <c r="A322" t="inlineStr">
        <is>
          <t>A 40656-2022</t>
        </is>
      </c>
      <c r="B322" s="1" t="n">
        <v>44824.36069444445</v>
      </c>
      <c r="C322" s="1" t="n">
        <v>46126</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29176-2024</t>
        </is>
      </c>
      <c r="B323" s="1" t="n">
        <v>45482.53388888889</v>
      </c>
      <c r="C323" s="1" t="n">
        <v>46126</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40425-2021</t>
        </is>
      </c>
      <c r="B324" s="1" t="n">
        <v>44419</v>
      </c>
      <c r="C324" s="1" t="n">
        <v>46126</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20014-2025</t>
        </is>
      </c>
      <c r="B325" s="1" t="n">
        <v>45772.3078125</v>
      </c>
      <c r="C325" s="1" t="n">
        <v>46126</v>
      </c>
      <c r="D325" t="inlineStr">
        <is>
          <t>STOCKHOLMS LÄN</t>
        </is>
      </c>
      <c r="E325" t="inlineStr">
        <is>
          <t>NORRTÄLJE</t>
        </is>
      </c>
      <c r="G325" t="n">
        <v>4.4</v>
      </c>
      <c r="H325" t="n">
        <v>0</v>
      </c>
      <c r="I325" t="n">
        <v>0</v>
      </c>
      <c r="J325" t="n">
        <v>0</v>
      </c>
      <c r="K325" t="n">
        <v>0</v>
      </c>
      <c r="L325" t="n">
        <v>0</v>
      </c>
      <c r="M325" t="n">
        <v>0</v>
      </c>
      <c r="N325" t="n">
        <v>0</v>
      </c>
      <c r="O325" t="n">
        <v>0</v>
      </c>
      <c r="P325" t="n">
        <v>0</v>
      </c>
      <c r="Q325" t="n">
        <v>0</v>
      </c>
      <c r="R325" s="2" t="inlineStr"/>
    </row>
    <row r="326" ht="15" customHeight="1">
      <c r="A326" t="inlineStr">
        <is>
          <t>A 56631-2024</t>
        </is>
      </c>
      <c r="B326" s="1" t="n">
        <v>45625</v>
      </c>
      <c r="C326" s="1" t="n">
        <v>46126</v>
      </c>
      <c r="D326" t="inlineStr">
        <is>
          <t>STOCKHOLMS LÄN</t>
        </is>
      </c>
      <c r="E326" t="inlineStr">
        <is>
          <t>NORRTÄLJE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48587-2023</t>
        </is>
      </c>
      <c r="B327" s="1" t="n">
        <v>45208</v>
      </c>
      <c r="C327" s="1" t="n">
        <v>46126</v>
      </c>
      <c r="D327" t="inlineStr">
        <is>
          <t>STOCKHOLMS LÄN</t>
        </is>
      </c>
      <c r="E327" t="inlineStr">
        <is>
          <t>NORRTÄLJE</t>
        </is>
      </c>
      <c r="G327" t="n">
        <v>7</v>
      </c>
      <c r="H327" t="n">
        <v>0</v>
      </c>
      <c r="I327" t="n">
        <v>0</v>
      </c>
      <c r="J327" t="n">
        <v>0</v>
      </c>
      <c r="K327" t="n">
        <v>0</v>
      </c>
      <c r="L327" t="n">
        <v>0</v>
      </c>
      <c r="M327" t="n">
        <v>0</v>
      </c>
      <c r="N327" t="n">
        <v>0</v>
      </c>
      <c r="O327" t="n">
        <v>0</v>
      </c>
      <c r="P327" t="n">
        <v>0</v>
      </c>
      <c r="Q327" t="n">
        <v>0</v>
      </c>
      <c r="R327" s="2" t="inlineStr"/>
    </row>
    <row r="328" ht="15" customHeight="1">
      <c r="A328" t="inlineStr">
        <is>
          <t>A 53600-2022</t>
        </is>
      </c>
      <c r="B328" s="1" t="n">
        <v>44879.70518518519</v>
      </c>
      <c r="C328" s="1" t="n">
        <v>46126</v>
      </c>
      <c r="D328" t="inlineStr">
        <is>
          <t>STOCKHOLMS LÄN</t>
        </is>
      </c>
      <c r="E328" t="inlineStr">
        <is>
          <t>NORRTÄLJE</t>
        </is>
      </c>
      <c r="G328" t="n">
        <v>4.3</v>
      </c>
      <c r="H328" t="n">
        <v>0</v>
      </c>
      <c r="I328" t="n">
        <v>0</v>
      </c>
      <c r="J328" t="n">
        <v>0</v>
      </c>
      <c r="K328" t="n">
        <v>0</v>
      </c>
      <c r="L328" t="n">
        <v>0</v>
      </c>
      <c r="M328" t="n">
        <v>0</v>
      </c>
      <c r="N328" t="n">
        <v>0</v>
      </c>
      <c r="O328" t="n">
        <v>0</v>
      </c>
      <c r="P328" t="n">
        <v>0</v>
      </c>
      <c r="Q328" t="n">
        <v>0</v>
      </c>
      <c r="R328" s="2" t="inlineStr"/>
    </row>
    <row r="329" ht="15" customHeight="1">
      <c r="A329" t="inlineStr">
        <is>
          <t>A 4596-2023</t>
        </is>
      </c>
      <c r="B329" s="1" t="n">
        <v>44956</v>
      </c>
      <c r="C329" s="1" t="n">
        <v>46126</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52593-2024</t>
        </is>
      </c>
      <c r="B330" s="1" t="n">
        <v>45609.70778935185</v>
      </c>
      <c r="C330" s="1" t="n">
        <v>46126</v>
      </c>
      <c r="D330" t="inlineStr">
        <is>
          <t>STOCKHOLMS LÄN</t>
        </is>
      </c>
      <c r="E330" t="inlineStr">
        <is>
          <t>NORRTÄLJE</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52617-2024</t>
        </is>
      </c>
      <c r="B331" s="1" t="n">
        <v>45609.85146990741</v>
      </c>
      <c r="C331" s="1" t="n">
        <v>46126</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4438-2023</t>
        </is>
      </c>
      <c r="B332" s="1" t="n">
        <v>44956</v>
      </c>
      <c r="C332" s="1" t="n">
        <v>46126</v>
      </c>
      <c r="D332" t="inlineStr">
        <is>
          <t>STOCKHOLMS LÄN</t>
        </is>
      </c>
      <c r="E332" t="inlineStr">
        <is>
          <t>NORRTÄLJE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27824-2022</t>
        </is>
      </c>
      <c r="B333" s="1" t="n">
        <v>44743.59331018518</v>
      </c>
      <c r="C333" s="1" t="n">
        <v>46126</v>
      </c>
      <c r="D333" t="inlineStr">
        <is>
          <t>STOCKHOLMS LÄN</t>
        </is>
      </c>
      <c r="E333" t="inlineStr">
        <is>
          <t>NORRTÄLJE</t>
        </is>
      </c>
      <c r="F333" t="inlineStr">
        <is>
          <t>Kommuner</t>
        </is>
      </c>
      <c r="G333" t="n">
        <v>3.1</v>
      </c>
      <c r="H333" t="n">
        <v>0</v>
      </c>
      <c r="I333" t="n">
        <v>0</v>
      </c>
      <c r="J333" t="n">
        <v>0</v>
      </c>
      <c r="K333" t="n">
        <v>0</v>
      </c>
      <c r="L333" t="n">
        <v>0</v>
      </c>
      <c r="M333" t="n">
        <v>0</v>
      </c>
      <c r="N333" t="n">
        <v>0</v>
      </c>
      <c r="O333" t="n">
        <v>0</v>
      </c>
      <c r="P333" t="n">
        <v>0</v>
      </c>
      <c r="Q333" t="n">
        <v>0</v>
      </c>
      <c r="R333" s="2" t="inlineStr"/>
    </row>
    <row r="334" ht="15" customHeight="1">
      <c r="A334" t="inlineStr">
        <is>
          <t>A 24727-2023</t>
        </is>
      </c>
      <c r="B334" s="1" t="n">
        <v>45084.57695601852</v>
      </c>
      <c r="C334" s="1" t="n">
        <v>46126</v>
      </c>
      <c r="D334" t="inlineStr">
        <is>
          <t>STOCKHOLMS LÄN</t>
        </is>
      </c>
      <c r="E334" t="inlineStr">
        <is>
          <t>NORRTÄLJE</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59904-2023</t>
        </is>
      </c>
      <c r="B335" s="1" t="n">
        <v>45257</v>
      </c>
      <c r="C335" s="1" t="n">
        <v>46126</v>
      </c>
      <c r="D335" t="inlineStr">
        <is>
          <t>STOCKHOLMS LÄN</t>
        </is>
      </c>
      <c r="E335" t="inlineStr">
        <is>
          <t>NORRTÄLJE</t>
        </is>
      </c>
      <c r="G335" t="n">
        <v>17.4</v>
      </c>
      <c r="H335" t="n">
        <v>0</v>
      </c>
      <c r="I335" t="n">
        <v>0</v>
      </c>
      <c r="J335" t="n">
        <v>0</v>
      </c>
      <c r="K335" t="n">
        <v>0</v>
      </c>
      <c r="L335" t="n">
        <v>0</v>
      </c>
      <c r="M335" t="n">
        <v>0</v>
      </c>
      <c r="N335" t="n">
        <v>0</v>
      </c>
      <c r="O335" t="n">
        <v>0</v>
      </c>
      <c r="P335" t="n">
        <v>0</v>
      </c>
      <c r="Q335" t="n">
        <v>0</v>
      </c>
      <c r="R335" s="2" t="inlineStr"/>
    </row>
    <row r="336" ht="15" customHeight="1">
      <c r="A336" t="inlineStr">
        <is>
          <t>A 36308-2022</t>
        </is>
      </c>
      <c r="B336" s="1" t="n">
        <v>44803</v>
      </c>
      <c r="C336" s="1" t="n">
        <v>46126</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42955-2022</t>
        </is>
      </c>
      <c r="B337" s="1" t="n">
        <v>44833.40876157407</v>
      </c>
      <c r="C337" s="1" t="n">
        <v>46126</v>
      </c>
      <c r="D337" t="inlineStr">
        <is>
          <t>STOCKHOLMS LÄN</t>
        </is>
      </c>
      <c r="E337" t="inlineStr">
        <is>
          <t>NORRTÄLJE</t>
        </is>
      </c>
      <c r="G337" t="n">
        <v>13.1</v>
      </c>
      <c r="H337" t="n">
        <v>0</v>
      </c>
      <c r="I337" t="n">
        <v>0</v>
      </c>
      <c r="J337" t="n">
        <v>0</v>
      </c>
      <c r="K337" t="n">
        <v>0</v>
      </c>
      <c r="L337" t="n">
        <v>0</v>
      </c>
      <c r="M337" t="n">
        <v>0</v>
      </c>
      <c r="N337" t="n">
        <v>0</v>
      </c>
      <c r="O337" t="n">
        <v>0</v>
      </c>
      <c r="P337" t="n">
        <v>0</v>
      </c>
      <c r="Q337" t="n">
        <v>0</v>
      </c>
      <c r="R337" s="2" t="inlineStr"/>
    </row>
    <row r="338" ht="15" customHeight="1">
      <c r="A338" t="inlineStr">
        <is>
          <t>A 47521-2024</t>
        </is>
      </c>
      <c r="B338" s="1" t="n">
        <v>45587.62565972222</v>
      </c>
      <c r="C338" s="1" t="n">
        <v>46126</v>
      </c>
      <c r="D338" t="inlineStr">
        <is>
          <t>STOCKHOLMS LÄN</t>
        </is>
      </c>
      <c r="E338" t="inlineStr">
        <is>
          <t>NORRTÄLJE</t>
        </is>
      </c>
      <c r="G338" t="n">
        <v>4.7</v>
      </c>
      <c r="H338" t="n">
        <v>0</v>
      </c>
      <c r="I338" t="n">
        <v>0</v>
      </c>
      <c r="J338" t="n">
        <v>0</v>
      </c>
      <c r="K338" t="n">
        <v>0</v>
      </c>
      <c r="L338" t="n">
        <v>0</v>
      </c>
      <c r="M338" t="n">
        <v>0</v>
      </c>
      <c r="N338" t="n">
        <v>0</v>
      </c>
      <c r="O338" t="n">
        <v>0</v>
      </c>
      <c r="P338" t="n">
        <v>0</v>
      </c>
      <c r="Q338" t="n">
        <v>0</v>
      </c>
      <c r="R338" s="2" t="inlineStr"/>
    </row>
    <row r="339" ht="15" customHeight="1">
      <c r="A339" t="inlineStr">
        <is>
          <t>A 20136-2025</t>
        </is>
      </c>
      <c r="B339" s="1" t="n">
        <v>45772.51127314815</v>
      </c>
      <c r="C339" s="1" t="n">
        <v>46126</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15978-2024</t>
        </is>
      </c>
      <c r="B340" s="1" t="n">
        <v>45405.57927083333</v>
      </c>
      <c r="C340" s="1" t="n">
        <v>46126</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20473-2021</t>
        </is>
      </c>
      <c r="B341" s="1" t="n">
        <v>44315</v>
      </c>
      <c r="C341" s="1" t="n">
        <v>46126</v>
      </c>
      <c r="D341" t="inlineStr">
        <is>
          <t>STOCKHOLMS LÄN</t>
        </is>
      </c>
      <c r="E341" t="inlineStr">
        <is>
          <t>NORRTÄLJE</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18787-2022</t>
        </is>
      </c>
      <c r="B342" s="1" t="n">
        <v>44687</v>
      </c>
      <c r="C342" s="1" t="n">
        <v>46126</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7603-2025</t>
        </is>
      </c>
      <c r="B343" s="1" t="n">
        <v>45705.66126157407</v>
      </c>
      <c r="C343" s="1" t="n">
        <v>46126</v>
      </c>
      <c r="D343" t="inlineStr">
        <is>
          <t>STOCKHOLMS LÄN</t>
        </is>
      </c>
      <c r="E343" t="inlineStr">
        <is>
          <t>NORRTÄLJE</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22816-2021</t>
        </is>
      </c>
      <c r="B344" s="1" t="n">
        <v>44325</v>
      </c>
      <c r="C344" s="1" t="n">
        <v>46126</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5158-2024</t>
        </is>
      </c>
      <c r="B345" s="1" t="n">
        <v>45330.50098379629</v>
      </c>
      <c r="C345" s="1" t="n">
        <v>46126</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65499-2021</t>
        </is>
      </c>
      <c r="B346" s="1" t="n">
        <v>44516</v>
      </c>
      <c r="C346" s="1" t="n">
        <v>46126</v>
      </c>
      <c r="D346" t="inlineStr">
        <is>
          <t>STOCKHOLMS LÄN</t>
        </is>
      </c>
      <c r="E346" t="inlineStr">
        <is>
          <t>NORRTÄLJE</t>
        </is>
      </c>
      <c r="F346" t="inlineStr">
        <is>
          <t>Kommuner</t>
        </is>
      </c>
      <c r="G346" t="n">
        <v>5.2</v>
      </c>
      <c r="H346" t="n">
        <v>0</v>
      </c>
      <c r="I346" t="n">
        <v>0</v>
      </c>
      <c r="J346" t="n">
        <v>0</v>
      </c>
      <c r="K346" t="n">
        <v>0</v>
      </c>
      <c r="L346" t="n">
        <v>0</v>
      </c>
      <c r="M346" t="n">
        <v>0</v>
      </c>
      <c r="N346" t="n">
        <v>0</v>
      </c>
      <c r="O346" t="n">
        <v>0</v>
      </c>
      <c r="P346" t="n">
        <v>0</v>
      </c>
      <c r="Q346" t="n">
        <v>0</v>
      </c>
      <c r="R346" s="2" t="inlineStr"/>
    </row>
    <row r="347" ht="15" customHeight="1">
      <c r="A347" t="inlineStr">
        <is>
          <t>A 50534-2024</t>
        </is>
      </c>
      <c r="B347" s="1" t="n">
        <v>45601.56726851852</v>
      </c>
      <c r="C347" s="1" t="n">
        <v>46126</v>
      </c>
      <c r="D347" t="inlineStr">
        <is>
          <t>STOCKHOLMS LÄN</t>
        </is>
      </c>
      <c r="E347" t="inlineStr">
        <is>
          <t>NORRTÄLJE</t>
        </is>
      </c>
      <c r="G347" t="n">
        <v>2.6</v>
      </c>
      <c r="H347" t="n">
        <v>0</v>
      </c>
      <c r="I347" t="n">
        <v>0</v>
      </c>
      <c r="J347" t="n">
        <v>0</v>
      </c>
      <c r="K347" t="n">
        <v>0</v>
      </c>
      <c r="L347" t="n">
        <v>0</v>
      </c>
      <c r="M347" t="n">
        <v>0</v>
      </c>
      <c r="N347" t="n">
        <v>0</v>
      </c>
      <c r="O347" t="n">
        <v>0</v>
      </c>
      <c r="P347" t="n">
        <v>0</v>
      </c>
      <c r="Q347" t="n">
        <v>0</v>
      </c>
      <c r="R347" s="2" t="inlineStr"/>
    </row>
    <row r="348" ht="15" customHeight="1">
      <c r="A348" t="inlineStr">
        <is>
          <t>A 51046-2023</t>
        </is>
      </c>
      <c r="B348" s="1" t="n">
        <v>45218</v>
      </c>
      <c r="C348" s="1" t="n">
        <v>46126</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42094-2023</t>
        </is>
      </c>
      <c r="B349" s="1" t="n">
        <v>45177.61498842593</v>
      </c>
      <c r="C349" s="1" t="n">
        <v>46126</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58530-2024</t>
        </is>
      </c>
      <c r="B350" s="1" t="n">
        <v>45635.44788194444</v>
      </c>
      <c r="C350" s="1" t="n">
        <v>46126</v>
      </c>
      <c r="D350" t="inlineStr">
        <is>
          <t>STOCKHOLMS LÄN</t>
        </is>
      </c>
      <c r="E350" t="inlineStr">
        <is>
          <t>NORRTÄLJE</t>
        </is>
      </c>
      <c r="G350" t="n">
        <v>4.5</v>
      </c>
      <c r="H350" t="n">
        <v>0</v>
      </c>
      <c r="I350" t="n">
        <v>0</v>
      </c>
      <c r="J350" t="n">
        <v>0</v>
      </c>
      <c r="K350" t="n">
        <v>0</v>
      </c>
      <c r="L350" t="n">
        <v>0</v>
      </c>
      <c r="M350" t="n">
        <v>0</v>
      </c>
      <c r="N350" t="n">
        <v>0</v>
      </c>
      <c r="O350" t="n">
        <v>0</v>
      </c>
      <c r="P350" t="n">
        <v>0</v>
      </c>
      <c r="Q350" t="n">
        <v>0</v>
      </c>
      <c r="R350" s="2" t="inlineStr"/>
    </row>
    <row r="351" ht="15" customHeight="1">
      <c r="A351" t="inlineStr">
        <is>
          <t>A 30620-2022</t>
        </is>
      </c>
      <c r="B351" s="1" t="n">
        <v>44763.40914351852</v>
      </c>
      <c r="C351" s="1" t="n">
        <v>46126</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8736-2024</t>
        </is>
      </c>
      <c r="B352" s="1" t="n">
        <v>45356.4722800926</v>
      </c>
      <c r="C352" s="1" t="n">
        <v>46126</v>
      </c>
      <c r="D352" t="inlineStr">
        <is>
          <t>STOCKHOLMS LÄN</t>
        </is>
      </c>
      <c r="E352" t="inlineStr">
        <is>
          <t>NORRTÄLJE</t>
        </is>
      </c>
      <c r="G352" t="n">
        <v>8.9</v>
      </c>
      <c r="H352" t="n">
        <v>0</v>
      </c>
      <c r="I352" t="n">
        <v>0</v>
      </c>
      <c r="J352" t="n">
        <v>0</v>
      </c>
      <c r="K352" t="n">
        <v>0</v>
      </c>
      <c r="L352" t="n">
        <v>0</v>
      </c>
      <c r="M352" t="n">
        <v>0</v>
      </c>
      <c r="N352" t="n">
        <v>0</v>
      </c>
      <c r="O352" t="n">
        <v>0</v>
      </c>
      <c r="P352" t="n">
        <v>0</v>
      </c>
      <c r="Q352" t="n">
        <v>0</v>
      </c>
      <c r="R352" s="2" t="inlineStr"/>
    </row>
    <row r="353" ht="15" customHeight="1">
      <c r="A353" t="inlineStr">
        <is>
          <t>A 57602-2024</t>
        </is>
      </c>
      <c r="B353" s="1" t="n">
        <v>45630.52866898148</v>
      </c>
      <c r="C353" s="1" t="n">
        <v>46126</v>
      </c>
      <c r="D353" t="inlineStr">
        <is>
          <t>STOCKHOLMS LÄN</t>
        </is>
      </c>
      <c r="E353" t="inlineStr">
        <is>
          <t>NORRTÄLJE</t>
        </is>
      </c>
      <c r="G353" t="n">
        <v>1.8</v>
      </c>
      <c r="H353" t="n">
        <v>0</v>
      </c>
      <c r="I353" t="n">
        <v>0</v>
      </c>
      <c r="J353" t="n">
        <v>0</v>
      </c>
      <c r="K353" t="n">
        <v>0</v>
      </c>
      <c r="L353" t="n">
        <v>0</v>
      </c>
      <c r="M353" t="n">
        <v>0</v>
      </c>
      <c r="N353" t="n">
        <v>0</v>
      </c>
      <c r="O353" t="n">
        <v>0</v>
      </c>
      <c r="P353" t="n">
        <v>0</v>
      </c>
      <c r="Q353" t="n">
        <v>0</v>
      </c>
      <c r="R353" s="2" t="inlineStr"/>
    </row>
    <row r="354" ht="15" customHeight="1">
      <c r="A354" t="inlineStr">
        <is>
          <t>A 50108-2021</t>
        </is>
      </c>
      <c r="B354" s="1" t="n">
        <v>44456</v>
      </c>
      <c r="C354" s="1" t="n">
        <v>46126</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11854-2025</t>
        </is>
      </c>
      <c r="B355" s="1" t="n">
        <v>45728.38924768518</v>
      </c>
      <c r="C355" s="1" t="n">
        <v>46126</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1283-2025</t>
        </is>
      </c>
      <c r="B356" s="1" t="n">
        <v>45667.49878472222</v>
      </c>
      <c r="C356" s="1" t="n">
        <v>46126</v>
      </c>
      <c r="D356" t="inlineStr">
        <is>
          <t>STOCKHOLMS LÄN</t>
        </is>
      </c>
      <c r="E356" t="inlineStr">
        <is>
          <t>NORRTÄLJE</t>
        </is>
      </c>
      <c r="G356" t="n">
        <v>1</v>
      </c>
      <c r="H356" t="n">
        <v>0</v>
      </c>
      <c r="I356" t="n">
        <v>0</v>
      </c>
      <c r="J356" t="n">
        <v>0</v>
      </c>
      <c r="K356" t="n">
        <v>0</v>
      </c>
      <c r="L356" t="n">
        <v>0</v>
      </c>
      <c r="M356" t="n">
        <v>0</v>
      </c>
      <c r="N356" t="n">
        <v>0</v>
      </c>
      <c r="O356" t="n">
        <v>0</v>
      </c>
      <c r="P356" t="n">
        <v>0</v>
      </c>
      <c r="Q356" t="n">
        <v>0</v>
      </c>
      <c r="R356" s="2" t="inlineStr"/>
    </row>
    <row r="357" ht="15" customHeight="1">
      <c r="A357" t="inlineStr">
        <is>
          <t>A 45255-2022</t>
        </is>
      </c>
      <c r="B357" s="1" t="n">
        <v>44840</v>
      </c>
      <c r="C357" s="1" t="n">
        <v>46126</v>
      </c>
      <c r="D357" t="inlineStr">
        <is>
          <t>STOCKHOLMS LÄN</t>
        </is>
      </c>
      <c r="E357" t="inlineStr">
        <is>
          <t>NORRTÄLJE</t>
        </is>
      </c>
      <c r="G357" t="n">
        <v>4.1</v>
      </c>
      <c r="H357" t="n">
        <v>0</v>
      </c>
      <c r="I357" t="n">
        <v>0</v>
      </c>
      <c r="J357" t="n">
        <v>0</v>
      </c>
      <c r="K357" t="n">
        <v>0</v>
      </c>
      <c r="L357" t="n">
        <v>0</v>
      </c>
      <c r="M357" t="n">
        <v>0</v>
      </c>
      <c r="N357" t="n">
        <v>0</v>
      </c>
      <c r="O357" t="n">
        <v>0</v>
      </c>
      <c r="P357" t="n">
        <v>0</v>
      </c>
      <c r="Q357" t="n">
        <v>0</v>
      </c>
      <c r="R357" s="2" t="inlineStr"/>
    </row>
    <row r="358" ht="15" customHeight="1">
      <c r="A358" t="inlineStr">
        <is>
          <t>A 19915-2024</t>
        </is>
      </c>
      <c r="B358" s="1" t="n">
        <v>45433.58431712963</v>
      </c>
      <c r="C358" s="1" t="n">
        <v>46126</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12629-2024</t>
        </is>
      </c>
      <c r="B359" s="1" t="n">
        <v>45383</v>
      </c>
      <c r="C359" s="1" t="n">
        <v>46126</v>
      </c>
      <c r="D359" t="inlineStr">
        <is>
          <t>STOCKHOLMS LÄN</t>
        </is>
      </c>
      <c r="E359" t="inlineStr">
        <is>
          <t>NORRTÄLJE</t>
        </is>
      </c>
      <c r="G359" t="n">
        <v>2.6</v>
      </c>
      <c r="H359" t="n">
        <v>0</v>
      </c>
      <c r="I359" t="n">
        <v>0</v>
      </c>
      <c r="J359" t="n">
        <v>0</v>
      </c>
      <c r="K359" t="n">
        <v>0</v>
      </c>
      <c r="L359" t="n">
        <v>0</v>
      </c>
      <c r="M359" t="n">
        <v>0</v>
      </c>
      <c r="N359" t="n">
        <v>0</v>
      </c>
      <c r="O359" t="n">
        <v>0</v>
      </c>
      <c r="P359" t="n">
        <v>0</v>
      </c>
      <c r="Q359" t="n">
        <v>0</v>
      </c>
      <c r="R359" s="2" t="inlineStr"/>
    </row>
    <row r="360" ht="15" customHeight="1">
      <c r="A360" t="inlineStr">
        <is>
          <t>A 25621-2022</t>
        </is>
      </c>
      <c r="B360" s="1" t="n">
        <v>44732</v>
      </c>
      <c r="C360" s="1" t="n">
        <v>46126</v>
      </c>
      <c r="D360" t="inlineStr">
        <is>
          <t>STOCKHOLMS LÄN</t>
        </is>
      </c>
      <c r="E360" t="inlineStr">
        <is>
          <t>NORRTÄLJE</t>
        </is>
      </c>
      <c r="G360" t="n">
        <v>3.1</v>
      </c>
      <c r="H360" t="n">
        <v>0</v>
      </c>
      <c r="I360" t="n">
        <v>0</v>
      </c>
      <c r="J360" t="n">
        <v>0</v>
      </c>
      <c r="K360" t="n">
        <v>0</v>
      </c>
      <c r="L360" t="n">
        <v>0</v>
      </c>
      <c r="M360" t="n">
        <v>0</v>
      </c>
      <c r="N360" t="n">
        <v>0</v>
      </c>
      <c r="O360" t="n">
        <v>0</v>
      </c>
      <c r="P360" t="n">
        <v>0</v>
      </c>
      <c r="Q360" t="n">
        <v>0</v>
      </c>
      <c r="R360" s="2" t="inlineStr"/>
    </row>
    <row r="361" ht="15" customHeight="1">
      <c r="A361" t="inlineStr">
        <is>
          <t>A 20428-2024</t>
        </is>
      </c>
      <c r="B361" s="1" t="n">
        <v>45435</v>
      </c>
      <c r="C361" s="1" t="n">
        <v>46126</v>
      </c>
      <c r="D361" t="inlineStr">
        <is>
          <t>STOCKHOLMS LÄN</t>
        </is>
      </c>
      <c r="E361" t="inlineStr">
        <is>
          <t>NORRTÄLJE</t>
        </is>
      </c>
      <c r="G361" t="n">
        <v>3.7</v>
      </c>
      <c r="H361" t="n">
        <v>0</v>
      </c>
      <c r="I361" t="n">
        <v>0</v>
      </c>
      <c r="J361" t="n">
        <v>0</v>
      </c>
      <c r="K361" t="n">
        <v>0</v>
      </c>
      <c r="L361" t="n">
        <v>0</v>
      </c>
      <c r="M361" t="n">
        <v>0</v>
      </c>
      <c r="N361" t="n">
        <v>0</v>
      </c>
      <c r="O361" t="n">
        <v>0</v>
      </c>
      <c r="P361" t="n">
        <v>0</v>
      </c>
      <c r="Q361" t="n">
        <v>0</v>
      </c>
      <c r="R361" s="2" t="inlineStr"/>
    </row>
    <row r="362" ht="15" customHeight="1">
      <c r="A362" t="inlineStr">
        <is>
          <t>A 20304-2023</t>
        </is>
      </c>
      <c r="B362" s="1" t="n">
        <v>45056</v>
      </c>
      <c r="C362" s="1" t="n">
        <v>46126</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57037-2022</t>
        </is>
      </c>
      <c r="B363" s="1" t="n">
        <v>44895</v>
      </c>
      <c r="C363" s="1" t="n">
        <v>46126</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35235-2024</t>
        </is>
      </c>
      <c r="B364" s="1" t="n">
        <v>45530</v>
      </c>
      <c r="C364" s="1" t="n">
        <v>46126</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14762-2024</t>
        </is>
      </c>
      <c r="B365" s="1" t="n">
        <v>45397</v>
      </c>
      <c r="C365" s="1" t="n">
        <v>46126</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60217-2021</t>
        </is>
      </c>
      <c r="B366" s="1" t="n">
        <v>44495.5893287037</v>
      </c>
      <c r="C366" s="1" t="n">
        <v>46126</v>
      </c>
      <c r="D366" t="inlineStr">
        <is>
          <t>STOCKHOLMS LÄN</t>
        </is>
      </c>
      <c r="E366" t="inlineStr">
        <is>
          <t>NORRTÄLJE</t>
        </is>
      </c>
      <c r="G366" t="n">
        <v>4.3</v>
      </c>
      <c r="H366" t="n">
        <v>0</v>
      </c>
      <c r="I366" t="n">
        <v>0</v>
      </c>
      <c r="J366" t="n">
        <v>0</v>
      </c>
      <c r="K366" t="n">
        <v>0</v>
      </c>
      <c r="L366" t="n">
        <v>0</v>
      </c>
      <c r="M366" t="n">
        <v>0</v>
      </c>
      <c r="N366" t="n">
        <v>0</v>
      </c>
      <c r="O366" t="n">
        <v>0</v>
      </c>
      <c r="P366" t="n">
        <v>0</v>
      </c>
      <c r="Q366" t="n">
        <v>0</v>
      </c>
      <c r="R366" s="2" t="inlineStr"/>
    </row>
    <row r="367" ht="15" customHeight="1">
      <c r="A367" t="inlineStr">
        <is>
          <t>A 51061-2023</t>
        </is>
      </c>
      <c r="B367" s="1" t="n">
        <v>45218.65849537037</v>
      </c>
      <c r="C367" s="1" t="n">
        <v>46126</v>
      </c>
      <c r="D367" t="inlineStr">
        <is>
          <t>STOCKHOLMS LÄN</t>
        </is>
      </c>
      <c r="E367" t="inlineStr">
        <is>
          <t>NORRTÄLJE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39213-2022</t>
        </is>
      </c>
      <c r="B368" s="1" t="n">
        <v>44817.56120370371</v>
      </c>
      <c r="C368" s="1" t="n">
        <v>46126</v>
      </c>
      <c r="D368" t="inlineStr">
        <is>
          <t>STOCKHOLMS LÄN</t>
        </is>
      </c>
      <c r="E368" t="inlineStr">
        <is>
          <t>NORRTÄLJE</t>
        </is>
      </c>
      <c r="G368" t="n">
        <v>3.4</v>
      </c>
      <c r="H368" t="n">
        <v>0</v>
      </c>
      <c r="I368" t="n">
        <v>0</v>
      </c>
      <c r="J368" t="n">
        <v>0</v>
      </c>
      <c r="K368" t="n">
        <v>0</v>
      </c>
      <c r="L368" t="n">
        <v>0</v>
      </c>
      <c r="M368" t="n">
        <v>0</v>
      </c>
      <c r="N368" t="n">
        <v>0</v>
      </c>
      <c r="O368" t="n">
        <v>0</v>
      </c>
      <c r="P368" t="n">
        <v>0</v>
      </c>
      <c r="Q368" t="n">
        <v>0</v>
      </c>
      <c r="R368" s="2" t="inlineStr"/>
    </row>
    <row r="369" ht="15" customHeight="1">
      <c r="A369" t="inlineStr">
        <is>
          <t>A 36246-2021</t>
        </is>
      </c>
      <c r="B369" s="1" t="n">
        <v>44390</v>
      </c>
      <c r="C369" s="1" t="n">
        <v>46126</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39149-2025</t>
        </is>
      </c>
      <c r="B370" s="1" t="n">
        <v>45888.60714120371</v>
      </c>
      <c r="C370" s="1" t="n">
        <v>46126</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38720-2025</t>
        </is>
      </c>
      <c r="B371" s="1" t="n">
        <v>45886</v>
      </c>
      <c r="C371" s="1" t="n">
        <v>46126</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23149-2024</t>
        </is>
      </c>
      <c r="B372" s="1" t="n">
        <v>45450.64208333333</v>
      </c>
      <c r="C372" s="1" t="n">
        <v>46126</v>
      </c>
      <c r="D372" t="inlineStr">
        <is>
          <t>STOCKHOLMS LÄN</t>
        </is>
      </c>
      <c r="E372" t="inlineStr">
        <is>
          <t>NORRTÄLJE</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23151-2024</t>
        </is>
      </c>
      <c r="B373" s="1" t="n">
        <v>45450</v>
      </c>
      <c r="C373" s="1" t="n">
        <v>46126</v>
      </c>
      <c r="D373" t="inlineStr">
        <is>
          <t>STOCKHOLMS LÄN</t>
        </is>
      </c>
      <c r="E373" t="inlineStr">
        <is>
          <t>NORRTÄLJE</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16913-2025</t>
        </is>
      </c>
      <c r="B374" s="1" t="n">
        <v>45755.36583333334</v>
      </c>
      <c r="C374" s="1" t="n">
        <v>46126</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15905-2023</t>
        </is>
      </c>
      <c r="B375" s="1" t="n">
        <v>45022</v>
      </c>
      <c r="C375" s="1" t="n">
        <v>46126</v>
      </c>
      <c r="D375" t="inlineStr">
        <is>
          <t>STOCKHOLMS LÄN</t>
        </is>
      </c>
      <c r="E375" t="inlineStr">
        <is>
          <t>NORRTÄLJE</t>
        </is>
      </c>
      <c r="G375" t="n">
        <v>3.2</v>
      </c>
      <c r="H375" t="n">
        <v>0</v>
      </c>
      <c r="I375" t="n">
        <v>0</v>
      </c>
      <c r="J375" t="n">
        <v>0</v>
      </c>
      <c r="K375" t="n">
        <v>0</v>
      </c>
      <c r="L375" t="n">
        <v>0</v>
      </c>
      <c r="M375" t="n">
        <v>0</v>
      </c>
      <c r="N375" t="n">
        <v>0</v>
      </c>
      <c r="O375" t="n">
        <v>0</v>
      </c>
      <c r="P375" t="n">
        <v>0</v>
      </c>
      <c r="Q375" t="n">
        <v>0</v>
      </c>
      <c r="R375" s="2" t="inlineStr"/>
    </row>
    <row r="376" ht="15" customHeight="1">
      <c r="A376" t="inlineStr">
        <is>
          <t>A 11041-2025</t>
        </is>
      </c>
      <c r="B376" s="1" t="n">
        <v>45723</v>
      </c>
      <c r="C376" s="1" t="n">
        <v>46126</v>
      </c>
      <c r="D376" t="inlineStr">
        <is>
          <t>STOCKHOLMS LÄN</t>
        </is>
      </c>
      <c r="E376" t="inlineStr">
        <is>
          <t>NORRTÄLJE</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51978-2023</t>
        </is>
      </c>
      <c r="B377" s="1" t="n">
        <v>45223</v>
      </c>
      <c r="C377" s="1" t="n">
        <v>46126</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55755-2023</t>
        </is>
      </c>
      <c r="B378" s="1" t="n">
        <v>45239</v>
      </c>
      <c r="C378" s="1" t="n">
        <v>46126</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39152-2025</t>
        </is>
      </c>
      <c r="B379" s="1" t="n">
        <v>45888</v>
      </c>
      <c r="C379" s="1" t="n">
        <v>46126</v>
      </c>
      <c r="D379" t="inlineStr">
        <is>
          <t>STOCKHOLMS LÄN</t>
        </is>
      </c>
      <c r="E379" t="inlineStr">
        <is>
          <t>NORRTÄLJE</t>
        </is>
      </c>
      <c r="G379" t="n">
        <v>4.6</v>
      </c>
      <c r="H379" t="n">
        <v>0</v>
      </c>
      <c r="I379" t="n">
        <v>0</v>
      </c>
      <c r="J379" t="n">
        <v>0</v>
      </c>
      <c r="K379" t="n">
        <v>0</v>
      </c>
      <c r="L379" t="n">
        <v>0</v>
      </c>
      <c r="M379" t="n">
        <v>0</v>
      </c>
      <c r="N379" t="n">
        <v>0</v>
      </c>
      <c r="O379" t="n">
        <v>0</v>
      </c>
      <c r="P379" t="n">
        <v>0</v>
      </c>
      <c r="Q379" t="n">
        <v>0</v>
      </c>
      <c r="R379" s="2" t="inlineStr"/>
    </row>
    <row r="380" ht="15" customHeight="1">
      <c r="A380" t="inlineStr">
        <is>
          <t>A 45549-2022</t>
        </is>
      </c>
      <c r="B380" s="1" t="n">
        <v>44845.48064814815</v>
      </c>
      <c r="C380" s="1" t="n">
        <v>46126</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44917-2022</t>
        </is>
      </c>
      <c r="B381" s="1" t="n">
        <v>44841.52804398148</v>
      </c>
      <c r="C381" s="1" t="n">
        <v>46126</v>
      </c>
      <c r="D381" t="inlineStr">
        <is>
          <t>STOCKHOLMS LÄN</t>
        </is>
      </c>
      <c r="E381" t="inlineStr">
        <is>
          <t>NORRTÄLJE</t>
        </is>
      </c>
      <c r="F381" t="inlineStr">
        <is>
          <t>Holmen skog AB</t>
        </is>
      </c>
      <c r="G381" t="n">
        <v>3.3</v>
      </c>
      <c r="H381" t="n">
        <v>0</v>
      </c>
      <c r="I381" t="n">
        <v>0</v>
      </c>
      <c r="J381" t="n">
        <v>0</v>
      </c>
      <c r="K381" t="n">
        <v>0</v>
      </c>
      <c r="L381" t="n">
        <v>0</v>
      </c>
      <c r="M381" t="n">
        <v>0</v>
      </c>
      <c r="N381" t="n">
        <v>0</v>
      </c>
      <c r="O381" t="n">
        <v>0</v>
      </c>
      <c r="P381" t="n">
        <v>0</v>
      </c>
      <c r="Q381" t="n">
        <v>0</v>
      </c>
      <c r="R381" s="2" t="inlineStr"/>
    </row>
    <row r="382" ht="15" customHeight="1">
      <c r="A382" t="inlineStr">
        <is>
          <t>A 33173-2024</t>
        </is>
      </c>
      <c r="B382" s="1" t="n">
        <v>45518</v>
      </c>
      <c r="C382" s="1" t="n">
        <v>46126</v>
      </c>
      <c r="D382" t="inlineStr">
        <is>
          <t>STOCKHOLMS LÄN</t>
        </is>
      </c>
      <c r="E382" t="inlineStr">
        <is>
          <t>NORRTÄLJE</t>
        </is>
      </c>
      <c r="G382" t="n">
        <v>0.8</v>
      </c>
      <c r="H382" t="n">
        <v>0</v>
      </c>
      <c r="I382" t="n">
        <v>0</v>
      </c>
      <c r="J382" t="n">
        <v>0</v>
      </c>
      <c r="K382" t="n">
        <v>0</v>
      </c>
      <c r="L382" t="n">
        <v>0</v>
      </c>
      <c r="M382" t="n">
        <v>0</v>
      </c>
      <c r="N382" t="n">
        <v>0</v>
      </c>
      <c r="O382" t="n">
        <v>0</v>
      </c>
      <c r="P382" t="n">
        <v>0</v>
      </c>
      <c r="Q382" t="n">
        <v>0</v>
      </c>
      <c r="R382" s="2" t="inlineStr"/>
    </row>
    <row r="383" ht="15" customHeight="1">
      <c r="A383" t="inlineStr">
        <is>
          <t>A 40761-2024</t>
        </is>
      </c>
      <c r="B383" s="1" t="n">
        <v>45558.46283564815</v>
      </c>
      <c r="C383" s="1" t="n">
        <v>46126</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17551-2025</t>
        </is>
      </c>
      <c r="B384" s="1" t="n">
        <v>45757.61421296297</v>
      </c>
      <c r="C384" s="1" t="n">
        <v>46126</v>
      </c>
      <c r="D384" t="inlineStr">
        <is>
          <t>STOCKHOLMS LÄN</t>
        </is>
      </c>
      <c r="E384" t="inlineStr">
        <is>
          <t>NORRTÄLJE</t>
        </is>
      </c>
      <c r="G384" t="n">
        <v>2.8</v>
      </c>
      <c r="H384" t="n">
        <v>0</v>
      </c>
      <c r="I384" t="n">
        <v>0</v>
      </c>
      <c r="J384" t="n">
        <v>0</v>
      </c>
      <c r="K384" t="n">
        <v>0</v>
      </c>
      <c r="L384" t="n">
        <v>0</v>
      </c>
      <c r="M384" t="n">
        <v>0</v>
      </c>
      <c r="N384" t="n">
        <v>0</v>
      </c>
      <c r="O384" t="n">
        <v>0</v>
      </c>
      <c r="P384" t="n">
        <v>0</v>
      </c>
      <c r="Q384" t="n">
        <v>0</v>
      </c>
      <c r="R384" s="2" t="inlineStr"/>
    </row>
    <row r="385" ht="15" customHeight="1">
      <c r="A385" t="inlineStr">
        <is>
          <t>A 23692-2024</t>
        </is>
      </c>
      <c r="B385" s="1" t="n">
        <v>45454.65774305556</v>
      </c>
      <c r="C385" s="1" t="n">
        <v>46126</v>
      </c>
      <c r="D385" t="inlineStr">
        <is>
          <t>STOCKHOLMS LÄN</t>
        </is>
      </c>
      <c r="E385" t="inlineStr">
        <is>
          <t>NORRTÄLJE</t>
        </is>
      </c>
      <c r="G385" t="n">
        <v>3.7</v>
      </c>
      <c r="H385" t="n">
        <v>0</v>
      </c>
      <c r="I385" t="n">
        <v>0</v>
      </c>
      <c r="J385" t="n">
        <v>0</v>
      </c>
      <c r="K385" t="n">
        <v>0</v>
      </c>
      <c r="L385" t="n">
        <v>0</v>
      </c>
      <c r="M385" t="n">
        <v>0</v>
      </c>
      <c r="N385" t="n">
        <v>0</v>
      </c>
      <c r="O385" t="n">
        <v>0</v>
      </c>
      <c r="P385" t="n">
        <v>0</v>
      </c>
      <c r="Q385" t="n">
        <v>0</v>
      </c>
      <c r="R385" s="2" t="inlineStr"/>
    </row>
    <row r="386" ht="15" customHeight="1">
      <c r="A386" t="inlineStr">
        <is>
          <t>A 10678-2025</t>
        </is>
      </c>
      <c r="B386" s="1" t="n">
        <v>45721.89123842592</v>
      </c>
      <c r="C386" s="1" t="n">
        <v>46126</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37550-2022</t>
        </is>
      </c>
      <c r="B387" s="1" t="n">
        <v>44809</v>
      </c>
      <c r="C387" s="1" t="n">
        <v>46126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28900-2022</t>
        </is>
      </c>
      <c r="B388" s="1" t="n">
        <v>44749.55258101852</v>
      </c>
      <c r="C388" s="1" t="n">
        <v>46126</v>
      </c>
      <c r="D388" t="inlineStr">
        <is>
          <t>STOCKHOLMS LÄN</t>
        </is>
      </c>
      <c r="E388" t="inlineStr">
        <is>
          <t>NORRTÄLJE</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32514-2022</t>
        </is>
      </c>
      <c r="B389" s="1" t="n">
        <v>44782</v>
      </c>
      <c r="C389" s="1" t="n">
        <v>46126</v>
      </c>
      <c r="D389" t="inlineStr">
        <is>
          <t>STOCKHOLMS LÄN</t>
        </is>
      </c>
      <c r="E389" t="inlineStr">
        <is>
          <t>NORRTÄLJE</t>
        </is>
      </c>
      <c r="G389" t="n">
        <v>5.1</v>
      </c>
      <c r="H389" t="n">
        <v>0</v>
      </c>
      <c r="I389" t="n">
        <v>0</v>
      </c>
      <c r="J389" t="n">
        <v>0</v>
      </c>
      <c r="K389" t="n">
        <v>0</v>
      </c>
      <c r="L389" t="n">
        <v>0</v>
      </c>
      <c r="M389" t="n">
        <v>0</v>
      </c>
      <c r="N389" t="n">
        <v>0</v>
      </c>
      <c r="O389" t="n">
        <v>0</v>
      </c>
      <c r="P389" t="n">
        <v>0</v>
      </c>
      <c r="Q389" t="n">
        <v>0</v>
      </c>
      <c r="R389" s="2" t="inlineStr"/>
    </row>
    <row r="390" ht="15" customHeight="1">
      <c r="A390" t="inlineStr">
        <is>
          <t>A 47431-2023</t>
        </is>
      </c>
      <c r="B390" s="1" t="n">
        <v>45202</v>
      </c>
      <c r="C390" s="1" t="n">
        <v>46126</v>
      </c>
      <c r="D390" t="inlineStr">
        <is>
          <t>STOCKHOLMS LÄN</t>
        </is>
      </c>
      <c r="E390" t="inlineStr">
        <is>
          <t>NORRTÄLJE</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8370-2025</t>
        </is>
      </c>
      <c r="B391" s="1" t="n">
        <v>45708</v>
      </c>
      <c r="C391" s="1" t="n">
        <v>46126</v>
      </c>
      <c r="D391" t="inlineStr">
        <is>
          <t>STOCKHOLMS LÄN</t>
        </is>
      </c>
      <c r="E391" t="inlineStr">
        <is>
          <t>NORRTÄLJE</t>
        </is>
      </c>
      <c r="F391" t="inlineStr">
        <is>
          <t>Övriga Aktiebolag</t>
        </is>
      </c>
      <c r="G391" t="n">
        <v>5.6</v>
      </c>
      <c r="H391" t="n">
        <v>0</v>
      </c>
      <c r="I391" t="n">
        <v>0</v>
      </c>
      <c r="J391" t="n">
        <v>0</v>
      </c>
      <c r="K391" t="n">
        <v>0</v>
      </c>
      <c r="L391" t="n">
        <v>0</v>
      </c>
      <c r="M391" t="n">
        <v>0</v>
      </c>
      <c r="N391" t="n">
        <v>0</v>
      </c>
      <c r="O391" t="n">
        <v>0</v>
      </c>
      <c r="P391" t="n">
        <v>0</v>
      </c>
      <c r="Q391" t="n">
        <v>0</v>
      </c>
      <c r="R391" s="2" t="inlineStr"/>
    </row>
    <row r="392" ht="15" customHeight="1">
      <c r="A392" t="inlineStr">
        <is>
          <t>A 39692-2025</t>
        </is>
      </c>
      <c r="B392" s="1" t="n">
        <v>45890.68083333333</v>
      </c>
      <c r="C392" s="1" t="n">
        <v>46126</v>
      </c>
      <c r="D392" t="inlineStr">
        <is>
          <t>STOCKHOLMS LÄN</t>
        </is>
      </c>
      <c r="E392" t="inlineStr">
        <is>
          <t>NORRTÄLJE</t>
        </is>
      </c>
      <c r="G392" t="n">
        <v>10.5</v>
      </c>
      <c r="H392" t="n">
        <v>0</v>
      </c>
      <c r="I392" t="n">
        <v>0</v>
      </c>
      <c r="J392" t="n">
        <v>0</v>
      </c>
      <c r="K392" t="n">
        <v>0</v>
      </c>
      <c r="L392" t="n">
        <v>0</v>
      </c>
      <c r="M392" t="n">
        <v>0</v>
      </c>
      <c r="N392" t="n">
        <v>0</v>
      </c>
      <c r="O392" t="n">
        <v>0</v>
      </c>
      <c r="P392" t="n">
        <v>0</v>
      </c>
      <c r="Q392" t="n">
        <v>0</v>
      </c>
      <c r="R392" s="2" t="inlineStr"/>
    </row>
    <row r="393" ht="15" customHeight="1">
      <c r="A393" t="inlineStr">
        <is>
          <t>A 23262-2023</t>
        </is>
      </c>
      <c r="B393" s="1" t="n">
        <v>45075.90270833333</v>
      </c>
      <c r="C393" s="1" t="n">
        <v>46126</v>
      </c>
      <c r="D393" t="inlineStr">
        <is>
          <t>STOCKHOLMS LÄN</t>
        </is>
      </c>
      <c r="E393" t="inlineStr">
        <is>
          <t>NORRTÄLJE</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23268-2023</t>
        </is>
      </c>
      <c r="B394" s="1" t="n">
        <v>45075.91042824074</v>
      </c>
      <c r="C394" s="1" t="n">
        <v>46126</v>
      </c>
      <c r="D394" t="inlineStr">
        <is>
          <t>STOCKHOLMS LÄN</t>
        </is>
      </c>
      <c r="E394" t="inlineStr">
        <is>
          <t>NORRTÄLJE</t>
        </is>
      </c>
      <c r="G394" t="n">
        <v>3.3</v>
      </c>
      <c r="H394" t="n">
        <v>0</v>
      </c>
      <c r="I394" t="n">
        <v>0</v>
      </c>
      <c r="J394" t="n">
        <v>0</v>
      </c>
      <c r="K394" t="n">
        <v>0</v>
      </c>
      <c r="L394" t="n">
        <v>0</v>
      </c>
      <c r="M394" t="n">
        <v>0</v>
      </c>
      <c r="N394" t="n">
        <v>0</v>
      </c>
      <c r="O394" t="n">
        <v>0</v>
      </c>
      <c r="P394" t="n">
        <v>0</v>
      </c>
      <c r="Q394" t="n">
        <v>0</v>
      </c>
      <c r="R394" s="2" t="inlineStr"/>
    </row>
    <row r="395" ht="15" customHeight="1">
      <c r="A395" t="inlineStr">
        <is>
          <t>A 23270-2023</t>
        </is>
      </c>
      <c r="B395" s="1" t="n">
        <v>45075.91265046296</v>
      </c>
      <c r="C395" s="1" t="n">
        <v>46126</v>
      </c>
      <c r="D395" t="inlineStr">
        <is>
          <t>STOCKHOLMS LÄN</t>
        </is>
      </c>
      <c r="E395" t="inlineStr">
        <is>
          <t>NORRTÄLJE</t>
        </is>
      </c>
      <c r="G395" t="n">
        <v>12.3</v>
      </c>
      <c r="H395" t="n">
        <v>0</v>
      </c>
      <c r="I395" t="n">
        <v>0</v>
      </c>
      <c r="J395" t="n">
        <v>0</v>
      </c>
      <c r="K395" t="n">
        <v>0</v>
      </c>
      <c r="L395" t="n">
        <v>0</v>
      </c>
      <c r="M395" t="n">
        <v>0</v>
      </c>
      <c r="N395" t="n">
        <v>0</v>
      </c>
      <c r="O395" t="n">
        <v>0</v>
      </c>
      <c r="P395" t="n">
        <v>0</v>
      </c>
      <c r="Q395" t="n">
        <v>0</v>
      </c>
      <c r="R395" s="2" t="inlineStr"/>
    </row>
    <row r="396" ht="15" customHeight="1">
      <c r="A396" t="inlineStr">
        <is>
          <t>A 23274-2023</t>
        </is>
      </c>
      <c r="B396" s="1" t="n">
        <v>45075.92153935185</v>
      </c>
      <c r="C396" s="1" t="n">
        <v>46126</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27677-2025</t>
        </is>
      </c>
      <c r="B397" s="1" t="n">
        <v>45813.63650462963</v>
      </c>
      <c r="C397" s="1" t="n">
        <v>46126</v>
      </c>
      <c r="D397" t="inlineStr">
        <is>
          <t>STOCKHOLMS LÄN</t>
        </is>
      </c>
      <c r="E397" t="inlineStr">
        <is>
          <t>NORRTÄLJE</t>
        </is>
      </c>
      <c r="G397" t="n">
        <v>2</v>
      </c>
      <c r="H397" t="n">
        <v>0</v>
      </c>
      <c r="I397" t="n">
        <v>0</v>
      </c>
      <c r="J397" t="n">
        <v>0</v>
      </c>
      <c r="K397" t="n">
        <v>0</v>
      </c>
      <c r="L397" t="n">
        <v>0</v>
      </c>
      <c r="M397" t="n">
        <v>0</v>
      </c>
      <c r="N397" t="n">
        <v>0</v>
      </c>
      <c r="O397" t="n">
        <v>0</v>
      </c>
      <c r="P397" t="n">
        <v>0</v>
      </c>
      <c r="Q397" t="n">
        <v>0</v>
      </c>
      <c r="R397" s="2" t="inlineStr"/>
    </row>
    <row r="398" ht="15" customHeight="1">
      <c r="A398" t="inlineStr">
        <is>
          <t>A 5732-2023</t>
        </is>
      </c>
      <c r="B398" s="1" t="n">
        <v>44962</v>
      </c>
      <c r="C398" s="1" t="n">
        <v>46126</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951-2023</t>
        </is>
      </c>
      <c r="B399" s="1" t="n">
        <v>44934</v>
      </c>
      <c r="C399" s="1" t="n">
        <v>46126</v>
      </c>
      <c r="D399" t="inlineStr">
        <is>
          <t>STOCKHOLMS LÄN</t>
        </is>
      </c>
      <c r="E399" t="inlineStr">
        <is>
          <t>NORRTÄLJE</t>
        </is>
      </c>
      <c r="G399" t="n">
        <v>3.7</v>
      </c>
      <c r="H399" t="n">
        <v>0</v>
      </c>
      <c r="I399" t="n">
        <v>0</v>
      </c>
      <c r="J399" t="n">
        <v>0</v>
      </c>
      <c r="K399" t="n">
        <v>0</v>
      </c>
      <c r="L399" t="n">
        <v>0</v>
      </c>
      <c r="M399" t="n">
        <v>0</v>
      </c>
      <c r="N399" t="n">
        <v>0</v>
      </c>
      <c r="O399" t="n">
        <v>0</v>
      </c>
      <c r="P399" t="n">
        <v>0</v>
      </c>
      <c r="Q399" t="n">
        <v>0</v>
      </c>
      <c r="R399" s="2" t="inlineStr"/>
    </row>
    <row r="400" ht="15" customHeight="1">
      <c r="A400" t="inlineStr">
        <is>
          <t>A 25609-2023</t>
        </is>
      </c>
      <c r="B400" s="1" t="n">
        <v>45089</v>
      </c>
      <c r="C400" s="1" t="n">
        <v>46126</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32100-2022</t>
        </is>
      </c>
      <c r="B401" s="1" t="n">
        <v>44778</v>
      </c>
      <c r="C401" s="1" t="n">
        <v>46126</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33569-2023</t>
        </is>
      </c>
      <c r="B402" s="1" t="n">
        <v>45131.666875</v>
      </c>
      <c r="C402" s="1" t="n">
        <v>46126</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50569-2022</t>
        </is>
      </c>
      <c r="B403" s="1" t="n">
        <v>44866.63775462963</v>
      </c>
      <c r="C403" s="1" t="n">
        <v>46126</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2888-2022</t>
        </is>
      </c>
      <c r="B404" s="1" t="n">
        <v>44581</v>
      </c>
      <c r="C404" s="1" t="n">
        <v>46126</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11902-2024</t>
        </is>
      </c>
      <c r="B405" s="1" t="n">
        <v>45376.55704861111</v>
      </c>
      <c r="C405" s="1" t="n">
        <v>46126</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40230-2025</t>
        </is>
      </c>
      <c r="B406" s="1" t="n">
        <v>45894.71101851852</v>
      </c>
      <c r="C406" s="1" t="n">
        <v>46126</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22833-2024</t>
        </is>
      </c>
      <c r="B407" s="1" t="n">
        <v>45448.56746527777</v>
      </c>
      <c r="C407" s="1" t="n">
        <v>46126</v>
      </c>
      <c r="D407" t="inlineStr">
        <is>
          <t>STOCKHOLMS LÄN</t>
        </is>
      </c>
      <c r="E407" t="inlineStr">
        <is>
          <t>NORRTÄLJE</t>
        </is>
      </c>
      <c r="G407" t="n">
        <v>0.8</v>
      </c>
      <c r="H407" t="n">
        <v>0</v>
      </c>
      <c r="I407" t="n">
        <v>0</v>
      </c>
      <c r="J407" t="n">
        <v>0</v>
      </c>
      <c r="K407" t="n">
        <v>0</v>
      </c>
      <c r="L407" t="n">
        <v>0</v>
      </c>
      <c r="M407" t="n">
        <v>0</v>
      </c>
      <c r="N407" t="n">
        <v>0</v>
      </c>
      <c r="O407" t="n">
        <v>0</v>
      </c>
      <c r="P407" t="n">
        <v>0</v>
      </c>
      <c r="Q407" t="n">
        <v>0</v>
      </c>
      <c r="R407" s="2" t="inlineStr"/>
    </row>
    <row r="408" ht="15" customHeight="1">
      <c r="A408" t="inlineStr">
        <is>
          <t>A 13-2024</t>
        </is>
      </c>
      <c r="B408" s="1" t="n">
        <v>45293.37263888889</v>
      </c>
      <c r="C408" s="1" t="n">
        <v>46126</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60224-2023</t>
        </is>
      </c>
      <c r="B409" s="1" t="n">
        <v>45257</v>
      </c>
      <c r="C409" s="1" t="n">
        <v>46126</v>
      </c>
      <c r="D409" t="inlineStr">
        <is>
          <t>STOCKHOLMS LÄN</t>
        </is>
      </c>
      <c r="E409" t="inlineStr">
        <is>
          <t>NORRTÄLJE</t>
        </is>
      </c>
      <c r="G409" t="n">
        <v>8.1</v>
      </c>
      <c r="H409" t="n">
        <v>0</v>
      </c>
      <c r="I409" t="n">
        <v>0</v>
      </c>
      <c r="J409" t="n">
        <v>0</v>
      </c>
      <c r="K409" t="n">
        <v>0</v>
      </c>
      <c r="L409" t="n">
        <v>0</v>
      </c>
      <c r="M409" t="n">
        <v>0</v>
      </c>
      <c r="N409" t="n">
        <v>0</v>
      </c>
      <c r="O409" t="n">
        <v>0</v>
      </c>
      <c r="P409" t="n">
        <v>0</v>
      </c>
      <c r="Q409" t="n">
        <v>0</v>
      </c>
      <c r="R409" s="2" t="inlineStr"/>
    </row>
    <row r="410" ht="15" customHeight="1">
      <c r="A410" t="inlineStr">
        <is>
          <t>A 58260-2023</t>
        </is>
      </c>
      <c r="B410" s="1" t="n">
        <v>45245</v>
      </c>
      <c r="C410" s="1" t="n">
        <v>46126</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58261-2023</t>
        </is>
      </c>
      <c r="B411" s="1" t="n">
        <v>45245</v>
      </c>
      <c r="C411" s="1" t="n">
        <v>46126</v>
      </c>
      <c r="D411" t="inlineStr">
        <is>
          <t>STOCKHOLMS LÄN</t>
        </is>
      </c>
      <c r="E411" t="inlineStr">
        <is>
          <t>NORRTÄLJE</t>
        </is>
      </c>
      <c r="G411" t="n">
        <v>53.5</v>
      </c>
      <c r="H411" t="n">
        <v>0</v>
      </c>
      <c r="I411" t="n">
        <v>0</v>
      </c>
      <c r="J411" t="n">
        <v>0</v>
      </c>
      <c r="K411" t="n">
        <v>0</v>
      </c>
      <c r="L411" t="n">
        <v>0</v>
      </c>
      <c r="M411" t="n">
        <v>0</v>
      </c>
      <c r="N411" t="n">
        <v>0</v>
      </c>
      <c r="O411" t="n">
        <v>0</v>
      </c>
      <c r="P411" t="n">
        <v>0</v>
      </c>
      <c r="Q411" t="n">
        <v>0</v>
      </c>
      <c r="R411" s="2" t="inlineStr"/>
    </row>
    <row r="412" ht="15" customHeight="1">
      <c r="A412" t="inlineStr">
        <is>
          <t>A 40228-2025</t>
        </is>
      </c>
      <c r="B412" s="1" t="n">
        <v>45894.70854166667</v>
      </c>
      <c r="C412" s="1" t="n">
        <v>46126</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35636-2025</t>
        </is>
      </c>
      <c r="B413" s="1" t="n">
        <v>45859</v>
      </c>
      <c r="C413" s="1" t="n">
        <v>46126</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40172-2025</t>
        </is>
      </c>
      <c r="B414" s="1" t="n">
        <v>45894.6353125</v>
      </c>
      <c r="C414" s="1" t="n">
        <v>46126</v>
      </c>
      <c r="D414" t="inlineStr">
        <is>
          <t>STOCKHOLMS LÄN</t>
        </is>
      </c>
      <c r="E414" t="inlineStr">
        <is>
          <t>NORRTÄLJE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17785-2024</t>
        </is>
      </c>
      <c r="B415" s="1" t="n">
        <v>45418.6968287037</v>
      </c>
      <c r="C415" s="1" t="n">
        <v>46126</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4553-2023</t>
        </is>
      </c>
      <c r="B416" s="1" t="n">
        <v>44956.65920138889</v>
      </c>
      <c r="C416" s="1" t="n">
        <v>46126</v>
      </c>
      <c r="D416" t="inlineStr">
        <is>
          <t>STOCKHOLMS LÄN</t>
        </is>
      </c>
      <c r="E416" t="inlineStr">
        <is>
          <t>NORRTÄLJE</t>
        </is>
      </c>
      <c r="G416" t="n">
        <v>7.5</v>
      </c>
      <c r="H416" t="n">
        <v>0</v>
      </c>
      <c r="I416" t="n">
        <v>0</v>
      </c>
      <c r="J416" t="n">
        <v>0</v>
      </c>
      <c r="K416" t="n">
        <v>0</v>
      </c>
      <c r="L416" t="n">
        <v>0</v>
      </c>
      <c r="M416" t="n">
        <v>0</v>
      </c>
      <c r="N416" t="n">
        <v>0</v>
      </c>
      <c r="O416" t="n">
        <v>0</v>
      </c>
      <c r="P416" t="n">
        <v>0</v>
      </c>
      <c r="Q416" t="n">
        <v>0</v>
      </c>
      <c r="R416" s="2" t="inlineStr"/>
    </row>
    <row r="417" ht="15" customHeight="1">
      <c r="A417" t="inlineStr">
        <is>
          <t>A 40033-2025</t>
        </is>
      </c>
      <c r="B417" s="1" t="n">
        <v>45893</v>
      </c>
      <c r="C417" s="1" t="n">
        <v>46126</v>
      </c>
      <c r="D417" t="inlineStr">
        <is>
          <t>STOCKHOLMS LÄN</t>
        </is>
      </c>
      <c r="E417" t="inlineStr">
        <is>
          <t>NORRTÄLJE</t>
        </is>
      </c>
      <c r="G417" t="n">
        <v>1.7</v>
      </c>
      <c r="H417" t="n">
        <v>0</v>
      </c>
      <c r="I417" t="n">
        <v>0</v>
      </c>
      <c r="J417" t="n">
        <v>0</v>
      </c>
      <c r="K417" t="n">
        <v>0</v>
      </c>
      <c r="L417" t="n">
        <v>0</v>
      </c>
      <c r="M417" t="n">
        <v>0</v>
      </c>
      <c r="N417" t="n">
        <v>0</v>
      </c>
      <c r="O417" t="n">
        <v>0</v>
      </c>
      <c r="P417" t="n">
        <v>0</v>
      </c>
      <c r="Q417" t="n">
        <v>0</v>
      </c>
      <c r="R417" s="2" t="inlineStr"/>
    </row>
    <row r="418" ht="15" customHeight="1">
      <c r="A418" t="inlineStr">
        <is>
          <t>A 875-2023</t>
        </is>
      </c>
      <c r="B418" s="1" t="n">
        <v>44931.65626157408</v>
      </c>
      <c r="C418" s="1" t="n">
        <v>46126</v>
      </c>
      <c r="D418" t="inlineStr">
        <is>
          <t>STOCKHOLMS LÄN</t>
        </is>
      </c>
      <c r="E418" t="inlineStr">
        <is>
          <t>NORRTÄLJE</t>
        </is>
      </c>
      <c r="G418" t="n">
        <v>2.2</v>
      </c>
      <c r="H418" t="n">
        <v>0</v>
      </c>
      <c r="I418" t="n">
        <v>0</v>
      </c>
      <c r="J418" t="n">
        <v>0</v>
      </c>
      <c r="K418" t="n">
        <v>0</v>
      </c>
      <c r="L418" t="n">
        <v>0</v>
      </c>
      <c r="M418" t="n">
        <v>0</v>
      </c>
      <c r="N418" t="n">
        <v>0</v>
      </c>
      <c r="O418" t="n">
        <v>0</v>
      </c>
      <c r="P418" t="n">
        <v>0</v>
      </c>
      <c r="Q418" t="n">
        <v>0</v>
      </c>
      <c r="R418" s="2" t="inlineStr"/>
    </row>
    <row r="419" ht="15" customHeight="1">
      <c r="A419" t="inlineStr">
        <is>
          <t>A 40217-2025</t>
        </is>
      </c>
      <c r="B419" s="1" t="n">
        <v>45894.68864583333</v>
      </c>
      <c r="C419" s="1" t="n">
        <v>46126</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24575-2024</t>
        </is>
      </c>
      <c r="B420" s="1" t="n">
        <v>45460.45523148148</v>
      </c>
      <c r="C420" s="1" t="n">
        <v>46126</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19-2024</t>
        </is>
      </c>
      <c r="B421" s="1" t="n">
        <v>45293</v>
      </c>
      <c r="C421" s="1" t="n">
        <v>46126</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35639-2025</t>
        </is>
      </c>
      <c r="B422" s="1" t="n">
        <v>45859</v>
      </c>
      <c r="C422" s="1" t="n">
        <v>46126</v>
      </c>
      <c r="D422" t="inlineStr">
        <is>
          <t>STOCKHOLMS LÄN</t>
        </is>
      </c>
      <c r="E422" t="inlineStr">
        <is>
          <t>NORRTÄLJE</t>
        </is>
      </c>
      <c r="G422" t="n">
        <v>0.7</v>
      </c>
      <c r="H422" t="n">
        <v>0</v>
      </c>
      <c r="I422" t="n">
        <v>0</v>
      </c>
      <c r="J422" t="n">
        <v>0</v>
      </c>
      <c r="K422" t="n">
        <v>0</v>
      </c>
      <c r="L422" t="n">
        <v>0</v>
      </c>
      <c r="M422" t="n">
        <v>0</v>
      </c>
      <c r="N422" t="n">
        <v>0</v>
      </c>
      <c r="O422" t="n">
        <v>0</v>
      </c>
      <c r="P422" t="n">
        <v>0</v>
      </c>
      <c r="Q422" t="n">
        <v>0</v>
      </c>
      <c r="R422" s="2" t="inlineStr"/>
    </row>
    <row r="423" ht="15" customHeight="1">
      <c r="A423" t="inlineStr">
        <is>
          <t>A 40032-2025</t>
        </is>
      </c>
      <c r="B423" s="1" t="n">
        <v>45893</v>
      </c>
      <c r="C423" s="1" t="n">
        <v>46126</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40097-2025</t>
        </is>
      </c>
      <c r="B424" s="1" t="n">
        <v>45894.48322916667</v>
      </c>
      <c r="C424" s="1" t="n">
        <v>46126</v>
      </c>
      <c r="D424" t="inlineStr">
        <is>
          <t>STOCKHOLMS LÄN</t>
        </is>
      </c>
      <c r="E424" t="inlineStr">
        <is>
          <t>NORRTÄLJE</t>
        </is>
      </c>
      <c r="G424" t="n">
        <v>3</v>
      </c>
      <c r="H424" t="n">
        <v>0</v>
      </c>
      <c r="I424" t="n">
        <v>0</v>
      </c>
      <c r="J424" t="n">
        <v>0</v>
      </c>
      <c r="K424" t="n">
        <v>0</v>
      </c>
      <c r="L424" t="n">
        <v>0</v>
      </c>
      <c r="M424" t="n">
        <v>0</v>
      </c>
      <c r="N424" t="n">
        <v>0</v>
      </c>
      <c r="O424" t="n">
        <v>0</v>
      </c>
      <c r="P424" t="n">
        <v>0</v>
      </c>
      <c r="Q424" t="n">
        <v>0</v>
      </c>
      <c r="R424" s="2" t="inlineStr"/>
    </row>
    <row r="425" ht="15" customHeight="1">
      <c r="A425" t="inlineStr">
        <is>
          <t>A 29684-2021</t>
        </is>
      </c>
      <c r="B425" s="1" t="n">
        <v>44362.37172453704</v>
      </c>
      <c r="C425" s="1" t="n">
        <v>46126</v>
      </c>
      <c r="D425" t="inlineStr">
        <is>
          <t>STOCKHOLMS LÄN</t>
        </is>
      </c>
      <c r="E425" t="inlineStr">
        <is>
          <t>NORRTÄLJE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11333-2025</t>
        </is>
      </c>
      <c r="B426" s="1" t="n">
        <v>45726.48377314815</v>
      </c>
      <c r="C426" s="1" t="n">
        <v>46126</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21529-2021</t>
        </is>
      </c>
      <c r="B427" s="1" t="n">
        <v>44321</v>
      </c>
      <c r="C427" s="1" t="n">
        <v>46126</v>
      </c>
      <c r="D427" t="inlineStr">
        <is>
          <t>STOCKHOLMS LÄN</t>
        </is>
      </c>
      <c r="E427" t="inlineStr">
        <is>
          <t>NORRTÄLJE</t>
        </is>
      </c>
      <c r="G427" t="n">
        <v>2.7</v>
      </c>
      <c r="H427" t="n">
        <v>0</v>
      </c>
      <c r="I427" t="n">
        <v>0</v>
      </c>
      <c r="J427" t="n">
        <v>0</v>
      </c>
      <c r="K427" t="n">
        <v>0</v>
      </c>
      <c r="L427" t="n">
        <v>0</v>
      </c>
      <c r="M427" t="n">
        <v>0</v>
      </c>
      <c r="N427" t="n">
        <v>0</v>
      </c>
      <c r="O427" t="n">
        <v>0</v>
      </c>
      <c r="P427" t="n">
        <v>0</v>
      </c>
      <c r="Q427" t="n">
        <v>0</v>
      </c>
      <c r="R427" s="2" t="inlineStr"/>
    </row>
    <row r="428" ht="15" customHeight="1">
      <c r="A428" t="inlineStr">
        <is>
          <t>A 21386-2023</t>
        </is>
      </c>
      <c r="B428" s="1" t="n">
        <v>45063.35880787037</v>
      </c>
      <c r="C428" s="1" t="n">
        <v>46126</v>
      </c>
      <c r="D428" t="inlineStr">
        <is>
          <t>STOCKHOLMS LÄN</t>
        </is>
      </c>
      <c r="E428" t="inlineStr">
        <is>
          <t>NORRTÄLJE</t>
        </is>
      </c>
      <c r="G428" t="n">
        <v>1.8</v>
      </c>
      <c r="H428" t="n">
        <v>0</v>
      </c>
      <c r="I428" t="n">
        <v>0</v>
      </c>
      <c r="J428" t="n">
        <v>0</v>
      </c>
      <c r="K428" t="n">
        <v>0</v>
      </c>
      <c r="L428" t="n">
        <v>0</v>
      </c>
      <c r="M428" t="n">
        <v>0</v>
      </c>
      <c r="N428" t="n">
        <v>0</v>
      </c>
      <c r="O428" t="n">
        <v>0</v>
      </c>
      <c r="P428" t="n">
        <v>0</v>
      </c>
      <c r="Q428" t="n">
        <v>0</v>
      </c>
      <c r="R428" s="2" t="inlineStr"/>
    </row>
    <row r="429" ht="15" customHeight="1">
      <c r="A429" t="inlineStr">
        <is>
          <t>A 4593-2023</t>
        </is>
      </c>
      <c r="B429" s="1" t="n">
        <v>44956</v>
      </c>
      <c r="C429" s="1" t="n">
        <v>46126</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31827-2023</t>
        </is>
      </c>
      <c r="B430" s="1" t="n">
        <v>45118</v>
      </c>
      <c r="C430" s="1" t="n">
        <v>46126</v>
      </c>
      <c r="D430" t="inlineStr">
        <is>
          <t>STOCKHOLMS LÄN</t>
        </is>
      </c>
      <c r="E430" t="inlineStr">
        <is>
          <t>NORRTÄLJE</t>
        </is>
      </c>
      <c r="F430" t="inlineStr">
        <is>
          <t>Kyrkan</t>
        </is>
      </c>
      <c r="G430" t="n">
        <v>4.9</v>
      </c>
      <c r="H430" t="n">
        <v>0</v>
      </c>
      <c r="I430" t="n">
        <v>0</v>
      </c>
      <c r="J430" t="n">
        <v>0</v>
      </c>
      <c r="K430" t="n">
        <v>0</v>
      </c>
      <c r="L430" t="n">
        <v>0</v>
      </c>
      <c r="M430" t="n">
        <v>0</v>
      </c>
      <c r="N430" t="n">
        <v>0</v>
      </c>
      <c r="O430" t="n">
        <v>0</v>
      </c>
      <c r="P430" t="n">
        <v>0</v>
      </c>
      <c r="Q430" t="n">
        <v>0</v>
      </c>
      <c r="R430" s="2" t="inlineStr"/>
    </row>
    <row r="431" ht="15" customHeight="1">
      <c r="A431" t="inlineStr">
        <is>
          <t>A 54396-2021</t>
        </is>
      </c>
      <c r="B431" s="1" t="n">
        <v>44472</v>
      </c>
      <c r="C431" s="1" t="n">
        <v>46126</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40529-2025</t>
        </is>
      </c>
      <c r="B432" s="1" t="n">
        <v>45896.38466435186</v>
      </c>
      <c r="C432" s="1" t="n">
        <v>46126</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10973-2025</t>
        </is>
      </c>
      <c r="B433" s="1" t="n">
        <v>45723</v>
      </c>
      <c r="C433" s="1" t="n">
        <v>46126</v>
      </c>
      <c r="D433" t="inlineStr">
        <is>
          <t>STOCKHOLMS LÄN</t>
        </is>
      </c>
      <c r="E433" t="inlineStr">
        <is>
          <t>NORRTÄLJE</t>
        </is>
      </c>
      <c r="F433" t="inlineStr">
        <is>
          <t>Övriga Aktiebolag</t>
        </is>
      </c>
      <c r="G433" t="n">
        <v>2.7</v>
      </c>
      <c r="H433" t="n">
        <v>0</v>
      </c>
      <c r="I433" t="n">
        <v>0</v>
      </c>
      <c r="J433" t="n">
        <v>0</v>
      </c>
      <c r="K433" t="n">
        <v>0</v>
      </c>
      <c r="L433" t="n">
        <v>0</v>
      </c>
      <c r="M433" t="n">
        <v>0</v>
      </c>
      <c r="N433" t="n">
        <v>0</v>
      </c>
      <c r="O433" t="n">
        <v>0</v>
      </c>
      <c r="P433" t="n">
        <v>0</v>
      </c>
      <c r="Q433" t="n">
        <v>0</v>
      </c>
      <c r="R433" s="2" t="inlineStr"/>
    </row>
    <row r="434" ht="15" customHeight="1">
      <c r="A434" t="inlineStr">
        <is>
          <t>A 23125-2022</t>
        </is>
      </c>
      <c r="B434" s="1" t="n">
        <v>44719</v>
      </c>
      <c r="C434" s="1" t="n">
        <v>46126</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54496-2024</t>
        </is>
      </c>
      <c r="B435" s="1" t="n">
        <v>45617.57439814815</v>
      </c>
      <c r="C435" s="1" t="n">
        <v>46126</v>
      </c>
      <c r="D435" t="inlineStr">
        <is>
          <t>STOCKHOLMS LÄN</t>
        </is>
      </c>
      <c r="E435" t="inlineStr">
        <is>
          <t>NORRTÄLJE</t>
        </is>
      </c>
      <c r="G435" t="n">
        <v>2.2</v>
      </c>
      <c r="H435" t="n">
        <v>0</v>
      </c>
      <c r="I435" t="n">
        <v>0</v>
      </c>
      <c r="J435" t="n">
        <v>0</v>
      </c>
      <c r="K435" t="n">
        <v>0</v>
      </c>
      <c r="L435" t="n">
        <v>0</v>
      </c>
      <c r="M435" t="n">
        <v>0</v>
      </c>
      <c r="N435" t="n">
        <v>0</v>
      </c>
      <c r="O435" t="n">
        <v>0</v>
      </c>
      <c r="P435" t="n">
        <v>0</v>
      </c>
      <c r="Q435" t="n">
        <v>0</v>
      </c>
      <c r="R435" s="2" t="inlineStr"/>
    </row>
    <row r="436" ht="15" customHeight="1">
      <c r="A436" t="inlineStr">
        <is>
          <t>A 40292-2025</t>
        </is>
      </c>
      <c r="B436" s="1" t="n">
        <v>45895.3867824074</v>
      </c>
      <c r="C436" s="1" t="n">
        <v>46126</v>
      </c>
      <c r="D436" t="inlineStr">
        <is>
          <t>STOCKHOLMS LÄN</t>
        </is>
      </c>
      <c r="E436" t="inlineStr">
        <is>
          <t>NORRTÄLJE</t>
        </is>
      </c>
      <c r="G436" t="n">
        <v>3.5</v>
      </c>
      <c r="H436" t="n">
        <v>0</v>
      </c>
      <c r="I436" t="n">
        <v>0</v>
      </c>
      <c r="J436" t="n">
        <v>0</v>
      </c>
      <c r="K436" t="n">
        <v>0</v>
      </c>
      <c r="L436" t="n">
        <v>0</v>
      </c>
      <c r="M436" t="n">
        <v>0</v>
      </c>
      <c r="N436" t="n">
        <v>0</v>
      </c>
      <c r="O436" t="n">
        <v>0</v>
      </c>
      <c r="P436" t="n">
        <v>0</v>
      </c>
      <c r="Q436" t="n">
        <v>0</v>
      </c>
      <c r="R436" s="2" t="inlineStr"/>
    </row>
    <row r="437" ht="15" customHeight="1">
      <c r="A437" t="inlineStr">
        <is>
          <t>A 40294-2025</t>
        </is>
      </c>
      <c r="B437" s="1" t="n">
        <v>45895.38778935185</v>
      </c>
      <c r="C437" s="1" t="n">
        <v>46126</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32071-2023</t>
        </is>
      </c>
      <c r="B438" s="1" t="n">
        <v>45119.57728009259</v>
      </c>
      <c r="C438" s="1" t="n">
        <v>46126</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25681-2024</t>
        </is>
      </c>
      <c r="B439" s="1" t="n">
        <v>45463.80486111111</v>
      </c>
      <c r="C439" s="1" t="n">
        <v>46126</v>
      </c>
      <c r="D439" t="inlineStr">
        <is>
          <t>STOCKHOLMS LÄN</t>
        </is>
      </c>
      <c r="E439" t="inlineStr">
        <is>
          <t>NORRTÄLJE</t>
        </is>
      </c>
      <c r="G439" t="n">
        <v>2.7</v>
      </c>
      <c r="H439" t="n">
        <v>0</v>
      </c>
      <c r="I439" t="n">
        <v>0</v>
      </c>
      <c r="J439" t="n">
        <v>0</v>
      </c>
      <c r="K439" t="n">
        <v>0</v>
      </c>
      <c r="L439" t="n">
        <v>0</v>
      </c>
      <c r="M439" t="n">
        <v>0</v>
      </c>
      <c r="N439" t="n">
        <v>0</v>
      </c>
      <c r="O439" t="n">
        <v>0</v>
      </c>
      <c r="P439" t="n">
        <v>0</v>
      </c>
      <c r="Q439" t="n">
        <v>0</v>
      </c>
      <c r="R439" s="2" t="inlineStr"/>
    </row>
    <row r="440" ht="15" customHeight="1">
      <c r="A440" t="inlineStr">
        <is>
          <t>A 24245-2024</t>
        </is>
      </c>
      <c r="B440" s="1" t="n">
        <v>45457</v>
      </c>
      <c r="C440" s="1" t="n">
        <v>46126</v>
      </c>
      <c r="D440" t="inlineStr">
        <is>
          <t>STOCKHOLMS LÄN</t>
        </is>
      </c>
      <c r="E440" t="inlineStr">
        <is>
          <t>NORRTÄLJE</t>
        </is>
      </c>
      <c r="F440" t="inlineStr">
        <is>
          <t>Holmen skog AB</t>
        </is>
      </c>
      <c r="G440" t="n">
        <v>3.4</v>
      </c>
      <c r="H440" t="n">
        <v>0</v>
      </c>
      <c r="I440" t="n">
        <v>0</v>
      </c>
      <c r="J440" t="n">
        <v>0</v>
      </c>
      <c r="K440" t="n">
        <v>0</v>
      </c>
      <c r="L440" t="n">
        <v>0</v>
      </c>
      <c r="M440" t="n">
        <v>0</v>
      </c>
      <c r="N440" t="n">
        <v>0</v>
      </c>
      <c r="O440" t="n">
        <v>0</v>
      </c>
      <c r="P440" t="n">
        <v>0</v>
      </c>
      <c r="Q440" t="n">
        <v>0</v>
      </c>
      <c r="R440" s="2" t="inlineStr"/>
    </row>
    <row r="441" ht="15" customHeight="1">
      <c r="A441" t="inlineStr">
        <is>
          <t>A 7796-2025</t>
        </is>
      </c>
      <c r="B441" s="1" t="n">
        <v>45706.60130787037</v>
      </c>
      <c r="C441" s="1" t="n">
        <v>46126</v>
      </c>
      <c r="D441" t="inlineStr">
        <is>
          <t>STOCKHOLMS LÄN</t>
        </is>
      </c>
      <c r="E441" t="inlineStr">
        <is>
          <t>NORRTÄLJE</t>
        </is>
      </c>
      <c r="F441" t="inlineStr">
        <is>
          <t>Holmen skog AB</t>
        </is>
      </c>
      <c r="G441" t="n">
        <v>2.4</v>
      </c>
      <c r="H441" t="n">
        <v>0</v>
      </c>
      <c r="I441" t="n">
        <v>0</v>
      </c>
      <c r="J441" t="n">
        <v>0</v>
      </c>
      <c r="K441" t="n">
        <v>0</v>
      </c>
      <c r="L441" t="n">
        <v>0</v>
      </c>
      <c r="M441" t="n">
        <v>0</v>
      </c>
      <c r="N441" t="n">
        <v>0</v>
      </c>
      <c r="O441" t="n">
        <v>0</v>
      </c>
      <c r="P441" t="n">
        <v>0</v>
      </c>
      <c r="Q441" t="n">
        <v>0</v>
      </c>
      <c r="R441" s="2" t="inlineStr"/>
    </row>
    <row r="442" ht="15" customHeight="1">
      <c r="A442" t="inlineStr">
        <is>
          <t>A 41275-2025</t>
        </is>
      </c>
      <c r="B442" s="1" t="n">
        <v>45898.62625</v>
      </c>
      <c r="C442" s="1" t="n">
        <v>46126</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26115-2024</t>
        </is>
      </c>
      <c r="B443" s="1" t="n">
        <v>45468.45628472222</v>
      </c>
      <c r="C443" s="1" t="n">
        <v>46126</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59767-2022</t>
        </is>
      </c>
      <c r="B444" s="1" t="n">
        <v>44900</v>
      </c>
      <c r="C444" s="1" t="n">
        <v>46126</v>
      </c>
      <c r="D444" t="inlineStr">
        <is>
          <t>STOCKHOLMS LÄN</t>
        </is>
      </c>
      <c r="E444" t="inlineStr">
        <is>
          <t>NORRTÄLJE</t>
        </is>
      </c>
      <c r="G444" t="n">
        <v>2.2</v>
      </c>
      <c r="H444" t="n">
        <v>0</v>
      </c>
      <c r="I444" t="n">
        <v>0</v>
      </c>
      <c r="J444" t="n">
        <v>0</v>
      </c>
      <c r="K444" t="n">
        <v>0</v>
      </c>
      <c r="L444" t="n">
        <v>0</v>
      </c>
      <c r="M444" t="n">
        <v>0</v>
      </c>
      <c r="N444" t="n">
        <v>0</v>
      </c>
      <c r="O444" t="n">
        <v>0</v>
      </c>
      <c r="P444" t="n">
        <v>0</v>
      </c>
      <c r="Q444" t="n">
        <v>0</v>
      </c>
      <c r="R444" s="2" t="inlineStr"/>
    </row>
    <row r="445" ht="15" customHeight="1">
      <c r="A445" t="inlineStr">
        <is>
          <t>A 40837-2025</t>
        </is>
      </c>
      <c r="B445" s="1" t="n">
        <v>45897.51328703704</v>
      </c>
      <c r="C445" s="1" t="n">
        <v>46126</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46126</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22756-2022</t>
        </is>
      </c>
      <c r="B447" s="1" t="n">
        <v>44714.92253472222</v>
      </c>
      <c r="C447" s="1" t="n">
        <v>46126</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41158-2025</t>
        </is>
      </c>
      <c r="B448" s="1" t="n">
        <v>45898.5315625</v>
      </c>
      <c r="C448" s="1" t="n">
        <v>46126</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41301-2025</t>
        </is>
      </c>
      <c r="B449" s="1" t="n">
        <v>45898.68826388889</v>
      </c>
      <c r="C449" s="1" t="n">
        <v>46126</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41106-2025</t>
        </is>
      </c>
      <c r="B450" s="1" t="n">
        <v>45898.45636574074</v>
      </c>
      <c r="C450" s="1" t="n">
        <v>46126</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41174-2025</t>
        </is>
      </c>
      <c r="B451" s="1" t="n">
        <v>45898.54921296296</v>
      </c>
      <c r="C451" s="1" t="n">
        <v>46126</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58311-2023</t>
        </is>
      </c>
      <c r="B452" s="1" t="n">
        <v>45245</v>
      </c>
      <c r="C452" s="1" t="n">
        <v>46126</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41110-2025</t>
        </is>
      </c>
      <c r="B453" s="1" t="n">
        <v>45898.45976851852</v>
      </c>
      <c r="C453" s="1" t="n">
        <v>46126</v>
      </c>
      <c r="D453" t="inlineStr">
        <is>
          <t>STOCKHOLMS LÄN</t>
        </is>
      </c>
      <c r="E453" t="inlineStr">
        <is>
          <t>NORRTÄLJE</t>
        </is>
      </c>
      <c r="F453" t="inlineStr">
        <is>
          <t>Holmen skog AB</t>
        </is>
      </c>
      <c r="G453" t="n">
        <v>6.7</v>
      </c>
      <c r="H453" t="n">
        <v>0</v>
      </c>
      <c r="I453" t="n">
        <v>0</v>
      </c>
      <c r="J453" t="n">
        <v>0</v>
      </c>
      <c r="K453" t="n">
        <v>0</v>
      </c>
      <c r="L453" t="n">
        <v>0</v>
      </c>
      <c r="M453" t="n">
        <v>0</v>
      </c>
      <c r="N453" t="n">
        <v>0</v>
      </c>
      <c r="O453" t="n">
        <v>0</v>
      </c>
      <c r="P453" t="n">
        <v>0</v>
      </c>
      <c r="Q453" t="n">
        <v>0</v>
      </c>
      <c r="R453" s="2" t="inlineStr"/>
    </row>
    <row r="454" ht="15" customHeight="1">
      <c r="A454" t="inlineStr">
        <is>
          <t>A 9329-2023</t>
        </is>
      </c>
      <c r="B454" s="1" t="n">
        <v>44980</v>
      </c>
      <c r="C454" s="1" t="n">
        <v>46126</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41259-2025</t>
        </is>
      </c>
      <c r="B455" s="1" t="n">
        <v>45898.61054398148</v>
      </c>
      <c r="C455" s="1" t="n">
        <v>46126</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8739-2024</t>
        </is>
      </c>
      <c r="B456" s="1" t="n">
        <v>45356.47784722222</v>
      </c>
      <c r="C456" s="1" t="n">
        <v>46126</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54273-2021</t>
        </is>
      </c>
      <c r="B457" s="1" t="n">
        <v>44470.72987268519</v>
      </c>
      <c r="C457" s="1" t="n">
        <v>46126</v>
      </c>
      <c r="D457" t="inlineStr">
        <is>
          <t>STOCKHOLMS LÄN</t>
        </is>
      </c>
      <c r="E457" t="inlineStr">
        <is>
          <t>NORRTÄLJE</t>
        </is>
      </c>
      <c r="G457" t="n">
        <v>2.7</v>
      </c>
      <c r="H457" t="n">
        <v>0</v>
      </c>
      <c r="I457" t="n">
        <v>0</v>
      </c>
      <c r="J457" t="n">
        <v>0</v>
      </c>
      <c r="K457" t="n">
        <v>0</v>
      </c>
      <c r="L457" t="n">
        <v>0</v>
      </c>
      <c r="M457" t="n">
        <v>0</v>
      </c>
      <c r="N457" t="n">
        <v>0</v>
      </c>
      <c r="O457" t="n">
        <v>0</v>
      </c>
      <c r="P457" t="n">
        <v>0</v>
      </c>
      <c r="Q457" t="n">
        <v>0</v>
      </c>
      <c r="R457" s="2" t="inlineStr"/>
    </row>
    <row r="458" ht="15" customHeight="1">
      <c r="A458" t="inlineStr">
        <is>
          <t>A 43212-2022</t>
        </is>
      </c>
      <c r="B458" s="1" t="n">
        <v>44834.38636574074</v>
      </c>
      <c r="C458" s="1" t="n">
        <v>46126</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41053-2025</t>
        </is>
      </c>
      <c r="B459" s="1" t="n">
        <v>45898.40480324074</v>
      </c>
      <c r="C459" s="1" t="n">
        <v>46126</v>
      </c>
      <c r="D459" t="inlineStr">
        <is>
          <t>STOCKHOLMS LÄN</t>
        </is>
      </c>
      <c r="E459" t="inlineStr">
        <is>
          <t>NORRTÄLJE</t>
        </is>
      </c>
      <c r="F459" t="inlineStr">
        <is>
          <t>Holmen skog AB</t>
        </is>
      </c>
      <c r="G459" t="n">
        <v>2.5</v>
      </c>
      <c r="H459" t="n">
        <v>0</v>
      </c>
      <c r="I459" t="n">
        <v>0</v>
      </c>
      <c r="J459" t="n">
        <v>0</v>
      </c>
      <c r="K459" t="n">
        <v>0</v>
      </c>
      <c r="L459" t="n">
        <v>0</v>
      </c>
      <c r="M459" t="n">
        <v>0</v>
      </c>
      <c r="N459" t="n">
        <v>0</v>
      </c>
      <c r="O459" t="n">
        <v>0</v>
      </c>
      <c r="P459" t="n">
        <v>0</v>
      </c>
      <c r="Q459" t="n">
        <v>0</v>
      </c>
      <c r="R459" s="2" t="inlineStr"/>
    </row>
    <row r="460" ht="15" customHeight="1">
      <c r="A460" t="inlineStr">
        <is>
          <t>A 40829-2025</t>
        </is>
      </c>
      <c r="B460" s="1" t="n">
        <v>45897.50802083333</v>
      </c>
      <c r="C460" s="1" t="n">
        <v>46126</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40831-2025</t>
        </is>
      </c>
      <c r="B461" s="1" t="n">
        <v>45897.51077546296</v>
      </c>
      <c r="C461" s="1" t="n">
        <v>46126</v>
      </c>
      <c r="D461" t="inlineStr">
        <is>
          <t>STOCKHOLMS LÄN</t>
        </is>
      </c>
      <c r="E461" t="inlineStr">
        <is>
          <t>NORRTÄLJE</t>
        </is>
      </c>
      <c r="G461" t="n">
        <v>1.8</v>
      </c>
      <c r="H461" t="n">
        <v>0</v>
      </c>
      <c r="I461" t="n">
        <v>0</v>
      </c>
      <c r="J461" t="n">
        <v>0</v>
      </c>
      <c r="K461" t="n">
        <v>0</v>
      </c>
      <c r="L461" t="n">
        <v>0</v>
      </c>
      <c r="M461" t="n">
        <v>0</v>
      </c>
      <c r="N461" t="n">
        <v>0</v>
      </c>
      <c r="O461" t="n">
        <v>0</v>
      </c>
      <c r="P461" t="n">
        <v>0</v>
      </c>
      <c r="Q461" t="n">
        <v>0</v>
      </c>
      <c r="R461" s="2" t="inlineStr"/>
    </row>
    <row r="462" ht="15" customHeight="1">
      <c r="A462" t="inlineStr">
        <is>
          <t>A 26640-2023</t>
        </is>
      </c>
      <c r="B462" s="1" t="n">
        <v>45092</v>
      </c>
      <c r="C462" s="1" t="n">
        <v>46126</v>
      </c>
      <c r="D462" t="inlineStr">
        <is>
          <t>STOCKHOLMS LÄN</t>
        </is>
      </c>
      <c r="E462" t="inlineStr">
        <is>
          <t>NORRTÄLJE</t>
        </is>
      </c>
      <c r="G462" t="n">
        <v>5.7</v>
      </c>
      <c r="H462" t="n">
        <v>0</v>
      </c>
      <c r="I462" t="n">
        <v>0</v>
      </c>
      <c r="J462" t="n">
        <v>0</v>
      </c>
      <c r="K462" t="n">
        <v>0</v>
      </c>
      <c r="L462" t="n">
        <v>0</v>
      </c>
      <c r="M462" t="n">
        <v>0</v>
      </c>
      <c r="N462" t="n">
        <v>0</v>
      </c>
      <c r="O462" t="n">
        <v>0</v>
      </c>
      <c r="P462" t="n">
        <v>0</v>
      </c>
      <c r="Q462" t="n">
        <v>0</v>
      </c>
      <c r="R462" s="2" t="inlineStr"/>
    </row>
    <row r="463" ht="15" customHeight="1">
      <c r="A463" t="inlineStr">
        <is>
          <t>A 62765-2022</t>
        </is>
      </c>
      <c r="B463" s="1" t="n">
        <v>44637</v>
      </c>
      <c r="C463" s="1" t="n">
        <v>46126</v>
      </c>
      <c r="D463" t="inlineStr">
        <is>
          <t>STOCKHOLMS LÄN</t>
        </is>
      </c>
      <c r="E463" t="inlineStr">
        <is>
          <t>NORRTÄLJE</t>
        </is>
      </c>
      <c r="G463" t="n">
        <v>2.7</v>
      </c>
      <c r="H463" t="n">
        <v>0</v>
      </c>
      <c r="I463" t="n">
        <v>0</v>
      </c>
      <c r="J463" t="n">
        <v>0</v>
      </c>
      <c r="K463" t="n">
        <v>0</v>
      </c>
      <c r="L463" t="n">
        <v>0</v>
      </c>
      <c r="M463" t="n">
        <v>0</v>
      </c>
      <c r="N463" t="n">
        <v>0</v>
      </c>
      <c r="O463" t="n">
        <v>0</v>
      </c>
      <c r="P463" t="n">
        <v>0</v>
      </c>
      <c r="Q463" t="n">
        <v>0</v>
      </c>
      <c r="R463" s="2" t="inlineStr"/>
    </row>
    <row r="464" ht="15" customHeight="1">
      <c r="A464" t="inlineStr">
        <is>
          <t>A 6855-2025</t>
        </is>
      </c>
      <c r="B464" s="1" t="n">
        <v>45700</v>
      </c>
      <c r="C464" s="1" t="n">
        <v>46126</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41272-2025</t>
        </is>
      </c>
      <c r="B465" s="1" t="n">
        <v>45898.62373842593</v>
      </c>
      <c r="C465" s="1" t="n">
        <v>46126</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38990-2022</t>
        </is>
      </c>
      <c r="B466" s="1" t="n">
        <v>44816</v>
      </c>
      <c r="C466" s="1" t="n">
        <v>46126</v>
      </c>
      <c r="D466" t="inlineStr">
        <is>
          <t>STOCKHOLMS LÄN</t>
        </is>
      </c>
      <c r="E466" t="inlineStr">
        <is>
          <t>NORRTÄLJE</t>
        </is>
      </c>
      <c r="G466" t="n">
        <v>5.7</v>
      </c>
      <c r="H466" t="n">
        <v>0</v>
      </c>
      <c r="I466" t="n">
        <v>0</v>
      </c>
      <c r="J466" t="n">
        <v>0</v>
      </c>
      <c r="K466" t="n">
        <v>0</v>
      </c>
      <c r="L466" t="n">
        <v>0</v>
      </c>
      <c r="M466" t="n">
        <v>0</v>
      </c>
      <c r="N466" t="n">
        <v>0</v>
      </c>
      <c r="O466" t="n">
        <v>0</v>
      </c>
      <c r="P466" t="n">
        <v>0</v>
      </c>
      <c r="Q466" t="n">
        <v>0</v>
      </c>
      <c r="R466" s="2" t="inlineStr"/>
    </row>
    <row r="467" ht="15" customHeight="1">
      <c r="A467" t="inlineStr">
        <is>
          <t>A 17545-2025</t>
        </is>
      </c>
      <c r="B467" s="1" t="n">
        <v>45757.60658564815</v>
      </c>
      <c r="C467" s="1" t="n">
        <v>46126</v>
      </c>
      <c r="D467" t="inlineStr">
        <is>
          <t>STOCKHOLMS LÄN</t>
        </is>
      </c>
      <c r="E467" t="inlineStr">
        <is>
          <t>NORRTÄLJE</t>
        </is>
      </c>
      <c r="G467" t="n">
        <v>1.6</v>
      </c>
      <c r="H467" t="n">
        <v>0</v>
      </c>
      <c r="I467" t="n">
        <v>0</v>
      </c>
      <c r="J467" t="n">
        <v>0</v>
      </c>
      <c r="K467" t="n">
        <v>0</v>
      </c>
      <c r="L467" t="n">
        <v>0</v>
      </c>
      <c r="M467" t="n">
        <v>0</v>
      </c>
      <c r="N467" t="n">
        <v>0</v>
      </c>
      <c r="O467" t="n">
        <v>0</v>
      </c>
      <c r="P467" t="n">
        <v>0</v>
      </c>
      <c r="Q467" t="n">
        <v>0</v>
      </c>
      <c r="R467" s="2" t="inlineStr"/>
    </row>
    <row r="468" ht="15" customHeight="1">
      <c r="A468" t="inlineStr">
        <is>
          <t>A 41036-2025</t>
        </is>
      </c>
      <c r="B468" s="1" t="n">
        <v>45898.38552083333</v>
      </c>
      <c r="C468" s="1" t="n">
        <v>46126</v>
      </c>
      <c r="D468" t="inlineStr">
        <is>
          <t>STOCKHOLMS LÄN</t>
        </is>
      </c>
      <c r="E468" t="inlineStr">
        <is>
          <t>NORRTÄLJE</t>
        </is>
      </c>
      <c r="F468" t="inlineStr">
        <is>
          <t>Holmen skog AB</t>
        </is>
      </c>
      <c r="G468" t="n">
        <v>2.7</v>
      </c>
      <c r="H468" t="n">
        <v>0</v>
      </c>
      <c r="I468" t="n">
        <v>0</v>
      </c>
      <c r="J468" t="n">
        <v>0</v>
      </c>
      <c r="K468" t="n">
        <v>0</v>
      </c>
      <c r="L468" t="n">
        <v>0</v>
      </c>
      <c r="M468" t="n">
        <v>0</v>
      </c>
      <c r="N468" t="n">
        <v>0</v>
      </c>
      <c r="O468" t="n">
        <v>0</v>
      </c>
      <c r="P468" t="n">
        <v>0</v>
      </c>
      <c r="Q468" t="n">
        <v>0</v>
      </c>
      <c r="R468" s="2" t="inlineStr"/>
    </row>
    <row r="469" ht="15" customHeight="1">
      <c r="A469" t="inlineStr">
        <is>
          <t>A 34295-2024</t>
        </is>
      </c>
      <c r="B469" s="1" t="n">
        <v>45524</v>
      </c>
      <c r="C469" s="1" t="n">
        <v>46126</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19058-2024</t>
        </is>
      </c>
      <c r="B470" s="1" t="n">
        <v>45427.89121527778</v>
      </c>
      <c r="C470" s="1" t="n">
        <v>46126</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17956-2025</t>
        </is>
      </c>
      <c r="B471" s="1" t="n">
        <v>45760.91174768518</v>
      </c>
      <c r="C471" s="1" t="n">
        <v>46126</v>
      </c>
      <c r="D471" t="inlineStr">
        <is>
          <t>STOCKHOLMS LÄN</t>
        </is>
      </c>
      <c r="E471" t="inlineStr">
        <is>
          <t>NORRTÄLJE</t>
        </is>
      </c>
      <c r="G471" t="n">
        <v>4.3</v>
      </c>
      <c r="H471" t="n">
        <v>0</v>
      </c>
      <c r="I471" t="n">
        <v>0</v>
      </c>
      <c r="J471" t="n">
        <v>0</v>
      </c>
      <c r="K471" t="n">
        <v>0</v>
      </c>
      <c r="L471" t="n">
        <v>0</v>
      </c>
      <c r="M471" t="n">
        <v>0</v>
      </c>
      <c r="N471" t="n">
        <v>0</v>
      </c>
      <c r="O471" t="n">
        <v>0</v>
      </c>
      <c r="P471" t="n">
        <v>0</v>
      </c>
      <c r="Q471" t="n">
        <v>0</v>
      </c>
      <c r="R471" s="2" t="inlineStr"/>
    </row>
    <row r="472" ht="15" customHeight="1">
      <c r="A472" t="inlineStr">
        <is>
          <t>A 23265-2023</t>
        </is>
      </c>
      <c r="B472" s="1" t="n">
        <v>45075.90703703704</v>
      </c>
      <c r="C472" s="1" t="n">
        <v>46126</v>
      </c>
      <c r="D472" t="inlineStr">
        <is>
          <t>STOCKHOLMS LÄN</t>
        </is>
      </c>
      <c r="E472" t="inlineStr">
        <is>
          <t>NORRTÄLJE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6537-2024</t>
        </is>
      </c>
      <c r="B473" s="1" t="n">
        <v>45341.39853009259</v>
      </c>
      <c r="C473" s="1" t="n">
        <v>46126</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30268-2024</t>
        </is>
      </c>
      <c r="B474" s="1" t="n">
        <v>45490.60572916667</v>
      </c>
      <c r="C474" s="1" t="n">
        <v>46126</v>
      </c>
      <c r="D474" t="inlineStr">
        <is>
          <t>STOCKHOLMS LÄN</t>
        </is>
      </c>
      <c r="E474" t="inlineStr">
        <is>
          <t>NORRTÄLJE</t>
        </is>
      </c>
      <c r="G474" t="n">
        <v>5.6</v>
      </c>
      <c r="H474" t="n">
        <v>0</v>
      </c>
      <c r="I474" t="n">
        <v>0</v>
      </c>
      <c r="J474" t="n">
        <v>0</v>
      </c>
      <c r="K474" t="n">
        <v>0</v>
      </c>
      <c r="L474" t="n">
        <v>0</v>
      </c>
      <c r="M474" t="n">
        <v>0</v>
      </c>
      <c r="N474" t="n">
        <v>0</v>
      </c>
      <c r="O474" t="n">
        <v>0</v>
      </c>
      <c r="P474" t="n">
        <v>0</v>
      </c>
      <c r="Q474" t="n">
        <v>0</v>
      </c>
      <c r="R474" s="2" t="inlineStr"/>
    </row>
    <row r="475" ht="15" customHeight="1">
      <c r="A475" t="inlineStr">
        <is>
          <t>A 59535-2024</t>
        </is>
      </c>
      <c r="B475" s="1" t="n">
        <v>45638.59979166667</v>
      </c>
      <c r="C475" s="1" t="n">
        <v>46126</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9246-2024</t>
        </is>
      </c>
      <c r="B476" s="1" t="n">
        <v>45357</v>
      </c>
      <c r="C476" s="1" t="n">
        <v>46126</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52260-2022</t>
        </is>
      </c>
      <c r="B477" s="1" t="n">
        <v>44869</v>
      </c>
      <c r="C477" s="1" t="n">
        <v>46126</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19057-2024</t>
        </is>
      </c>
      <c r="B478" s="1" t="n">
        <v>45427.88731481481</v>
      </c>
      <c r="C478" s="1" t="n">
        <v>46126</v>
      </c>
      <c r="D478" t="inlineStr">
        <is>
          <t>STOCKHOLMS LÄN</t>
        </is>
      </c>
      <c r="E478" t="inlineStr">
        <is>
          <t>NORRTÄLJE</t>
        </is>
      </c>
      <c r="G478" t="n">
        <v>3</v>
      </c>
      <c r="H478" t="n">
        <v>0</v>
      </c>
      <c r="I478" t="n">
        <v>0</v>
      </c>
      <c r="J478" t="n">
        <v>0</v>
      </c>
      <c r="K478" t="n">
        <v>0</v>
      </c>
      <c r="L478" t="n">
        <v>0</v>
      </c>
      <c r="M478" t="n">
        <v>0</v>
      </c>
      <c r="N478" t="n">
        <v>0</v>
      </c>
      <c r="O478" t="n">
        <v>0</v>
      </c>
      <c r="P478" t="n">
        <v>0</v>
      </c>
      <c r="Q478" t="n">
        <v>0</v>
      </c>
      <c r="R478" s="2" t="inlineStr"/>
    </row>
    <row r="479" ht="15" customHeight="1">
      <c r="A479" t="inlineStr">
        <is>
          <t>A 15733-2025</t>
        </is>
      </c>
      <c r="B479" s="1" t="n">
        <v>45748</v>
      </c>
      <c r="C479" s="1" t="n">
        <v>46126</v>
      </c>
      <c r="D479" t="inlineStr">
        <is>
          <t>STOCKHOLMS LÄN</t>
        </is>
      </c>
      <c r="E479" t="inlineStr">
        <is>
          <t>NORRTÄLJE</t>
        </is>
      </c>
      <c r="G479" t="n">
        <v>13.3</v>
      </c>
      <c r="H479" t="n">
        <v>0</v>
      </c>
      <c r="I479" t="n">
        <v>0</v>
      </c>
      <c r="J479" t="n">
        <v>0</v>
      </c>
      <c r="K479" t="n">
        <v>0</v>
      </c>
      <c r="L479" t="n">
        <v>0</v>
      </c>
      <c r="M479" t="n">
        <v>0</v>
      </c>
      <c r="N479" t="n">
        <v>0</v>
      </c>
      <c r="O479" t="n">
        <v>0</v>
      </c>
      <c r="P479" t="n">
        <v>0</v>
      </c>
      <c r="Q479" t="n">
        <v>0</v>
      </c>
      <c r="R479" s="2" t="inlineStr"/>
    </row>
    <row r="480" ht="15" customHeight="1">
      <c r="A480" t="inlineStr">
        <is>
          <t>A 55058-2021</t>
        </is>
      </c>
      <c r="B480" s="1" t="n">
        <v>44474.62141203704</v>
      </c>
      <c r="C480" s="1" t="n">
        <v>46126</v>
      </c>
      <c r="D480" t="inlineStr">
        <is>
          <t>STOCKHOLMS LÄN</t>
        </is>
      </c>
      <c r="E480" t="inlineStr">
        <is>
          <t>NORRTÄLJE</t>
        </is>
      </c>
      <c r="G480" t="n">
        <v>1.9</v>
      </c>
      <c r="H480" t="n">
        <v>0</v>
      </c>
      <c r="I480" t="n">
        <v>0</v>
      </c>
      <c r="J480" t="n">
        <v>0</v>
      </c>
      <c r="K480" t="n">
        <v>0</v>
      </c>
      <c r="L480" t="n">
        <v>0</v>
      </c>
      <c r="M480" t="n">
        <v>0</v>
      </c>
      <c r="N480" t="n">
        <v>0</v>
      </c>
      <c r="O480" t="n">
        <v>0</v>
      </c>
      <c r="P480" t="n">
        <v>0</v>
      </c>
      <c r="Q480" t="n">
        <v>0</v>
      </c>
      <c r="R480" s="2" t="inlineStr"/>
    </row>
    <row r="481" ht="15" customHeight="1">
      <c r="A481" t="inlineStr">
        <is>
          <t>A 40192-2023</t>
        </is>
      </c>
      <c r="B481" s="1" t="n">
        <v>45169</v>
      </c>
      <c r="C481" s="1" t="n">
        <v>46126</v>
      </c>
      <c r="D481" t="inlineStr">
        <is>
          <t>STOCKHOLMS LÄN</t>
        </is>
      </c>
      <c r="E481" t="inlineStr">
        <is>
          <t>NORRTÄLJE</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10511-2025</t>
        </is>
      </c>
      <c r="B482" s="1" t="n">
        <v>45721.40780092592</v>
      </c>
      <c r="C482" s="1" t="n">
        <v>46126</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20852-2023</t>
        </is>
      </c>
      <c r="B483" s="1" t="n">
        <v>45058.78607638889</v>
      </c>
      <c r="C483" s="1" t="n">
        <v>46126</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4035-2023</t>
        </is>
      </c>
      <c r="B484" s="1" t="n">
        <v>44952.57989583333</v>
      </c>
      <c r="C484" s="1" t="n">
        <v>46126</v>
      </c>
      <c r="D484" t="inlineStr">
        <is>
          <t>STOCKHOLMS LÄN</t>
        </is>
      </c>
      <c r="E484" t="inlineStr">
        <is>
          <t>NORRTÄLJE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50355-2024</t>
        </is>
      </c>
      <c r="B485" s="1" t="n">
        <v>45600.86128472222</v>
      </c>
      <c r="C485" s="1" t="n">
        <v>46126</v>
      </c>
      <c r="D485" t="inlineStr">
        <is>
          <t>STOCKHOLMS LÄN</t>
        </is>
      </c>
      <c r="E485" t="inlineStr">
        <is>
          <t>NORRTÄLJE</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26644-2024</t>
        </is>
      </c>
      <c r="B486" s="1" t="n">
        <v>45469</v>
      </c>
      <c r="C486" s="1" t="n">
        <v>46126</v>
      </c>
      <c r="D486" t="inlineStr">
        <is>
          <t>STOCKHOLMS LÄN</t>
        </is>
      </c>
      <c r="E486" t="inlineStr">
        <is>
          <t>NORRTÄLJE</t>
        </is>
      </c>
      <c r="G486" t="n">
        <v>4.3</v>
      </c>
      <c r="H486" t="n">
        <v>0</v>
      </c>
      <c r="I486" t="n">
        <v>0</v>
      </c>
      <c r="J486" t="n">
        <v>0</v>
      </c>
      <c r="K486" t="n">
        <v>0</v>
      </c>
      <c r="L486" t="n">
        <v>0</v>
      </c>
      <c r="M486" t="n">
        <v>0</v>
      </c>
      <c r="N486" t="n">
        <v>0</v>
      </c>
      <c r="O486" t="n">
        <v>0</v>
      </c>
      <c r="P486" t="n">
        <v>0</v>
      </c>
      <c r="Q486" t="n">
        <v>0</v>
      </c>
      <c r="R486" s="2" t="inlineStr"/>
    </row>
    <row r="487" ht="15" customHeight="1">
      <c r="A487" t="inlineStr">
        <is>
          <t>A 26668-2024</t>
        </is>
      </c>
      <c r="B487" s="1" t="n">
        <v>45469</v>
      </c>
      <c r="C487" s="1" t="n">
        <v>46126</v>
      </c>
      <c r="D487" t="inlineStr">
        <is>
          <t>STOCKHOLMS LÄN</t>
        </is>
      </c>
      <c r="E487" t="inlineStr">
        <is>
          <t>NORRTÄLJE</t>
        </is>
      </c>
      <c r="G487" t="n">
        <v>4.8</v>
      </c>
      <c r="H487" t="n">
        <v>0</v>
      </c>
      <c r="I487" t="n">
        <v>0</v>
      </c>
      <c r="J487" t="n">
        <v>0</v>
      </c>
      <c r="K487" t="n">
        <v>0</v>
      </c>
      <c r="L487" t="n">
        <v>0</v>
      </c>
      <c r="M487" t="n">
        <v>0</v>
      </c>
      <c r="N487" t="n">
        <v>0</v>
      </c>
      <c r="O487" t="n">
        <v>0</v>
      </c>
      <c r="P487" t="n">
        <v>0</v>
      </c>
      <c r="Q487" t="n">
        <v>0</v>
      </c>
      <c r="R487" s="2" t="inlineStr"/>
    </row>
    <row r="488" ht="15" customHeight="1">
      <c r="A488" t="inlineStr">
        <is>
          <t>A 42038-2025</t>
        </is>
      </c>
      <c r="B488" s="1" t="n">
        <v>45903.61431712963</v>
      </c>
      <c r="C488" s="1" t="n">
        <v>46126</v>
      </c>
      <c r="D488" t="inlineStr">
        <is>
          <t>STOCKHOLMS LÄN</t>
        </is>
      </c>
      <c r="E488" t="inlineStr">
        <is>
          <t>NORRTÄLJE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60694-2024</t>
        </is>
      </c>
      <c r="B489" s="1" t="n">
        <v>45644.47878472223</v>
      </c>
      <c r="C489" s="1" t="n">
        <v>46126</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25094-2023</t>
        </is>
      </c>
      <c r="B490" s="1" t="n">
        <v>45086.3629050926</v>
      </c>
      <c r="C490" s="1" t="n">
        <v>46126</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59276-2023</t>
        </is>
      </c>
      <c r="B491" s="1" t="n">
        <v>45253.55641203704</v>
      </c>
      <c r="C491" s="1" t="n">
        <v>46126</v>
      </c>
      <c r="D491" t="inlineStr">
        <is>
          <t>STOCKHOLMS LÄN</t>
        </is>
      </c>
      <c r="E491" t="inlineStr">
        <is>
          <t>NORRTÄLJE</t>
        </is>
      </c>
      <c r="G491" t="n">
        <v>1.5</v>
      </c>
      <c r="H491" t="n">
        <v>0</v>
      </c>
      <c r="I491" t="n">
        <v>0</v>
      </c>
      <c r="J491" t="n">
        <v>0</v>
      </c>
      <c r="K491" t="n">
        <v>0</v>
      </c>
      <c r="L491" t="n">
        <v>0</v>
      </c>
      <c r="M491" t="n">
        <v>0</v>
      </c>
      <c r="N491" t="n">
        <v>0</v>
      </c>
      <c r="O491" t="n">
        <v>0</v>
      </c>
      <c r="P491" t="n">
        <v>0</v>
      </c>
      <c r="Q491" t="n">
        <v>0</v>
      </c>
      <c r="R491" s="2" t="inlineStr"/>
    </row>
    <row r="492" ht="15" customHeight="1">
      <c r="A492" t="inlineStr">
        <is>
          <t>A 41964-2025</t>
        </is>
      </c>
      <c r="B492" s="1" t="n">
        <v>45903.47270833333</v>
      </c>
      <c r="C492" s="1" t="n">
        <v>46126</v>
      </c>
      <c r="D492" t="inlineStr">
        <is>
          <t>STOCKHOLMS LÄN</t>
        </is>
      </c>
      <c r="E492" t="inlineStr">
        <is>
          <t>NORRTÄLJE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13767-2025</t>
        </is>
      </c>
      <c r="B493" s="1" t="n">
        <v>45737.43347222222</v>
      </c>
      <c r="C493" s="1" t="n">
        <v>46126</v>
      </c>
      <c r="D493" t="inlineStr">
        <is>
          <t>STOCKHOLMS LÄN</t>
        </is>
      </c>
      <c r="E493" t="inlineStr">
        <is>
          <t>NORRTÄLJE</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41966-2025</t>
        </is>
      </c>
      <c r="B494" s="1" t="n">
        <v>45903.47456018518</v>
      </c>
      <c r="C494" s="1" t="n">
        <v>46126</v>
      </c>
      <c r="D494" t="inlineStr">
        <is>
          <t>STOCKHOLMS LÄN</t>
        </is>
      </c>
      <c r="E494" t="inlineStr">
        <is>
          <t>NORRTÄLJE</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14873-2025</t>
        </is>
      </c>
      <c r="B495" s="1" t="n">
        <v>45743.44953703704</v>
      </c>
      <c r="C495" s="1" t="n">
        <v>46126</v>
      </c>
      <c r="D495" t="inlineStr">
        <is>
          <t>STOCKHOLMS LÄN</t>
        </is>
      </c>
      <c r="E495" t="inlineStr">
        <is>
          <t>NORRTÄLJE</t>
        </is>
      </c>
      <c r="G495" t="n">
        <v>10.2</v>
      </c>
      <c r="H495" t="n">
        <v>0</v>
      </c>
      <c r="I495" t="n">
        <v>0</v>
      </c>
      <c r="J495" t="n">
        <v>0</v>
      </c>
      <c r="K495" t="n">
        <v>0</v>
      </c>
      <c r="L495" t="n">
        <v>0</v>
      </c>
      <c r="M495" t="n">
        <v>0</v>
      </c>
      <c r="N495" t="n">
        <v>0</v>
      </c>
      <c r="O495" t="n">
        <v>0</v>
      </c>
      <c r="P495" t="n">
        <v>0</v>
      </c>
      <c r="Q495" t="n">
        <v>0</v>
      </c>
      <c r="R495" s="2" t="inlineStr"/>
    </row>
    <row r="496" ht="15" customHeight="1">
      <c r="A496" t="inlineStr">
        <is>
          <t>A 41587-2023</t>
        </is>
      </c>
      <c r="B496" s="1" t="n">
        <v>45175</v>
      </c>
      <c r="C496" s="1" t="n">
        <v>46126</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8135-2025</t>
        </is>
      </c>
      <c r="B497" s="1" t="n">
        <v>45707.84997685185</v>
      </c>
      <c r="C497" s="1" t="n">
        <v>46126</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31936-2022</t>
        </is>
      </c>
      <c r="B498" s="1" t="n">
        <v>44777</v>
      </c>
      <c r="C498" s="1" t="n">
        <v>46126</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24887-2023</t>
        </is>
      </c>
      <c r="B499" s="1" t="n">
        <v>45085</v>
      </c>
      <c r="C499" s="1" t="n">
        <v>46126</v>
      </c>
      <c r="D499" t="inlineStr">
        <is>
          <t>STOCKHOLMS LÄN</t>
        </is>
      </c>
      <c r="E499" t="inlineStr">
        <is>
          <t>NORRTÄLJE</t>
        </is>
      </c>
      <c r="G499" t="n">
        <v>13.9</v>
      </c>
      <c r="H499" t="n">
        <v>0</v>
      </c>
      <c r="I499" t="n">
        <v>0</v>
      </c>
      <c r="J499" t="n">
        <v>0</v>
      </c>
      <c r="K499" t="n">
        <v>0</v>
      </c>
      <c r="L499" t="n">
        <v>0</v>
      </c>
      <c r="M499" t="n">
        <v>0</v>
      </c>
      <c r="N499" t="n">
        <v>0</v>
      </c>
      <c r="O499" t="n">
        <v>0</v>
      </c>
      <c r="P499" t="n">
        <v>0</v>
      </c>
      <c r="Q499" t="n">
        <v>0</v>
      </c>
      <c r="R499" s="2" t="inlineStr"/>
    </row>
    <row r="500" ht="15" customHeight="1">
      <c r="A500" t="inlineStr">
        <is>
          <t>A 56428-2023</t>
        </is>
      </c>
      <c r="B500" s="1" t="n">
        <v>45243.45289351852</v>
      </c>
      <c r="C500" s="1" t="n">
        <v>46126</v>
      </c>
      <c r="D500" t="inlineStr">
        <is>
          <t>STOCKHOLMS LÄN</t>
        </is>
      </c>
      <c r="E500" t="inlineStr">
        <is>
          <t>NORRTÄLJE</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30699-2025</t>
        </is>
      </c>
      <c r="B501" s="1" t="n">
        <v>45831.54618055555</v>
      </c>
      <c r="C501" s="1" t="n">
        <v>46126</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27381-2024</t>
        </is>
      </c>
      <c r="B502" s="1" t="n">
        <v>45473.94501157408</v>
      </c>
      <c r="C502" s="1" t="n">
        <v>46126</v>
      </c>
      <c r="D502" t="inlineStr">
        <is>
          <t>STOCKHOLMS LÄN</t>
        </is>
      </c>
      <c r="E502" t="inlineStr">
        <is>
          <t>NORRTÄLJE</t>
        </is>
      </c>
      <c r="G502" t="n">
        <v>4.5</v>
      </c>
      <c r="H502" t="n">
        <v>0</v>
      </c>
      <c r="I502" t="n">
        <v>0</v>
      </c>
      <c r="J502" t="n">
        <v>0</v>
      </c>
      <c r="K502" t="n">
        <v>0</v>
      </c>
      <c r="L502" t="n">
        <v>0</v>
      </c>
      <c r="M502" t="n">
        <v>0</v>
      </c>
      <c r="N502" t="n">
        <v>0</v>
      </c>
      <c r="O502" t="n">
        <v>0</v>
      </c>
      <c r="P502" t="n">
        <v>0</v>
      </c>
      <c r="Q502" t="n">
        <v>0</v>
      </c>
      <c r="R502" s="2" t="inlineStr"/>
    </row>
    <row r="503" ht="15" customHeight="1">
      <c r="A503" t="inlineStr">
        <is>
          <t>A 60529-2023</t>
        </is>
      </c>
      <c r="B503" s="1" t="n">
        <v>45259</v>
      </c>
      <c r="C503" s="1" t="n">
        <v>46126</v>
      </c>
      <c r="D503" t="inlineStr">
        <is>
          <t>STOCKHOLMS LÄN</t>
        </is>
      </c>
      <c r="E503" t="inlineStr">
        <is>
          <t>NORRTÄLJE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42856-2025</t>
        </is>
      </c>
      <c r="B504" s="1" t="n">
        <v>45908</v>
      </c>
      <c r="C504" s="1" t="n">
        <v>46126</v>
      </c>
      <c r="D504" t="inlineStr">
        <is>
          <t>STOCKHOLMS LÄN</t>
        </is>
      </c>
      <c r="E504" t="inlineStr">
        <is>
          <t>NORRTÄLJE</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20011-2025</t>
        </is>
      </c>
      <c r="B505" s="1" t="n">
        <v>45772.29622685185</v>
      </c>
      <c r="C505" s="1" t="n">
        <v>46126</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59326-2023</t>
        </is>
      </c>
      <c r="B506" s="1" t="n">
        <v>45253.63089120371</v>
      </c>
      <c r="C506" s="1" t="n">
        <v>46126</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37085-2021</t>
        </is>
      </c>
      <c r="B507" s="1" t="n">
        <v>44395</v>
      </c>
      <c r="C507" s="1" t="n">
        <v>46126</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20790-2025</t>
        </is>
      </c>
      <c r="B508" s="1" t="n">
        <v>45776.62563657408</v>
      </c>
      <c r="C508" s="1" t="n">
        <v>46126</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3152-2024</t>
        </is>
      </c>
      <c r="B509" s="1" t="n">
        <v>45316.60306712963</v>
      </c>
      <c r="C509" s="1" t="n">
        <v>46126</v>
      </c>
      <c r="D509" t="inlineStr">
        <is>
          <t>STOCKHOLMS LÄN</t>
        </is>
      </c>
      <c r="E509" t="inlineStr">
        <is>
          <t>NORRTÄLJE</t>
        </is>
      </c>
      <c r="G509" t="n">
        <v>7.9</v>
      </c>
      <c r="H509" t="n">
        <v>0</v>
      </c>
      <c r="I509" t="n">
        <v>0</v>
      </c>
      <c r="J509" t="n">
        <v>0</v>
      </c>
      <c r="K509" t="n">
        <v>0</v>
      </c>
      <c r="L509" t="n">
        <v>0</v>
      </c>
      <c r="M509" t="n">
        <v>0</v>
      </c>
      <c r="N509" t="n">
        <v>0</v>
      </c>
      <c r="O509" t="n">
        <v>0</v>
      </c>
      <c r="P509" t="n">
        <v>0</v>
      </c>
      <c r="Q509" t="n">
        <v>0</v>
      </c>
      <c r="R509" s="2" t="inlineStr"/>
    </row>
    <row r="510" ht="15" customHeight="1">
      <c r="A510" t="inlineStr">
        <is>
          <t>A 20699-2025</t>
        </is>
      </c>
      <c r="B510" s="1" t="n">
        <v>45776.47346064815</v>
      </c>
      <c r="C510" s="1" t="n">
        <v>46126</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20779-2025</t>
        </is>
      </c>
      <c r="B511" s="1" t="n">
        <v>45776.59871527777</v>
      </c>
      <c r="C511" s="1" t="n">
        <v>46126</v>
      </c>
      <c r="D511" t="inlineStr">
        <is>
          <t>STOCKHOLMS LÄN</t>
        </is>
      </c>
      <c r="E511" t="inlineStr">
        <is>
          <t>NORRTÄLJE</t>
        </is>
      </c>
      <c r="G511" t="n">
        <v>6.9</v>
      </c>
      <c r="H511" t="n">
        <v>0</v>
      </c>
      <c r="I511" t="n">
        <v>0</v>
      </c>
      <c r="J511" t="n">
        <v>0</v>
      </c>
      <c r="K511" t="n">
        <v>0</v>
      </c>
      <c r="L511" t="n">
        <v>0</v>
      </c>
      <c r="M511" t="n">
        <v>0</v>
      </c>
      <c r="N511" t="n">
        <v>0</v>
      </c>
      <c r="O511" t="n">
        <v>0</v>
      </c>
      <c r="P511" t="n">
        <v>0</v>
      </c>
      <c r="Q511" t="n">
        <v>0</v>
      </c>
      <c r="R511" s="2" t="inlineStr"/>
    </row>
    <row r="512" ht="15" customHeight="1">
      <c r="A512" t="inlineStr">
        <is>
          <t>A 44836-2023</t>
        </is>
      </c>
      <c r="B512" s="1" t="n">
        <v>45190.55609953704</v>
      </c>
      <c r="C512" s="1" t="n">
        <v>46126</v>
      </c>
      <c r="D512" t="inlineStr">
        <is>
          <t>STOCKHOLMS LÄN</t>
        </is>
      </c>
      <c r="E512" t="inlineStr">
        <is>
          <t>NORRTÄLJE</t>
        </is>
      </c>
      <c r="G512" t="n">
        <v>2.3</v>
      </c>
      <c r="H512" t="n">
        <v>0</v>
      </c>
      <c r="I512" t="n">
        <v>0</v>
      </c>
      <c r="J512" t="n">
        <v>0</v>
      </c>
      <c r="K512" t="n">
        <v>0</v>
      </c>
      <c r="L512" t="n">
        <v>0</v>
      </c>
      <c r="M512" t="n">
        <v>0</v>
      </c>
      <c r="N512" t="n">
        <v>0</v>
      </c>
      <c r="O512" t="n">
        <v>0</v>
      </c>
      <c r="P512" t="n">
        <v>0</v>
      </c>
      <c r="Q512" t="n">
        <v>0</v>
      </c>
      <c r="R512" s="2" t="inlineStr"/>
    </row>
    <row r="513" ht="15" customHeight="1">
      <c r="A513" t="inlineStr">
        <is>
          <t>A 30338-2022</t>
        </is>
      </c>
      <c r="B513" s="1" t="n">
        <v>44760</v>
      </c>
      <c r="C513" s="1" t="n">
        <v>46126</v>
      </c>
      <c r="D513" t="inlineStr">
        <is>
          <t>STOCKHOLMS LÄN</t>
        </is>
      </c>
      <c r="E513" t="inlineStr">
        <is>
          <t>NORRTÄLJE</t>
        </is>
      </c>
      <c r="G513" t="n">
        <v>0.3</v>
      </c>
      <c r="H513" t="n">
        <v>0</v>
      </c>
      <c r="I513" t="n">
        <v>0</v>
      </c>
      <c r="J513" t="n">
        <v>0</v>
      </c>
      <c r="K513" t="n">
        <v>0</v>
      </c>
      <c r="L513" t="n">
        <v>0</v>
      </c>
      <c r="M513" t="n">
        <v>0</v>
      </c>
      <c r="N513" t="n">
        <v>0</v>
      </c>
      <c r="O513" t="n">
        <v>0</v>
      </c>
      <c r="P513" t="n">
        <v>0</v>
      </c>
      <c r="Q513" t="n">
        <v>0</v>
      </c>
      <c r="R513" s="2" t="inlineStr"/>
    </row>
    <row r="514" ht="15" customHeight="1">
      <c r="A514" t="inlineStr">
        <is>
          <t>A 46988-2024</t>
        </is>
      </c>
      <c r="B514" s="1" t="n">
        <v>45586</v>
      </c>
      <c r="C514" s="1" t="n">
        <v>46126</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71552-2021</t>
        </is>
      </c>
      <c r="B515" s="1" t="n">
        <v>44540</v>
      </c>
      <c r="C515" s="1" t="n">
        <v>46126</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18541-2023</t>
        </is>
      </c>
      <c r="B516" s="1" t="n">
        <v>45042.74291666667</v>
      </c>
      <c r="C516" s="1" t="n">
        <v>46126</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17382-2024</t>
        </is>
      </c>
      <c r="B517" s="1" t="n">
        <v>45414.65855324074</v>
      </c>
      <c r="C517" s="1" t="n">
        <v>46126</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32857-2021</t>
        </is>
      </c>
      <c r="B518" s="1" t="n">
        <v>44375</v>
      </c>
      <c r="C518" s="1" t="n">
        <v>46126</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51325-2023</t>
        </is>
      </c>
      <c r="B519" s="1" t="n">
        <v>45219</v>
      </c>
      <c r="C519" s="1" t="n">
        <v>46126</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25557-2023</t>
        </is>
      </c>
      <c r="B520" s="1" t="n">
        <v>45089</v>
      </c>
      <c r="C520" s="1" t="n">
        <v>46126</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21729-2024</t>
        </is>
      </c>
      <c r="B521" s="1" t="n">
        <v>45442</v>
      </c>
      <c r="C521" s="1" t="n">
        <v>46126</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46126</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46126</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43269-2025</t>
        </is>
      </c>
      <c r="B524" s="1" t="n">
        <v>45910.5819212963</v>
      </c>
      <c r="C524" s="1" t="n">
        <v>46126</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9914-2023</t>
        </is>
      </c>
      <c r="B525" s="1" t="n">
        <v>44985</v>
      </c>
      <c r="C525" s="1" t="n">
        <v>46126</v>
      </c>
      <c r="D525" t="inlineStr">
        <is>
          <t>STOCKHOLMS LÄN</t>
        </is>
      </c>
      <c r="E525" t="inlineStr">
        <is>
          <t>NORRTÄLJE</t>
        </is>
      </c>
      <c r="G525" t="n">
        <v>4.2</v>
      </c>
      <c r="H525" t="n">
        <v>0</v>
      </c>
      <c r="I525" t="n">
        <v>0</v>
      </c>
      <c r="J525" t="n">
        <v>0</v>
      </c>
      <c r="K525" t="n">
        <v>0</v>
      </c>
      <c r="L525" t="n">
        <v>0</v>
      </c>
      <c r="M525" t="n">
        <v>0</v>
      </c>
      <c r="N525" t="n">
        <v>0</v>
      </c>
      <c r="O525" t="n">
        <v>0</v>
      </c>
      <c r="P525" t="n">
        <v>0</v>
      </c>
      <c r="Q525" t="n">
        <v>0</v>
      </c>
      <c r="R525" s="2" t="inlineStr"/>
    </row>
    <row r="526" ht="15" customHeight="1">
      <c r="A526" t="inlineStr">
        <is>
          <t>A 60525-2022</t>
        </is>
      </c>
      <c r="B526" s="1" t="n">
        <v>44904</v>
      </c>
      <c r="C526" s="1" t="n">
        <v>46126</v>
      </c>
      <c r="D526" t="inlineStr">
        <is>
          <t>STOCKHOLMS LÄN</t>
        </is>
      </c>
      <c r="E526" t="inlineStr">
        <is>
          <t>NORRTÄLJE</t>
        </is>
      </c>
      <c r="G526" t="n">
        <v>13.4</v>
      </c>
      <c r="H526" t="n">
        <v>0</v>
      </c>
      <c r="I526" t="n">
        <v>0</v>
      </c>
      <c r="J526" t="n">
        <v>0</v>
      </c>
      <c r="K526" t="n">
        <v>0</v>
      </c>
      <c r="L526" t="n">
        <v>0</v>
      </c>
      <c r="M526" t="n">
        <v>0</v>
      </c>
      <c r="N526" t="n">
        <v>0</v>
      </c>
      <c r="O526" t="n">
        <v>0</v>
      </c>
      <c r="P526" t="n">
        <v>0</v>
      </c>
      <c r="Q526" t="n">
        <v>0</v>
      </c>
      <c r="R526" s="2" t="inlineStr"/>
    </row>
    <row r="527" ht="15" customHeight="1">
      <c r="A527" t="inlineStr">
        <is>
          <t>A 58302-2022</t>
        </is>
      </c>
      <c r="B527" s="1" t="n">
        <v>44901</v>
      </c>
      <c r="C527" s="1" t="n">
        <v>46126</v>
      </c>
      <c r="D527" t="inlineStr">
        <is>
          <t>STOCKHOLMS LÄN</t>
        </is>
      </c>
      <c r="E527" t="inlineStr">
        <is>
          <t>NORRTÄLJE</t>
        </is>
      </c>
      <c r="G527" t="n">
        <v>3.9</v>
      </c>
      <c r="H527" t="n">
        <v>0</v>
      </c>
      <c r="I527" t="n">
        <v>0</v>
      </c>
      <c r="J527" t="n">
        <v>0</v>
      </c>
      <c r="K527" t="n">
        <v>0</v>
      </c>
      <c r="L527" t="n">
        <v>0</v>
      </c>
      <c r="M527" t="n">
        <v>0</v>
      </c>
      <c r="N527" t="n">
        <v>0</v>
      </c>
      <c r="O527" t="n">
        <v>0</v>
      </c>
      <c r="P527" t="n">
        <v>0</v>
      </c>
      <c r="Q527" t="n">
        <v>0</v>
      </c>
      <c r="R527" s="2" t="inlineStr"/>
    </row>
    <row r="528" ht="15" customHeight="1">
      <c r="A528" t="inlineStr">
        <is>
          <t>A 21894-2023</t>
        </is>
      </c>
      <c r="B528" s="1" t="n">
        <v>45068.51783564815</v>
      </c>
      <c r="C528" s="1" t="n">
        <v>46126</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21771-2025</t>
        </is>
      </c>
      <c r="B529" s="1" t="n">
        <v>45783</v>
      </c>
      <c r="C529" s="1" t="n">
        <v>46126</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30719-2025</t>
        </is>
      </c>
      <c r="B530" s="1" t="n">
        <v>45831</v>
      </c>
      <c r="C530" s="1" t="n">
        <v>46126</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23269-2023</t>
        </is>
      </c>
      <c r="B531" s="1" t="n">
        <v>45075.91148148148</v>
      </c>
      <c r="C531" s="1" t="n">
        <v>46126</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23060-2023</t>
        </is>
      </c>
      <c r="B532" s="1" t="n">
        <v>45075</v>
      </c>
      <c r="C532" s="1" t="n">
        <v>46126</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44343-2025</t>
        </is>
      </c>
      <c r="B533" s="1" t="n">
        <v>45916.43378472222</v>
      </c>
      <c r="C533" s="1" t="n">
        <v>46126</v>
      </c>
      <c r="D533" t="inlineStr">
        <is>
          <t>STOCKHOLMS LÄN</t>
        </is>
      </c>
      <c r="E533" t="inlineStr">
        <is>
          <t>NORRTÄLJE</t>
        </is>
      </c>
      <c r="G533" t="n">
        <v>1.6</v>
      </c>
      <c r="H533" t="n">
        <v>0</v>
      </c>
      <c r="I533" t="n">
        <v>0</v>
      </c>
      <c r="J533" t="n">
        <v>0</v>
      </c>
      <c r="K533" t="n">
        <v>0</v>
      </c>
      <c r="L533" t="n">
        <v>0</v>
      </c>
      <c r="M533" t="n">
        <v>0</v>
      </c>
      <c r="N533" t="n">
        <v>0</v>
      </c>
      <c r="O533" t="n">
        <v>0</v>
      </c>
      <c r="P533" t="n">
        <v>0</v>
      </c>
      <c r="Q533" t="n">
        <v>0</v>
      </c>
      <c r="R533" s="2" t="inlineStr"/>
    </row>
    <row r="534" ht="15" customHeight="1">
      <c r="A534" t="inlineStr">
        <is>
          <t>A 21778-2025</t>
        </is>
      </c>
      <c r="B534" s="1" t="n">
        <v>45783.66429398148</v>
      </c>
      <c r="C534" s="1" t="n">
        <v>46126</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43916-2025</t>
        </is>
      </c>
      <c r="B535" s="1" t="n">
        <v>45914.78884259259</v>
      </c>
      <c r="C535" s="1" t="n">
        <v>46126</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44311-2025</t>
        </is>
      </c>
      <c r="B536" s="1" t="n">
        <v>45916.38394675926</v>
      </c>
      <c r="C536" s="1" t="n">
        <v>46126</v>
      </c>
      <c r="D536" t="inlineStr">
        <is>
          <t>STOCKHOLMS LÄN</t>
        </is>
      </c>
      <c r="E536" t="inlineStr">
        <is>
          <t>NORRTÄLJE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46126</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52743-2024</t>
        </is>
      </c>
      <c r="B538" s="1" t="n">
        <v>45610.47414351852</v>
      </c>
      <c r="C538" s="1" t="n">
        <v>46126</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12902-2024</t>
        </is>
      </c>
      <c r="B539" s="1" t="n">
        <v>45385.38146990741</v>
      </c>
      <c r="C539" s="1" t="n">
        <v>46126</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44354-2025</t>
        </is>
      </c>
      <c r="B540" s="1" t="n">
        <v>45916.44655092592</v>
      </c>
      <c r="C540" s="1" t="n">
        <v>46126</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39237-2024</t>
        </is>
      </c>
      <c r="B541" s="1" t="n">
        <v>45549</v>
      </c>
      <c r="C541" s="1" t="n">
        <v>46126</v>
      </c>
      <c r="D541" t="inlineStr">
        <is>
          <t>STOCKHOLMS LÄN</t>
        </is>
      </c>
      <c r="E541" t="inlineStr">
        <is>
          <t>NORRTÄLJE</t>
        </is>
      </c>
      <c r="G541" t="n">
        <v>13.3</v>
      </c>
      <c r="H541" t="n">
        <v>0</v>
      </c>
      <c r="I541" t="n">
        <v>0</v>
      </c>
      <c r="J541" t="n">
        <v>0</v>
      </c>
      <c r="K541" t="n">
        <v>0</v>
      </c>
      <c r="L541" t="n">
        <v>0</v>
      </c>
      <c r="M541" t="n">
        <v>0</v>
      </c>
      <c r="N541" t="n">
        <v>0</v>
      </c>
      <c r="O541" t="n">
        <v>0</v>
      </c>
      <c r="P541" t="n">
        <v>0</v>
      </c>
      <c r="Q541" t="n">
        <v>0</v>
      </c>
      <c r="R541" s="2" t="inlineStr"/>
    </row>
    <row r="542" ht="15" customHeight="1">
      <c r="A542" t="inlineStr">
        <is>
          <t>A 11499-2023</t>
        </is>
      </c>
      <c r="B542" s="1" t="n">
        <v>44993.66707175926</v>
      </c>
      <c r="C542" s="1" t="n">
        <v>46126</v>
      </c>
      <c r="D542" t="inlineStr">
        <is>
          <t>STOCKHOLMS LÄN</t>
        </is>
      </c>
      <c r="E542" t="inlineStr">
        <is>
          <t>NORRTÄLJE</t>
        </is>
      </c>
      <c r="F542" t="inlineStr">
        <is>
          <t>Holmen skog AB</t>
        </is>
      </c>
      <c r="G542" t="n">
        <v>2.8</v>
      </c>
      <c r="H542" t="n">
        <v>0</v>
      </c>
      <c r="I542" t="n">
        <v>0</v>
      </c>
      <c r="J542" t="n">
        <v>0</v>
      </c>
      <c r="K542" t="n">
        <v>0</v>
      </c>
      <c r="L542" t="n">
        <v>0</v>
      </c>
      <c r="M542" t="n">
        <v>0</v>
      </c>
      <c r="N542" t="n">
        <v>0</v>
      </c>
      <c r="O542" t="n">
        <v>0</v>
      </c>
      <c r="P542" t="n">
        <v>0</v>
      </c>
      <c r="Q542" t="n">
        <v>0</v>
      </c>
      <c r="R542" s="2" t="inlineStr"/>
    </row>
    <row r="543" ht="15" customHeight="1">
      <c r="A543" t="inlineStr">
        <is>
          <t>A 64600-2021</t>
        </is>
      </c>
      <c r="B543" s="1" t="n">
        <v>44511.70518518519</v>
      </c>
      <c r="C543" s="1" t="n">
        <v>46126</v>
      </c>
      <c r="D543" t="inlineStr">
        <is>
          <t>STOCKHOLMS LÄN</t>
        </is>
      </c>
      <c r="E543" t="inlineStr">
        <is>
          <t>NORRTÄLJE</t>
        </is>
      </c>
      <c r="G543" t="n">
        <v>6.2</v>
      </c>
      <c r="H543" t="n">
        <v>0</v>
      </c>
      <c r="I543" t="n">
        <v>0</v>
      </c>
      <c r="J543" t="n">
        <v>0</v>
      </c>
      <c r="K543" t="n">
        <v>0</v>
      </c>
      <c r="L543" t="n">
        <v>0</v>
      </c>
      <c r="M543" t="n">
        <v>0</v>
      </c>
      <c r="N543" t="n">
        <v>0</v>
      </c>
      <c r="O543" t="n">
        <v>0</v>
      </c>
      <c r="P543" t="n">
        <v>0</v>
      </c>
      <c r="Q543" t="n">
        <v>0</v>
      </c>
      <c r="R543" s="2" t="inlineStr"/>
    </row>
    <row r="544" ht="15" customHeight="1">
      <c r="A544" t="inlineStr">
        <is>
          <t>A 35640-2024</t>
        </is>
      </c>
      <c r="B544" s="1" t="n">
        <v>45531</v>
      </c>
      <c r="C544" s="1" t="n">
        <v>46126</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44891-2023</t>
        </is>
      </c>
      <c r="B545" s="1" t="n">
        <v>45187</v>
      </c>
      <c r="C545" s="1" t="n">
        <v>46126</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13268-2025</t>
        </is>
      </c>
      <c r="B546" s="1" t="n">
        <v>45735</v>
      </c>
      <c r="C546" s="1" t="n">
        <v>46126</v>
      </c>
      <c r="D546" t="inlineStr">
        <is>
          <t>STOCKHOLMS LÄN</t>
        </is>
      </c>
      <c r="E546" t="inlineStr">
        <is>
          <t>NORRTÄLJE</t>
        </is>
      </c>
      <c r="G546" t="n">
        <v>11.4</v>
      </c>
      <c r="H546" t="n">
        <v>0</v>
      </c>
      <c r="I546" t="n">
        <v>0</v>
      </c>
      <c r="J546" t="n">
        <v>0</v>
      </c>
      <c r="K546" t="n">
        <v>0</v>
      </c>
      <c r="L546" t="n">
        <v>0</v>
      </c>
      <c r="M546" t="n">
        <v>0</v>
      </c>
      <c r="N546" t="n">
        <v>0</v>
      </c>
      <c r="O546" t="n">
        <v>0</v>
      </c>
      <c r="P546" t="n">
        <v>0</v>
      </c>
      <c r="Q546" t="n">
        <v>0</v>
      </c>
      <c r="R546" s="2" t="inlineStr"/>
    </row>
    <row r="547" ht="15" customHeight="1">
      <c r="A547" t="inlineStr">
        <is>
          <t>A 44333-2025</t>
        </is>
      </c>
      <c r="B547" s="1" t="n">
        <v>45916.42293981482</v>
      </c>
      <c r="C547" s="1" t="n">
        <v>46126</v>
      </c>
      <c r="D547" t="inlineStr">
        <is>
          <t>STOCKHOLMS LÄN</t>
        </is>
      </c>
      <c r="E547" t="inlineStr">
        <is>
          <t>NORRTÄLJE</t>
        </is>
      </c>
      <c r="G547" t="n">
        <v>1.5</v>
      </c>
      <c r="H547" t="n">
        <v>0</v>
      </c>
      <c r="I547" t="n">
        <v>0</v>
      </c>
      <c r="J547" t="n">
        <v>0</v>
      </c>
      <c r="K547" t="n">
        <v>0</v>
      </c>
      <c r="L547" t="n">
        <v>0</v>
      </c>
      <c r="M547" t="n">
        <v>0</v>
      </c>
      <c r="N547" t="n">
        <v>0</v>
      </c>
      <c r="O547" t="n">
        <v>0</v>
      </c>
      <c r="P547" t="n">
        <v>0</v>
      </c>
      <c r="Q547" t="n">
        <v>0</v>
      </c>
      <c r="R547" s="2" t="inlineStr"/>
    </row>
    <row r="548" ht="15" customHeight="1">
      <c r="A548" t="inlineStr">
        <is>
          <t>A 8414-2025</t>
        </is>
      </c>
      <c r="B548" s="1" t="n">
        <v>45709.39361111111</v>
      </c>
      <c r="C548" s="1" t="n">
        <v>46126</v>
      </c>
      <c r="D548" t="inlineStr">
        <is>
          <t>STOCKHOLMS LÄN</t>
        </is>
      </c>
      <c r="E548" t="inlineStr">
        <is>
          <t>NORRTÄLJE</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8586-2023</t>
        </is>
      </c>
      <c r="B549" s="1" t="n">
        <v>44977</v>
      </c>
      <c r="C549" s="1" t="n">
        <v>46126</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67990-2021</t>
        </is>
      </c>
      <c r="B550" s="1" t="n">
        <v>44525</v>
      </c>
      <c r="C550" s="1" t="n">
        <v>46126</v>
      </c>
      <c r="D550" t="inlineStr">
        <is>
          <t>STOCKHOLMS LÄN</t>
        </is>
      </c>
      <c r="E550" t="inlineStr">
        <is>
          <t>NORRTÄLJE</t>
        </is>
      </c>
      <c r="F550" t="inlineStr">
        <is>
          <t>Sveaskog</t>
        </is>
      </c>
      <c r="G550" t="n">
        <v>7.8</v>
      </c>
      <c r="H550" t="n">
        <v>0</v>
      </c>
      <c r="I550" t="n">
        <v>0</v>
      </c>
      <c r="J550" t="n">
        <v>0</v>
      </c>
      <c r="K550" t="n">
        <v>0</v>
      </c>
      <c r="L550" t="n">
        <v>0</v>
      </c>
      <c r="M550" t="n">
        <v>0</v>
      </c>
      <c r="N550" t="n">
        <v>0</v>
      </c>
      <c r="O550" t="n">
        <v>0</v>
      </c>
      <c r="P550" t="n">
        <v>0</v>
      </c>
      <c r="Q550" t="n">
        <v>0</v>
      </c>
      <c r="R550" s="2" t="inlineStr"/>
    </row>
    <row r="551" ht="15" customHeight="1">
      <c r="A551" t="inlineStr">
        <is>
          <t>A 44306-2025</t>
        </is>
      </c>
      <c r="B551" s="1" t="n">
        <v>45916.37736111111</v>
      </c>
      <c r="C551" s="1" t="n">
        <v>46126</v>
      </c>
      <c r="D551" t="inlineStr">
        <is>
          <t>STOCKHOLMS LÄN</t>
        </is>
      </c>
      <c r="E551" t="inlineStr">
        <is>
          <t>NORRTÄLJE</t>
        </is>
      </c>
      <c r="G551" t="n">
        <v>2.8</v>
      </c>
      <c r="H551" t="n">
        <v>0</v>
      </c>
      <c r="I551" t="n">
        <v>0</v>
      </c>
      <c r="J551" t="n">
        <v>0</v>
      </c>
      <c r="K551" t="n">
        <v>0</v>
      </c>
      <c r="L551" t="n">
        <v>0</v>
      </c>
      <c r="M551" t="n">
        <v>0</v>
      </c>
      <c r="N551" t="n">
        <v>0</v>
      </c>
      <c r="O551" t="n">
        <v>0</v>
      </c>
      <c r="P551" t="n">
        <v>0</v>
      </c>
      <c r="Q551" t="n">
        <v>0</v>
      </c>
      <c r="R551" s="2" t="inlineStr"/>
    </row>
    <row r="552" ht="15" customHeight="1">
      <c r="A552" t="inlineStr">
        <is>
          <t>A 44032-2024</t>
        </is>
      </c>
      <c r="B552" s="1" t="n">
        <v>45572.57828703704</v>
      </c>
      <c r="C552" s="1" t="n">
        <v>46126</v>
      </c>
      <c r="D552" t="inlineStr">
        <is>
          <t>STOCKHOLMS LÄN</t>
        </is>
      </c>
      <c r="E552" t="inlineStr">
        <is>
          <t>NORRTÄLJE</t>
        </is>
      </c>
      <c r="G552" t="n">
        <v>8.6</v>
      </c>
      <c r="H552" t="n">
        <v>0</v>
      </c>
      <c r="I552" t="n">
        <v>0</v>
      </c>
      <c r="J552" t="n">
        <v>0</v>
      </c>
      <c r="K552" t="n">
        <v>0</v>
      </c>
      <c r="L552" t="n">
        <v>0</v>
      </c>
      <c r="M552" t="n">
        <v>0</v>
      </c>
      <c r="N552" t="n">
        <v>0</v>
      </c>
      <c r="O552" t="n">
        <v>0</v>
      </c>
      <c r="P552" t="n">
        <v>0</v>
      </c>
      <c r="Q552" t="n">
        <v>0</v>
      </c>
      <c r="R552" s="2" t="inlineStr"/>
    </row>
    <row r="553" ht="15" customHeight="1">
      <c r="A553" t="inlineStr">
        <is>
          <t>A 24563-2024</t>
        </is>
      </c>
      <c r="B553" s="1" t="n">
        <v>45460.44347222222</v>
      </c>
      <c r="C553" s="1" t="n">
        <v>46126</v>
      </c>
      <c r="D553" t="inlineStr">
        <is>
          <t>STOCKHOLMS LÄN</t>
        </is>
      </c>
      <c r="E553" t="inlineStr">
        <is>
          <t>NORRTÄLJE</t>
        </is>
      </c>
      <c r="G553" t="n">
        <v>1.9</v>
      </c>
      <c r="H553" t="n">
        <v>0</v>
      </c>
      <c r="I553" t="n">
        <v>0</v>
      </c>
      <c r="J553" t="n">
        <v>0</v>
      </c>
      <c r="K553" t="n">
        <v>0</v>
      </c>
      <c r="L553" t="n">
        <v>0</v>
      </c>
      <c r="M553" t="n">
        <v>0</v>
      </c>
      <c r="N553" t="n">
        <v>0</v>
      </c>
      <c r="O553" t="n">
        <v>0</v>
      </c>
      <c r="P553" t="n">
        <v>0</v>
      </c>
      <c r="Q553" t="n">
        <v>0</v>
      </c>
      <c r="R553" s="2" t="inlineStr"/>
    </row>
    <row r="554" ht="15" customHeight="1">
      <c r="A554" t="inlineStr">
        <is>
          <t>A 22202-2025</t>
        </is>
      </c>
      <c r="B554" s="1" t="n">
        <v>45785.65300925926</v>
      </c>
      <c r="C554" s="1" t="n">
        <v>46126</v>
      </c>
      <c r="D554" t="inlineStr">
        <is>
          <t>STOCKHOLMS LÄN</t>
        </is>
      </c>
      <c r="E554" t="inlineStr">
        <is>
          <t>NORRTÄLJE</t>
        </is>
      </c>
      <c r="G554" t="n">
        <v>10.2</v>
      </c>
      <c r="H554" t="n">
        <v>0</v>
      </c>
      <c r="I554" t="n">
        <v>0</v>
      </c>
      <c r="J554" t="n">
        <v>0</v>
      </c>
      <c r="K554" t="n">
        <v>0</v>
      </c>
      <c r="L554" t="n">
        <v>0</v>
      </c>
      <c r="M554" t="n">
        <v>0</v>
      </c>
      <c r="N554" t="n">
        <v>0</v>
      </c>
      <c r="O554" t="n">
        <v>0</v>
      </c>
      <c r="P554" t="n">
        <v>0</v>
      </c>
      <c r="Q554" t="n">
        <v>0</v>
      </c>
      <c r="R554" s="2" t="inlineStr"/>
    </row>
    <row r="555" ht="15" customHeight="1">
      <c r="A555" t="inlineStr">
        <is>
          <t>A 21696-2024</t>
        </is>
      </c>
      <c r="B555" s="1" t="n">
        <v>45442.45686342593</v>
      </c>
      <c r="C555" s="1" t="n">
        <v>46126</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44937-2025</t>
        </is>
      </c>
      <c r="B556" s="1" t="n">
        <v>45918</v>
      </c>
      <c r="C556" s="1" t="n">
        <v>46126</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37136-2023</t>
        </is>
      </c>
      <c r="B557" s="1" t="n">
        <v>45155</v>
      </c>
      <c r="C557" s="1" t="n">
        <v>46126</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36625-2024</t>
        </is>
      </c>
      <c r="B558" s="1" t="n">
        <v>45537</v>
      </c>
      <c r="C558" s="1" t="n">
        <v>46126</v>
      </c>
      <c r="D558" t="inlineStr">
        <is>
          <t>STOCKHOLMS LÄN</t>
        </is>
      </c>
      <c r="E558" t="inlineStr">
        <is>
          <t>NORRTÄLJE</t>
        </is>
      </c>
      <c r="G558" t="n">
        <v>3.8</v>
      </c>
      <c r="H558" t="n">
        <v>0</v>
      </c>
      <c r="I558" t="n">
        <v>0</v>
      </c>
      <c r="J558" t="n">
        <v>0</v>
      </c>
      <c r="K558" t="n">
        <v>0</v>
      </c>
      <c r="L558" t="n">
        <v>0</v>
      </c>
      <c r="M558" t="n">
        <v>0</v>
      </c>
      <c r="N558" t="n">
        <v>0</v>
      </c>
      <c r="O558" t="n">
        <v>0</v>
      </c>
      <c r="P558" t="n">
        <v>0</v>
      </c>
      <c r="Q558" t="n">
        <v>0</v>
      </c>
      <c r="R558" s="2" t="inlineStr"/>
    </row>
    <row r="559" ht="15" customHeight="1">
      <c r="A559" t="inlineStr">
        <is>
          <t>A 45746-2024</t>
        </is>
      </c>
      <c r="B559" s="1" t="n">
        <v>45579</v>
      </c>
      <c r="C559" s="1" t="n">
        <v>46126</v>
      </c>
      <c r="D559" t="inlineStr">
        <is>
          <t>STOCKHOLMS LÄN</t>
        </is>
      </c>
      <c r="E559" t="inlineStr">
        <is>
          <t>NORRTÄLJE</t>
        </is>
      </c>
      <c r="G559" t="n">
        <v>3.3</v>
      </c>
      <c r="H559" t="n">
        <v>0</v>
      </c>
      <c r="I559" t="n">
        <v>0</v>
      </c>
      <c r="J559" t="n">
        <v>0</v>
      </c>
      <c r="K559" t="n">
        <v>0</v>
      </c>
      <c r="L559" t="n">
        <v>0</v>
      </c>
      <c r="M559" t="n">
        <v>0</v>
      </c>
      <c r="N559" t="n">
        <v>0</v>
      </c>
      <c r="O559" t="n">
        <v>0</v>
      </c>
      <c r="P559" t="n">
        <v>0</v>
      </c>
      <c r="Q559" t="n">
        <v>0</v>
      </c>
      <c r="R559" s="2" t="inlineStr"/>
    </row>
    <row r="560" ht="15" customHeight="1">
      <c r="A560" t="inlineStr">
        <is>
          <t>A 21732-2023</t>
        </is>
      </c>
      <c r="B560" s="1" t="n">
        <v>45063</v>
      </c>
      <c r="C560" s="1" t="n">
        <v>46126</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1740-2023</t>
        </is>
      </c>
      <c r="B561" s="1" t="n">
        <v>44938</v>
      </c>
      <c r="C561" s="1" t="n">
        <v>46126</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22359-2025</t>
        </is>
      </c>
      <c r="B562" s="1" t="n">
        <v>45786</v>
      </c>
      <c r="C562" s="1" t="n">
        <v>46126</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8400-2024</t>
        </is>
      </c>
      <c r="B563" s="1" t="n">
        <v>45352.74090277778</v>
      </c>
      <c r="C563" s="1" t="n">
        <v>46126</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2182-2022</t>
        </is>
      </c>
      <c r="B564" s="1" t="n">
        <v>44578</v>
      </c>
      <c r="C564" s="1" t="n">
        <v>46126</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16620-2024</t>
        </is>
      </c>
      <c r="B565" s="1" t="n">
        <v>45408.57707175926</v>
      </c>
      <c r="C565" s="1" t="n">
        <v>46126</v>
      </c>
      <c r="D565" t="inlineStr">
        <is>
          <t>STOCKHOLMS LÄN</t>
        </is>
      </c>
      <c r="E565" t="inlineStr">
        <is>
          <t>NORRTÄLJE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22416-2025</t>
        </is>
      </c>
      <c r="B566" s="1" t="n">
        <v>45786.55645833333</v>
      </c>
      <c r="C566" s="1" t="n">
        <v>46126</v>
      </c>
      <c r="D566" t="inlineStr">
        <is>
          <t>STOCKHOLMS LÄN</t>
        </is>
      </c>
      <c r="E566" t="inlineStr">
        <is>
          <t>NORRTÄLJE</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58785-2024</t>
        </is>
      </c>
      <c r="B567" s="1" t="n">
        <v>45635.88849537037</v>
      </c>
      <c r="C567" s="1" t="n">
        <v>46126</v>
      </c>
      <c r="D567" t="inlineStr">
        <is>
          <t>STOCKHOLMS LÄN</t>
        </is>
      </c>
      <c r="E567" t="inlineStr">
        <is>
          <t>NORRTÄLJE</t>
        </is>
      </c>
      <c r="G567" t="n">
        <v>3.3</v>
      </c>
      <c r="H567" t="n">
        <v>0</v>
      </c>
      <c r="I567" t="n">
        <v>0</v>
      </c>
      <c r="J567" t="n">
        <v>0</v>
      </c>
      <c r="K567" t="n">
        <v>0</v>
      </c>
      <c r="L567" t="n">
        <v>0</v>
      </c>
      <c r="M567" t="n">
        <v>0</v>
      </c>
      <c r="N567" t="n">
        <v>0</v>
      </c>
      <c r="O567" t="n">
        <v>0</v>
      </c>
      <c r="P567" t="n">
        <v>0</v>
      </c>
      <c r="Q567" t="n">
        <v>0</v>
      </c>
      <c r="R567" s="2" t="inlineStr"/>
    </row>
    <row r="568" ht="15" customHeight="1">
      <c r="A568" t="inlineStr">
        <is>
          <t>A 5423-2023</t>
        </is>
      </c>
      <c r="B568" s="1" t="n">
        <v>44959.74533564815</v>
      </c>
      <c r="C568" s="1" t="n">
        <v>46126</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58492-2022</t>
        </is>
      </c>
      <c r="B569" s="1" t="n">
        <v>44902</v>
      </c>
      <c r="C569" s="1" t="n">
        <v>46126</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45697-2025</t>
        </is>
      </c>
      <c r="B570" s="1" t="n">
        <v>45923.39877314815</v>
      </c>
      <c r="C570" s="1" t="n">
        <v>46126</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35256-2025</t>
        </is>
      </c>
      <c r="B571" s="1" t="n">
        <v>45853</v>
      </c>
      <c r="C571" s="1" t="n">
        <v>46126</v>
      </c>
      <c r="D571" t="inlineStr">
        <is>
          <t>STOCKHOLMS LÄN</t>
        </is>
      </c>
      <c r="E571" t="inlineStr">
        <is>
          <t>NORRTÄLJE</t>
        </is>
      </c>
      <c r="G571" t="n">
        <v>6.4</v>
      </c>
      <c r="H571" t="n">
        <v>0</v>
      </c>
      <c r="I571" t="n">
        <v>0</v>
      </c>
      <c r="J571" t="n">
        <v>0</v>
      </c>
      <c r="K571" t="n">
        <v>0</v>
      </c>
      <c r="L571" t="n">
        <v>0</v>
      </c>
      <c r="M571" t="n">
        <v>0</v>
      </c>
      <c r="N571" t="n">
        <v>0</v>
      </c>
      <c r="O571" t="n">
        <v>0</v>
      </c>
      <c r="P571" t="n">
        <v>0</v>
      </c>
      <c r="Q571" t="n">
        <v>0</v>
      </c>
      <c r="R571" s="2" t="inlineStr"/>
    </row>
    <row r="572" ht="15" customHeight="1">
      <c r="A572" t="inlineStr">
        <is>
          <t>A 4581-2025</t>
        </is>
      </c>
      <c r="B572" s="1" t="n">
        <v>45687</v>
      </c>
      <c r="C572" s="1" t="n">
        <v>46126</v>
      </c>
      <c r="D572" t="inlineStr">
        <is>
          <t>STOCKHOLMS LÄN</t>
        </is>
      </c>
      <c r="E572" t="inlineStr">
        <is>
          <t>NORRTÄLJE</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36157-2024</t>
        </is>
      </c>
      <c r="B573" s="1" t="n">
        <v>45534.38240740741</v>
      </c>
      <c r="C573" s="1" t="n">
        <v>46126</v>
      </c>
      <c r="D573" t="inlineStr">
        <is>
          <t>STOCKHOLMS LÄN</t>
        </is>
      </c>
      <c r="E573" t="inlineStr">
        <is>
          <t>NORRTÄLJE</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62398-2022</t>
        </is>
      </c>
      <c r="B574" s="1" t="n">
        <v>44923.90159722222</v>
      </c>
      <c r="C574" s="1" t="n">
        <v>46126</v>
      </c>
      <c r="D574" t="inlineStr">
        <is>
          <t>STOCKHOLMS LÄN</t>
        </is>
      </c>
      <c r="E574" t="inlineStr">
        <is>
          <t>NORRTÄLJE</t>
        </is>
      </c>
      <c r="G574" t="n">
        <v>4</v>
      </c>
      <c r="H574" t="n">
        <v>0</v>
      </c>
      <c r="I574" t="n">
        <v>0</v>
      </c>
      <c r="J574" t="n">
        <v>0</v>
      </c>
      <c r="K574" t="n">
        <v>0</v>
      </c>
      <c r="L574" t="n">
        <v>0</v>
      </c>
      <c r="M574" t="n">
        <v>0</v>
      </c>
      <c r="N574" t="n">
        <v>0</v>
      </c>
      <c r="O574" t="n">
        <v>0</v>
      </c>
      <c r="P574" t="n">
        <v>0</v>
      </c>
      <c r="Q574" t="n">
        <v>0</v>
      </c>
      <c r="R574" s="2" t="inlineStr"/>
    </row>
    <row r="575" ht="15" customHeight="1">
      <c r="A575" t="inlineStr">
        <is>
          <t>A 46415-2025</t>
        </is>
      </c>
      <c r="B575" s="1" t="n">
        <v>45925.58636574074</v>
      </c>
      <c r="C575" s="1" t="n">
        <v>46126</v>
      </c>
      <c r="D575" t="inlineStr">
        <is>
          <t>STOCKHOLMS LÄN</t>
        </is>
      </c>
      <c r="E575" t="inlineStr">
        <is>
          <t>NORRTÄLJE</t>
        </is>
      </c>
      <c r="G575" t="n">
        <v>3.8</v>
      </c>
      <c r="H575" t="n">
        <v>0</v>
      </c>
      <c r="I575" t="n">
        <v>0</v>
      </c>
      <c r="J575" t="n">
        <v>0</v>
      </c>
      <c r="K575" t="n">
        <v>0</v>
      </c>
      <c r="L575" t="n">
        <v>0</v>
      </c>
      <c r="M575" t="n">
        <v>0</v>
      </c>
      <c r="N575" t="n">
        <v>0</v>
      </c>
      <c r="O575" t="n">
        <v>0</v>
      </c>
      <c r="P575" t="n">
        <v>0</v>
      </c>
      <c r="Q575" t="n">
        <v>0</v>
      </c>
      <c r="R575" s="2" t="inlineStr"/>
    </row>
    <row r="576" ht="15" customHeight="1">
      <c r="A576" t="inlineStr">
        <is>
          <t>A 17039-2024</t>
        </is>
      </c>
      <c r="B576" s="1" t="n">
        <v>45412.4104050926</v>
      </c>
      <c r="C576" s="1" t="n">
        <v>46126</v>
      </c>
      <c r="D576" t="inlineStr">
        <is>
          <t>STOCKHOLMS LÄN</t>
        </is>
      </c>
      <c r="E576" t="inlineStr">
        <is>
          <t>NORRTÄLJE</t>
        </is>
      </c>
      <c r="G576" t="n">
        <v>5.9</v>
      </c>
      <c r="H576" t="n">
        <v>0</v>
      </c>
      <c r="I576" t="n">
        <v>0</v>
      </c>
      <c r="J576" t="n">
        <v>0</v>
      </c>
      <c r="K576" t="n">
        <v>0</v>
      </c>
      <c r="L576" t="n">
        <v>0</v>
      </c>
      <c r="M576" t="n">
        <v>0</v>
      </c>
      <c r="N576" t="n">
        <v>0</v>
      </c>
      <c r="O576" t="n">
        <v>0</v>
      </c>
      <c r="P576" t="n">
        <v>0</v>
      </c>
      <c r="Q576" t="n">
        <v>0</v>
      </c>
      <c r="R576" s="2" t="inlineStr"/>
    </row>
    <row r="577" ht="15" customHeight="1">
      <c r="A577" t="inlineStr">
        <is>
          <t>A 3509-2022</t>
        </is>
      </c>
      <c r="B577" s="1" t="n">
        <v>44585</v>
      </c>
      <c r="C577" s="1" t="n">
        <v>46126</v>
      </c>
      <c r="D577" t="inlineStr">
        <is>
          <t>STOCKHOLMS LÄN</t>
        </is>
      </c>
      <c r="E577" t="inlineStr">
        <is>
          <t>NORRTÄLJE</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62998-2023</t>
        </is>
      </c>
      <c r="B578" s="1" t="n">
        <v>45272.64479166667</v>
      </c>
      <c r="C578" s="1" t="n">
        <v>46126</v>
      </c>
      <c r="D578" t="inlineStr">
        <is>
          <t>STOCKHOLMS LÄN</t>
        </is>
      </c>
      <c r="E578" t="inlineStr">
        <is>
          <t>NORRTÄLJE</t>
        </is>
      </c>
      <c r="G578" t="n">
        <v>16.3</v>
      </c>
      <c r="H578" t="n">
        <v>0</v>
      </c>
      <c r="I578" t="n">
        <v>0</v>
      </c>
      <c r="J578" t="n">
        <v>0</v>
      </c>
      <c r="K578" t="n">
        <v>0</v>
      </c>
      <c r="L578" t="n">
        <v>0</v>
      </c>
      <c r="M578" t="n">
        <v>0</v>
      </c>
      <c r="N578" t="n">
        <v>0</v>
      </c>
      <c r="O578" t="n">
        <v>0</v>
      </c>
      <c r="P578" t="n">
        <v>0</v>
      </c>
      <c r="Q578" t="n">
        <v>0</v>
      </c>
      <c r="R578" s="2" t="inlineStr"/>
    </row>
    <row r="579" ht="15" customHeight="1">
      <c r="A579" t="inlineStr">
        <is>
          <t>A 63015-2023</t>
        </is>
      </c>
      <c r="B579" s="1" t="n">
        <v>45272</v>
      </c>
      <c r="C579" s="1" t="n">
        <v>46126</v>
      </c>
      <c r="D579" t="inlineStr">
        <is>
          <t>STOCKHOLMS LÄN</t>
        </is>
      </c>
      <c r="E579" t="inlineStr">
        <is>
          <t>NORRTÄLJE</t>
        </is>
      </c>
      <c r="G579" t="n">
        <v>13.1</v>
      </c>
      <c r="H579" t="n">
        <v>0</v>
      </c>
      <c r="I579" t="n">
        <v>0</v>
      </c>
      <c r="J579" t="n">
        <v>0</v>
      </c>
      <c r="K579" t="n">
        <v>0</v>
      </c>
      <c r="L579" t="n">
        <v>0</v>
      </c>
      <c r="M579" t="n">
        <v>0</v>
      </c>
      <c r="N579" t="n">
        <v>0</v>
      </c>
      <c r="O579" t="n">
        <v>0</v>
      </c>
      <c r="P579" t="n">
        <v>0</v>
      </c>
      <c r="Q579" t="n">
        <v>0</v>
      </c>
      <c r="R579" s="2" t="inlineStr"/>
    </row>
    <row r="580" ht="15" customHeight="1">
      <c r="A580" t="inlineStr">
        <is>
          <t>A 7697-2025</t>
        </is>
      </c>
      <c r="B580" s="1" t="n">
        <v>45706.40086805556</v>
      </c>
      <c r="C580" s="1" t="n">
        <v>46126</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39669-2024</t>
        </is>
      </c>
      <c r="B581" s="1" t="n">
        <v>45552.52827546297</v>
      </c>
      <c r="C581" s="1" t="n">
        <v>46126</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12901-2024</t>
        </is>
      </c>
      <c r="B582" s="1" t="n">
        <v>45385.37922453704</v>
      </c>
      <c r="C582" s="1" t="n">
        <v>46126</v>
      </c>
      <c r="D582" t="inlineStr">
        <is>
          <t>STOCKHOLMS LÄN</t>
        </is>
      </c>
      <c r="E582" t="inlineStr">
        <is>
          <t>NORRTÄLJE</t>
        </is>
      </c>
      <c r="G582" t="n">
        <v>2.7</v>
      </c>
      <c r="H582" t="n">
        <v>0</v>
      </c>
      <c r="I582" t="n">
        <v>0</v>
      </c>
      <c r="J582" t="n">
        <v>0</v>
      </c>
      <c r="K582" t="n">
        <v>0</v>
      </c>
      <c r="L582" t="n">
        <v>0</v>
      </c>
      <c r="M582" t="n">
        <v>0</v>
      </c>
      <c r="N582" t="n">
        <v>0</v>
      </c>
      <c r="O582" t="n">
        <v>0</v>
      </c>
      <c r="P582" t="n">
        <v>0</v>
      </c>
      <c r="Q582" t="n">
        <v>0</v>
      </c>
      <c r="R582" s="2" t="inlineStr"/>
    </row>
    <row r="583" ht="15" customHeight="1">
      <c r="A583" t="inlineStr">
        <is>
          <t>A 12301-2025</t>
        </is>
      </c>
      <c r="B583" s="1" t="n">
        <v>45729.7271875</v>
      </c>
      <c r="C583" s="1" t="n">
        <v>46126</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8950-2025</t>
        </is>
      </c>
      <c r="B584" s="1" t="n">
        <v>45713</v>
      </c>
      <c r="C584" s="1" t="n">
        <v>46126</v>
      </c>
      <c r="D584" t="inlineStr">
        <is>
          <t>STOCKHOLMS LÄN</t>
        </is>
      </c>
      <c r="E584" t="inlineStr">
        <is>
          <t>NORRTÄLJE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20730-2024</t>
        </is>
      </c>
      <c r="B585" s="1" t="n">
        <v>45436</v>
      </c>
      <c r="C585" s="1" t="n">
        <v>46126</v>
      </c>
      <c r="D585" t="inlineStr">
        <is>
          <t>STOCKHOLMS LÄN</t>
        </is>
      </c>
      <c r="E585" t="inlineStr">
        <is>
          <t>NORRTÄLJE</t>
        </is>
      </c>
      <c r="G585" t="n">
        <v>7.3</v>
      </c>
      <c r="H585" t="n">
        <v>0</v>
      </c>
      <c r="I585" t="n">
        <v>0</v>
      </c>
      <c r="J585" t="n">
        <v>0</v>
      </c>
      <c r="K585" t="n">
        <v>0</v>
      </c>
      <c r="L585" t="n">
        <v>0</v>
      </c>
      <c r="M585" t="n">
        <v>0</v>
      </c>
      <c r="N585" t="n">
        <v>0</v>
      </c>
      <c r="O585" t="n">
        <v>0</v>
      </c>
      <c r="P585" t="n">
        <v>0</v>
      </c>
      <c r="Q585" t="n">
        <v>0</v>
      </c>
      <c r="R585" s="2" t="inlineStr"/>
    </row>
    <row r="586" ht="15" customHeight="1">
      <c r="A586" t="inlineStr">
        <is>
          <t>A 33175-2024</t>
        </is>
      </c>
      <c r="B586" s="1" t="n">
        <v>45518</v>
      </c>
      <c r="C586" s="1" t="n">
        <v>46126</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13283-2025</t>
        </is>
      </c>
      <c r="B587" s="1" t="n">
        <v>45735</v>
      </c>
      <c r="C587" s="1" t="n">
        <v>46126</v>
      </c>
      <c r="D587" t="inlineStr">
        <is>
          <t>STOCKHOLMS LÄN</t>
        </is>
      </c>
      <c r="E587" t="inlineStr">
        <is>
          <t>NORRTÄLJE</t>
        </is>
      </c>
      <c r="G587" t="n">
        <v>4.9</v>
      </c>
      <c r="H587" t="n">
        <v>0</v>
      </c>
      <c r="I587" t="n">
        <v>0</v>
      </c>
      <c r="J587" t="n">
        <v>0</v>
      </c>
      <c r="K587" t="n">
        <v>0</v>
      </c>
      <c r="L587" t="n">
        <v>0</v>
      </c>
      <c r="M587" t="n">
        <v>0</v>
      </c>
      <c r="N587" t="n">
        <v>0</v>
      </c>
      <c r="O587" t="n">
        <v>0</v>
      </c>
      <c r="P587" t="n">
        <v>0</v>
      </c>
      <c r="Q587" t="n">
        <v>0</v>
      </c>
      <c r="R587" s="2" t="inlineStr"/>
    </row>
    <row r="588" ht="15" customHeight="1">
      <c r="A588" t="inlineStr">
        <is>
          <t>A 2982-2023</t>
        </is>
      </c>
      <c r="B588" s="1" t="n">
        <v>44945.67409722223</v>
      </c>
      <c r="C588" s="1" t="n">
        <v>46126</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1448-2023</t>
        </is>
      </c>
      <c r="B589" s="1" t="n">
        <v>44937</v>
      </c>
      <c r="C589" s="1" t="n">
        <v>46126</v>
      </c>
      <c r="D589" t="inlineStr">
        <is>
          <t>STOCKHOLMS LÄN</t>
        </is>
      </c>
      <c r="E589" t="inlineStr">
        <is>
          <t>NORRTÄLJE</t>
        </is>
      </c>
      <c r="G589" t="n">
        <v>1.9</v>
      </c>
      <c r="H589" t="n">
        <v>0</v>
      </c>
      <c r="I589" t="n">
        <v>0</v>
      </c>
      <c r="J589" t="n">
        <v>0</v>
      </c>
      <c r="K589" t="n">
        <v>0</v>
      </c>
      <c r="L589" t="n">
        <v>0</v>
      </c>
      <c r="M589" t="n">
        <v>0</v>
      </c>
      <c r="N589" t="n">
        <v>0</v>
      </c>
      <c r="O589" t="n">
        <v>0</v>
      </c>
      <c r="P589" t="n">
        <v>0</v>
      </c>
      <c r="Q589" t="n">
        <v>0</v>
      </c>
      <c r="R589" s="2" t="inlineStr"/>
    </row>
    <row r="590" ht="15" customHeight="1">
      <c r="A590" t="inlineStr">
        <is>
          <t>A 7806-2025</t>
        </is>
      </c>
      <c r="B590" s="1" t="n">
        <v>45706.61178240741</v>
      </c>
      <c r="C590" s="1" t="n">
        <v>46126</v>
      </c>
      <c r="D590" t="inlineStr">
        <is>
          <t>STOCKHOLMS LÄN</t>
        </is>
      </c>
      <c r="E590" t="inlineStr">
        <is>
          <t>NORRTÄLJE</t>
        </is>
      </c>
      <c r="F590" t="inlineStr">
        <is>
          <t>Holmen skog AB</t>
        </is>
      </c>
      <c r="G590" t="n">
        <v>3.5</v>
      </c>
      <c r="H590" t="n">
        <v>0</v>
      </c>
      <c r="I590" t="n">
        <v>0</v>
      </c>
      <c r="J590" t="n">
        <v>0</v>
      </c>
      <c r="K590" t="n">
        <v>0</v>
      </c>
      <c r="L590" t="n">
        <v>0</v>
      </c>
      <c r="M590" t="n">
        <v>0</v>
      </c>
      <c r="N590" t="n">
        <v>0</v>
      </c>
      <c r="O590" t="n">
        <v>0</v>
      </c>
      <c r="P590" t="n">
        <v>0</v>
      </c>
      <c r="Q590" t="n">
        <v>0</v>
      </c>
      <c r="R590" s="2" t="inlineStr"/>
    </row>
    <row r="591" ht="15" customHeight="1">
      <c r="A591" t="inlineStr">
        <is>
          <t>A 35127-2023</t>
        </is>
      </c>
      <c r="B591" s="1" t="n">
        <v>45145.51</v>
      </c>
      <c r="C591" s="1" t="n">
        <v>46126</v>
      </c>
      <c r="D591" t="inlineStr">
        <is>
          <t>STOCKHOLMS LÄN</t>
        </is>
      </c>
      <c r="E591" t="inlineStr">
        <is>
          <t>NORRTÄLJE</t>
        </is>
      </c>
      <c r="G591" t="n">
        <v>4.7</v>
      </c>
      <c r="H591" t="n">
        <v>0</v>
      </c>
      <c r="I591" t="n">
        <v>0</v>
      </c>
      <c r="J591" t="n">
        <v>0</v>
      </c>
      <c r="K591" t="n">
        <v>0</v>
      </c>
      <c r="L591" t="n">
        <v>0</v>
      </c>
      <c r="M591" t="n">
        <v>0</v>
      </c>
      <c r="N591" t="n">
        <v>0</v>
      </c>
      <c r="O591" t="n">
        <v>0</v>
      </c>
      <c r="P591" t="n">
        <v>0</v>
      </c>
      <c r="Q591" t="n">
        <v>0</v>
      </c>
      <c r="R591" s="2" t="inlineStr"/>
    </row>
    <row r="592" ht="15" customHeight="1">
      <c r="A592" t="inlineStr">
        <is>
          <t>A 27831-2024</t>
        </is>
      </c>
      <c r="B592" s="1" t="n">
        <v>45475.61896990741</v>
      </c>
      <c r="C592" s="1" t="n">
        <v>46126</v>
      </c>
      <c r="D592" t="inlineStr">
        <is>
          <t>STOCKHOLMS LÄN</t>
        </is>
      </c>
      <c r="E592" t="inlineStr">
        <is>
          <t>NORRTÄLJE</t>
        </is>
      </c>
      <c r="G592" t="n">
        <v>3.8</v>
      </c>
      <c r="H592" t="n">
        <v>0</v>
      </c>
      <c r="I592" t="n">
        <v>0</v>
      </c>
      <c r="J592" t="n">
        <v>0</v>
      </c>
      <c r="K592" t="n">
        <v>0</v>
      </c>
      <c r="L592" t="n">
        <v>0</v>
      </c>
      <c r="M592" t="n">
        <v>0</v>
      </c>
      <c r="N592" t="n">
        <v>0</v>
      </c>
      <c r="O592" t="n">
        <v>0</v>
      </c>
      <c r="P592" t="n">
        <v>0</v>
      </c>
      <c r="Q592" t="n">
        <v>0</v>
      </c>
      <c r="R592" s="2" t="inlineStr"/>
    </row>
    <row r="593" ht="15" customHeight="1">
      <c r="A593" t="inlineStr">
        <is>
          <t>A 50136-2023</t>
        </is>
      </c>
      <c r="B593" s="1" t="n">
        <v>45215</v>
      </c>
      <c r="C593" s="1" t="n">
        <v>46126</v>
      </c>
      <c r="D593" t="inlineStr">
        <is>
          <t>STOCKHOLMS LÄN</t>
        </is>
      </c>
      <c r="E593" t="inlineStr">
        <is>
          <t>NORRTÄLJE</t>
        </is>
      </c>
      <c r="G593" t="n">
        <v>5.2</v>
      </c>
      <c r="H593" t="n">
        <v>0</v>
      </c>
      <c r="I593" t="n">
        <v>0</v>
      </c>
      <c r="J593" t="n">
        <v>0</v>
      </c>
      <c r="K593" t="n">
        <v>0</v>
      </c>
      <c r="L593" t="n">
        <v>0</v>
      </c>
      <c r="M593" t="n">
        <v>0</v>
      </c>
      <c r="N593" t="n">
        <v>0</v>
      </c>
      <c r="O593" t="n">
        <v>0</v>
      </c>
      <c r="P593" t="n">
        <v>0</v>
      </c>
      <c r="Q593" t="n">
        <v>0</v>
      </c>
      <c r="R593" s="2" t="inlineStr"/>
    </row>
    <row r="594" ht="15" customHeight="1">
      <c r="A594" t="inlineStr">
        <is>
          <t>A 11229-2022</t>
        </is>
      </c>
      <c r="B594" s="1" t="n">
        <v>44629</v>
      </c>
      <c r="C594" s="1" t="n">
        <v>46126</v>
      </c>
      <c r="D594" t="inlineStr">
        <is>
          <t>STOCKHOLMS LÄN</t>
        </is>
      </c>
      <c r="E594" t="inlineStr">
        <is>
          <t>NORRTÄLJE</t>
        </is>
      </c>
      <c r="F594" t="inlineStr">
        <is>
          <t>Övriga Aktiebolag</t>
        </is>
      </c>
      <c r="G594" t="n">
        <v>4.1</v>
      </c>
      <c r="H594" t="n">
        <v>0</v>
      </c>
      <c r="I594" t="n">
        <v>0</v>
      </c>
      <c r="J594" t="n">
        <v>0</v>
      </c>
      <c r="K594" t="n">
        <v>0</v>
      </c>
      <c r="L594" t="n">
        <v>0</v>
      </c>
      <c r="M594" t="n">
        <v>0</v>
      </c>
      <c r="N594" t="n">
        <v>0</v>
      </c>
      <c r="O594" t="n">
        <v>0</v>
      </c>
      <c r="P594" t="n">
        <v>0</v>
      </c>
      <c r="Q594" t="n">
        <v>0</v>
      </c>
      <c r="R594" s="2" t="inlineStr"/>
    </row>
    <row r="595" ht="15" customHeight="1">
      <c r="A595" t="inlineStr">
        <is>
          <t>A 47460-2025</t>
        </is>
      </c>
      <c r="B595" s="1" t="n">
        <v>45930.66012731481</v>
      </c>
      <c r="C595" s="1" t="n">
        <v>46126</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9654-2022</t>
        </is>
      </c>
      <c r="B596" s="1" t="n">
        <v>44617</v>
      </c>
      <c r="C596" s="1" t="n">
        <v>46126</v>
      </c>
      <c r="D596" t="inlineStr">
        <is>
          <t>STOCKHOLMS LÄN</t>
        </is>
      </c>
      <c r="E596" t="inlineStr">
        <is>
          <t>NORRTÄLJE</t>
        </is>
      </c>
      <c r="G596" t="n">
        <v>6.4</v>
      </c>
      <c r="H596" t="n">
        <v>0</v>
      </c>
      <c r="I596" t="n">
        <v>0</v>
      </c>
      <c r="J596" t="n">
        <v>0</v>
      </c>
      <c r="K596" t="n">
        <v>0</v>
      </c>
      <c r="L596" t="n">
        <v>0</v>
      </c>
      <c r="M596" t="n">
        <v>0</v>
      </c>
      <c r="N596" t="n">
        <v>0</v>
      </c>
      <c r="O596" t="n">
        <v>0</v>
      </c>
      <c r="P596" t="n">
        <v>0</v>
      </c>
      <c r="Q596" t="n">
        <v>0</v>
      </c>
      <c r="R596" s="2" t="inlineStr"/>
    </row>
    <row r="597" ht="15" customHeight="1">
      <c r="A597" t="inlineStr">
        <is>
          <t>A 5389-2025</t>
        </is>
      </c>
      <c r="B597" s="1" t="n">
        <v>45692</v>
      </c>
      <c r="C597" s="1" t="n">
        <v>46126</v>
      </c>
      <c r="D597" t="inlineStr">
        <is>
          <t>STOCKHOLMS LÄN</t>
        </is>
      </c>
      <c r="E597" t="inlineStr">
        <is>
          <t>NORRTÄLJE</t>
        </is>
      </c>
      <c r="G597" t="n">
        <v>0.8</v>
      </c>
      <c r="H597" t="n">
        <v>0</v>
      </c>
      <c r="I597" t="n">
        <v>0</v>
      </c>
      <c r="J597" t="n">
        <v>0</v>
      </c>
      <c r="K597" t="n">
        <v>0</v>
      </c>
      <c r="L597" t="n">
        <v>0</v>
      </c>
      <c r="M597" t="n">
        <v>0</v>
      </c>
      <c r="N597" t="n">
        <v>0</v>
      </c>
      <c r="O597" t="n">
        <v>0</v>
      </c>
      <c r="P597" t="n">
        <v>0</v>
      </c>
      <c r="Q597" t="n">
        <v>0</v>
      </c>
      <c r="R597" s="2" t="inlineStr"/>
    </row>
    <row r="598" ht="15" customHeight="1">
      <c r="A598" t="inlineStr">
        <is>
          <t>A 37147-2023</t>
        </is>
      </c>
      <c r="B598" s="1" t="n">
        <v>45155</v>
      </c>
      <c r="C598" s="1" t="n">
        <v>46126</v>
      </c>
      <c r="D598" t="inlineStr">
        <is>
          <t>STOCKHOLMS LÄN</t>
        </is>
      </c>
      <c r="E598" t="inlineStr">
        <is>
          <t>NORRTÄLJE</t>
        </is>
      </c>
      <c r="G598" t="n">
        <v>8</v>
      </c>
      <c r="H598" t="n">
        <v>0</v>
      </c>
      <c r="I598" t="n">
        <v>0</v>
      </c>
      <c r="J598" t="n">
        <v>0</v>
      </c>
      <c r="K598" t="n">
        <v>0</v>
      </c>
      <c r="L598" t="n">
        <v>0</v>
      </c>
      <c r="M598" t="n">
        <v>0</v>
      </c>
      <c r="N598" t="n">
        <v>0</v>
      </c>
      <c r="O598" t="n">
        <v>0</v>
      </c>
      <c r="P598" t="n">
        <v>0</v>
      </c>
      <c r="Q598" t="n">
        <v>0</v>
      </c>
      <c r="R598" s="2" t="inlineStr"/>
    </row>
    <row r="599" ht="15" customHeight="1">
      <c r="A599" t="inlineStr">
        <is>
          <t>A 59499-2023</t>
        </is>
      </c>
      <c r="B599" s="1" t="n">
        <v>45254</v>
      </c>
      <c r="C599" s="1" t="n">
        <v>46126</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46900-2025</t>
        </is>
      </c>
      <c r="B600" s="1" t="n">
        <v>45929.38712962963</v>
      </c>
      <c r="C600" s="1" t="n">
        <v>46126</v>
      </c>
      <c r="D600" t="inlineStr">
        <is>
          <t>STOCKHOLMS LÄN</t>
        </is>
      </c>
      <c r="E600" t="inlineStr">
        <is>
          <t>NORRTÄLJE</t>
        </is>
      </c>
      <c r="F600" t="inlineStr">
        <is>
          <t>Holmen skog AB</t>
        </is>
      </c>
      <c r="G600" t="n">
        <v>6.2</v>
      </c>
      <c r="H600" t="n">
        <v>0</v>
      </c>
      <c r="I600" t="n">
        <v>0</v>
      </c>
      <c r="J600" t="n">
        <v>0</v>
      </c>
      <c r="K600" t="n">
        <v>0</v>
      </c>
      <c r="L600" t="n">
        <v>0</v>
      </c>
      <c r="M600" t="n">
        <v>0</v>
      </c>
      <c r="N600" t="n">
        <v>0</v>
      </c>
      <c r="O600" t="n">
        <v>0</v>
      </c>
      <c r="P600" t="n">
        <v>0</v>
      </c>
      <c r="Q600" t="n">
        <v>0</v>
      </c>
      <c r="R600" s="2" t="inlineStr"/>
    </row>
    <row r="601" ht="15" customHeight="1">
      <c r="A601" t="inlineStr">
        <is>
          <t>A 60654-2023</t>
        </is>
      </c>
      <c r="B601" s="1" t="n">
        <v>45260.43225694444</v>
      </c>
      <c r="C601" s="1" t="n">
        <v>46126</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60656-2023</t>
        </is>
      </c>
      <c r="B602" s="1" t="n">
        <v>45260.4333449074</v>
      </c>
      <c r="C602" s="1" t="n">
        <v>46126</v>
      </c>
      <c r="D602" t="inlineStr">
        <is>
          <t>STOCKHOLMS LÄN</t>
        </is>
      </c>
      <c r="E602" t="inlineStr">
        <is>
          <t>NORRTÄLJE</t>
        </is>
      </c>
      <c r="G602" t="n">
        <v>4.8</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46126</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21803-2022</t>
        </is>
      </c>
      <c r="B604" s="1" t="n">
        <v>44708.67822916667</v>
      </c>
      <c r="C604" s="1" t="n">
        <v>46126</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47498-2025</t>
        </is>
      </c>
      <c r="B605" s="1" t="n">
        <v>45930.8134375</v>
      </c>
      <c r="C605" s="1" t="n">
        <v>46126</v>
      </c>
      <c r="D605" t="inlineStr">
        <is>
          <t>STOCKHOLMS LÄN</t>
        </is>
      </c>
      <c r="E605" t="inlineStr">
        <is>
          <t>NORRTÄLJE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24687-2025</t>
        </is>
      </c>
      <c r="B606" s="1" t="n">
        <v>45798.66767361111</v>
      </c>
      <c r="C606" s="1" t="n">
        <v>46126</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47496-2025</t>
        </is>
      </c>
      <c r="B607" s="1" t="n">
        <v>45930.79252314815</v>
      </c>
      <c r="C607" s="1" t="n">
        <v>46126</v>
      </c>
      <c r="D607" t="inlineStr">
        <is>
          <t>STOCKHOLMS LÄN</t>
        </is>
      </c>
      <c r="E607" t="inlineStr">
        <is>
          <t>NORRTÄLJE</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47497-2025</t>
        </is>
      </c>
      <c r="B608" s="1" t="n">
        <v>45930.80217592593</v>
      </c>
      <c r="C608" s="1" t="n">
        <v>46126</v>
      </c>
      <c r="D608" t="inlineStr">
        <is>
          <t>STOCKHOLMS LÄN</t>
        </is>
      </c>
      <c r="E608" t="inlineStr">
        <is>
          <t>NORRTÄLJE</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24690-2025</t>
        </is>
      </c>
      <c r="B609" s="1" t="n">
        <v>45798.67082175926</v>
      </c>
      <c r="C609" s="1" t="n">
        <v>46126</v>
      </c>
      <c r="D609" t="inlineStr">
        <is>
          <t>STOCKHOLMS LÄN</t>
        </is>
      </c>
      <c r="E609" t="inlineStr">
        <is>
          <t>NORRTÄLJE</t>
        </is>
      </c>
      <c r="G609" t="n">
        <v>1</v>
      </c>
      <c r="H609" t="n">
        <v>0</v>
      </c>
      <c r="I609" t="n">
        <v>0</v>
      </c>
      <c r="J609" t="n">
        <v>0</v>
      </c>
      <c r="K609" t="n">
        <v>0</v>
      </c>
      <c r="L609" t="n">
        <v>0</v>
      </c>
      <c r="M609" t="n">
        <v>0</v>
      </c>
      <c r="N609" t="n">
        <v>0</v>
      </c>
      <c r="O609" t="n">
        <v>0</v>
      </c>
      <c r="P609" t="n">
        <v>0</v>
      </c>
      <c r="Q609" t="n">
        <v>0</v>
      </c>
      <c r="R609" s="2" t="inlineStr"/>
    </row>
    <row r="610" ht="15" customHeight="1">
      <c r="A610" t="inlineStr">
        <is>
          <t>A 24638-2025</t>
        </is>
      </c>
      <c r="B610" s="1" t="n">
        <v>45798</v>
      </c>
      <c r="C610" s="1" t="n">
        <v>46126</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24351-2025</t>
        </is>
      </c>
      <c r="B611" s="1" t="n">
        <v>45797.58399305555</v>
      </c>
      <c r="C611" s="1" t="n">
        <v>46126</v>
      </c>
      <c r="D611" t="inlineStr">
        <is>
          <t>STOCKHOLMS LÄN</t>
        </is>
      </c>
      <c r="E611" t="inlineStr">
        <is>
          <t>NORRTÄLJE</t>
        </is>
      </c>
      <c r="G611" t="n">
        <v>1.5</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46126</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48718-2025</t>
        </is>
      </c>
      <c r="B613" s="1" t="n">
        <v>45936</v>
      </c>
      <c r="C613" s="1" t="n">
        <v>46126</v>
      </c>
      <c r="D613" t="inlineStr">
        <is>
          <t>STOCKHOLMS LÄN</t>
        </is>
      </c>
      <c r="E613" t="inlineStr">
        <is>
          <t>NORRTÄLJE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48180-2023</t>
        </is>
      </c>
      <c r="B614" s="1" t="n">
        <v>45205</v>
      </c>
      <c r="C614" s="1" t="n">
        <v>46126</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57353-2024</t>
        </is>
      </c>
      <c r="B615" s="1" t="n">
        <v>45629.65143518519</v>
      </c>
      <c r="C615" s="1" t="n">
        <v>46126</v>
      </c>
      <c r="D615" t="inlineStr">
        <is>
          <t>STOCKHOLMS LÄN</t>
        </is>
      </c>
      <c r="E615" t="inlineStr">
        <is>
          <t>NORRTÄLJE</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48360-2025</t>
        </is>
      </c>
      <c r="B616" s="1" t="n">
        <v>45933.66253472222</v>
      </c>
      <c r="C616" s="1" t="n">
        <v>46126</v>
      </c>
      <c r="D616" t="inlineStr">
        <is>
          <t>STOCKHOLMS LÄN</t>
        </is>
      </c>
      <c r="E616" t="inlineStr">
        <is>
          <t>NORRTÄLJE</t>
        </is>
      </c>
      <c r="G616" t="n">
        <v>4.1</v>
      </c>
      <c r="H616" t="n">
        <v>0</v>
      </c>
      <c r="I616" t="n">
        <v>0</v>
      </c>
      <c r="J616" t="n">
        <v>0</v>
      </c>
      <c r="K616" t="n">
        <v>0</v>
      </c>
      <c r="L616" t="n">
        <v>0</v>
      </c>
      <c r="M616" t="n">
        <v>0</v>
      </c>
      <c r="N616" t="n">
        <v>0</v>
      </c>
      <c r="O616" t="n">
        <v>0</v>
      </c>
      <c r="P616" t="n">
        <v>0</v>
      </c>
      <c r="Q616" t="n">
        <v>0</v>
      </c>
      <c r="R616" s="2" t="inlineStr"/>
    </row>
    <row r="617" ht="15" customHeight="1">
      <c r="A617" t="inlineStr">
        <is>
          <t>A 48370-2025</t>
        </is>
      </c>
      <c r="B617" s="1" t="n">
        <v>45933.67854166667</v>
      </c>
      <c r="C617" s="1" t="n">
        <v>46126</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55696-2022</t>
        </is>
      </c>
      <c r="B618" s="1" t="n">
        <v>44888</v>
      </c>
      <c r="C618" s="1" t="n">
        <v>46126</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48443-2025</t>
        </is>
      </c>
      <c r="B619" s="1" t="n">
        <v>45935.55326388889</v>
      </c>
      <c r="C619" s="1" t="n">
        <v>46126</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50907-2022</t>
        </is>
      </c>
      <c r="B620" s="1" t="n">
        <v>44867.62090277778</v>
      </c>
      <c r="C620" s="1" t="n">
        <v>46126</v>
      </c>
      <c r="D620" t="inlineStr">
        <is>
          <t>STOCKHOLMS LÄN</t>
        </is>
      </c>
      <c r="E620" t="inlineStr">
        <is>
          <t>NORRTÄLJE</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6919-2025</t>
        </is>
      </c>
      <c r="B621" s="1" t="n">
        <v>45701.44372685185</v>
      </c>
      <c r="C621" s="1" t="n">
        <v>46126</v>
      </c>
      <c r="D621" t="inlineStr">
        <is>
          <t>STOCKHOLMS LÄN</t>
        </is>
      </c>
      <c r="E621" t="inlineStr">
        <is>
          <t>NORRTÄLJE</t>
        </is>
      </c>
      <c r="G621" t="n">
        <v>3.5</v>
      </c>
      <c r="H621" t="n">
        <v>0</v>
      </c>
      <c r="I621" t="n">
        <v>0</v>
      </c>
      <c r="J621" t="n">
        <v>0</v>
      </c>
      <c r="K621" t="n">
        <v>0</v>
      </c>
      <c r="L621" t="n">
        <v>0</v>
      </c>
      <c r="M621" t="n">
        <v>0</v>
      </c>
      <c r="N621" t="n">
        <v>0</v>
      </c>
      <c r="O621" t="n">
        <v>0</v>
      </c>
      <c r="P621" t="n">
        <v>0</v>
      </c>
      <c r="Q621" t="n">
        <v>0</v>
      </c>
      <c r="R621" s="2" t="inlineStr"/>
    </row>
    <row r="622" ht="15" customHeight="1">
      <c r="A622" t="inlineStr">
        <is>
          <t>A 53362-2023</t>
        </is>
      </c>
      <c r="B622" s="1" t="n">
        <v>45223</v>
      </c>
      <c r="C622" s="1" t="n">
        <v>46126</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48127-2025</t>
        </is>
      </c>
      <c r="B623" s="1" t="n">
        <v>45933.36621527778</v>
      </c>
      <c r="C623" s="1" t="n">
        <v>46126</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48364-2025</t>
        </is>
      </c>
      <c r="B624" s="1" t="n">
        <v>45933.66796296297</v>
      </c>
      <c r="C624" s="1" t="n">
        <v>46126</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28603-2024</t>
        </is>
      </c>
      <c r="B625" s="1" t="n">
        <v>45478.42887731481</v>
      </c>
      <c r="C625" s="1" t="n">
        <v>46126</v>
      </c>
      <c r="D625" t="inlineStr">
        <is>
          <t>STOCKHOLMS LÄN</t>
        </is>
      </c>
      <c r="E625" t="inlineStr">
        <is>
          <t>NORRTÄLJE</t>
        </is>
      </c>
      <c r="G625" t="n">
        <v>5.6</v>
      </c>
      <c r="H625" t="n">
        <v>0</v>
      </c>
      <c r="I625" t="n">
        <v>0</v>
      </c>
      <c r="J625" t="n">
        <v>0</v>
      </c>
      <c r="K625" t="n">
        <v>0</v>
      </c>
      <c r="L625" t="n">
        <v>0</v>
      </c>
      <c r="M625" t="n">
        <v>0</v>
      </c>
      <c r="N625" t="n">
        <v>0</v>
      </c>
      <c r="O625" t="n">
        <v>0</v>
      </c>
      <c r="P625" t="n">
        <v>0</v>
      </c>
      <c r="Q625" t="n">
        <v>0</v>
      </c>
      <c r="R625" s="2" t="inlineStr"/>
    </row>
    <row r="626" ht="15" customHeight="1">
      <c r="A626" t="inlineStr">
        <is>
          <t>A 48179-2025</t>
        </is>
      </c>
      <c r="B626" s="1" t="n">
        <v>45933.44907407407</v>
      </c>
      <c r="C626" s="1" t="n">
        <v>46126</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25702-2025</t>
        </is>
      </c>
      <c r="B627" s="1" t="n">
        <v>45800</v>
      </c>
      <c r="C627" s="1" t="n">
        <v>46126</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25721-2025</t>
        </is>
      </c>
      <c r="B628" s="1" t="n">
        <v>45800</v>
      </c>
      <c r="C628" s="1" t="n">
        <v>46126</v>
      </c>
      <c r="D628" t="inlineStr">
        <is>
          <t>STOCKHOLMS LÄN</t>
        </is>
      </c>
      <c r="E628" t="inlineStr">
        <is>
          <t>NORRTÄLJE</t>
        </is>
      </c>
      <c r="G628" t="n">
        <v>6</v>
      </c>
      <c r="H628" t="n">
        <v>0</v>
      </c>
      <c r="I628" t="n">
        <v>0</v>
      </c>
      <c r="J628" t="n">
        <v>0</v>
      </c>
      <c r="K628" t="n">
        <v>0</v>
      </c>
      <c r="L628" t="n">
        <v>0</v>
      </c>
      <c r="M628" t="n">
        <v>0</v>
      </c>
      <c r="N628" t="n">
        <v>0</v>
      </c>
      <c r="O628" t="n">
        <v>0</v>
      </c>
      <c r="P628" t="n">
        <v>0</v>
      </c>
      <c r="Q628" t="n">
        <v>0</v>
      </c>
      <c r="R628" s="2" t="inlineStr"/>
    </row>
    <row r="629" ht="15" customHeight="1">
      <c r="A629" t="inlineStr">
        <is>
          <t>A 48174-2025</t>
        </is>
      </c>
      <c r="B629" s="1" t="n">
        <v>45933.44230324074</v>
      </c>
      <c r="C629" s="1" t="n">
        <v>46126</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8433-2022</t>
        </is>
      </c>
      <c r="B630" s="1" t="n">
        <v>44611</v>
      </c>
      <c r="C630" s="1" t="n">
        <v>46126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48593-2025</t>
        </is>
      </c>
      <c r="B631" s="1" t="n">
        <v>45936.4627662037</v>
      </c>
      <c r="C631" s="1" t="n">
        <v>46126</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10215-2023</t>
        </is>
      </c>
      <c r="B632" s="1" t="n">
        <v>44986.5887962963</v>
      </c>
      <c r="C632" s="1" t="n">
        <v>46126</v>
      </c>
      <c r="D632" t="inlineStr">
        <is>
          <t>STOCKHOLMS LÄN</t>
        </is>
      </c>
      <c r="E632" t="inlineStr">
        <is>
          <t>NORRTÄLJE</t>
        </is>
      </c>
      <c r="G632" t="n">
        <v>6.5</v>
      </c>
      <c r="H632" t="n">
        <v>0</v>
      </c>
      <c r="I632" t="n">
        <v>0</v>
      </c>
      <c r="J632" t="n">
        <v>0</v>
      </c>
      <c r="K632" t="n">
        <v>0</v>
      </c>
      <c r="L632" t="n">
        <v>0</v>
      </c>
      <c r="M632" t="n">
        <v>0</v>
      </c>
      <c r="N632" t="n">
        <v>0</v>
      </c>
      <c r="O632" t="n">
        <v>0</v>
      </c>
      <c r="P632" t="n">
        <v>0</v>
      </c>
      <c r="Q632" t="n">
        <v>0</v>
      </c>
      <c r="R632" s="2" t="inlineStr"/>
    </row>
    <row r="633" ht="15" customHeight="1">
      <c r="A633" t="inlineStr">
        <is>
          <t>A 49129-2025</t>
        </is>
      </c>
      <c r="B633" s="1" t="n">
        <v>45937.89517361111</v>
      </c>
      <c r="C633" s="1" t="n">
        <v>46126</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25733-2025</t>
        </is>
      </c>
      <c r="B634" s="1" t="n">
        <v>45800</v>
      </c>
      <c r="C634" s="1" t="n">
        <v>46126</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25571-2025</t>
        </is>
      </c>
      <c r="B635" s="1" t="n">
        <v>45803.4675</v>
      </c>
      <c r="C635" s="1" t="n">
        <v>46126</v>
      </c>
      <c r="D635" t="inlineStr">
        <is>
          <t>STOCKHOLMS LÄN</t>
        </is>
      </c>
      <c r="E635" t="inlineStr">
        <is>
          <t>NORRTÄLJE</t>
        </is>
      </c>
      <c r="G635" t="n">
        <v>5.4</v>
      </c>
      <c r="H635" t="n">
        <v>0</v>
      </c>
      <c r="I635" t="n">
        <v>0</v>
      </c>
      <c r="J635" t="n">
        <v>0</v>
      </c>
      <c r="K635" t="n">
        <v>0</v>
      </c>
      <c r="L635" t="n">
        <v>0</v>
      </c>
      <c r="M635" t="n">
        <v>0</v>
      </c>
      <c r="N635" t="n">
        <v>0</v>
      </c>
      <c r="O635" t="n">
        <v>0</v>
      </c>
      <c r="P635" t="n">
        <v>0</v>
      </c>
      <c r="Q635" t="n">
        <v>0</v>
      </c>
      <c r="R635" s="2" t="inlineStr"/>
    </row>
    <row r="636" ht="15" customHeight="1">
      <c r="A636" t="inlineStr">
        <is>
          <t>A 48780-2025</t>
        </is>
      </c>
      <c r="B636" s="1" t="n">
        <v>45937.30377314815</v>
      </c>
      <c r="C636" s="1" t="n">
        <v>46126</v>
      </c>
      <c r="D636" t="inlineStr">
        <is>
          <t>STOCKHOLMS LÄN</t>
        </is>
      </c>
      <c r="E636" t="inlineStr">
        <is>
          <t>NORRTÄLJE</t>
        </is>
      </c>
      <c r="G636" t="n">
        <v>7.7</v>
      </c>
      <c r="H636" t="n">
        <v>0</v>
      </c>
      <c r="I636" t="n">
        <v>0</v>
      </c>
      <c r="J636" t="n">
        <v>0</v>
      </c>
      <c r="K636" t="n">
        <v>0</v>
      </c>
      <c r="L636" t="n">
        <v>0</v>
      </c>
      <c r="M636" t="n">
        <v>0</v>
      </c>
      <c r="N636" t="n">
        <v>0</v>
      </c>
      <c r="O636" t="n">
        <v>0</v>
      </c>
      <c r="P636" t="n">
        <v>0</v>
      </c>
      <c r="Q636" t="n">
        <v>0</v>
      </c>
      <c r="R636" s="2" t="inlineStr"/>
    </row>
    <row r="637" ht="15" customHeight="1">
      <c r="A637" t="inlineStr">
        <is>
          <t>A 45173-2023</t>
        </is>
      </c>
      <c r="B637" s="1" t="n">
        <v>45191</v>
      </c>
      <c r="C637" s="1" t="n">
        <v>46126</v>
      </c>
      <c r="D637" t="inlineStr">
        <is>
          <t>STOCKHOLMS LÄN</t>
        </is>
      </c>
      <c r="E637" t="inlineStr">
        <is>
          <t>NORRTÄLJE</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53561-2023</t>
        </is>
      </c>
      <c r="B638" s="1" t="n">
        <v>45224</v>
      </c>
      <c r="C638" s="1" t="n">
        <v>46126</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14127-2025</t>
        </is>
      </c>
      <c r="B639" s="1" t="n">
        <v>45740.47055555556</v>
      </c>
      <c r="C639" s="1" t="n">
        <v>46126</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31559-2022</t>
        </is>
      </c>
      <c r="B640" s="1" t="n">
        <v>44775</v>
      </c>
      <c r="C640" s="1" t="n">
        <v>46126</v>
      </c>
      <c r="D640" t="inlineStr">
        <is>
          <t>STOCKHOLMS LÄN</t>
        </is>
      </c>
      <c r="E640" t="inlineStr">
        <is>
          <t>NORRTÄLJE</t>
        </is>
      </c>
      <c r="G640" t="n">
        <v>5.6</v>
      </c>
      <c r="H640" t="n">
        <v>0</v>
      </c>
      <c r="I640" t="n">
        <v>0</v>
      </c>
      <c r="J640" t="n">
        <v>0</v>
      </c>
      <c r="K640" t="n">
        <v>0</v>
      </c>
      <c r="L640" t="n">
        <v>0</v>
      </c>
      <c r="M640" t="n">
        <v>0</v>
      </c>
      <c r="N640" t="n">
        <v>0</v>
      </c>
      <c r="O640" t="n">
        <v>0</v>
      </c>
      <c r="P640" t="n">
        <v>0</v>
      </c>
      <c r="Q640" t="n">
        <v>0</v>
      </c>
      <c r="R640" s="2" t="inlineStr"/>
    </row>
    <row r="641" ht="15" customHeight="1">
      <c r="A641" t="inlineStr">
        <is>
          <t>A 25712-2025</t>
        </is>
      </c>
      <c r="B641" s="1" t="n">
        <v>45803.69228009259</v>
      </c>
      <c r="C641" s="1" t="n">
        <v>46126</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41218-2024</t>
        </is>
      </c>
      <c r="B642" s="1" t="n">
        <v>45559.54706018518</v>
      </c>
      <c r="C642" s="1" t="n">
        <v>46126</v>
      </c>
      <c r="D642" t="inlineStr">
        <is>
          <t>STOCKHOLMS LÄN</t>
        </is>
      </c>
      <c r="E642" t="inlineStr">
        <is>
          <t>NORRTÄLJE</t>
        </is>
      </c>
      <c r="G642" t="n">
        <v>6</v>
      </c>
      <c r="H642" t="n">
        <v>0</v>
      </c>
      <c r="I642" t="n">
        <v>0</v>
      </c>
      <c r="J642" t="n">
        <v>0</v>
      </c>
      <c r="K642" t="n">
        <v>0</v>
      </c>
      <c r="L642" t="n">
        <v>0</v>
      </c>
      <c r="M642" t="n">
        <v>0</v>
      </c>
      <c r="N642" t="n">
        <v>0</v>
      </c>
      <c r="O642" t="n">
        <v>0</v>
      </c>
      <c r="P642" t="n">
        <v>0</v>
      </c>
      <c r="Q642" t="n">
        <v>0</v>
      </c>
      <c r="R642" s="2" t="inlineStr"/>
    </row>
    <row r="643" ht="15" customHeight="1">
      <c r="A643" t="inlineStr">
        <is>
          <t>A 26051-2025</t>
        </is>
      </c>
      <c r="B643" s="1" t="n">
        <v>45804.74479166666</v>
      </c>
      <c r="C643" s="1" t="n">
        <v>46126</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39238-2024</t>
        </is>
      </c>
      <c r="B644" s="1" t="n">
        <v>45549</v>
      </c>
      <c r="C644" s="1" t="n">
        <v>46126</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38449-2022</t>
        </is>
      </c>
      <c r="B645" s="1" t="n">
        <v>44813</v>
      </c>
      <c r="C645" s="1" t="n">
        <v>46126</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25697-2025</t>
        </is>
      </c>
      <c r="B646" s="1" t="n">
        <v>45803.66587962963</v>
      </c>
      <c r="C646" s="1" t="n">
        <v>46126</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52001-2023</t>
        </is>
      </c>
      <c r="B647" s="1" t="n">
        <v>45223</v>
      </c>
      <c r="C647" s="1" t="n">
        <v>46126</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49836-2025</t>
        </is>
      </c>
      <c r="B648" s="1" t="n">
        <v>45940.46862268518</v>
      </c>
      <c r="C648" s="1" t="n">
        <v>46126</v>
      </c>
      <c r="D648" t="inlineStr">
        <is>
          <t>STOCKHOLMS LÄN</t>
        </is>
      </c>
      <c r="E648" t="inlineStr">
        <is>
          <t>NORRTÄLJE</t>
        </is>
      </c>
      <c r="G648" t="n">
        <v>3.5</v>
      </c>
      <c r="H648" t="n">
        <v>0</v>
      </c>
      <c r="I648" t="n">
        <v>0</v>
      </c>
      <c r="J648" t="n">
        <v>0</v>
      </c>
      <c r="K648" t="n">
        <v>0</v>
      </c>
      <c r="L648" t="n">
        <v>0</v>
      </c>
      <c r="M648" t="n">
        <v>0</v>
      </c>
      <c r="N648" t="n">
        <v>0</v>
      </c>
      <c r="O648" t="n">
        <v>0</v>
      </c>
      <c r="P648" t="n">
        <v>0</v>
      </c>
      <c r="Q648" t="n">
        <v>0</v>
      </c>
      <c r="R648" s="2" t="inlineStr"/>
    </row>
    <row r="649" ht="15" customHeight="1">
      <c r="A649" t="inlineStr">
        <is>
          <t>A 47259-2024</t>
        </is>
      </c>
      <c r="B649" s="1" t="n">
        <v>45586</v>
      </c>
      <c r="C649" s="1" t="n">
        <v>46126</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22456-2023</t>
        </is>
      </c>
      <c r="B650" s="1" t="n">
        <v>45070</v>
      </c>
      <c r="C650" s="1" t="n">
        <v>46126</v>
      </c>
      <c r="D650" t="inlineStr">
        <is>
          <t>STOCKHOLMS LÄN</t>
        </is>
      </c>
      <c r="E650" t="inlineStr">
        <is>
          <t>NORRTÄLJE</t>
        </is>
      </c>
      <c r="G650" t="n">
        <v>3.1</v>
      </c>
      <c r="H650" t="n">
        <v>0</v>
      </c>
      <c r="I650" t="n">
        <v>0</v>
      </c>
      <c r="J650" t="n">
        <v>0</v>
      </c>
      <c r="K650" t="n">
        <v>0</v>
      </c>
      <c r="L650" t="n">
        <v>0</v>
      </c>
      <c r="M650" t="n">
        <v>0</v>
      </c>
      <c r="N650" t="n">
        <v>0</v>
      </c>
      <c r="O650" t="n">
        <v>0</v>
      </c>
      <c r="P650" t="n">
        <v>0</v>
      </c>
      <c r="Q650" t="n">
        <v>0</v>
      </c>
      <c r="R650" s="2" t="inlineStr"/>
    </row>
    <row r="651" ht="15" customHeight="1">
      <c r="A651" t="inlineStr">
        <is>
          <t>A 19580-2022</t>
        </is>
      </c>
      <c r="B651" s="1" t="n">
        <v>44693</v>
      </c>
      <c r="C651" s="1" t="n">
        <v>46126</v>
      </c>
      <c r="D651" t="inlineStr">
        <is>
          <t>STOCKHOLMS LÄN</t>
        </is>
      </c>
      <c r="E651" t="inlineStr">
        <is>
          <t>NORRTÄLJE</t>
        </is>
      </c>
      <c r="G651" t="n">
        <v>0.4</v>
      </c>
      <c r="H651" t="n">
        <v>0</v>
      </c>
      <c r="I651" t="n">
        <v>0</v>
      </c>
      <c r="J651" t="n">
        <v>0</v>
      </c>
      <c r="K651" t="n">
        <v>0</v>
      </c>
      <c r="L651" t="n">
        <v>0</v>
      </c>
      <c r="M651" t="n">
        <v>0</v>
      </c>
      <c r="N651" t="n">
        <v>0</v>
      </c>
      <c r="O651" t="n">
        <v>0</v>
      </c>
      <c r="P651" t="n">
        <v>0</v>
      </c>
      <c r="Q651" t="n">
        <v>0</v>
      </c>
      <c r="R651" s="2" t="inlineStr"/>
    </row>
    <row r="652" ht="15" customHeight="1">
      <c r="A652" t="inlineStr">
        <is>
          <t>A 26675-2025</t>
        </is>
      </c>
      <c r="B652" s="1" t="n">
        <v>45810.42393518519</v>
      </c>
      <c r="C652" s="1" t="n">
        <v>46126</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50097-2025</t>
        </is>
      </c>
      <c r="B653" s="1" t="n">
        <v>45943.50207175926</v>
      </c>
      <c r="C653" s="1" t="n">
        <v>46126</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5823-2023</t>
        </is>
      </c>
      <c r="B654" s="1" t="n">
        <v>44963</v>
      </c>
      <c r="C654" s="1" t="n">
        <v>46126</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30731-2023</t>
        </is>
      </c>
      <c r="B655" s="1" t="n">
        <v>45112</v>
      </c>
      <c r="C655" s="1" t="n">
        <v>46126</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23061-2025</t>
        </is>
      </c>
      <c r="B656" s="1" t="n">
        <v>45790.81410879629</v>
      </c>
      <c r="C656" s="1" t="n">
        <v>46126</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50333-2025</t>
        </is>
      </c>
      <c r="B657" s="1" t="n">
        <v>45944.47178240741</v>
      </c>
      <c r="C657" s="1" t="n">
        <v>46126</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26747-2025</t>
        </is>
      </c>
      <c r="B658" s="1" t="n">
        <v>45810.5333912037</v>
      </c>
      <c r="C658" s="1" t="n">
        <v>46126</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51653-2022</t>
        </is>
      </c>
      <c r="B659" s="1" t="n">
        <v>44867</v>
      </c>
      <c r="C659" s="1" t="n">
        <v>46126</v>
      </c>
      <c r="D659" t="inlineStr">
        <is>
          <t>STOCKHOLMS LÄN</t>
        </is>
      </c>
      <c r="E659" t="inlineStr">
        <is>
          <t>NORRTÄLJE</t>
        </is>
      </c>
      <c r="G659" t="n">
        <v>6.6</v>
      </c>
      <c r="H659" t="n">
        <v>0</v>
      </c>
      <c r="I659" t="n">
        <v>0</v>
      </c>
      <c r="J659" t="n">
        <v>0</v>
      </c>
      <c r="K659" t="n">
        <v>0</v>
      </c>
      <c r="L659" t="n">
        <v>0</v>
      </c>
      <c r="M659" t="n">
        <v>0</v>
      </c>
      <c r="N659" t="n">
        <v>0</v>
      </c>
      <c r="O659" t="n">
        <v>0</v>
      </c>
      <c r="P659" t="n">
        <v>0</v>
      </c>
      <c r="Q659" t="n">
        <v>0</v>
      </c>
      <c r="R659" s="2" t="inlineStr"/>
    </row>
    <row r="660" ht="15" customHeight="1">
      <c r="A660" t="inlineStr">
        <is>
          <t>A 50563-2025</t>
        </is>
      </c>
      <c r="B660" s="1" t="n">
        <v>45944</v>
      </c>
      <c r="C660" s="1" t="n">
        <v>46126</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50327-2025</t>
        </is>
      </c>
      <c r="B661" s="1" t="n">
        <v>45944.46387731482</v>
      </c>
      <c r="C661" s="1" t="n">
        <v>46126</v>
      </c>
      <c r="D661" t="inlineStr">
        <is>
          <t>STOCKHOLMS LÄN</t>
        </is>
      </c>
      <c r="E661" t="inlineStr">
        <is>
          <t>NORRTÄLJE</t>
        </is>
      </c>
      <c r="G661" t="n">
        <v>0.3</v>
      </c>
      <c r="H661" t="n">
        <v>0</v>
      </c>
      <c r="I661" t="n">
        <v>0</v>
      </c>
      <c r="J661" t="n">
        <v>0</v>
      </c>
      <c r="K661" t="n">
        <v>0</v>
      </c>
      <c r="L661" t="n">
        <v>0</v>
      </c>
      <c r="M661" t="n">
        <v>0</v>
      </c>
      <c r="N661" t="n">
        <v>0</v>
      </c>
      <c r="O661" t="n">
        <v>0</v>
      </c>
      <c r="P661" t="n">
        <v>0</v>
      </c>
      <c r="Q661" t="n">
        <v>0</v>
      </c>
      <c r="R661" s="2" t="inlineStr"/>
    </row>
    <row r="662" ht="15" customHeight="1">
      <c r="A662" t="inlineStr">
        <is>
          <t>A 32103-2022</t>
        </is>
      </c>
      <c r="B662" s="1" t="n">
        <v>44778</v>
      </c>
      <c r="C662" s="1" t="n">
        <v>46126</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55952-2024</t>
        </is>
      </c>
      <c r="B663" s="1" t="n">
        <v>45623.62563657408</v>
      </c>
      <c r="C663" s="1" t="n">
        <v>46126</v>
      </c>
      <c r="D663" t="inlineStr">
        <is>
          <t>STOCKHOLMS LÄN</t>
        </is>
      </c>
      <c r="E663" t="inlineStr">
        <is>
          <t>NORRTÄLJE</t>
        </is>
      </c>
      <c r="F663" t="inlineStr">
        <is>
          <t>Holmen skog AB</t>
        </is>
      </c>
      <c r="G663" t="n">
        <v>2.8</v>
      </c>
      <c r="H663" t="n">
        <v>0</v>
      </c>
      <c r="I663" t="n">
        <v>0</v>
      </c>
      <c r="J663" t="n">
        <v>0</v>
      </c>
      <c r="K663" t="n">
        <v>0</v>
      </c>
      <c r="L663" t="n">
        <v>0</v>
      </c>
      <c r="M663" t="n">
        <v>0</v>
      </c>
      <c r="N663" t="n">
        <v>0</v>
      </c>
      <c r="O663" t="n">
        <v>0</v>
      </c>
      <c r="P663" t="n">
        <v>0</v>
      </c>
      <c r="Q663" t="n">
        <v>0</v>
      </c>
      <c r="R663" s="2" t="inlineStr"/>
    </row>
    <row r="664" ht="15" customHeight="1">
      <c r="A664" t="inlineStr">
        <is>
          <t>A 26702-2025</t>
        </is>
      </c>
      <c r="B664" s="1" t="n">
        <v>45810.45236111111</v>
      </c>
      <c r="C664" s="1" t="n">
        <v>46126</v>
      </c>
      <c r="D664" t="inlineStr">
        <is>
          <t>STOCKHOLMS LÄN</t>
        </is>
      </c>
      <c r="E664" t="inlineStr">
        <is>
          <t>NORRTÄLJE</t>
        </is>
      </c>
      <c r="G664" t="n">
        <v>7.3</v>
      </c>
      <c r="H664" t="n">
        <v>0</v>
      </c>
      <c r="I664" t="n">
        <v>0</v>
      </c>
      <c r="J664" t="n">
        <v>0</v>
      </c>
      <c r="K664" t="n">
        <v>0</v>
      </c>
      <c r="L664" t="n">
        <v>0</v>
      </c>
      <c r="M664" t="n">
        <v>0</v>
      </c>
      <c r="N664" t="n">
        <v>0</v>
      </c>
      <c r="O664" t="n">
        <v>0</v>
      </c>
      <c r="P664" t="n">
        <v>0</v>
      </c>
      <c r="Q664" t="n">
        <v>0</v>
      </c>
      <c r="R664" s="2" t="inlineStr"/>
    </row>
    <row r="665" ht="15" customHeight="1">
      <c r="A665" t="inlineStr">
        <is>
          <t>A 23070-2023</t>
        </is>
      </c>
      <c r="B665" s="1" t="n">
        <v>45075</v>
      </c>
      <c r="C665" s="1" t="n">
        <v>46126</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8792-2025</t>
        </is>
      </c>
      <c r="B666" s="1" t="n">
        <v>45712</v>
      </c>
      <c r="C666" s="1" t="n">
        <v>46126</v>
      </c>
      <c r="D666" t="inlineStr">
        <is>
          <t>STOCKHOLMS LÄN</t>
        </is>
      </c>
      <c r="E666" t="inlineStr">
        <is>
          <t>NORRTÄLJE</t>
        </is>
      </c>
      <c r="F666" t="inlineStr">
        <is>
          <t>Övriga Aktiebolag</t>
        </is>
      </c>
      <c r="G666" t="n">
        <v>6.6</v>
      </c>
      <c r="H666" t="n">
        <v>0</v>
      </c>
      <c r="I666" t="n">
        <v>0</v>
      </c>
      <c r="J666" t="n">
        <v>0</v>
      </c>
      <c r="K666" t="n">
        <v>0</v>
      </c>
      <c r="L666" t="n">
        <v>0</v>
      </c>
      <c r="M666" t="n">
        <v>0</v>
      </c>
      <c r="N666" t="n">
        <v>0</v>
      </c>
      <c r="O666" t="n">
        <v>0</v>
      </c>
      <c r="P666" t="n">
        <v>0</v>
      </c>
      <c r="Q666" t="n">
        <v>0</v>
      </c>
      <c r="R666" s="2" t="inlineStr"/>
    </row>
    <row r="667" ht="15" customHeight="1">
      <c r="A667" t="inlineStr">
        <is>
          <t>A 26708-2025</t>
        </is>
      </c>
      <c r="B667" s="1" t="n">
        <v>45810.45633101852</v>
      </c>
      <c r="C667" s="1" t="n">
        <v>46126</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7571-2024</t>
        </is>
      </c>
      <c r="B668" s="1" t="n">
        <v>45348.46300925926</v>
      </c>
      <c r="C668" s="1" t="n">
        <v>46126</v>
      </c>
      <c r="D668" t="inlineStr">
        <is>
          <t>STOCKHOLMS LÄN</t>
        </is>
      </c>
      <c r="E668" t="inlineStr">
        <is>
          <t>NORRTÄLJE</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27040-2025</t>
        </is>
      </c>
      <c r="B669" s="1" t="n">
        <v>45811.60451388889</v>
      </c>
      <c r="C669" s="1" t="n">
        <v>46126</v>
      </c>
      <c r="D669" t="inlineStr">
        <is>
          <t>STOCKHOLMS LÄN</t>
        </is>
      </c>
      <c r="E669" t="inlineStr">
        <is>
          <t>NORRTÄLJE</t>
        </is>
      </c>
      <c r="G669" t="n">
        <v>4.3</v>
      </c>
      <c r="H669" t="n">
        <v>0</v>
      </c>
      <c r="I669" t="n">
        <v>0</v>
      </c>
      <c r="J669" t="n">
        <v>0</v>
      </c>
      <c r="K669" t="n">
        <v>0</v>
      </c>
      <c r="L669" t="n">
        <v>0</v>
      </c>
      <c r="M669" t="n">
        <v>0</v>
      </c>
      <c r="N669" t="n">
        <v>0</v>
      </c>
      <c r="O669" t="n">
        <v>0</v>
      </c>
      <c r="P669" t="n">
        <v>0</v>
      </c>
      <c r="Q669" t="n">
        <v>0</v>
      </c>
      <c r="R669" s="2" t="inlineStr"/>
    </row>
    <row r="670" ht="15" customHeight="1">
      <c r="A670" t="inlineStr">
        <is>
          <t>A 36269-2022</t>
        </is>
      </c>
      <c r="B670" s="1" t="n">
        <v>44803</v>
      </c>
      <c r="C670" s="1" t="n">
        <v>46126</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44510.51422453704</v>
      </c>
      <c r="C671" s="1" t="n">
        <v>46126</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5665-2025</t>
        </is>
      </c>
      <c r="B672" s="1" t="n">
        <v>45693</v>
      </c>
      <c r="C672" s="1" t="n">
        <v>46126</v>
      </c>
      <c r="D672" t="inlineStr">
        <is>
          <t>STOCKHOLMS LÄN</t>
        </is>
      </c>
      <c r="E672" t="inlineStr">
        <is>
          <t>NORRTÄLJE</t>
        </is>
      </c>
      <c r="G672" t="n">
        <v>4</v>
      </c>
      <c r="H672" t="n">
        <v>0</v>
      </c>
      <c r="I672" t="n">
        <v>0</v>
      </c>
      <c r="J672" t="n">
        <v>0</v>
      </c>
      <c r="K672" t="n">
        <v>0</v>
      </c>
      <c r="L672" t="n">
        <v>0</v>
      </c>
      <c r="M672" t="n">
        <v>0</v>
      </c>
      <c r="N672" t="n">
        <v>0</v>
      </c>
      <c r="O672" t="n">
        <v>0</v>
      </c>
      <c r="P672" t="n">
        <v>0</v>
      </c>
      <c r="Q672" t="n">
        <v>0</v>
      </c>
      <c r="R672" s="2" t="inlineStr"/>
    </row>
    <row r="673" ht="15" customHeight="1">
      <c r="A673" t="inlineStr">
        <is>
          <t>A 12407-2025</t>
        </is>
      </c>
      <c r="B673" s="1" t="n">
        <v>45730.42851851852</v>
      </c>
      <c r="C673" s="1" t="n">
        <v>46126</v>
      </c>
      <c r="D673" t="inlineStr">
        <is>
          <t>STOCKHOLMS LÄN</t>
        </is>
      </c>
      <c r="E673" t="inlineStr">
        <is>
          <t>NORRTÄLJE</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51240-2025</t>
        </is>
      </c>
      <c r="B674" s="1" t="n">
        <v>45947.70420138889</v>
      </c>
      <c r="C674" s="1" t="n">
        <v>46126</v>
      </c>
      <c r="D674" t="inlineStr">
        <is>
          <t>STOCKHOLMS LÄN</t>
        </is>
      </c>
      <c r="E674" t="inlineStr">
        <is>
          <t>NORRTÄLJE</t>
        </is>
      </c>
      <c r="F674" t="inlineStr">
        <is>
          <t>Naturvårdsverket</t>
        </is>
      </c>
      <c r="G674" t="n">
        <v>3</v>
      </c>
      <c r="H674" t="n">
        <v>0</v>
      </c>
      <c r="I674" t="n">
        <v>0</v>
      </c>
      <c r="J674" t="n">
        <v>0</v>
      </c>
      <c r="K674" t="n">
        <v>0</v>
      </c>
      <c r="L674" t="n">
        <v>0</v>
      </c>
      <c r="M674" t="n">
        <v>0</v>
      </c>
      <c r="N674" t="n">
        <v>0</v>
      </c>
      <c r="O674" t="n">
        <v>0</v>
      </c>
      <c r="P674" t="n">
        <v>0</v>
      </c>
      <c r="Q674" t="n">
        <v>0</v>
      </c>
      <c r="R674" s="2" t="inlineStr"/>
    </row>
    <row r="675" ht="15" customHeight="1">
      <c r="A675" t="inlineStr">
        <is>
          <t>A 59477-2025</t>
        </is>
      </c>
      <c r="B675" s="1" t="n">
        <v>45989.58679398148</v>
      </c>
      <c r="C675" s="1" t="n">
        <v>46126</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26636-2023</t>
        </is>
      </c>
      <c r="B676" s="1" t="n">
        <v>45092</v>
      </c>
      <c r="C676" s="1" t="n">
        <v>46126</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26637-2023</t>
        </is>
      </c>
      <c r="B677" s="1" t="n">
        <v>45092</v>
      </c>
      <c r="C677" s="1" t="n">
        <v>46126</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23266-2023</t>
        </is>
      </c>
      <c r="B678" s="1" t="n">
        <v>45075.90817129629</v>
      </c>
      <c r="C678" s="1" t="n">
        <v>46126</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51121-2025</t>
        </is>
      </c>
      <c r="B679" s="1" t="n">
        <v>45947.53293981482</v>
      </c>
      <c r="C679" s="1" t="n">
        <v>46126</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38720-2022</t>
        </is>
      </c>
      <c r="B680" s="1" t="n">
        <v>44815.74539351852</v>
      </c>
      <c r="C680" s="1" t="n">
        <v>46126</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51532-2025</t>
        </is>
      </c>
      <c r="B681" s="1" t="n">
        <v>45950.68297453703</v>
      </c>
      <c r="C681" s="1" t="n">
        <v>46126</v>
      </c>
      <c r="D681" t="inlineStr">
        <is>
          <t>STOCKHOLMS LÄN</t>
        </is>
      </c>
      <c r="E681" t="inlineStr">
        <is>
          <t>NORRTÄLJE</t>
        </is>
      </c>
      <c r="F681" t="inlineStr">
        <is>
          <t>Naturvårdsverket</t>
        </is>
      </c>
      <c r="G681" t="n">
        <v>17.3</v>
      </c>
      <c r="H681" t="n">
        <v>0</v>
      </c>
      <c r="I681" t="n">
        <v>0</v>
      </c>
      <c r="J681" t="n">
        <v>0</v>
      </c>
      <c r="K681" t="n">
        <v>0</v>
      </c>
      <c r="L681" t="n">
        <v>0</v>
      </c>
      <c r="M681" t="n">
        <v>0</v>
      </c>
      <c r="N681" t="n">
        <v>0</v>
      </c>
      <c r="O681" t="n">
        <v>0</v>
      </c>
      <c r="P681" t="n">
        <v>0</v>
      </c>
      <c r="Q681" t="n">
        <v>0</v>
      </c>
      <c r="R681" s="2" t="inlineStr"/>
    </row>
    <row r="682" ht="15" customHeight="1">
      <c r="A682" t="inlineStr">
        <is>
          <t>A 35161-2022</t>
        </is>
      </c>
      <c r="B682" s="1" t="n">
        <v>44797</v>
      </c>
      <c r="C682" s="1" t="n">
        <v>46126</v>
      </c>
      <c r="D682" t="inlineStr">
        <is>
          <t>STOCKHOLMS LÄN</t>
        </is>
      </c>
      <c r="E682" t="inlineStr">
        <is>
          <t>NORRTÄLJE</t>
        </is>
      </c>
      <c r="G682" t="n">
        <v>6</v>
      </c>
      <c r="H682" t="n">
        <v>0</v>
      </c>
      <c r="I682" t="n">
        <v>0</v>
      </c>
      <c r="J682" t="n">
        <v>0</v>
      </c>
      <c r="K682" t="n">
        <v>0</v>
      </c>
      <c r="L682" t="n">
        <v>0</v>
      </c>
      <c r="M682" t="n">
        <v>0</v>
      </c>
      <c r="N682" t="n">
        <v>0</v>
      </c>
      <c r="O682" t="n">
        <v>0</v>
      </c>
      <c r="P682" t="n">
        <v>0</v>
      </c>
      <c r="Q682" t="n">
        <v>0</v>
      </c>
      <c r="R682" s="2" t="inlineStr"/>
    </row>
    <row r="683" ht="15" customHeight="1">
      <c r="A683" t="inlineStr">
        <is>
          <t>A 27697-2025</t>
        </is>
      </c>
      <c r="B683" s="1" t="n">
        <v>45813.66961805556</v>
      </c>
      <c r="C683" s="1" t="n">
        <v>46126</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27700-2025</t>
        </is>
      </c>
      <c r="B684" s="1" t="n">
        <v>45813.6799537037</v>
      </c>
      <c r="C684" s="1" t="n">
        <v>46126</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51233-2025</t>
        </is>
      </c>
      <c r="B685" s="1" t="n">
        <v>45947.68232638889</v>
      </c>
      <c r="C685" s="1" t="n">
        <v>46126</v>
      </c>
      <c r="D685" t="inlineStr">
        <is>
          <t>STOCKHOLMS LÄN</t>
        </is>
      </c>
      <c r="E685" t="inlineStr">
        <is>
          <t>NORRTÄLJE</t>
        </is>
      </c>
      <c r="F685" t="inlineStr">
        <is>
          <t>Naturvårdsverket</t>
        </is>
      </c>
      <c r="G685" t="n">
        <v>8.1</v>
      </c>
      <c r="H685" t="n">
        <v>0</v>
      </c>
      <c r="I685" t="n">
        <v>0</v>
      </c>
      <c r="J685" t="n">
        <v>0</v>
      </c>
      <c r="K685" t="n">
        <v>0</v>
      </c>
      <c r="L685" t="n">
        <v>0</v>
      </c>
      <c r="M685" t="n">
        <v>0</v>
      </c>
      <c r="N685" t="n">
        <v>0</v>
      </c>
      <c r="O685" t="n">
        <v>0</v>
      </c>
      <c r="P685" t="n">
        <v>0</v>
      </c>
      <c r="Q685" t="n">
        <v>0</v>
      </c>
      <c r="R685" s="2" t="inlineStr"/>
    </row>
    <row r="686" ht="15" customHeight="1">
      <c r="A686" t="inlineStr">
        <is>
          <t>A 51236-2025</t>
        </is>
      </c>
      <c r="B686" s="1" t="n">
        <v>45947.69078703703</v>
      </c>
      <c r="C686" s="1" t="n">
        <v>46126</v>
      </c>
      <c r="D686" t="inlineStr">
        <is>
          <t>STOCKHOLMS LÄN</t>
        </is>
      </c>
      <c r="E686" t="inlineStr">
        <is>
          <t>NORRTÄLJE</t>
        </is>
      </c>
      <c r="F686" t="inlineStr">
        <is>
          <t>Naturvårdsverket</t>
        </is>
      </c>
      <c r="G686" t="n">
        <v>6.3</v>
      </c>
      <c r="H686" t="n">
        <v>0</v>
      </c>
      <c r="I686" t="n">
        <v>0</v>
      </c>
      <c r="J686" t="n">
        <v>0</v>
      </c>
      <c r="K686" t="n">
        <v>0</v>
      </c>
      <c r="L686" t="n">
        <v>0</v>
      </c>
      <c r="M686" t="n">
        <v>0</v>
      </c>
      <c r="N686" t="n">
        <v>0</v>
      </c>
      <c r="O686" t="n">
        <v>0</v>
      </c>
      <c r="P686" t="n">
        <v>0</v>
      </c>
      <c r="Q686" t="n">
        <v>0</v>
      </c>
      <c r="R686" s="2" t="inlineStr"/>
    </row>
    <row r="687" ht="15" customHeight="1">
      <c r="A687" t="inlineStr">
        <is>
          <t>A 51241-2025</t>
        </is>
      </c>
      <c r="B687" s="1" t="n">
        <v>45947.71726851852</v>
      </c>
      <c r="C687" s="1" t="n">
        <v>46126</v>
      </c>
      <c r="D687" t="inlineStr">
        <is>
          <t>STOCKHOLMS LÄN</t>
        </is>
      </c>
      <c r="E687" t="inlineStr">
        <is>
          <t>NORRTÄLJE</t>
        </is>
      </c>
      <c r="F687" t="inlineStr">
        <is>
          <t>Naturvårdsverket</t>
        </is>
      </c>
      <c r="G687" t="n">
        <v>6.4</v>
      </c>
      <c r="H687" t="n">
        <v>0</v>
      </c>
      <c r="I687" t="n">
        <v>0</v>
      </c>
      <c r="J687" t="n">
        <v>0</v>
      </c>
      <c r="K687" t="n">
        <v>0</v>
      </c>
      <c r="L687" t="n">
        <v>0</v>
      </c>
      <c r="M687" t="n">
        <v>0</v>
      </c>
      <c r="N687" t="n">
        <v>0</v>
      </c>
      <c r="O687" t="n">
        <v>0</v>
      </c>
      <c r="P687" t="n">
        <v>0</v>
      </c>
      <c r="Q687" t="n">
        <v>0</v>
      </c>
      <c r="R687" s="2" t="inlineStr"/>
    </row>
    <row r="688" ht="15" customHeight="1">
      <c r="A688" t="inlineStr">
        <is>
          <t>A 27554-2025</t>
        </is>
      </c>
      <c r="B688" s="1" t="n">
        <v>45813.4709375</v>
      </c>
      <c r="C688" s="1" t="n">
        <v>46126</v>
      </c>
      <c r="D688" t="inlineStr">
        <is>
          <t>STOCKHOLMS LÄN</t>
        </is>
      </c>
      <c r="E688" t="inlineStr">
        <is>
          <t>NORRTÄLJE</t>
        </is>
      </c>
      <c r="F688" t="inlineStr">
        <is>
          <t>Övriga Aktiebolag</t>
        </is>
      </c>
      <c r="G688" t="n">
        <v>2.5</v>
      </c>
      <c r="H688" t="n">
        <v>0</v>
      </c>
      <c r="I688" t="n">
        <v>0</v>
      </c>
      <c r="J688" t="n">
        <v>0</v>
      </c>
      <c r="K688" t="n">
        <v>0</v>
      </c>
      <c r="L688" t="n">
        <v>0</v>
      </c>
      <c r="M688" t="n">
        <v>0</v>
      </c>
      <c r="N688" t="n">
        <v>0</v>
      </c>
      <c r="O688" t="n">
        <v>0</v>
      </c>
      <c r="P688" t="n">
        <v>0</v>
      </c>
      <c r="Q688" t="n">
        <v>0</v>
      </c>
      <c r="R688" s="2" t="inlineStr"/>
    </row>
    <row r="689" ht="15" customHeight="1">
      <c r="A689" t="inlineStr">
        <is>
          <t>A 34432-2021</t>
        </is>
      </c>
      <c r="B689" s="1" t="n">
        <v>44380.77346064815</v>
      </c>
      <c r="C689" s="1" t="n">
        <v>46126</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19911-2025</t>
        </is>
      </c>
      <c r="B690" s="1" t="n">
        <v>45771</v>
      </c>
      <c r="C690" s="1" t="n">
        <v>46126</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11901-2024</t>
        </is>
      </c>
      <c r="B691" s="1" t="n">
        <v>45376.55638888889</v>
      </c>
      <c r="C691" s="1" t="n">
        <v>46126</v>
      </c>
      <c r="D691" t="inlineStr">
        <is>
          <t>STOCKHOLMS LÄN</t>
        </is>
      </c>
      <c r="E691" t="inlineStr">
        <is>
          <t>NORRTÄLJE</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51122-2025</t>
        </is>
      </c>
      <c r="B692" s="1" t="n">
        <v>45947.53693287037</v>
      </c>
      <c r="C692" s="1" t="n">
        <v>46126</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27802-2025</t>
        </is>
      </c>
      <c r="B693" s="1" t="n">
        <v>45817.2565625</v>
      </c>
      <c r="C693" s="1" t="n">
        <v>46126</v>
      </c>
      <c r="D693" t="inlineStr">
        <is>
          <t>STOCKHOLMS LÄN</t>
        </is>
      </c>
      <c r="E693" t="inlineStr">
        <is>
          <t>NORRTÄLJE</t>
        </is>
      </c>
      <c r="G693" t="n">
        <v>3</v>
      </c>
      <c r="H693" t="n">
        <v>0</v>
      </c>
      <c r="I693" t="n">
        <v>0</v>
      </c>
      <c r="J693" t="n">
        <v>0</v>
      </c>
      <c r="K693" t="n">
        <v>0</v>
      </c>
      <c r="L693" t="n">
        <v>0</v>
      </c>
      <c r="M693" t="n">
        <v>0</v>
      </c>
      <c r="N693" t="n">
        <v>0</v>
      </c>
      <c r="O693" t="n">
        <v>0</v>
      </c>
      <c r="P693" t="n">
        <v>0</v>
      </c>
      <c r="Q693" t="n">
        <v>0</v>
      </c>
      <c r="R693" s="2" t="inlineStr"/>
    </row>
    <row r="694" ht="15" customHeight="1">
      <c r="A694" t="inlineStr">
        <is>
          <t>A 27806-2025</t>
        </is>
      </c>
      <c r="B694" s="1" t="n">
        <v>45817.30329861111</v>
      </c>
      <c r="C694" s="1" t="n">
        <v>46126</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27808-2025</t>
        </is>
      </c>
      <c r="B695" s="1" t="n">
        <v>45817.31085648148</v>
      </c>
      <c r="C695" s="1" t="n">
        <v>46126</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27810-2025</t>
        </is>
      </c>
      <c r="B696" s="1" t="n">
        <v>45817.31708333334</v>
      </c>
      <c r="C696" s="1" t="n">
        <v>46126</v>
      </c>
      <c r="D696" t="inlineStr">
        <is>
          <t>STOCKHOLMS LÄN</t>
        </is>
      </c>
      <c r="E696" t="inlineStr">
        <is>
          <t>NORRTÄLJE</t>
        </is>
      </c>
      <c r="G696" t="n">
        <v>3.9</v>
      </c>
      <c r="H696" t="n">
        <v>0</v>
      </c>
      <c r="I696" t="n">
        <v>0</v>
      </c>
      <c r="J696" t="n">
        <v>0</v>
      </c>
      <c r="K696" t="n">
        <v>0</v>
      </c>
      <c r="L696" t="n">
        <v>0</v>
      </c>
      <c r="M696" t="n">
        <v>0</v>
      </c>
      <c r="N696" t="n">
        <v>0</v>
      </c>
      <c r="O696" t="n">
        <v>0</v>
      </c>
      <c r="P696" t="n">
        <v>0</v>
      </c>
      <c r="Q696" t="n">
        <v>0</v>
      </c>
      <c r="R696" s="2" t="inlineStr"/>
    </row>
    <row r="697" ht="15" customHeight="1">
      <c r="A697" t="inlineStr">
        <is>
          <t>A 27811-2025</t>
        </is>
      </c>
      <c r="B697" s="1" t="n">
        <v>45817.31986111111</v>
      </c>
      <c r="C697" s="1" t="n">
        <v>46126</v>
      </c>
      <c r="D697" t="inlineStr">
        <is>
          <t>STOCKHOLMS LÄN</t>
        </is>
      </c>
      <c r="E697" t="inlineStr">
        <is>
          <t>NORRTÄLJE</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27818-2025</t>
        </is>
      </c>
      <c r="B698" s="1" t="n">
        <v>45817.33503472222</v>
      </c>
      <c r="C698" s="1" t="n">
        <v>46126</v>
      </c>
      <c r="D698" t="inlineStr">
        <is>
          <t>STOCKHOLMS LÄN</t>
        </is>
      </c>
      <c r="E698" t="inlineStr">
        <is>
          <t>NORRTÄLJE</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58863-2024</t>
        </is>
      </c>
      <c r="B699" s="1" t="n">
        <v>45636.41572916666</v>
      </c>
      <c r="C699" s="1" t="n">
        <v>46126</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15447-2023</t>
        </is>
      </c>
      <c r="B700" s="1" t="n">
        <v>45020</v>
      </c>
      <c r="C700" s="1" t="n">
        <v>46126</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34391-2023</t>
        </is>
      </c>
      <c r="B701" s="1" t="n">
        <v>45139.51457175926</v>
      </c>
      <c r="C701" s="1" t="n">
        <v>46126</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51945-2025</t>
        </is>
      </c>
      <c r="B702" s="1" t="n">
        <v>45952.52679398148</v>
      </c>
      <c r="C702" s="1" t="n">
        <v>46126</v>
      </c>
      <c r="D702" t="inlineStr">
        <is>
          <t>STOCKHOLMS LÄN</t>
        </is>
      </c>
      <c r="E702" t="inlineStr">
        <is>
          <t>NORRTÄLJE</t>
        </is>
      </c>
      <c r="G702" t="n">
        <v>7</v>
      </c>
      <c r="H702" t="n">
        <v>0</v>
      </c>
      <c r="I702" t="n">
        <v>0</v>
      </c>
      <c r="J702" t="n">
        <v>0</v>
      </c>
      <c r="K702" t="n">
        <v>0</v>
      </c>
      <c r="L702" t="n">
        <v>0</v>
      </c>
      <c r="M702" t="n">
        <v>0</v>
      </c>
      <c r="N702" t="n">
        <v>0</v>
      </c>
      <c r="O702" t="n">
        <v>0</v>
      </c>
      <c r="P702" t="n">
        <v>0</v>
      </c>
      <c r="Q702" t="n">
        <v>0</v>
      </c>
      <c r="R702" s="2" t="inlineStr"/>
    </row>
    <row r="703" ht="15" customHeight="1">
      <c r="A703" t="inlineStr">
        <is>
          <t>A 51941-2025</t>
        </is>
      </c>
      <c r="B703" s="1" t="n">
        <v>45952.52261574074</v>
      </c>
      <c r="C703" s="1" t="n">
        <v>46126</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52061-2025</t>
        </is>
      </c>
      <c r="B704" s="1" t="n">
        <v>45952.63679398148</v>
      </c>
      <c r="C704" s="1" t="n">
        <v>46126</v>
      </c>
      <c r="D704" t="inlineStr">
        <is>
          <t>STOCKHOLMS LÄN</t>
        </is>
      </c>
      <c r="E704" t="inlineStr">
        <is>
          <t>NORRTÄLJE</t>
        </is>
      </c>
      <c r="G704" t="n">
        <v>9.5</v>
      </c>
      <c r="H704" t="n">
        <v>0</v>
      </c>
      <c r="I704" t="n">
        <v>0</v>
      </c>
      <c r="J704" t="n">
        <v>0</v>
      </c>
      <c r="K704" t="n">
        <v>0</v>
      </c>
      <c r="L704" t="n">
        <v>0</v>
      </c>
      <c r="M704" t="n">
        <v>0</v>
      </c>
      <c r="N704" t="n">
        <v>0</v>
      </c>
      <c r="O704" t="n">
        <v>0</v>
      </c>
      <c r="P704" t="n">
        <v>0</v>
      </c>
      <c r="Q704" t="n">
        <v>0</v>
      </c>
      <c r="R704" s="2" t="inlineStr"/>
    </row>
    <row r="705" ht="15" customHeight="1">
      <c r="A705" t="inlineStr">
        <is>
          <t>A 15528-2025</t>
        </is>
      </c>
      <c r="B705" s="1" t="n">
        <v>45747.63471064815</v>
      </c>
      <c r="C705" s="1" t="n">
        <v>46126</v>
      </c>
      <c r="D705" t="inlineStr">
        <is>
          <t>STOCKHOLMS LÄN</t>
        </is>
      </c>
      <c r="E705" t="inlineStr">
        <is>
          <t>NORRTÄLJE</t>
        </is>
      </c>
      <c r="G705" t="n">
        <v>10</v>
      </c>
      <c r="H705" t="n">
        <v>0</v>
      </c>
      <c r="I705" t="n">
        <v>0</v>
      </c>
      <c r="J705" t="n">
        <v>0</v>
      </c>
      <c r="K705" t="n">
        <v>0</v>
      </c>
      <c r="L705" t="n">
        <v>0</v>
      </c>
      <c r="M705" t="n">
        <v>0</v>
      </c>
      <c r="N705" t="n">
        <v>0</v>
      </c>
      <c r="O705" t="n">
        <v>0</v>
      </c>
      <c r="P705" t="n">
        <v>0</v>
      </c>
      <c r="Q705" t="n">
        <v>0</v>
      </c>
      <c r="R705" s="2" t="inlineStr"/>
    </row>
    <row r="706" ht="15" customHeight="1">
      <c r="A706" t="inlineStr">
        <is>
          <t>A 27803-2025</t>
        </is>
      </c>
      <c r="B706" s="1" t="n">
        <v>45817.291875</v>
      </c>
      <c r="C706" s="1" t="n">
        <v>46126</v>
      </c>
      <c r="D706" t="inlineStr">
        <is>
          <t>STOCKHOLMS LÄN</t>
        </is>
      </c>
      <c r="E706" t="inlineStr">
        <is>
          <t>NORRTÄLJE</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51960-2025</t>
        </is>
      </c>
      <c r="B707" s="1" t="n">
        <v>45952.54755787037</v>
      </c>
      <c r="C707" s="1" t="n">
        <v>46126</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27813-2025</t>
        </is>
      </c>
      <c r="B708" s="1" t="n">
        <v>45817.32538194444</v>
      </c>
      <c r="C708" s="1" t="n">
        <v>46126</v>
      </c>
      <c r="D708" t="inlineStr">
        <is>
          <t>STOCKHOLMS LÄN</t>
        </is>
      </c>
      <c r="E708" t="inlineStr">
        <is>
          <t>NORRTÄLJE</t>
        </is>
      </c>
      <c r="G708" t="n">
        <v>1.6</v>
      </c>
      <c r="H708" t="n">
        <v>0</v>
      </c>
      <c r="I708" t="n">
        <v>0</v>
      </c>
      <c r="J708" t="n">
        <v>0</v>
      </c>
      <c r="K708" t="n">
        <v>0</v>
      </c>
      <c r="L708" t="n">
        <v>0</v>
      </c>
      <c r="M708" t="n">
        <v>0</v>
      </c>
      <c r="N708" t="n">
        <v>0</v>
      </c>
      <c r="O708" t="n">
        <v>0</v>
      </c>
      <c r="P708" t="n">
        <v>0</v>
      </c>
      <c r="Q708" t="n">
        <v>0</v>
      </c>
      <c r="R708" s="2" t="inlineStr"/>
    </row>
    <row r="709" ht="15" customHeight="1">
      <c r="A709" t="inlineStr">
        <is>
          <t>A 53312-2024</t>
        </is>
      </c>
      <c r="B709" s="1" t="n">
        <v>45614.39627314815</v>
      </c>
      <c r="C709" s="1" t="n">
        <v>46126</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51789-2025</t>
        </is>
      </c>
      <c r="B710" s="1" t="n">
        <v>45951.68046296296</v>
      </c>
      <c r="C710" s="1" t="n">
        <v>46126</v>
      </c>
      <c r="D710" t="inlineStr">
        <is>
          <t>STOCKHOLMS LÄN</t>
        </is>
      </c>
      <c r="E710" t="inlineStr">
        <is>
          <t>NORRTÄLJE</t>
        </is>
      </c>
      <c r="F710" t="inlineStr">
        <is>
          <t>Naturvårdsverket</t>
        </is>
      </c>
      <c r="G710" t="n">
        <v>8.9</v>
      </c>
      <c r="H710" t="n">
        <v>0</v>
      </c>
      <c r="I710" t="n">
        <v>0</v>
      </c>
      <c r="J710" t="n">
        <v>0</v>
      </c>
      <c r="K710" t="n">
        <v>0</v>
      </c>
      <c r="L710" t="n">
        <v>0</v>
      </c>
      <c r="M710" t="n">
        <v>0</v>
      </c>
      <c r="N710" t="n">
        <v>0</v>
      </c>
      <c r="O710" t="n">
        <v>0</v>
      </c>
      <c r="P710" t="n">
        <v>0</v>
      </c>
      <c r="Q710" t="n">
        <v>0</v>
      </c>
      <c r="R710" s="2" t="inlineStr"/>
    </row>
    <row r="711" ht="15" customHeight="1">
      <c r="A711" t="inlineStr">
        <is>
          <t>A 27801-2025</t>
        </is>
      </c>
      <c r="B711" s="1" t="n">
        <v>45817.25471064815</v>
      </c>
      <c r="C711" s="1" t="n">
        <v>46126</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27821-2025</t>
        </is>
      </c>
      <c r="B712" s="1" t="n">
        <v>45817.34083333334</v>
      </c>
      <c r="C712" s="1" t="n">
        <v>46126</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14130-2025</t>
        </is>
      </c>
      <c r="B713" s="1" t="n">
        <v>45740.47288194444</v>
      </c>
      <c r="C713" s="1" t="n">
        <v>46126</v>
      </c>
      <c r="D713" t="inlineStr">
        <is>
          <t>STOCKHOLMS LÄN</t>
        </is>
      </c>
      <c r="E713" t="inlineStr">
        <is>
          <t>NORRTÄLJE</t>
        </is>
      </c>
      <c r="G713" t="n">
        <v>2.1</v>
      </c>
      <c r="H713" t="n">
        <v>0</v>
      </c>
      <c r="I713" t="n">
        <v>0</v>
      </c>
      <c r="J713" t="n">
        <v>0</v>
      </c>
      <c r="K713" t="n">
        <v>0</v>
      </c>
      <c r="L713" t="n">
        <v>0</v>
      </c>
      <c r="M713" t="n">
        <v>0</v>
      </c>
      <c r="N713" t="n">
        <v>0</v>
      </c>
      <c r="O713" t="n">
        <v>0</v>
      </c>
      <c r="P713" t="n">
        <v>0</v>
      </c>
      <c r="Q713" t="n">
        <v>0</v>
      </c>
      <c r="R713" s="2" t="inlineStr"/>
    </row>
    <row r="714" ht="15" customHeight="1">
      <c r="A714" t="inlineStr">
        <is>
          <t>A 52529-2025</t>
        </is>
      </c>
      <c r="B714" s="1" t="n">
        <v>45954.53229166667</v>
      </c>
      <c r="C714" s="1" t="n">
        <v>46126</v>
      </c>
      <c r="D714" t="inlineStr">
        <is>
          <t>STOCKHOLMS LÄN</t>
        </is>
      </c>
      <c r="E714" t="inlineStr">
        <is>
          <t>NORRTÄLJE</t>
        </is>
      </c>
      <c r="F714" t="inlineStr">
        <is>
          <t>Sveaskog</t>
        </is>
      </c>
      <c r="G714" t="n">
        <v>7.8</v>
      </c>
      <c r="H714" t="n">
        <v>0</v>
      </c>
      <c r="I714" t="n">
        <v>0</v>
      </c>
      <c r="J714" t="n">
        <v>0</v>
      </c>
      <c r="K714" t="n">
        <v>0</v>
      </c>
      <c r="L714" t="n">
        <v>0</v>
      </c>
      <c r="M714" t="n">
        <v>0</v>
      </c>
      <c r="N714" t="n">
        <v>0</v>
      </c>
      <c r="O714" t="n">
        <v>0</v>
      </c>
      <c r="P714" t="n">
        <v>0</v>
      </c>
      <c r="Q714" t="n">
        <v>0</v>
      </c>
      <c r="R714" s="2" t="inlineStr"/>
    </row>
    <row r="715" ht="15" customHeight="1">
      <c r="A715" t="inlineStr">
        <is>
          <t>A 52251-2025</t>
        </is>
      </c>
      <c r="B715" s="1" t="n">
        <v>45953.49185185185</v>
      </c>
      <c r="C715" s="1" t="n">
        <v>46126</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52254-2025</t>
        </is>
      </c>
      <c r="B716" s="1" t="n">
        <v>45953.49519675926</v>
      </c>
      <c r="C716" s="1" t="n">
        <v>46126</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52526-2025</t>
        </is>
      </c>
      <c r="B717" s="1" t="n">
        <v>45954.53061342592</v>
      </c>
      <c r="C717" s="1" t="n">
        <v>46126</v>
      </c>
      <c r="D717" t="inlineStr">
        <is>
          <t>STOCKHOLMS LÄN</t>
        </is>
      </c>
      <c r="E717" t="inlineStr">
        <is>
          <t>NORRTÄLJE</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12532-2025</t>
        </is>
      </c>
      <c r="B718" s="1" t="n">
        <v>45730.69143518519</v>
      </c>
      <c r="C718" s="1" t="n">
        <v>46126</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40175-2024</t>
        </is>
      </c>
      <c r="B719" s="1" t="n">
        <v>45554.55707175926</v>
      </c>
      <c r="C719" s="1" t="n">
        <v>46126</v>
      </c>
      <c r="D719" t="inlineStr">
        <is>
          <t>STOCKHOLMS LÄN</t>
        </is>
      </c>
      <c r="E719" t="inlineStr">
        <is>
          <t>NORRTÄLJE</t>
        </is>
      </c>
      <c r="G719" t="n">
        <v>7.7</v>
      </c>
      <c r="H719" t="n">
        <v>0</v>
      </c>
      <c r="I719" t="n">
        <v>0</v>
      </c>
      <c r="J719" t="n">
        <v>0</v>
      </c>
      <c r="K719" t="n">
        <v>0</v>
      </c>
      <c r="L719" t="n">
        <v>0</v>
      </c>
      <c r="M719" t="n">
        <v>0</v>
      </c>
      <c r="N719" t="n">
        <v>0</v>
      </c>
      <c r="O719" t="n">
        <v>0</v>
      </c>
      <c r="P719" t="n">
        <v>0</v>
      </c>
      <c r="Q719" t="n">
        <v>0</v>
      </c>
      <c r="R719" s="2" t="inlineStr"/>
    </row>
    <row r="720" ht="15" customHeight="1">
      <c r="A720" t="inlineStr">
        <is>
          <t>A 16229-2022</t>
        </is>
      </c>
      <c r="B720" s="1" t="n">
        <v>44670.4190162037</v>
      </c>
      <c r="C720" s="1" t="n">
        <v>46126</v>
      </c>
      <c r="D720" t="inlineStr">
        <is>
          <t>STOCKHOLMS LÄN</t>
        </is>
      </c>
      <c r="E720" t="inlineStr">
        <is>
          <t>NORRTÄLJE</t>
        </is>
      </c>
      <c r="G720" t="n">
        <v>7.4</v>
      </c>
      <c r="H720" t="n">
        <v>0</v>
      </c>
      <c r="I720" t="n">
        <v>0</v>
      </c>
      <c r="J720" t="n">
        <v>0</v>
      </c>
      <c r="K720" t="n">
        <v>0</v>
      </c>
      <c r="L720" t="n">
        <v>0</v>
      </c>
      <c r="M720" t="n">
        <v>0</v>
      </c>
      <c r="N720" t="n">
        <v>0</v>
      </c>
      <c r="O720" t="n">
        <v>0</v>
      </c>
      <c r="P720" t="n">
        <v>0</v>
      </c>
      <c r="Q720" t="n">
        <v>0</v>
      </c>
      <c r="R720" s="2" t="inlineStr"/>
    </row>
    <row r="721" ht="15" customHeight="1">
      <c r="A721" t="inlineStr">
        <is>
          <t>A 52729-2025</t>
        </is>
      </c>
      <c r="B721" s="1" t="n">
        <v>45957.3636574074</v>
      </c>
      <c r="C721" s="1" t="n">
        <v>46126</v>
      </c>
      <c r="D721" t="inlineStr">
        <is>
          <t>STOCKHOLMS LÄN</t>
        </is>
      </c>
      <c r="E721" t="inlineStr">
        <is>
          <t>NORRTÄLJE</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52777-2025</t>
        </is>
      </c>
      <c r="B722" s="1" t="n">
        <v>45957.41832175926</v>
      </c>
      <c r="C722" s="1" t="n">
        <v>46126</v>
      </c>
      <c r="D722" t="inlineStr">
        <is>
          <t>STOCKHOLMS LÄN</t>
        </is>
      </c>
      <c r="E722" t="inlineStr">
        <is>
          <t>NORRTÄLJE</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52553-2025</t>
        </is>
      </c>
      <c r="B723" s="1" t="n">
        <v>45954.5624537037</v>
      </c>
      <c r="C723" s="1" t="n">
        <v>46126</v>
      </c>
      <c r="D723" t="inlineStr">
        <is>
          <t>STOCKHOLMS LÄN</t>
        </is>
      </c>
      <c r="E723" t="inlineStr">
        <is>
          <t>NORRTÄLJE</t>
        </is>
      </c>
      <c r="G723" t="n">
        <v>4.4</v>
      </c>
      <c r="H723" t="n">
        <v>0</v>
      </c>
      <c r="I723" t="n">
        <v>0</v>
      </c>
      <c r="J723" t="n">
        <v>0</v>
      </c>
      <c r="K723" t="n">
        <v>0</v>
      </c>
      <c r="L723" t="n">
        <v>0</v>
      </c>
      <c r="M723" t="n">
        <v>0</v>
      </c>
      <c r="N723" t="n">
        <v>0</v>
      </c>
      <c r="O723" t="n">
        <v>0</v>
      </c>
      <c r="P723" t="n">
        <v>0</v>
      </c>
      <c r="Q723" t="n">
        <v>0</v>
      </c>
      <c r="R723" s="2" t="inlineStr"/>
    </row>
    <row r="724" ht="15" customHeight="1">
      <c r="A724" t="inlineStr">
        <is>
          <t>A 44075-2023</t>
        </is>
      </c>
      <c r="B724" s="1" t="n">
        <v>45188.41637731482</v>
      </c>
      <c r="C724" s="1" t="n">
        <v>46126</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53087-2025</t>
        </is>
      </c>
      <c r="B725" s="1" t="n">
        <v>45958.41065972222</v>
      </c>
      <c r="C725" s="1" t="n">
        <v>46126</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52704-2025</t>
        </is>
      </c>
      <c r="B726" s="1" t="n">
        <v>45956.89097222222</v>
      </c>
      <c r="C726" s="1" t="n">
        <v>46126</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46914-2022</t>
        </is>
      </c>
      <c r="B727" s="1" t="n">
        <v>44851</v>
      </c>
      <c r="C727" s="1" t="n">
        <v>46126</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52734-2025</t>
        </is>
      </c>
      <c r="B728" s="1" t="n">
        <v>45957.3710300926</v>
      </c>
      <c r="C728" s="1" t="n">
        <v>46126</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29250-2025</t>
        </is>
      </c>
      <c r="B729" s="1" t="n">
        <v>45824.37275462963</v>
      </c>
      <c r="C729" s="1" t="n">
        <v>46126</v>
      </c>
      <c r="D729" t="inlineStr">
        <is>
          <t>STOCKHOLMS LÄN</t>
        </is>
      </c>
      <c r="E729" t="inlineStr">
        <is>
          <t>NORRTÄLJE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52773-2025</t>
        </is>
      </c>
      <c r="B730" s="1" t="n">
        <v>45957.41457175926</v>
      </c>
      <c r="C730" s="1" t="n">
        <v>46126</v>
      </c>
      <c r="D730" t="inlineStr">
        <is>
          <t>STOCKHOLMS LÄN</t>
        </is>
      </c>
      <c r="E730" t="inlineStr">
        <is>
          <t>NORRTÄLJE</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52776-2025</t>
        </is>
      </c>
      <c r="B731" s="1" t="n">
        <v>45957.41724537037</v>
      </c>
      <c r="C731" s="1" t="n">
        <v>46126</v>
      </c>
      <c r="D731" t="inlineStr">
        <is>
          <t>STOCKHOLMS LÄN</t>
        </is>
      </c>
      <c r="E731" t="inlineStr">
        <is>
          <t>NORRTÄLJE</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52703-2025</t>
        </is>
      </c>
      <c r="B732" s="1" t="n">
        <v>45956.88643518519</v>
      </c>
      <c r="C732" s="1" t="n">
        <v>46126</v>
      </c>
      <c r="D732" t="inlineStr">
        <is>
          <t>STOCKHOLMS LÄN</t>
        </is>
      </c>
      <c r="E732" t="inlineStr">
        <is>
          <t>NORRTÄLJE</t>
        </is>
      </c>
      <c r="G732" t="n">
        <v>4.7</v>
      </c>
      <c r="H732" t="n">
        <v>0</v>
      </c>
      <c r="I732" t="n">
        <v>0</v>
      </c>
      <c r="J732" t="n">
        <v>0</v>
      </c>
      <c r="K732" t="n">
        <v>0</v>
      </c>
      <c r="L732" t="n">
        <v>0</v>
      </c>
      <c r="M732" t="n">
        <v>0</v>
      </c>
      <c r="N732" t="n">
        <v>0</v>
      </c>
      <c r="O732" t="n">
        <v>0</v>
      </c>
      <c r="P732" t="n">
        <v>0</v>
      </c>
      <c r="Q732" t="n">
        <v>0</v>
      </c>
      <c r="R732" s="2" t="inlineStr"/>
    </row>
    <row r="733" ht="15" customHeight="1">
      <c r="A733" t="inlineStr">
        <is>
          <t>A 20244-2025</t>
        </is>
      </c>
      <c r="B733" s="1" t="n">
        <v>45772.71221064815</v>
      </c>
      <c r="C733" s="1" t="n">
        <v>46126</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50143-2023</t>
        </is>
      </c>
      <c r="B734" s="1" t="n">
        <v>45215</v>
      </c>
      <c r="C734" s="1" t="n">
        <v>46126</v>
      </c>
      <c r="D734" t="inlineStr">
        <is>
          <t>STOCKHOLMS LÄN</t>
        </is>
      </c>
      <c r="E734" t="inlineStr">
        <is>
          <t>NORRTÄLJE</t>
        </is>
      </c>
      <c r="G734" t="n">
        <v>10.3</v>
      </c>
      <c r="H734" t="n">
        <v>0</v>
      </c>
      <c r="I734" t="n">
        <v>0</v>
      </c>
      <c r="J734" t="n">
        <v>0</v>
      </c>
      <c r="K734" t="n">
        <v>0</v>
      </c>
      <c r="L734" t="n">
        <v>0</v>
      </c>
      <c r="M734" t="n">
        <v>0</v>
      </c>
      <c r="N734" t="n">
        <v>0</v>
      </c>
      <c r="O734" t="n">
        <v>0</v>
      </c>
      <c r="P734" t="n">
        <v>0</v>
      </c>
      <c r="Q734" t="n">
        <v>0</v>
      </c>
      <c r="R734" s="2" t="inlineStr"/>
    </row>
    <row r="735" ht="15" customHeight="1">
      <c r="A735" t="inlineStr">
        <is>
          <t>A 53000-2025</t>
        </is>
      </c>
      <c r="B735" s="1" t="n">
        <v>45957.74357638889</v>
      </c>
      <c r="C735" s="1" t="n">
        <v>46126</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53115-2025</t>
        </is>
      </c>
      <c r="B736" s="1" t="n">
        <v>45958.44614583333</v>
      </c>
      <c r="C736" s="1" t="n">
        <v>46126</v>
      </c>
      <c r="D736" t="inlineStr">
        <is>
          <t>STOCKHOLMS LÄN</t>
        </is>
      </c>
      <c r="E736" t="inlineStr">
        <is>
          <t>NORRTÄLJE</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53629-2025</t>
        </is>
      </c>
      <c r="B737" s="1" t="n">
        <v>45960.49570601852</v>
      </c>
      <c r="C737" s="1" t="n">
        <v>46126</v>
      </c>
      <c r="D737" t="inlineStr">
        <is>
          <t>STOCKHOLMS LÄN</t>
        </is>
      </c>
      <c r="E737" t="inlineStr">
        <is>
          <t>NORRTÄLJE</t>
        </is>
      </c>
      <c r="F737" t="inlineStr">
        <is>
          <t>Naturvårdsverket</t>
        </is>
      </c>
      <c r="G737" t="n">
        <v>7.9</v>
      </c>
      <c r="H737" t="n">
        <v>0</v>
      </c>
      <c r="I737" t="n">
        <v>0</v>
      </c>
      <c r="J737" t="n">
        <v>0</v>
      </c>
      <c r="K737" t="n">
        <v>0</v>
      </c>
      <c r="L737" t="n">
        <v>0</v>
      </c>
      <c r="M737" t="n">
        <v>0</v>
      </c>
      <c r="N737" t="n">
        <v>0</v>
      </c>
      <c r="O737" t="n">
        <v>0</v>
      </c>
      <c r="P737" t="n">
        <v>0</v>
      </c>
      <c r="Q737" t="n">
        <v>0</v>
      </c>
      <c r="R737" s="2" t="inlineStr"/>
    </row>
    <row r="738" ht="15" customHeight="1">
      <c r="A738" t="inlineStr">
        <is>
          <t>A 20015-2023</t>
        </is>
      </c>
      <c r="B738" s="1" t="n">
        <v>45054</v>
      </c>
      <c r="C738" s="1" t="n">
        <v>46126</v>
      </c>
      <c r="D738" t="inlineStr">
        <is>
          <t>STOCKHOLMS LÄN</t>
        </is>
      </c>
      <c r="E738" t="inlineStr">
        <is>
          <t>NORRTÄLJE</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53747-2025</t>
        </is>
      </c>
      <c r="B739" s="1" t="n">
        <v>45960.65415509259</v>
      </c>
      <c r="C739" s="1" t="n">
        <v>46126</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53299-2025</t>
        </is>
      </c>
      <c r="B740" s="1" t="n">
        <v>45959.31901620371</v>
      </c>
      <c r="C740" s="1" t="n">
        <v>46126</v>
      </c>
      <c r="D740" t="inlineStr">
        <is>
          <t>STOCKHOLMS LÄN</t>
        </is>
      </c>
      <c r="E740" t="inlineStr">
        <is>
          <t>NORRTÄLJE</t>
        </is>
      </c>
      <c r="G740" t="n">
        <v>4.8</v>
      </c>
      <c r="H740" t="n">
        <v>0</v>
      </c>
      <c r="I740" t="n">
        <v>0</v>
      </c>
      <c r="J740" t="n">
        <v>0</v>
      </c>
      <c r="K740" t="n">
        <v>0</v>
      </c>
      <c r="L740" t="n">
        <v>0</v>
      </c>
      <c r="M740" t="n">
        <v>0</v>
      </c>
      <c r="N740" t="n">
        <v>0</v>
      </c>
      <c r="O740" t="n">
        <v>0</v>
      </c>
      <c r="P740" t="n">
        <v>0</v>
      </c>
      <c r="Q740" t="n">
        <v>0</v>
      </c>
      <c r="R740" s="2" t="inlineStr"/>
    </row>
    <row r="741" ht="15" customHeight="1">
      <c r="A741" t="inlineStr">
        <is>
          <t>A 5027-2025</t>
        </is>
      </c>
      <c r="B741" s="1" t="n">
        <v>45691.41101851852</v>
      </c>
      <c r="C741" s="1" t="n">
        <v>46126</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30668-2025</t>
        </is>
      </c>
      <c r="B742" s="1" t="n">
        <v>45831.51659722222</v>
      </c>
      <c r="C742" s="1" t="n">
        <v>46126</v>
      </c>
      <c r="D742" t="inlineStr">
        <is>
          <t>STOCKHOLMS LÄN</t>
        </is>
      </c>
      <c r="E742" t="inlineStr">
        <is>
          <t>NORRTÄLJE</t>
        </is>
      </c>
      <c r="G742" t="n">
        <v>4.9</v>
      </c>
      <c r="H742" t="n">
        <v>0</v>
      </c>
      <c r="I742" t="n">
        <v>0</v>
      </c>
      <c r="J742" t="n">
        <v>0</v>
      </c>
      <c r="K742" t="n">
        <v>0</v>
      </c>
      <c r="L742" t="n">
        <v>0</v>
      </c>
      <c r="M742" t="n">
        <v>0</v>
      </c>
      <c r="N742" t="n">
        <v>0</v>
      </c>
      <c r="O742" t="n">
        <v>0</v>
      </c>
      <c r="P742" t="n">
        <v>0</v>
      </c>
      <c r="Q742" t="n">
        <v>0</v>
      </c>
      <c r="R742" s="2" t="inlineStr"/>
    </row>
    <row r="743" ht="15" customHeight="1">
      <c r="A743" t="inlineStr">
        <is>
          <t>A 8315-2025</t>
        </is>
      </c>
      <c r="B743" s="1" t="n">
        <v>45708.61761574074</v>
      </c>
      <c r="C743" s="1" t="n">
        <v>46126</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30639-2025</t>
        </is>
      </c>
      <c r="B744" s="1" t="n">
        <v>45831.4844212963</v>
      </c>
      <c r="C744" s="1" t="n">
        <v>46126</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31170-2025</t>
        </is>
      </c>
      <c r="B745" s="1" t="n">
        <v>45832.66385416667</v>
      </c>
      <c r="C745" s="1" t="n">
        <v>46126</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54907-2025</t>
        </is>
      </c>
      <c r="B746" s="1" t="n">
        <v>45967.37137731481</v>
      </c>
      <c r="C746" s="1" t="n">
        <v>46126</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12251-2025</t>
        </is>
      </c>
      <c r="B747" s="1" t="n">
        <v>45729.60859953704</v>
      </c>
      <c r="C747" s="1" t="n">
        <v>46126</v>
      </c>
      <c r="D747" t="inlineStr">
        <is>
          <t>STOCKHOLMS LÄN</t>
        </is>
      </c>
      <c r="E747" t="inlineStr">
        <is>
          <t>NORRTÄLJE</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31874-2025</t>
        </is>
      </c>
      <c r="B748" s="1" t="n">
        <v>45834</v>
      </c>
      <c r="C748" s="1" t="n">
        <v>46126</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55503-2025</t>
        </is>
      </c>
      <c r="B749" s="1" t="n">
        <v>45971</v>
      </c>
      <c r="C749" s="1" t="n">
        <v>46126</v>
      </c>
      <c r="D749" t="inlineStr">
        <is>
          <t>STOCKHOLMS LÄN</t>
        </is>
      </c>
      <c r="E749" t="inlineStr">
        <is>
          <t>NORRTÄLJE</t>
        </is>
      </c>
      <c r="G749" t="n">
        <v>3</v>
      </c>
      <c r="H749" t="n">
        <v>0</v>
      </c>
      <c r="I749" t="n">
        <v>0</v>
      </c>
      <c r="J749" t="n">
        <v>0</v>
      </c>
      <c r="K749" t="n">
        <v>0</v>
      </c>
      <c r="L749" t="n">
        <v>0</v>
      </c>
      <c r="M749" t="n">
        <v>0</v>
      </c>
      <c r="N749" t="n">
        <v>0</v>
      </c>
      <c r="O749" t="n">
        <v>0</v>
      </c>
      <c r="P749" t="n">
        <v>0</v>
      </c>
      <c r="Q749" t="n">
        <v>0</v>
      </c>
      <c r="R749" s="2" t="inlineStr"/>
    </row>
    <row r="750" ht="15" customHeight="1">
      <c r="A750" t="inlineStr">
        <is>
          <t>A 31868-2025</t>
        </is>
      </c>
      <c r="B750" s="1" t="n">
        <v>45834.6447337963</v>
      </c>
      <c r="C750" s="1" t="n">
        <v>46126</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6413-2025</t>
        </is>
      </c>
      <c r="B751" s="1" t="n">
        <v>45699.46283564815</v>
      </c>
      <c r="C751" s="1" t="n">
        <v>46126</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31880-2025</t>
        </is>
      </c>
      <c r="B752" s="1" t="n">
        <v>45834.65538194445</v>
      </c>
      <c r="C752" s="1" t="n">
        <v>46126</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55599-2025</t>
        </is>
      </c>
      <c r="B753" s="1" t="n">
        <v>45971.76810185185</v>
      </c>
      <c r="C753" s="1" t="n">
        <v>46126</v>
      </c>
      <c r="D753" t="inlineStr">
        <is>
          <t>STOCKHOLMS LÄN</t>
        </is>
      </c>
      <c r="E753" t="inlineStr">
        <is>
          <t>NORRTÄLJE</t>
        </is>
      </c>
      <c r="F753" t="inlineStr">
        <is>
          <t>Holmen skog AB</t>
        </is>
      </c>
      <c r="G753" t="n">
        <v>6.4</v>
      </c>
      <c r="H753" t="n">
        <v>0</v>
      </c>
      <c r="I753" t="n">
        <v>0</v>
      </c>
      <c r="J753" t="n">
        <v>0</v>
      </c>
      <c r="K753" t="n">
        <v>0</v>
      </c>
      <c r="L753" t="n">
        <v>0</v>
      </c>
      <c r="M753" t="n">
        <v>0</v>
      </c>
      <c r="N753" t="n">
        <v>0</v>
      </c>
      <c r="O753" t="n">
        <v>0</v>
      </c>
      <c r="P753" t="n">
        <v>0</v>
      </c>
      <c r="Q753" t="n">
        <v>0</v>
      </c>
      <c r="R753" s="2" t="inlineStr"/>
    </row>
    <row r="754" ht="15" customHeight="1">
      <c r="A754" t="inlineStr">
        <is>
          <t>A 32283-2025</t>
        </is>
      </c>
      <c r="B754" s="1" t="n">
        <v>45835.68076388889</v>
      </c>
      <c r="C754" s="1" t="n">
        <v>46126</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54776-2023</t>
        </is>
      </c>
      <c r="B755" s="1" t="n">
        <v>45236.46369212963</v>
      </c>
      <c r="C755" s="1" t="n">
        <v>46126</v>
      </c>
      <c r="D755" t="inlineStr">
        <is>
          <t>STOCKHOLMS LÄN</t>
        </is>
      </c>
      <c r="E755" t="inlineStr">
        <is>
          <t>NORRTÄLJE</t>
        </is>
      </c>
      <c r="G755" t="n">
        <v>0.3</v>
      </c>
      <c r="H755" t="n">
        <v>0</v>
      </c>
      <c r="I755" t="n">
        <v>0</v>
      </c>
      <c r="J755" t="n">
        <v>0</v>
      </c>
      <c r="K755" t="n">
        <v>0</v>
      </c>
      <c r="L755" t="n">
        <v>0</v>
      </c>
      <c r="M755" t="n">
        <v>0</v>
      </c>
      <c r="N755" t="n">
        <v>0</v>
      </c>
      <c r="O755" t="n">
        <v>0</v>
      </c>
      <c r="P755" t="n">
        <v>0</v>
      </c>
      <c r="Q755" t="n">
        <v>0</v>
      </c>
      <c r="R755" s="2" t="inlineStr"/>
    </row>
    <row r="756" ht="15" customHeight="1">
      <c r="A756" t="inlineStr">
        <is>
          <t>A 20144-2023</t>
        </is>
      </c>
      <c r="B756" s="1" t="n">
        <v>45055.43509259259</v>
      </c>
      <c r="C756" s="1" t="n">
        <v>46126</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32122-2025</t>
        </is>
      </c>
      <c r="B757" s="1" t="n">
        <v>45835.4928125</v>
      </c>
      <c r="C757" s="1" t="n">
        <v>46126</v>
      </c>
      <c r="D757" t="inlineStr">
        <is>
          <t>STOCKHOLMS LÄN</t>
        </is>
      </c>
      <c r="E757" t="inlineStr">
        <is>
          <t>NORRTÄLJE</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56207-2025</t>
        </is>
      </c>
      <c r="B758" s="1" t="n">
        <v>45974.47329861111</v>
      </c>
      <c r="C758" s="1" t="n">
        <v>46126</v>
      </c>
      <c r="D758" t="inlineStr">
        <is>
          <t>STOCKHOLMS LÄN</t>
        </is>
      </c>
      <c r="E758" t="inlineStr">
        <is>
          <t>NORRTÄLJE</t>
        </is>
      </c>
      <c r="G758" t="n">
        <v>3.2</v>
      </c>
      <c r="H758" t="n">
        <v>0</v>
      </c>
      <c r="I758" t="n">
        <v>0</v>
      </c>
      <c r="J758" t="n">
        <v>0</v>
      </c>
      <c r="K758" t="n">
        <v>0</v>
      </c>
      <c r="L758" t="n">
        <v>0</v>
      </c>
      <c r="M758" t="n">
        <v>0</v>
      </c>
      <c r="N758" t="n">
        <v>0</v>
      </c>
      <c r="O758" t="n">
        <v>0</v>
      </c>
      <c r="P758" t="n">
        <v>0</v>
      </c>
      <c r="Q758" t="n">
        <v>0</v>
      </c>
      <c r="R758" s="2" t="inlineStr"/>
    </row>
    <row r="759" ht="15" customHeight="1">
      <c r="A759" t="inlineStr">
        <is>
          <t>A 32094-2025</t>
        </is>
      </c>
      <c r="B759" s="1" t="n">
        <v>45835.46034722222</v>
      </c>
      <c r="C759" s="1" t="n">
        <v>46126</v>
      </c>
      <c r="D759" t="inlineStr">
        <is>
          <t>STOCKHOLMS LÄN</t>
        </is>
      </c>
      <c r="E759" t="inlineStr">
        <is>
          <t>NORRTÄLJE</t>
        </is>
      </c>
      <c r="F759" t="inlineStr">
        <is>
          <t>Holmen skog AB</t>
        </is>
      </c>
      <c r="G759" t="n">
        <v>2.9</v>
      </c>
      <c r="H759" t="n">
        <v>0</v>
      </c>
      <c r="I759" t="n">
        <v>0</v>
      </c>
      <c r="J759" t="n">
        <v>0</v>
      </c>
      <c r="K759" t="n">
        <v>0</v>
      </c>
      <c r="L759" t="n">
        <v>0</v>
      </c>
      <c r="M759" t="n">
        <v>0</v>
      </c>
      <c r="N759" t="n">
        <v>0</v>
      </c>
      <c r="O759" t="n">
        <v>0</v>
      </c>
      <c r="P759" t="n">
        <v>0</v>
      </c>
      <c r="Q759" t="n">
        <v>0</v>
      </c>
      <c r="R759" s="2" t="inlineStr"/>
    </row>
    <row r="760" ht="15" customHeight="1">
      <c r="A760" t="inlineStr">
        <is>
          <t>A 32016-2025</t>
        </is>
      </c>
      <c r="B760" s="1" t="n">
        <v>45835</v>
      </c>
      <c r="C760" s="1" t="n">
        <v>46126</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13314-2025</t>
        </is>
      </c>
      <c r="B761" s="1" t="n">
        <v>45735.59287037037</v>
      </c>
      <c r="C761" s="1" t="n">
        <v>46126</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56114-2025</t>
        </is>
      </c>
      <c r="B762" s="1" t="n">
        <v>45973.74474537037</v>
      </c>
      <c r="C762" s="1" t="n">
        <v>46126</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32396-2025</t>
        </is>
      </c>
      <c r="B763" s="1" t="n">
        <v>45837</v>
      </c>
      <c r="C763" s="1" t="n">
        <v>46126</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32397-2025</t>
        </is>
      </c>
      <c r="B764" s="1" t="n">
        <v>45837.94081018519</v>
      </c>
      <c r="C764" s="1" t="n">
        <v>46126</v>
      </c>
      <c r="D764" t="inlineStr">
        <is>
          <t>STOCKHOLMS LÄN</t>
        </is>
      </c>
      <c r="E764" t="inlineStr">
        <is>
          <t>NORRTÄLJE</t>
        </is>
      </c>
      <c r="G764" t="n">
        <v>5.9</v>
      </c>
      <c r="H764" t="n">
        <v>0</v>
      </c>
      <c r="I764" t="n">
        <v>0</v>
      </c>
      <c r="J764" t="n">
        <v>0</v>
      </c>
      <c r="K764" t="n">
        <v>0</v>
      </c>
      <c r="L764" t="n">
        <v>0</v>
      </c>
      <c r="M764" t="n">
        <v>0</v>
      </c>
      <c r="N764" t="n">
        <v>0</v>
      </c>
      <c r="O764" t="n">
        <v>0</v>
      </c>
      <c r="P764" t="n">
        <v>0</v>
      </c>
      <c r="Q764" t="n">
        <v>0</v>
      </c>
      <c r="R764" s="2" t="inlineStr"/>
    </row>
    <row r="765" ht="15" customHeight="1">
      <c r="A765" t="inlineStr">
        <is>
          <t>A 32480-2025</t>
        </is>
      </c>
      <c r="B765" s="1" t="n">
        <v>45838.43261574074</v>
      </c>
      <c r="C765" s="1" t="n">
        <v>46126</v>
      </c>
      <c r="D765" t="inlineStr">
        <is>
          <t>STOCKHOLMS LÄN</t>
        </is>
      </c>
      <c r="E765" t="inlineStr">
        <is>
          <t>NORRTÄLJE</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23056-2023</t>
        </is>
      </c>
      <c r="B766" s="1" t="n">
        <v>45075</v>
      </c>
      <c r="C766" s="1" t="n">
        <v>46126</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32395-2025</t>
        </is>
      </c>
      <c r="B767" s="1" t="n">
        <v>45837.93730324074</v>
      </c>
      <c r="C767" s="1" t="n">
        <v>46126</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13172-2025</t>
        </is>
      </c>
      <c r="B768" s="1" t="n">
        <v>45735.36873842592</v>
      </c>
      <c r="C768" s="1" t="n">
        <v>46126</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33211-2025</t>
        </is>
      </c>
      <c r="B769" s="1" t="n">
        <v>45840.62755787037</v>
      </c>
      <c r="C769" s="1" t="n">
        <v>46126</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32903-2025</t>
        </is>
      </c>
      <c r="B770" s="1" t="n">
        <v>45839.62398148148</v>
      </c>
      <c r="C770" s="1" t="n">
        <v>46126</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33265-2025</t>
        </is>
      </c>
      <c r="B771" s="1" t="n">
        <v>45840.67829861111</v>
      </c>
      <c r="C771" s="1" t="n">
        <v>46126</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32872-2025</t>
        </is>
      </c>
      <c r="B772" s="1" t="n">
        <v>45839</v>
      </c>
      <c r="C772" s="1" t="n">
        <v>46126</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33702-2025</t>
        </is>
      </c>
      <c r="B773" s="1" t="n">
        <v>45841.74596064815</v>
      </c>
      <c r="C773" s="1" t="n">
        <v>46126</v>
      </c>
      <c r="D773" t="inlineStr">
        <is>
          <t>STOCKHOLMS LÄN</t>
        </is>
      </c>
      <c r="E773" t="inlineStr">
        <is>
          <t>NORRTÄLJE</t>
        </is>
      </c>
      <c r="G773" t="n">
        <v>0.5</v>
      </c>
      <c r="H773" t="n">
        <v>0</v>
      </c>
      <c r="I773" t="n">
        <v>0</v>
      </c>
      <c r="J773" t="n">
        <v>0</v>
      </c>
      <c r="K773" t="n">
        <v>0</v>
      </c>
      <c r="L773" t="n">
        <v>0</v>
      </c>
      <c r="M773" t="n">
        <v>0</v>
      </c>
      <c r="N773" t="n">
        <v>0</v>
      </c>
      <c r="O773" t="n">
        <v>0</v>
      </c>
      <c r="P773" t="n">
        <v>0</v>
      </c>
      <c r="Q773" t="n">
        <v>0</v>
      </c>
      <c r="R773" s="2" t="inlineStr"/>
    </row>
    <row r="774" ht="15" customHeight="1">
      <c r="A774" t="inlineStr">
        <is>
          <t>A 33336-2025</t>
        </is>
      </c>
      <c r="B774" s="1" t="n">
        <v>45841.35611111111</v>
      </c>
      <c r="C774" s="1" t="n">
        <v>46126</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19025-2025</t>
        </is>
      </c>
      <c r="B775" s="1" t="n">
        <v>45764.6359837963</v>
      </c>
      <c r="C775" s="1" t="n">
        <v>46126</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5867-2022</t>
        </is>
      </c>
      <c r="B776" s="1" t="n">
        <v>44596.66335648148</v>
      </c>
      <c r="C776" s="1" t="n">
        <v>46126</v>
      </c>
      <c r="D776" t="inlineStr">
        <is>
          <t>STOCKHOLMS LÄN</t>
        </is>
      </c>
      <c r="E776" t="inlineStr">
        <is>
          <t>NORRTÄLJE</t>
        </is>
      </c>
      <c r="F776" t="inlineStr">
        <is>
          <t>Naturvårdsverket</t>
        </is>
      </c>
      <c r="G776" t="n">
        <v>1.6</v>
      </c>
      <c r="H776" t="n">
        <v>0</v>
      </c>
      <c r="I776" t="n">
        <v>0</v>
      </c>
      <c r="J776" t="n">
        <v>0</v>
      </c>
      <c r="K776" t="n">
        <v>0</v>
      </c>
      <c r="L776" t="n">
        <v>0</v>
      </c>
      <c r="M776" t="n">
        <v>0</v>
      </c>
      <c r="N776" t="n">
        <v>0</v>
      </c>
      <c r="O776" t="n">
        <v>0</v>
      </c>
      <c r="P776" t="n">
        <v>0</v>
      </c>
      <c r="Q776" t="n">
        <v>0</v>
      </c>
      <c r="R776" s="2" t="inlineStr"/>
    </row>
    <row r="777" ht="15" customHeight="1">
      <c r="A777" t="inlineStr">
        <is>
          <t>A 33552-2025</t>
        </is>
      </c>
      <c r="B777" s="1" t="n">
        <v>45841.5737962963</v>
      </c>
      <c r="C777" s="1" t="n">
        <v>46126</v>
      </c>
      <c r="D777" t="inlineStr">
        <is>
          <t>STOCKHOLMS LÄN</t>
        </is>
      </c>
      <c r="E777" t="inlineStr">
        <is>
          <t>NORRTÄLJE</t>
        </is>
      </c>
      <c r="G777" t="n">
        <v>8.9</v>
      </c>
      <c r="H777" t="n">
        <v>0</v>
      </c>
      <c r="I777" t="n">
        <v>0</v>
      </c>
      <c r="J777" t="n">
        <v>0</v>
      </c>
      <c r="K777" t="n">
        <v>0</v>
      </c>
      <c r="L777" t="n">
        <v>0</v>
      </c>
      <c r="M777" t="n">
        <v>0</v>
      </c>
      <c r="N777" t="n">
        <v>0</v>
      </c>
      <c r="O777" t="n">
        <v>0</v>
      </c>
      <c r="P777" t="n">
        <v>0</v>
      </c>
      <c r="Q777" t="n">
        <v>0</v>
      </c>
      <c r="R777" s="2" t="inlineStr"/>
    </row>
    <row r="778" ht="15" customHeight="1">
      <c r="A778" t="inlineStr">
        <is>
          <t>A 33824-2025</t>
        </is>
      </c>
      <c r="B778" s="1" t="n">
        <v>45842.46885416667</v>
      </c>
      <c r="C778" s="1" t="n">
        <v>46126</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73307-2021</t>
        </is>
      </c>
      <c r="B779" s="1" t="n">
        <v>44549</v>
      </c>
      <c r="C779" s="1" t="n">
        <v>46126</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46073-2024</t>
        </is>
      </c>
      <c r="B780" s="1" t="n">
        <v>45581</v>
      </c>
      <c r="C780" s="1" t="n">
        <v>46126</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58142-2025</t>
        </is>
      </c>
      <c r="B781" s="1" t="n">
        <v>45982.63791666667</v>
      </c>
      <c r="C781" s="1" t="n">
        <v>46126</v>
      </c>
      <c r="D781" t="inlineStr">
        <is>
          <t>STOCKHOLMS LÄN</t>
        </is>
      </c>
      <c r="E781" t="inlineStr">
        <is>
          <t>NORRTÄLJE</t>
        </is>
      </c>
      <c r="G781" t="n">
        <v>3.3</v>
      </c>
      <c r="H781" t="n">
        <v>0</v>
      </c>
      <c r="I781" t="n">
        <v>0</v>
      </c>
      <c r="J781" t="n">
        <v>0</v>
      </c>
      <c r="K781" t="n">
        <v>0</v>
      </c>
      <c r="L781" t="n">
        <v>0</v>
      </c>
      <c r="M781" t="n">
        <v>0</v>
      </c>
      <c r="N781" t="n">
        <v>0</v>
      </c>
      <c r="O781" t="n">
        <v>0</v>
      </c>
      <c r="P781" t="n">
        <v>0</v>
      </c>
      <c r="Q781" t="n">
        <v>0</v>
      </c>
      <c r="R781" s="2" t="inlineStr"/>
    </row>
    <row r="782" ht="15" customHeight="1">
      <c r="A782" t="inlineStr">
        <is>
          <t>A 36689-2023</t>
        </is>
      </c>
      <c r="B782" s="1" t="n">
        <v>45152</v>
      </c>
      <c r="C782" s="1" t="n">
        <v>46126</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34139-2025</t>
        </is>
      </c>
      <c r="B783" s="1" t="n">
        <v>45845</v>
      </c>
      <c r="C783" s="1" t="n">
        <v>46126</v>
      </c>
      <c r="D783" t="inlineStr">
        <is>
          <t>STOCKHOLMS LÄN</t>
        </is>
      </c>
      <c r="E783" t="inlineStr">
        <is>
          <t>NORRTÄLJE</t>
        </is>
      </c>
      <c r="G783" t="n">
        <v>5.5</v>
      </c>
      <c r="H783" t="n">
        <v>0</v>
      </c>
      <c r="I783" t="n">
        <v>0</v>
      </c>
      <c r="J783" t="n">
        <v>0</v>
      </c>
      <c r="K783" t="n">
        <v>0</v>
      </c>
      <c r="L783" t="n">
        <v>0</v>
      </c>
      <c r="M783" t="n">
        <v>0</v>
      </c>
      <c r="N783" t="n">
        <v>0</v>
      </c>
      <c r="O783" t="n">
        <v>0</v>
      </c>
      <c r="P783" t="n">
        <v>0</v>
      </c>
      <c r="Q783" t="n">
        <v>0</v>
      </c>
      <c r="R783" s="2" t="inlineStr"/>
    </row>
    <row r="784" ht="15" customHeight="1">
      <c r="A784" t="inlineStr">
        <is>
          <t>A 34006-2025</t>
        </is>
      </c>
      <c r="B784" s="1" t="n">
        <v>45844.62609953704</v>
      </c>
      <c r="C784" s="1" t="n">
        <v>46126</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21731-2023</t>
        </is>
      </c>
      <c r="B785" s="1" t="n">
        <v>45063</v>
      </c>
      <c r="C785" s="1" t="n">
        <v>46126</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21745-2023</t>
        </is>
      </c>
      <c r="B786" s="1" t="n">
        <v>45065.55917824074</v>
      </c>
      <c r="C786" s="1" t="n">
        <v>46126</v>
      </c>
      <c r="D786" t="inlineStr">
        <is>
          <t>STOCKHOLMS LÄN</t>
        </is>
      </c>
      <c r="E786" t="inlineStr">
        <is>
          <t>NORRTÄLJE</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57953-2025</t>
        </is>
      </c>
      <c r="B787" s="1" t="n">
        <v>45982.35016203704</v>
      </c>
      <c r="C787" s="1" t="n">
        <v>46126</v>
      </c>
      <c r="D787" t="inlineStr">
        <is>
          <t>STOCKHOLMS LÄN</t>
        </is>
      </c>
      <c r="E787" t="inlineStr">
        <is>
          <t>NORRTÄLJE</t>
        </is>
      </c>
      <c r="F787" t="inlineStr">
        <is>
          <t>Sveaskog</t>
        </is>
      </c>
      <c r="G787" t="n">
        <v>3</v>
      </c>
      <c r="H787" t="n">
        <v>0</v>
      </c>
      <c r="I787" t="n">
        <v>0</v>
      </c>
      <c r="J787" t="n">
        <v>0</v>
      </c>
      <c r="K787" t="n">
        <v>0</v>
      </c>
      <c r="L787" t="n">
        <v>0</v>
      </c>
      <c r="M787" t="n">
        <v>0</v>
      </c>
      <c r="N787" t="n">
        <v>0</v>
      </c>
      <c r="O787" t="n">
        <v>0</v>
      </c>
      <c r="P787" t="n">
        <v>0</v>
      </c>
      <c r="Q787" t="n">
        <v>0</v>
      </c>
      <c r="R787" s="2" t="inlineStr"/>
    </row>
    <row r="788" ht="15" customHeight="1">
      <c r="A788" t="inlineStr">
        <is>
          <t>A 34010-2025</t>
        </is>
      </c>
      <c r="B788" s="1" t="n">
        <v>45844.91234953704</v>
      </c>
      <c r="C788" s="1" t="n">
        <v>46126</v>
      </c>
      <c r="D788" t="inlineStr">
        <is>
          <t>STOCKHOLMS LÄN</t>
        </is>
      </c>
      <c r="E788" t="inlineStr">
        <is>
          <t>NORRTÄLJE</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30221-2024</t>
        </is>
      </c>
      <c r="B789" s="1" t="n">
        <v>45490.45342592592</v>
      </c>
      <c r="C789" s="1" t="n">
        <v>46126</v>
      </c>
      <c r="D789" t="inlineStr">
        <is>
          <t>STOCKHOLMS LÄN</t>
        </is>
      </c>
      <c r="E789" t="inlineStr">
        <is>
          <t>NORRTÄLJE</t>
        </is>
      </c>
      <c r="F789" t="inlineStr">
        <is>
          <t>Holmen skog AB</t>
        </is>
      </c>
      <c r="G789" t="n">
        <v>1.7</v>
      </c>
      <c r="H789" t="n">
        <v>0</v>
      </c>
      <c r="I789" t="n">
        <v>0</v>
      </c>
      <c r="J789" t="n">
        <v>0</v>
      </c>
      <c r="K789" t="n">
        <v>0</v>
      </c>
      <c r="L789" t="n">
        <v>0</v>
      </c>
      <c r="M789" t="n">
        <v>0</v>
      </c>
      <c r="N789" t="n">
        <v>0</v>
      </c>
      <c r="O789" t="n">
        <v>0</v>
      </c>
      <c r="P789" t="n">
        <v>0</v>
      </c>
      <c r="Q789" t="n">
        <v>0</v>
      </c>
      <c r="R789" s="2" t="inlineStr"/>
    </row>
    <row r="790" ht="15" customHeight="1">
      <c r="A790" t="inlineStr">
        <is>
          <t>A 26365-2024</t>
        </is>
      </c>
      <c r="B790" s="1" t="n">
        <v>45469</v>
      </c>
      <c r="C790" s="1" t="n">
        <v>46126</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50602-2021</t>
        </is>
      </c>
      <c r="B791" s="1" t="n">
        <v>44459</v>
      </c>
      <c r="C791" s="1" t="n">
        <v>46126</v>
      </c>
      <c r="D791" t="inlineStr">
        <is>
          <t>STOCKHOLMS LÄN</t>
        </is>
      </c>
      <c r="E791" t="inlineStr">
        <is>
          <t>NORRTÄLJE</t>
        </is>
      </c>
      <c r="F791" t="inlineStr">
        <is>
          <t>Holmen skog AB</t>
        </is>
      </c>
      <c r="G791" t="n">
        <v>2</v>
      </c>
      <c r="H791" t="n">
        <v>0</v>
      </c>
      <c r="I791" t="n">
        <v>0</v>
      </c>
      <c r="J791" t="n">
        <v>0</v>
      </c>
      <c r="K791" t="n">
        <v>0</v>
      </c>
      <c r="L791" t="n">
        <v>0</v>
      </c>
      <c r="M791" t="n">
        <v>0</v>
      </c>
      <c r="N791" t="n">
        <v>0</v>
      </c>
      <c r="O791" t="n">
        <v>0</v>
      </c>
      <c r="P791" t="n">
        <v>0</v>
      </c>
      <c r="Q791" t="n">
        <v>0</v>
      </c>
      <c r="R791" s="2" t="inlineStr"/>
    </row>
    <row r="792" ht="15" customHeight="1">
      <c r="A792" t="inlineStr">
        <is>
          <t>A 58403-2025</t>
        </is>
      </c>
      <c r="B792" s="1" t="n">
        <v>45985.56777777777</v>
      </c>
      <c r="C792" s="1" t="n">
        <v>46126</v>
      </c>
      <c r="D792" t="inlineStr">
        <is>
          <t>STOCKHOLMS LÄN</t>
        </is>
      </c>
      <c r="E792" t="inlineStr">
        <is>
          <t>NORRTÄLJE</t>
        </is>
      </c>
      <c r="F792" t="inlineStr">
        <is>
          <t>Naturvårdsverket</t>
        </is>
      </c>
      <c r="G792" t="n">
        <v>13.5</v>
      </c>
      <c r="H792" t="n">
        <v>0</v>
      </c>
      <c r="I792" t="n">
        <v>0</v>
      </c>
      <c r="J792" t="n">
        <v>0</v>
      </c>
      <c r="K792" t="n">
        <v>0</v>
      </c>
      <c r="L792" t="n">
        <v>0</v>
      </c>
      <c r="M792" t="n">
        <v>0</v>
      </c>
      <c r="N792" t="n">
        <v>0</v>
      </c>
      <c r="O792" t="n">
        <v>0</v>
      </c>
      <c r="P792" t="n">
        <v>0</v>
      </c>
      <c r="Q792" t="n">
        <v>0</v>
      </c>
      <c r="R792" s="2" t="inlineStr"/>
    </row>
    <row r="793" ht="15" customHeight="1">
      <c r="A793" t="inlineStr">
        <is>
          <t>A 48798-2021</t>
        </is>
      </c>
      <c r="B793" s="1" t="n">
        <v>44452</v>
      </c>
      <c r="C793" s="1" t="n">
        <v>46126</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35110-2025</t>
        </is>
      </c>
      <c r="B794" s="1" t="n">
        <v>45852.58030092593</v>
      </c>
      <c r="C794" s="1" t="n">
        <v>46126</v>
      </c>
      <c r="D794" t="inlineStr">
        <is>
          <t>STOCKHOLMS LÄN</t>
        </is>
      </c>
      <c r="E794" t="inlineStr">
        <is>
          <t>NORRTÄLJE</t>
        </is>
      </c>
      <c r="G794" t="n">
        <v>0.7</v>
      </c>
      <c r="H794" t="n">
        <v>0</v>
      </c>
      <c r="I794" t="n">
        <v>0</v>
      </c>
      <c r="J794" t="n">
        <v>0</v>
      </c>
      <c r="K794" t="n">
        <v>0</v>
      </c>
      <c r="L794" t="n">
        <v>0</v>
      </c>
      <c r="M794" t="n">
        <v>0</v>
      </c>
      <c r="N794" t="n">
        <v>0</v>
      </c>
      <c r="O794" t="n">
        <v>0</v>
      </c>
      <c r="P794" t="n">
        <v>0</v>
      </c>
      <c r="Q794" t="n">
        <v>0</v>
      </c>
      <c r="R794" s="2" t="inlineStr"/>
    </row>
    <row r="795" ht="15" customHeight="1">
      <c r="A795" t="inlineStr">
        <is>
          <t>A 58939-2025</t>
        </is>
      </c>
      <c r="B795" s="1" t="n">
        <v>45987.5681712963</v>
      </c>
      <c r="C795" s="1" t="n">
        <v>46126</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30283-2022</t>
        </is>
      </c>
      <c r="B796" s="1" t="n">
        <v>44760</v>
      </c>
      <c r="C796" s="1" t="n">
        <v>46126</v>
      </c>
      <c r="D796" t="inlineStr">
        <is>
          <t>STOCKHOLMS LÄN</t>
        </is>
      </c>
      <c r="E796" t="inlineStr">
        <is>
          <t>NORRTÄLJE</t>
        </is>
      </c>
      <c r="G796" t="n">
        <v>6.2</v>
      </c>
      <c r="H796" t="n">
        <v>0</v>
      </c>
      <c r="I796" t="n">
        <v>0</v>
      </c>
      <c r="J796" t="n">
        <v>0</v>
      </c>
      <c r="K796" t="n">
        <v>0</v>
      </c>
      <c r="L796" t="n">
        <v>0</v>
      </c>
      <c r="M796" t="n">
        <v>0</v>
      </c>
      <c r="N796" t="n">
        <v>0</v>
      </c>
      <c r="O796" t="n">
        <v>0</v>
      </c>
      <c r="P796" t="n">
        <v>0</v>
      </c>
      <c r="Q796" t="n">
        <v>0</v>
      </c>
      <c r="R796" s="2" t="inlineStr"/>
    </row>
    <row r="797" ht="15" customHeight="1">
      <c r="A797" t="inlineStr">
        <is>
          <t>A 30290-2022</t>
        </is>
      </c>
      <c r="B797" s="1" t="n">
        <v>44760</v>
      </c>
      <c r="C797" s="1" t="n">
        <v>46126</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38985-2022</t>
        </is>
      </c>
      <c r="B798" s="1" t="n">
        <v>44816</v>
      </c>
      <c r="C798" s="1" t="n">
        <v>46126</v>
      </c>
      <c r="D798" t="inlineStr">
        <is>
          <t>STOCKHOLMS LÄN</t>
        </is>
      </c>
      <c r="E798" t="inlineStr">
        <is>
          <t>NORRTÄLJE</t>
        </is>
      </c>
      <c r="G798" t="n">
        <v>10.1</v>
      </c>
      <c r="H798" t="n">
        <v>0</v>
      </c>
      <c r="I798" t="n">
        <v>0</v>
      </c>
      <c r="J798" t="n">
        <v>0</v>
      </c>
      <c r="K798" t="n">
        <v>0</v>
      </c>
      <c r="L798" t="n">
        <v>0</v>
      </c>
      <c r="M798" t="n">
        <v>0</v>
      </c>
      <c r="N798" t="n">
        <v>0</v>
      </c>
      <c r="O798" t="n">
        <v>0</v>
      </c>
      <c r="P798" t="n">
        <v>0</v>
      </c>
      <c r="Q798" t="n">
        <v>0</v>
      </c>
      <c r="R798" s="2" t="inlineStr"/>
    </row>
    <row r="799" ht="15" customHeight="1">
      <c r="A799" t="inlineStr">
        <is>
          <t>A 35254-2025</t>
        </is>
      </c>
      <c r="B799" s="1" t="n">
        <v>45853</v>
      </c>
      <c r="C799" s="1" t="n">
        <v>46126</v>
      </c>
      <c r="D799" t="inlineStr">
        <is>
          <t>STOCKHOLMS LÄN</t>
        </is>
      </c>
      <c r="E799" t="inlineStr">
        <is>
          <t>NORRTÄLJE</t>
        </is>
      </c>
      <c r="G799" t="n">
        <v>6.5</v>
      </c>
      <c r="H799" t="n">
        <v>0</v>
      </c>
      <c r="I799" t="n">
        <v>0</v>
      </c>
      <c r="J799" t="n">
        <v>0</v>
      </c>
      <c r="K799" t="n">
        <v>0</v>
      </c>
      <c r="L799" t="n">
        <v>0</v>
      </c>
      <c r="M799" t="n">
        <v>0</v>
      </c>
      <c r="N799" t="n">
        <v>0</v>
      </c>
      <c r="O799" t="n">
        <v>0</v>
      </c>
      <c r="P799" t="n">
        <v>0</v>
      </c>
      <c r="Q799" t="n">
        <v>0</v>
      </c>
      <c r="R799" s="2" t="inlineStr"/>
    </row>
    <row r="800" ht="15" customHeight="1">
      <c r="A800" t="inlineStr">
        <is>
          <t>A 25625-2023</t>
        </is>
      </c>
      <c r="B800" s="1" t="n">
        <v>45089</v>
      </c>
      <c r="C800" s="1" t="n">
        <v>46126</v>
      </c>
      <c r="D800" t="inlineStr">
        <is>
          <t>STOCKHOLMS LÄN</t>
        </is>
      </c>
      <c r="E800" t="inlineStr">
        <is>
          <t>NORRTÄLJE</t>
        </is>
      </c>
      <c r="G800" t="n">
        <v>5.5</v>
      </c>
      <c r="H800" t="n">
        <v>0</v>
      </c>
      <c r="I800" t="n">
        <v>0</v>
      </c>
      <c r="J800" t="n">
        <v>0</v>
      </c>
      <c r="K800" t="n">
        <v>0</v>
      </c>
      <c r="L800" t="n">
        <v>0</v>
      </c>
      <c r="M800" t="n">
        <v>0</v>
      </c>
      <c r="N800" t="n">
        <v>0</v>
      </c>
      <c r="O800" t="n">
        <v>0</v>
      </c>
      <c r="P800" t="n">
        <v>0</v>
      </c>
      <c r="Q800" t="n">
        <v>0</v>
      </c>
      <c r="R800" s="2" t="inlineStr"/>
    </row>
    <row r="801" ht="15" customHeight="1">
      <c r="A801" t="inlineStr">
        <is>
          <t>A 35479-2025</t>
        </is>
      </c>
      <c r="B801" s="1" t="n">
        <v>45855.69387731481</v>
      </c>
      <c r="C801" s="1" t="n">
        <v>46126</v>
      </c>
      <c r="D801" t="inlineStr">
        <is>
          <t>STOCKHOLMS LÄN</t>
        </is>
      </c>
      <c r="E801" t="inlineStr">
        <is>
          <t>NORRTÄLJE</t>
        </is>
      </c>
      <c r="F801" t="inlineStr">
        <is>
          <t>Holmen skog AB</t>
        </is>
      </c>
      <c r="G801" t="n">
        <v>1.8</v>
      </c>
      <c r="H801" t="n">
        <v>0</v>
      </c>
      <c r="I801" t="n">
        <v>0</v>
      </c>
      <c r="J801" t="n">
        <v>0</v>
      </c>
      <c r="K801" t="n">
        <v>0</v>
      </c>
      <c r="L801" t="n">
        <v>0</v>
      </c>
      <c r="M801" t="n">
        <v>0</v>
      </c>
      <c r="N801" t="n">
        <v>0</v>
      </c>
      <c r="O801" t="n">
        <v>0</v>
      </c>
      <c r="P801" t="n">
        <v>0</v>
      </c>
      <c r="Q801" t="n">
        <v>0</v>
      </c>
      <c r="R801" s="2" t="inlineStr"/>
    </row>
    <row r="802" ht="15" customHeight="1">
      <c r="A802" t="inlineStr">
        <is>
          <t>A 57788-2025</t>
        </is>
      </c>
      <c r="B802" s="1" t="n">
        <v>45981.5778125</v>
      </c>
      <c r="C802" s="1" t="n">
        <v>46126</v>
      </c>
      <c r="D802" t="inlineStr">
        <is>
          <t>STOCKHOLMS LÄN</t>
        </is>
      </c>
      <c r="E802" t="inlineStr">
        <is>
          <t>NORRTÄLJE</t>
        </is>
      </c>
      <c r="G802" t="n">
        <v>1.6</v>
      </c>
      <c r="H802" t="n">
        <v>0</v>
      </c>
      <c r="I802" t="n">
        <v>0</v>
      </c>
      <c r="J802" t="n">
        <v>0</v>
      </c>
      <c r="K802" t="n">
        <v>0</v>
      </c>
      <c r="L802" t="n">
        <v>0</v>
      </c>
      <c r="M802" t="n">
        <v>0</v>
      </c>
      <c r="N802" t="n">
        <v>0</v>
      </c>
      <c r="O802" t="n">
        <v>0</v>
      </c>
      <c r="P802" t="n">
        <v>0</v>
      </c>
      <c r="Q802" t="n">
        <v>0</v>
      </c>
      <c r="R802" s="2" t="inlineStr"/>
    </row>
    <row r="803" ht="15" customHeight="1">
      <c r="A803" t="inlineStr">
        <is>
          <t>A 35451-2025</t>
        </is>
      </c>
      <c r="B803" s="1" t="n">
        <v>45855.57033564815</v>
      </c>
      <c r="C803" s="1" t="n">
        <v>46126</v>
      </c>
      <c r="D803" t="inlineStr">
        <is>
          <t>STOCKHOLMS LÄN</t>
        </is>
      </c>
      <c r="E803" t="inlineStr">
        <is>
          <t>NORRTÄLJE</t>
        </is>
      </c>
      <c r="F803" t="inlineStr">
        <is>
          <t>Holmen skog AB</t>
        </is>
      </c>
      <c r="G803" t="n">
        <v>7.4</v>
      </c>
      <c r="H803" t="n">
        <v>0</v>
      </c>
      <c r="I803" t="n">
        <v>0</v>
      </c>
      <c r="J803" t="n">
        <v>0</v>
      </c>
      <c r="K803" t="n">
        <v>0</v>
      </c>
      <c r="L803" t="n">
        <v>0</v>
      </c>
      <c r="M803" t="n">
        <v>0</v>
      </c>
      <c r="N803" t="n">
        <v>0</v>
      </c>
      <c r="O803" t="n">
        <v>0</v>
      </c>
      <c r="P803" t="n">
        <v>0</v>
      </c>
      <c r="Q803" t="n">
        <v>0</v>
      </c>
      <c r="R803" s="2" t="inlineStr"/>
    </row>
    <row r="804" ht="15" customHeight="1">
      <c r="A804" t="inlineStr">
        <is>
          <t>A 35478-2025</t>
        </is>
      </c>
      <c r="B804" s="1" t="n">
        <v>45855.68413194444</v>
      </c>
      <c r="C804" s="1" t="n">
        <v>46126</v>
      </c>
      <c r="D804" t="inlineStr">
        <is>
          <t>STOCKHOLMS LÄN</t>
        </is>
      </c>
      <c r="E804" t="inlineStr">
        <is>
          <t>NORRTÄLJE</t>
        </is>
      </c>
      <c r="F804" t="inlineStr">
        <is>
          <t>Holmen skog AB</t>
        </is>
      </c>
      <c r="G804" t="n">
        <v>2.7</v>
      </c>
      <c r="H804" t="n">
        <v>0</v>
      </c>
      <c r="I804" t="n">
        <v>0</v>
      </c>
      <c r="J804" t="n">
        <v>0</v>
      </c>
      <c r="K804" t="n">
        <v>0</v>
      </c>
      <c r="L804" t="n">
        <v>0</v>
      </c>
      <c r="M804" t="n">
        <v>0</v>
      </c>
      <c r="N804" t="n">
        <v>0</v>
      </c>
      <c r="O804" t="n">
        <v>0</v>
      </c>
      <c r="P804" t="n">
        <v>0</v>
      </c>
      <c r="Q804" t="n">
        <v>0</v>
      </c>
      <c r="R804" s="2" t="inlineStr"/>
    </row>
    <row r="805" ht="15" customHeight="1">
      <c r="A805" t="inlineStr">
        <is>
          <t>A 59672-2025</t>
        </is>
      </c>
      <c r="B805" s="1" t="n">
        <v>45992.45884259259</v>
      </c>
      <c r="C805" s="1" t="n">
        <v>46126</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60223-2025</t>
        </is>
      </c>
      <c r="B806" s="1" t="n">
        <v>45994.54497685185</v>
      </c>
      <c r="C806" s="1" t="n">
        <v>46126</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59914-2025</t>
        </is>
      </c>
      <c r="B807" s="1" t="n">
        <v>45993.37056712963</v>
      </c>
      <c r="C807" s="1" t="n">
        <v>46126</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59041-2025</t>
        </is>
      </c>
      <c r="B808" s="1" t="n">
        <v>45988</v>
      </c>
      <c r="C808" s="1" t="n">
        <v>46126</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20698-2025</t>
        </is>
      </c>
      <c r="B809" s="1" t="n">
        <v>45776.47122685185</v>
      </c>
      <c r="C809" s="1" t="n">
        <v>46126</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46126</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60253-2025</t>
        </is>
      </c>
      <c r="B811" s="1" t="n">
        <v>45994.59827546297</v>
      </c>
      <c r="C811" s="1" t="n">
        <v>46126</v>
      </c>
      <c r="D811" t="inlineStr">
        <is>
          <t>STOCKHOLMS LÄN</t>
        </is>
      </c>
      <c r="E811" t="inlineStr">
        <is>
          <t>NORRTÄLJE</t>
        </is>
      </c>
      <c r="F811" t="inlineStr">
        <is>
          <t>Holmen skog AB</t>
        </is>
      </c>
      <c r="G811" t="n">
        <v>3.6</v>
      </c>
      <c r="H811" t="n">
        <v>0</v>
      </c>
      <c r="I811" t="n">
        <v>0</v>
      </c>
      <c r="J811" t="n">
        <v>0</v>
      </c>
      <c r="K811" t="n">
        <v>0</v>
      </c>
      <c r="L811" t="n">
        <v>0</v>
      </c>
      <c r="M811" t="n">
        <v>0</v>
      </c>
      <c r="N811" t="n">
        <v>0</v>
      </c>
      <c r="O811" t="n">
        <v>0</v>
      </c>
      <c r="P811" t="n">
        <v>0</v>
      </c>
      <c r="Q811" t="n">
        <v>0</v>
      </c>
      <c r="R811" s="2" t="inlineStr"/>
    </row>
    <row r="812" ht="15" customHeight="1">
      <c r="A812" t="inlineStr">
        <is>
          <t>A 59907-2025</t>
        </is>
      </c>
      <c r="B812" s="1" t="n">
        <v>45993.35350694445</v>
      </c>
      <c r="C812" s="1" t="n">
        <v>46126</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59924-2025</t>
        </is>
      </c>
      <c r="B813" s="1" t="n">
        <v>45993.38928240741</v>
      </c>
      <c r="C813" s="1" t="n">
        <v>46126</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36396-2025</t>
        </is>
      </c>
      <c r="B814" s="1" t="n">
        <v>45868.62267361111</v>
      </c>
      <c r="C814" s="1" t="n">
        <v>46126</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14132-2025</t>
        </is>
      </c>
      <c r="B815" s="1" t="n">
        <v>45740.47550925926</v>
      </c>
      <c r="C815" s="1" t="n">
        <v>46126</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14133-2025</t>
        </is>
      </c>
      <c r="B816" s="1" t="n">
        <v>45740.47724537037</v>
      </c>
      <c r="C816" s="1" t="n">
        <v>46126</v>
      </c>
      <c r="D816" t="inlineStr">
        <is>
          <t>STOCKHOLMS LÄN</t>
        </is>
      </c>
      <c r="E816" t="inlineStr">
        <is>
          <t>NORRTÄLJE</t>
        </is>
      </c>
      <c r="G816" t="n">
        <v>0.4</v>
      </c>
      <c r="H816" t="n">
        <v>0</v>
      </c>
      <c r="I816" t="n">
        <v>0</v>
      </c>
      <c r="J816" t="n">
        <v>0</v>
      </c>
      <c r="K816" t="n">
        <v>0</v>
      </c>
      <c r="L816" t="n">
        <v>0</v>
      </c>
      <c r="M816" t="n">
        <v>0</v>
      </c>
      <c r="N816" t="n">
        <v>0</v>
      </c>
      <c r="O816" t="n">
        <v>0</v>
      </c>
      <c r="P816" t="n">
        <v>0</v>
      </c>
      <c r="Q816" t="n">
        <v>0</v>
      </c>
      <c r="R816" s="2" t="inlineStr"/>
    </row>
    <row r="817" ht="15" customHeight="1">
      <c r="A817" t="inlineStr">
        <is>
          <t>A 7186-2024</t>
        </is>
      </c>
      <c r="B817" s="1" t="n">
        <v>45344</v>
      </c>
      <c r="C817" s="1" t="n">
        <v>46126</v>
      </c>
      <c r="D817" t="inlineStr">
        <is>
          <t>STOCKHOLMS LÄN</t>
        </is>
      </c>
      <c r="E817" t="inlineStr">
        <is>
          <t>NORRTÄLJE</t>
        </is>
      </c>
      <c r="G817" t="n">
        <v>4.9</v>
      </c>
      <c r="H817" t="n">
        <v>0</v>
      </c>
      <c r="I817" t="n">
        <v>0</v>
      </c>
      <c r="J817" t="n">
        <v>0</v>
      </c>
      <c r="K817" t="n">
        <v>0</v>
      </c>
      <c r="L817" t="n">
        <v>0</v>
      </c>
      <c r="M817" t="n">
        <v>0</v>
      </c>
      <c r="N817" t="n">
        <v>0</v>
      </c>
      <c r="O817" t="n">
        <v>0</v>
      </c>
      <c r="P817" t="n">
        <v>0</v>
      </c>
      <c r="Q817" t="n">
        <v>0</v>
      </c>
      <c r="R817" s="2" t="inlineStr"/>
    </row>
    <row r="818" ht="15" customHeight="1">
      <c r="A818" t="inlineStr">
        <is>
          <t>A 22232-2024</t>
        </is>
      </c>
      <c r="B818" s="1" t="n">
        <v>45446.4287962963</v>
      </c>
      <c r="C818" s="1" t="n">
        <v>46126</v>
      </c>
      <c r="D818" t="inlineStr">
        <is>
          <t>STOCKHOLMS LÄN</t>
        </is>
      </c>
      <c r="E818" t="inlineStr">
        <is>
          <t>NORRTÄLJE</t>
        </is>
      </c>
      <c r="G818" t="n">
        <v>12.8</v>
      </c>
      <c r="H818" t="n">
        <v>0</v>
      </c>
      <c r="I818" t="n">
        <v>0</v>
      </c>
      <c r="J818" t="n">
        <v>0</v>
      </c>
      <c r="K818" t="n">
        <v>0</v>
      </c>
      <c r="L818" t="n">
        <v>0</v>
      </c>
      <c r="M818" t="n">
        <v>0</v>
      </c>
      <c r="N818" t="n">
        <v>0</v>
      </c>
      <c r="O818" t="n">
        <v>0</v>
      </c>
      <c r="P818" t="n">
        <v>0</v>
      </c>
      <c r="Q818" t="n">
        <v>0</v>
      </c>
      <c r="R818" s="2" t="inlineStr"/>
    </row>
    <row r="819" ht="15" customHeight="1">
      <c r="A819" t="inlineStr">
        <is>
          <t>A 34444-2024</t>
        </is>
      </c>
      <c r="B819" s="1" t="n">
        <v>45525</v>
      </c>
      <c r="C819" s="1" t="n">
        <v>46126</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60649-2025</t>
        </is>
      </c>
      <c r="B820" s="1" t="n">
        <v>45996.4560300926</v>
      </c>
      <c r="C820" s="1" t="n">
        <v>46126</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39202-2024</t>
        </is>
      </c>
      <c r="B821" s="1" t="n">
        <v>45548.72306712963</v>
      </c>
      <c r="C821" s="1" t="n">
        <v>46126</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60745-2025</t>
        </is>
      </c>
      <c r="B822" s="1" t="n">
        <v>45999.37753472223</v>
      </c>
      <c r="C822" s="1" t="n">
        <v>46126</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60928-2025</t>
        </is>
      </c>
      <c r="B823" s="1" t="n">
        <v>45999.633125</v>
      </c>
      <c r="C823" s="1" t="n">
        <v>46126</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60948-2025</t>
        </is>
      </c>
      <c r="B824" s="1" t="n">
        <v>45999.650625</v>
      </c>
      <c r="C824" s="1" t="n">
        <v>46126</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61160-2025</t>
        </is>
      </c>
      <c r="B825" s="1" t="n">
        <v>46000.55262731481</v>
      </c>
      <c r="C825" s="1" t="n">
        <v>46126</v>
      </c>
      <c r="D825" t="inlineStr">
        <is>
          <t>STOCKHOLMS LÄN</t>
        </is>
      </c>
      <c r="E825" t="inlineStr">
        <is>
          <t>NORRTÄLJE</t>
        </is>
      </c>
      <c r="G825" t="n">
        <v>5.3</v>
      </c>
      <c r="H825" t="n">
        <v>0</v>
      </c>
      <c r="I825" t="n">
        <v>0</v>
      </c>
      <c r="J825" t="n">
        <v>0</v>
      </c>
      <c r="K825" t="n">
        <v>0</v>
      </c>
      <c r="L825" t="n">
        <v>0</v>
      </c>
      <c r="M825" t="n">
        <v>0</v>
      </c>
      <c r="N825" t="n">
        <v>0</v>
      </c>
      <c r="O825" t="n">
        <v>0</v>
      </c>
      <c r="P825" t="n">
        <v>0</v>
      </c>
      <c r="Q825" t="n">
        <v>0</v>
      </c>
      <c r="R825" s="2" t="inlineStr"/>
    </row>
    <row r="826" ht="15" customHeight="1">
      <c r="A826" t="inlineStr">
        <is>
          <t>A 53792-2023</t>
        </is>
      </c>
      <c r="B826" s="1" t="n">
        <v>45231.34144675926</v>
      </c>
      <c r="C826" s="1" t="n">
        <v>46126</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11280-2023</t>
        </is>
      </c>
      <c r="B827" s="1" t="n">
        <v>44992</v>
      </c>
      <c r="C827" s="1" t="n">
        <v>46126</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61769-2025</t>
        </is>
      </c>
      <c r="B828" s="1" t="n">
        <v>46002.64556712963</v>
      </c>
      <c r="C828" s="1" t="n">
        <v>46126</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61764-2025</t>
        </is>
      </c>
      <c r="B829" s="1" t="n">
        <v>46002.62763888889</v>
      </c>
      <c r="C829" s="1" t="n">
        <v>46126</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57442-2021</t>
        </is>
      </c>
      <c r="B830" s="1" t="n">
        <v>44483</v>
      </c>
      <c r="C830" s="1" t="n">
        <v>46126</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19952-2023</t>
        </is>
      </c>
      <c r="B831" s="1" t="n">
        <v>45054.54091435186</v>
      </c>
      <c r="C831" s="1" t="n">
        <v>46126</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19994-2023</t>
        </is>
      </c>
      <c r="B832" s="1" t="n">
        <v>45054</v>
      </c>
      <c r="C832" s="1" t="n">
        <v>46126</v>
      </c>
      <c r="D832" t="inlineStr">
        <is>
          <t>STOCKHOLMS LÄN</t>
        </is>
      </c>
      <c r="E832" t="inlineStr">
        <is>
          <t>NORRTÄLJE</t>
        </is>
      </c>
      <c r="G832" t="n">
        <v>4.3</v>
      </c>
      <c r="H832" t="n">
        <v>0</v>
      </c>
      <c r="I832" t="n">
        <v>0</v>
      </c>
      <c r="J832" t="n">
        <v>0</v>
      </c>
      <c r="K832" t="n">
        <v>0</v>
      </c>
      <c r="L832" t="n">
        <v>0</v>
      </c>
      <c r="M832" t="n">
        <v>0</v>
      </c>
      <c r="N832" t="n">
        <v>0</v>
      </c>
      <c r="O832" t="n">
        <v>0</v>
      </c>
      <c r="P832" t="n">
        <v>0</v>
      </c>
      <c r="Q832" t="n">
        <v>0</v>
      </c>
      <c r="R832" s="2" t="inlineStr"/>
    </row>
    <row r="833" ht="15" customHeight="1">
      <c r="A833" t="inlineStr">
        <is>
          <t>A 61289-2025</t>
        </is>
      </c>
      <c r="B833" s="1" t="n">
        <v>46000.73659722223</v>
      </c>
      <c r="C833" s="1" t="n">
        <v>46126</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61419-2025</t>
        </is>
      </c>
      <c r="B834" s="1" t="n">
        <v>46001.54137731482</v>
      </c>
      <c r="C834" s="1" t="n">
        <v>46126</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61430-2025</t>
        </is>
      </c>
      <c r="B835" s="1" t="n">
        <v>46001.55583333333</v>
      </c>
      <c r="C835" s="1" t="n">
        <v>46126</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61452-2025</t>
        </is>
      </c>
      <c r="B836" s="1" t="n">
        <v>46001.58043981482</v>
      </c>
      <c r="C836" s="1" t="n">
        <v>46126</v>
      </c>
      <c r="D836" t="inlineStr">
        <is>
          <t>STOCKHOLMS LÄN</t>
        </is>
      </c>
      <c r="E836" t="inlineStr">
        <is>
          <t>NORRTÄLJE</t>
        </is>
      </c>
      <c r="F836" t="inlineStr">
        <is>
          <t>Holmen skog AB</t>
        </is>
      </c>
      <c r="G836" t="n">
        <v>3.7</v>
      </c>
      <c r="H836" t="n">
        <v>0</v>
      </c>
      <c r="I836" t="n">
        <v>0</v>
      </c>
      <c r="J836" t="n">
        <v>0</v>
      </c>
      <c r="K836" t="n">
        <v>0</v>
      </c>
      <c r="L836" t="n">
        <v>0</v>
      </c>
      <c r="M836" t="n">
        <v>0</v>
      </c>
      <c r="N836" t="n">
        <v>0</v>
      </c>
      <c r="O836" t="n">
        <v>0</v>
      </c>
      <c r="P836" t="n">
        <v>0</v>
      </c>
      <c r="Q836" t="n">
        <v>0</v>
      </c>
      <c r="R836" s="2" t="inlineStr"/>
    </row>
    <row r="837" ht="15" customHeight="1">
      <c r="A837" t="inlineStr">
        <is>
          <t>A 37261-2025</t>
        </is>
      </c>
      <c r="B837" s="1" t="n">
        <v>45876.45253472222</v>
      </c>
      <c r="C837" s="1" t="n">
        <v>46126</v>
      </c>
      <c r="D837" t="inlineStr">
        <is>
          <t>STOCKHOLMS LÄN</t>
        </is>
      </c>
      <c r="E837" t="inlineStr">
        <is>
          <t>NORRTÄLJE</t>
        </is>
      </c>
      <c r="F837" t="inlineStr">
        <is>
          <t>Kommuner</t>
        </is>
      </c>
      <c r="G837" t="n">
        <v>2.2</v>
      </c>
      <c r="H837" t="n">
        <v>0</v>
      </c>
      <c r="I837" t="n">
        <v>0</v>
      </c>
      <c r="J837" t="n">
        <v>0</v>
      </c>
      <c r="K837" t="n">
        <v>0</v>
      </c>
      <c r="L837" t="n">
        <v>0</v>
      </c>
      <c r="M837" t="n">
        <v>0</v>
      </c>
      <c r="N837" t="n">
        <v>0</v>
      </c>
      <c r="O837" t="n">
        <v>0</v>
      </c>
      <c r="P837" t="n">
        <v>0</v>
      </c>
      <c r="Q837" t="n">
        <v>0</v>
      </c>
      <c r="R837" s="2" t="inlineStr"/>
    </row>
    <row r="838" ht="15" customHeight="1">
      <c r="A838" t="inlineStr">
        <is>
          <t>A 29003-2023</t>
        </is>
      </c>
      <c r="B838" s="1" t="n">
        <v>45104</v>
      </c>
      <c r="C838" s="1" t="n">
        <v>46126</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20692-2025</t>
        </is>
      </c>
      <c r="B839" s="1" t="n">
        <v>45776.46369212963</v>
      </c>
      <c r="C839" s="1" t="n">
        <v>46126</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46071-2024</t>
        </is>
      </c>
      <c r="B840" s="1" t="n">
        <v>45581</v>
      </c>
      <c r="C840" s="1" t="n">
        <v>46126</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53499-2025</t>
        </is>
      </c>
      <c r="B841" s="1" t="n">
        <v>45960</v>
      </c>
      <c r="C841" s="1" t="n">
        <v>46126</v>
      </c>
      <c r="D841" t="inlineStr">
        <is>
          <t>STOCKHOLMS LÄN</t>
        </is>
      </c>
      <c r="E841" t="inlineStr">
        <is>
          <t>NORRTÄLJE</t>
        </is>
      </c>
      <c r="G841" t="n">
        <v>23.8</v>
      </c>
      <c r="H841" t="n">
        <v>0</v>
      </c>
      <c r="I841" t="n">
        <v>0</v>
      </c>
      <c r="J841" t="n">
        <v>0</v>
      </c>
      <c r="K841" t="n">
        <v>0</v>
      </c>
      <c r="L841" t="n">
        <v>0</v>
      </c>
      <c r="M841" t="n">
        <v>0</v>
      </c>
      <c r="N841" t="n">
        <v>0</v>
      </c>
      <c r="O841" t="n">
        <v>0</v>
      </c>
      <c r="P841" t="n">
        <v>0</v>
      </c>
      <c r="Q841" t="n">
        <v>0</v>
      </c>
      <c r="R841" s="2" t="inlineStr"/>
    </row>
    <row r="842" ht="15" customHeight="1">
      <c r="A842" t="inlineStr">
        <is>
          <t>A 29369-2024</t>
        </is>
      </c>
      <c r="B842" s="1" t="n">
        <v>45483.57244212963</v>
      </c>
      <c r="C842" s="1" t="n">
        <v>46126</v>
      </c>
      <c r="D842" t="inlineStr">
        <is>
          <t>STOCKHOLMS LÄN</t>
        </is>
      </c>
      <c r="E842" t="inlineStr">
        <is>
          <t>NORRTÄLJE</t>
        </is>
      </c>
      <c r="G842" t="n">
        <v>15.9</v>
      </c>
      <c r="H842" t="n">
        <v>0</v>
      </c>
      <c r="I842" t="n">
        <v>0</v>
      </c>
      <c r="J842" t="n">
        <v>0</v>
      </c>
      <c r="K842" t="n">
        <v>0</v>
      </c>
      <c r="L842" t="n">
        <v>0</v>
      </c>
      <c r="M842" t="n">
        <v>0</v>
      </c>
      <c r="N842" t="n">
        <v>0</v>
      </c>
      <c r="O842" t="n">
        <v>0</v>
      </c>
      <c r="P842" t="n">
        <v>0</v>
      </c>
      <c r="Q842" t="n">
        <v>0</v>
      </c>
      <c r="R842" s="2" t="inlineStr"/>
    </row>
    <row r="843" ht="15" customHeight="1">
      <c r="A843" t="inlineStr">
        <is>
          <t>A 37630-2025</t>
        </is>
      </c>
      <c r="B843" s="1" t="n">
        <v>45880.46372685185</v>
      </c>
      <c r="C843" s="1" t="n">
        <v>46126</v>
      </c>
      <c r="D843" t="inlineStr">
        <is>
          <t>STOCKHOLMS LÄN</t>
        </is>
      </c>
      <c r="E843" t="inlineStr">
        <is>
          <t>NORRTÄLJE</t>
        </is>
      </c>
      <c r="F843" t="inlineStr">
        <is>
          <t>Sveaskog</t>
        </is>
      </c>
      <c r="G843" t="n">
        <v>12.9</v>
      </c>
      <c r="H843" t="n">
        <v>0</v>
      </c>
      <c r="I843" t="n">
        <v>0</v>
      </c>
      <c r="J843" t="n">
        <v>0</v>
      </c>
      <c r="K843" t="n">
        <v>0</v>
      </c>
      <c r="L843" t="n">
        <v>0</v>
      </c>
      <c r="M843" t="n">
        <v>0</v>
      </c>
      <c r="N843" t="n">
        <v>0</v>
      </c>
      <c r="O843" t="n">
        <v>0</v>
      </c>
      <c r="P843" t="n">
        <v>0</v>
      </c>
      <c r="Q843" t="n">
        <v>0</v>
      </c>
      <c r="R843" s="2" t="inlineStr"/>
    </row>
    <row r="844" ht="15" customHeight="1">
      <c r="A844" t="inlineStr">
        <is>
          <t>A 15956-2023</t>
        </is>
      </c>
      <c r="B844" s="1" t="n">
        <v>45022.61003472222</v>
      </c>
      <c r="C844" s="1" t="n">
        <v>46126</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37632-2025</t>
        </is>
      </c>
      <c r="B845" s="1" t="n">
        <v>45880.46524305556</v>
      </c>
      <c r="C845" s="1" t="n">
        <v>46126</v>
      </c>
      <c r="D845" t="inlineStr">
        <is>
          <t>STOCKHOLMS LÄN</t>
        </is>
      </c>
      <c r="E845" t="inlineStr">
        <is>
          <t>NORRTÄLJE</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29841-2024</t>
        </is>
      </c>
      <c r="B846" s="1" t="n">
        <v>45485.60261574074</v>
      </c>
      <c r="C846" s="1" t="n">
        <v>46126</v>
      </c>
      <c r="D846" t="inlineStr">
        <is>
          <t>STOCKHOLMS LÄN</t>
        </is>
      </c>
      <c r="E846" t="inlineStr">
        <is>
          <t>NORRTÄLJE</t>
        </is>
      </c>
      <c r="G846" t="n">
        <v>15.9</v>
      </c>
      <c r="H846" t="n">
        <v>0</v>
      </c>
      <c r="I846" t="n">
        <v>0</v>
      </c>
      <c r="J846" t="n">
        <v>0</v>
      </c>
      <c r="K846" t="n">
        <v>0</v>
      </c>
      <c r="L846" t="n">
        <v>0</v>
      </c>
      <c r="M846" t="n">
        <v>0</v>
      </c>
      <c r="N846" t="n">
        <v>0</v>
      </c>
      <c r="O846" t="n">
        <v>0</v>
      </c>
      <c r="P846" t="n">
        <v>0</v>
      </c>
      <c r="Q846" t="n">
        <v>0</v>
      </c>
      <c r="R846" s="2" t="inlineStr"/>
    </row>
    <row r="847" ht="15" customHeight="1">
      <c r="A847" t="inlineStr">
        <is>
          <t>A 62708-2025</t>
        </is>
      </c>
      <c r="B847" s="1" t="n">
        <v>46008.50986111111</v>
      </c>
      <c r="C847" s="1" t="n">
        <v>46126</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62689-2025</t>
        </is>
      </c>
      <c r="B848" s="1" t="n">
        <v>46008.47171296296</v>
      </c>
      <c r="C848" s="1" t="n">
        <v>46126</v>
      </c>
      <c r="D848" t="inlineStr">
        <is>
          <t>STOCKHOLMS LÄN</t>
        </is>
      </c>
      <c r="E848" t="inlineStr">
        <is>
          <t>NORRTÄLJE</t>
        </is>
      </c>
      <c r="F848" t="inlineStr">
        <is>
          <t>Kyrkan</t>
        </is>
      </c>
      <c r="G848" t="n">
        <v>0.7</v>
      </c>
      <c r="H848" t="n">
        <v>0</v>
      </c>
      <c r="I848" t="n">
        <v>0</v>
      </c>
      <c r="J848" t="n">
        <v>0</v>
      </c>
      <c r="K848" t="n">
        <v>0</v>
      </c>
      <c r="L848" t="n">
        <v>0</v>
      </c>
      <c r="M848" t="n">
        <v>0</v>
      </c>
      <c r="N848" t="n">
        <v>0</v>
      </c>
      <c r="O848" t="n">
        <v>0</v>
      </c>
      <c r="P848" t="n">
        <v>0</v>
      </c>
      <c r="Q848" t="n">
        <v>0</v>
      </c>
      <c r="R848" s="2" t="inlineStr"/>
    </row>
    <row r="849" ht="15" customHeight="1">
      <c r="A849" t="inlineStr">
        <is>
          <t>A 37628-2025</t>
        </is>
      </c>
      <c r="B849" s="1" t="n">
        <v>45880.46189814815</v>
      </c>
      <c r="C849" s="1" t="n">
        <v>46126</v>
      </c>
      <c r="D849" t="inlineStr">
        <is>
          <t>STOCKHOLMS LÄN</t>
        </is>
      </c>
      <c r="E849" t="inlineStr">
        <is>
          <t>NORRTÄLJE</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33279-2025</t>
        </is>
      </c>
      <c r="B850" s="1" t="n">
        <v>45840</v>
      </c>
      <c r="C850" s="1" t="n">
        <v>46126</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24350-2025</t>
        </is>
      </c>
      <c r="B851" s="1" t="n">
        <v>45797.58350694444</v>
      </c>
      <c r="C851" s="1" t="n">
        <v>46126</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26703-2025</t>
        </is>
      </c>
      <c r="B852" s="1" t="n">
        <v>45810.45263888889</v>
      </c>
      <c r="C852" s="1" t="n">
        <v>46126</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62681-2025</t>
        </is>
      </c>
      <c r="B853" s="1" t="n">
        <v>46008.45534722223</v>
      </c>
      <c r="C853" s="1" t="n">
        <v>46126</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13137-2024</t>
        </is>
      </c>
      <c r="B854" s="1" t="n">
        <v>45386.34175925926</v>
      </c>
      <c r="C854" s="1" t="n">
        <v>46126</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38153-2025</t>
        </is>
      </c>
      <c r="B855" s="1" t="n">
        <v>45882.59722222222</v>
      </c>
      <c r="C855" s="1" t="n">
        <v>46126</v>
      </c>
      <c r="D855" t="inlineStr">
        <is>
          <t>STOCKHOLMS LÄN</t>
        </is>
      </c>
      <c r="E855" t="inlineStr">
        <is>
          <t>NORRTÄLJE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v>
      </c>
      <c r="C856" s="1" t="n">
        <v>46126</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13053-2022</t>
        </is>
      </c>
      <c r="B857" s="1" t="n">
        <v>44643</v>
      </c>
      <c r="C857" s="1" t="n">
        <v>46126</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62922-2025</t>
        </is>
      </c>
      <c r="B858" s="1" t="n">
        <v>46009.38064814815</v>
      </c>
      <c r="C858" s="1" t="n">
        <v>46126</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3383-2023</t>
        </is>
      </c>
      <c r="B859" s="1" t="n">
        <v>44949</v>
      </c>
      <c r="C859" s="1" t="n">
        <v>46126</v>
      </c>
      <c r="D859" t="inlineStr">
        <is>
          <t>STOCKHOLMS LÄN</t>
        </is>
      </c>
      <c r="E859" t="inlineStr">
        <is>
          <t>NORRTÄLJE</t>
        </is>
      </c>
      <c r="G859" t="n">
        <v>14.6</v>
      </c>
      <c r="H859" t="n">
        <v>0</v>
      </c>
      <c r="I859" t="n">
        <v>0</v>
      </c>
      <c r="J859" t="n">
        <v>0</v>
      </c>
      <c r="K859" t="n">
        <v>0</v>
      </c>
      <c r="L859" t="n">
        <v>0</v>
      </c>
      <c r="M859" t="n">
        <v>0</v>
      </c>
      <c r="N859" t="n">
        <v>0</v>
      </c>
      <c r="O859" t="n">
        <v>0</v>
      </c>
      <c r="P859" t="n">
        <v>0</v>
      </c>
      <c r="Q859" t="n">
        <v>0</v>
      </c>
      <c r="R859" s="2" t="inlineStr"/>
    </row>
    <row r="860" ht="15" customHeight="1">
      <c r="A860" t="inlineStr">
        <is>
          <t>A 4316-2023</t>
        </is>
      </c>
      <c r="B860" s="1" t="n">
        <v>44953.67443287037</v>
      </c>
      <c r="C860" s="1" t="n">
        <v>46126</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5839-2023</t>
        </is>
      </c>
      <c r="B861" s="1" t="n">
        <v>44963</v>
      </c>
      <c r="C861" s="1" t="n">
        <v>46126</v>
      </c>
      <c r="D861" t="inlineStr">
        <is>
          <t>STOCKHOLMS LÄN</t>
        </is>
      </c>
      <c r="E861" t="inlineStr">
        <is>
          <t>NORRTÄLJE</t>
        </is>
      </c>
      <c r="G861" t="n">
        <v>3.6</v>
      </c>
      <c r="H861" t="n">
        <v>0</v>
      </c>
      <c r="I861" t="n">
        <v>0</v>
      </c>
      <c r="J861" t="n">
        <v>0</v>
      </c>
      <c r="K861" t="n">
        <v>0</v>
      </c>
      <c r="L861" t="n">
        <v>0</v>
      </c>
      <c r="M861" t="n">
        <v>0</v>
      </c>
      <c r="N861" t="n">
        <v>0</v>
      </c>
      <c r="O861" t="n">
        <v>0</v>
      </c>
      <c r="P861" t="n">
        <v>0</v>
      </c>
      <c r="Q861" t="n">
        <v>0</v>
      </c>
      <c r="R861" s="2" t="inlineStr"/>
    </row>
    <row r="862" ht="15" customHeight="1">
      <c r="A862" t="inlineStr">
        <is>
          <t>A 5804-2025</t>
        </is>
      </c>
      <c r="B862" s="1" t="n">
        <v>45694.68207175926</v>
      </c>
      <c r="C862" s="1" t="n">
        <v>46126</v>
      </c>
      <c r="D862" t="inlineStr">
        <is>
          <t>STOCKHOLMS LÄN</t>
        </is>
      </c>
      <c r="E862" t="inlineStr">
        <is>
          <t>NORRTÄLJE</t>
        </is>
      </c>
      <c r="F862" t="inlineStr">
        <is>
          <t>Holmen skog AB</t>
        </is>
      </c>
      <c r="G862" t="n">
        <v>2.6</v>
      </c>
      <c r="H862" t="n">
        <v>0</v>
      </c>
      <c r="I862" t="n">
        <v>0</v>
      </c>
      <c r="J862" t="n">
        <v>0</v>
      </c>
      <c r="K862" t="n">
        <v>0</v>
      </c>
      <c r="L862" t="n">
        <v>0</v>
      </c>
      <c r="M862" t="n">
        <v>0</v>
      </c>
      <c r="N862" t="n">
        <v>0</v>
      </c>
      <c r="O862" t="n">
        <v>0</v>
      </c>
      <c r="P862" t="n">
        <v>0</v>
      </c>
      <c r="Q862" t="n">
        <v>0</v>
      </c>
      <c r="R862" s="2" t="inlineStr"/>
    </row>
    <row r="863" ht="15" customHeight="1">
      <c r="A863" t="inlineStr">
        <is>
          <t>A 24705-2023</t>
        </is>
      </c>
      <c r="B863" s="1" t="n">
        <v>45084.54459490741</v>
      </c>
      <c r="C863" s="1" t="n">
        <v>46126</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54358-2022</t>
        </is>
      </c>
      <c r="B864" s="1" t="n">
        <v>44882</v>
      </c>
      <c r="C864" s="1" t="n">
        <v>46126</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23749-2024</t>
        </is>
      </c>
      <c r="B865" s="1" t="n">
        <v>45455.33037037037</v>
      </c>
      <c r="C865" s="1" t="n">
        <v>46126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35698-2023</t>
        </is>
      </c>
      <c r="B866" s="1" t="n">
        <v>45147</v>
      </c>
      <c r="C866" s="1" t="n">
        <v>46126</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73992-2021</t>
        </is>
      </c>
      <c r="B867" s="1" t="n">
        <v>44556</v>
      </c>
      <c r="C867" s="1" t="n">
        <v>46126</v>
      </c>
      <c r="D867" t="inlineStr">
        <is>
          <t>STOCKHOLMS LÄN</t>
        </is>
      </c>
      <c r="E867" t="inlineStr">
        <is>
          <t>NORRTÄLJE</t>
        </is>
      </c>
      <c r="G867" t="n">
        <v>12.5</v>
      </c>
      <c r="H867" t="n">
        <v>0</v>
      </c>
      <c r="I867" t="n">
        <v>0</v>
      </c>
      <c r="J867" t="n">
        <v>0</v>
      </c>
      <c r="K867" t="n">
        <v>0</v>
      </c>
      <c r="L867" t="n">
        <v>0</v>
      </c>
      <c r="M867" t="n">
        <v>0</v>
      </c>
      <c r="N867" t="n">
        <v>0</v>
      </c>
      <c r="O867" t="n">
        <v>0</v>
      </c>
      <c r="P867" t="n">
        <v>0</v>
      </c>
      <c r="Q867" t="n">
        <v>0</v>
      </c>
      <c r="R867" s="2" t="inlineStr"/>
    </row>
    <row r="868" ht="15" customHeight="1">
      <c r="A868" t="inlineStr">
        <is>
          <t>A 21329-2022</t>
        </is>
      </c>
      <c r="B868" s="1" t="n">
        <v>44705.60626157407</v>
      </c>
      <c r="C868" s="1" t="n">
        <v>46126</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54276-2021</t>
        </is>
      </c>
      <c r="B869" s="1" t="n">
        <v>44470</v>
      </c>
      <c r="C869" s="1" t="n">
        <v>46126</v>
      </c>
      <c r="D869" t="inlineStr">
        <is>
          <t>STOCKHOLMS LÄN</t>
        </is>
      </c>
      <c r="E869" t="inlineStr">
        <is>
          <t>NORRTÄLJE</t>
        </is>
      </c>
      <c r="G869" t="n">
        <v>7.3</v>
      </c>
      <c r="H869" t="n">
        <v>0</v>
      </c>
      <c r="I869" t="n">
        <v>0</v>
      </c>
      <c r="J869" t="n">
        <v>0</v>
      </c>
      <c r="K869" t="n">
        <v>0</v>
      </c>
      <c r="L869" t="n">
        <v>0</v>
      </c>
      <c r="M869" t="n">
        <v>0</v>
      </c>
      <c r="N869" t="n">
        <v>0</v>
      </c>
      <c r="O869" t="n">
        <v>0</v>
      </c>
      <c r="P869" t="n">
        <v>0</v>
      </c>
      <c r="Q869" t="n">
        <v>0</v>
      </c>
      <c r="R869" s="2" t="inlineStr"/>
    </row>
    <row r="870" ht="15" customHeight="1">
      <c r="A870" t="inlineStr">
        <is>
          <t>A 10090-2022</t>
        </is>
      </c>
      <c r="B870" s="1" t="n">
        <v>44621</v>
      </c>
      <c r="C870" s="1" t="n">
        <v>46126</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13785-2024</t>
        </is>
      </c>
      <c r="B871" s="1" t="n">
        <v>45391.3395949074</v>
      </c>
      <c r="C871" s="1" t="n">
        <v>46126</v>
      </c>
      <c r="D871" t="inlineStr">
        <is>
          <t>STOCKHOLMS LÄN</t>
        </is>
      </c>
      <c r="E871" t="inlineStr">
        <is>
          <t>NORRTÄLJE</t>
        </is>
      </c>
      <c r="G871" t="n">
        <v>5</v>
      </c>
      <c r="H871" t="n">
        <v>0</v>
      </c>
      <c r="I871" t="n">
        <v>0</v>
      </c>
      <c r="J871" t="n">
        <v>0</v>
      </c>
      <c r="K871" t="n">
        <v>0</v>
      </c>
      <c r="L871" t="n">
        <v>0</v>
      </c>
      <c r="M871" t="n">
        <v>0</v>
      </c>
      <c r="N871" t="n">
        <v>0</v>
      </c>
      <c r="O871" t="n">
        <v>0</v>
      </c>
      <c r="P871" t="n">
        <v>0</v>
      </c>
      <c r="Q871" t="n">
        <v>0</v>
      </c>
      <c r="R871" s="2" t="inlineStr"/>
    </row>
    <row r="872" ht="15" customHeight="1">
      <c r="A872" t="inlineStr">
        <is>
          <t>A 51116-2022</t>
        </is>
      </c>
      <c r="B872" s="1" t="n">
        <v>44868.45741898148</v>
      </c>
      <c r="C872" s="1" t="n">
        <v>46126</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124-2026</t>
        </is>
      </c>
      <c r="B873" s="1" t="n">
        <v>46024.58378472222</v>
      </c>
      <c r="C873" s="1" t="n">
        <v>46126</v>
      </c>
      <c r="D873" t="inlineStr">
        <is>
          <t>STOCKHOLMS LÄN</t>
        </is>
      </c>
      <c r="E873" t="inlineStr">
        <is>
          <t>NORRTÄLJE</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29972-2024</t>
        </is>
      </c>
      <c r="B874" s="1" t="n">
        <v>45485</v>
      </c>
      <c r="C874" s="1" t="n">
        <v>46126</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197-2026</t>
        </is>
      </c>
      <c r="B875" s="1" t="n">
        <v>46026</v>
      </c>
      <c r="C875" s="1" t="n">
        <v>46126</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28809-2023</t>
        </is>
      </c>
      <c r="B876" s="1" t="n">
        <v>45104</v>
      </c>
      <c r="C876" s="1" t="n">
        <v>46126</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28813-2023</t>
        </is>
      </c>
      <c r="B877" s="1" t="n">
        <v>45104</v>
      </c>
      <c r="C877" s="1" t="n">
        <v>46126</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19131-2025</t>
        </is>
      </c>
      <c r="B878" s="1" t="n">
        <v>45769</v>
      </c>
      <c r="C878" s="1" t="n">
        <v>46126</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718-2026</t>
        </is>
      </c>
      <c r="B879" s="1" t="n">
        <v>46029.63174768518</v>
      </c>
      <c r="C879" s="1" t="n">
        <v>46126</v>
      </c>
      <c r="D879" t="inlineStr">
        <is>
          <t>STOCKHOLMS LÄN</t>
        </is>
      </c>
      <c r="E879" t="inlineStr">
        <is>
          <t>NORRTÄLJE</t>
        </is>
      </c>
      <c r="G879" t="n">
        <v>2.4</v>
      </c>
      <c r="H879" t="n">
        <v>0</v>
      </c>
      <c r="I879" t="n">
        <v>0</v>
      </c>
      <c r="J879" t="n">
        <v>0</v>
      </c>
      <c r="K879" t="n">
        <v>0</v>
      </c>
      <c r="L879" t="n">
        <v>0</v>
      </c>
      <c r="M879" t="n">
        <v>0</v>
      </c>
      <c r="N879" t="n">
        <v>0</v>
      </c>
      <c r="O879" t="n">
        <v>0</v>
      </c>
      <c r="P879" t="n">
        <v>0</v>
      </c>
      <c r="Q879" t="n">
        <v>0</v>
      </c>
      <c r="R879" s="2" t="inlineStr"/>
    </row>
    <row r="880" ht="15" customHeight="1">
      <c r="A880" t="inlineStr">
        <is>
          <t>A 694-2026</t>
        </is>
      </c>
      <c r="B880" s="1" t="n">
        <v>46029.61375</v>
      </c>
      <c r="C880" s="1" t="n">
        <v>46126</v>
      </c>
      <c r="D880" t="inlineStr">
        <is>
          <t>STOCKHOLMS LÄN</t>
        </is>
      </c>
      <c r="E880" t="inlineStr">
        <is>
          <t>NORRTÄLJE</t>
        </is>
      </c>
      <c r="G880" t="n">
        <v>9.6</v>
      </c>
      <c r="H880" t="n">
        <v>0</v>
      </c>
      <c r="I880" t="n">
        <v>0</v>
      </c>
      <c r="J880" t="n">
        <v>0</v>
      </c>
      <c r="K880" t="n">
        <v>0</v>
      </c>
      <c r="L880" t="n">
        <v>0</v>
      </c>
      <c r="M880" t="n">
        <v>0</v>
      </c>
      <c r="N880" t="n">
        <v>0</v>
      </c>
      <c r="O880" t="n">
        <v>0</v>
      </c>
      <c r="P880" t="n">
        <v>0</v>
      </c>
      <c r="Q880" t="n">
        <v>0</v>
      </c>
      <c r="R880" s="2" t="inlineStr"/>
    </row>
    <row r="881" ht="15" customHeight="1">
      <c r="A881" t="inlineStr">
        <is>
          <t>A 11929-2024</t>
        </is>
      </c>
      <c r="B881" s="1" t="n">
        <v>45376.64532407407</v>
      </c>
      <c r="C881" s="1" t="n">
        <v>46126</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64145-2021</t>
        </is>
      </c>
      <c r="B882" s="1" t="n">
        <v>44510</v>
      </c>
      <c r="C882" s="1" t="n">
        <v>46126</v>
      </c>
      <c r="D882" t="inlineStr">
        <is>
          <t>STOCKHOLMS LÄN</t>
        </is>
      </c>
      <c r="E882" t="inlineStr">
        <is>
          <t>NORRTÄLJE</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45451-2024</t>
        </is>
      </c>
      <c r="B883" s="1" t="n">
        <v>45576</v>
      </c>
      <c r="C883" s="1" t="n">
        <v>46126</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693-2026</t>
        </is>
      </c>
      <c r="B884" s="1" t="n">
        <v>46029.6133449074</v>
      </c>
      <c r="C884" s="1" t="n">
        <v>46126</v>
      </c>
      <c r="D884" t="inlineStr">
        <is>
          <t>STOCKHOLMS LÄN</t>
        </is>
      </c>
      <c r="E884" t="inlineStr">
        <is>
          <t>NORRTÄLJE</t>
        </is>
      </c>
      <c r="G884" t="n">
        <v>9.6</v>
      </c>
      <c r="H884" t="n">
        <v>0</v>
      </c>
      <c r="I884" t="n">
        <v>0</v>
      </c>
      <c r="J884" t="n">
        <v>0</v>
      </c>
      <c r="K884" t="n">
        <v>0</v>
      </c>
      <c r="L884" t="n">
        <v>0</v>
      </c>
      <c r="M884" t="n">
        <v>0</v>
      </c>
      <c r="N884" t="n">
        <v>0</v>
      </c>
      <c r="O884" t="n">
        <v>0</v>
      </c>
      <c r="P884" t="n">
        <v>0</v>
      </c>
      <c r="Q884" t="n">
        <v>0</v>
      </c>
      <c r="R884" s="2" t="inlineStr"/>
    </row>
    <row r="885" ht="15" customHeight="1">
      <c r="A885" t="inlineStr">
        <is>
          <t>A 812-2026</t>
        </is>
      </c>
      <c r="B885" s="1" t="n">
        <v>46030.33358796296</v>
      </c>
      <c r="C885" s="1" t="n">
        <v>46126</v>
      </c>
      <c r="D885" t="inlineStr">
        <is>
          <t>STOCKHOLMS LÄN</t>
        </is>
      </c>
      <c r="E885" t="inlineStr">
        <is>
          <t>NORRTÄLJE</t>
        </is>
      </c>
      <c r="G885" t="n">
        <v>2.4</v>
      </c>
      <c r="H885" t="n">
        <v>0</v>
      </c>
      <c r="I885" t="n">
        <v>0</v>
      </c>
      <c r="J885" t="n">
        <v>0</v>
      </c>
      <c r="K885" t="n">
        <v>0</v>
      </c>
      <c r="L885" t="n">
        <v>0</v>
      </c>
      <c r="M885" t="n">
        <v>0</v>
      </c>
      <c r="N885" t="n">
        <v>0</v>
      </c>
      <c r="O885" t="n">
        <v>0</v>
      </c>
      <c r="P885" t="n">
        <v>0</v>
      </c>
      <c r="Q885" t="n">
        <v>0</v>
      </c>
      <c r="R885" s="2" t="inlineStr"/>
    </row>
    <row r="886" ht="15" customHeight="1">
      <c r="A886" t="inlineStr">
        <is>
          <t>A 717-2026</t>
        </is>
      </c>
      <c r="B886" s="1" t="n">
        <v>46029.63028935185</v>
      </c>
      <c r="C886" s="1" t="n">
        <v>46126</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475-2026</t>
        </is>
      </c>
      <c r="B887" s="1" t="n">
        <v>46029.39351851852</v>
      </c>
      <c r="C887" s="1" t="n">
        <v>46126</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17843-2024</t>
        </is>
      </c>
      <c r="B888" s="1" t="n">
        <v>45418</v>
      </c>
      <c r="C888" s="1" t="n">
        <v>46126</v>
      </c>
      <c r="D888" t="inlineStr">
        <is>
          <t>STOCKHOLMS LÄN</t>
        </is>
      </c>
      <c r="E888" t="inlineStr">
        <is>
          <t>NORRTÄLJE</t>
        </is>
      </c>
      <c r="G888" t="n">
        <v>5.4</v>
      </c>
      <c r="H888" t="n">
        <v>0</v>
      </c>
      <c r="I888" t="n">
        <v>0</v>
      </c>
      <c r="J888" t="n">
        <v>0</v>
      </c>
      <c r="K888" t="n">
        <v>0</v>
      </c>
      <c r="L888" t="n">
        <v>0</v>
      </c>
      <c r="M888" t="n">
        <v>0</v>
      </c>
      <c r="N888" t="n">
        <v>0</v>
      </c>
      <c r="O888" t="n">
        <v>0</v>
      </c>
      <c r="P888" t="n">
        <v>0</v>
      </c>
      <c r="Q888" t="n">
        <v>0</v>
      </c>
      <c r="R888" s="2" t="inlineStr"/>
    </row>
    <row r="889" ht="15" customHeight="1">
      <c r="A889" t="inlineStr">
        <is>
          <t>A 12890-2024</t>
        </is>
      </c>
      <c r="B889" s="1" t="n">
        <v>45385.36243055556</v>
      </c>
      <c r="C889" s="1" t="n">
        <v>46126</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1789-2026</t>
        </is>
      </c>
      <c r="B890" s="1" t="n">
        <v>46034</v>
      </c>
      <c r="C890" s="1" t="n">
        <v>46126</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36430-2024</t>
        </is>
      </c>
      <c r="B891" s="1" t="n">
        <v>45536</v>
      </c>
      <c r="C891" s="1" t="n">
        <v>46126</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1755-2026</t>
        </is>
      </c>
      <c r="B892" s="1" t="n">
        <v>46034.66230324074</v>
      </c>
      <c r="C892" s="1" t="n">
        <v>46126</v>
      </c>
      <c r="D892" t="inlineStr">
        <is>
          <t>STOCKHOLMS LÄN</t>
        </is>
      </c>
      <c r="E892" t="inlineStr">
        <is>
          <t>NORRTÄLJE</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41172-2023</t>
        </is>
      </c>
      <c r="B893" s="1" t="n">
        <v>45170</v>
      </c>
      <c r="C893" s="1" t="n">
        <v>46126</v>
      </c>
      <c r="D893" t="inlineStr">
        <is>
          <t>STOCKHOLMS LÄN</t>
        </is>
      </c>
      <c r="E893" t="inlineStr">
        <is>
          <t>NORRTÄLJE</t>
        </is>
      </c>
      <c r="G893" t="n">
        <v>1.6</v>
      </c>
      <c r="H893" t="n">
        <v>0</v>
      </c>
      <c r="I893" t="n">
        <v>0</v>
      </c>
      <c r="J893" t="n">
        <v>0</v>
      </c>
      <c r="K893" t="n">
        <v>0</v>
      </c>
      <c r="L893" t="n">
        <v>0</v>
      </c>
      <c r="M893" t="n">
        <v>0</v>
      </c>
      <c r="N893" t="n">
        <v>0</v>
      </c>
      <c r="O893" t="n">
        <v>0</v>
      </c>
      <c r="P893" t="n">
        <v>0</v>
      </c>
      <c r="Q893" t="n">
        <v>0</v>
      </c>
      <c r="R893" s="2" t="inlineStr"/>
    </row>
    <row r="894" ht="15" customHeight="1">
      <c r="A894" t="inlineStr">
        <is>
          <t>A 67921-2021</t>
        </is>
      </c>
      <c r="B894" s="1" t="n">
        <v>44525</v>
      </c>
      <c r="C894" s="1" t="n">
        <v>46126</v>
      </c>
      <c r="D894" t="inlineStr">
        <is>
          <t>STOCKHOLMS LÄN</t>
        </is>
      </c>
      <c r="E894" t="inlineStr">
        <is>
          <t>NORRTÄLJE</t>
        </is>
      </c>
      <c r="G894" t="n">
        <v>6.3</v>
      </c>
      <c r="H894" t="n">
        <v>0</v>
      </c>
      <c r="I894" t="n">
        <v>0</v>
      </c>
      <c r="J894" t="n">
        <v>0</v>
      </c>
      <c r="K894" t="n">
        <v>0</v>
      </c>
      <c r="L894" t="n">
        <v>0</v>
      </c>
      <c r="M894" t="n">
        <v>0</v>
      </c>
      <c r="N894" t="n">
        <v>0</v>
      </c>
      <c r="O894" t="n">
        <v>0</v>
      </c>
      <c r="P894" t="n">
        <v>0</v>
      </c>
      <c r="Q894" t="n">
        <v>0</v>
      </c>
      <c r="R894" s="2" t="inlineStr"/>
    </row>
    <row r="895" ht="15" customHeight="1">
      <c r="A895" t="inlineStr">
        <is>
          <t>A 72704-2021</t>
        </is>
      </c>
      <c r="B895" s="1" t="n">
        <v>44546</v>
      </c>
      <c r="C895" s="1" t="n">
        <v>46126</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2088-2026</t>
        </is>
      </c>
      <c r="B896" s="1" t="n">
        <v>46036.35909722222</v>
      </c>
      <c r="C896" s="1" t="n">
        <v>46126</v>
      </c>
      <c r="D896" t="inlineStr">
        <is>
          <t>STOCKHOLMS LÄN</t>
        </is>
      </c>
      <c r="E896" t="inlineStr">
        <is>
          <t>NORRTÄLJE</t>
        </is>
      </c>
      <c r="G896" t="n">
        <v>7</v>
      </c>
      <c r="H896" t="n">
        <v>0</v>
      </c>
      <c r="I896" t="n">
        <v>0</v>
      </c>
      <c r="J896" t="n">
        <v>0</v>
      </c>
      <c r="K896" t="n">
        <v>0</v>
      </c>
      <c r="L896" t="n">
        <v>0</v>
      </c>
      <c r="M896" t="n">
        <v>0</v>
      </c>
      <c r="N896" t="n">
        <v>0</v>
      </c>
      <c r="O896" t="n">
        <v>0</v>
      </c>
      <c r="P896" t="n">
        <v>0</v>
      </c>
      <c r="Q896" t="n">
        <v>0</v>
      </c>
      <c r="R896" s="2" t="inlineStr"/>
    </row>
    <row r="897" ht="15" customHeight="1">
      <c r="A897" t="inlineStr">
        <is>
          <t>A 65499-2021</t>
        </is>
      </c>
      <c r="B897" s="1" t="n">
        <v>44516</v>
      </c>
      <c r="C897" s="1" t="n">
        <v>46126</v>
      </c>
      <c r="D897" t="inlineStr">
        <is>
          <t>STOCKHOLMS LÄN</t>
        </is>
      </c>
      <c r="E897" t="inlineStr">
        <is>
          <t>NORRTÄLJE</t>
        </is>
      </c>
      <c r="F897" t="inlineStr">
        <is>
          <t>Kommuner</t>
        </is>
      </c>
      <c r="G897" t="n">
        <v>5.2</v>
      </c>
      <c r="H897" t="n">
        <v>0</v>
      </c>
      <c r="I897" t="n">
        <v>0</v>
      </c>
      <c r="J897" t="n">
        <v>0</v>
      </c>
      <c r="K897" t="n">
        <v>0</v>
      </c>
      <c r="L897" t="n">
        <v>0</v>
      </c>
      <c r="M897" t="n">
        <v>0</v>
      </c>
      <c r="N897" t="n">
        <v>0</v>
      </c>
      <c r="O897" t="n">
        <v>0</v>
      </c>
      <c r="P897" t="n">
        <v>0</v>
      </c>
      <c r="Q897" t="n">
        <v>0</v>
      </c>
      <c r="R897" s="2" t="inlineStr"/>
    </row>
    <row r="898" ht="15" customHeight="1">
      <c r="A898" t="inlineStr">
        <is>
          <t>A 65511-2021</t>
        </is>
      </c>
      <c r="B898" s="1" t="n">
        <v>44516.40674768519</v>
      </c>
      <c r="C898" s="1" t="n">
        <v>46126</v>
      </c>
      <c r="D898" t="inlineStr">
        <is>
          <t>STOCKHOLMS LÄN</t>
        </is>
      </c>
      <c r="E898" t="inlineStr">
        <is>
          <t>NORRTÄLJE</t>
        </is>
      </c>
      <c r="F898" t="inlineStr">
        <is>
          <t>Kommuner</t>
        </is>
      </c>
      <c r="G898" t="n">
        <v>2.8</v>
      </c>
      <c r="H898" t="n">
        <v>0</v>
      </c>
      <c r="I898" t="n">
        <v>0</v>
      </c>
      <c r="J898" t="n">
        <v>0</v>
      </c>
      <c r="K898" t="n">
        <v>0</v>
      </c>
      <c r="L898" t="n">
        <v>0</v>
      </c>
      <c r="M898" t="n">
        <v>0</v>
      </c>
      <c r="N898" t="n">
        <v>0</v>
      </c>
      <c r="O898" t="n">
        <v>0</v>
      </c>
      <c r="P898" t="n">
        <v>0</v>
      </c>
      <c r="Q898" t="n">
        <v>0</v>
      </c>
      <c r="R898" s="2" t="inlineStr"/>
    </row>
    <row r="899" ht="15" customHeight="1">
      <c r="A899" t="inlineStr">
        <is>
          <t>A 2116-2026</t>
        </is>
      </c>
      <c r="B899" s="1" t="n">
        <v>46036.38108796296</v>
      </c>
      <c r="C899" s="1" t="n">
        <v>46126</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26113-2024</t>
        </is>
      </c>
      <c r="B900" s="1" t="n">
        <v>45468.45541666666</v>
      </c>
      <c r="C900" s="1" t="n">
        <v>46126</v>
      </c>
      <c r="D900" t="inlineStr">
        <is>
          <t>STOCKHOLMS LÄN</t>
        </is>
      </c>
      <c r="E900" t="inlineStr">
        <is>
          <t>NORRTÄLJE</t>
        </is>
      </c>
      <c r="G900" t="n">
        <v>0.4</v>
      </c>
      <c r="H900" t="n">
        <v>0</v>
      </c>
      <c r="I900" t="n">
        <v>0</v>
      </c>
      <c r="J900" t="n">
        <v>0</v>
      </c>
      <c r="K900" t="n">
        <v>0</v>
      </c>
      <c r="L900" t="n">
        <v>0</v>
      </c>
      <c r="M900" t="n">
        <v>0</v>
      </c>
      <c r="N900" t="n">
        <v>0</v>
      </c>
      <c r="O900" t="n">
        <v>0</v>
      </c>
      <c r="P900" t="n">
        <v>0</v>
      </c>
      <c r="Q900" t="n">
        <v>0</v>
      </c>
      <c r="R900" s="2" t="inlineStr"/>
    </row>
    <row r="901" ht="15" customHeight="1">
      <c r="A901" t="inlineStr">
        <is>
          <t>A 26116-2024</t>
        </is>
      </c>
      <c r="B901" s="1" t="n">
        <v>45468.45747685185</v>
      </c>
      <c r="C901" s="1" t="n">
        <v>46126</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52686-2024</t>
        </is>
      </c>
      <c r="B902" s="1" t="n">
        <v>45610.39271990741</v>
      </c>
      <c r="C902" s="1" t="n">
        <v>46126</v>
      </c>
      <c r="D902" t="inlineStr">
        <is>
          <t>STOCKHOLMS LÄN</t>
        </is>
      </c>
      <c r="E902" t="inlineStr">
        <is>
          <t>NORRTÄLJE</t>
        </is>
      </c>
      <c r="G902" t="n">
        <v>5.7</v>
      </c>
      <c r="H902" t="n">
        <v>0</v>
      </c>
      <c r="I902" t="n">
        <v>0</v>
      </c>
      <c r="J902" t="n">
        <v>0</v>
      </c>
      <c r="K902" t="n">
        <v>0</v>
      </c>
      <c r="L902" t="n">
        <v>0</v>
      </c>
      <c r="M902" t="n">
        <v>0</v>
      </c>
      <c r="N902" t="n">
        <v>0</v>
      </c>
      <c r="O902" t="n">
        <v>0</v>
      </c>
      <c r="P902" t="n">
        <v>0</v>
      </c>
      <c r="Q902" t="n">
        <v>0</v>
      </c>
      <c r="R902" s="2" t="inlineStr"/>
    </row>
    <row r="903" ht="15" customHeight="1">
      <c r="A903" t="inlineStr">
        <is>
          <t>A 31105-2022</t>
        </is>
      </c>
      <c r="B903" s="1" t="n">
        <v>44769.66039351852</v>
      </c>
      <c r="C903" s="1" t="n">
        <v>46126</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62644-2023</t>
        </is>
      </c>
      <c r="B904" s="1" t="n">
        <v>45271</v>
      </c>
      <c r="C904" s="1" t="n">
        <v>46126</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60185-2024</t>
        </is>
      </c>
      <c r="B905" s="1" t="n">
        <v>45642.64634259259</v>
      </c>
      <c r="C905" s="1" t="n">
        <v>46126</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60765-2023</t>
        </is>
      </c>
      <c r="B906" s="1" t="n">
        <v>45260</v>
      </c>
      <c r="C906" s="1" t="n">
        <v>46126</v>
      </c>
      <c r="D906" t="inlineStr">
        <is>
          <t>STOCKHOLMS LÄN</t>
        </is>
      </c>
      <c r="E906" t="inlineStr">
        <is>
          <t>NORRTÄLJE</t>
        </is>
      </c>
      <c r="G906" t="n">
        <v>3.7</v>
      </c>
      <c r="H906" t="n">
        <v>0</v>
      </c>
      <c r="I906" t="n">
        <v>0</v>
      </c>
      <c r="J906" t="n">
        <v>0</v>
      </c>
      <c r="K906" t="n">
        <v>0</v>
      </c>
      <c r="L906" t="n">
        <v>0</v>
      </c>
      <c r="M906" t="n">
        <v>0</v>
      </c>
      <c r="N906" t="n">
        <v>0</v>
      </c>
      <c r="O906" t="n">
        <v>0</v>
      </c>
      <c r="P906" t="n">
        <v>0</v>
      </c>
      <c r="Q906" t="n">
        <v>0</v>
      </c>
      <c r="R906" s="2" t="inlineStr"/>
    </row>
    <row r="907" ht="15" customHeight="1">
      <c r="A907" t="inlineStr">
        <is>
          <t>A 12268-2022</t>
        </is>
      </c>
      <c r="B907" s="1" t="n">
        <v>44637</v>
      </c>
      <c r="C907" s="1" t="n">
        <v>46126</v>
      </c>
      <c r="D907" t="inlineStr">
        <is>
          <t>STOCKHOLMS LÄN</t>
        </is>
      </c>
      <c r="E907" t="inlineStr">
        <is>
          <t>NORRTÄLJE</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11648-2026</t>
        </is>
      </c>
      <c r="B908" s="1" t="n">
        <v>46084.51575231482</v>
      </c>
      <c r="C908" s="1" t="n">
        <v>46126</v>
      </c>
      <c r="D908" t="inlineStr">
        <is>
          <t>STOCKHOLMS LÄN</t>
        </is>
      </c>
      <c r="E908" t="inlineStr">
        <is>
          <t>NORRTÄLJE</t>
        </is>
      </c>
      <c r="G908" t="n">
        <v>4.1</v>
      </c>
      <c r="H908" t="n">
        <v>0</v>
      </c>
      <c r="I908" t="n">
        <v>0</v>
      </c>
      <c r="J908" t="n">
        <v>0</v>
      </c>
      <c r="K908" t="n">
        <v>0</v>
      </c>
      <c r="L908" t="n">
        <v>0</v>
      </c>
      <c r="M908" t="n">
        <v>0</v>
      </c>
      <c r="N908" t="n">
        <v>0</v>
      </c>
      <c r="O908" t="n">
        <v>0</v>
      </c>
      <c r="P908" t="n">
        <v>0</v>
      </c>
      <c r="Q908" t="n">
        <v>0</v>
      </c>
      <c r="R908" s="2" t="inlineStr"/>
    </row>
    <row r="909" ht="15" customHeight="1">
      <c r="A909" t="inlineStr">
        <is>
          <t>A 3549-2026</t>
        </is>
      </c>
      <c r="B909" s="1" t="n">
        <v>46042</v>
      </c>
      <c r="C909" s="1" t="n">
        <v>46126</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22832-2021</t>
        </is>
      </c>
      <c r="B910" s="1" t="n">
        <v>44325</v>
      </c>
      <c r="C910" s="1" t="n">
        <v>46126</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51315-2021</t>
        </is>
      </c>
      <c r="B911" s="1" t="n">
        <v>44461</v>
      </c>
      <c r="C911" s="1" t="n">
        <v>46126</v>
      </c>
      <c r="D911" t="inlineStr">
        <is>
          <t>STOCKHOLMS LÄN</t>
        </is>
      </c>
      <c r="E911" t="inlineStr">
        <is>
          <t>NORRTÄLJE</t>
        </is>
      </c>
      <c r="F911" t="inlineStr">
        <is>
          <t>Holmen skog AB</t>
        </is>
      </c>
      <c r="G911" t="n">
        <v>2.2</v>
      </c>
      <c r="H911" t="n">
        <v>0</v>
      </c>
      <c r="I911" t="n">
        <v>0</v>
      </c>
      <c r="J911" t="n">
        <v>0</v>
      </c>
      <c r="K911" t="n">
        <v>0</v>
      </c>
      <c r="L911" t="n">
        <v>0</v>
      </c>
      <c r="M911" t="n">
        <v>0</v>
      </c>
      <c r="N911" t="n">
        <v>0</v>
      </c>
      <c r="O911" t="n">
        <v>0</v>
      </c>
      <c r="P911" t="n">
        <v>0</v>
      </c>
      <c r="Q911" t="n">
        <v>0</v>
      </c>
      <c r="R911" s="2" t="inlineStr"/>
    </row>
    <row r="912" ht="15" customHeight="1">
      <c r="A912" t="inlineStr">
        <is>
          <t>A 22008-2024</t>
        </is>
      </c>
      <c r="B912" s="1" t="n">
        <v>45443</v>
      </c>
      <c r="C912" s="1" t="n">
        <v>46126</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58277-2023</t>
        </is>
      </c>
      <c r="B913" s="1" t="n">
        <v>45245</v>
      </c>
      <c r="C913" s="1" t="n">
        <v>46126</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9480-2025</t>
        </is>
      </c>
      <c r="B914" s="1" t="n">
        <v>45715</v>
      </c>
      <c r="C914" s="1" t="n">
        <v>46126</v>
      </c>
      <c r="D914" t="inlineStr">
        <is>
          <t>STOCKHOLMS LÄN</t>
        </is>
      </c>
      <c r="E914" t="inlineStr">
        <is>
          <t>NORRTÄLJE</t>
        </is>
      </c>
      <c r="F914" t="inlineStr">
        <is>
          <t>Övriga Aktiebolag</t>
        </is>
      </c>
      <c r="G914" t="n">
        <v>3.9</v>
      </c>
      <c r="H914" t="n">
        <v>0</v>
      </c>
      <c r="I914" t="n">
        <v>0</v>
      </c>
      <c r="J914" t="n">
        <v>0</v>
      </c>
      <c r="K914" t="n">
        <v>0</v>
      </c>
      <c r="L914" t="n">
        <v>0</v>
      </c>
      <c r="M914" t="n">
        <v>0</v>
      </c>
      <c r="N914" t="n">
        <v>0</v>
      </c>
      <c r="O914" t="n">
        <v>0</v>
      </c>
      <c r="P914" t="n">
        <v>0</v>
      </c>
      <c r="Q914" t="n">
        <v>0</v>
      </c>
      <c r="R914" s="2" t="inlineStr"/>
    </row>
    <row r="915" ht="15" customHeight="1">
      <c r="A915" t="inlineStr">
        <is>
          <t>A 4231-2026</t>
        </is>
      </c>
      <c r="B915" s="1" t="n">
        <v>46044</v>
      </c>
      <c r="C915" s="1" t="n">
        <v>46126</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4235-2026</t>
        </is>
      </c>
      <c r="B916" s="1" t="n">
        <v>46044</v>
      </c>
      <c r="C916" s="1" t="n">
        <v>46126</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4322-2023</t>
        </is>
      </c>
      <c r="B917" s="1" t="n">
        <v>44953.69298611111</v>
      </c>
      <c r="C917" s="1" t="n">
        <v>46126</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4227-2026</t>
        </is>
      </c>
      <c r="B918" s="1" t="n">
        <v>46044</v>
      </c>
      <c r="C918" s="1" t="n">
        <v>46126</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35916-2024</t>
        </is>
      </c>
      <c r="B919" s="1" t="n">
        <v>45533</v>
      </c>
      <c r="C919" s="1" t="n">
        <v>46126</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38889-2024</t>
        </is>
      </c>
      <c r="B920" s="1" t="n">
        <v>45547</v>
      </c>
      <c r="C920" s="1" t="n">
        <v>46126</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3933-2026</t>
        </is>
      </c>
      <c r="B921" s="1" t="n">
        <v>46043.79916666666</v>
      </c>
      <c r="C921" s="1" t="n">
        <v>46126</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3299-2022</t>
        </is>
      </c>
      <c r="B922" s="1" t="n">
        <v>44584.91001157407</v>
      </c>
      <c r="C922" s="1" t="n">
        <v>46126</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42075-2023</t>
        </is>
      </c>
      <c r="B923" s="1" t="n">
        <v>45177</v>
      </c>
      <c r="C923" s="1" t="n">
        <v>46126</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10676-2025</t>
        </is>
      </c>
      <c r="B924" s="1" t="n">
        <v>45721.88684027778</v>
      </c>
      <c r="C924" s="1" t="n">
        <v>46126</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4549-2026</t>
        </is>
      </c>
      <c r="B925" s="1" t="n">
        <v>46047</v>
      </c>
      <c r="C925" s="1" t="n">
        <v>46126</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50154-2024</t>
        </is>
      </c>
      <c r="B926" s="1" t="n">
        <v>45600.4558912037</v>
      </c>
      <c r="C926" s="1" t="n">
        <v>46126</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37273-2024</t>
        </is>
      </c>
      <c r="B927" s="1" t="n">
        <v>45540</v>
      </c>
      <c r="C927" s="1" t="n">
        <v>46126</v>
      </c>
      <c r="D927" t="inlineStr">
        <is>
          <t>STOCKHOLMS LÄN</t>
        </is>
      </c>
      <c r="E927" t="inlineStr">
        <is>
          <t>NORRTÄLJE</t>
        </is>
      </c>
      <c r="F927" t="inlineStr">
        <is>
          <t>Sveaskog</t>
        </is>
      </c>
      <c r="G927" t="n">
        <v>12.5</v>
      </c>
      <c r="H927" t="n">
        <v>0</v>
      </c>
      <c r="I927" t="n">
        <v>0</v>
      </c>
      <c r="J927" t="n">
        <v>0</v>
      </c>
      <c r="K927" t="n">
        <v>0</v>
      </c>
      <c r="L927" t="n">
        <v>0</v>
      </c>
      <c r="M927" t="n">
        <v>0</v>
      </c>
      <c r="N927" t="n">
        <v>0</v>
      </c>
      <c r="O927" t="n">
        <v>0</v>
      </c>
      <c r="P927" t="n">
        <v>0</v>
      </c>
      <c r="Q927" t="n">
        <v>0</v>
      </c>
      <c r="R927" s="2" t="inlineStr"/>
    </row>
    <row r="928" ht="15" customHeight="1">
      <c r="A928" t="inlineStr">
        <is>
          <t>A 4886-2026</t>
        </is>
      </c>
      <c r="B928" s="1" t="n">
        <v>46048.66328703704</v>
      </c>
      <c r="C928" s="1" t="n">
        <v>46126</v>
      </c>
      <c r="D928" t="inlineStr">
        <is>
          <t>STOCKHOLMS LÄN</t>
        </is>
      </c>
      <c r="E928" t="inlineStr">
        <is>
          <t>NORRTÄLJE</t>
        </is>
      </c>
      <c r="G928" t="n">
        <v>2</v>
      </c>
      <c r="H928" t="n">
        <v>0</v>
      </c>
      <c r="I928" t="n">
        <v>0</v>
      </c>
      <c r="J928" t="n">
        <v>0</v>
      </c>
      <c r="K928" t="n">
        <v>0</v>
      </c>
      <c r="L928" t="n">
        <v>0</v>
      </c>
      <c r="M928" t="n">
        <v>0</v>
      </c>
      <c r="N928" t="n">
        <v>0</v>
      </c>
      <c r="O928" t="n">
        <v>0</v>
      </c>
      <c r="P928" t="n">
        <v>0</v>
      </c>
      <c r="Q928" t="n">
        <v>0</v>
      </c>
      <c r="R928" s="2" t="inlineStr"/>
    </row>
    <row r="929" ht="15" customHeight="1">
      <c r="A929" t="inlineStr">
        <is>
          <t>A 4230-2026</t>
        </is>
      </c>
      <c r="B929" s="1" t="n">
        <v>46044.89366898148</v>
      </c>
      <c r="C929" s="1" t="n">
        <v>46126</v>
      </c>
      <c r="D929" t="inlineStr">
        <is>
          <t>STOCKHOLMS LÄN</t>
        </is>
      </c>
      <c r="E929" t="inlineStr">
        <is>
          <t>NORRTÄLJE</t>
        </is>
      </c>
      <c r="G929" t="n">
        <v>10.8</v>
      </c>
      <c r="H929" t="n">
        <v>0</v>
      </c>
      <c r="I929" t="n">
        <v>0</v>
      </c>
      <c r="J929" t="n">
        <v>0</v>
      </c>
      <c r="K929" t="n">
        <v>0</v>
      </c>
      <c r="L929" t="n">
        <v>0</v>
      </c>
      <c r="M929" t="n">
        <v>0</v>
      </c>
      <c r="N929" t="n">
        <v>0</v>
      </c>
      <c r="O929" t="n">
        <v>0</v>
      </c>
      <c r="P929" t="n">
        <v>0</v>
      </c>
      <c r="Q929" t="n">
        <v>0</v>
      </c>
      <c r="R929" s="2" t="inlineStr"/>
    </row>
    <row r="930" ht="15" customHeight="1">
      <c r="A930" t="inlineStr">
        <is>
          <t>A 4232-2026</t>
        </is>
      </c>
      <c r="B930" s="1" t="n">
        <v>46044.89594907407</v>
      </c>
      <c r="C930" s="1" t="n">
        <v>46126</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12234-2026</t>
        </is>
      </c>
      <c r="B931" s="1" t="n">
        <v>46087.4091087963</v>
      </c>
      <c r="C931" s="1" t="n">
        <v>46126</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34773-2022</t>
        </is>
      </c>
      <c r="B932" s="1" t="n">
        <v>44795</v>
      </c>
      <c r="C932" s="1" t="n">
        <v>46126</v>
      </c>
      <c r="D932" t="inlineStr">
        <is>
          <t>STOCKHOLMS LÄN</t>
        </is>
      </c>
      <c r="E932" t="inlineStr">
        <is>
          <t>NORRTÄLJE</t>
        </is>
      </c>
      <c r="G932" t="n">
        <v>3.9</v>
      </c>
      <c r="H932" t="n">
        <v>0</v>
      </c>
      <c r="I932" t="n">
        <v>0</v>
      </c>
      <c r="J932" t="n">
        <v>0</v>
      </c>
      <c r="K932" t="n">
        <v>0</v>
      </c>
      <c r="L932" t="n">
        <v>0</v>
      </c>
      <c r="M932" t="n">
        <v>0</v>
      </c>
      <c r="N932" t="n">
        <v>0</v>
      </c>
      <c r="O932" t="n">
        <v>0</v>
      </c>
      <c r="P932" t="n">
        <v>0</v>
      </c>
      <c r="Q932" t="n">
        <v>0</v>
      </c>
      <c r="R932" s="2" t="inlineStr"/>
    </row>
    <row r="933" ht="15" customHeight="1">
      <c r="A933" t="inlineStr">
        <is>
          <t>A 5241-2026</t>
        </is>
      </c>
      <c r="B933" s="1" t="n">
        <v>46049.86471064815</v>
      </c>
      <c r="C933" s="1" t="n">
        <v>46126</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23263-2023</t>
        </is>
      </c>
      <c r="B934" s="1" t="n">
        <v>45075</v>
      </c>
      <c r="C934" s="1" t="n">
        <v>46126</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23264-2023</t>
        </is>
      </c>
      <c r="B935" s="1" t="n">
        <v>45075</v>
      </c>
      <c r="C935" s="1" t="n">
        <v>46126</v>
      </c>
      <c r="D935" t="inlineStr">
        <is>
          <t>STOCKHOLMS LÄN</t>
        </is>
      </c>
      <c r="E935" t="inlineStr">
        <is>
          <t>NORRTÄLJE</t>
        </is>
      </c>
      <c r="G935" t="n">
        <v>2.9</v>
      </c>
      <c r="H935" t="n">
        <v>0</v>
      </c>
      <c r="I935" t="n">
        <v>0</v>
      </c>
      <c r="J935" t="n">
        <v>0</v>
      </c>
      <c r="K935" t="n">
        <v>0</v>
      </c>
      <c r="L935" t="n">
        <v>0</v>
      </c>
      <c r="M935" t="n">
        <v>0</v>
      </c>
      <c r="N935" t="n">
        <v>0</v>
      </c>
      <c r="O935" t="n">
        <v>0</v>
      </c>
      <c r="P935" t="n">
        <v>0</v>
      </c>
      <c r="Q935" t="n">
        <v>0</v>
      </c>
      <c r="R935" s="2" t="inlineStr"/>
    </row>
    <row r="936" ht="15" customHeight="1">
      <c r="A936" t="inlineStr">
        <is>
          <t>A 23267-2023</t>
        </is>
      </c>
      <c r="B936" s="1" t="n">
        <v>45075.90934027778</v>
      </c>
      <c r="C936" s="1" t="n">
        <v>46126</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12703-2026</t>
        </is>
      </c>
      <c r="B937" s="1" t="n">
        <v>46091.58175925926</v>
      </c>
      <c r="C937" s="1" t="n">
        <v>46126</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25654-2023</t>
        </is>
      </c>
      <c r="B938" s="1" t="n">
        <v>45089</v>
      </c>
      <c r="C938" s="1" t="n">
        <v>46126</v>
      </c>
      <c r="D938" t="inlineStr">
        <is>
          <t>STOCKHOLMS LÄN</t>
        </is>
      </c>
      <c r="E938" t="inlineStr">
        <is>
          <t>NORRTÄLJE</t>
        </is>
      </c>
      <c r="G938" t="n">
        <v>2.1</v>
      </c>
      <c r="H938" t="n">
        <v>0</v>
      </c>
      <c r="I938" t="n">
        <v>0</v>
      </c>
      <c r="J938" t="n">
        <v>0</v>
      </c>
      <c r="K938" t="n">
        <v>0</v>
      </c>
      <c r="L938" t="n">
        <v>0</v>
      </c>
      <c r="M938" t="n">
        <v>0</v>
      </c>
      <c r="N938" t="n">
        <v>0</v>
      </c>
      <c r="O938" t="n">
        <v>0</v>
      </c>
      <c r="P938" t="n">
        <v>0</v>
      </c>
      <c r="Q938" t="n">
        <v>0</v>
      </c>
      <c r="R938" s="2" t="inlineStr"/>
    </row>
    <row r="939" ht="15" customHeight="1">
      <c r="A939" t="inlineStr">
        <is>
          <t>A 47758-2023</t>
        </is>
      </c>
      <c r="B939" s="1" t="n">
        <v>45203.83891203703</v>
      </c>
      <c r="C939" s="1" t="n">
        <v>46126</v>
      </c>
      <c r="D939" t="inlineStr">
        <is>
          <t>STOCKHOLMS LÄN</t>
        </is>
      </c>
      <c r="E939" t="inlineStr">
        <is>
          <t>NORRTÄLJE</t>
        </is>
      </c>
      <c r="G939" t="n">
        <v>0.9</v>
      </c>
      <c r="H939" t="n">
        <v>0</v>
      </c>
      <c r="I939" t="n">
        <v>0</v>
      </c>
      <c r="J939" t="n">
        <v>0</v>
      </c>
      <c r="K939" t="n">
        <v>0</v>
      </c>
      <c r="L939" t="n">
        <v>0</v>
      </c>
      <c r="M939" t="n">
        <v>0</v>
      </c>
      <c r="N939" t="n">
        <v>0</v>
      </c>
      <c r="O939" t="n">
        <v>0</v>
      </c>
      <c r="P939" t="n">
        <v>0</v>
      </c>
      <c r="Q939" t="n">
        <v>0</v>
      </c>
      <c r="R939" s="2" t="inlineStr"/>
    </row>
    <row r="940" ht="15" customHeight="1">
      <c r="A940" t="inlineStr">
        <is>
          <t>A 5224-2026</t>
        </is>
      </c>
      <c r="B940" s="1" t="n">
        <v>46049.79521990741</v>
      </c>
      <c r="C940" s="1" t="n">
        <v>46126</v>
      </c>
      <c r="D940" t="inlineStr">
        <is>
          <t>STOCKHOLMS LÄN</t>
        </is>
      </c>
      <c r="E940" t="inlineStr">
        <is>
          <t>NORRTÄLJE</t>
        </is>
      </c>
      <c r="G940" t="n">
        <v>1</v>
      </c>
      <c r="H940" t="n">
        <v>0</v>
      </c>
      <c r="I940" t="n">
        <v>0</v>
      </c>
      <c r="J940" t="n">
        <v>0</v>
      </c>
      <c r="K940" t="n">
        <v>0</v>
      </c>
      <c r="L940" t="n">
        <v>0</v>
      </c>
      <c r="M940" t="n">
        <v>0</v>
      </c>
      <c r="N940" t="n">
        <v>0</v>
      </c>
      <c r="O940" t="n">
        <v>0</v>
      </c>
      <c r="P940" t="n">
        <v>0</v>
      </c>
      <c r="Q940" t="n">
        <v>0</v>
      </c>
      <c r="R940" s="2" t="inlineStr"/>
    </row>
    <row r="941" ht="15" customHeight="1">
      <c r="A941" t="inlineStr">
        <is>
          <t>A 48151-2024</t>
        </is>
      </c>
      <c r="B941" s="1" t="n">
        <v>45589.68289351852</v>
      </c>
      <c r="C941" s="1" t="n">
        <v>46126</v>
      </c>
      <c r="D941" t="inlineStr">
        <is>
          <t>STOCKHOLMS LÄN</t>
        </is>
      </c>
      <c r="E941" t="inlineStr">
        <is>
          <t>NORRTÄLJE</t>
        </is>
      </c>
      <c r="G941" t="n">
        <v>1.6</v>
      </c>
      <c r="H941" t="n">
        <v>0</v>
      </c>
      <c r="I941" t="n">
        <v>0</v>
      </c>
      <c r="J941" t="n">
        <v>0</v>
      </c>
      <c r="K941" t="n">
        <v>0</v>
      </c>
      <c r="L941" t="n">
        <v>0</v>
      </c>
      <c r="M941" t="n">
        <v>0</v>
      </c>
      <c r="N941" t="n">
        <v>0</v>
      </c>
      <c r="O941" t="n">
        <v>0</v>
      </c>
      <c r="P941" t="n">
        <v>0</v>
      </c>
      <c r="Q941" t="n">
        <v>0</v>
      </c>
      <c r="R941" s="2" t="inlineStr"/>
    </row>
    <row r="942" ht="15" customHeight="1">
      <c r="A942" t="inlineStr">
        <is>
          <t>A 5227-2026</t>
        </is>
      </c>
      <c r="B942" s="1" t="n">
        <v>46049.80460648148</v>
      </c>
      <c r="C942" s="1" t="n">
        <v>46126</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5226-2026</t>
        </is>
      </c>
      <c r="B943" s="1" t="n">
        <v>46049.79961805556</v>
      </c>
      <c r="C943" s="1" t="n">
        <v>46126</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12718-2026</t>
        </is>
      </c>
      <c r="B944" s="1" t="n">
        <v>46091.60412037037</v>
      </c>
      <c r="C944" s="1" t="n">
        <v>46126</v>
      </c>
      <c r="D944" t="inlineStr">
        <is>
          <t>STOCKHOLMS LÄN</t>
        </is>
      </c>
      <c r="E944" t="inlineStr">
        <is>
          <t>NORRTÄLJE</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5831-2022</t>
        </is>
      </c>
      <c r="B945" s="1" t="n">
        <v>44596</v>
      </c>
      <c r="C945" s="1" t="n">
        <v>46126</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58853-2024</t>
        </is>
      </c>
      <c r="B946" s="1" t="n">
        <v>45636.38974537037</v>
      </c>
      <c r="C946" s="1" t="n">
        <v>46126</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13544-2026</t>
        </is>
      </c>
      <c r="B947" s="1" t="n">
        <v>46094.68538194444</v>
      </c>
      <c r="C947" s="1" t="n">
        <v>46126</v>
      </c>
      <c r="D947" t="inlineStr">
        <is>
          <t>STOCKHOLMS LÄN</t>
        </is>
      </c>
      <c r="E947" t="inlineStr">
        <is>
          <t>NORRTÄLJE</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13109-2026</t>
        </is>
      </c>
      <c r="B948" s="1" t="n">
        <v>46093.42730324074</v>
      </c>
      <c r="C948" s="1" t="n">
        <v>46126</v>
      </c>
      <c r="D948" t="inlineStr">
        <is>
          <t>STOCKHOLMS LÄN</t>
        </is>
      </c>
      <c r="E948" t="inlineStr">
        <is>
          <t>NORRTÄLJE</t>
        </is>
      </c>
      <c r="G948" t="n">
        <v>4</v>
      </c>
      <c r="H948" t="n">
        <v>0</v>
      </c>
      <c r="I948" t="n">
        <v>0</v>
      </c>
      <c r="J948" t="n">
        <v>0</v>
      </c>
      <c r="K948" t="n">
        <v>0</v>
      </c>
      <c r="L948" t="n">
        <v>0</v>
      </c>
      <c r="M948" t="n">
        <v>0</v>
      </c>
      <c r="N948" t="n">
        <v>0</v>
      </c>
      <c r="O948" t="n">
        <v>0</v>
      </c>
      <c r="P948" t="n">
        <v>0</v>
      </c>
      <c r="Q948" t="n">
        <v>0</v>
      </c>
      <c r="R948" s="2" t="inlineStr"/>
    </row>
    <row r="949" ht="15" customHeight="1">
      <c r="A949" t="inlineStr">
        <is>
          <t>A 13546-2026</t>
        </is>
      </c>
      <c r="B949" s="1" t="n">
        <v>46094.69196759259</v>
      </c>
      <c r="C949" s="1" t="n">
        <v>46126</v>
      </c>
      <c r="D949" t="inlineStr">
        <is>
          <t>STOCKHOLMS LÄN</t>
        </is>
      </c>
      <c r="E949" t="inlineStr">
        <is>
          <t>NORRTÄLJE</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59712-2024</t>
        </is>
      </c>
      <c r="B950" s="1" t="n">
        <v>45639.45166666667</v>
      </c>
      <c r="C950" s="1" t="n">
        <v>46126</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5934-2026</t>
        </is>
      </c>
      <c r="B951" s="1" t="n">
        <v>46052.47082175926</v>
      </c>
      <c r="C951" s="1" t="n">
        <v>46126</v>
      </c>
      <c r="D951" t="inlineStr">
        <is>
          <t>STOCKHOLMS LÄN</t>
        </is>
      </c>
      <c r="E951" t="inlineStr">
        <is>
          <t>NORRTÄLJE</t>
        </is>
      </c>
      <c r="F951" t="inlineStr">
        <is>
          <t>Holmen skog AB</t>
        </is>
      </c>
      <c r="G951" t="n">
        <v>5.5</v>
      </c>
      <c r="H951" t="n">
        <v>0</v>
      </c>
      <c r="I951" t="n">
        <v>0</v>
      </c>
      <c r="J951" t="n">
        <v>0</v>
      </c>
      <c r="K951" t="n">
        <v>0</v>
      </c>
      <c r="L951" t="n">
        <v>0</v>
      </c>
      <c r="M951" t="n">
        <v>0</v>
      </c>
      <c r="N951" t="n">
        <v>0</v>
      </c>
      <c r="O951" t="n">
        <v>0</v>
      </c>
      <c r="P951" t="n">
        <v>0</v>
      </c>
      <c r="Q951" t="n">
        <v>0</v>
      </c>
      <c r="R951" s="2" t="inlineStr"/>
    </row>
    <row r="952" ht="15" customHeight="1">
      <c r="A952" t="inlineStr">
        <is>
          <t>A 59721-2024</t>
        </is>
      </c>
      <c r="B952" s="1" t="n">
        <v>45639.47385416667</v>
      </c>
      <c r="C952" s="1" t="n">
        <v>46126</v>
      </c>
      <c r="D952" t="inlineStr">
        <is>
          <t>STOCKHOLMS LÄN</t>
        </is>
      </c>
      <c r="E952" t="inlineStr">
        <is>
          <t>NORRTÄLJE</t>
        </is>
      </c>
      <c r="G952" t="n">
        <v>4.6</v>
      </c>
      <c r="H952" t="n">
        <v>0</v>
      </c>
      <c r="I952" t="n">
        <v>0</v>
      </c>
      <c r="J952" t="n">
        <v>0</v>
      </c>
      <c r="K952" t="n">
        <v>0</v>
      </c>
      <c r="L952" t="n">
        <v>0</v>
      </c>
      <c r="M952" t="n">
        <v>0</v>
      </c>
      <c r="N952" t="n">
        <v>0</v>
      </c>
      <c r="O952" t="n">
        <v>0</v>
      </c>
      <c r="P952" t="n">
        <v>0</v>
      </c>
      <c r="Q952" t="n">
        <v>0</v>
      </c>
      <c r="R952" s="2" t="inlineStr"/>
    </row>
    <row r="953" ht="15" customHeight="1">
      <c r="A953" t="inlineStr">
        <is>
          <t>A 13122-2026</t>
        </is>
      </c>
      <c r="B953" s="1" t="n">
        <v>46093.45657407407</v>
      </c>
      <c r="C953" s="1" t="n">
        <v>46126</v>
      </c>
      <c r="D953" t="inlineStr">
        <is>
          <t>STOCKHOLMS LÄN</t>
        </is>
      </c>
      <c r="E953" t="inlineStr">
        <is>
          <t>NORRTÄLJE</t>
        </is>
      </c>
      <c r="G953" t="n">
        <v>4</v>
      </c>
      <c r="H953" t="n">
        <v>0</v>
      </c>
      <c r="I953" t="n">
        <v>0</v>
      </c>
      <c r="J953" t="n">
        <v>0</v>
      </c>
      <c r="K953" t="n">
        <v>0</v>
      </c>
      <c r="L953" t="n">
        <v>0</v>
      </c>
      <c r="M953" t="n">
        <v>0</v>
      </c>
      <c r="N953" t="n">
        <v>0</v>
      </c>
      <c r="O953" t="n">
        <v>0</v>
      </c>
      <c r="P953" t="n">
        <v>0</v>
      </c>
      <c r="Q953" t="n">
        <v>0</v>
      </c>
      <c r="R953" s="2" t="inlineStr"/>
    </row>
    <row r="954" ht="15" customHeight="1">
      <c r="A954" t="inlineStr">
        <is>
          <t>A 60884-2024</t>
        </is>
      </c>
      <c r="B954" s="1" t="n">
        <v>45644.90815972222</v>
      </c>
      <c r="C954" s="1" t="n">
        <v>46126</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13204-2026</t>
        </is>
      </c>
      <c r="B955" s="1" t="n">
        <v>46093.60788194444</v>
      </c>
      <c r="C955" s="1" t="n">
        <v>46126</v>
      </c>
      <c r="D955" t="inlineStr">
        <is>
          <t>STOCKHOLMS LÄN</t>
        </is>
      </c>
      <c r="E955" t="inlineStr">
        <is>
          <t>NORRTÄLJE</t>
        </is>
      </c>
      <c r="G955" t="n">
        <v>3.5</v>
      </c>
      <c r="H955" t="n">
        <v>0</v>
      </c>
      <c r="I955" t="n">
        <v>0</v>
      </c>
      <c r="J955" t="n">
        <v>0</v>
      </c>
      <c r="K955" t="n">
        <v>0</v>
      </c>
      <c r="L955" t="n">
        <v>0</v>
      </c>
      <c r="M955" t="n">
        <v>0</v>
      </c>
      <c r="N955" t="n">
        <v>0</v>
      </c>
      <c r="O955" t="n">
        <v>0</v>
      </c>
      <c r="P955" t="n">
        <v>0</v>
      </c>
      <c r="Q955" t="n">
        <v>0</v>
      </c>
      <c r="R955" s="2" t="inlineStr"/>
    </row>
    <row r="956" ht="15" customHeight="1">
      <c r="A956" t="inlineStr">
        <is>
          <t>A 23150-2024</t>
        </is>
      </c>
      <c r="B956" s="1" t="n">
        <v>45450.64643518518</v>
      </c>
      <c r="C956" s="1" t="n">
        <v>46126</v>
      </c>
      <c r="D956" t="inlineStr">
        <is>
          <t>STOCKHOLMS LÄN</t>
        </is>
      </c>
      <c r="E956" t="inlineStr">
        <is>
          <t>NORRTÄLJE</t>
        </is>
      </c>
      <c r="F956" t="inlineStr">
        <is>
          <t>Kommuner</t>
        </is>
      </c>
      <c r="G956" t="n">
        <v>2.7</v>
      </c>
      <c r="H956" t="n">
        <v>0</v>
      </c>
      <c r="I956" t="n">
        <v>0</v>
      </c>
      <c r="J956" t="n">
        <v>0</v>
      </c>
      <c r="K956" t="n">
        <v>0</v>
      </c>
      <c r="L956" t="n">
        <v>0</v>
      </c>
      <c r="M956" t="n">
        <v>0</v>
      </c>
      <c r="N956" t="n">
        <v>0</v>
      </c>
      <c r="O956" t="n">
        <v>0</v>
      </c>
      <c r="P956" t="n">
        <v>0</v>
      </c>
      <c r="Q956" t="n">
        <v>0</v>
      </c>
      <c r="R956" s="2" t="inlineStr"/>
    </row>
    <row r="957" ht="15" customHeight="1">
      <c r="A957" t="inlineStr">
        <is>
          <t>A 59878-2024</t>
        </is>
      </c>
      <c r="B957" s="1" t="n">
        <v>45640.60240740741</v>
      </c>
      <c r="C957" s="1" t="n">
        <v>46126</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50182-2024</t>
        </is>
      </c>
      <c r="B958" s="1" t="n">
        <v>45600.47275462963</v>
      </c>
      <c r="C958" s="1" t="n">
        <v>46126</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2549-2022</t>
        </is>
      </c>
      <c r="B959" s="1" t="n">
        <v>44580</v>
      </c>
      <c r="C959" s="1" t="n">
        <v>46126</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13545-2026</t>
        </is>
      </c>
      <c r="B960" s="1" t="n">
        <v>46094.6911574074</v>
      </c>
      <c r="C960" s="1" t="n">
        <v>46126</v>
      </c>
      <c r="D960" t="inlineStr">
        <is>
          <t>STOCKHOLMS LÄN</t>
        </is>
      </c>
      <c r="E960" t="inlineStr">
        <is>
          <t>NORRTÄLJE</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31140-2023</t>
        </is>
      </c>
      <c r="B961" s="1" t="n">
        <v>45113</v>
      </c>
      <c r="C961" s="1" t="n">
        <v>46126</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31149-2023</t>
        </is>
      </c>
      <c r="B962" s="1" t="n">
        <v>45113</v>
      </c>
      <c r="C962" s="1" t="n">
        <v>46126</v>
      </c>
      <c r="D962" t="inlineStr">
        <is>
          <t>STOCKHOLMS LÄN</t>
        </is>
      </c>
      <c r="E962" t="inlineStr">
        <is>
          <t>NORRTÄLJE</t>
        </is>
      </c>
      <c r="G962" t="n">
        <v>7.1</v>
      </c>
      <c r="H962" t="n">
        <v>0</v>
      </c>
      <c r="I962" t="n">
        <v>0</v>
      </c>
      <c r="J962" t="n">
        <v>0</v>
      </c>
      <c r="K962" t="n">
        <v>0</v>
      </c>
      <c r="L962" t="n">
        <v>0</v>
      </c>
      <c r="M962" t="n">
        <v>0</v>
      </c>
      <c r="N962" t="n">
        <v>0</v>
      </c>
      <c r="O962" t="n">
        <v>0</v>
      </c>
      <c r="P962" t="n">
        <v>0</v>
      </c>
      <c r="Q962" t="n">
        <v>0</v>
      </c>
      <c r="R962" s="2" t="inlineStr"/>
    </row>
    <row r="963" ht="15" customHeight="1">
      <c r="A963" t="inlineStr">
        <is>
          <t>A 39610-2025</t>
        </is>
      </c>
      <c r="B963" s="1" t="n">
        <v>45890</v>
      </c>
      <c r="C963" s="1" t="n">
        <v>46126</v>
      </c>
      <c r="D963" t="inlineStr">
        <is>
          <t>STOCKHOLMS LÄN</t>
        </is>
      </c>
      <c r="E963" t="inlineStr">
        <is>
          <t>NORRTÄLJE</t>
        </is>
      </c>
      <c r="G963" t="n">
        <v>28.6</v>
      </c>
      <c r="H963" t="n">
        <v>0</v>
      </c>
      <c r="I963" t="n">
        <v>0</v>
      </c>
      <c r="J963" t="n">
        <v>0</v>
      </c>
      <c r="K963" t="n">
        <v>0</v>
      </c>
      <c r="L963" t="n">
        <v>0</v>
      </c>
      <c r="M963" t="n">
        <v>0</v>
      </c>
      <c r="N963" t="n">
        <v>0</v>
      </c>
      <c r="O963" t="n">
        <v>0</v>
      </c>
      <c r="P963" t="n">
        <v>0</v>
      </c>
      <c r="Q963" t="n">
        <v>0</v>
      </c>
      <c r="R963" s="2" t="inlineStr"/>
    </row>
    <row r="964" ht="15" customHeight="1">
      <c r="A964" t="inlineStr">
        <is>
          <t>A 16835-2022</t>
        </is>
      </c>
      <c r="B964" s="1" t="n">
        <v>44673</v>
      </c>
      <c r="C964" s="1" t="n">
        <v>46126</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6701-2026</t>
        </is>
      </c>
      <c r="B965" s="1" t="n">
        <v>46056</v>
      </c>
      <c r="C965" s="1" t="n">
        <v>46126</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13701-2022</t>
        </is>
      </c>
      <c r="B966" s="1" t="n">
        <v>44648</v>
      </c>
      <c r="C966" s="1" t="n">
        <v>46126</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13089-2022</t>
        </is>
      </c>
      <c r="B967" s="1" t="n">
        <v>44643</v>
      </c>
      <c r="C967" s="1" t="n">
        <v>46126</v>
      </c>
      <c r="D967" t="inlineStr">
        <is>
          <t>STOCKHOLMS LÄN</t>
        </is>
      </c>
      <c r="E967" t="inlineStr">
        <is>
          <t>NORRTÄLJE</t>
        </is>
      </c>
      <c r="G967" t="n">
        <v>4.5</v>
      </c>
      <c r="H967" t="n">
        <v>0</v>
      </c>
      <c r="I967" t="n">
        <v>0</v>
      </c>
      <c r="J967" t="n">
        <v>0</v>
      </c>
      <c r="K967" t="n">
        <v>0</v>
      </c>
      <c r="L967" t="n">
        <v>0</v>
      </c>
      <c r="M967" t="n">
        <v>0</v>
      </c>
      <c r="N967" t="n">
        <v>0</v>
      </c>
      <c r="O967" t="n">
        <v>0</v>
      </c>
      <c r="P967" t="n">
        <v>0</v>
      </c>
      <c r="Q967" t="n">
        <v>0</v>
      </c>
      <c r="R967" s="2" t="inlineStr"/>
    </row>
    <row r="968" ht="15" customHeight="1">
      <c r="A968" t="inlineStr">
        <is>
          <t>A 6724-2026</t>
        </is>
      </c>
      <c r="B968" s="1" t="n">
        <v>46056.67717592593</v>
      </c>
      <c r="C968" s="1" t="n">
        <v>46126</v>
      </c>
      <c r="D968" t="inlineStr">
        <is>
          <t>STOCKHOLMS LÄN</t>
        </is>
      </c>
      <c r="E968" t="inlineStr">
        <is>
          <t>NORRTÄLJE</t>
        </is>
      </c>
      <c r="F968" t="inlineStr">
        <is>
          <t>Holmen skog AB</t>
        </is>
      </c>
      <c r="G968" t="n">
        <v>16.2</v>
      </c>
      <c r="H968" t="n">
        <v>0</v>
      </c>
      <c r="I968" t="n">
        <v>0</v>
      </c>
      <c r="J968" t="n">
        <v>0</v>
      </c>
      <c r="K968" t="n">
        <v>0</v>
      </c>
      <c r="L968" t="n">
        <v>0</v>
      </c>
      <c r="M968" t="n">
        <v>0</v>
      </c>
      <c r="N968" t="n">
        <v>0</v>
      </c>
      <c r="O968" t="n">
        <v>0</v>
      </c>
      <c r="P968" t="n">
        <v>0</v>
      </c>
      <c r="Q968" t="n">
        <v>0</v>
      </c>
      <c r="R968" s="2" t="inlineStr"/>
    </row>
    <row r="969" ht="15" customHeight="1">
      <c r="A969" t="inlineStr">
        <is>
          <t>A 38759-2022</t>
        </is>
      </c>
      <c r="B969" s="1" t="n">
        <v>44816</v>
      </c>
      <c r="C969" s="1" t="n">
        <v>46126</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23998-2024</t>
        </is>
      </c>
      <c r="B970" s="1" t="n">
        <v>45456</v>
      </c>
      <c r="C970" s="1" t="n">
        <v>46126</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6532-2026</t>
        </is>
      </c>
      <c r="B971" s="1" t="n">
        <v>46056.41300925926</v>
      </c>
      <c r="C971" s="1" t="n">
        <v>46126</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54504-2024</t>
        </is>
      </c>
      <c r="B972" s="1" t="n">
        <v>45617.58453703704</v>
      </c>
      <c r="C972" s="1" t="n">
        <v>46126</v>
      </c>
      <c r="D972" t="inlineStr">
        <is>
          <t>STOCKHOLMS LÄN</t>
        </is>
      </c>
      <c r="E972" t="inlineStr">
        <is>
          <t>NORRTÄLJE</t>
        </is>
      </c>
      <c r="G972" t="n">
        <v>3.4</v>
      </c>
      <c r="H972" t="n">
        <v>0</v>
      </c>
      <c r="I972" t="n">
        <v>0</v>
      </c>
      <c r="J972" t="n">
        <v>0</v>
      </c>
      <c r="K972" t="n">
        <v>0</v>
      </c>
      <c r="L972" t="n">
        <v>0</v>
      </c>
      <c r="M972" t="n">
        <v>0</v>
      </c>
      <c r="N972" t="n">
        <v>0</v>
      </c>
      <c r="O972" t="n">
        <v>0</v>
      </c>
      <c r="P972" t="n">
        <v>0</v>
      </c>
      <c r="Q972" t="n">
        <v>0</v>
      </c>
      <c r="R972" s="2" t="inlineStr"/>
    </row>
    <row r="973" ht="15" customHeight="1">
      <c r="A973" t="inlineStr">
        <is>
          <t>A 32595-2023</t>
        </is>
      </c>
      <c r="B973" s="1" t="n">
        <v>45121</v>
      </c>
      <c r="C973" s="1" t="n">
        <v>46126</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11332-2025</t>
        </is>
      </c>
      <c r="B974" s="1" t="n">
        <v>45726.48152777777</v>
      </c>
      <c r="C974" s="1" t="n">
        <v>46126</v>
      </c>
      <c r="D974" t="inlineStr">
        <is>
          <t>STOCKHOLMS LÄN</t>
        </is>
      </c>
      <c r="E974" t="inlineStr">
        <is>
          <t>NORRTÄLJE</t>
        </is>
      </c>
      <c r="G974" t="n">
        <v>4.6</v>
      </c>
      <c r="H974" t="n">
        <v>0</v>
      </c>
      <c r="I974" t="n">
        <v>0</v>
      </c>
      <c r="J974" t="n">
        <v>0</v>
      </c>
      <c r="K974" t="n">
        <v>0</v>
      </c>
      <c r="L974" t="n">
        <v>0</v>
      </c>
      <c r="M974" t="n">
        <v>0</v>
      </c>
      <c r="N974" t="n">
        <v>0</v>
      </c>
      <c r="O974" t="n">
        <v>0</v>
      </c>
      <c r="P974" t="n">
        <v>0</v>
      </c>
      <c r="Q974" t="n">
        <v>0</v>
      </c>
      <c r="R974" s="2" t="inlineStr"/>
    </row>
    <row r="975" ht="15" customHeight="1">
      <c r="A975" t="inlineStr">
        <is>
          <t>A 7308-2026</t>
        </is>
      </c>
      <c r="B975" s="1" t="n">
        <v>46058.66025462963</v>
      </c>
      <c r="C975" s="1" t="n">
        <v>46126</v>
      </c>
      <c r="D975" t="inlineStr">
        <is>
          <t>STOCKHOLMS LÄN</t>
        </is>
      </c>
      <c r="E975" t="inlineStr">
        <is>
          <t>NORRTÄLJE</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14348-2026</t>
        </is>
      </c>
      <c r="B976" s="1" t="n">
        <v>46100.34112268518</v>
      </c>
      <c r="C976" s="1" t="n">
        <v>46126</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6838-2026</t>
        </is>
      </c>
      <c r="B977" s="1" t="n">
        <v>46057.41151620371</v>
      </c>
      <c r="C977" s="1" t="n">
        <v>46126</v>
      </c>
      <c r="D977" t="inlineStr">
        <is>
          <t>STOCKHOLMS LÄN</t>
        </is>
      </c>
      <c r="E977" t="inlineStr">
        <is>
          <t>NORRTÄLJE</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14475-2026</t>
        </is>
      </c>
      <c r="B978" s="1" t="n">
        <v>46100.57251157407</v>
      </c>
      <c r="C978" s="1" t="n">
        <v>46126</v>
      </c>
      <c r="D978" t="inlineStr">
        <is>
          <t>STOCKHOLMS LÄN</t>
        </is>
      </c>
      <c r="E978" t="inlineStr">
        <is>
          <t>NORRTÄLJE</t>
        </is>
      </c>
      <c r="G978" t="n">
        <v>12.3</v>
      </c>
      <c r="H978" t="n">
        <v>0</v>
      </c>
      <c r="I978" t="n">
        <v>0</v>
      </c>
      <c r="J978" t="n">
        <v>0</v>
      </c>
      <c r="K978" t="n">
        <v>0</v>
      </c>
      <c r="L978" t="n">
        <v>0</v>
      </c>
      <c r="M978" t="n">
        <v>0</v>
      </c>
      <c r="N978" t="n">
        <v>0</v>
      </c>
      <c r="O978" t="n">
        <v>0</v>
      </c>
      <c r="P978" t="n">
        <v>0</v>
      </c>
      <c r="Q978" t="n">
        <v>0</v>
      </c>
      <c r="R978" s="2" t="inlineStr"/>
    </row>
    <row r="979" ht="15" customHeight="1">
      <c r="A979" t="inlineStr">
        <is>
          <t>A 13718-2022</t>
        </is>
      </c>
      <c r="B979" s="1" t="n">
        <v>44649</v>
      </c>
      <c r="C979" s="1" t="n">
        <v>46126</v>
      </c>
      <c r="D979" t="inlineStr">
        <is>
          <t>STOCKHOLMS LÄN</t>
        </is>
      </c>
      <c r="E979" t="inlineStr">
        <is>
          <t>NORRTÄLJE</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6874-2026</t>
        </is>
      </c>
      <c r="B980" s="1" t="n">
        <v>46057.45295138889</v>
      </c>
      <c r="C980" s="1" t="n">
        <v>46126</v>
      </c>
      <c r="D980" t="inlineStr">
        <is>
          <t>STOCKHOLMS LÄN</t>
        </is>
      </c>
      <c r="E980" t="inlineStr">
        <is>
          <t>NORRTÄLJE</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54259-2023</t>
        </is>
      </c>
      <c r="B981" s="1" t="n">
        <v>45232</v>
      </c>
      <c r="C981" s="1" t="n">
        <v>46126</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13171-2025</t>
        </is>
      </c>
      <c r="B982" s="1" t="n">
        <v>45735.36594907408</v>
      </c>
      <c r="C982" s="1" t="n">
        <v>46126</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12299-2025</t>
        </is>
      </c>
      <c r="B983" s="1" t="n">
        <v>45729.71065972222</v>
      </c>
      <c r="C983" s="1" t="n">
        <v>46126</v>
      </c>
      <c r="D983" t="inlineStr">
        <is>
          <t>STOCKHOLMS LÄN</t>
        </is>
      </c>
      <c r="E983" t="inlineStr">
        <is>
          <t>NORRTÄLJE</t>
        </is>
      </c>
      <c r="F983" t="inlineStr">
        <is>
          <t>Holmen skog AB</t>
        </is>
      </c>
      <c r="G983" t="n">
        <v>6.9</v>
      </c>
      <c r="H983" t="n">
        <v>0</v>
      </c>
      <c r="I983" t="n">
        <v>0</v>
      </c>
      <c r="J983" t="n">
        <v>0</v>
      </c>
      <c r="K983" t="n">
        <v>0</v>
      </c>
      <c r="L983" t="n">
        <v>0</v>
      </c>
      <c r="M983" t="n">
        <v>0</v>
      </c>
      <c r="N983" t="n">
        <v>0</v>
      </c>
      <c r="O983" t="n">
        <v>0</v>
      </c>
      <c r="P983" t="n">
        <v>0</v>
      </c>
      <c r="Q983" t="n">
        <v>0</v>
      </c>
      <c r="R983" s="2" t="inlineStr"/>
    </row>
    <row r="984" ht="15" customHeight="1">
      <c r="A984" t="inlineStr">
        <is>
          <t>A 11900-2024</t>
        </is>
      </c>
      <c r="B984" s="1" t="n">
        <v>45376.55484953704</v>
      </c>
      <c r="C984" s="1" t="n">
        <v>46126</v>
      </c>
      <c r="D984" t="inlineStr">
        <is>
          <t>STOCKHOLMS LÄN</t>
        </is>
      </c>
      <c r="E984" t="inlineStr">
        <is>
          <t>NORRTÄLJE</t>
        </is>
      </c>
      <c r="G984" t="n">
        <v>4.2</v>
      </c>
      <c r="H984" t="n">
        <v>0</v>
      </c>
      <c r="I984" t="n">
        <v>0</v>
      </c>
      <c r="J984" t="n">
        <v>0</v>
      </c>
      <c r="K984" t="n">
        <v>0</v>
      </c>
      <c r="L984" t="n">
        <v>0</v>
      </c>
      <c r="M984" t="n">
        <v>0</v>
      </c>
      <c r="N984" t="n">
        <v>0</v>
      </c>
      <c r="O984" t="n">
        <v>0</v>
      </c>
      <c r="P984" t="n">
        <v>0</v>
      </c>
      <c r="Q984" t="n">
        <v>0</v>
      </c>
      <c r="R984" s="2" t="inlineStr"/>
    </row>
    <row r="985" ht="15" customHeight="1">
      <c r="A985" t="inlineStr">
        <is>
          <t>A 6828-2026</t>
        </is>
      </c>
      <c r="B985" s="1" t="n">
        <v>46057</v>
      </c>
      <c r="C985" s="1" t="n">
        <v>46126</v>
      </c>
      <c r="D985" t="inlineStr">
        <is>
          <t>STOCKHOLMS LÄN</t>
        </is>
      </c>
      <c r="E985" t="inlineStr">
        <is>
          <t>NORRTÄLJE</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43300-2023</t>
        </is>
      </c>
      <c r="B986" s="1" t="n">
        <v>45183</v>
      </c>
      <c r="C986" s="1" t="n">
        <v>46126</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13276-2022</t>
        </is>
      </c>
      <c r="B987" s="1" t="n">
        <v>44644</v>
      </c>
      <c r="C987" s="1" t="n">
        <v>46126</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7532-2026</t>
        </is>
      </c>
      <c r="B988" s="1" t="n">
        <v>46059</v>
      </c>
      <c r="C988" s="1" t="n">
        <v>46126</v>
      </c>
      <c r="D988" t="inlineStr">
        <is>
          <t>STOCKHOLMS LÄN</t>
        </is>
      </c>
      <c r="E988" t="inlineStr">
        <is>
          <t>NORRTÄLJE</t>
        </is>
      </c>
      <c r="G988" t="n">
        <v>5.2</v>
      </c>
      <c r="H988" t="n">
        <v>0</v>
      </c>
      <c r="I988" t="n">
        <v>0</v>
      </c>
      <c r="J988" t="n">
        <v>0</v>
      </c>
      <c r="K988" t="n">
        <v>0</v>
      </c>
      <c r="L988" t="n">
        <v>0</v>
      </c>
      <c r="M988" t="n">
        <v>0</v>
      </c>
      <c r="N988" t="n">
        <v>0</v>
      </c>
      <c r="O988" t="n">
        <v>0</v>
      </c>
      <c r="P988" t="n">
        <v>0</v>
      </c>
      <c r="Q988" t="n">
        <v>0</v>
      </c>
      <c r="R988" s="2" t="inlineStr"/>
    </row>
    <row r="989" ht="15" customHeight="1">
      <c r="A989" t="inlineStr">
        <is>
          <t>A 7723-2026</t>
        </is>
      </c>
      <c r="B989" s="1" t="n">
        <v>46062.49905092592</v>
      </c>
      <c r="C989" s="1" t="n">
        <v>46126</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11900-2022</t>
        </is>
      </c>
      <c r="B990" s="1" t="n">
        <v>44635</v>
      </c>
      <c r="C990" s="1" t="n">
        <v>46126</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7729-2026</t>
        </is>
      </c>
      <c r="B991" s="1" t="n">
        <v>46062.51100694444</v>
      </c>
      <c r="C991" s="1" t="n">
        <v>46126</v>
      </c>
      <c r="D991" t="inlineStr">
        <is>
          <t>STOCKHOLMS LÄN</t>
        </is>
      </c>
      <c r="E991" t="inlineStr">
        <is>
          <t>NORRTÄLJE</t>
        </is>
      </c>
      <c r="G991" t="n">
        <v>6.6</v>
      </c>
      <c r="H991" t="n">
        <v>0</v>
      </c>
      <c r="I991" t="n">
        <v>0</v>
      </c>
      <c r="J991" t="n">
        <v>0</v>
      </c>
      <c r="K991" t="n">
        <v>0</v>
      </c>
      <c r="L991" t="n">
        <v>0</v>
      </c>
      <c r="M991" t="n">
        <v>0</v>
      </c>
      <c r="N991" t="n">
        <v>0</v>
      </c>
      <c r="O991" t="n">
        <v>0</v>
      </c>
      <c r="P991" t="n">
        <v>0</v>
      </c>
      <c r="Q991" t="n">
        <v>0</v>
      </c>
      <c r="R991" s="2" t="inlineStr"/>
    </row>
    <row r="992" ht="15" customHeight="1">
      <c r="A992" t="inlineStr">
        <is>
          <t>A 14724-2022</t>
        </is>
      </c>
      <c r="B992" s="1" t="n">
        <v>44656</v>
      </c>
      <c r="C992" s="1" t="n">
        <v>46126</v>
      </c>
      <c r="D992" t="inlineStr">
        <is>
          <t>STOCKHOLMS LÄN</t>
        </is>
      </c>
      <c r="E992" t="inlineStr">
        <is>
          <t>NORRTÄLJE</t>
        </is>
      </c>
      <c r="F992" t="inlineStr">
        <is>
          <t>Sveaskog</t>
        </is>
      </c>
      <c r="G992" t="n">
        <v>9</v>
      </c>
      <c r="H992" t="n">
        <v>0</v>
      </c>
      <c r="I992" t="n">
        <v>0</v>
      </c>
      <c r="J992" t="n">
        <v>0</v>
      </c>
      <c r="K992" t="n">
        <v>0</v>
      </c>
      <c r="L992" t="n">
        <v>0</v>
      </c>
      <c r="M992" t="n">
        <v>0</v>
      </c>
      <c r="N992" t="n">
        <v>0</v>
      </c>
      <c r="O992" t="n">
        <v>0</v>
      </c>
      <c r="P992" t="n">
        <v>0</v>
      </c>
      <c r="Q992" t="n">
        <v>0</v>
      </c>
      <c r="R992" s="2" t="inlineStr"/>
    </row>
    <row r="993" ht="15" customHeight="1">
      <c r="A993" t="inlineStr">
        <is>
          <t>A 4580-2025</t>
        </is>
      </c>
      <c r="B993" s="1" t="n">
        <v>45687.5038425926</v>
      </c>
      <c r="C993" s="1" t="n">
        <v>46126</v>
      </c>
      <c r="D993" t="inlineStr">
        <is>
          <t>STOCKHOLMS LÄN</t>
        </is>
      </c>
      <c r="E993" t="inlineStr">
        <is>
          <t>NORRTÄLJE</t>
        </is>
      </c>
      <c r="F993" t="inlineStr">
        <is>
          <t>Holmen skog AB</t>
        </is>
      </c>
      <c r="G993" t="n">
        <v>4.8</v>
      </c>
      <c r="H993" t="n">
        <v>0</v>
      </c>
      <c r="I993" t="n">
        <v>0</v>
      </c>
      <c r="J993" t="n">
        <v>0</v>
      </c>
      <c r="K993" t="n">
        <v>0</v>
      </c>
      <c r="L993" t="n">
        <v>0</v>
      </c>
      <c r="M993" t="n">
        <v>0</v>
      </c>
      <c r="N993" t="n">
        <v>0</v>
      </c>
      <c r="O993" t="n">
        <v>0</v>
      </c>
      <c r="P993" t="n">
        <v>0</v>
      </c>
      <c r="Q993" t="n">
        <v>0</v>
      </c>
      <c r="R993" s="2" t="inlineStr"/>
    </row>
    <row r="994" ht="15" customHeight="1">
      <c r="A994" t="inlineStr">
        <is>
          <t>A 16202-2022</t>
        </is>
      </c>
      <c r="B994" s="1" t="n">
        <v>44670</v>
      </c>
      <c r="C994" s="1" t="n">
        <v>46126</v>
      </c>
      <c r="D994" t="inlineStr">
        <is>
          <t>STOCKHOLMS LÄN</t>
        </is>
      </c>
      <c r="E994" t="inlineStr">
        <is>
          <t>NORRTÄLJE</t>
        </is>
      </c>
      <c r="G994" t="n">
        <v>1.5</v>
      </c>
      <c r="H994" t="n">
        <v>0</v>
      </c>
      <c r="I994" t="n">
        <v>0</v>
      </c>
      <c r="J994" t="n">
        <v>0</v>
      </c>
      <c r="K994" t="n">
        <v>0</v>
      </c>
      <c r="L994" t="n">
        <v>0</v>
      </c>
      <c r="M994" t="n">
        <v>0</v>
      </c>
      <c r="N994" t="n">
        <v>0</v>
      </c>
      <c r="O994" t="n">
        <v>0</v>
      </c>
      <c r="P994" t="n">
        <v>0</v>
      </c>
      <c r="Q994" t="n">
        <v>0</v>
      </c>
      <c r="R994" s="2" t="inlineStr"/>
    </row>
    <row r="995" ht="15" customHeight="1">
      <c r="A995" t="inlineStr">
        <is>
          <t>A 6003-2025</t>
        </is>
      </c>
      <c r="B995" s="1" t="n">
        <v>45695.57881944445</v>
      </c>
      <c r="C995" s="1" t="n">
        <v>46126</v>
      </c>
      <c r="D995" t="inlineStr">
        <is>
          <t>STOCKHOLMS LÄN</t>
        </is>
      </c>
      <c r="E995" t="inlineStr">
        <is>
          <t>NORRTÄLJE</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52321-2024</t>
        </is>
      </c>
      <c r="B996" s="1" t="n">
        <v>45608</v>
      </c>
      <c r="C996" s="1" t="n">
        <v>46126</v>
      </c>
      <c r="D996" t="inlineStr">
        <is>
          <t>STOCKHOLMS LÄN</t>
        </is>
      </c>
      <c r="E996" t="inlineStr">
        <is>
          <t>NORRTÄLJE</t>
        </is>
      </c>
      <c r="G996" t="n">
        <v>18.1</v>
      </c>
      <c r="H996" t="n">
        <v>0</v>
      </c>
      <c r="I996" t="n">
        <v>0</v>
      </c>
      <c r="J996" t="n">
        <v>0</v>
      </c>
      <c r="K996" t="n">
        <v>0</v>
      </c>
      <c r="L996" t="n">
        <v>0</v>
      </c>
      <c r="M996" t="n">
        <v>0</v>
      </c>
      <c r="N996" t="n">
        <v>0</v>
      </c>
      <c r="O996" t="n">
        <v>0</v>
      </c>
      <c r="P996" t="n">
        <v>0</v>
      </c>
      <c r="Q996" t="n">
        <v>0</v>
      </c>
      <c r="R996" s="2" t="inlineStr"/>
    </row>
    <row r="997" ht="15" customHeight="1">
      <c r="A997" t="inlineStr">
        <is>
          <t>A 54558-2024</t>
        </is>
      </c>
      <c r="B997" s="1" t="n">
        <v>45617.62358796296</v>
      </c>
      <c r="C997" s="1" t="n">
        <v>46126</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22157-2023</t>
        </is>
      </c>
      <c r="B998" s="1" t="n">
        <v>45069</v>
      </c>
      <c r="C998" s="1" t="n">
        <v>46126</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c r="U998">
        <f>HYPERLINK("https://klasma.github.io/Logging_0188/knärot/A 22157-2023 karta knärot.png", "A 22157-2023")</f>
        <v/>
      </c>
      <c r="V998">
        <f>HYPERLINK("https://klasma.github.io/Logging_0188/klagomål/A 22157-2023 FSC-klagomål.docx", "A 22157-2023")</f>
        <v/>
      </c>
      <c r="W998">
        <f>HYPERLINK("https://klasma.github.io/Logging_0188/klagomålsmail/A 22157-2023 FSC-klagomål mail.docx", "A 22157-2023")</f>
        <v/>
      </c>
      <c r="X998">
        <f>HYPERLINK("https://klasma.github.io/Logging_0188/tillsyn/A 22157-2023 tillsynsbegäran.docx", "A 22157-2023")</f>
        <v/>
      </c>
      <c r="Y998">
        <f>HYPERLINK("https://klasma.github.io/Logging_0188/tillsynsmail/A 22157-2023 tillsynsbegäran mail.docx", "A 22157-2023")</f>
        <v/>
      </c>
    </row>
    <row r="999" ht="15" customHeight="1">
      <c r="A999" t="inlineStr">
        <is>
          <t>A 7582-2026</t>
        </is>
      </c>
      <c r="B999" s="1" t="n">
        <v>46061</v>
      </c>
      <c r="C999" s="1" t="n">
        <v>46126</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48633-2023</t>
        </is>
      </c>
      <c r="B1000" s="1" t="n">
        <v>45208.58004629629</v>
      </c>
      <c r="C1000" s="1" t="n">
        <v>46126</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7793-2026</t>
        </is>
      </c>
      <c r="B1001" s="1" t="n">
        <v>46062.59496527778</v>
      </c>
      <c r="C1001" s="1" t="n">
        <v>46126</v>
      </c>
      <c r="D1001" t="inlineStr">
        <is>
          <t>STOCKHOLMS LÄN</t>
        </is>
      </c>
      <c r="E1001" t="inlineStr">
        <is>
          <t>NORRTÄLJE</t>
        </is>
      </c>
      <c r="F1001" t="inlineStr">
        <is>
          <t>Holmen skog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47419-2023</t>
        </is>
      </c>
      <c r="B1002" s="1" t="n">
        <v>45202.65660879629</v>
      </c>
      <c r="C1002" s="1" t="n">
        <v>46126</v>
      </c>
      <c r="D1002" t="inlineStr">
        <is>
          <t>STOCKHOLMS LÄN</t>
        </is>
      </c>
      <c r="E1002" t="inlineStr">
        <is>
          <t>NORRTÄLJE</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652-2025</t>
        </is>
      </c>
      <c r="B1003" s="1" t="n">
        <v>45664</v>
      </c>
      <c r="C1003" s="1" t="n">
        <v>46126</v>
      </c>
      <c r="D1003" t="inlineStr">
        <is>
          <t>STOCKHOLMS LÄN</t>
        </is>
      </c>
      <c r="E1003" t="inlineStr">
        <is>
          <t>NORRTÄLJE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10653-2022</t>
        </is>
      </c>
      <c r="B1004" s="1" t="n">
        <v>44624.59434027778</v>
      </c>
      <c r="C1004" s="1" t="n">
        <v>46126</v>
      </c>
      <c r="D1004" t="inlineStr">
        <is>
          <t>STOCKHOLMS LÄN</t>
        </is>
      </c>
      <c r="E1004" t="inlineStr">
        <is>
          <t>NORRTÄLJE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35695-2023</t>
        </is>
      </c>
      <c r="B1005" s="1" t="n">
        <v>45147.65407407407</v>
      </c>
      <c r="C1005" s="1" t="n">
        <v>46126</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18665-2022</t>
        </is>
      </c>
      <c r="B1006" s="1" t="n">
        <v>44687</v>
      </c>
      <c r="C1006" s="1" t="n">
        <v>46126</v>
      </c>
      <c r="D1006" t="inlineStr">
        <is>
          <t>STOCKHOLMS LÄN</t>
        </is>
      </c>
      <c r="E1006" t="inlineStr">
        <is>
          <t>NORRTÄLJE</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17574-2025</t>
        </is>
      </c>
      <c r="B1007" s="1" t="n">
        <v>45757.65178240741</v>
      </c>
      <c r="C1007" s="1" t="n">
        <v>46126</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20370-2025</t>
        </is>
      </c>
      <c r="B1008" s="1" t="n">
        <v>45775.41451388889</v>
      </c>
      <c r="C1008" s="1" t="n">
        <v>46126</v>
      </c>
      <c r="D1008" t="inlineStr">
        <is>
          <t>STOCKHOLMS LÄN</t>
        </is>
      </c>
      <c r="E1008" t="inlineStr">
        <is>
          <t>NORRTÄLJE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19982-2022</t>
        </is>
      </c>
      <c r="B1009" s="1" t="n">
        <v>44697</v>
      </c>
      <c r="C1009" s="1" t="n">
        <v>46126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8091-2026</t>
        </is>
      </c>
      <c r="B1010" s="1" t="n">
        <v>46063.70944444444</v>
      </c>
      <c r="C1010" s="1" t="n">
        <v>46126</v>
      </c>
      <c r="D1010" t="inlineStr">
        <is>
          <t>STOCKHOLMS LÄN</t>
        </is>
      </c>
      <c r="E1010" t="inlineStr">
        <is>
          <t>NORRTÄLJE</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8096-2026</t>
        </is>
      </c>
      <c r="B1011" s="1" t="n">
        <v>46063.714375</v>
      </c>
      <c r="C1011" s="1" t="n">
        <v>46126</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35438-2023</t>
        </is>
      </c>
      <c r="B1012" s="1" t="n">
        <v>45146</v>
      </c>
      <c r="C1012" s="1" t="n">
        <v>46126</v>
      </c>
      <c r="D1012" t="inlineStr">
        <is>
          <t>STOCKHOLMS LÄN</t>
        </is>
      </c>
      <c r="E1012" t="inlineStr">
        <is>
          <t>NORRTÄLJE</t>
        </is>
      </c>
      <c r="F1012" t="inlineStr">
        <is>
          <t>Kommuner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33878-2024</t>
        </is>
      </c>
      <c r="B1013" s="1" t="n">
        <v>45522.44414351852</v>
      </c>
      <c r="C1013" s="1" t="n">
        <v>46126</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8055-2026</t>
        </is>
      </c>
      <c r="B1014" s="1" t="n">
        <v>46063.62002314815</v>
      </c>
      <c r="C1014" s="1" t="n">
        <v>46126</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4183-2025</t>
        </is>
      </c>
      <c r="B1015" s="1" t="n">
        <v>45685.44592592592</v>
      </c>
      <c r="C1015" s="1" t="n">
        <v>46126</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17556-2025</t>
        </is>
      </c>
      <c r="B1016" s="1" t="n">
        <v>45757.62482638889</v>
      </c>
      <c r="C1016" s="1" t="n">
        <v>46126</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41335-2023</t>
        </is>
      </c>
      <c r="B1017" s="1" t="n">
        <v>45174.68702546296</v>
      </c>
      <c r="C1017" s="1" t="n">
        <v>46126</v>
      </c>
      <c r="D1017" t="inlineStr">
        <is>
          <t>STOCKHOLMS LÄN</t>
        </is>
      </c>
      <c r="E1017" t="inlineStr">
        <is>
          <t>NORRTÄLJE</t>
        </is>
      </c>
      <c r="F1017" t="inlineStr">
        <is>
          <t>Holmen skog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4484-2025</t>
        </is>
      </c>
      <c r="B1018" s="1" t="n">
        <v>45686.65545138889</v>
      </c>
      <c r="C1018" s="1" t="n">
        <v>46126</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8419-2025</t>
        </is>
      </c>
      <c r="B1019" s="1" t="n">
        <v>45709.40231481481</v>
      </c>
      <c r="C1019" s="1" t="n">
        <v>46126</v>
      </c>
      <c r="D1019" t="inlineStr">
        <is>
          <t>STOCKHOLMS LÄN</t>
        </is>
      </c>
      <c r="E1019" t="inlineStr">
        <is>
          <t>NORRTÄLJE</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21480-2022</t>
        </is>
      </c>
      <c r="B1020" s="1" t="n">
        <v>44704</v>
      </c>
      <c r="C1020" s="1" t="n">
        <v>46126</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15836-2026</t>
        </is>
      </c>
      <c r="B1021" s="1" t="n">
        <v>46107.56134259259</v>
      </c>
      <c r="C1021" s="1" t="n">
        <v>46126</v>
      </c>
      <c r="D1021" t="inlineStr">
        <is>
          <t>STOCKHOLMS LÄN</t>
        </is>
      </c>
      <c r="E1021" t="inlineStr">
        <is>
          <t>NORRTÄLJE</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8454-2026</t>
        </is>
      </c>
      <c r="B1022" s="1" t="n">
        <v>46065.42506944444</v>
      </c>
      <c r="C1022" s="1" t="n">
        <v>46126</v>
      </c>
      <c r="D1022" t="inlineStr">
        <is>
          <t>STOCKHOLMS LÄN</t>
        </is>
      </c>
      <c r="E1022" t="inlineStr">
        <is>
          <t>NORRTÄLJE</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1654-2025</t>
        </is>
      </c>
      <c r="B1023" s="1" t="n">
        <v>45670.65921296296</v>
      </c>
      <c r="C1023" s="1" t="n">
        <v>46126</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48686-2023</t>
        </is>
      </c>
      <c r="B1024" s="1" t="n">
        <v>45208</v>
      </c>
      <c r="C1024" s="1" t="n">
        <v>46126</v>
      </c>
      <c r="D1024" t="inlineStr">
        <is>
          <t>STOCKHOLMS LÄN</t>
        </is>
      </c>
      <c r="E1024" t="inlineStr">
        <is>
          <t>NORRTÄLJE</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48691-2023</t>
        </is>
      </c>
      <c r="B1025" s="1" t="n">
        <v>45208</v>
      </c>
      <c r="C1025" s="1" t="n">
        <v>46126</v>
      </c>
      <c r="D1025" t="inlineStr">
        <is>
          <t>STOCKHOLMS LÄN</t>
        </is>
      </c>
      <c r="E1025" t="inlineStr">
        <is>
          <t>NORRTÄLJE</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8465-2026</t>
        </is>
      </c>
      <c r="B1026" s="1" t="n">
        <v>46065.44141203703</v>
      </c>
      <c r="C1026" s="1" t="n">
        <v>46126</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14937-2026</t>
        </is>
      </c>
      <c r="B1027" s="1" t="n">
        <v>46104</v>
      </c>
      <c r="C1027" s="1" t="n">
        <v>46126</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55243-2023</t>
        </is>
      </c>
      <c r="B1028" s="1" t="n">
        <v>45237</v>
      </c>
      <c r="C1028" s="1" t="n">
        <v>46126</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35210-2023</t>
        </is>
      </c>
      <c r="B1029" s="1" t="n">
        <v>45145.63584490741</v>
      </c>
      <c r="C1029" s="1" t="n">
        <v>46126</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8410-2026</t>
        </is>
      </c>
      <c r="B1030" s="1" t="n">
        <v>46065.34261574074</v>
      </c>
      <c r="C1030" s="1" t="n">
        <v>46126</v>
      </c>
      <c r="D1030" t="inlineStr">
        <is>
          <t>STOCKHOLMS LÄN</t>
        </is>
      </c>
      <c r="E1030" t="inlineStr">
        <is>
          <t>NORRTÄLJE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8489-2026</t>
        </is>
      </c>
      <c r="B1031" s="1" t="n">
        <v>46065.48268518518</v>
      </c>
      <c r="C1031" s="1" t="n">
        <v>46126</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6678-2025</t>
        </is>
      </c>
      <c r="B1032" s="1" t="n">
        <v>45700</v>
      </c>
      <c r="C1032" s="1" t="n">
        <v>46126</v>
      </c>
      <c r="D1032" t="inlineStr">
        <is>
          <t>STOCKHOLMS LÄN</t>
        </is>
      </c>
      <c r="E1032" t="inlineStr">
        <is>
          <t>NORRTÄLJE</t>
        </is>
      </c>
      <c r="F1032" t="inlineStr">
        <is>
          <t>Övriga Aktiebolag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8985-2026</t>
        </is>
      </c>
      <c r="B1033" s="1" t="n">
        <v>46069.45234953704</v>
      </c>
      <c r="C1033" s="1" t="n">
        <v>46126</v>
      </c>
      <c r="D1033" t="inlineStr">
        <is>
          <t>STOCKHOLMS LÄN</t>
        </is>
      </c>
      <c r="E1033" t="inlineStr">
        <is>
          <t>NORRTÄLJE</t>
        </is>
      </c>
      <c r="F1033" t="inlineStr">
        <is>
          <t>Holmen skog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17612-2022</t>
        </is>
      </c>
      <c r="B1034" s="1" t="n">
        <v>44680</v>
      </c>
      <c r="C1034" s="1" t="n">
        <v>46126</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9103-2026</t>
        </is>
      </c>
      <c r="B1035" s="1" t="n">
        <v>46069.65039351852</v>
      </c>
      <c r="C1035" s="1" t="n">
        <v>46126</v>
      </c>
      <c r="D1035" t="inlineStr">
        <is>
          <t>STOCKHOLMS LÄN</t>
        </is>
      </c>
      <c r="E1035" t="inlineStr">
        <is>
          <t>NORRTÄLJE</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58297-2023</t>
        </is>
      </c>
      <c r="B1036" s="1" t="n">
        <v>45245</v>
      </c>
      <c r="C1036" s="1" t="n">
        <v>46126</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8989-2026</t>
        </is>
      </c>
      <c r="B1037" s="1" t="n">
        <v>46069.45789351852</v>
      </c>
      <c r="C1037" s="1" t="n">
        <v>46126</v>
      </c>
      <c r="D1037" t="inlineStr">
        <is>
          <t>STOCKHOLMS LÄN</t>
        </is>
      </c>
      <c r="E1037" t="inlineStr">
        <is>
          <t>NORRTÄLJE</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21726-2022</t>
        </is>
      </c>
      <c r="B1038" s="1" t="n">
        <v>44708</v>
      </c>
      <c r="C1038" s="1" t="n">
        <v>46126</v>
      </c>
      <c r="D1038" t="inlineStr">
        <is>
          <t>STOCKHOLMS LÄN</t>
        </is>
      </c>
      <c r="E1038" t="inlineStr">
        <is>
          <t>NORRTÄLJE</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21739-2022</t>
        </is>
      </c>
      <c r="B1039" s="1" t="n">
        <v>44708.36708333333</v>
      </c>
      <c r="C1039" s="1" t="n">
        <v>46126</v>
      </c>
      <c r="D1039" t="inlineStr">
        <is>
          <t>STOCKHOLMS LÄN</t>
        </is>
      </c>
      <c r="E1039" t="inlineStr">
        <is>
          <t>NORRTÄLJE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28182-2022</t>
        </is>
      </c>
      <c r="B1040" s="1" t="n">
        <v>44746.58530092592</v>
      </c>
      <c r="C1040" s="1" t="n">
        <v>46126</v>
      </c>
      <c r="D1040" t="inlineStr">
        <is>
          <t>STOCKHOLMS LÄN</t>
        </is>
      </c>
      <c r="E1040" t="inlineStr">
        <is>
          <t>NORRTÄLJE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3283-2025</t>
        </is>
      </c>
      <c r="B1041" s="1" t="n">
        <v>45679</v>
      </c>
      <c r="C1041" s="1" t="n">
        <v>46126</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18092-2022</t>
        </is>
      </c>
      <c r="B1042" s="1" t="n">
        <v>44684</v>
      </c>
      <c r="C1042" s="1" t="n">
        <v>46126</v>
      </c>
      <c r="D1042" t="inlineStr">
        <is>
          <t>STOCKHOLMS LÄN</t>
        </is>
      </c>
      <c r="E1042" t="inlineStr">
        <is>
          <t>NORRTÄLJE</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33295-2023</t>
        </is>
      </c>
      <c r="B1043" s="1" t="n">
        <v>45127.69371527778</v>
      </c>
      <c r="C1043" s="1" t="n">
        <v>46126</v>
      </c>
      <c r="D1043" t="inlineStr">
        <is>
          <t>STOCKHOLMS LÄN</t>
        </is>
      </c>
      <c r="E1043" t="inlineStr">
        <is>
          <t>NORRTÄLJE</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16243-2026</t>
        </is>
      </c>
      <c r="B1044" s="1" t="n">
        <v>46111.45902777778</v>
      </c>
      <c r="C1044" s="1" t="n">
        <v>46126</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58404-2023</t>
        </is>
      </c>
      <c r="B1045" s="1" t="n">
        <v>45245</v>
      </c>
      <c r="C1045" s="1" t="n">
        <v>46126</v>
      </c>
      <c r="D1045" t="inlineStr">
        <is>
          <t>STOCKHOLMS LÄN</t>
        </is>
      </c>
      <c r="E1045" t="inlineStr">
        <is>
          <t>NORRTÄLJE</t>
        </is>
      </c>
      <c r="G1045" t="n">
        <v>53.5</v>
      </c>
      <c r="H1045" t="n">
        <v>0</v>
      </c>
      <c r="I1045" t="n">
        <v>0</v>
      </c>
      <c r="J1045" t="n">
        <v>0</v>
      </c>
      <c r="K1045" t="n">
        <v>0</v>
      </c>
      <c r="L1045" t="n">
        <v>0</v>
      </c>
      <c r="M1045" t="n">
        <v>0</v>
      </c>
      <c r="N1045" t="n">
        <v>0</v>
      </c>
      <c r="O1045" t="n">
        <v>0</v>
      </c>
      <c r="P1045" t="n">
        <v>0</v>
      </c>
      <c r="Q1045" t="n">
        <v>0</v>
      </c>
      <c r="R1045" s="2" t="inlineStr"/>
    </row>
    <row r="1046" ht="15" customHeight="1">
      <c r="A1046" t="inlineStr">
        <is>
          <t>A 27885-2022</t>
        </is>
      </c>
      <c r="B1046" s="1" t="n">
        <v>44743.67418981482</v>
      </c>
      <c r="C1046" s="1" t="n">
        <v>46126</v>
      </c>
      <c r="D1046" t="inlineStr">
        <is>
          <t>STOCKHOLMS LÄN</t>
        </is>
      </c>
      <c r="E1046" t="inlineStr">
        <is>
          <t>NORRTÄLJE</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25525-2022</t>
        </is>
      </c>
      <c r="B1047" s="1" t="n">
        <v>44732</v>
      </c>
      <c r="C1047" s="1" t="n">
        <v>46126</v>
      </c>
      <c r="D1047" t="inlineStr">
        <is>
          <t>STOCKHOLMS LÄN</t>
        </is>
      </c>
      <c r="E1047" t="inlineStr">
        <is>
          <t>NORRTÄLJE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8962-2026</t>
        </is>
      </c>
      <c r="B1048" s="1" t="n">
        <v>46069.41644675926</v>
      </c>
      <c r="C1048" s="1" t="n">
        <v>46126</v>
      </c>
      <c r="D1048" t="inlineStr">
        <is>
          <t>STOCKHOLMS LÄN</t>
        </is>
      </c>
      <c r="E1048" t="inlineStr">
        <is>
          <t>NORRTÄLJE</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48722-2023</t>
        </is>
      </c>
      <c r="B1049" s="1" t="n">
        <v>45208.70996527778</v>
      </c>
      <c r="C1049" s="1" t="n">
        <v>46126</v>
      </c>
      <c r="D1049" t="inlineStr">
        <is>
          <t>STOCKHOLMS LÄN</t>
        </is>
      </c>
      <c r="E1049" t="inlineStr">
        <is>
          <t>NORRTÄLJE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16229-2026</t>
        </is>
      </c>
      <c r="B1050" s="1" t="n">
        <v>46111.45084490741</v>
      </c>
      <c r="C1050" s="1" t="n">
        <v>46126</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23801-2022</t>
        </is>
      </c>
      <c r="B1051" s="1" t="n">
        <v>44722</v>
      </c>
      <c r="C1051" s="1" t="n">
        <v>46126</v>
      </c>
      <c r="D1051" t="inlineStr">
        <is>
          <t>STOCKHOLMS LÄN</t>
        </is>
      </c>
      <c r="E1051" t="inlineStr">
        <is>
          <t>NORRTÄLJE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17025-2026</t>
        </is>
      </c>
      <c r="B1052" s="1" t="n">
        <v>46113</v>
      </c>
      <c r="C1052" s="1" t="n">
        <v>46126</v>
      </c>
      <c r="D1052" t="inlineStr">
        <is>
          <t>STOCKHOLMS LÄN</t>
        </is>
      </c>
      <c r="E1052" t="inlineStr">
        <is>
          <t>NORRTÄLJE</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33353-2023</t>
        </is>
      </c>
      <c r="B1053" s="1" t="n">
        <v>45128</v>
      </c>
      <c r="C1053" s="1" t="n">
        <v>46126</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9720-2026</t>
        </is>
      </c>
      <c r="B1054" s="1" t="n">
        <v>46072.45061342593</v>
      </c>
      <c r="C1054" s="1" t="n">
        <v>46126</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10399-2026</t>
        </is>
      </c>
      <c r="B1055" s="1" t="n">
        <v>46077</v>
      </c>
      <c r="C1055" s="1" t="n">
        <v>46126</v>
      </c>
      <c r="D1055" t="inlineStr">
        <is>
          <t>STOCKHOLMS LÄN</t>
        </is>
      </c>
      <c r="E1055" t="inlineStr">
        <is>
          <t>NORRTÄLJE</t>
        </is>
      </c>
      <c r="F1055" t="inlineStr">
        <is>
          <t>Övriga Aktiebolag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17215-2026</t>
        </is>
      </c>
      <c r="B1056" s="1" t="n">
        <v>46119.36524305555</v>
      </c>
      <c r="C1056" s="1" t="n">
        <v>46126</v>
      </c>
      <c r="D1056" t="inlineStr">
        <is>
          <t>STOCKHOLMS LÄN</t>
        </is>
      </c>
      <c r="E1056" t="inlineStr">
        <is>
          <t>NORRTÄLJE</t>
        </is>
      </c>
      <c r="F1056" t="inlineStr">
        <is>
          <t>Holmen skog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17220-2026</t>
        </is>
      </c>
      <c r="B1057" s="1" t="n">
        <v>46119.37436342592</v>
      </c>
      <c r="C1057" s="1" t="n">
        <v>46126</v>
      </c>
      <c r="D1057" t="inlineStr">
        <is>
          <t>STOCKHOLMS LÄN</t>
        </is>
      </c>
      <c r="E1057" t="inlineStr">
        <is>
          <t>NORRTÄLJE</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10429-2026</t>
        </is>
      </c>
      <c r="B1058" s="1" t="n">
        <v>46077.3822337963</v>
      </c>
      <c r="C1058" s="1" t="n">
        <v>46126</v>
      </c>
      <c r="D1058" t="inlineStr">
        <is>
          <t>STOCKHOLMS LÄN</t>
        </is>
      </c>
      <c r="E1058" t="inlineStr">
        <is>
          <t>NORRTÄLJE</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17207-2026</t>
        </is>
      </c>
      <c r="B1059" s="1" t="n">
        <v>46119.31914351852</v>
      </c>
      <c r="C1059" s="1" t="n">
        <v>46126</v>
      </c>
      <c r="D1059" t="inlineStr">
        <is>
          <t>STOCKHOLMS LÄN</t>
        </is>
      </c>
      <c r="E1059" t="inlineStr">
        <is>
          <t>NORRTÄLJE</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17347-2026</t>
        </is>
      </c>
      <c r="B1060" s="1" t="n">
        <v>46119.65369212963</v>
      </c>
      <c r="C1060" s="1" t="n">
        <v>46126</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10586-2026</t>
        </is>
      </c>
      <c r="B1061" s="1" t="n">
        <v>46077.68192129629</v>
      </c>
      <c r="C1061" s="1" t="n">
        <v>46126</v>
      </c>
      <c r="D1061" t="inlineStr">
        <is>
          <t>STOCKHOLMS LÄN</t>
        </is>
      </c>
      <c r="E1061" t="inlineStr">
        <is>
          <t>NORRTÄLJE</t>
        </is>
      </c>
      <c r="F1061" t="inlineStr">
        <is>
          <t>Holmen skog AB</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10444-2026</t>
        </is>
      </c>
      <c r="B1062" s="1" t="n">
        <v>46077.42230324074</v>
      </c>
      <c r="C1062" s="1" t="n">
        <v>46126</v>
      </c>
      <c r="D1062" t="inlineStr">
        <is>
          <t>STOCKHOLMS LÄN</t>
        </is>
      </c>
      <c r="E1062" t="inlineStr">
        <is>
          <t>NORRTÄLJE</t>
        </is>
      </c>
      <c r="F1062" t="inlineStr">
        <is>
          <t>Holmen skog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35708-2022</t>
        </is>
      </c>
      <c r="B1063" s="1" t="n">
        <v>44799.65013888889</v>
      </c>
      <c r="C1063" s="1" t="n">
        <v>46126</v>
      </c>
      <c r="D1063" t="inlineStr">
        <is>
          <t>STOCKHOLMS LÄN</t>
        </is>
      </c>
      <c r="E1063" t="inlineStr">
        <is>
          <t>NORRTÄLJE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3426-2025</t>
        </is>
      </c>
      <c r="B1064" s="1" t="n">
        <v>45680.42665509259</v>
      </c>
      <c r="C1064" s="1" t="n">
        <v>46126</v>
      </c>
      <c r="D1064" t="inlineStr">
        <is>
          <t>STOCKHOLMS LÄN</t>
        </is>
      </c>
      <c r="E1064" t="inlineStr">
        <is>
          <t>NORRTÄLJE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10553-2026</t>
        </is>
      </c>
      <c r="B1065" s="1" t="n">
        <v>46077.62944444444</v>
      </c>
      <c r="C1065" s="1" t="n">
        <v>46126</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9-2024</t>
        </is>
      </c>
      <c r="B1066" s="1" t="n">
        <v>45293</v>
      </c>
      <c r="C1066" s="1" t="n">
        <v>46126</v>
      </c>
      <c r="D1066" t="inlineStr">
        <is>
          <t>STOCKHOLMS LÄN</t>
        </is>
      </c>
      <c r="E1066" t="inlineStr">
        <is>
          <t>NORRTÄLJE</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51312-2023</t>
        </is>
      </c>
      <c r="B1067" s="1" t="n">
        <v>45219.56697916667</v>
      </c>
      <c r="C1067" s="1" t="n">
        <v>46126</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17345-2026</t>
        </is>
      </c>
      <c r="B1068" s="1" t="n">
        <v>46119.64990740741</v>
      </c>
      <c r="C1068" s="1" t="n">
        <v>46126</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11849-2025</t>
        </is>
      </c>
      <c r="B1069" s="1" t="n">
        <v>45728.38409722222</v>
      </c>
      <c r="C1069" s="1" t="n">
        <v>46126</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38610-2022</t>
        </is>
      </c>
      <c r="B1070" s="1" t="n">
        <v>44813.59915509259</v>
      </c>
      <c r="C1070" s="1" t="n">
        <v>46126</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22816-2021</t>
        </is>
      </c>
      <c r="B1071" s="1" t="n">
        <v>44325</v>
      </c>
      <c r="C1071" s="1" t="n">
        <v>46126</v>
      </c>
      <c r="D1071" t="inlineStr">
        <is>
          <t>STOCKHOLMS LÄN</t>
        </is>
      </c>
      <c r="E1071" t="inlineStr">
        <is>
          <t>NORRTÄLJE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17209-2026</t>
        </is>
      </c>
      <c r="B1072" s="1" t="n">
        <v>46119.33341435185</v>
      </c>
      <c r="C1072" s="1" t="n">
        <v>46126</v>
      </c>
      <c r="D1072" t="inlineStr">
        <is>
          <t>STOCKHOLMS LÄN</t>
        </is>
      </c>
      <c r="E1072" t="inlineStr">
        <is>
          <t>NORRTÄLJE</t>
        </is>
      </c>
      <c r="F1072" t="inlineStr">
        <is>
          <t>Holmen skog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59468-2023</t>
        </is>
      </c>
      <c r="B1073" s="1" t="n">
        <v>45254.41509259259</v>
      </c>
      <c r="C1073" s="1" t="n">
        <v>46126</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18846-2022</t>
        </is>
      </c>
      <c r="B1074" s="1" t="n">
        <v>44690</v>
      </c>
      <c r="C1074" s="1" t="n">
        <v>46126</v>
      </c>
      <c r="D1074" t="inlineStr">
        <is>
          <t>STOCKHOLMS LÄN</t>
        </is>
      </c>
      <c r="E1074" t="inlineStr">
        <is>
          <t>NORRTÄLJE</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17651-2026</t>
        </is>
      </c>
      <c r="B1075" s="1" t="n">
        <v>46121.55334490741</v>
      </c>
      <c r="C1075" s="1" t="n">
        <v>46126</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12535-2025</t>
        </is>
      </c>
      <c r="B1076" s="1" t="n">
        <v>45730.69502314815</v>
      </c>
      <c r="C1076" s="1" t="n">
        <v>46126</v>
      </c>
      <c r="D1076" t="inlineStr">
        <is>
          <t>STOCKHOLMS LÄN</t>
        </is>
      </c>
      <c r="E1076" t="inlineStr">
        <is>
          <t>NORRTÄLJE</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574-2023</t>
        </is>
      </c>
      <c r="B1077" s="1" t="n">
        <v>44925</v>
      </c>
      <c r="C1077" s="1" t="n">
        <v>46126</v>
      </c>
      <c r="D1077" t="inlineStr">
        <is>
          <t>STOCKHOLMS LÄN</t>
        </is>
      </c>
      <c r="E1077" t="inlineStr">
        <is>
          <t>NORRTÄLJE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10646-2026</t>
        </is>
      </c>
      <c r="B1078" s="1" t="n">
        <v>46078.34157407407</v>
      </c>
      <c r="C1078" s="1" t="n">
        <v>46126</v>
      </c>
      <c r="D1078" t="inlineStr">
        <is>
          <t>STOCKHOLMS LÄN</t>
        </is>
      </c>
      <c r="E1078" t="inlineStr">
        <is>
          <t>NORRTÄLJE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37010-2022</t>
        </is>
      </c>
      <c r="B1079" s="1" t="n">
        <v>44806.41576388889</v>
      </c>
      <c r="C1079" s="1" t="n">
        <v>46126</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32705-2022</t>
        </is>
      </c>
      <c r="B1080" s="1" t="n">
        <v>44783</v>
      </c>
      <c r="C1080" s="1" t="n">
        <v>46126</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33149-2022</t>
        </is>
      </c>
      <c r="B1081" s="1" t="n">
        <v>44785</v>
      </c>
      <c r="C1081" s="1" t="n">
        <v>46126</v>
      </c>
      <c r="D1081" t="inlineStr">
        <is>
          <t>STOCKHOLMS LÄN</t>
        </is>
      </c>
      <c r="E1081" t="inlineStr">
        <is>
          <t>NORRTÄLJE</t>
        </is>
      </c>
      <c r="F1081" t="inlineStr">
        <is>
          <t>Holmen skog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14559-2024</t>
        </is>
      </c>
      <c r="B1082" s="1" t="n">
        <v>45394.72869212963</v>
      </c>
      <c r="C1082" s="1" t="n">
        <v>46126</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11-2024</t>
        </is>
      </c>
      <c r="B1083" s="1" t="n">
        <v>45293</v>
      </c>
      <c r="C1083" s="1" t="n">
        <v>46126</v>
      </c>
      <c r="D1083" t="inlineStr">
        <is>
          <t>STOCKHOLMS LÄN</t>
        </is>
      </c>
      <c r="E1083" t="inlineStr">
        <is>
          <t>NORRTÄLJE</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15256-2023</t>
        </is>
      </c>
      <c r="B1084" s="1" t="n">
        <v>45019.3959837963</v>
      </c>
      <c r="C1084" s="1" t="n">
        <v>46126</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7413-2024</t>
        </is>
      </c>
      <c r="B1085" s="1" t="n">
        <v>45345.6059837963</v>
      </c>
      <c r="C1085" s="1" t="n">
        <v>46126</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58040-2024</t>
        </is>
      </c>
      <c r="B1086" s="1" t="n">
        <v>45631.73952546297</v>
      </c>
      <c r="C1086" s="1" t="n">
        <v>46126</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58041-2024</t>
        </is>
      </c>
      <c r="B1087" s="1" t="n">
        <v>45631.74673611111</v>
      </c>
      <c r="C1087" s="1" t="n">
        <v>46126</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31057-2022</t>
        </is>
      </c>
      <c r="B1088" s="1" t="n">
        <v>44769</v>
      </c>
      <c r="C1088" s="1" t="n">
        <v>46126</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25619-2022</t>
        </is>
      </c>
      <c r="B1089" s="1" t="n">
        <v>44732</v>
      </c>
      <c r="C1089" s="1" t="n">
        <v>46126</v>
      </c>
      <c r="D1089" t="inlineStr">
        <is>
          <t>STOCKHOLMS LÄN</t>
        </is>
      </c>
      <c r="E1089" t="inlineStr">
        <is>
          <t>NORRTÄLJE</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15422-2024</t>
        </is>
      </c>
      <c r="B1090" s="1" t="n">
        <v>45401.3653125</v>
      </c>
      <c r="C1090" s="1" t="n">
        <v>46126</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48716-2023</t>
        </is>
      </c>
      <c r="B1091" s="1" t="n">
        <v>45208.69671296296</v>
      </c>
      <c r="C1091" s="1" t="n">
        <v>46126</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55369-2023</t>
        </is>
      </c>
      <c r="B1092" s="1" t="n">
        <v>45238</v>
      </c>
      <c r="C1092" s="1" t="n">
        <v>46126</v>
      </c>
      <c r="D1092" t="inlineStr">
        <is>
          <t>STOCKHOLMS LÄN</t>
        </is>
      </c>
      <c r="E1092" t="inlineStr">
        <is>
          <t>NORRTÄLJE</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20121-2022</t>
        </is>
      </c>
      <c r="B1093" s="1" t="n">
        <v>44698</v>
      </c>
      <c r="C1093" s="1" t="n">
        <v>46126</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26407-2024</t>
        </is>
      </c>
      <c r="B1094" s="1" t="n">
        <v>45469</v>
      </c>
      <c r="C1094" s="1" t="n">
        <v>46126</v>
      </c>
      <c r="D1094" t="inlineStr">
        <is>
          <t>STOCKHOLMS LÄN</t>
        </is>
      </c>
      <c r="E1094" t="inlineStr">
        <is>
          <t>NORRTÄLJE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10098-2022</t>
        </is>
      </c>
      <c r="B1095" s="1" t="n">
        <v>44621</v>
      </c>
      <c r="C1095" s="1" t="n">
        <v>46126</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49700-2023</t>
        </is>
      </c>
      <c r="B1096" s="1" t="n">
        <v>45212</v>
      </c>
      <c r="C1096" s="1" t="n">
        <v>46126</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59875-2024</t>
        </is>
      </c>
      <c r="B1097" s="1" t="n">
        <v>45640.58716435185</v>
      </c>
      <c r="C1097" s="1" t="n">
        <v>46126</v>
      </c>
      <c r="D1097" t="inlineStr">
        <is>
          <t>STOCKHOLMS LÄN</t>
        </is>
      </c>
      <c r="E1097" t="inlineStr">
        <is>
          <t>NORRTÄLJE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45220-2024</t>
        </is>
      </c>
      <c r="B1098" s="1" t="n">
        <v>45575</v>
      </c>
      <c r="C1098" s="1" t="n">
        <v>46126</v>
      </c>
      <c r="D1098" t="inlineStr">
        <is>
          <t>STOCKHOLMS LÄN</t>
        </is>
      </c>
      <c r="E1098" t="inlineStr">
        <is>
          <t>NORRTÄLJE</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4658-2024</t>
        </is>
      </c>
      <c r="B1099" s="1" t="n">
        <v>45328.46336805556</v>
      </c>
      <c r="C1099" s="1" t="n">
        <v>46126</v>
      </c>
      <c r="D1099" t="inlineStr">
        <is>
          <t>STOCKHOLMS LÄN</t>
        </is>
      </c>
      <c r="E1099" t="inlineStr">
        <is>
          <t>NORRTÄLJE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48145-2024</t>
        </is>
      </c>
      <c r="B1100" s="1" t="n">
        <v>45589.6756712963</v>
      </c>
      <c r="C1100" s="1" t="n">
        <v>46126</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10642-2025</t>
        </is>
      </c>
      <c r="B1101" s="1" t="n">
        <v>45721.65858796296</v>
      </c>
      <c r="C1101" s="1" t="n">
        <v>46126</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24024-2024</t>
        </is>
      </c>
      <c r="B1102" s="1" t="n">
        <v>45456</v>
      </c>
      <c r="C1102" s="1" t="n">
        <v>46126</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35532-2024</t>
        </is>
      </c>
      <c r="B1103" s="1" t="n">
        <v>45531</v>
      </c>
      <c r="C1103" s="1" t="n">
        <v>46126</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21291-2021</t>
        </is>
      </c>
      <c r="B1104" s="1" t="n">
        <v>44319</v>
      </c>
      <c r="C1104" s="1" t="n">
        <v>46126</v>
      </c>
      <c r="D1104" t="inlineStr">
        <is>
          <t>STOCKHOLMS LÄN</t>
        </is>
      </c>
      <c r="E1104" t="inlineStr">
        <is>
          <t>NORRTÄLJE</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19118-2022</t>
        </is>
      </c>
      <c r="B1105" s="1" t="n">
        <v>44691.5652662037</v>
      </c>
      <c r="C1105" s="1" t="n">
        <v>46126</v>
      </c>
      <c r="D1105" t="inlineStr">
        <is>
          <t>STOCKHOLMS LÄN</t>
        </is>
      </c>
      <c r="E1105" t="inlineStr">
        <is>
          <t>NORRTÄLJE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22421-2021</t>
        </is>
      </c>
      <c r="B1106" s="1" t="n">
        <v>44326</v>
      </c>
      <c r="C1106" s="1" t="n">
        <v>46126</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59893-2022</t>
        </is>
      </c>
      <c r="B1107" s="1" t="n">
        <v>44908.77368055555</v>
      </c>
      <c r="C1107" s="1" t="n">
        <v>46126</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33226-2024</t>
        </is>
      </c>
      <c r="B1108" s="1" t="n">
        <v>45518</v>
      </c>
      <c r="C1108" s="1" t="n">
        <v>46126</v>
      </c>
      <c r="D1108" t="inlineStr">
        <is>
          <t>STOCKHOLMS LÄN</t>
        </is>
      </c>
      <c r="E1108" t="inlineStr">
        <is>
          <t>NORRTÄLJE</t>
        </is>
      </c>
      <c r="G1108" t="n">
        <v>13.8</v>
      </c>
      <c r="H1108" t="n">
        <v>0</v>
      </c>
      <c r="I1108" t="n">
        <v>0</v>
      </c>
      <c r="J1108" t="n">
        <v>0</v>
      </c>
      <c r="K1108" t="n">
        <v>0</v>
      </c>
      <c r="L1108" t="n">
        <v>0</v>
      </c>
      <c r="M1108" t="n">
        <v>0</v>
      </c>
      <c r="N1108" t="n">
        <v>0</v>
      </c>
      <c r="O1108" t="n">
        <v>0</v>
      </c>
      <c r="P1108" t="n">
        <v>0</v>
      </c>
      <c r="Q1108" t="n">
        <v>0</v>
      </c>
      <c r="R1108" s="2" t="inlineStr"/>
    </row>
    <row r="1109" ht="15" customHeight="1">
      <c r="A1109" t="inlineStr">
        <is>
          <t>A 16980-2023</t>
        </is>
      </c>
      <c r="B1109" s="1" t="n">
        <v>45033</v>
      </c>
      <c r="C1109" s="1" t="n">
        <v>46126</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31107-2022</t>
        </is>
      </c>
      <c r="B1110" s="1" t="n">
        <v>44769.66864583334</v>
      </c>
      <c r="C1110" s="1" t="n">
        <v>46126</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18539-2021</t>
        </is>
      </c>
      <c r="B1111" s="1" t="n">
        <v>44306</v>
      </c>
      <c r="C1111" s="1" t="n">
        <v>46126</v>
      </c>
      <c r="D1111" t="inlineStr">
        <is>
          <t>STOCKHOLMS LÄN</t>
        </is>
      </c>
      <c r="E1111" t="inlineStr">
        <is>
          <t>NORRTÄLJE</t>
        </is>
      </c>
      <c r="F1111" t="inlineStr">
        <is>
          <t>Holmen skog AB</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43170-2023</t>
        </is>
      </c>
      <c r="B1112" s="1" t="n">
        <v>45183</v>
      </c>
      <c r="C1112" s="1" t="n">
        <v>46126</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47626-2022</t>
        </is>
      </c>
      <c r="B1113" s="1" t="n">
        <v>44854</v>
      </c>
      <c r="C1113" s="1" t="n">
        <v>46126</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32101-2022</t>
        </is>
      </c>
      <c r="B1114" s="1" t="n">
        <v>44778.69210648148</v>
      </c>
      <c r="C1114" s="1" t="n">
        <v>46126</v>
      </c>
      <c r="D1114" t="inlineStr">
        <is>
          <t>STOCKHOLMS LÄN</t>
        </is>
      </c>
      <c r="E1114" t="inlineStr">
        <is>
          <t>NORRTÄLJE</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28365-2022</t>
        </is>
      </c>
      <c r="B1115" s="1" t="n">
        <v>44747</v>
      </c>
      <c r="C1115" s="1" t="n">
        <v>46126</v>
      </c>
      <c r="D1115" t="inlineStr">
        <is>
          <t>STOCKHOLMS LÄN</t>
        </is>
      </c>
      <c r="E1115" t="inlineStr">
        <is>
          <t>NORRTÄLJE</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42867-2022</t>
        </is>
      </c>
      <c r="B1116" s="1" t="n">
        <v>44832</v>
      </c>
      <c r="C1116" s="1" t="n">
        <v>46126</v>
      </c>
      <c r="D1116" t="inlineStr">
        <is>
          <t>STOCKHOLMS LÄN</t>
        </is>
      </c>
      <c r="E1116" t="inlineStr">
        <is>
          <t>NORRTÄLJE</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5645-2023</t>
        </is>
      </c>
      <c r="B1117" s="1" t="n">
        <v>44960.60469907407</v>
      </c>
      <c r="C1117" s="1" t="n">
        <v>46126</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17775-2022</t>
        </is>
      </c>
      <c r="B1118" s="1" t="n">
        <v>44682.78430555556</v>
      </c>
      <c r="C1118" s="1" t="n">
        <v>46126</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47481-2024</t>
        </is>
      </c>
      <c r="B1119" s="1" t="n">
        <v>45587</v>
      </c>
      <c r="C1119" s="1" t="n">
        <v>46126</v>
      </c>
      <c r="D1119" t="inlineStr">
        <is>
          <t>STOCKHOLMS LÄN</t>
        </is>
      </c>
      <c r="E1119" t="inlineStr">
        <is>
          <t>NORRTÄLJE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24933-2023</t>
        </is>
      </c>
      <c r="B1120" s="1" t="n">
        <v>45085.5309375</v>
      </c>
      <c r="C1120" s="1" t="n">
        <v>46126</v>
      </c>
      <c r="D1120" t="inlineStr">
        <is>
          <t>STOCKHOLMS LÄN</t>
        </is>
      </c>
      <c r="E1120" t="inlineStr">
        <is>
          <t>NORRTÄLJE</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11062-2024</t>
        </is>
      </c>
      <c r="B1121" s="1" t="n">
        <v>45370</v>
      </c>
      <c r="C1121" s="1" t="n">
        <v>46126</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576-2023</t>
        </is>
      </c>
      <c r="B1122" s="1" t="n">
        <v>44925</v>
      </c>
      <c r="C1122" s="1" t="n">
        <v>46126</v>
      </c>
      <c r="D1122" t="inlineStr">
        <is>
          <t>STOCKHOLMS LÄN</t>
        </is>
      </c>
      <c r="E1122" t="inlineStr">
        <is>
          <t>NORRTÄLJE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12908-2025</t>
        </is>
      </c>
      <c r="B1123" s="1" t="n">
        <v>45733.82105324074</v>
      </c>
      <c r="C1123" s="1" t="n">
        <v>46126</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68361-2021</t>
        </is>
      </c>
      <c r="B1124" s="1" t="n">
        <v>44528.91494212963</v>
      </c>
      <c r="C1124" s="1" t="n">
        <v>46126</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50469-2022</t>
        </is>
      </c>
      <c r="B1125" s="1" t="n">
        <v>44866.49827546296</v>
      </c>
      <c r="C1125" s="1" t="n">
        <v>46126</v>
      </c>
      <c r="D1125" t="inlineStr">
        <is>
          <t>STOCKHOLMS LÄN</t>
        </is>
      </c>
      <c r="E1125" t="inlineStr">
        <is>
          <t>NORRTÄLJE</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41976-2024</t>
        </is>
      </c>
      <c r="B1126" s="1" t="n">
        <v>45561.62141203704</v>
      </c>
      <c r="C1126" s="1" t="n">
        <v>46126</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62206-2022</t>
        </is>
      </c>
      <c r="B1127" s="1" t="n">
        <v>44922</v>
      </c>
      <c r="C1127" s="1" t="n">
        <v>46126</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30886-2022</t>
        </is>
      </c>
      <c r="B1128" s="1" t="n">
        <v>44767.60601851852</v>
      </c>
      <c r="C1128" s="1" t="n">
        <v>46126</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58989-2021</t>
        </is>
      </c>
      <c r="B1129" s="1" t="n">
        <v>44490.02482638889</v>
      </c>
      <c r="C1129" s="1" t="n">
        <v>46126</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58990-2021</t>
        </is>
      </c>
      <c r="B1130" s="1" t="n">
        <v>44490.03621527777</v>
      </c>
      <c r="C1130" s="1" t="n">
        <v>46126</v>
      </c>
      <c r="D1130" t="inlineStr">
        <is>
          <t>STOCKHOLMS LÄN</t>
        </is>
      </c>
      <c r="E1130" t="inlineStr">
        <is>
          <t>NORRTÄLJE</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46126</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29266-2022</t>
        </is>
      </c>
      <c r="B1132" s="1" t="n">
        <v>44750.66068287037</v>
      </c>
      <c r="C1132" s="1" t="n">
        <v>46126</v>
      </c>
      <c r="D1132" t="inlineStr">
        <is>
          <t>STOCKHOLMS LÄN</t>
        </is>
      </c>
      <c r="E1132" t="inlineStr">
        <is>
          <t>NORRTÄLJE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29278-2022</t>
        </is>
      </c>
      <c r="B1133" s="1" t="n">
        <v>44750</v>
      </c>
      <c r="C1133" s="1" t="n">
        <v>46126</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6401-2024</t>
        </is>
      </c>
      <c r="B1134" s="1" t="n">
        <v>45338</v>
      </c>
      <c r="C1134" s="1" t="n">
        <v>46126</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24501-2023</t>
        </is>
      </c>
      <c r="B1135" s="1" t="n">
        <v>45082</v>
      </c>
      <c r="C1135" s="1" t="n">
        <v>46126</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24520-2023</t>
        </is>
      </c>
      <c r="B1136" s="1" t="n">
        <v>45082.68922453704</v>
      </c>
      <c r="C1136" s="1" t="n">
        <v>46126</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38612-2022</t>
        </is>
      </c>
      <c r="B1137" s="1" t="n">
        <v>44813</v>
      </c>
      <c r="C1137" s="1" t="n">
        <v>46126</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33040-2021</t>
        </is>
      </c>
      <c r="B1138" s="1" t="n">
        <v>44376.50728009259</v>
      </c>
      <c r="C1138" s="1" t="n">
        <v>46126</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26117-2024</t>
        </is>
      </c>
      <c r="B1139" s="1" t="n">
        <v>45468.45877314815</v>
      </c>
      <c r="C1139" s="1" t="n">
        <v>46126</v>
      </c>
      <c r="D1139" t="inlineStr">
        <is>
          <t>STOCKHOLMS LÄN</t>
        </is>
      </c>
      <c r="E1139" t="inlineStr">
        <is>
          <t>NORRTÄLJE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61113-2023</t>
        </is>
      </c>
      <c r="B1140" s="1" t="n">
        <v>45261</v>
      </c>
      <c r="C1140" s="1" t="n">
        <v>46126</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60822-2023</t>
        </is>
      </c>
      <c r="B1141" s="1" t="n">
        <v>45259</v>
      </c>
      <c r="C1141" s="1" t="n">
        <v>46126</v>
      </c>
      <c r="D1141" t="inlineStr">
        <is>
          <t>STOCKHOLMS LÄN</t>
        </is>
      </c>
      <c r="E1141" t="inlineStr">
        <is>
          <t>NORRTÄLJE</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59310-2023</t>
        </is>
      </c>
      <c r="B1142" s="1" t="n">
        <v>45253.61146990741</v>
      </c>
      <c r="C1142" s="1" t="n">
        <v>46126</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20343-2024</t>
        </is>
      </c>
      <c r="B1143" s="1" t="n">
        <v>45435.43466435185</v>
      </c>
      <c r="C1143" s="1" t="n">
        <v>46126</v>
      </c>
      <c r="D1143" t="inlineStr">
        <is>
          <t>STOCKHOLMS LÄN</t>
        </is>
      </c>
      <c r="E1143" t="inlineStr">
        <is>
          <t>NORRTÄLJE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20345-2024</t>
        </is>
      </c>
      <c r="B1144" s="1" t="n">
        <v>45435.43820601852</v>
      </c>
      <c r="C1144" s="1" t="n">
        <v>46126</v>
      </c>
      <c r="D1144" t="inlineStr">
        <is>
          <t>STOCKHOLMS LÄN</t>
        </is>
      </c>
      <c r="E1144" t="inlineStr">
        <is>
          <t>NORRTÄLJE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55010-2024</t>
        </is>
      </c>
      <c r="B1145" s="1" t="n">
        <v>45621.34425925926</v>
      </c>
      <c r="C1145" s="1" t="n">
        <v>46126</v>
      </c>
      <c r="D1145" t="inlineStr">
        <is>
          <t>STOCKHOLMS LÄN</t>
        </is>
      </c>
      <c r="E1145" t="inlineStr">
        <is>
          <t>NORRTÄLJE</t>
        </is>
      </c>
      <c r="F1145" t="inlineStr">
        <is>
          <t>Sveaskog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55018-2024</t>
        </is>
      </c>
      <c r="B1146" s="1" t="n">
        <v>45621.35712962963</v>
      </c>
      <c r="C1146" s="1" t="n">
        <v>46126</v>
      </c>
      <c r="D1146" t="inlineStr">
        <is>
          <t>STOCKHOLMS LÄN</t>
        </is>
      </c>
      <c r="E1146" t="inlineStr">
        <is>
          <t>NORRTÄLJE</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50113-2024</t>
        </is>
      </c>
      <c r="B1147" s="1" t="n">
        <v>45600.411875</v>
      </c>
      <c r="C1147" s="1" t="n">
        <v>46126</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20336-2024</t>
        </is>
      </c>
      <c r="B1148" s="1" t="n">
        <v>45435.43123842592</v>
      </c>
      <c r="C1148" s="1" t="n">
        <v>46126</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64899-2023</t>
        </is>
      </c>
      <c r="B1149" s="1" t="n">
        <v>45282</v>
      </c>
      <c r="C1149" s="1" t="n">
        <v>46126</v>
      </c>
      <c r="D1149" t="inlineStr">
        <is>
          <t>STOCKHOLMS LÄN</t>
        </is>
      </c>
      <c r="E1149" t="inlineStr">
        <is>
          <t>NORRTÄLJE</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1847-2023</t>
        </is>
      </c>
      <c r="B1150" s="1" t="n">
        <v>44938</v>
      </c>
      <c r="C1150" s="1" t="n">
        <v>46126</v>
      </c>
      <c r="D1150" t="inlineStr">
        <is>
          <t>STOCKHOLMS LÄN</t>
        </is>
      </c>
      <c r="E1150" t="inlineStr">
        <is>
          <t>NORRTÄLJE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29362-2022</t>
        </is>
      </c>
      <c r="B1151" s="1" t="n">
        <v>44753</v>
      </c>
      <c r="C1151" s="1" t="n">
        <v>46126</v>
      </c>
      <c r="D1151" t="inlineStr">
        <is>
          <t>STOCKHOLMS LÄN</t>
        </is>
      </c>
      <c r="E1151" t="inlineStr">
        <is>
          <t>NORRTÄLJE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20291-2022</t>
        </is>
      </c>
      <c r="B1152" s="1" t="n">
        <v>44698</v>
      </c>
      <c r="C1152" s="1" t="n">
        <v>46126</v>
      </c>
      <c r="D1152" t="inlineStr">
        <is>
          <t>STOCKHOLMS LÄN</t>
        </is>
      </c>
      <c r="E1152" t="inlineStr">
        <is>
          <t>NORRTÄLJE</t>
        </is>
      </c>
      <c r="F1152" t="inlineStr">
        <is>
          <t>Naturvårdsverket</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12302-2025</t>
        </is>
      </c>
      <c r="B1153" s="1" t="n">
        <v>45729.72851851852</v>
      </c>
      <c r="C1153" s="1" t="n">
        <v>46126</v>
      </c>
      <c r="D1153" t="inlineStr">
        <is>
          <t>STOCKHOLMS LÄN</t>
        </is>
      </c>
      <c r="E1153" t="inlineStr">
        <is>
          <t>NORRTÄLJE</t>
        </is>
      </c>
      <c r="F1153" t="inlineStr">
        <is>
          <t>Holmen skog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31926-2022</t>
        </is>
      </c>
      <c r="B1154" s="1" t="n">
        <v>44777</v>
      </c>
      <c r="C1154" s="1" t="n">
        <v>46126</v>
      </c>
      <c r="D1154" t="inlineStr">
        <is>
          <t>STOCKHOLMS LÄN</t>
        </is>
      </c>
      <c r="E1154" t="inlineStr">
        <is>
          <t>NORRTÄLJE</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1425-2025</t>
        </is>
      </c>
      <c r="B1155" s="1" t="n">
        <v>45668.67446759259</v>
      </c>
      <c r="C1155" s="1" t="n">
        <v>46126</v>
      </c>
      <c r="D1155" t="inlineStr">
        <is>
          <t>STOCKHOLMS LÄN</t>
        </is>
      </c>
      <c r="E1155" t="inlineStr">
        <is>
          <t>NORRTÄLJE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1453-2025</t>
        </is>
      </c>
      <c r="B1156" s="1" t="n">
        <v>45670.3079050926</v>
      </c>
      <c r="C1156" s="1" t="n">
        <v>46126</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13860-2023</t>
        </is>
      </c>
      <c r="B1157" s="1" t="n">
        <v>45007</v>
      </c>
      <c r="C1157" s="1" t="n">
        <v>46126</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6070-2022</t>
        </is>
      </c>
      <c r="B1158" s="1" t="n">
        <v>44599.58428240741</v>
      </c>
      <c r="C1158" s="1" t="n">
        <v>46126</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9130-2025</t>
        </is>
      </c>
      <c r="B1159" s="1" t="n">
        <v>45713.92623842593</v>
      </c>
      <c r="C1159" s="1" t="n">
        <v>46126</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27828-2022</t>
        </is>
      </c>
      <c r="B1160" s="1" t="n">
        <v>44743.59765046297</v>
      </c>
      <c r="C1160" s="1" t="n">
        <v>46126</v>
      </c>
      <c r="D1160" t="inlineStr">
        <is>
          <t>STOCKHOLMS LÄN</t>
        </is>
      </c>
      <c r="E1160" t="inlineStr">
        <is>
          <t>NORRTÄLJE</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59873-2024</t>
        </is>
      </c>
      <c r="B1161" s="1" t="n">
        <v>45640.57305555556</v>
      </c>
      <c r="C1161" s="1" t="n">
        <v>46126</v>
      </c>
      <c r="D1161" t="inlineStr">
        <is>
          <t>STOCKHOLMS LÄN</t>
        </is>
      </c>
      <c r="E1161" t="inlineStr">
        <is>
          <t>NORRTÄLJE</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22412-2021</t>
        </is>
      </c>
      <c r="B1162" s="1" t="n">
        <v>44326.61967592593</v>
      </c>
      <c r="C1162" s="1" t="n">
        <v>46126</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48161-2022</t>
        </is>
      </c>
      <c r="B1163" s="1" t="n">
        <v>44858</v>
      </c>
      <c r="C1163" s="1" t="n">
        <v>46126</v>
      </c>
      <c r="D1163" t="inlineStr">
        <is>
          <t>STOCKHOLMS LÄN</t>
        </is>
      </c>
      <c r="E1163" t="inlineStr">
        <is>
          <t>NORRTÄLJE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43150-2023</t>
        </is>
      </c>
      <c r="B1164" s="1" t="n">
        <v>45183</v>
      </c>
      <c r="C1164" s="1" t="n">
        <v>46126</v>
      </c>
      <c r="D1164" t="inlineStr">
        <is>
          <t>STOCKHOLMS LÄN</t>
        </is>
      </c>
      <c r="E1164" t="inlineStr">
        <is>
          <t>NORRTÄLJE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59534-2024</t>
        </is>
      </c>
      <c r="B1165" s="1" t="n">
        <v>45638.5987037037</v>
      </c>
      <c r="C1165" s="1" t="n">
        <v>46126</v>
      </c>
      <c r="D1165" t="inlineStr">
        <is>
          <t>STOCKHOLMS LÄN</t>
        </is>
      </c>
      <c r="E1165" t="inlineStr">
        <is>
          <t>NORRTÄLJE</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23307-2024</t>
        </is>
      </c>
      <c r="B1166" s="1" t="n">
        <v>45453</v>
      </c>
      <c r="C1166" s="1" t="n">
        <v>46126</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19450-2025</t>
        </is>
      </c>
      <c r="B1167" s="1" t="n">
        <v>45770</v>
      </c>
      <c r="C1167" s="1" t="n">
        <v>46126</v>
      </c>
      <c r="D1167" t="inlineStr">
        <is>
          <t>STOCKHOLMS LÄN</t>
        </is>
      </c>
      <c r="E1167" t="inlineStr">
        <is>
          <t>NORRTÄLJE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2281-2024</t>
        </is>
      </c>
      <c r="B1168" s="1" t="n">
        <v>45310.40628472222</v>
      </c>
      <c r="C1168" s="1" t="n">
        <v>46126</v>
      </c>
      <c r="D1168" t="inlineStr">
        <is>
          <t>STOCKHOLMS LÄN</t>
        </is>
      </c>
      <c r="E1168" t="inlineStr">
        <is>
          <t>NORRTÄLJE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2287-2024</t>
        </is>
      </c>
      <c r="B1169" s="1" t="n">
        <v>45310</v>
      </c>
      <c r="C1169" s="1" t="n">
        <v>46126</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20618-2022</t>
        </is>
      </c>
      <c r="B1170" s="1" t="n">
        <v>44700.50659722222</v>
      </c>
      <c r="C1170" s="1" t="n">
        <v>46126</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59504-2023</t>
        </is>
      </c>
      <c r="B1171" s="1" t="n">
        <v>45254</v>
      </c>
      <c r="C1171" s="1" t="n">
        <v>46126</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25656-2023</t>
        </is>
      </c>
      <c r="B1172" s="1" t="n">
        <v>45089</v>
      </c>
      <c r="C1172" s="1" t="n">
        <v>46126</v>
      </c>
      <c r="D1172" t="inlineStr">
        <is>
          <t>STOCKHOLMS LÄN</t>
        </is>
      </c>
      <c r="E1172" t="inlineStr">
        <is>
          <t>NORRTÄLJE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38049-2023</t>
        </is>
      </c>
      <c r="B1173" s="1" t="n">
        <v>45159</v>
      </c>
      <c r="C1173" s="1" t="n">
        <v>46126</v>
      </c>
      <c r="D1173" t="inlineStr">
        <is>
          <t>STOCKHOLMS LÄN</t>
        </is>
      </c>
      <c r="E1173" t="inlineStr">
        <is>
          <t>NORRTÄLJE</t>
        </is>
      </c>
      <c r="G1173" t="n">
        <v>3.6</v>
      </c>
      <c r="H1173" t="n">
        <v>0</v>
      </c>
      <c r="I1173" t="n">
        <v>0</v>
      </c>
      <c r="J1173" t="n">
        <v>0</v>
      </c>
      <c r="K1173" t="n">
        <v>0</v>
      </c>
      <c r="L1173" t="n">
        <v>0</v>
      </c>
      <c r="M1173" t="n">
        <v>0</v>
      </c>
      <c r="N1173" t="n">
        <v>0</v>
      </c>
      <c r="O1173" t="n">
        <v>0</v>
      </c>
      <c r="P1173" t="n">
        <v>0</v>
      </c>
      <c r="Q1173" t="n">
        <v>0</v>
      </c>
      <c r="R1173" s="2" t="inlineStr"/>
    </row>
    <row r="1174">
      <c r="A1174" t="inlineStr">
        <is>
          <t>A 3966-2024</t>
        </is>
      </c>
      <c r="B1174" s="1" t="n">
        <v>45322</v>
      </c>
      <c r="C1174" s="1" t="n">
        <v>46126</v>
      </c>
      <c r="D1174" t="inlineStr">
        <is>
          <t>STOCKHOLMS LÄN</t>
        </is>
      </c>
      <c r="E1174" t="inlineStr">
        <is>
          <t>NORRTÄLJE</t>
        </is>
      </c>
      <c r="G1174" t="n">
        <v>5.3</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2026-04-14T10:34:38Z</dcterms:created>
  <dcterms:modified xmlns:dcterms="http://purl.org/dc/terms/" xmlns:xsi="http://www.w3.org/2001/XMLSchema-instance" xsi:type="dcterms:W3CDTF">2026-04-14T10:34:39Z</dcterms:modified>
</cp:coreProperties>
</file>