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46010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46010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46010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46010</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46010</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46010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46010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46010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46010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46010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46010</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46010</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46010</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46010</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46010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46010</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46010</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46010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46010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46010</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46010</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46010</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46010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46010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46010</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46010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25732-2025</t>
        </is>
      </c>
      <c r="B30" s="1" t="n">
        <v>45800</v>
      </c>
      <c r="C30" s="1" t="n">
        <v>46010</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47951-2025</t>
        </is>
      </c>
      <c r="B31" s="1" t="n">
        <v>45932.58491898148</v>
      </c>
      <c r="C31" s="1" t="n">
        <v>46010</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46010</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46010</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46010</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46010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46010</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46010</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46010</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46010</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3444-2023</t>
        </is>
      </c>
      <c r="B40" s="1" t="n">
        <v>44949</v>
      </c>
      <c r="C40" s="1" t="n">
        <v>46010</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72111-2021</t>
        </is>
      </c>
      <c r="B41" s="1" t="n">
        <v>44544</v>
      </c>
      <c r="C41" s="1" t="n">
        <v>46010</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46010</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46010</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46010</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46010</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46010</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46010</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46010</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72305-2021</t>
        </is>
      </c>
      <c r="B49" s="1" t="n">
        <v>44545</v>
      </c>
      <c r="C49" s="1" t="n">
        <v>46010</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34521-2025</t>
        </is>
      </c>
      <c r="B50" s="1" t="n">
        <v>45847.47052083333</v>
      </c>
      <c r="C50" s="1" t="n">
        <v>46010</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47212-2025</t>
        </is>
      </c>
      <c r="B51" s="1" t="n">
        <v>45930</v>
      </c>
      <c r="C51" s="1" t="n">
        <v>46010</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24052-2021</t>
        </is>
      </c>
      <c r="B52" s="1" t="n">
        <v>44336</v>
      </c>
      <c r="C52" s="1" t="n">
        <v>46010</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46010</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46010</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46010</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46010</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46010</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46010</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53065-2024</t>
        </is>
      </c>
      <c r="B59" s="1" t="n">
        <v>45611.47233796296</v>
      </c>
      <c r="C59" s="1" t="n">
        <v>46010</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46010</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46010</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29185-2025</t>
        </is>
      </c>
      <c r="B62" s="1" t="n">
        <v>45821</v>
      </c>
      <c r="C62" s="1" t="n">
        <v>46010</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2851-2023</t>
        </is>
      </c>
      <c r="B63" s="1" t="n">
        <v>44945</v>
      </c>
      <c r="C63" s="1" t="n">
        <v>46010</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34524-2025</t>
        </is>
      </c>
      <c r="B64" s="1" t="n">
        <v>45847.47685185185</v>
      </c>
      <c r="C64" s="1" t="n">
        <v>46010</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27870-2022</t>
        </is>
      </c>
      <c r="B65" s="1" t="n">
        <v>44743.64592592593</v>
      </c>
      <c r="C65" s="1" t="n">
        <v>46010</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46010</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52726-2025</t>
        </is>
      </c>
      <c r="B67" s="1" t="n">
        <v>45957.34722222222</v>
      </c>
      <c r="C67" s="1" t="n">
        <v>46010</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20185-2022</t>
        </is>
      </c>
      <c r="B68" s="1" t="n">
        <v>44698</v>
      </c>
      <c r="C68" s="1" t="n">
        <v>46010</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46010</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46010</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4634-2021</t>
        </is>
      </c>
      <c r="B71" s="1" t="n">
        <v>44224</v>
      </c>
      <c r="C71" s="1" t="n">
        <v>46010</v>
      </c>
      <c r="D71" t="inlineStr">
        <is>
          <t>STOCKHOLMS LÄN</t>
        </is>
      </c>
      <c r="E71" t="inlineStr">
        <is>
          <t>NORRTÄLJE</t>
        </is>
      </c>
      <c r="G71" t="n">
        <v>3.7</v>
      </c>
      <c r="H71" t="n">
        <v>2</v>
      </c>
      <c r="I71" t="n">
        <v>1</v>
      </c>
      <c r="J71" t="n">
        <v>0</v>
      </c>
      <c r="K71" t="n">
        <v>0</v>
      </c>
      <c r="L71" t="n">
        <v>0</v>
      </c>
      <c r="M71" t="n">
        <v>0</v>
      </c>
      <c r="N71" t="n">
        <v>0</v>
      </c>
      <c r="O71" t="n">
        <v>0</v>
      </c>
      <c r="P71" t="n">
        <v>0</v>
      </c>
      <c r="Q71" t="n">
        <v>2</v>
      </c>
      <c r="R71" s="2" t="inlineStr">
        <is>
          <t>Grön sköldmossa
Tjäder</t>
        </is>
      </c>
      <c r="S71">
        <f>HYPERLINK("https://klasma.github.io/Logging_0188/artfynd/A 4634-2021 artfynd.xlsx", "A 4634-2021")</f>
        <v/>
      </c>
      <c r="T71">
        <f>HYPERLINK("https://klasma.github.io/Logging_0188/kartor/A 4634-2021 karta.png", "A 4634-2021")</f>
        <v/>
      </c>
      <c r="V71">
        <f>HYPERLINK("https://klasma.github.io/Logging_0188/klagomål/A 4634-2021 FSC-klagomål.docx", "A 4634-2021")</f>
        <v/>
      </c>
      <c r="W71">
        <f>HYPERLINK("https://klasma.github.io/Logging_0188/klagomålsmail/A 4634-2021 FSC-klagomål mail.docx", "A 4634-2021")</f>
        <v/>
      </c>
      <c r="X71">
        <f>HYPERLINK("https://klasma.github.io/Logging_0188/tillsyn/A 4634-2021 tillsynsbegäran.docx", "A 4634-2021")</f>
        <v/>
      </c>
      <c r="Y71">
        <f>HYPERLINK("https://klasma.github.io/Logging_0188/tillsynsmail/A 4634-2021 tillsynsbegäran mail.docx", "A 4634-2021")</f>
        <v/>
      </c>
      <c r="Z71">
        <f>HYPERLINK("https://klasma.github.io/Logging_0188/fåglar/A 4634-2021 prioriterade fågelarter.docx", "A 4634-2021")</f>
        <v/>
      </c>
    </row>
    <row r="72" ht="15" customHeight="1">
      <c r="A72" t="inlineStr">
        <is>
          <t>A 58676-2021</t>
        </is>
      </c>
      <c r="B72" s="1" t="n">
        <v>44489</v>
      </c>
      <c r="C72" s="1" t="n">
        <v>46010</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46010</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46010</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46010</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22190-2024</t>
        </is>
      </c>
      <c r="B76" s="1" t="n">
        <v>45446.35888888889</v>
      </c>
      <c r="C76" s="1" t="n">
        <v>46010</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51980-2022</t>
        </is>
      </c>
      <c r="B77" s="1" t="n">
        <v>44872</v>
      </c>
      <c r="C77" s="1" t="n">
        <v>46010</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46010</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51220-2023</t>
        </is>
      </c>
      <c r="B79" s="1" t="n">
        <v>45219</v>
      </c>
      <c r="C79" s="1" t="n">
        <v>46010</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46010</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46010</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46010</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46010</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46010</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1547-2022</t>
        </is>
      </c>
      <c r="B85" s="1" t="n">
        <v>44573</v>
      </c>
      <c r="C85" s="1" t="n">
        <v>46010</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46010</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46010</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46010</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46010</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11429-2023</t>
        </is>
      </c>
      <c r="B90" s="1" t="n">
        <v>44993</v>
      </c>
      <c r="C90" s="1" t="n">
        <v>46010</v>
      </c>
      <c r="D90" t="inlineStr">
        <is>
          <t>STOCKHOLMS LÄN</t>
        </is>
      </c>
      <c r="E90" t="inlineStr">
        <is>
          <t>NORRTÄLJE</t>
        </is>
      </c>
      <c r="G90" t="n">
        <v>2</v>
      </c>
      <c r="H90" t="n">
        <v>0</v>
      </c>
      <c r="I90" t="n">
        <v>0</v>
      </c>
      <c r="J90" t="n">
        <v>1</v>
      </c>
      <c r="K90" t="n">
        <v>0</v>
      </c>
      <c r="L90" t="n">
        <v>0</v>
      </c>
      <c r="M90" t="n">
        <v>0</v>
      </c>
      <c r="N90" t="n">
        <v>0</v>
      </c>
      <c r="O90" t="n">
        <v>1</v>
      </c>
      <c r="P90" t="n">
        <v>0</v>
      </c>
      <c r="Q90" t="n">
        <v>1</v>
      </c>
      <c r="R90" s="2" t="inlineStr">
        <is>
          <t>Skogsklocka</t>
        </is>
      </c>
      <c r="S90">
        <f>HYPERLINK("https://klasma.github.io/Logging_0188/artfynd/A 11429-2023 artfynd.xlsx", "A 11429-2023")</f>
        <v/>
      </c>
      <c r="T90">
        <f>HYPERLINK("https://klasma.github.io/Logging_0188/kartor/A 11429-2023 karta.png", "A 11429-2023")</f>
        <v/>
      </c>
      <c r="V90">
        <f>HYPERLINK("https://klasma.github.io/Logging_0188/klagomål/A 11429-2023 FSC-klagomål.docx", "A 11429-2023")</f>
        <v/>
      </c>
      <c r="W90">
        <f>HYPERLINK("https://klasma.github.io/Logging_0188/klagomålsmail/A 11429-2023 FSC-klagomål mail.docx", "A 11429-2023")</f>
        <v/>
      </c>
      <c r="X90">
        <f>HYPERLINK("https://klasma.github.io/Logging_0188/tillsyn/A 11429-2023 tillsynsbegäran.docx", "A 11429-2023")</f>
        <v/>
      </c>
      <c r="Y90">
        <f>HYPERLINK("https://klasma.github.io/Logging_0188/tillsynsmail/A 11429-2023 tillsynsbegäran mail.docx", "A 11429-2023")</f>
        <v/>
      </c>
    </row>
    <row r="91" ht="15" customHeight="1">
      <c r="A91" t="inlineStr">
        <is>
          <t>A 4595-2023</t>
        </is>
      </c>
      <c r="B91" s="1" t="n">
        <v>44956</v>
      </c>
      <c r="C91" s="1" t="n">
        <v>46010</v>
      </c>
      <c r="D91" t="inlineStr">
        <is>
          <t>STOCKHOLMS LÄN</t>
        </is>
      </c>
      <c r="E91" t="inlineStr">
        <is>
          <t>NORRTÄLJE</t>
        </is>
      </c>
      <c r="G91" t="n">
        <v>0.6</v>
      </c>
      <c r="H91" t="n">
        <v>1</v>
      </c>
      <c r="I91" t="n">
        <v>0</v>
      </c>
      <c r="J91" t="n">
        <v>0</v>
      </c>
      <c r="K91" t="n">
        <v>0</v>
      </c>
      <c r="L91" t="n">
        <v>0</v>
      </c>
      <c r="M91" t="n">
        <v>0</v>
      </c>
      <c r="N91" t="n">
        <v>0</v>
      </c>
      <c r="O91" t="n">
        <v>0</v>
      </c>
      <c r="P91" t="n">
        <v>0</v>
      </c>
      <c r="Q91" t="n">
        <v>1</v>
      </c>
      <c r="R91" s="2" t="inlineStr">
        <is>
          <t>Blåsippa</t>
        </is>
      </c>
      <c r="S91">
        <f>HYPERLINK("https://klasma.github.io/Logging_0188/artfynd/A 4595-2023 artfynd.xlsx", "A 4595-2023")</f>
        <v/>
      </c>
      <c r="T91">
        <f>HYPERLINK("https://klasma.github.io/Logging_0188/kartor/A 4595-2023 karta.png", "A 4595-2023")</f>
        <v/>
      </c>
      <c r="V91">
        <f>HYPERLINK("https://klasma.github.io/Logging_0188/klagomål/A 4595-2023 FSC-klagomål.docx", "A 4595-2023")</f>
        <v/>
      </c>
      <c r="W91">
        <f>HYPERLINK("https://klasma.github.io/Logging_0188/klagomålsmail/A 4595-2023 FSC-klagomål mail.docx", "A 4595-2023")</f>
        <v/>
      </c>
      <c r="X91">
        <f>HYPERLINK("https://klasma.github.io/Logging_0188/tillsyn/A 4595-2023 tillsynsbegäran.docx", "A 4595-2023")</f>
        <v/>
      </c>
      <c r="Y91">
        <f>HYPERLINK("https://klasma.github.io/Logging_0188/tillsynsmail/A 4595-2023 tillsynsbegäran mail.docx", "A 4595-2023")</f>
        <v/>
      </c>
    </row>
    <row r="92" ht="15" customHeight="1">
      <c r="A92" t="inlineStr">
        <is>
          <t>A 23905-2025</t>
        </is>
      </c>
      <c r="B92" s="1" t="n">
        <v>45794.63298611111</v>
      </c>
      <c r="C92" s="1" t="n">
        <v>46010</v>
      </c>
      <c r="D92" t="inlineStr">
        <is>
          <t>STOCKHOLMS LÄN</t>
        </is>
      </c>
      <c r="E92" t="inlineStr">
        <is>
          <t>NORRTÄLJE</t>
        </is>
      </c>
      <c r="G92" t="n">
        <v>8.4</v>
      </c>
      <c r="H92" t="n">
        <v>1</v>
      </c>
      <c r="I92" t="n">
        <v>0</v>
      </c>
      <c r="J92" t="n">
        <v>0</v>
      </c>
      <c r="K92" t="n">
        <v>0</v>
      </c>
      <c r="L92" t="n">
        <v>0</v>
      </c>
      <c r="M92" t="n">
        <v>0</v>
      </c>
      <c r="N92" t="n">
        <v>0</v>
      </c>
      <c r="O92" t="n">
        <v>0</v>
      </c>
      <c r="P92" t="n">
        <v>0</v>
      </c>
      <c r="Q92" t="n">
        <v>1</v>
      </c>
      <c r="R92" s="2" t="inlineStr">
        <is>
          <t>Blåsippa</t>
        </is>
      </c>
      <c r="S92">
        <f>HYPERLINK("https://klasma.github.io/Logging_0188/artfynd/A 23905-2025 artfynd.xlsx", "A 23905-2025")</f>
        <v/>
      </c>
      <c r="T92">
        <f>HYPERLINK("https://klasma.github.io/Logging_0188/kartor/A 23905-2025 karta.png", "A 23905-2025")</f>
        <v/>
      </c>
      <c r="V92">
        <f>HYPERLINK("https://klasma.github.io/Logging_0188/klagomål/A 23905-2025 FSC-klagomål.docx", "A 23905-2025")</f>
        <v/>
      </c>
      <c r="W92">
        <f>HYPERLINK("https://klasma.github.io/Logging_0188/klagomålsmail/A 23905-2025 FSC-klagomål mail.docx", "A 23905-2025")</f>
        <v/>
      </c>
      <c r="X92">
        <f>HYPERLINK("https://klasma.github.io/Logging_0188/tillsyn/A 23905-2025 tillsynsbegäran.docx", "A 23905-2025")</f>
        <v/>
      </c>
      <c r="Y92">
        <f>HYPERLINK("https://klasma.github.io/Logging_0188/tillsynsmail/A 23905-2025 tillsynsbegäran mail.docx", "A 23905-2025")</f>
        <v/>
      </c>
    </row>
    <row r="93" ht="15" customHeight="1">
      <c r="A93" t="inlineStr">
        <is>
          <t>A 24535-2023</t>
        </is>
      </c>
      <c r="B93" s="1" t="n">
        <v>45082</v>
      </c>
      <c r="C93" s="1" t="n">
        <v>46010</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25669-2025</t>
        </is>
      </c>
      <c r="B94" s="1" t="n">
        <v>45803.62766203703</v>
      </c>
      <c r="C94" s="1" t="n">
        <v>46010</v>
      </c>
      <c r="D94" t="inlineStr">
        <is>
          <t>STOCKHOLMS LÄN</t>
        </is>
      </c>
      <c r="E94" t="inlineStr">
        <is>
          <t>NORRTÄLJE</t>
        </is>
      </c>
      <c r="F94" t="inlineStr">
        <is>
          <t>Holmen skog AB</t>
        </is>
      </c>
      <c r="G94" t="n">
        <v>3.1</v>
      </c>
      <c r="H94" t="n">
        <v>1</v>
      </c>
      <c r="I94" t="n">
        <v>0</v>
      </c>
      <c r="J94" t="n">
        <v>0</v>
      </c>
      <c r="K94" t="n">
        <v>0</v>
      </c>
      <c r="L94" t="n">
        <v>0</v>
      </c>
      <c r="M94" t="n">
        <v>0</v>
      </c>
      <c r="N94" t="n">
        <v>0</v>
      </c>
      <c r="O94" t="n">
        <v>0</v>
      </c>
      <c r="P94" t="n">
        <v>0</v>
      </c>
      <c r="Q94" t="n">
        <v>1</v>
      </c>
      <c r="R94" s="2" t="inlineStr">
        <is>
          <t>Tjäder</t>
        </is>
      </c>
      <c r="S94">
        <f>HYPERLINK("https://klasma.github.io/Logging_0188/artfynd/A 25669-2025 artfynd.xlsx", "A 25669-2025")</f>
        <v/>
      </c>
      <c r="T94">
        <f>HYPERLINK("https://klasma.github.io/Logging_0188/kartor/A 25669-2025 karta.png", "A 25669-2025")</f>
        <v/>
      </c>
      <c r="V94">
        <f>HYPERLINK("https://klasma.github.io/Logging_0188/klagomål/A 25669-2025 FSC-klagomål.docx", "A 25669-2025")</f>
        <v/>
      </c>
      <c r="W94">
        <f>HYPERLINK("https://klasma.github.io/Logging_0188/klagomålsmail/A 25669-2025 FSC-klagomål mail.docx", "A 25669-2025")</f>
        <v/>
      </c>
      <c r="X94">
        <f>HYPERLINK("https://klasma.github.io/Logging_0188/tillsyn/A 25669-2025 tillsynsbegäran.docx", "A 25669-2025")</f>
        <v/>
      </c>
      <c r="Y94">
        <f>HYPERLINK("https://klasma.github.io/Logging_0188/tillsynsmail/A 25669-2025 tillsynsbegäran mail.docx", "A 25669-2025")</f>
        <v/>
      </c>
      <c r="Z94">
        <f>HYPERLINK("https://klasma.github.io/Logging_0188/fåglar/A 25669-2025 prioriterade fågelarter.docx", "A 25669-2025")</f>
        <v/>
      </c>
    </row>
    <row r="95" ht="15" customHeight="1">
      <c r="A95" t="inlineStr">
        <is>
          <t>A 35764-2024</t>
        </is>
      </c>
      <c r="B95" s="1" t="n">
        <v>45532</v>
      </c>
      <c r="C95" s="1" t="n">
        <v>46010</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35649-2023</t>
        </is>
      </c>
      <c r="B96" s="1" t="n">
        <v>45146</v>
      </c>
      <c r="C96" s="1" t="n">
        <v>46010</v>
      </c>
      <c r="D96" t="inlineStr">
        <is>
          <t>STOCKHOLMS LÄN</t>
        </is>
      </c>
      <c r="E96" t="inlineStr">
        <is>
          <t>NORRTÄLJE</t>
        </is>
      </c>
      <c r="G96" t="n">
        <v>25.1</v>
      </c>
      <c r="H96" t="n">
        <v>0</v>
      </c>
      <c r="I96" t="n">
        <v>0</v>
      </c>
      <c r="J96" t="n">
        <v>1</v>
      </c>
      <c r="K96" t="n">
        <v>0</v>
      </c>
      <c r="L96" t="n">
        <v>0</v>
      </c>
      <c r="M96" t="n">
        <v>0</v>
      </c>
      <c r="N96" t="n">
        <v>0</v>
      </c>
      <c r="O96" t="n">
        <v>1</v>
      </c>
      <c r="P96" t="n">
        <v>0</v>
      </c>
      <c r="Q96" t="n">
        <v>1</v>
      </c>
      <c r="R96" s="2" t="inlineStr">
        <is>
          <t>Månlåsbräken</t>
        </is>
      </c>
      <c r="S96">
        <f>HYPERLINK("https://klasma.github.io/Logging_0188/artfynd/A 35649-2023 artfynd.xlsx", "A 35649-2023")</f>
        <v/>
      </c>
      <c r="T96">
        <f>HYPERLINK("https://klasma.github.io/Logging_0188/kartor/A 35649-2023 karta.png", "A 35649-2023")</f>
        <v/>
      </c>
      <c r="V96">
        <f>HYPERLINK("https://klasma.github.io/Logging_0188/klagomål/A 35649-2023 FSC-klagomål.docx", "A 35649-2023")</f>
        <v/>
      </c>
      <c r="W96">
        <f>HYPERLINK("https://klasma.github.io/Logging_0188/klagomålsmail/A 35649-2023 FSC-klagomål mail.docx", "A 35649-2023")</f>
        <v/>
      </c>
      <c r="X96">
        <f>HYPERLINK("https://klasma.github.io/Logging_0188/tillsyn/A 35649-2023 tillsynsbegäran.docx", "A 35649-2023")</f>
        <v/>
      </c>
      <c r="Y96">
        <f>HYPERLINK("https://klasma.github.io/Logging_0188/tillsynsmail/A 35649-2023 tillsynsbegäran mail.docx", "A 35649-2023")</f>
        <v/>
      </c>
    </row>
    <row r="97" ht="15" customHeight="1">
      <c r="A97" t="inlineStr">
        <is>
          <t>A 4532-2025</t>
        </is>
      </c>
      <c r="B97" s="1" t="n">
        <v>45687.34177083334</v>
      </c>
      <c r="C97" s="1" t="n">
        <v>46010</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40861-2025</t>
        </is>
      </c>
      <c r="B98" s="1" t="n">
        <v>45897.56356481482</v>
      </c>
      <c r="C98" s="1" t="n">
        <v>46010</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46010</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35691-2023</t>
        </is>
      </c>
      <c r="B100" s="1" t="n">
        <v>45147.65222222222</v>
      </c>
      <c r="C100" s="1" t="n">
        <v>46010</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46010</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6381-2023</t>
        </is>
      </c>
      <c r="B102" s="1" t="n">
        <v>44965</v>
      </c>
      <c r="C102" s="1" t="n">
        <v>46010</v>
      </c>
      <c r="D102" t="inlineStr">
        <is>
          <t>STOCKHOLMS LÄN</t>
        </is>
      </c>
      <c r="E102" t="inlineStr">
        <is>
          <t>NORRTÄLJE</t>
        </is>
      </c>
      <c r="G102" t="n">
        <v>3.5</v>
      </c>
      <c r="H102" t="n">
        <v>1</v>
      </c>
      <c r="I102" t="n">
        <v>1</v>
      </c>
      <c r="J102" t="n">
        <v>0</v>
      </c>
      <c r="K102" t="n">
        <v>0</v>
      </c>
      <c r="L102" t="n">
        <v>0</v>
      </c>
      <c r="M102" t="n">
        <v>0</v>
      </c>
      <c r="N102" t="n">
        <v>0</v>
      </c>
      <c r="O102" t="n">
        <v>0</v>
      </c>
      <c r="P102" t="n">
        <v>0</v>
      </c>
      <c r="Q102" t="n">
        <v>1</v>
      </c>
      <c r="R102" s="2" t="inlineStr">
        <is>
          <t>Guckusko</t>
        </is>
      </c>
      <c r="S102">
        <f>HYPERLINK("https://klasma.github.io/Logging_0188/artfynd/A 6381-2023 artfynd.xlsx", "A 6381-2023")</f>
        <v/>
      </c>
      <c r="T102">
        <f>HYPERLINK("https://klasma.github.io/Logging_0188/kartor/A 6381-2023 karta.png", "A 6381-2023")</f>
        <v/>
      </c>
      <c r="V102">
        <f>HYPERLINK("https://klasma.github.io/Logging_0188/klagomål/A 6381-2023 FSC-klagomål.docx", "A 6381-2023")</f>
        <v/>
      </c>
      <c r="W102">
        <f>HYPERLINK("https://klasma.github.io/Logging_0188/klagomålsmail/A 6381-2023 FSC-klagomål mail.docx", "A 6381-2023")</f>
        <v/>
      </c>
      <c r="X102">
        <f>HYPERLINK("https://klasma.github.io/Logging_0188/tillsyn/A 6381-2023 tillsynsbegäran.docx", "A 6381-2023")</f>
        <v/>
      </c>
      <c r="Y102">
        <f>HYPERLINK("https://klasma.github.io/Logging_0188/tillsynsmail/A 6381-2023 tillsynsbegäran mail.docx", "A 6381-2023")</f>
        <v/>
      </c>
    </row>
    <row r="103" ht="15" customHeight="1">
      <c r="A103" t="inlineStr">
        <is>
          <t>A 42313-2025</t>
        </is>
      </c>
      <c r="B103" s="1" t="n">
        <v>45904.6575</v>
      </c>
      <c r="C103" s="1" t="n">
        <v>46010</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50854-2022</t>
        </is>
      </c>
      <c r="B104" s="1" t="n">
        <v>44863</v>
      </c>
      <c r="C104" s="1" t="n">
        <v>46010</v>
      </c>
      <c r="D104" t="inlineStr">
        <is>
          <t>STOCKHOLMS LÄN</t>
        </is>
      </c>
      <c r="E104" t="inlineStr">
        <is>
          <t>NORRTÄLJE</t>
        </is>
      </c>
      <c r="G104" t="n">
        <v>2.9</v>
      </c>
      <c r="H104" t="n">
        <v>0</v>
      </c>
      <c r="I104" t="n">
        <v>1</v>
      </c>
      <c r="J104" t="n">
        <v>0</v>
      </c>
      <c r="K104" t="n">
        <v>0</v>
      </c>
      <c r="L104" t="n">
        <v>0</v>
      </c>
      <c r="M104" t="n">
        <v>0</v>
      </c>
      <c r="N104" t="n">
        <v>0</v>
      </c>
      <c r="O104" t="n">
        <v>0</v>
      </c>
      <c r="P104" t="n">
        <v>0</v>
      </c>
      <c r="Q104" t="n">
        <v>1</v>
      </c>
      <c r="R104" s="2" t="inlineStr">
        <is>
          <t>Tibast</t>
        </is>
      </c>
      <c r="S104">
        <f>HYPERLINK("https://klasma.github.io/Logging_0188/artfynd/A 50854-2022 artfynd.xlsx", "A 50854-2022")</f>
        <v/>
      </c>
      <c r="T104">
        <f>HYPERLINK("https://klasma.github.io/Logging_0188/kartor/A 50854-2022 karta.png", "A 50854-2022")</f>
        <v/>
      </c>
      <c r="V104">
        <f>HYPERLINK("https://klasma.github.io/Logging_0188/klagomål/A 50854-2022 FSC-klagomål.docx", "A 50854-2022")</f>
        <v/>
      </c>
      <c r="W104">
        <f>HYPERLINK("https://klasma.github.io/Logging_0188/klagomålsmail/A 50854-2022 FSC-klagomål mail.docx", "A 50854-2022")</f>
        <v/>
      </c>
      <c r="X104">
        <f>HYPERLINK("https://klasma.github.io/Logging_0188/tillsyn/A 50854-2022 tillsynsbegäran.docx", "A 50854-2022")</f>
        <v/>
      </c>
      <c r="Y104">
        <f>HYPERLINK("https://klasma.github.io/Logging_0188/tillsynsmail/A 50854-2022 tillsynsbegäran mail.docx", "A 50854-2022")</f>
        <v/>
      </c>
    </row>
    <row r="105" ht="15" customHeight="1">
      <c r="A105" t="inlineStr">
        <is>
          <t>A 29946-2025</t>
        </is>
      </c>
      <c r="B105" s="1" t="n">
        <v>45826.46392361111</v>
      </c>
      <c r="C105" s="1" t="n">
        <v>46010</v>
      </c>
      <c r="D105" t="inlineStr">
        <is>
          <t>STOCKHOLMS LÄN</t>
        </is>
      </c>
      <c r="E105" t="inlineStr">
        <is>
          <t>NORRTÄLJE</t>
        </is>
      </c>
      <c r="F105" t="inlineStr">
        <is>
          <t>Holmen skog AB</t>
        </is>
      </c>
      <c r="G105" t="n">
        <v>3.6</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29946-2025 artfynd.xlsx", "A 29946-2025")</f>
        <v/>
      </c>
      <c r="T105">
        <f>HYPERLINK("https://klasma.github.io/Logging_0188/kartor/A 29946-2025 karta.png", "A 29946-2025")</f>
        <v/>
      </c>
      <c r="V105">
        <f>HYPERLINK("https://klasma.github.io/Logging_0188/klagomål/A 29946-2025 FSC-klagomål.docx", "A 29946-2025")</f>
        <v/>
      </c>
      <c r="W105">
        <f>HYPERLINK("https://klasma.github.io/Logging_0188/klagomålsmail/A 29946-2025 FSC-klagomål mail.docx", "A 29946-2025")</f>
        <v/>
      </c>
      <c r="X105">
        <f>HYPERLINK("https://klasma.github.io/Logging_0188/tillsyn/A 29946-2025 tillsynsbegäran.docx", "A 29946-2025")</f>
        <v/>
      </c>
      <c r="Y105">
        <f>HYPERLINK("https://klasma.github.io/Logging_0188/tillsynsmail/A 29946-2025 tillsynsbegäran mail.docx", "A 29946-2025")</f>
        <v/>
      </c>
    </row>
    <row r="106" ht="15" customHeight="1">
      <c r="A106" t="inlineStr">
        <is>
          <t>A 33548-2025</t>
        </is>
      </c>
      <c r="B106" s="1" t="n">
        <v>45841.5721875</v>
      </c>
      <c r="C106" s="1" t="n">
        <v>46010</v>
      </c>
      <c r="D106" t="inlineStr">
        <is>
          <t>STOCKHOLMS LÄN</t>
        </is>
      </c>
      <c r="E106" t="inlineStr">
        <is>
          <t>NORRTÄLJE</t>
        </is>
      </c>
      <c r="G106" t="n">
        <v>12.2</v>
      </c>
      <c r="H106" t="n">
        <v>0</v>
      </c>
      <c r="I106" t="n">
        <v>0</v>
      </c>
      <c r="J106" t="n">
        <v>1</v>
      </c>
      <c r="K106" t="n">
        <v>0</v>
      </c>
      <c r="L106" t="n">
        <v>0</v>
      </c>
      <c r="M106" t="n">
        <v>0</v>
      </c>
      <c r="N106" t="n">
        <v>0</v>
      </c>
      <c r="O106" t="n">
        <v>1</v>
      </c>
      <c r="P106" t="n">
        <v>0</v>
      </c>
      <c r="Q106" t="n">
        <v>1</v>
      </c>
      <c r="R106" s="2" t="inlineStr">
        <is>
          <t>Dofttaggsvamp</t>
        </is>
      </c>
      <c r="S106">
        <f>HYPERLINK("https://klasma.github.io/Logging_0188/artfynd/A 33548-2025 artfynd.xlsx", "A 33548-2025")</f>
        <v/>
      </c>
      <c r="T106">
        <f>HYPERLINK("https://klasma.github.io/Logging_0188/kartor/A 33548-2025 karta.png", "A 33548-2025")</f>
        <v/>
      </c>
      <c r="V106">
        <f>HYPERLINK("https://klasma.github.io/Logging_0188/klagomål/A 33548-2025 FSC-klagomål.docx", "A 33548-2025")</f>
        <v/>
      </c>
      <c r="W106">
        <f>HYPERLINK("https://klasma.github.io/Logging_0188/klagomålsmail/A 33548-2025 FSC-klagomål mail.docx", "A 33548-2025")</f>
        <v/>
      </c>
      <c r="X106">
        <f>HYPERLINK("https://klasma.github.io/Logging_0188/tillsyn/A 33548-2025 tillsynsbegäran.docx", "A 33548-2025")</f>
        <v/>
      </c>
      <c r="Y106">
        <f>HYPERLINK("https://klasma.github.io/Logging_0188/tillsynsmail/A 33548-2025 tillsynsbegäran mail.docx", "A 33548-2025")</f>
        <v/>
      </c>
    </row>
    <row r="107" ht="15" customHeight="1">
      <c r="A107" t="inlineStr">
        <is>
          <t>A 33546-2025</t>
        </is>
      </c>
      <c r="B107" s="1" t="n">
        <v>45841.56996527778</v>
      </c>
      <c r="C107" s="1" t="n">
        <v>46010</v>
      </c>
      <c r="D107" t="inlineStr">
        <is>
          <t>STOCKHOLMS LÄN</t>
        </is>
      </c>
      <c r="E107" t="inlineStr">
        <is>
          <t>NORRTÄLJE</t>
        </is>
      </c>
      <c r="G107" t="n">
        <v>7.2</v>
      </c>
      <c r="H107" t="n">
        <v>1</v>
      </c>
      <c r="I107" t="n">
        <v>1</v>
      </c>
      <c r="J107" t="n">
        <v>0</v>
      </c>
      <c r="K107" t="n">
        <v>0</v>
      </c>
      <c r="L107" t="n">
        <v>0</v>
      </c>
      <c r="M107" t="n">
        <v>0</v>
      </c>
      <c r="N107" t="n">
        <v>0</v>
      </c>
      <c r="O107" t="n">
        <v>0</v>
      </c>
      <c r="P107" t="n">
        <v>0</v>
      </c>
      <c r="Q107" t="n">
        <v>1</v>
      </c>
      <c r="R107" s="2" t="inlineStr">
        <is>
          <t>Nästrot</t>
        </is>
      </c>
      <c r="S107">
        <f>HYPERLINK("https://klasma.github.io/Logging_0188/artfynd/A 33546-2025 artfynd.xlsx", "A 33546-2025")</f>
        <v/>
      </c>
      <c r="T107">
        <f>HYPERLINK("https://klasma.github.io/Logging_0188/kartor/A 33546-2025 karta.png", "A 33546-2025")</f>
        <v/>
      </c>
      <c r="V107">
        <f>HYPERLINK("https://klasma.github.io/Logging_0188/klagomål/A 33546-2025 FSC-klagomål.docx", "A 33546-2025")</f>
        <v/>
      </c>
      <c r="W107">
        <f>HYPERLINK("https://klasma.github.io/Logging_0188/klagomålsmail/A 33546-2025 FSC-klagomål mail.docx", "A 33546-2025")</f>
        <v/>
      </c>
      <c r="X107">
        <f>HYPERLINK("https://klasma.github.io/Logging_0188/tillsyn/A 33546-2025 tillsynsbegäran.docx", "A 33546-2025")</f>
        <v/>
      </c>
      <c r="Y107">
        <f>HYPERLINK("https://klasma.github.io/Logging_0188/tillsynsmail/A 33546-2025 tillsynsbegäran mail.docx", "A 33546-2025")</f>
        <v/>
      </c>
    </row>
    <row r="108" ht="15" customHeight="1">
      <c r="A108" t="inlineStr">
        <is>
          <t>A 26120-2024</t>
        </is>
      </c>
      <c r="B108" s="1" t="n">
        <v>45468.45995370371</v>
      </c>
      <c r="C108" s="1" t="n">
        <v>46010</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64456-2023</t>
        </is>
      </c>
      <c r="B109" s="1" t="n">
        <v>45280</v>
      </c>
      <c r="C109" s="1" t="n">
        <v>46010</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8371-2025</t>
        </is>
      </c>
      <c r="B110" s="1" t="n">
        <v>45708</v>
      </c>
      <c r="C110" s="1" t="n">
        <v>46010</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24330-2023</t>
        </is>
      </c>
      <c r="B111" s="1" t="n">
        <v>45081</v>
      </c>
      <c r="C111" s="1" t="n">
        <v>46010</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21744-2023</t>
        </is>
      </c>
      <c r="B112" s="1" t="n">
        <v>45065</v>
      </c>
      <c r="C112" s="1" t="n">
        <v>46010</v>
      </c>
      <c r="D112" t="inlineStr">
        <is>
          <t>STOCKHOLMS LÄN</t>
        </is>
      </c>
      <c r="E112" t="inlineStr">
        <is>
          <t>NORRTÄLJE</t>
        </is>
      </c>
      <c r="F112" t="inlineStr">
        <is>
          <t>Holmen skog AB</t>
        </is>
      </c>
      <c r="G112" t="n">
        <v>4.2</v>
      </c>
      <c r="H112" t="n">
        <v>0</v>
      </c>
      <c r="I112" t="n">
        <v>1</v>
      </c>
      <c r="J112" t="n">
        <v>0</v>
      </c>
      <c r="K112" t="n">
        <v>0</v>
      </c>
      <c r="L112" t="n">
        <v>0</v>
      </c>
      <c r="M112" t="n">
        <v>0</v>
      </c>
      <c r="N112" t="n">
        <v>0</v>
      </c>
      <c r="O112" t="n">
        <v>0</v>
      </c>
      <c r="P112" t="n">
        <v>0</v>
      </c>
      <c r="Q112" t="n">
        <v>1</v>
      </c>
      <c r="R112" s="2" t="inlineStr">
        <is>
          <t>Korallblylav</t>
        </is>
      </c>
      <c r="S112">
        <f>HYPERLINK("https://klasma.github.io/Logging_0188/artfynd/A 21744-2023 artfynd.xlsx", "A 21744-2023")</f>
        <v/>
      </c>
      <c r="T112">
        <f>HYPERLINK("https://klasma.github.io/Logging_0188/kartor/A 21744-2023 karta.png", "A 21744-2023")</f>
        <v/>
      </c>
      <c r="V112">
        <f>HYPERLINK("https://klasma.github.io/Logging_0188/klagomål/A 21744-2023 FSC-klagomål.docx", "A 21744-2023")</f>
        <v/>
      </c>
      <c r="W112">
        <f>HYPERLINK("https://klasma.github.io/Logging_0188/klagomålsmail/A 21744-2023 FSC-klagomål mail.docx", "A 21744-2023")</f>
        <v/>
      </c>
      <c r="X112">
        <f>HYPERLINK("https://klasma.github.io/Logging_0188/tillsyn/A 21744-2023 tillsynsbegäran.docx", "A 21744-2023")</f>
        <v/>
      </c>
      <c r="Y112">
        <f>HYPERLINK("https://klasma.github.io/Logging_0188/tillsynsmail/A 21744-2023 tillsynsbegäran mail.docx", "A 21744-2023")</f>
        <v/>
      </c>
    </row>
    <row r="113" ht="15" customHeight="1">
      <c r="A113" t="inlineStr">
        <is>
          <t>A 1162-2021</t>
        </is>
      </c>
      <c r="B113" s="1" t="n">
        <v>44207</v>
      </c>
      <c r="C113" s="1" t="n">
        <v>46010</v>
      </c>
      <c r="D113" t="inlineStr">
        <is>
          <t>STOCKHOLMS LÄN</t>
        </is>
      </c>
      <c r="E113" t="inlineStr">
        <is>
          <t>NORRTÄLJE</t>
        </is>
      </c>
      <c r="G113" t="n">
        <v>2.2</v>
      </c>
      <c r="H113" t="n">
        <v>1</v>
      </c>
      <c r="I113" t="n">
        <v>0</v>
      </c>
      <c r="J113" t="n">
        <v>0</v>
      </c>
      <c r="K113" t="n">
        <v>1</v>
      </c>
      <c r="L113" t="n">
        <v>0</v>
      </c>
      <c r="M113" t="n">
        <v>0</v>
      </c>
      <c r="N113" t="n">
        <v>0</v>
      </c>
      <c r="O113" t="n">
        <v>1</v>
      </c>
      <c r="P113" t="n">
        <v>1</v>
      </c>
      <c r="Q113" t="n">
        <v>1</v>
      </c>
      <c r="R113" s="2" t="inlineStr">
        <is>
          <t>Hällebräcka</t>
        </is>
      </c>
      <c r="S113">
        <f>HYPERLINK("https://klasma.github.io/Logging_0188/artfynd/A 1162-2021 artfynd.xlsx", "A 1162-2021")</f>
        <v/>
      </c>
      <c r="T113">
        <f>HYPERLINK("https://klasma.github.io/Logging_0188/kartor/A 1162-2021 karta.png", "A 1162-2021")</f>
        <v/>
      </c>
      <c r="V113">
        <f>HYPERLINK("https://klasma.github.io/Logging_0188/klagomål/A 1162-2021 FSC-klagomål.docx", "A 1162-2021")</f>
        <v/>
      </c>
      <c r="W113">
        <f>HYPERLINK("https://klasma.github.io/Logging_0188/klagomålsmail/A 1162-2021 FSC-klagomål mail.docx", "A 1162-2021")</f>
        <v/>
      </c>
      <c r="X113">
        <f>HYPERLINK("https://klasma.github.io/Logging_0188/tillsyn/A 1162-2021 tillsynsbegäran.docx", "A 1162-2021")</f>
        <v/>
      </c>
      <c r="Y113">
        <f>HYPERLINK("https://klasma.github.io/Logging_0188/tillsynsmail/A 1162-2021 tillsynsbegäran mail.docx", "A 1162-2021")</f>
        <v/>
      </c>
    </row>
    <row r="114" ht="15" customHeight="1">
      <c r="A114" t="inlineStr">
        <is>
          <t>A 52611-2024</t>
        </is>
      </c>
      <c r="B114" s="1" t="n">
        <v>45609.83747685186</v>
      </c>
      <c r="C114" s="1" t="n">
        <v>46010</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39158-2025</t>
        </is>
      </c>
      <c r="B115" s="1" t="n">
        <v>45888</v>
      </c>
      <c r="C115" s="1" t="n">
        <v>46010</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17952-2022</t>
        </is>
      </c>
      <c r="B116" s="1" t="n">
        <v>44683</v>
      </c>
      <c r="C116" s="1" t="n">
        <v>46010</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26635-2023</t>
        </is>
      </c>
      <c r="B117" s="1" t="n">
        <v>45092</v>
      </c>
      <c r="C117" s="1" t="n">
        <v>46010</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59682-2025</t>
        </is>
      </c>
      <c r="B118" s="1" t="n">
        <v>45992.47116898148</v>
      </c>
      <c r="C118" s="1" t="n">
        <v>46010</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47898-2022</t>
        </is>
      </c>
      <c r="B119" s="1" t="n">
        <v>44855</v>
      </c>
      <c r="C119" s="1" t="n">
        <v>46010</v>
      </c>
      <c r="D119" t="inlineStr">
        <is>
          <t>STOCKHOLMS LÄN</t>
        </is>
      </c>
      <c r="E119" t="inlineStr">
        <is>
          <t>NORRTÄLJE</t>
        </is>
      </c>
      <c r="G119" t="n">
        <v>6.7</v>
      </c>
      <c r="H119" t="n">
        <v>1</v>
      </c>
      <c r="I119" t="n">
        <v>1</v>
      </c>
      <c r="J119" t="n">
        <v>0</v>
      </c>
      <c r="K119" t="n">
        <v>0</v>
      </c>
      <c r="L119" t="n">
        <v>0</v>
      </c>
      <c r="M119" t="n">
        <v>0</v>
      </c>
      <c r="N119" t="n">
        <v>0</v>
      </c>
      <c r="O119" t="n">
        <v>0</v>
      </c>
      <c r="P119" t="n">
        <v>0</v>
      </c>
      <c r="Q119" t="n">
        <v>1</v>
      </c>
      <c r="R119" s="2" t="inlineStr">
        <is>
          <t>Guckusko</t>
        </is>
      </c>
      <c r="S119">
        <f>HYPERLINK("https://klasma.github.io/Logging_0188/artfynd/A 47898-2022 artfynd.xlsx", "A 47898-2022")</f>
        <v/>
      </c>
      <c r="T119">
        <f>HYPERLINK("https://klasma.github.io/Logging_0188/kartor/A 47898-2022 karta.png", "A 47898-2022")</f>
        <v/>
      </c>
      <c r="V119">
        <f>HYPERLINK("https://klasma.github.io/Logging_0188/klagomål/A 47898-2022 FSC-klagomål.docx", "A 47898-2022")</f>
        <v/>
      </c>
      <c r="W119">
        <f>HYPERLINK("https://klasma.github.io/Logging_0188/klagomålsmail/A 47898-2022 FSC-klagomål mail.docx", "A 47898-2022")</f>
        <v/>
      </c>
      <c r="X119">
        <f>HYPERLINK("https://klasma.github.io/Logging_0188/tillsyn/A 47898-2022 tillsynsbegäran.docx", "A 47898-2022")</f>
        <v/>
      </c>
      <c r="Y119">
        <f>HYPERLINK("https://klasma.github.io/Logging_0188/tillsynsmail/A 47898-2022 tillsynsbegäran mail.docx", "A 47898-2022")</f>
        <v/>
      </c>
    </row>
    <row r="120" ht="15" customHeight="1">
      <c r="A120" t="inlineStr">
        <is>
          <t>A 52775-2025</t>
        </is>
      </c>
      <c r="B120" s="1" t="n">
        <v>45957.41608796296</v>
      </c>
      <c r="C120" s="1" t="n">
        <v>46010</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14365-2025</t>
        </is>
      </c>
      <c r="B121" s="1" t="n">
        <v>45741.38688657407</v>
      </c>
      <c r="C121" s="1" t="n">
        <v>46010</v>
      </c>
      <c r="D121" t="inlineStr">
        <is>
          <t>STOCKHOLMS LÄN</t>
        </is>
      </c>
      <c r="E121" t="inlineStr">
        <is>
          <t>NORRTÄLJE</t>
        </is>
      </c>
      <c r="G121" t="n">
        <v>2.4</v>
      </c>
      <c r="H121" t="n">
        <v>0</v>
      </c>
      <c r="I121" t="n">
        <v>0</v>
      </c>
      <c r="J121" t="n">
        <v>1</v>
      </c>
      <c r="K121" t="n">
        <v>0</v>
      </c>
      <c r="L121" t="n">
        <v>0</v>
      </c>
      <c r="M121" t="n">
        <v>0</v>
      </c>
      <c r="N121" t="n">
        <v>0</v>
      </c>
      <c r="O121" t="n">
        <v>1</v>
      </c>
      <c r="P121" t="n">
        <v>0</v>
      </c>
      <c r="Q121" t="n">
        <v>1</v>
      </c>
      <c r="R121" s="2" t="inlineStr">
        <is>
          <t>Granticka</t>
        </is>
      </c>
      <c r="S121">
        <f>HYPERLINK("https://klasma.github.io/Logging_0188/artfynd/A 14365-2025 artfynd.xlsx", "A 14365-2025")</f>
        <v/>
      </c>
      <c r="T121">
        <f>HYPERLINK("https://klasma.github.io/Logging_0188/kartor/A 14365-2025 karta.png", "A 14365-2025")</f>
        <v/>
      </c>
      <c r="V121">
        <f>HYPERLINK("https://klasma.github.io/Logging_0188/klagomål/A 14365-2025 FSC-klagomål.docx", "A 14365-2025")</f>
        <v/>
      </c>
      <c r="W121">
        <f>HYPERLINK("https://klasma.github.io/Logging_0188/klagomålsmail/A 14365-2025 FSC-klagomål mail.docx", "A 14365-2025")</f>
        <v/>
      </c>
      <c r="X121">
        <f>HYPERLINK("https://klasma.github.io/Logging_0188/tillsyn/A 14365-2025 tillsynsbegäran.docx", "A 14365-2025")</f>
        <v/>
      </c>
      <c r="Y121">
        <f>HYPERLINK("https://klasma.github.io/Logging_0188/tillsynsmail/A 14365-2025 tillsynsbegäran mail.docx", "A 14365-2025")</f>
        <v/>
      </c>
    </row>
    <row r="122" ht="15" customHeight="1">
      <c r="A122" t="inlineStr">
        <is>
          <t>A 32111-2022</t>
        </is>
      </c>
      <c r="B122" s="1" t="n">
        <v>44778.92797453704</v>
      </c>
      <c r="C122" s="1" t="n">
        <v>46010</v>
      </c>
      <c r="D122" t="inlineStr">
        <is>
          <t>STOCKHOLMS LÄN</t>
        </is>
      </c>
      <c r="E122" t="inlineStr">
        <is>
          <t>NORRTÄLJE</t>
        </is>
      </c>
      <c r="G122" t="n">
        <v>3.1</v>
      </c>
      <c r="H122" t="n">
        <v>0</v>
      </c>
      <c r="I122" t="n">
        <v>0</v>
      </c>
      <c r="J122" t="n">
        <v>1</v>
      </c>
      <c r="K122" t="n">
        <v>0</v>
      </c>
      <c r="L122" t="n">
        <v>0</v>
      </c>
      <c r="M122" t="n">
        <v>0</v>
      </c>
      <c r="N122" t="n">
        <v>0</v>
      </c>
      <c r="O122" t="n">
        <v>1</v>
      </c>
      <c r="P122" t="n">
        <v>0</v>
      </c>
      <c r="Q122" t="n">
        <v>1</v>
      </c>
      <c r="R122" s="2" t="inlineStr">
        <is>
          <t>Orange taggsvamp</t>
        </is>
      </c>
      <c r="S122">
        <f>HYPERLINK("https://klasma.github.io/Logging_0188/artfynd/A 32111-2022 artfynd.xlsx", "A 32111-2022")</f>
        <v/>
      </c>
      <c r="T122">
        <f>HYPERLINK("https://klasma.github.io/Logging_0188/kartor/A 32111-2022 karta.png", "A 32111-2022")</f>
        <v/>
      </c>
      <c r="V122">
        <f>HYPERLINK("https://klasma.github.io/Logging_0188/klagomål/A 32111-2022 FSC-klagomål.docx", "A 32111-2022")</f>
        <v/>
      </c>
      <c r="W122">
        <f>HYPERLINK("https://klasma.github.io/Logging_0188/klagomålsmail/A 32111-2022 FSC-klagomål mail.docx", "A 32111-2022")</f>
        <v/>
      </c>
      <c r="X122">
        <f>HYPERLINK("https://klasma.github.io/Logging_0188/tillsyn/A 32111-2022 tillsynsbegäran.docx", "A 32111-2022")</f>
        <v/>
      </c>
      <c r="Y122">
        <f>HYPERLINK("https://klasma.github.io/Logging_0188/tillsynsmail/A 32111-2022 tillsynsbegäran mail.docx", "A 32111-2022")</f>
        <v/>
      </c>
    </row>
    <row r="123" ht="15" customHeight="1">
      <c r="A123" t="inlineStr">
        <is>
          <t>A 53716-2025</t>
        </is>
      </c>
      <c r="B123" s="1" t="n">
        <v>45960.61782407408</v>
      </c>
      <c r="C123" s="1" t="n">
        <v>46010</v>
      </c>
      <c r="D123" t="inlineStr">
        <is>
          <t>STOCKHOLMS LÄN</t>
        </is>
      </c>
      <c r="E123" t="inlineStr">
        <is>
          <t>NORRTÄLJE</t>
        </is>
      </c>
      <c r="G123" t="n">
        <v>3.4</v>
      </c>
      <c r="H123" t="n">
        <v>0</v>
      </c>
      <c r="I123" t="n">
        <v>0</v>
      </c>
      <c r="J123" t="n">
        <v>0</v>
      </c>
      <c r="K123" t="n">
        <v>0</v>
      </c>
      <c r="L123" t="n">
        <v>1</v>
      </c>
      <c r="M123" t="n">
        <v>0</v>
      </c>
      <c r="N123" t="n">
        <v>0</v>
      </c>
      <c r="O123" t="n">
        <v>1</v>
      </c>
      <c r="P123" t="n">
        <v>1</v>
      </c>
      <c r="Q123" t="n">
        <v>1</v>
      </c>
      <c r="R123" s="2" t="inlineStr">
        <is>
          <t>Fältgentiana</t>
        </is>
      </c>
      <c r="S123">
        <f>HYPERLINK("https://klasma.github.io/Logging_0188/artfynd/A 53716-2025 artfynd.xlsx", "A 53716-2025")</f>
        <v/>
      </c>
      <c r="T123">
        <f>HYPERLINK("https://klasma.github.io/Logging_0188/kartor/A 53716-2025 karta.png", "A 53716-2025")</f>
        <v/>
      </c>
      <c r="V123">
        <f>HYPERLINK("https://klasma.github.io/Logging_0188/klagomål/A 53716-2025 FSC-klagomål.docx", "A 53716-2025")</f>
        <v/>
      </c>
      <c r="W123">
        <f>HYPERLINK("https://klasma.github.io/Logging_0188/klagomålsmail/A 53716-2025 FSC-klagomål mail.docx", "A 53716-2025")</f>
        <v/>
      </c>
      <c r="X123">
        <f>HYPERLINK("https://klasma.github.io/Logging_0188/tillsyn/A 53716-2025 tillsynsbegäran.docx", "A 53716-2025")</f>
        <v/>
      </c>
      <c r="Y123">
        <f>HYPERLINK("https://klasma.github.io/Logging_0188/tillsynsmail/A 53716-2025 tillsynsbegäran mail.docx", "A 53716-2025")</f>
        <v/>
      </c>
    </row>
    <row r="124" ht="15" customHeight="1">
      <c r="A124" t="inlineStr">
        <is>
          <t>A 16870-2025</t>
        </is>
      </c>
      <c r="B124" s="1" t="n">
        <v>45754</v>
      </c>
      <c r="C124" s="1" t="n">
        <v>46010</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4385-2023</t>
        </is>
      </c>
      <c r="B125" s="1" t="n">
        <v>44955.71322916666</v>
      </c>
      <c r="C125" s="1" t="n">
        <v>46010</v>
      </c>
      <c r="D125" t="inlineStr">
        <is>
          <t>STOCKHOLMS LÄN</t>
        </is>
      </c>
      <c r="E125" t="inlineStr">
        <is>
          <t>NORRTÄLJE</t>
        </is>
      </c>
      <c r="G125" t="n">
        <v>7.8</v>
      </c>
      <c r="H125" t="n">
        <v>1</v>
      </c>
      <c r="I125" t="n">
        <v>1</v>
      </c>
      <c r="J125" t="n">
        <v>0</v>
      </c>
      <c r="K125" t="n">
        <v>0</v>
      </c>
      <c r="L125" t="n">
        <v>0</v>
      </c>
      <c r="M125" t="n">
        <v>0</v>
      </c>
      <c r="N125" t="n">
        <v>0</v>
      </c>
      <c r="O125" t="n">
        <v>0</v>
      </c>
      <c r="P125" t="n">
        <v>0</v>
      </c>
      <c r="Q125" t="n">
        <v>1</v>
      </c>
      <c r="R125" s="2" t="inlineStr">
        <is>
          <t>Skogsknipprot</t>
        </is>
      </c>
      <c r="S125">
        <f>HYPERLINK("https://klasma.github.io/Logging_0188/artfynd/A 4385-2023 artfynd.xlsx", "A 4385-2023")</f>
        <v/>
      </c>
      <c r="T125">
        <f>HYPERLINK("https://klasma.github.io/Logging_0188/kartor/A 4385-2023 karta.png", "A 4385-2023")</f>
        <v/>
      </c>
      <c r="V125">
        <f>HYPERLINK("https://klasma.github.io/Logging_0188/klagomål/A 4385-2023 FSC-klagomål.docx", "A 4385-2023")</f>
        <v/>
      </c>
      <c r="W125">
        <f>HYPERLINK("https://klasma.github.io/Logging_0188/klagomålsmail/A 4385-2023 FSC-klagomål mail.docx", "A 4385-2023")</f>
        <v/>
      </c>
      <c r="X125">
        <f>HYPERLINK("https://klasma.github.io/Logging_0188/tillsyn/A 4385-2023 tillsynsbegäran.docx", "A 4385-2023")</f>
        <v/>
      </c>
      <c r="Y125">
        <f>HYPERLINK("https://klasma.github.io/Logging_0188/tillsynsmail/A 4385-2023 tillsynsbegäran mail.docx", "A 4385-2023")</f>
        <v/>
      </c>
    </row>
    <row r="126" ht="15" customHeight="1">
      <c r="A126" t="inlineStr">
        <is>
          <t>A 62715-2025</t>
        </is>
      </c>
      <c r="B126" s="1" t="n">
        <v>46008.52034722222</v>
      </c>
      <c r="C126" s="1" t="n">
        <v>46010</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4860-2022</t>
        </is>
      </c>
      <c r="B127" s="1" t="n">
        <v>44592</v>
      </c>
      <c r="C127" s="1" t="n">
        <v>46010</v>
      </c>
      <c r="D127" t="inlineStr">
        <is>
          <t>STOCKHOLMS LÄN</t>
        </is>
      </c>
      <c r="E127" t="inlineStr">
        <is>
          <t>NORRTÄLJE</t>
        </is>
      </c>
      <c r="G127" t="n">
        <v>22.3</v>
      </c>
      <c r="H127" t="n">
        <v>0</v>
      </c>
      <c r="I127" t="n">
        <v>0</v>
      </c>
      <c r="J127" t="n">
        <v>1</v>
      </c>
      <c r="K127" t="n">
        <v>0</v>
      </c>
      <c r="L127" t="n">
        <v>0</v>
      </c>
      <c r="M127" t="n">
        <v>0</v>
      </c>
      <c r="N127" t="n">
        <v>0</v>
      </c>
      <c r="O127" t="n">
        <v>1</v>
      </c>
      <c r="P127" t="n">
        <v>0</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19829-2022</t>
        </is>
      </c>
      <c r="B128" s="1" t="n">
        <v>44695.43527777777</v>
      </c>
      <c r="C128" s="1" t="n">
        <v>46010</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52508-2023</t>
        </is>
      </c>
      <c r="B129" s="1" t="n">
        <v>45225</v>
      </c>
      <c r="C129" s="1" t="n">
        <v>46010</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27827-2022</t>
        </is>
      </c>
      <c r="B130" s="1" t="n">
        <v>44743.59504629629</v>
      </c>
      <c r="C130" s="1" t="n">
        <v>46010</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46010</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46010</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46010</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46010</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46010</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9955-2022</t>
        </is>
      </c>
      <c r="B136" s="1" t="n">
        <v>44620</v>
      </c>
      <c r="C136" s="1" t="n">
        <v>46010</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1970-2021</t>
        </is>
      </c>
      <c r="B137" s="1" t="n">
        <v>44210</v>
      </c>
      <c r="C137" s="1" t="n">
        <v>46010</v>
      </c>
      <c r="D137" t="inlineStr">
        <is>
          <t>STOCKHOLMS LÄN</t>
        </is>
      </c>
      <c r="E137" t="inlineStr">
        <is>
          <t>NORRTÄLJE</t>
        </is>
      </c>
      <c r="G137" t="n">
        <v>3.1</v>
      </c>
      <c r="H137" t="n">
        <v>0</v>
      </c>
      <c r="I137" t="n">
        <v>0</v>
      </c>
      <c r="J137" t="n">
        <v>0</v>
      </c>
      <c r="K137" t="n">
        <v>0</v>
      </c>
      <c r="L137" t="n">
        <v>0</v>
      </c>
      <c r="M137" t="n">
        <v>0</v>
      </c>
      <c r="N137" t="n">
        <v>0</v>
      </c>
      <c r="O137" t="n">
        <v>0</v>
      </c>
      <c r="P137" t="n">
        <v>0</v>
      </c>
      <c r="Q137" t="n">
        <v>0</v>
      </c>
      <c r="R137" s="2" t="inlineStr"/>
    </row>
    <row r="138" ht="15" customHeight="1">
      <c r="A138" t="inlineStr">
        <is>
          <t>A 1637-2021</t>
        </is>
      </c>
      <c r="B138" s="1" t="n">
        <v>44209</v>
      </c>
      <c r="C138" s="1" t="n">
        <v>46010</v>
      </c>
      <c r="D138" t="inlineStr">
        <is>
          <t>STOCKHOLMS LÄN</t>
        </is>
      </c>
      <c r="E138" t="inlineStr">
        <is>
          <t>NORRTÄLJE</t>
        </is>
      </c>
      <c r="G138" t="n">
        <v>1.6</v>
      </c>
      <c r="H138" t="n">
        <v>0</v>
      </c>
      <c r="I138" t="n">
        <v>0</v>
      </c>
      <c r="J138" t="n">
        <v>0</v>
      </c>
      <c r="K138" t="n">
        <v>0</v>
      </c>
      <c r="L138" t="n">
        <v>0</v>
      </c>
      <c r="M138" t="n">
        <v>0</v>
      </c>
      <c r="N138" t="n">
        <v>0</v>
      </c>
      <c r="O138" t="n">
        <v>0</v>
      </c>
      <c r="P138" t="n">
        <v>0</v>
      </c>
      <c r="Q138" t="n">
        <v>0</v>
      </c>
      <c r="R138" s="2" t="inlineStr"/>
    </row>
    <row r="139" ht="15" customHeight="1">
      <c r="A139" t="inlineStr">
        <is>
          <t>A 18580-2021</t>
        </is>
      </c>
      <c r="B139" s="1" t="n">
        <v>44306</v>
      </c>
      <c r="C139" s="1" t="n">
        <v>46010</v>
      </c>
      <c r="D139" t="inlineStr">
        <is>
          <t>STOCKHOLMS LÄN</t>
        </is>
      </c>
      <c r="E139" t="inlineStr">
        <is>
          <t>NORRTÄLJE</t>
        </is>
      </c>
      <c r="F139" t="inlineStr">
        <is>
          <t>Holmen skog AB</t>
        </is>
      </c>
      <c r="G139" t="n">
        <v>1.2</v>
      </c>
      <c r="H139" t="n">
        <v>0</v>
      </c>
      <c r="I139" t="n">
        <v>0</v>
      </c>
      <c r="J139" t="n">
        <v>0</v>
      </c>
      <c r="K139" t="n">
        <v>0</v>
      </c>
      <c r="L139" t="n">
        <v>0</v>
      </c>
      <c r="M139" t="n">
        <v>0</v>
      </c>
      <c r="N139" t="n">
        <v>0</v>
      </c>
      <c r="O139" t="n">
        <v>0</v>
      </c>
      <c r="P139" t="n">
        <v>0</v>
      </c>
      <c r="Q139" t="n">
        <v>0</v>
      </c>
      <c r="R139" s="2" t="inlineStr"/>
    </row>
    <row r="140" ht="15" customHeight="1">
      <c r="A140" t="inlineStr">
        <is>
          <t>A 12877-2022</t>
        </is>
      </c>
      <c r="B140" s="1" t="n">
        <v>44642</v>
      </c>
      <c r="C140" s="1" t="n">
        <v>46010</v>
      </c>
      <c r="D140" t="inlineStr">
        <is>
          <t>STOCKHOLMS LÄN</t>
        </is>
      </c>
      <c r="E140" t="inlineStr">
        <is>
          <t>NORRTÄLJE</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71543-2021</t>
        </is>
      </c>
      <c r="B141" s="1" t="n">
        <v>44540</v>
      </c>
      <c r="C141" s="1" t="n">
        <v>46010</v>
      </c>
      <c r="D141" t="inlineStr">
        <is>
          <t>STOCKHOLMS LÄN</t>
        </is>
      </c>
      <c r="E141" t="inlineStr">
        <is>
          <t>NORRTÄLJE</t>
        </is>
      </c>
      <c r="G141" t="n">
        <v>1.8</v>
      </c>
      <c r="H141" t="n">
        <v>0</v>
      </c>
      <c r="I141" t="n">
        <v>0</v>
      </c>
      <c r="J141" t="n">
        <v>0</v>
      </c>
      <c r="K141" t="n">
        <v>0</v>
      </c>
      <c r="L141" t="n">
        <v>0</v>
      </c>
      <c r="M141" t="n">
        <v>0</v>
      </c>
      <c r="N141" t="n">
        <v>0</v>
      </c>
      <c r="O141" t="n">
        <v>0</v>
      </c>
      <c r="P141" t="n">
        <v>0</v>
      </c>
      <c r="Q141" t="n">
        <v>0</v>
      </c>
      <c r="R141" s="2" t="inlineStr"/>
    </row>
    <row r="142" ht="15" customHeight="1">
      <c r="A142" t="inlineStr">
        <is>
          <t>A 14036-2022</t>
        </is>
      </c>
      <c r="B142" s="1" t="n">
        <v>44650.8699537037</v>
      </c>
      <c r="C142" s="1" t="n">
        <v>46010</v>
      </c>
      <c r="D142" t="inlineStr">
        <is>
          <t>STOCKHOLMS LÄN</t>
        </is>
      </c>
      <c r="E142" t="inlineStr">
        <is>
          <t>NORRTÄLJE</t>
        </is>
      </c>
      <c r="G142" t="n">
        <v>1.1</v>
      </c>
      <c r="H142" t="n">
        <v>0</v>
      </c>
      <c r="I142" t="n">
        <v>0</v>
      </c>
      <c r="J142" t="n">
        <v>0</v>
      </c>
      <c r="K142" t="n">
        <v>0</v>
      </c>
      <c r="L142" t="n">
        <v>0</v>
      </c>
      <c r="M142" t="n">
        <v>0</v>
      </c>
      <c r="N142" t="n">
        <v>0</v>
      </c>
      <c r="O142" t="n">
        <v>0</v>
      </c>
      <c r="P142" t="n">
        <v>0</v>
      </c>
      <c r="Q142" t="n">
        <v>0</v>
      </c>
      <c r="R142" s="2" t="inlineStr"/>
    </row>
    <row r="143" ht="15" customHeight="1">
      <c r="A143" t="inlineStr">
        <is>
          <t>A 47344-2021</t>
        </is>
      </c>
      <c r="B143" s="1" t="n">
        <v>44447</v>
      </c>
      <c r="C143" s="1" t="n">
        <v>46010</v>
      </c>
      <c r="D143" t="inlineStr">
        <is>
          <t>STOCKHOLMS LÄN</t>
        </is>
      </c>
      <c r="E143" t="inlineStr">
        <is>
          <t>NORRTÄLJE</t>
        </is>
      </c>
      <c r="G143" t="n">
        <v>3.3</v>
      </c>
      <c r="H143" t="n">
        <v>0</v>
      </c>
      <c r="I143" t="n">
        <v>0</v>
      </c>
      <c r="J143" t="n">
        <v>0</v>
      </c>
      <c r="K143" t="n">
        <v>0</v>
      </c>
      <c r="L143" t="n">
        <v>0</v>
      </c>
      <c r="M143" t="n">
        <v>0</v>
      </c>
      <c r="N143" t="n">
        <v>0</v>
      </c>
      <c r="O143" t="n">
        <v>0</v>
      </c>
      <c r="P143" t="n">
        <v>0</v>
      </c>
      <c r="Q143" t="n">
        <v>0</v>
      </c>
      <c r="R143" s="2" t="inlineStr"/>
    </row>
    <row r="144" ht="15" customHeight="1">
      <c r="A144" t="inlineStr">
        <is>
          <t>A 43036-2022</t>
        </is>
      </c>
      <c r="B144" s="1" t="n">
        <v>44833</v>
      </c>
      <c r="C144" s="1" t="n">
        <v>46010</v>
      </c>
      <c r="D144" t="inlineStr">
        <is>
          <t>STOCKHOLMS LÄN</t>
        </is>
      </c>
      <c r="E144" t="inlineStr">
        <is>
          <t>NORRTÄLJE</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15289-2021</t>
        </is>
      </c>
      <c r="B145" s="1" t="n">
        <v>44284.59546296296</v>
      </c>
      <c r="C145" s="1" t="n">
        <v>46010</v>
      </c>
      <c r="D145" t="inlineStr">
        <is>
          <t>STOCKHOLMS LÄN</t>
        </is>
      </c>
      <c r="E145" t="inlineStr">
        <is>
          <t>NORRTÄLJE</t>
        </is>
      </c>
      <c r="G145" t="n">
        <v>0.5</v>
      </c>
      <c r="H145" t="n">
        <v>0</v>
      </c>
      <c r="I145" t="n">
        <v>0</v>
      </c>
      <c r="J145" t="n">
        <v>0</v>
      </c>
      <c r="K145" t="n">
        <v>0</v>
      </c>
      <c r="L145" t="n">
        <v>0</v>
      </c>
      <c r="M145" t="n">
        <v>0</v>
      </c>
      <c r="N145" t="n">
        <v>0</v>
      </c>
      <c r="O145" t="n">
        <v>0</v>
      </c>
      <c r="P145" t="n">
        <v>0</v>
      </c>
      <c r="Q145" t="n">
        <v>0</v>
      </c>
      <c r="R145" s="2" t="inlineStr"/>
    </row>
    <row r="146" ht="15" customHeight="1">
      <c r="A146" t="inlineStr">
        <is>
          <t>A 40542-2021</t>
        </is>
      </c>
      <c r="B146" s="1" t="n">
        <v>44420</v>
      </c>
      <c r="C146" s="1" t="n">
        <v>46010</v>
      </c>
      <c r="D146" t="inlineStr">
        <is>
          <t>STOCKHOLMS LÄN</t>
        </is>
      </c>
      <c r="E146" t="inlineStr">
        <is>
          <t>NORRTÄLJE</t>
        </is>
      </c>
      <c r="G146" t="n">
        <v>0.4</v>
      </c>
      <c r="H146" t="n">
        <v>0</v>
      </c>
      <c r="I146" t="n">
        <v>0</v>
      </c>
      <c r="J146" t="n">
        <v>0</v>
      </c>
      <c r="K146" t="n">
        <v>0</v>
      </c>
      <c r="L146" t="n">
        <v>0</v>
      </c>
      <c r="M146" t="n">
        <v>0</v>
      </c>
      <c r="N146" t="n">
        <v>0</v>
      </c>
      <c r="O146" t="n">
        <v>0</v>
      </c>
      <c r="P146" t="n">
        <v>0</v>
      </c>
      <c r="Q146" t="n">
        <v>0</v>
      </c>
      <c r="R146" s="2" t="inlineStr"/>
    </row>
    <row r="147" ht="15" customHeight="1">
      <c r="A147" t="inlineStr">
        <is>
          <t>A 40546-2021</t>
        </is>
      </c>
      <c r="B147" s="1" t="n">
        <v>44420</v>
      </c>
      <c r="C147" s="1" t="n">
        <v>46010</v>
      </c>
      <c r="D147" t="inlineStr">
        <is>
          <t>STOCKHOLMS LÄN</t>
        </is>
      </c>
      <c r="E147" t="inlineStr">
        <is>
          <t>NORRTÄLJE</t>
        </is>
      </c>
      <c r="G147" t="n">
        <v>0.4</v>
      </c>
      <c r="H147" t="n">
        <v>0</v>
      </c>
      <c r="I147" t="n">
        <v>0</v>
      </c>
      <c r="J147" t="n">
        <v>0</v>
      </c>
      <c r="K147" t="n">
        <v>0</v>
      </c>
      <c r="L147" t="n">
        <v>0</v>
      </c>
      <c r="M147" t="n">
        <v>0</v>
      </c>
      <c r="N147" t="n">
        <v>0</v>
      </c>
      <c r="O147" t="n">
        <v>0</v>
      </c>
      <c r="P147" t="n">
        <v>0</v>
      </c>
      <c r="Q147" t="n">
        <v>0</v>
      </c>
      <c r="R147" s="2" t="inlineStr"/>
    </row>
    <row r="148" ht="15" customHeight="1">
      <c r="A148" t="inlineStr">
        <is>
          <t>A 23096-2021</t>
        </is>
      </c>
      <c r="B148" s="1" t="n">
        <v>44330</v>
      </c>
      <c r="C148" s="1" t="n">
        <v>46010</v>
      </c>
      <c r="D148" t="inlineStr">
        <is>
          <t>STOCKHOLMS LÄN</t>
        </is>
      </c>
      <c r="E148" t="inlineStr">
        <is>
          <t>NORRTÄLJE</t>
        </is>
      </c>
      <c r="G148" t="n">
        <v>0.3</v>
      </c>
      <c r="H148" t="n">
        <v>0</v>
      </c>
      <c r="I148" t="n">
        <v>0</v>
      </c>
      <c r="J148" t="n">
        <v>0</v>
      </c>
      <c r="K148" t="n">
        <v>0</v>
      </c>
      <c r="L148" t="n">
        <v>0</v>
      </c>
      <c r="M148" t="n">
        <v>0</v>
      </c>
      <c r="N148" t="n">
        <v>0</v>
      </c>
      <c r="O148" t="n">
        <v>0</v>
      </c>
      <c r="P148" t="n">
        <v>0</v>
      </c>
      <c r="Q148" t="n">
        <v>0</v>
      </c>
      <c r="R148" s="2" t="inlineStr"/>
    </row>
    <row r="149" ht="15" customHeight="1">
      <c r="A149" t="inlineStr">
        <is>
          <t>A 24977-2022</t>
        </is>
      </c>
      <c r="B149" s="1" t="n">
        <v>44728.73465277778</v>
      </c>
      <c r="C149" s="1" t="n">
        <v>46010</v>
      </c>
      <c r="D149" t="inlineStr">
        <is>
          <t>STOCKHOLMS LÄN</t>
        </is>
      </c>
      <c r="E149" t="inlineStr">
        <is>
          <t>NORRTÄLJE</t>
        </is>
      </c>
      <c r="F149" t="inlineStr">
        <is>
          <t>Kyrkan</t>
        </is>
      </c>
      <c r="G149" t="n">
        <v>1</v>
      </c>
      <c r="H149" t="n">
        <v>0</v>
      </c>
      <c r="I149" t="n">
        <v>0</v>
      </c>
      <c r="J149" t="n">
        <v>0</v>
      </c>
      <c r="K149" t="n">
        <v>0</v>
      </c>
      <c r="L149" t="n">
        <v>0</v>
      </c>
      <c r="M149" t="n">
        <v>0</v>
      </c>
      <c r="N149" t="n">
        <v>0</v>
      </c>
      <c r="O149" t="n">
        <v>0</v>
      </c>
      <c r="P149" t="n">
        <v>0</v>
      </c>
      <c r="Q149" t="n">
        <v>0</v>
      </c>
      <c r="R149" s="2" t="inlineStr"/>
    </row>
    <row r="150" ht="15" customHeight="1">
      <c r="A150" t="inlineStr">
        <is>
          <t>A 31934-2022</t>
        </is>
      </c>
      <c r="B150" s="1" t="n">
        <v>44777</v>
      </c>
      <c r="C150" s="1" t="n">
        <v>46010</v>
      </c>
      <c r="D150" t="inlineStr">
        <is>
          <t>STOCKHOLMS LÄN</t>
        </is>
      </c>
      <c r="E150" t="inlineStr">
        <is>
          <t>NORRTÄLJE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37815-2022</t>
        </is>
      </c>
      <c r="B151" s="1" t="n">
        <v>44810.85092592592</v>
      </c>
      <c r="C151" s="1" t="n">
        <v>46010</v>
      </c>
      <c r="D151" t="inlineStr">
        <is>
          <t>STOCKHOLMS LÄN</t>
        </is>
      </c>
      <c r="E151" t="inlineStr">
        <is>
          <t>NORRTÄLJE</t>
        </is>
      </c>
      <c r="G151" t="n">
        <v>1.3</v>
      </c>
      <c r="H151" t="n">
        <v>0</v>
      </c>
      <c r="I151" t="n">
        <v>0</v>
      </c>
      <c r="J151" t="n">
        <v>0</v>
      </c>
      <c r="K151" t="n">
        <v>0</v>
      </c>
      <c r="L151" t="n">
        <v>0</v>
      </c>
      <c r="M151" t="n">
        <v>0</v>
      </c>
      <c r="N151" t="n">
        <v>0</v>
      </c>
      <c r="O151" t="n">
        <v>0</v>
      </c>
      <c r="P151" t="n">
        <v>0</v>
      </c>
      <c r="Q151" t="n">
        <v>0</v>
      </c>
      <c r="R151" s="2" t="inlineStr"/>
    </row>
    <row r="152" ht="15" customHeight="1">
      <c r="A152" t="inlineStr">
        <is>
          <t>A 11821-2022</t>
        </is>
      </c>
      <c r="B152" s="1" t="n">
        <v>44634</v>
      </c>
      <c r="C152" s="1" t="n">
        <v>46010</v>
      </c>
      <c r="D152" t="inlineStr">
        <is>
          <t>STOCKHOLMS LÄN</t>
        </is>
      </c>
      <c r="E152" t="inlineStr">
        <is>
          <t>NORRTÄLJE</t>
        </is>
      </c>
      <c r="G152" t="n">
        <v>1.1</v>
      </c>
      <c r="H152" t="n">
        <v>0</v>
      </c>
      <c r="I152" t="n">
        <v>0</v>
      </c>
      <c r="J152" t="n">
        <v>0</v>
      </c>
      <c r="K152" t="n">
        <v>0</v>
      </c>
      <c r="L152" t="n">
        <v>0</v>
      </c>
      <c r="M152" t="n">
        <v>0</v>
      </c>
      <c r="N152" t="n">
        <v>0</v>
      </c>
      <c r="O152" t="n">
        <v>0</v>
      </c>
      <c r="P152" t="n">
        <v>0</v>
      </c>
      <c r="Q152" t="n">
        <v>0</v>
      </c>
      <c r="R152" s="2" t="inlineStr"/>
    </row>
    <row r="153" ht="15" customHeight="1">
      <c r="A153" t="inlineStr">
        <is>
          <t>A 2977-2022</t>
        </is>
      </c>
      <c r="B153" s="1" t="n">
        <v>44581.75819444445</v>
      </c>
      <c r="C153" s="1" t="n">
        <v>46010</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73855-2021</t>
        </is>
      </c>
      <c r="B154" s="1" t="n">
        <v>44552</v>
      </c>
      <c r="C154" s="1" t="n">
        <v>46010</v>
      </c>
      <c r="D154" t="inlineStr">
        <is>
          <t>STOCKHOLMS LÄN</t>
        </is>
      </c>
      <c r="E154" t="inlineStr">
        <is>
          <t>NORRTÄLJE</t>
        </is>
      </c>
      <c r="F154" t="inlineStr">
        <is>
          <t>Övriga Aktiebolag</t>
        </is>
      </c>
      <c r="G154" t="n">
        <v>4</v>
      </c>
      <c r="H154" t="n">
        <v>0</v>
      </c>
      <c r="I154" t="n">
        <v>0</v>
      </c>
      <c r="J154" t="n">
        <v>0</v>
      </c>
      <c r="K154" t="n">
        <v>0</v>
      </c>
      <c r="L154" t="n">
        <v>0</v>
      </c>
      <c r="M154" t="n">
        <v>0</v>
      </c>
      <c r="N154" t="n">
        <v>0</v>
      </c>
      <c r="O154" t="n">
        <v>0</v>
      </c>
      <c r="P154" t="n">
        <v>0</v>
      </c>
      <c r="Q154" t="n">
        <v>0</v>
      </c>
      <c r="R154" s="2" t="inlineStr"/>
    </row>
    <row r="155" ht="15" customHeight="1">
      <c r="A155" t="inlineStr">
        <is>
          <t>A 74468-2021</t>
        </is>
      </c>
      <c r="B155" s="1" t="n">
        <v>44560</v>
      </c>
      <c r="C155" s="1" t="n">
        <v>46010</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54272-2021</t>
        </is>
      </c>
      <c r="B156" s="1" t="n">
        <v>44470.72148148148</v>
      </c>
      <c r="C156" s="1" t="n">
        <v>46010</v>
      </c>
      <c r="D156" t="inlineStr">
        <is>
          <t>STOCKHOLMS LÄN</t>
        </is>
      </c>
      <c r="E156" t="inlineStr">
        <is>
          <t>NORRTÄLJE</t>
        </is>
      </c>
      <c r="G156" t="n">
        <v>5.8</v>
      </c>
      <c r="H156" t="n">
        <v>0</v>
      </c>
      <c r="I156" t="n">
        <v>0</v>
      </c>
      <c r="J156" t="n">
        <v>0</v>
      </c>
      <c r="K156" t="n">
        <v>0</v>
      </c>
      <c r="L156" t="n">
        <v>0</v>
      </c>
      <c r="M156" t="n">
        <v>0</v>
      </c>
      <c r="N156" t="n">
        <v>0</v>
      </c>
      <c r="O156" t="n">
        <v>0</v>
      </c>
      <c r="P156" t="n">
        <v>0</v>
      </c>
      <c r="Q156" t="n">
        <v>0</v>
      </c>
      <c r="R156" s="2" t="inlineStr"/>
    </row>
    <row r="157" ht="15" customHeight="1">
      <c r="A157" t="inlineStr">
        <is>
          <t>A 31283-2022</t>
        </is>
      </c>
      <c r="B157" s="1" t="n">
        <v>44771</v>
      </c>
      <c r="C157" s="1" t="n">
        <v>46010</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56225-2021</t>
        </is>
      </c>
      <c r="B158" s="1" t="n">
        <v>44477.94327546296</v>
      </c>
      <c r="C158" s="1" t="n">
        <v>46010</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34436-2021</t>
        </is>
      </c>
      <c r="B159" s="1" t="n">
        <v>44380</v>
      </c>
      <c r="C159" s="1" t="n">
        <v>46010</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67525-2021</t>
        </is>
      </c>
      <c r="B160" s="1" t="n">
        <v>44524</v>
      </c>
      <c r="C160" s="1" t="n">
        <v>46010</v>
      </c>
      <c r="D160" t="inlineStr">
        <is>
          <t>STOCKHOLMS LÄN</t>
        </is>
      </c>
      <c r="E160" t="inlineStr">
        <is>
          <t>NORRTÄLJE</t>
        </is>
      </c>
      <c r="G160" t="n">
        <v>0.8</v>
      </c>
      <c r="H160" t="n">
        <v>0</v>
      </c>
      <c r="I160" t="n">
        <v>0</v>
      </c>
      <c r="J160" t="n">
        <v>0</v>
      </c>
      <c r="K160" t="n">
        <v>0</v>
      </c>
      <c r="L160" t="n">
        <v>0</v>
      </c>
      <c r="M160" t="n">
        <v>0</v>
      </c>
      <c r="N160" t="n">
        <v>0</v>
      </c>
      <c r="O160" t="n">
        <v>0</v>
      </c>
      <c r="P160" t="n">
        <v>0</v>
      </c>
      <c r="Q160" t="n">
        <v>0</v>
      </c>
      <c r="R160" s="2" t="inlineStr"/>
    </row>
    <row r="161" ht="15" customHeight="1">
      <c r="A161" t="inlineStr">
        <is>
          <t>A 1704-2022</t>
        </is>
      </c>
      <c r="B161" s="1" t="n">
        <v>44574.42978009259</v>
      </c>
      <c r="C161" s="1" t="n">
        <v>46010</v>
      </c>
      <c r="D161" t="inlineStr">
        <is>
          <t>STOCKHOLMS LÄN</t>
        </is>
      </c>
      <c r="E161" t="inlineStr">
        <is>
          <t>NORRTÄLJE</t>
        </is>
      </c>
      <c r="G161" t="n">
        <v>6.2</v>
      </c>
      <c r="H161" t="n">
        <v>0</v>
      </c>
      <c r="I161" t="n">
        <v>0</v>
      </c>
      <c r="J161" t="n">
        <v>0</v>
      </c>
      <c r="K161" t="n">
        <v>0</v>
      </c>
      <c r="L161" t="n">
        <v>0</v>
      </c>
      <c r="M161" t="n">
        <v>0</v>
      </c>
      <c r="N161" t="n">
        <v>0</v>
      </c>
      <c r="O161" t="n">
        <v>0</v>
      </c>
      <c r="P161" t="n">
        <v>0</v>
      </c>
      <c r="Q161" t="n">
        <v>0</v>
      </c>
      <c r="R161" s="2" t="inlineStr"/>
    </row>
    <row r="162" ht="15" customHeight="1">
      <c r="A162" t="inlineStr">
        <is>
          <t>A 65737-2021</t>
        </is>
      </c>
      <c r="B162" s="1" t="n">
        <v>44516.72827546296</v>
      </c>
      <c r="C162" s="1" t="n">
        <v>46010</v>
      </c>
      <c r="D162" t="inlineStr">
        <is>
          <t>STOCKHOLMS LÄN</t>
        </is>
      </c>
      <c r="E162" t="inlineStr">
        <is>
          <t>NORRTÄLJE</t>
        </is>
      </c>
      <c r="G162" t="n">
        <v>3</v>
      </c>
      <c r="H162" t="n">
        <v>0</v>
      </c>
      <c r="I162" t="n">
        <v>0</v>
      </c>
      <c r="J162" t="n">
        <v>0</v>
      </c>
      <c r="K162" t="n">
        <v>0</v>
      </c>
      <c r="L162" t="n">
        <v>0</v>
      </c>
      <c r="M162" t="n">
        <v>0</v>
      </c>
      <c r="N162" t="n">
        <v>0</v>
      </c>
      <c r="O162" t="n">
        <v>0</v>
      </c>
      <c r="P162" t="n">
        <v>0</v>
      </c>
      <c r="Q162" t="n">
        <v>0</v>
      </c>
      <c r="R162" s="2" t="inlineStr"/>
    </row>
    <row r="163" ht="15" customHeight="1">
      <c r="A163" t="inlineStr">
        <is>
          <t>A 43374-2022</t>
        </is>
      </c>
      <c r="B163" s="1" t="n">
        <v>44834</v>
      </c>
      <c r="C163" s="1" t="n">
        <v>46010</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19283-2021</t>
        </is>
      </c>
      <c r="B164" s="1" t="n">
        <v>44309.47061342592</v>
      </c>
      <c r="C164" s="1" t="n">
        <v>46010</v>
      </c>
      <c r="D164" t="inlineStr">
        <is>
          <t>STOCKHOLMS LÄN</t>
        </is>
      </c>
      <c r="E164" t="inlineStr">
        <is>
          <t>NORRTÄLJE</t>
        </is>
      </c>
      <c r="F164" t="inlineStr">
        <is>
          <t>Holmen skog AB</t>
        </is>
      </c>
      <c r="G164" t="n">
        <v>0.6</v>
      </c>
      <c r="H164" t="n">
        <v>0</v>
      </c>
      <c r="I164" t="n">
        <v>0</v>
      </c>
      <c r="J164" t="n">
        <v>0</v>
      </c>
      <c r="K164" t="n">
        <v>0</v>
      </c>
      <c r="L164" t="n">
        <v>0</v>
      </c>
      <c r="M164" t="n">
        <v>0</v>
      </c>
      <c r="N164" t="n">
        <v>0</v>
      </c>
      <c r="O164" t="n">
        <v>0</v>
      </c>
      <c r="P164" t="n">
        <v>0</v>
      </c>
      <c r="Q164" t="n">
        <v>0</v>
      </c>
      <c r="R164" s="2" t="inlineStr"/>
    </row>
    <row r="165" ht="15" customHeight="1">
      <c r="A165" t="inlineStr">
        <is>
          <t>A 37712-2021</t>
        </is>
      </c>
      <c r="B165" s="1" t="n">
        <v>44400</v>
      </c>
      <c r="C165" s="1" t="n">
        <v>46010</v>
      </c>
      <c r="D165" t="inlineStr">
        <is>
          <t>STOCKHOLMS LÄN</t>
        </is>
      </c>
      <c r="E165" t="inlineStr">
        <is>
          <t>NORRTÄLJE</t>
        </is>
      </c>
      <c r="G165" t="n">
        <v>22.9</v>
      </c>
      <c r="H165" t="n">
        <v>0</v>
      </c>
      <c r="I165" t="n">
        <v>0</v>
      </c>
      <c r="J165" t="n">
        <v>0</v>
      </c>
      <c r="K165" t="n">
        <v>0</v>
      </c>
      <c r="L165" t="n">
        <v>0</v>
      </c>
      <c r="M165" t="n">
        <v>0</v>
      </c>
      <c r="N165" t="n">
        <v>0</v>
      </c>
      <c r="O165" t="n">
        <v>0</v>
      </c>
      <c r="P165" t="n">
        <v>0</v>
      </c>
      <c r="Q165" t="n">
        <v>0</v>
      </c>
      <c r="R165" s="2" t="inlineStr"/>
    </row>
    <row r="166" ht="15" customHeight="1">
      <c r="A166" t="inlineStr">
        <is>
          <t>A 9719-2021</t>
        </is>
      </c>
      <c r="B166" s="1" t="n">
        <v>44252</v>
      </c>
      <c r="C166" s="1" t="n">
        <v>46010</v>
      </c>
      <c r="D166" t="inlineStr">
        <is>
          <t>STOCKHOLMS LÄN</t>
        </is>
      </c>
      <c r="E166" t="inlineStr">
        <is>
          <t>NORRTÄLJE</t>
        </is>
      </c>
      <c r="F166" t="inlineStr">
        <is>
          <t>Holmen skog AB</t>
        </is>
      </c>
      <c r="G166" t="n">
        <v>2</v>
      </c>
      <c r="H166" t="n">
        <v>0</v>
      </c>
      <c r="I166" t="n">
        <v>0</v>
      </c>
      <c r="J166" t="n">
        <v>0</v>
      </c>
      <c r="K166" t="n">
        <v>0</v>
      </c>
      <c r="L166" t="n">
        <v>0</v>
      </c>
      <c r="M166" t="n">
        <v>0</v>
      </c>
      <c r="N166" t="n">
        <v>0</v>
      </c>
      <c r="O166" t="n">
        <v>0</v>
      </c>
      <c r="P166" t="n">
        <v>0</v>
      </c>
      <c r="Q166" t="n">
        <v>0</v>
      </c>
      <c r="R166" s="2" t="inlineStr"/>
    </row>
    <row r="167" ht="15" customHeight="1">
      <c r="A167" t="inlineStr">
        <is>
          <t>A 48384-2021</t>
        </is>
      </c>
      <c r="B167" s="1" t="n">
        <v>44451</v>
      </c>
      <c r="C167" s="1" t="n">
        <v>46010</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48492-2022</t>
        </is>
      </c>
      <c r="B168" s="1" t="n">
        <v>44858</v>
      </c>
      <c r="C168" s="1" t="n">
        <v>46010</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8338-2021</t>
        </is>
      </c>
      <c r="B169" s="1" t="n">
        <v>44244</v>
      </c>
      <c r="C169" s="1" t="n">
        <v>46010</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46010</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46010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17777-2022</t>
        </is>
      </c>
      <c r="B172" s="1" t="n">
        <v>44682.79203703703</v>
      </c>
      <c r="C172" s="1" t="n">
        <v>46010</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46010</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21723-2022</t>
        </is>
      </c>
      <c r="B174" s="1" t="n">
        <v>44708</v>
      </c>
      <c r="C174" s="1" t="n">
        <v>46010</v>
      </c>
      <c r="D174" t="inlineStr">
        <is>
          <t>STOCKHOLMS LÄN</t>
        </is>
      </c>
      <c r="E174" t="inlineStr">
        <is>
          <t>NORRTÄLJE</t>
        </is>
      </c>
      <c r="G174" t="n">
        <v>0.3</v>
      </c>
      <c r="H174" t="n">
        <v>0</v>
      </c>
      <c r="I174" t="n">
        <v>0</v>
      </c>
      <c r="J174" t="n">
        <v>0</v>
      </c>
      <c r="K174" t="n">
        <v>0</v>
      </c>
      <c r="L174" t="n">
        <v>0</v>
      </c>
      <c r="M174" t="n">
        <v>0</v>
      </c>
      <c r="N174" t="n">
        <v>0</v>
      </c>
      <c r="O174" t="n">
        <v>0</v>
      </c>
      <c r="P174" t="n">
        <v>0</v>
      </c>
      <c r="Q174" t="n">
        <v>0</v>
      </c>
      <c r="R174" s="2" t="inlineStr"/>
    </row>
    <row r="175" ht="15" customHeight="1">
      <c r="A175" t="inlineStr">
        <is>
          <t>A 12816-2022</t>
        </is>
      </c>
      <c r="B175" s="1" t="n">
        <v>44642</v>
      </c>
      <c r="C175" s="1" t="n">
        <v>46010</v>
      </c>
      <c r="D175" t="inlineStr">
        <is>
          <t>STOCKHOLMS LÄN</t>
        </is>
      </c>
      <c r="E175" t="inlineStr">
        <is>
          <t>NORRTÄLJE</t>
        </is>
      </c>
      <c r="G175" t="n">
        <v>4.4</v>
      </c>
      <c r="H175" t="n">
        <v>0</v>
      </c>
      <c r="I175" t="n">
        <v>0</v>
      </c>
      <c r="J175" t="n">
        <v>0</v>
      </c>
      <c r="K175" t="n">
        <v>0</v>
      </c>
      <c r="L175" t="n">
        <v>0</v>
      </c>
      <c r="M175" t="n">
        <v>0</v>
      </c>
      <c r="N175" t="n">
        <v>0</v>
      </c>
      <c r="O175" t="n">
        <v>0</v>
      </c>
      <c r="P175" t="n">
        <v>0</v>
      </c>
      <c r="Q175" t="n">
        <v>0</v>
      </c>
      <c r="R175" s="2" t="inlineStr"/>
    </row>
    <row r="176" ht="15" customHeight="1">
      <c r="A176" t="inlineStr">
        <is>
          <t>A 31807-2022</t>
        </is>
      </c>
      <c r="B176" s="1" t="n">
        <v>44776</v>
      </c>
      <c r="C176" s="1" t="n">
        <v>46010</v>
      </c>
      <c r="D176" t="inlineStr">
        <is>
          <t>STOCKHOLMS LÄN</t>
        </is>
      </c>
      <c r="E176" t="inlineStr">
        <is>
          <t>NORRTÄLJE</t>
        </is>
      </c>
      <c r="G176" t="n">
        <v>2.5</v>
      </c>
      <c r="H176" t="n">
        <v>0</v>
      </c>
      <c r="I176" t="n">
        <v>0</v>
      </c>
      <c r="J176" t="n">
        <v>0</v>
      </c>
      <c r="K176" t="n">
        <v>0</v>
      </c>
      <c r="L176" t="n">
        <v>0</v>
      </c>
      <c r="M176" t="n">
        <v>0</v>
      </c>
      <c r="N176" t="n">
        <v>0</v>
      </c>
      <c r="O176" t="n">
        <v>0</v>
      </c>
      <c r="P176" t="n">
        <v>0</v>
      </c>
      <c r="Q176" t="n">
        <v>0</v>
      </c>
      <c r="R176" s="2" t="inlineStr"/>
    </row>
    <row r="177" ht="15" customHeight="1">
      <c r="A177" t="inlineStr">
        <is>
          <t>A 28209-2022</t>
        </is>
      </c>
      <c r="B177" s="1" t="n">
        <v>44746</v>
      </c>
      <c r="C177" s="1" t="n">
        <v>46010</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2447-2021</t>
        </is>
      </c>
      <c r="B178" s="1" t="n">
        <v>44214</v>
      </c>
      <c r="C178" s="1" t="n">
        <v>46010</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46010</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46010</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46010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46010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46010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46010</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46010</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46010</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46010</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46010</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46010</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46010</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46010</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46010</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46010</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46010</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46010</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46010</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46010</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46010</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46010</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46010</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46010</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46010</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46010</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46010</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46010</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46010</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46010</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46010</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46010</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348-2021</t>
        </is>
      </c>
      <c r="B210" s="1" t="n">
        <v>44201</v>
      </c>
      <c r="C210" s="1" t="n">
        <v>46010</v>
      </c>
      <c r="D210" t="inlineStr">
        <is>
          <t>STOCKHOLMS LÄN</t>
        </is>
      </c>
      <c r="E210" t="inlineStr">
        <is>
          <t>NORRTÄLJE</t>
        </is>
      </c>
      <c r="G210" t="n">
        <v>0.1</v>
      </c>
      <c r="H210" t="n">
        <v>0</v>
      </c>
      <c r="I210" t="n">
        <v>0</v>
      </c>
      <c r="J210" t="n">
        <v>0</v>
      </c>
      <c r="K210" t="n">
        <v>0</v>
      </c>
      <c r="L210" t="n">
        <v>0</v>
      </c>
      <c r="M210" t="n">
        <v>0</v>
      </c>
      <c r="N210" t="n">
        <v>0</v>
      </c>
      <c r="O210" t="n">
        <v>0</v>
      </c>
      <c r="P210" t="n">
        <v>0</v>
      </c>
      <c r="Q210" t="n">
        <v>0</v>
      </c>
      <c r="R210" s="2" t="inlineStr"/>
    </row>
    <row r="211" ht="15" customHeight="1">
      <c r="A211" t="inlineStr">
        <is>
          <t>A 367-2021</t>
        </is>
      </c>
      <c r="B211" s="1" t="n">
        <v>44201</v>
      </c>
      <c r="C211" s="1" t="n">
        <v>46010</v>
      </c>
      <c r="D211" t="inlineStr">
        <is>
          <t>STOCKHOLMS LÄN</t>
        </is>
      </c>
      <c r="E211" t="inlineStr">
        <is>
          <t>NORRTÄLJE</t>
        </is>
      </c>
      <c r="G211" t="n">
        <v>0.1</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46010</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46010</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46010</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46010</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46010</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46010</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46010</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46010</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46010</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46010</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46010</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46010</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46010</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46010</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46010</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46010</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46010</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46010</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46010</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46010</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46010</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46010</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46010</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46010</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46010</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46010</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46010</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46010</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46010</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46010</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46010</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46010</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46010</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46010</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46010</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46010</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46010</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46010</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46010</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46010</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46010</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46010</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46010</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46010</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12779-2021</t>
        </is>
      </c>
      <c r="B256" s="1" t="n">
        <v>44270</v>
      </c>
      <c r="C256" s="1" t="n">
        <v>46010</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12782-2021</t>
        </is>
      </c>
      <c r="B257" s="1" t="n">
        <v>44270</v>
      </c>
      <c r="C257" s="1" t="n">
        <v>46010</v>
      </c>
      <c r="D257" t="inlineStr">
        <is>
          <t>STOCKHOLMS LÄN</t>
        </is>
      </c>
      <c r="E257" t="inlineStr">
        <is>
          <t>NORRTÄLJE</t>
        </is>
      </c>
      <c r="G257" t="n">
        <v>3.8</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46010</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46010</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52139-2022</t>
        </is>
      </c>
      <c r="B260" s="1" t="n">
        <v>44868</v>
      </c>
      <c r="C260" s="1" t="n">
        <v>46010</v>
      </c>
      <c r="D260" t="inlineStr">
        <is>
          <t>STOCKHOLMS LÄN</t>
        </is>
      </c>
      <c r="E260" t="inlineStr">
        <is>
          <t>NORRTÄLJE</t>
        </is>
      </c>
      <c r="G260" t="n">
        <v>3.2</v>
      </c>
      <c r="H260" t="n">
        <v>0</v>
      </c>
      <c r="I260" t="n">
        <v>0</v>
      </c>
      <c r="J260" t="n">
        <v>0</v>
      </c>
      <c r="K260" t="n">
        <v>0</v>
      </c>
      <c r="L260" t="n">
        <v>0</v>
      </c>
      <c r="M260" t="n">
        <v>0</v>
      </c>
      <c r="N260" t="n">
        <v>0</v>
      </c>
      <c r="O260" t="n">
        <v>0</v>
      </c>
      <c r="P260" t="n">
        <v>0</v>
      </c>
      <c r="Q260" t="n">
        <v>0</v>
      </c>
      <c r="R260" s="2" t="inlineStr"/>
      <c r="U260">
        <f>HYPERLINK("https://klasma.github.io/Logging_0188/knärot/A 52139-2022 karta knärot.png", "A 52139-2022")</f>
        <v/>
      </c>
      <c r="V260">
        <f>HYPERLINK("https://klasma.github.io/Logging_0188/klagomål/A 52139-2022 FSC-klagomål.docx", "A 52139-2022")</f>
        <v/>
      </c>
      <c r="W260">
        <f>HYPERLINK("https://klasma.github.io/Logging_0188/klagomålsmail/A 52139-2022 FSC-klagomål mail.docx", "A 52139-2022")</f>
        <v/>
      </c>
      <c r="X260">
        <f>HYPERLINK("https://klasma.github.io/Logging_0188/tillsyn/A 52139-2022 tillsynsbegäran.docx", "A 52139-2022")</f>
        <v/>
      </c>
      <c r="Y260">
        <f>HYPERLINK("https://klasma.github.io/Logging_0188/tillsynsmail/A 52139-2022 tillsynsbegäran mail.docx", "A 52139-2022")</f>
        <v/>
      </c>
    </row>
    <row r="261" ht="15" customHeight="1">
      <c r="A261" t="inlineStr">
        <is>
          <t>A 9446-2021</t>
        </is>
      </c>
      <c r="B261" s="1" t="n">
        <v>44251</v>
      </c>
      <c r="C261" s="1" t="n">
        <v>46010</v>
      </c>
      <c r="D261" t="inlineStr">
        <is>
          <t>STOCKHOLMS LÄN</t>
        </is>
      </c>
      <c r="E261" t="inlineStr">
        <is>
          <t>NORRTÄLJE</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46010</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46010</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46010</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46010</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46010</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46010</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46010</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46010</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46010</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46010</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46010</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46010</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46010</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46010</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46010</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46010</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3300-2022</t>
        </is>
      </c>
      <c r="B278" s="1" t="n">
        <v>44584.91538194445</v>
      </c>
      <c r="C278" s="1" t="n">
        <v>46010</v>
      </c>
      <c r="D278" t="inlineStr">
        <is>
          <t>STOCKHOLMS LÄN</t>
        </is>
      </c>
      <c r="E278" t="inlineStr">
        <is>
          <t>NORRTÄLJE</t>
        </is>
      </c>
      <c r="G278" t="n">
        <v>0.4</v>
      </c>
      <c r="H278" t="n">
        <v>0</v>
      </c>
      <c r="I278" t="n">
        <v>0</v>
      </c>
      <c r="J278" t="n">
        <v>0</v>
      </c>
      <c r="K278" t="n">
        <v>0</v>
      </c>
      <c r="L278" t="n">
        <v>0</v>
      </c>
      <c r="M278" t="n">
        <v>0</v>
      </c>
      <c r="N278" t="n">
        <v>0</v>
      </c>
      <c r="O278" t="n">
        <v>0</v>
      </c>
      <c r="P278" t="n">
        <v>0</v>
      </c>
      <c r="Q278" t="n">
        <v>0</v>
      </c>
      <c r="R278" s="2" t="inlineStr"/>
    </row>
    <row r="279" ht="15" customHeight="1">
      <c r="A279" t="inlineStr">
        <is>
          <t>A 17388-2022</t>
        </is>
      </c>
      <c r="B279" s="1" t="n">
        <v>44678</v>
      </c>
      <c r="C279" s="1" t="n">
        <v>46010</v>
      </c>
      <c r="D279" t="inlineStr">
        <is>
          <t>STOCKHOLMS LÄN</t>
        </is>
      </c>
      <c r="E279" t="inlineStr">
        <is>
          <t>NORRTÄLJE</t>
        </is>
      </c>
      <c r="G279" t="n">
        <v>2.4</v>
      </c>
      <c r="H279" t="n">
        <v>0</v>
      </c>
      <c r="I279" t="n">
        <v>0</v>
      </c>
      <c r="J279" t="n">
        <v>0</v>
      </c>
      <c r="K279" t="n">
        <v>0</v>
      </c>
      <c r="L279" t="n">
        <v>0</v>
      </c>
      <c r="M279" t="n">
        <v>0</v>
      </c>
      <c r="N279" t="n">
        <v>0</v>
      </c>
      <c r="O279" t="n">
        <v>0</v>
      </c>
      <c r="P279" t="n">
        <v>0</v>
      </c>
      <c r="Q279" t="n">
        <v>0</v>
      </c>
      <c r="R279" s="2" t="inlineStr"/>
    </row>
    <row r="280" ht="15" customHeight="1">
      <c r="A280" t="inlineStr">
        <is>
          <t>A 15226-2022</t>
        </is>
      </c>
      <c r="B280" s="1" t="n">
        <v>44658</v>
      </c>
      <c r="C280" s="1" t="n">
        <v>46010</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46010</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46010</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46010</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46010</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46010</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70170-2021</t>
        </is>
      </c>
      <c r="B286" s="1" t="n">
        <v>44533</v>
      </c>
      <c r="C286" s="1" t="n">
        <v>46010</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46010</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46010</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21102-2022</t>
        </is>
      </c>
      <c r="B289" s="1" t="n">
        <v>44704</v>
      </c>
      <c r="C289" s="1" t="n">
        <v>46010</v>
      </c>
      <c r="D289" t="inlineStr">
        <is>
          <t>STOCKHOLMS LÄN</t>
        </is>
      </c>
      <c r="E289" t="inlineStr">
        <is>
          <t>NORRTÄLJE</t>
        </is>
      </c>
      <c r="G289" t="n">
        <v>0.2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46010</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46010</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46010</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46010</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46010</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46010</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46010</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15915-2023</t>
        </is>
      </c>
      <c r="B297" s="1" t="n">
        <v>45022</v>
      </c>
      <c r="C297" s="1" t="n">
        <v>46010</v>
      </c>
      <c r="D297" t="inlineStr">
        <is>
          <t>STOCKHOLMS LÄN</t>
        </is>
      </c>
      <c r="E297" t="inlineStr">
        <is>
          <t>NORRTÄLJE</t>
        </is>
      </c>
      <c r="G297" t="n">
        <v>2.9</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46010</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55696-2022</t>
        </is>
      </c>
      <c r="B299" s="1" t="n">
        <v>44888</v>
      </c>
      <c r="C299" s="1" t="n">
        <v>46010</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22412-2021</t>
        </is>
      </c>
      <c r="B300" s="1" t="n">
        <v>44326.61967592593</v>
      </c>
      <c r="C300" s="1" t="n">
        <v>46010</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52260-2022</t>
        </is>
      </c>
      <c r="B301" s="1" t="n">
        <v>44869</v>
      </c>
      <c r="C301" s="1" t="n">
        <v>46010</v>
      </c>
      <c r="D301" t="inlineStr">
        <is>
          <t>STOCKHOLMS LÄN</t>
        </is>
      </c>
      <c r="E301" t="inlineStr">
        <is>
          <t>NORRTÄLJE</t>
        </is>
      </c>
      <c r="G301" t="n">
        <v>3.1</v>
      </c>
      <c r="H301" t="n">
        <v>0</v>
      </c>
      <c r="I301" t="n">
        <v>0</v>
      </c>
      <c r="J301" t="n">
        <v>0</v>
      </c>
      <c r="K301" t="n">
        <v>0</v>
      </c>
      <c r="L301" t="n">
        <v>0</v>
      </c>
      <c r="M301" t="n">
        <v>0</v>
      </c>
      <c r="N301" t="n">
        <v>0</v>
      </c>
      <c r="O301" t="n">
        <v>0</v>
      </c>
      <c r="P301" t="n">
        <v>0</v>
      </c>
      <c r="Q301" t="n">
        <v>0</v>
      </c>
      <c r="R301" s="2" t="inlineStr"/>
    </row>
    <row r="302" ht="15" customHeight="1">
      <c r="A302" t="inlineStr">
        <is>
          <t>A 25557-2023</t>
        </is>
      </c>
      <c r="B302" s="1" t="n">
        <v>45089</v>
      </c>
      <c r="C302" s="1" t="n">
        <v>46010</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46010</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46010</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27828-2022</t>
        </is>
      </c>
      <c r="B305" s="1" t="n">
        <v>44743.59765046297</v>
      </c>
      <c r="C305" s="1" t="n">
        <v>46010</v>
      </c>
      <c r="D305" t="inlineStr">
        <is>
          <t>STOCKHOLMS LÄN</t>
        </is>
      </c>
      <c r="E305" t="inlineStr">
        <is>
          <t>NORRTÄLJE</t>
        </is>
      </c>
      <c r="F305" t="inlineStr">
        <is>
          <t>Kommuner</t>
        </is>
      </c>
      <c r="G305" t="n">
        <v>1.6</v>
      </c>
      <c r="H305" t="n">
        <v>0</v>
      </c>
      <c r="I305" t="n">
        <v>0</v>
      </c>
      <c r="J305" t="n">
        <v>0</v>
      </c>
      <c r="K305" t="n">
        <v>0</v>
      </c>
      <c r="L305" t="n">
        <v>0</v>
      </c>
      <c r="M305" t="n">
        <v>0</v>
      </c>
      <c r="N305" t="n">
        <v>0</v>
      </c>
      <c r="O305" t="n">
        <v>0</v>
      </c>
      <c r="P305" t="n">
        <v>0</v>
      </c>
      <c r="Q305" t="n">
        <v>0</v>
      </c>
      <c r="R305" s="2" t="inlineStr"/>
    </row>
    <row r="306" ht="15" customHeight="1">
      <c r="A306" t="inlineStr">
        <is>
          <t>A 64137-2021</t>
        </is>
      </c>
      <c r="B306" s="1" t="n">
        <v>44510.51422453704</v>
      </c>
      <c r="C306" s="1" t="n">
        <v>46010</v>
      </c>
      <c r="D306" t="inlineStr">
        <is>
          <t>STOCKHOLMS LÄN</t>
        </is>
      </c>
      <c r="E306" t="inlineStr">
        <is>
          <t>NORRTÄLJE</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29972-2024</t>
        </is>
      </c>
      <c r="B307" s="1" t="n">
        <v>45485</v>
      </c>
      <c r="C307" s="1" t="n">
        <v>46010</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16229-2022</t>
        </is>
      </c>
      <c r="B308" s="1" t="n">
        <v>44670.4190162037</v>
      </c>
      <c r="C308" s="1" t="n">
        <v>46010</v>
      </c>
      <c r="D308" t="inlineStr">
        <is>
          <t>STOCKHOLMS LÄN</t>
        </is>
      </c>
      <c r="E308" t="inlineStr">
        <is>
          <t>NORRTÄLJE</t>
        </is>
      </c>
      <c r="G308" t="n">
        <v>7.4</v>
      </c>
      <c r="H308" t="n">
        <v>0</v>
      </c>
      <c r="I308" t="n">
        <v>0</v>
      </c>
      <c r="J308" t="n">
        <v>0</v>
      </c>
      <c r="K308" t="n">
        <v>0</v>
      </c>
      <c r="L308" t="n">
        <v>0</v>
      </c>
      <c r="M308" t="n">
        <v>0</v>
      </c>
      <c r="N308" t="n">
        <v>0</v>
      </c>
      <c r="O308" t="n">
        <v>0</v>
      </c>
      <c r="P308" t="n">
        <v>0</v>
      </c>
      <c r="Q308" t="n">
        <v>0</v>
      </c>
      <c r="R308" s="2" t="inlineStr"/>
    </row>
    <row r="309" ht="15" customHeight="1">
      <c r="A309" t="inlineStr">
        <is>
          <t>A 48716-2023</t>
        </is>
      </c>
      <c r="B309" s="1" t="n">
        <v>45208.69671296296</v>
      </c>
      <c r="C309" s="1" t="n">
        <v>46010</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5027-2025</t>
        </is>
      </c>
      <c r="B310" s="1" t="n">
        <v>45691.41101851852</v>
      </c>
      <c r="C310" s="1" t="n">
        <v>46010</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11122-2021</t>
        </is>
      </c>
      <c r="B311" s="1" t="n">
        <v>44260</v>
      </c>
      <c r="C311" s="1" t="n">
        <v>46010</v>
      </c>
      <c r="D311" t="inlineStr">
        <is>
          <t>STOCKHOLMS LÄN</t>
        </is>
      </c>
      <c r="E311" t="inlineStr">
        <is>
          <t>NORRTÄLJE</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12268-2022</t>
        </is>
      </c>
      <c r="B312" s="1" t="n">
        <v>44637</v>
      </c>
      <c r="C312" s="1" t="n">
        <v>46010</v>
      </c>
      <c r="D312" t="inlineStr">
        <is>
          <t>STOCKHOLMS LÄN</t>
        </is>
      </c>
      <c r="E312" t="inlineStr">
        <is>
          <t>NORRTÄLJE</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20015-2023</t>
        </is>
      </c>
      <c r="B313" s="1" t="n">
        <v>45054</v>
      </c>
      <c r="C313" s="1" t="n">
        <v>46010</v>
      </c>
      <c r="D313" t="inlineStr">
        <is>
          <t>STOCKHOLMS LÄN</t>
        </is>
      </c>
      <c r="E313" t="inlineStr">
        <is>
          <t>NORRTÄLJE</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3273-2025</t>
        </is>
      </c>
      <c r="B314" s="1" t="n">
        <v>45679</v>
      </c>
      <c r="C314" s="1" t="n">
        <v>46010</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24245-2024</t>
        </is>
      </c>
      <c r="B315" s="1" t="n">
        <v>45457</v>
      </c>
      <c r="C315" s="1" t="n">
        <v>46010</v>
      </c>
      <c r="D315" t="inlineStr">
        <is>
          <t>STOCKHOLMS LÄN</t>
        </is>
      </c>
      <c r="E315" t="inlineStr">
        <is>
          <t>NORRTÄLJE</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21291-2021</t>
        </is>
      </c>
      <c r="B316" s="1" t="n">
        <v>44319</v>
      </c>
      <c r="C316" s="1" t="n">
        <v>46010</v>
      </c>
      <c r="D316" t="inlineStr">
        <is>
          <t>STOCKHOLMS LÄN</t>
        </is>
      </c>
      <c r="E316" t="inlineStr">
        <is>
          <t>NORRTÄLJE</t>
        </is>
      </c>
      <c r="G316" t="n">
        <v>12.7</v>
      </c>
      <c r="H316" t="n">
        <v>0</v>
      </c>
      <c r="I316" t="n">
        <v>0</v>
      </c>
      <c r="J316" t="n">
        <v>0</v>
      </c>
      <c r="K316" t="n">
        <v>0</v>
      </c>
      <c r="L316" t="n">
        <v>0</v>
      </c>
      <c r="M316" t="n">
        <v>0</v>
      </c>
      <c r="N316" t="n">
        <v>0</v>
      </c>
      <c r="O316" t="n">
        <v>0</v>
      </c>
      <c r="P316" t="n">
        <v>0</v>
      </c>
      <c r="Q316" t="n">
        <v>0</v>
      </c>
      <c r="R316" s="2" t="inlineStr"/>
    </row>
    <row r="317" ht="15" customHeight="1">
      <c r="A317" t="inlineStr">
        <is>
          <t>A 13172-2025</t>
        </is>
      </c>
      <c r="B317" s="1" t="n">
        <v>45735.36873842592</v>
      </c>
      <c r="C317" s="1" t="n">
        <v>46010</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15256-2023</t>
        </is>
      </c>
      <c r="B318" s="1" t="n">
        <v>45019.3959837963</v>
      </c>
      <c r="C318" s="1" t="n">
        <v>46010</v>
      </c>
      <c r="D318" t="inlineStr">
        <is>
          <t>STOCKHOLMS LÄN</t>
        </is>
      </c>
      <c r="E318" t="inlineStr">
        <is>
          <t>NORRTÄLJE</t>
        </is>
      </c>
      <c r="G318" t="n">
        <v>2.4</v>
      </c>
      <c r="H318" t="n">
        <v>0</v>
      </c>
      <c r="I318" t="n">
        <v>0</v>
      </c>
      <c r="J318" t="n">
        <v>0</v>
      </c>
      <c r="K318" t="n">
        <v>0</v>
      </c>
      <c r="L318" t="n">
        <v>0</v>
      </c>
      <c r="M318" t="n">
        <v>0</v>
      </c>
      <c r="N318" t="n">
        <v>0</v>
      </c>
      <c r="O318" t="n">
        <v>0</v>
      </c>
      <c r="P318" t="n">
        <v>0</v>
      </c>
      <c r="Q318" t="n">
        <v>0</v>
      </c>
      <c r="R318" s="2" t="inlineStr"/>
    </row>
    <row r="319" ht="15" customHeight="1">
      <c r="A319" t="inlineStr">
        <is>
          <t>A 20428-2024</t>
        </is>
      </c>
      <c r="B319" s="1" t="n">
        <v>45435</v>
      </c>
      <c r="C319" s="1" t="n">
        <v>46010</v>
      </c>
      <c r="D319" t="inlineStr">
        <is>
          <t>STOCKHOLMS LÄN</t>
        </is>
      </c>
      <c r="E319" t="inlineStr">
        <is>
          <t>NORRTÄLJE</t>
        </is>
      </c>
      <c r="G319" t="n">
        <v>3.7</v>
      </c>
      <c r="H319" t="n">
        <v>0</v>
      </c>
      <c r="I319" t="n">
        <v>0</v>
      </c>
      <c r="J319" t="n">
        <v>0</v>
      </c>
      <c r="K319" t="n">
        <v>0</v>
      </c>
      <c r="L319" t="n">
        <v>0</v>
      </c>
      <c r="M319" t="n">
        <v>0</v>
      </c>
      <c r="N319" t="n">
        <v>0</v>
      </c>
      <c r="O319" t="n">
        <v>0</v>
      </c>
      <c r="P319" t="n">
        <v>0</v>
      </c>
      <c r="Q319" t="n">
        <v>0</v>
      </c>
      <c r="R319" s="2" t="inlineStr"/>
    </row>
    <row r="320" ht="15" customHeight="1">
      <c r="A320" t="inlineStr">
        <is>
          <t>A 64145-2021</t>
        </is>
      </c>
      <c r="B320" s="1" t="n">
        <v>44510</v>
      </c>
      <c r="C320" s="1" t="n">
        <v>46010</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1740-2023</t>
        </is>
      </c>
      <c r="B321" s="1" t="n">
        <v>44938</v>
      </c>
      <c r="C321" s="1" t="n">
        <v>46010</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4596-2023</t>
        </is>
      </c>
      <c r="B322" s="1" t="n">
        <v>44956</v>
      </c>
      <c r="C322" s="1" t="n">
        <v>46010</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22456-2023</t>
        </is>
      </c>
      <c r="B323" s="1" t="n">
        <v>45070</v>
      </c>
      <c r="C323" s="1" t="n">
        <v>46010</v>
      </c>
      <c r="D323" t="inlineStr">
        <is>
          <t>STOCKHOLMS LÄN</t>
        </is>
      </c>
      <c r="E323" t="inlineStr">
        <is>
          <t>NORRTÄLJE</t>
        </is>
      </c>
      <c r="G323" t="n">
        <v>3.1</v>
      </c>
      <c r="H323" t="n">
        <v>0</v>
      </c>
      <c r="I323" t="n">
        <v>0</v>
      </c>
      <c r="J323" t="n">
        <v>0</v>
      </c>
      <c r="K323" t="n">
        <v>0</v>
      </c>
      <c r="L323" t="n">
        <v>0</v>
      </c>
      <c r="M323" t="n">
        <v>0</v>
      </c>
      <c r="N323" t="n">
        <v>0</v>
      </c>
      <c r="O323" t="n">
        <v>0</v>
      </c>
      <c r="P323" t="n">
        <v>0</v>
      </c>
      <c r="Q323" t="n">
        <v>0</v>
      </c>
      <c r="R323" s="2" t="inlineStr"/>
    </row>
    <row r="324" ht="15" customHeight="1">
      <c r="A324" t="inlineStr">
        <is>
          <t>A 17785-2024</t>
        </is>
      </c>
      <c r="B324" s="1" t="n">
        <v>45418.6968287037</v>
      </c>
      <c r="C324" s="1" t="n">
        <v>46010</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33226-2024</t>
        </is>
      </c>
      <c r="B325" s="1" t="n">
        <v>45518</v>
      </c>
      <c r="C325" s="1" t="n">
        <v>46010</v>
      </c>
      <c r="D325" t="inlineStr">
        <is>
          <t>STOCKHOLMS LÄN</t>
        </is>
      </c>
      <c r="E325" t="inlineStr">
        <is>
          <t>NORRTÄLJE</t>
        </is>
      </c>
      <c r="G325" t="n">
        <v>13.8</v>
      </c>
      <c r="H325" t="n">
        <v>0</v>
      </c>
      <c r="I325" t="n">
        <v>0</v>
      </c>
      <c r="J325" t="n">
        <v>0</v>
      </c>
      <c r="K325" t="n">
        <v>0</v>
      </c>
      <c r="L325" t="n">
        <v>0</v>
      </c>
      <c r="M325" t="n">
        <v>0</v>
      </c>
      <c r="N325" t="n">
        <v>0</v>
      </c>
      <c r="O325" t="n">
        <v>0</v>
      </c>
      <c r="P325" t="n">
        <v>0</v>
      </c>
      <c r="Q325" t="n">
        <v>0</v>
      </c>
      <c r="R325" s="2" t="inlineStr"/>
    </row>
    <row r="326" ht="15" customHeight="1">
      <c r="A326" t="inlineStr">
        <is>
          <t>A 10676-2025</t>
        </is>
      </c>
      <c r="B326" s="1" t="n">
        <v>45721.88684027778</v>
      </c>
      <c r="C326" s="1" t="n">
        <v>46010</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20852-2023</t>
        </is>
      </c>
      <c r="B327" s="1" t="n">
        <v>45058.78607638889</v>
      </c>
      <c r="C327" s="1" t="n">
        <v>46010</v>
      </c>
      <c r="D327" t="inlineStr">
        <is>
          <t>STOCKHOLMS LÄN</t>
        </is>
      </c>
      <c r="E327" t="inlineStr">
        <is>
          <t>NORRTÄLJE</t>
        </is>
      </c>
      <c r="G327" t="n">
        <v>3.5</v>
      </c>
      <c r="H327" t="n">
        <v>0</v>
      </c>
      <c r="I327" t="n">
        <v>0</v>
      </c>
      <c r="J327" t="n">
        <v>0</v>
      </c>
      <c r="K327" t="n">
        <v>0</v>
      </c>
      <c r="L327" t="n">
        <v>0</v>
      </c>
      <c r="M327" t="n">
        <v>0</v>
      </c>
      <c r="N327" t="n">
        <v>0</v>
      </c>
      <c r="O327" t="n">
        <v>0</v>
      </c>
      <c r="P327" t="n">
        <v>0</v>
      </c>
      <c r="Q327" t="n">
        <v>0</v>
      </c>
      <c r="R327" s="2" t="inlineStr"/>
    </row>
    <row r="328" ht="15" customHeight="1">
      <c r="A328" t="inlineStr">
        <is>
          <t>A 19982-2022</t>
        </is>
      </c>
      <c r="B328" s="1" t="n">
        <v>44697</v>
      </c>
      <c r="C328" s="1" t="n">
        <v>46010</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6678-2025</t>
        </is>
      </c>
      <c r="B329" s="1" t="n">
        <v>45700</v>
      </c>
      <c r="C329" s="1" t="n">
        <v>46010</v>
      </c>
      <c r="D329" t="inlineStr">
        <is>
          <t>STOCKHOLMS LÄN</t>
        </is>
      </c>
      <c r="E329" t="inlineStr">
        <is>
          <t>NORRTÄLJE</t>
        </is>
      </c>
      <c r="F329" t="inlineStr">
        <is>
          <t>Övriga Aktiebolag</t>
        </is>
      </c>
      <c r="G329" t="n">
        <v>6.6</v>
      </c>
      <c r="H329" t="n">
        <v>0</v>
      </c>
      <c r="I329" t="n">
        <v>0</v>
      </c>
      <c r="J329" t="n">
        <v>0</v>
      </c>
      <c r="K329" t="n">
        <v>0</v>
      </c>
      <c r="L329" t="n">
        <v>0</v>
      </c>
      <c r="M329" t="n">
        <v>0</v>
      </c>
      <c r="N329" t="n">
        <v>0</v>
      </c>
      <c r="O329" t="n">
        <v>0</v>
      </c>
      <c r="P329" t="n">
        <v>0</v>
      </c>
      <c r="Q329" t="n">
        <v>0</v>
      </c>
      <c r="R329" s="2" t="inlineStr"/>
    </row>
    <row r="330" ht="15" customHeight="1">
      <c r="A330" t="inlineStr">
        <is>
          <t>A 42075-2023</t>
        </is>
      </c>
      <c r="B330" s="1" t="n">
        <v>45177</v>
      </c>
      <c r="C330" s="1" t="n">
        <v>46010</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44917-2022</t>
        </is>
      </c>
      <c r="B331" s="1" t="n">
        <v>44841.52804398148</v>
      </c>
      <c r="C331" s="1" t="n">
        <v>46010</v>
      </c>
      <c r="D331" t="inlineStr">
        <is>
          <t>STOCKHOLMS LÄN</t>
        </is>
      </c>
      <c r="E331" t="inlineStr">
        <is>
          <t>NORRTÄLJE</t>
        </is>
      </c>
      <c r="F331" t="inlineStr">
        <is>
          <t>Holmen skog AB</t>
        </is>
      </c>
      <c r="G331" t="n">
        <v>3.3</v>
      </c>
      <c r="H331" t="n">
        <v>0</v>
      </c>
      <c r="I331" t="n">
        <v>0</v>
      </c>
      <c r="J331" t="n">
        <v>0</v>
      </c>
      <c r="K331" t="n">
        <v>0</v>
      </c>
      <c r="L331" t="n">
        <v>0</v>
      </c>
      <c r="M331" t="n">
        <v>0</v>
      </c>
      <c r="N331" t="n">
        <v>0</v>
      </c>
      <c r="O331" t="n">
        <v>0</v>
      </c>
      <c r="P331" t="n">
        <v>0</v>
      </c>
      <c r="Q331" t="n">
        <v>0</v>
      </c>
      <c r="R331" s="2" t="inlineStr"/>
    </row>
    <row r="332" ht="15" customHeight="1">
      <c r="A332" t="inlineStr">
        <is>
          <t>A 50108-2021</t>
        </is>
      </c>
      <c r="B332" s="1" t="n">
        <v>44456</v>
      </c>
      <c r="C332" s="1" t="n">
        <v>46010</v>
      </c>
      <c r="D332" t="inlineStr">
        <is>
          <t>STOCKHOLMS LÄN</t>
        </is>
      </c>
      <c r="E332" t="inlineStr">
        <is>
          <t>NORRTÄLJE</t>
        </is>
      </c>
      <c r="G332" t="n">
        <v>0.7</v>
      </c>
      <c r="H332" t="n">
        <v>0</v>
      </c>
      <c r="I332" t="n">
        <v>0</v>
      </c>
      <c r="J332" t="n">
        <v>0</v>
      </c>
      <c r="K332" t="n">
        <v>0</v>
      </c>
      <c r="L332" t="n">
        <v>0</v>
      </c>
      <c r="M332" t="n">
        <v>0</v>
      </c>
      <c r="N332" t="n">
        <v>0</v>
      </c>
      <c r="O332" t="n">
        <v>0</v>
      </c>
      <c r="P332" t="n">
        <v>0</v>
      </c>
      <c r="Q332" t="n">
        <v>0</v>
      </c>
      <c r="R332" s="2" t="inlineStr"/>
    </row>
    <row r="333" ht="15" customHeight="1">
      <c r="A333" t="inlineStr">
        <is>
          <t>A 55058-2021</t>
        </is>
      </c>
      <c r="B333" s="1" t="n">
        <v>44474.62141203704</v>
      </c>
      <c r="C333" s="1" t="n">
        <v>46010</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55012-2024</t>
        </is>
      </c>
      <c r="B334" s="1" t="n">
        <v>45621.34813657407</v>
      </c>
      <c r="C334" s="1" t="n">
        <v>46010</v>
      </c>
      <c r="D334" t="inlineStr">
        <is>
          <t>STOCKHOLMS LÄN</t>
        </is>
      </c>
      <c r="E334" t="inlineStr">
        <is>
          <t>NORRTÄLJE</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50355-2024</t>
        </is>
      </c>
      <c r="B335" s="1" t="n">
        <v>45600.86128472222</v>
      </c>
      <c r="C335" s="1" t="n">
        <v>46010</v>
      </c>
      <c r="D335" t="inlineStr">
        <is>
          <t>STOCKHOLMS LÄN</t>
        </is>
      </c>
      <c r="E335" t="inlineStr">
        <is>
          <t>NORRTÄLJE</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22008-2024</t>
        </is>
      </c>
      <c r="B336" s="1" t="n">
        <v>45443</v>
      </c>
      <c r="C336" s="1" t="n">
        <v>46010</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7413-2024</t>
        </is>
      </c>
      <c r="B337" s="1" t="n">
        <v>45345.6059837963</v>
      </c>
      <c r="C337" s="1" t="n">
        <v>46010</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12251-2025</t>
        </is>
      </c>
      <c r="B338" s="1" t="n">
        <v>45729.60859953704</v>
      </c>
      <c r="C338" s="1" t="n">
        <v>46010</v>
      </c>
      <c r="D338" t="inlineStr">
        <is>
          <t>STOCKHOLMS LÄN</t>
        </is>
      </c>
      <c r="E338" t="inlineStr">
        <is>
          <t>NORRTÄLJE</t>
        </is>
      </c>
      <c r="F338" t="inlineStr">
        <is>
          <t>Holmen skog AB</t>
        </is>
      </c>
      <c r="G338" t="n">
        <v>5.9</v>
      </c>
      <c r="H338" t="n">
        <v>0</v>
      </c>
      <c r="I338" t="n">
        <v>0</v>
      </c>
      <c r="J338" t="n">
        <v>0</v>
      </c>
      <c r="K338" t="n">
        <v>0</v>
      </c>
      <c r="L338" t="n">
        <v>0</v>
      </c>
      <c r="M338" t="n">
        <v>0</v>
      </c>
      <c r="N338" t="n">
        <v>0</v>
      </c>
      <c r="O338" t="n">
        <v>0</v>
      </c>
      <c r="P338" t="n">
        <v>0</v>
      </c>
      <c r="Q338" t="n">
        <v>0</v>
      </c>
      <c r="R338" s="2" t="inlineStr"/>
    </row>
    <row r="339" ht="15" customHeight="1">
      <c r="A339" t="inlineStr">
        <is>
          <t>A 11900-2024</t>
        </is>
      </c>
      <c r="B339" s="1" t="n">
        <v>45376.55484953704</v>
      </c>
      <c r="C339" s="1" t="n">
        <v>46010</v>
      </c>
      <c r="D339" t="inlineStr">
        <is>
          <t>STOCKHOLMS LÄN</t>
        </is>
      </c>
      <c r="E339" t="inlineStr">
        <is>
          <t>NORRTÄLJE</t>
        </is>
      </c>
      <c r="G339" t="n">
        <v>4.2</v>
      </c>
      <c r="H339" t="n">
        <v>0</v>
      </c>
      <c r="I339" t="n">
        <v>0</v>
      </c>
      <c r="J339" t="n">
        <v>0</v>
      </c>
      <c r="K339" t="n">
        <v>0</v>
      </c>
      <c r="L339" t="n">
        <v>0</v>
      </c>
      <c r="M339" t="n">
        <v>0</v>
      </c>
      <c r="N339" t="n">
        <v>0</v>
      </c>
      <c r="O339" t="n">
        <v>0</v>
      </c>
      <c r="P339" t="n">
        <v>0</v>
      </c>
      <c r="Q339" t="n">
        <v>0</v>
      </c>
      <c r="R339" s="2" t="inlineStr"/>
    </row>
    <row r="340" ht="15" customHeight="1">
      <c r="A340" t="inlineStr">
        <is>
          <t>A 58863-2024</t>
        </is>
      </c>
      <c r="B340" s="1" t="n">
        <v>45636.41572916666</v>
      </c>
      <c r="C340" s="1" t="n">
        <v>46010</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50154-2024</t>
        </is>
      </c>
      <c r="B341" s="1" t="n">
        <v>45600.4558912037</v>
      </c>
      <c r="C341" s="1" t="n">
        <v>46010</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42867-2022</t>
        </is>
      </c>
      <c r="B342" s="1" t="n">
        <v>44832</v>
      </c>
      <c r="C342" s="1" t="n">
        <v>46010</v>
      </c>
      <c r="D342" t="inlineStr">
        <is>
          <t>STOCKHOLMS LÄN</t>
        </is>
      </c>
      <c r="E342" t="inlineStr">
        <is>
          <t>NORRTÄLJE</t>
        </is>
      </c>
      <c r="G342" t="n">
        <v>6.4</v>
      </c>
      <c r="H342" t="n">
        <v>0</v>
      </c>
      <c r="I342" t="n">
        <v>0</v>
      </c>
      <c r="J342" t="n">
        <v>0</v>
      </c>
      <c r="K342" t="n">
        <v>0</v>
      </c>
      <c r="L342" t="n">
        <v>0</v>
      </c>
      <c r="M342" t="n">
        <v>0</v>
      </c>
      <c r="N342" t="n">
        <v>0</v>
      </c>
      <c r="O342" t="n">
        <v>0</v>
      </c>
      <c r="P342" t="n">
        <v>0</v>
      </c>
      <c r="Q342" t="n">
        <v>0</v>
      </c>
      <c r="R342" s="2" t="inlineStr"/>
    </row>
    <row r="343" ht="15" customHeight="1">
      <c r="A343" t="inlineStr">
        <is>
          <t>A 38720-2025</t>
        </is>
      </c>
      <c r="B343" s="1" t="n">
        <v>45886</v>
      </c>
      <c r="C343" s="1" t="n">
        <v>46010</v>
      </c>
      <c r="D343" t="inlineStr">
        <is>
          <t>STOCKHOLMS LÄN</t>
        </is>
      </c>
      <c r="E343" t="inlineStr">
        <is>
          <t>NORRTÄLJE</t>
        </is>
      </c>
      <c r="G343" t="n">
        <v>1.6</v>
      </c>
      <c r="H343" t="n">
        <v>0</v>
      </c>
      <c r="I343" t="n">
        <v>0</v>
      </c>
      <c r="J343" t="n">
        <v>0</v>
      </c>
      <c r="K343" t="n">
        <v>0</v>
      </c>
      <c r="L343" t="n">
        <v>0</v>
      </c>
      <c r="M343" t="n">
        <v>0</v>
      </c>
      <c r="N343" t="n">
        <v>0</v>
      </c>
      <c r="O343" t="n">
        <v>0</v>
      </c>
      <c r="P343" t="n">
        <v>0</v>
      </c>
      <c r="Q343" t="n">
        <v>0</v>
      </c>
      <c r="R343" s="2" t="inlineStr"/>
    </row>
    <row r="344" ht="15" customHeight="1">
      <c r="A344" t="inlineStr">
        <is>
          <t>A 23749-2024</t>
        </is>
      </c>
      <c r="B344" s="1" t="n">
        <v>45455.33037037037</v>
      </c>
      <c r="C344" s="1" t="n">
        <v>46010</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58277-2023</t>
        </is>
      </c>
      <c r="B345" s="1" t="n">
        <v>45245</v>
      </c>
      <c r="C345" s="1" t="n">
        <v>46010</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32705-2022</t>
        </is>
      </c>
      <c r="B346" s="1" t="n">
        <v>44783</v>
      </c>
      <c r="C346" s="1" t="n">
        <v>46010</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38593-2025</t>
        </is>
      </c>
      <c r="B347" s="1" t="n">
        <v>45884.48696759259</v>
      </c>
      <c r="C347" s="1" t="n">
        <v>46010</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47481-2024</t>
        </is>
      </c>
      <c r="B348" s="1" t="n">
        <v>45587</v>
      </c>
      <c r="C348" s="1" t="n">
        <v>46010</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57037-2022</t>
        </is>
      </c>
      <c r="B349" s="1" t="n">
        <v>44895</v>
      </c>
      <c r="C349" s="1" t="n">
        <v>46010</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11940-2023</t>
        </is>
      </c>
      <c r="B350" s="1" t="n">
        <v>44995</v>
      </c>
      <c r="C350" s="1" t="n">
        <v>46010</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62998-2023</t>
        </is>
      </c>
      <c r="B351" s="1" t="n">
        <v>45272.64479166667</v>
      </c>
      <c r="C351" s="1" t="n">
        <v>46010</v>
      </c>
      <c r="D351" t="inlineStr">
        <is>
          <t>STOCKHOLMS LÄN</t>
        </is>
      </c>
      <c r="E351" t="inlineStr">
        <is>
          <t>NORRTÄLJE</t>
        </is>
      </c>
      <c r="G351" t="n">
        <v>16.3</v>
      </c>
      <c r="H351" t="n">
        <v>0</v>
      </c>
      <c r="I351" t="n">
        <v>0</v>
      </c>
      <c r="J351" t="n">
        <v>0</v>
      </c>
      <c r="K351" t="n">
        <v>0</v>
      </c>
      <c r="L351" t="n">
        <v>0</v>
      </c>
      <c r="M351" t="n">
        <v>0</v>
      </c>
      <c r="N351" t="n">
        <v>0</v>
      </c>
      <c r="O351" t="n">
        <v>0</v>
      </c>
      <c r="P351" t="n">
        <v>0</v>
      </c>
      <c r="Q351" t="n">
        <v>0</v>
      </c>
      <c r="R351" s="2" t="inlineStr"/>
    </row>
    <row r="352" ht="15" customHeight="1">
      <c r="A352" t="inlineStr">
        <is>
          <t>A 63015-2023</t>
        </is>
      </c>
      <c r="B352" s="1" t="n">
        <v>45272</v>
      </c>
      <c r="C352" s="1" t="n">
        <v>46010</v>
      </c>
      <c r="D352" t="inlineStr">
        <is>
          <t>STOCKHOLMS LÄN</t>
        </is>
      </c>
      <c r="E352" t="inlineStr">
        <is>
          <t>NORRTÄLJE</t>
        </is>
      </c>
      <c r="G352" t="n">
        <v>13.1</v>
      </c>
      <c r="H352" t="n">
        <v>0</v>
      </c>
      <c r="I352" t="n">
        <v>0</v>
      </c>
      <c r="J352" t="n">
        <v>0</v>
      </c>
      <c r="K352" t="n">
        <v>0</v>
      </c>
      <c r="L352" t="n">
        <v>0</v>
      </c>
      <c r="M352" t="n">
        <v>0</v>
      </c>
      <c r="N352" t="n">
        <v>0</v>
      </c>
      <c r="O352" t="n">
        <v>0</v>
      </c>
      <c r="P352" t="n">
        <v>0</v>
      </c>
      <c r="Q352" t="n">
        <v>0</v>
      </c>
      <c r="R352" s="2" t="inlineStr"/>
    </row>
    <row r="353" ht="15" customHeight="1">
      <c r="A353" t="inlineStr">
        <is>
          <t>A 2281-2024</t>
        </is>
      </c>
      <c r="B353" s="1" t="n">
        <v>45310.40628472222</v>
      </c>
      <c r="C353" s="1" t="n">
        <v>46010</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27677-2025</t>
        </is>
      </c>
      <c r="B354" s="1" t="n">
        <v>45813.63650462963</v>
      </c>
      <c r="C354" s="1" t="n">
        <v>46010</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60525-2022</t>
        </is>
      </c>
      <c r="B355" s="1" t="n">
        <v>44904</v>
      </c>
      <c r="C355" s="1" t="n">
        <v>46010</v>
      </c>
      <c r="D355" t="inlineStr">
        <is>
          <t>STOCKHOLMS LÄN</t>
        </is>
      </c>
      <c r="E355" t="inlineStr">
        <is>
          <t>NORRTÄLJE</t>
        </is>
      </c>
      <c r="G355" t="n">
        <v>13.4</v>
      </c>
      <c r="H355" t="n">
        <v>0</v>
      </c>
      <c r="I355" t="n">
        <v>0</v>
      </c>
      <c r="J355" t="n">
        <v>0</v>
      </c>
      <c r="K355" t="n">
        <v>0</v>
      </c>
      <c r="L355" t="n">
        <v>0</v>
      </c>
      <c r="M355" t="n">
        <v>0</v>
      </c>
      <c r="N355" t="n">
        <v>0</v>
      </c>
      <c r="O355" t="n">
        <v>0</v>
      </c>
      <c r="P355" t="n">
        <v>0</v>
      </c>
      <c r="Q355" t="n">
        <v>0</v>
      </c>
      <c r="R355" s="2" t="inlineStr"/>
    </row>
    <row r="356" ht="15" customHeight="1">
      <c r="A356" t="inlineStr">
        <is>
          <t>A 39152-2025</t>
        </is>
      </c>
      <c r="B356" s="1" t="n">
        <v>45888</v>
      </c>
      <c r="C356" s="1" t="n">
        <v>46010</v>
      </c>
      <c r="D356" t="inlineStr">
        <is>
          <t>STOCKHOLMS LÄN</t>
        </is>
      </c>
      <c r="E356" t="inlineStr">
        <is>
          <t>NORRTÄLJE</t>
        </is>
      </c>
      <c r="G356" t="n">
        <v>4.6</v>
      </c>
      <c r="H356" t="n">
        <v>0</v>
      </c>
      <c r="I356" t="n">
        <v>0</v>
      </c>
      <c r="J356" t="n">
        <v>0</v>
      </c>
      <c r="K356" t="n">
        <v>0</v>
      </c>
      <c r="L356" t="n">
        <v>0</v>
      </c>
      <c r="M356" t="n">
        <v>0</v>
      </c>
      <c r="N356" t="n">
        <v>0</v>
      </c>
      <c r="O356" t="n">
        <v>0</v>
      </c>
      <c r="P356" t="n">
        <v>0</v>
      </c>
      <c r="Q356" t="n">
        <v>0</v>
      </c>
      <c r="R356" s="2" t="inlineStr"/>
    </row>
    <row r="357" ht="15" customHeight="1">
      <c r="A357" t="inlineStr">
        <is>
          <t>A 7903-2021</t>
        </is>
      </c>
      <c r="B357" s="1" t="n">
        <v>44243.33587962963</v>
      </c>
      <c r="C357" s="1" t="n">
        <v>46010</v>
      </c>
      <c r="D357" t="inlineStr">
        <is>
          <t>STOCKHOLMS LÄN</t>
        </is>
      </c>
      <c r="E357" t="inlineStr">
        <is>
          <t>NORRTÄLJE</t>
        </is>
      </c>
      <c r="G357" t="n">
        <v>3.5</v>
      </c>
      <c r="H357" t="n">
        <v>0</v>
      </c>
      <c r="I357" t="n">
        <v>0</v>
      </c>
      <c r="J357" t="n">
        <v>0</v>
      </c>
      <c r="K357" t="n">
        <v>0</v>
      </c>
      <c r="L357" t="n">
        <v>0</v>
      </c>
      <c r="M357" t="n">
        <v>0</v>
      </c>
      <c r="N357" t="n">
        <v>0</v>
      </c>
      <c r="O357" t="n">
        <v>0</v>
      </c>
      <c r="P357" t="n">
        <v>0</v>
      </c>
      <c r="Q357" t="n">
        <v>0</v>
      </c>
      <c r="R357" s="2" t="inlineStr"/>
    </row>
    <row r="358" ht="15" customHeight="1">
      <c r="A358" t="inlineStr">
        <is>
          <t>A 39149-2025</t>
        </is>
      </c>
      <c r="B358" s="1" t="n">
        <v>45888.60714120371</v>
      </c>
      <c r="C358" s="1" t="n">
        <v>46010</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39213-2022</t>
        </is>
      </c>
      <c r="B359" s="1" t="n">
        <v>44817.56120370371</v>
      </c>
      <c r="C359" s="1" t="n">
        <v>46010</v>
      </c>
      <c r="D359" t="inlineStr">
        <is>
          <t>STOCKHOLMS LÄN</t>
        </is>
      </c>
      <c r="E359" t="inlineStr">
        <is>
          <t>NORRTÄLJE</t>
        </is>
      </c>
      <c r="G359" t="n">
        <v>3.4</v>
      </c>
      <c r="H359" t="n">
        <v>0</v>
      </c>
      <c r="I359" t="n">
        <v>0</v>
      </c>
      <c r="J359" t="n">
        <v>0</v>
      </c>
      <c r="K359" t="n">
        <v>0</v>
      </c>
      <c r="L359" t="n">
        <v>0</v>
      </c>
      <c r="M359" t="n">
        <v>0</v>
      </c>
      <c r="N359" t="n">
        <v>0</v>
      </c>
      <c r="O359" t="n">
        <v>0</v>
      </c>
      <c r="P359" t="n">
        <v>0</v>
      </c>
      <c r="Q359" t="n">
        <v>0</v>
      </c>
      <c r="R359" s="2" t="inlineStr"/>
    </row>
    <row r="360" ht="15" customHeight="1">
      <c r="A360" t="inlineStr">
        <is>
          <t>A 41976-2024</t>
        </is>
      </c>
      <c r="B360" s="1" t="n">
        <v>45561.62141203704</v>
      </c>
      <c r="C360" s="1" t="n">
        <v>46010</v>
      </c>
      <c r="D360" t="inlineStr">
        <is>
          <t>STOCKHOLMS LÄN</t>
        </is>
      </c>
      <c r="E360" t="inlineStr">
        <is>
          <t>NORRTÄLJE</t>
        </is>
      </c>
      <c r="G360" t="n">
        <v>2.5</v>
      </c>
      <c r="H360" t="n">
        <v>0</v>
      </c>
      <c r="I360" t="n">
        <v>0</v>
      </c>
      <c r="J360" t="n">
        <v>0</v>
      </c>
      <c r="K360" t="n">
        <v>0</v>
      </c>
      <c r="L360" t="n">
        <v>0</v>
      </c>
      <c r="M360" t="n">
        <v>0</v>
      </c>
      <c r="N360" t="n">
        <v>0</v>
      </c>
      <c r="O360" t="n">
        <v>0</v>
      </c>
      <c r="P360" t="n">
        <v>0</v>
      </c>
      <c r="Q360" t="n">
        <v>0</v>
      </c>
      <c r="R360" s="2" t="inlineStr"/>
    </row>
    <row r="361" ht="15" customHeight="1">
      <c r="A361" t="inlineStr">
        <is>
          <t>A 27831-2024</t>
        </is>
      </c>
      <c r="B361" s="1" t="n">
        <v>45475.61896990741</v>
      </c>
      <c r="C361" s="1" t="n">
        <v>46010</v>
      </c>
      <c r="D361" t="inlineStr">
        <is>
          <t>STOCKHOLMS LÄN</t>
        </is>
      </c>
      <c r="E361" t="inlineStr">
        <is>
          <t>NORRTÄLJE</t>
        </is>
      </c>
      <c r="G361" t="n">
        <v>3.8</v>
      </c>
      <c r="H361" t="n">
        <v>0</v>
      </c>
      <c r="I361" t="n">
        <v>0</v>
      </c>
      <c r="J361" t="n">
        <v>0</v>
      </c>
      <c r="K361" t="n">
        <v>0</v>
      </c>
      <c r="L361" t="n">
        <v>0</v>
      </c>
      <c r="M361" t="n">
        <v>0</v>
      </c>
      <c r="N361" t="n">
        <v>0</v>
      </c>
      <c r="O361" t="n">
        <v>0</v>
      </c>
      <c r="P361" t="n">
        <v>0</v>
      </c>
      <c r="Q361" t="n">
        <v>0</v>
      </c>
      <c r="R361" s="2" t="inlineStr"/>
    </row>
    <row r="362" ht="15" customHeight="1">
      <c r="A362" t="inlineStr">
        <is>
          <t>A 51325-2023</t>
        </is>
      </c>
      <c r="B362" s="1" t="n">
        <v>45219</v>
      </c>
      <c r="C362" s="1" t="n">
        <v>46010</v>
      </c>
      <c r="D362" t="inlineStr">
        <is>
          <t>STOCKHOLMS LÄN</t>
        </is>
      </c>
      <c r="E362" t="inlineStr">
        <is>
          <t>NORRTÄLJE</t>
        </is>
      </c>
      <c r="G362" t="n">
        <v>2.2</v>
      </c>
      <c r="H362" t="n">
        <v>0</v>
      </c>
      <c r="I362" t="n">
        <v>0</v>
      </c>
      <c r="J362" t="n">
        <v>0</v>
      </c>
      <c r="K362" t="n">
        <v>0</v>
      </c>
      <c r="L362" t="n">
        <v>0</v>
      </c>
      <c r="M362" t="n">
        <v>0</v>
      </c>
      <c r="N362" t="n">
        <v>0</v>
      </c>
      <c r="O362" t="n">
        <v>0</v>
      </c>
      <c r="P362" t="n">
        <v>0</v>
      </c>
      <c r="Q362" t="n">
        <v>0</v>
      </c>
      <c r="R362" s="2" t="inlineStr"/>
    </row>
    <row r="363" ht="15" customHeight="1">
      <c r="A363" t="inlineStr">
        <is>
          <t>A 59534-2024</t>
        </is>
      </c>
      <c r="B363" s="1" t="n">
        <v>45638.5987037037</v>
      </c>
      <c r="C363" s="1" t="n">
        <v>46010</v>
      </c>
      <c r="D363" t="inlineStr">
        <is>
          <t>STOCKHOLMS LÄN</t>
        </is>
      </c>
      <c r="E363" t="inlineStr">
        <is>
          <t>NORRTÄLJE</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31107-2022</t>
        </is>
      </c>
      <c r="B364" s="1" t="n">
        <v>44769.66864583334</v>
      </c>
      <c r="C364" s="1" t="n">
        <v>46010</v>
      </c>
      <c r="D364" t="inlineStr">
        <is>
          <t>STOCKHOLMS LÄN</t>
        </is>
      </c>
      <c r="E364" t="inlineStr">
        <is>
          <t>NORRTÄLJE</t>
        </is>
      </c>
      <c r="G364" t="n">
        <v>3.8</v>
      </c>
      <c r="H364" t="n">
        <v>0</v>
      </c>
      <c r="I364" t="n">
        <v>0</v>
      </c>
      <c r="J364" t="n">
        <v>0</v>
      </c>
      <c r="K364" t="n">
        <v>0</v>
      </c>
      <c r="L364" t="n">
        <v>0</v>
      </c>
      <c r="M364" t="n">
        <v>0</v>
      </c>
      <c r="N364" t="n">
        <v>0</v>
      </c>
      <c r="O364" t="n">
        <v>0</v>
      </c>
      <c r="P364" t="n">
        <v>0</v>
      </c>
      <c r="Q364" t="n">
        <v>0</v>
      </c>
      <c r="R364" s="2" t="inlineStr"/>
    </row>
    <row r="365" ht="15" customHeight="1">
      <c r="A365" t="inlineStr">
        <is>
          <t>A 13860-2023</t>
        </is>
      </c>
      <c r="B365" s="1" t="n">
        <v>45007</v>
      </c>
      <c r="C365" s="1" t="n">
        <v>46010</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6855-2025</t>
        </is>
      </c>
      <c r="B366" s="1" t="n">
        <v>45700</v>
      </c>
      <c r="C366" s="1" t="n">
        <v>46010</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33175-2024</t>
        </is>
      </c>
      <c r="B367" s="1" t="n">
        <v>45518</v>
      </c>
      <c r="C367" s="1" t="n">
        <v>46010</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21803-2022</t>
        </is>
      </c>
      <c r="B368" s="1" t="n">
        <v>44708.67822916667</v>
      </c>
      <c r="C368" s="1" t="n">
        <v>46010</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20730-2024</t>
        </is>
      </c>
      <c r="B369" s="1" t="n">
        <v>45436</v>
      </c>
      <c r="C369" s="1" t="n">
        <v>46010</v>
      </c>
      <c r="D369" t="inlineStr">
        <is>
          <t>STOCKHOLMS LÄN</t>
        </is>
      </c>
      <c r="E369" t="inlineStr">
        <is>
          <t>NORRTÄLJE</t>
        </is>
      </c>
      <c r="G369" t="n">
        <v>7.3</v>
      </c>
      <c r="H369" t="n">
        <v>0</v>
      </c>
      <c r="I369" t="n">
        <v>0</v>
      </c>
      <c r="J369" t="n">
        <v>0</v>
      </c>
      <c r="K369" t="n">
        <v>0</v>
      </c>
      <c r="L369" t="n">
        <v>0</v>
      </c>
      <c r="M369" t="n">
        <v>0</v>
      </c>
      <c r="N369" t="n">
        <v>0</v>
      </c>
      <c r="O369" t="n">
        <v>0</v>
      </c>
      <c r="P369" t="n">
        <v>0</v>
      </c>
      <c r="Q369" t="n">
        <v>0</v>
      </c>
      <c r="R369" s="2" t="inlineStr"/>
    </row>
    <row r="370" ht="15" customHeight="1">
      <c r="A370" t="inlineStr">
        <is>
          <t>A 13314-2025</t>
        </is>
      </c>
      <c r="B370" s="1" t="n">
        <v>45735.59287037037</v>
      </c>
      <c r="C370" s="1" t="n">
        <v>46010</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39692-2025</t>
        </is>
      </c>
      <c r="B371" s="1" t="n">
        <v>45890.68083333333</v>
      </c>
      <c r="C371" s="1" t="n">
        <v>46010</v>
      </c>
      <c r="D371" t="inlineStr">
        <is>
          <t>STOCKHOLMS LÄN</t>
        </is>
      </c>
      <c r="E371" t="inlineStr">
        <is>
          <t>NORRTÄLJE</t>
        </is>
      </c>
      <c r="G371" t="n">
        <v>10.5</v>
      </c>
      <c r="H371" t="n">
        <v>0</v>
      </c>
      <c r="I371" t="n">
        <v>0</v>
      </c>
      <c r="J371" t="n">
        <v>0</v>
      </c>
      <c r="K371" t="n">
        <v>0</v>
      </c>
      <c r="L371" t="n">
        <v>0</v>
      </c>
      <c r="M371" t="n">
        <v>0</v>
      </c>
      <c r="N371" t="n">
        <v>0</v>
      </c>
      <c r="O371" t="n">
        <v>0</v>
      </c>
      <c r="P371" t="n">
        <v>0</v>
      </c>
      <c r="Q371" t="n">
        <v>0</v>
      </c>
      <c r="R371" s="2" t="inlineStr"/>
    </row>
    <row r="372" ht="15" customHeight="1">
      <c r="A372" t="inlineStr">
        <is>
          <t>A 12901-2024</t>
        </is>
      </c>
      <c r="B372" s="1" t="n">
        <v>45385.37922453704</v>
      </c>
      <c r="C372" s="1" t="n">
        <v>46010</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8950-2025</t>
        </is>
      </c>
      <c r="B373" s="1" t="n">
        <v>45713</v>
      </c>
      <c r="C373" s="1" t="n">
        <v>46010</v>
      </c>
      <c r="D373" t="inlineStr">
        <is>
          <t>STOCKHOLMS LÄN</t>
        </is>
      </c>
      <c r="E373" t="inlineStr">
        <is>
          <t>NORRTÄLJE</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34432-2021</t>
        </is>
      </c>
      <c r="B374" s="1" t="n">
        <v>44380.77346064815</v>
      </c>
      <c r="C374" s="1" t="n">
        <v>46010</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12301-2025</t>
        </is>
      </c>
      <c r="B375" s="1" t="n">
        <v>45729.7271875</v>
      </c>
      <c r="C375" s="1" t="n">
        <v>46010</v>
      </c>
      <c r="D375" t="inlineStr">
        <is>
          <t>STOCKHOLMS LÄN</t>
        </is>
      </c>
      <c r="E375" t="inlineStr">
        <is>
          <t>NORRTÄLJE</t>
        </is>
      </c>
      <c r="G375" t="n">
        <v>3.2</v>
      </c>
      <c r="H375" t="n">
        <v>0</v>
      </c>
      <c r="I375" t="n">
        <v>0</v>
      </c>
      <c r="J375" t="n">
        <v>0</v>
      </c>
      <c r="K375" t="n">
        <v>0</v>
      </c>
      <c r="L375" t="n">
        <v>0</v>
      </c>
      <c r="M375" t="n">
        <v>0</v>
      </c>
      <c r="N375" t="n">
        <v>0</v>
      </c>
      <c r="O375" t="n">
        <v>0</v>
      </c>
      <c r="P375" t="n">
        <v>0</v>
      </c>
      <c r="Q375" t="n">
        <v>0</v>
      </c>
      <c r="R375" s="2" t="inlineStr"/>
    </row>
    <row r="376" ht="15" customHeight="1">
      <c r="A376" t="inlineStr">
        <is>
          <t>A 24351-2025</t>
        </is>
      </c>
      <c r="B376" s="1" t="n">
        <v>45797.58399305555</v>
      </c>
      <c r="C376" s="1" t="n">
        <v>46010</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13283-2025</t>
        </is>
      </c>
      <c r="B377" s="1" t="n">
        <v>45735</v>
      </c>
      <c r="C377" s="1" t="n">
        <v>46010</v>
      </c>
      <c r="D377" t="inlineStr">
        <is>
          <t>STOCKHOLMS LÄN</t>
        </is>
      </c>
      <c r="E377" t="inlineStr">
        <is>
          <t>NORRTÄLJE</t>
        </is>
      </c>
      <c r="G377" t="n">
        <v>4.9</v>
      </c>
      <c r="H377" t="n">
        <v>0</v>
      </c>
      <c r="I377" t="n">
        <v>0</v>
      </c>
      <c r="J377" t="n">
        <v>0</v>
      </c>
      <c r="K377" t="n">
        <v>0</v>
      </c>
      <c r="L377" t="n">
        <v>0</v>
      </c>
      <c r="M377" t="n">
        <v>0</v>
      </c>
      <c r="N377" t="n">
        <v>0</v>
      </c>
      <c r="O377" t="n">
        <v>0</v>
      </c>
      <c r="P377" t="n">
        <v>0</v>
      </c>
      <c r="Q377" t="n">
        <v>0</v>
      </c>
      <c r="R377" s="2" t="inlineStr"/>
    </row>
    <row r="378" ht="15" customHeight="1">
      <c r="A378" t="inlineStr">
        <is>
          <t>A 35639-2025</t>
        </is>
      </c>
      <c r="B378" s="1" t="n">
        <v>45859</v>
      </c>
      <c r="C378" s="1" t="n">
        <v>46010</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24687-2025</t>
        </is>
      </c>
      <c r="B379" s="1" t="n">
        <v>45798.66767361111</v>
      </c>
      <c r="C379" s="1" t="n">
        <v>46010</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24638-2025</t>
        </is>
      </c>
      <c r="B380" s="1" t="n">
        <v>45798</v>
      </c>
      <c r="C380" s="1" t="n">
        <v>46010</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23149-2024</t>
        </is>
      </c>
      <c r="B381" s="1" t="n">
        <v>45450.64208333333</v>
      </c>
      <c r="C381" s="1" t="n">
        <v>46010</v>
      </c>
      <c r="D381" t="inlineStr">
        <is>
          <t>STOCKHOLMS LÄN</t>
        </is>
      </c>
      <c r="E381" t="inlineStr">
        <is>
          <t>NORRTÄLJE</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23151-2024</t>
        </is>
      </c>
      <c r="B382" s="1" t="n">
        <v>45450</v>
      </c>
      <c r="C382" s="1" t="n">
        <v>46010</v>
      </c>
      <c r="D382" t="inlineStr">
        <is>
          <t>STOCKHOLMS LÄN</t>
        </is>
      </c>
      <c r="E382" t="inlineStr">
        <is>
          <t>NORRTÄLJE</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35636-2025</t>
        </is>
      </c>
      <c r="B383" s="1" t="n">
        <v>45859</v>
      </c>
      <c r="C383" s="1" t="n">
        <v>46010</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52001-2023</t>
        </is>
      </c>
      <c r="B384" s="1" t="n">
        <v>45223</v>
      </c>
      <c r="C384" s="1" t="n">
        <v>46010</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28603-2024</t>
        </is>
      </c>
      <c r="B385" s="1" t="n">
        <v>45478.42887731481</v>
      </c>
      <c r="C385" s="1" t="n">
        <v>46010</v>
      </c>
      <c r="D385" t="inlineStr">
        <is>
          <t>STOCKHOLMS LÄN</t>
        </is>
      </c>
      <c r="E385" t="inlineStr">
        <is>
          <t>NORRTÄLJE</t>
        </is>
      </c>
      <c r="G385" t="n">
        <v>5.6</v>
      </c>
      <c r="H385" t="n">
        <v>0</v>
      </c>
      <c r="I385" t="n">
        <v>0</v>
      </c>
      <c r="J385" t="n">
        <v>0</v>
      </c>
      <c r="K385" t="n">
        <v>0</v>
      </c>
      <c r="L385" t="n">
        <v>0</v>
      </c>
      <c r="M385" t="n">
        <v>0</v>
      </c>
      <c r="N385" t="n">
        <v>0</v>
      </c>
      <c r="O385" t="n">
        <v>0</v>
      </c>
      <c r="P385" t="n">
        <v>0</v>
      </c>
      <c r="Q385" t="n">
        <v>0</v>
      </c>
      <c r="R385" s="2" t="inlineStr"/>
    </row>
    <row r="386" ht="15" customHeight="1">
      <c r="A386" t="inlineStr">
        <is>
          <t>A 60185-2024</t>
        </is>
      </c>
      <c r="B386" s="1" t="n">
        <v>45642.64634259259</v>
      </c>
      <c r="C386" s="1" t="n">
        <v>46010</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48686-2023</t>
        </is>
      </c>
      <c r="B387" s="1" t="n">
        <v>45208</v>
      </c>
      <c r="C387" s="1" t="n">
        <v>46010</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48691-2023</t>
        </is>
      </c>
      <c r="B388" s="1" t="n">
        <v>45208</v>
      </c>
      <c r="C388" s="1" t="n">
        <v>46010</v>
      </c>
      <c r="D388" t="inlineStr">
        <is>
          <t>STOCKHOLMS LÄN</t>
        </is>
      </c>
      <c r="E388" t="inlineStr">
        <is>
          <t>NORRTÄLJE</t>
        </is>
      </c>
      <c r="G388" t="n">
        <v>5.8</v>
      </c>
      <c r="H388" t="n">
        <v>0</v>
      </c>
      <c r="I388" t="n">
        <v>0</v>
      </c>
      <c r="J388" t="n">
        <v>0</v>
      </c>
      <c r="K388" t="n">
        <v>0</v>
      </c>
      <c r="L388" t="n">
        <v>0</v>
      </c>
      <c r="M388" t="n">
        <v>0</v>
      </c>
      <c r="N388" t="n">
        <v>0</v>
      </c>
      <c r="O388" t="n">
        <v>0</v>
      </c>
      <c r="P388" t="n">
        <v>0</v>
      </c>
      <c r="Q388" t="n">
        <v>0</v>
      </c>
      <c r="R388" s="2" t="inlineStr"/>
    </row>
    <row r="389" ht="15" customHeight="1">
      <c r="A389" t="inlineStr">
        <is>
          <t>A 40172-2025</t>
        </is>
      </c>
      <c r="B389" s="1" t="n">
        <v>45894.6353125</v>
      </c>
      <c r="C389" s="1" t="n">
        <v>46010</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40033-2025</t>
        </is>
      </c>
      <c r="B390" s="1" t="n">
        <v>45893</v>
      </c>
      <c r="C390" s="1" t="n">
        <v>46010</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24690-2025</t>
        </is>
      </c>
      <c r="B391" s="1" t="n">
        <v>45798.67082175926</v>
      </c>
      <c r="C391" s="1" t="n">
        <v>46010</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40032-2025</t>
        </is>
      </c>
      <c r="B392" s="1" t="n">
        <v>45893</v>
      </c>
      <c r="C392" s="1" t="n">
        <v>46010</v>
      </c>
      <c r="D392" t="inlineStr">
        <is>
          <t>STOCKHOLMS LÄN</t>
        </is>
      </c>
      <c r="E392" t="inlineStr">
        <is>
          <t>NORRTÄLJE</t>
        </is>
      </c>
      <c r="G392" t="n">
        <v>2.6</v>
      </c>
      <c r="H392" t="n">
        <v>0</v>
      </c>
      <c r="I392" t="n">
        <v>0</v>
      </c>
      <c r="J392" t="n">
        <v>0</v>
      </c>
      <c r="K392" t="n">
        <v>0</v>
      </c>
      <c r="L392" t="n">
        <v>0</v>
      </c>
      <c r="M392" t="n">
        <v>0</v>
      </c>
      <c r="N392" t="n">
        <v>0</v>
      </c>
      <c r="O392" t="n">
        <v>0</v>
      </c>
      <c r="P392" t="n">
        <v>0</v>
      </c>
      <c r="Q392" t="n">
        <v>0</v>
      </c>
      <c r="R392" s="2" t="inlineStr"/>
    </row>
    <row r="393" ht="15" customHeight="1">
      <c r="A393" t="inlineStr">
        <is>
          <t>A 21726-2022</t>
        </is>
      </c>
      <c r="B393" s="1" t="n">
        <v>44708</v>
      </c>
      <c r="C393" s="1" t="n">
        <v>46010</v>
      </c>
      <c r="D393" t="inlineStr">
        <is>
          <t>STOCKHOLMS LÄN</t>
        </is>
      </c>
      <c r="E393" t="inlineStr">
        <is>
          <t>NORRTÄLJE</t>
        </is>
      </c>
      <c r="G393" t="n">
        <v>0.2</v>
      </c>
      <c r="H393" t="n">
        <v>0</v>
      </c>
      <c r="I393" t="n">
        <v>0</v>
      </c>
      <c r="J393" t="n">
        <v>0</v>
      </c>
      <c r="K393" t="n">
        <v>0</v>
      </c>
      <c r="L393" t="n">
        <v>0</v>
      </c>
      <c r="M393" t="n">
        <v>0</v>
      </c>
      <c r="N393" t="n">
        <v>0</v>
      </c>
      <c r="O393" t="n">
        <v>0</v>
      </c>
      <c r="P393" t="n">
        <v>0</v>
      </c>
      <c r="Q393" t="n">
        <v>0</v>
      </c>
      <c r="R393" s="2" t="inlineStr"/>
    </row>
    <row r="394" ht="15" customHeight="1">
      <c r="A394" t="inlineStr">
        <is>
          <t>A 21739-2022</t>
        </is>
      </c>
      <c r="B394" s="1" t="n">
        <v>44708.36708333333</v>
      </c>
      <c r="C394" s="1" t="n">
        <v>46010</v>
      </c>
      <c r="D394" t="inlineStr">
        <is>
          <t>STOCKHOLMS LÄN</t>
        </is>
      </c>
      <c r="E394" t="inlineStr">
        <is>
          <t>NORRTÄLJE</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35210-2023</t>
        </is>
      </c>
      <c r="B395" s="1" t="n">
        <v>45145.63584490741</v>
      </c>
      <c r="C395" s="1" t="n">
        <v>46010</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47259-2024</t>
        </is>
      </c>
      <c r="B396" s="1" t="n">
        <v>45586</v>
      </c>
      <c r="C396" s="1" t="n">
        <v>46010</v>
      </c>
      <c r="D396" t="inlineStr">
        <is>
          <t>STOCKHOLMS LÄN</t>
        </is>
      </c>
      <c r="E396" t="inlineStr">
        <is>
          <t>NORRTÄLJE</t>
        </is>
      </c>
      <c r="G396" t="n">
        <v>1.8</v>
      </c>
      <c r="H396" t="n">
        <v>0</v>
      </c>
      <c r="I396" t="n">
        <v>0</v>
      </c>
      <c r="J396" t="n">
        <v>0</v>
      </c>
      <c r="K396" t="n">
        <v>0</v>
      </c>
      <c r="L396" t="n">
        <v>0</v>
      </c>
      <c r="M396" t="n">
        <v>0</v>
      </c>
      <c r="N396" t="n">
        <v>0</v>
      </c>
      <c r="O396" t="n">
        <v>0</v>
      </c>
      <c r="P396" t="n">
        <v>0</v>
      </c>
      <c r="Q396" t="n">
        <v>0</v>
      </c>
      <c r="R396" s="2" t="inlineStr"/>
    </row>
    <row r="397" ht="15" customHeight="1">
      <c r="A397" t="inlineStr">
        <is>
          <t>A 40292-2025</t>
        </is>
      </c>
      <c r="B397" s="1" t="n">
        <v>45895.3867824074</v>
      </c>
      <c r="C397" s="1" t="n">
        <v>46010</v>
      </c>
      <c r="D397" t="inlineStr">
        <is>
          <t>STOCKHOLMS LÄN</t>
        </is>
      </c>
      <c r="E397" t="inlineStr">
        <is>
          <t>NORRTÄLJE</t>
        </is>
      </c>
      <c r="G397" t="n">
        <v>3.5</v>
      </c>
      <c r="H397" t="n">
        <v>0</v>
      </c>
      <c r="I397" t="n">
        <v>0</v>
      </c>
      <c r="J397" t="n">
        <v>0</v>
      </c>
      <c r="K397" t="n">
        <v>0</v>
      </c>
      <c r="L397" t="n">
        <v>0</v>
      </c>
      <c r="M397" t="n">
        <v>0</v>
      </c>
      <c r="N397" t="n">
        <v>0</v>
      </c>
      <c r="O397" t="n">
        <v>0</v>
      </c>
      <c r="P397" t="n">
        <v>0</v>
      </c>
      <c r="Q397" t="n">
        <v>0</v>
      </c>
      <c r="R397" s="2" t="inlineStr"/>
    </row>
    <row r="398" ht="15" customHeight="1">
      <c r="A398" t="inlineStr">
        <is>
          <t>A 40294-2025</t>
        </is>
      </c>
      <c r="B398" s="1" t="n">
        <v>45895.38778935185</v>
      </c>
      <c r="C398" s="1" t="n">
        <v>46010</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25702-2025</t>
        </is>
      </c>
      <c r="B399" s="1" t="n">
        <v>45800</v>
      </c>
      <c r="C399" s="1" t="n">
        <v>46010</v>
      </c>
      <c r="D399" t="inlineStr">
        <is>
          <t>STOCKHOLMS LÄN</t>
        </is>
      </c>
      <c r="E399" t="inlineStr">
        <is>
          <t>NORRTÄLJE</t>
        </is>
      </c>
      <c r="G399" t="n">
        <v>5.3</v>
      </c>
      <c r="H399" t="n">
        <v>0</v>
      </c>
      <c r="I399" t="n">
        <v>0</v>
      </c>
      <c r="J399" t="n">
        <v>0</v>
      </c>
      <c r="K399" t="n">
        <v>0</v>
      </c>
      <c r="L399" t="n">
        <v>0</v>
      </c>
      <c r="M399" t="n">
        <v>0</v>
      </c>
      <c r="N399" t="n">
        <v>0</v>
      </c>
      <c r="O399" t="n">
        <v>0</v>
      </c>
      <c r="P399" t="n">
        <v>0</v>
      </c>
      <c r="Q399" t="n">
        <v>0</v>
      </c>
      <c r="R399" s="2" t="inlineStr"/>
    </row>
    <row r="400" ht="15" customHeight="1">
      <c r="A400" t="inlineStr">
        <is>
          <t>A 59767-2022</t>
        </is>
      </c>
      <c r="B400" s="1" t="n">
        <v>44900</v>
      </c>
      <c r="C400" s="1" t="n">
        <v>46010</v>
      </c>
      <c r="D400" t="inlineStr">
        <is>
          <t>STOCKHOLMS LÄN</t>
        </is>
      </c>
      <c r="E400" t="inlineStr">
        <is>
          <t>NORRTÄLJE</t>
        </is>
      </c>
      <c r="G400" t="n">
        <v>2.2</v>
      </c>
      <c r="H400" t="n">
        <v>0</v>
      </c>
      <c r="I400" t="n">
        <v>0</v>
      </c>
      <c r="J400" t="n">
        <v>0</v>
      </c>
      <c r="K400" t="n">
        <v>0</v>
      </c>
      <c r="L400" t="n">
        <v>0</v>
      </c>
      <c r="M400" t="n">
        <v>0</v>
      </c>
      <c r="N400" t="n">
        <v>0</v>
      </c>
      <c r="O400" t="n">
        <v>0</v>
      </c>
      <c r="P400" t="n">
        <v>0</v>
      </c>
      <c r="Q400" t="n">
        <v>0</v>
      </c>
      <c r="R400" s="2" t="inlineStr"/>
    </row>
    <row r="401" ht="15" customHeight="1">
      <c r="A401" t="inlineStr">
        <is>
          <t>A 5823-2023</t>
        </is>
      </c>
      <c r="B401" s="1" t="n">
        <v>44963</v>
      </c>
      <c r="C401" s="1" t="n">
        <v>46010</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40228-2025</t>
        </is>
      </c>
      <c r="B402" s="1" t="n">
        <v>45894.70854166667</v>
      </c>
      <c r="C402" s="1" t="n">
        <v>46010</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25712-2025</t>
        </is>
      </c>
      <c r="B403" s="1" t="n">
        <v>45803.69228009259</v>
      </c>
      <c r="C403" s="1" t="n">
        <v>46010</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25725-2025</t>
        </is>
      </c>
      <c r="B404" s="1" t="n">
        <v>45800</v>
      </c>
      <c r="C404" s="1" t="n">
        <v>46010</v>
      </c>
      <c r="D404" t="inlineStr">
        <is>
          <t>STOCKHOLMS LÄN</t>
        </is>
      </c>
      <c r="E404" t="inlineStr">
        <is>
          <t>NORRTÄLJE</t>
        </is>
      </c>
      <c r="G404" t="n">
        <v>5.2</v>
      </c>
      <c r="H404" t="n">
        <v>0</v>
      </c>
      <c r="I404" t="n">
        <v>0</v>
      </c>
      <c r="J404" t="n">
        <v>0</v>
      </c>
      <c r="K404" t="n">
        <v>0</v>
      </c>
      <c r="L404" t="n">
        <v>0</v>
      </c>
      <c r="M404" t="n">
        <v>0</v>
      </c>
      <c r="N404" t="n">
        <v>0</v>
      </c>
      <c r="O404" t="n">
        <v>0</v>
      </c>
      <c r="P404" t="n">
        <v>0</v>
      </c>
      <c r="Q404" t="n">
        <v>0</v>
      </c>
      <c r="R404" s="2" t="inlineStr"/>
    </row>
    <row r="405" ht="15" customHeight="1">
      <c r="A405" t="inlineStr">
        <is>
          <t>A 19915-2024</t>
        </is>
      </c>
      <c r="B405" s="1" t="n">
        <v>45433.58431712963</v>
      </c>
      <c r="C405" s="1" t="n">
        <v>46010</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15217-2023</t>
        </is>
      </c>
      <c r="B406" s="1" t="n">
        <v>45019.28847222222</v>
      </c>
      <c r="C406" s="1" t="n">
        <v>46010</v>
      </c>
      <c r="D406" t="inlineStr">
        <is>
          <t>STOCKHOLMS LÄN</t>
        </is>
      </c>
      <c r="E406" t="inlineStr">
        <is>
          <t>NORRTÄLJE</t>
        </is>
      </c>
      <c r="G406" t="n">
        <v>3.6</v>
      </c>
      <c r="H406" t="n">
        <v>0</v>
      </c>
      <c r="I406" t="n">
        <v>0</v>
      </c>
      <c r="J406" t="n">
        <v>0</v>
      </c>
      <c r="K406" t="n">
        <v>0</v>
      </c>
      <c r="L406" t="n">
        <v>0</v>
      </c>
      <c r="M406" t="n">
        <v>0</v>
      </c>
      <c r="N406" t="n">
        <v>0</v>
      </c>
      <c r="O406" t="n">
        <v>0</v>
      </c>
      <c r="P406" t="n">
        <v>0</v>
      </c>
      <c r="Q406" t="n">
        <v>0</v>
      </c>
      <c r="R406" s="2" t="inlineStr"/>
    </row>
    <row r="407" ht="15" customHeight="1">
      <c r="A407" t="inlineStr">
        <is>
          <t>A 25733-2025</t>
        </is>
      </c>
      <c r="B407" s="1" t="n">
        <v>45800</v>
      </c>
      <c r="C407" s="1" t="n">
        <v>46010</v>
      </c>
      <c r="D407" t="inlineStr">
        <is>
          <t>STOCKHOLMS LÄN</t>
        </is>
      </c>
      <c r="E407" t="inlineStr">
        <is>
          <t>NORRTÄLJE</t>
        </is>
      </c>
      <c r="G407" t="n">
        <v>2.2</v>
      </c>
      <c r="H407" t="n">
        <v>0</v>
      </c>
      <c r="I407" t="n">
        <v>0</v>
      </c>
      <c r="J407" t="n">
        <v>0</v>
      </c>
      <c r="K407" t="n">
        <v>0</v>
      </c>
      <c r="L407" t="n">
        <v>0</v>
      </c>
      <c r="M407" t="n">
        <v>0</v>
      </c>
      <c r="N407" t="n">
        <v>0</v>
      </c>
      <c r="O407" t="n">
        <v>0</v>
      </c>
      <c r="P407" t="n">
        <v>0</v>
      </c>
      <c r="Q407" t="n">
        <v>0</v>
      </c>
      <c r="R407" s="2" t="inlineStr"/>
    </row>
    <row r="408" ht="15" customHeight="1">
      <c r="A408" t="inlineStr">
        <is>
          <t>A 39238-2024</t>
        </is>
      </c>
      <c r="B408" s="1" t="n">
        <v>45549</v>
      </c>
      <c r="C408" s="1" t="n">
        <v>46010</v>
      </c>
      <c r="D408" t="inlineStr">
        <is>
          <t>STOCKHOLMS LÄN</t>
        </is>
      </c>
      <c r="E408" t="inlineStr">
        <is>
          <t>NORRTÄLJE</t>
        </is>
      </c>
      <c r="G408" t="n">
        <v>3.6</v>
      </c>
      <c r="H408" t="n">
        <v>0</v>
      </c>
      <c r="I408" t="n">
        <v>0</v>
      </c>
      <c r="J408" t="n">
        <v>0</v>
      </c>
      <c r="K408" t="n">
        <v>0</v>
      </c>
      <c r="L408" t="n">
        <v>0</v>
      </c>
      <c r="M408" t="n">
        <v>0</v>
      </c>
      <c r="N408" t="n">
        <v>0</v>
      </c>
      <c r="O408" t="n">
        <v>0</v>
      </c>
      <c r="P408" t="n">
        <v>0</v>
      </c>
      <c r="Q408" t="n">
        <v>0</v>
      </c>
      <c r="R408" s="2" t="inlineStr"/>
    </row>
    <row r="409" ht="15" customHeight="1">
      <c r="A409" t="inlineStr">
        <is>
          <t>A 50143-2023</t>
        </is>
      </c>
      <c r="B409" s="1" t="n">
        <v>45215</v>
      </c>
      <c r="C409" s="1" t="n">
        <v>46010</v>
      </c>
      <c r="D409" t="inlineStr">
        <is>
          <t>STOCKHOLMS LÄN</t>
        </is>
      </c>
      <c r="E409" t="inlineStr">
        <is>
          <t>NORRTÄLJE</t>
        </is>
      </c>
      <c r="G409" t="n">
        <v>10.3</v>
      </c>
      <c r="H409" t="n">
        <v>0</v>
      </c>
      <c r="I409" t="n">
        <v>0</v>
      </c>
      <c r="J409" t="n">
        <v>0</v>
      </c>
      <c r="K409" t="n">
        <v>0</v>
      </c>
      <c r="L409" t="n">
        <v>0</v>
      </c>
      <c r="M409" t="n">
        <v>0</v>
      </c>
      <c r="N409" t="n">
        <v>0</v>
      </c>
      <c r="O409" t="n">
        <v>0</v>
      </c>
      <c r="P409" t="n">
        <v>0</v>
      </c>
      <c r="Q409" t="n">
        <v>0</v>
      </c>
      <c r="R409" s="2" t="inlineStr"/>
    </row>
    <row r="410" ht="15" customHeight="1">
      <c r="A410" t="inlineStr">
        <is>
          <t>A 25571-2025</t>
        </is>
      </c>
      <c r="B410" s="1" t="n">
        <v>45803.4675</v>
      </c>
      <c r="C410" s="1" t="n">
        <v>46010</v>
      </c>
      <c r="D410" t="inlineStr">
        <is>
          <t>STOCKHOLMS LÄN</t>
        </is>
      </c>
      <c r="E410" t="inlineStr">
        <is>
          <t>NORRTÄLJE</t>
        </is>
      </c>
      <c r="G410" t="n">
        <v>5.4</v>
      </c>
      <c r="H410" t="n">
        <v>0</v>
      </c>
      <c r="I410" t="n">
        <v>0</v>
      </c>
      <c r="J410" t="n">
        <v>0</v>
      </c>
      <c r="K410" t="n">
        <v>0</v>
      </c>
      <c r="L410" t="n">
        <v>0</v>
      </c>
      <c r="M410" t="n">
        <v>0</v>
      </c>
      <c r="N410" t="n">
        <v>0</v>
      </c>
      <c r="O410" t="n">
        <v>0</v>
      </c>
      <c r="P410" t="n">
        <v>0</v>
      </c>
      <c r="Q410" t="n">
        <v>0</v>
      </c>
      <c r="R410" s="2" t="inlineStr"/>
    </row>
    <row r="411" ht="15" customHeight="1">
      <c r="A411" t="inlineStr">
        <is>
          <t>A 29176-2024</t>
        </is>
      </c>
      <c r="B411" s="1" t="n">
        <v>45482.53388888889</v>
      </c>
      <c r="C411" s="1" t="n">
        <v>46010</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25721-2025</t>
        </is>
      </c>
      <c r="B412" s="1" t="n">
        <v>45800</v>
      </c>
      <c r="C412" s="1" t="n">
        <v>46010</v>
      </c>
      <c r="D412" t="inlineStr">
        <is>
          <t>STOCKHOLMS LÄN</t>
        </is>
      </c>
      <c r="E412" t="inlineStr">
        <is>
          <t>NORRTÄLJE</t>
        </is>
      </c>
      <c r="G412" t="n">
        <v>6</v>
      </c>
      <c r="H412" t="n">
        <v>0</v>
      </c>
      <c r="I412" t="n">
        <v>0</v>
      </c>
      <c r="J412" t="n">
        <v>0</v>
      </c>
      <c r="K412" t="n">
        <v>0</v>
      </c>
      <c r="L412" t="n">
        <v>0</v>
      </c>
      <c r="M412" t="n">
        <v>0</v>
      </c>
      <c r="N412" t="n">
        <v>0</v>
      </c>
      <c r="O412" t="n">
        <v>0</v>
      </c>
      <c r="P412" t="n">
        <v>0</v>
      </c>
      <c r="Q412" t="n">
        <v>0</v>
      </c>
      <c r="R412" s="2" t="inlineStr"/>
    </row>
    <row r="413" ht="15" customHeight="1">
      <c r="A413" t="inlineStr">
        <is>
          <t>A 36430-2024</t>
        </is>
      </c>
      <c r="B413" s="1" t="n">
        <v>45536</v>
      </c>
      <c r="C413" s="1" t="n">
        <v>46010</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25697-2025</t>
        </is>
      </c>
      <c r="B414" s="1" t="n">
        <v>45803.66587962963</v>
      </c>
      <c r="C414" s="1" t="n">
        <v>46010</v>
      </c>
      <c r="D414" t="inlineStr">
        <is>
          <t>STOCKHOLMS LÄN</t>
        </is>
      </c>
      <c r="E414" t="inlineStr">
        <is>
          <t>NORRTÄLJE</t>
        </is>
      </c>
      <c r="G414" t="n">
        <v>2.5</v>
      </c>
      <c r="H414" t="n">
        <v>0</v>
      </c>
      <c r="I414" t="n">
        <v>0</v>
      </c>
      <c r="J414" t="n">
        <v>0</v>
      </c>
      <c r="K414" t="n">
        <v>0</v>
      </c>
      <c r="L414" t="n">
        <v>0</v>
      </c>
      <c r="M414" t="n">
        <v>0</v>
      </c>
      <c r="N414" t="n">
        <v>0</v>
      </c>
      <c r="O414" t="n">
        <v>0</v>
      </c>
      <c r="P414" t="n">
        <v>0</v>
      </c>
      <c r="Q414" t="n">
        <v>0</v>
      </c>
      <c r="R414" s="2" t="inlineStr"/>
    </row>
    <row r="415" ht="15" customHeight="1">
      <c r="A415" t="inlineStr">
        <is>
          <t>A 51312-2023</t>
        </is>
      </c>
      <c r="B415" s="1" t="n">
        <v>45219.56697916667</v>
      </c>
      <c r="C415" s="1" t="n">
        <v>46010</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41218-2024</t>
        </is>
      </c>
      <c r="B416" s="1" t="n">
        <v>45559.54706018518</v>
      </c>
      <c r="C416" s="1" t="n">
        <v>46010</v>
      </c>
      <c r="D416" t="inlineStr">
        <is>
          <t>STOCKHOLMS LÄN</t>
        </is>
      </c>
      <c r="E416" t="inlineStr">
        <is>
          <t>NORRTÄLJE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35640-2024</t>
        </is>
      </c>
      <c r="B417" s="1" t="n">
        <v>45531</v>
      </c>
      <c r="C417" s="1" t="n">
        <v>46010</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40230-2025</t>
        </is>
      </c>
      <c r="B418" s="1" t="n">
        <v>45894.71101851852</v>
      </c>
      <c r="C418" s="1" t="n">
        <v>46010</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25709-2025</t>
        </is>
      </c>
      <c r="B419" s="1" t="n">
        <v>45800</v>
      </c>
      <c r="C419" s="1" t="n">
        <v>46010</v>
      </c>
      <c r="D419" t="inlineStr">
        <is>
          <t>STOCKHOLMS LÄN</t>
        </is>
      </c>
      <c r="E419" t="inlineStr">
        <is>
          <t>NORRTÄLJE</t>
        </is>
      </c>
      <c r="G419" t="n">
        <v>4.6</v>
      </c>
      <c r="H419" t="n">
        <v>0</v>
      </c>
      <c r="I419" t="n">
        <v>0</v>
      </c>
      <c r="J419" t="n">
        <v>0</v>
      </c>
      <c r="K419" t="n">
        <v>0</v>
      </c>
      <c r="L419" t="n">
        <v>0</v>
      </c>
      <c r="M419" t="n">
        <v>0</v>
      </c>
      <c r="N419" t="n">
        <v>0</v>
      </c>
      <c r="O419" t="n">
        <v>0</v>
      </c>
      <c r="P419" t="n">
        <v>0</v>
      </c>
      <c r="Q419" t="n">
        <v>0</v>
      </c>
      <c r="R419" s="2" t="inlineStr"/>
    </row>
    <row r="420" ht="15" customHeight="1">
      <c r="A420" t="inlineStr">
        <is>
          <t>A 40217-2025</t>
        </is>
      </c>
      <c r="B420" s="1" t="n">
        <v>45894.68864583333</v>
      </c>
      <c r="C420" s="1" t="n">
        <v>46010</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43212-2022</t>
        </is>
      </c>
      <c r="B421" s="1" t="n">
        <v>44834.38636574074</v>
      </c>
      <c r="C421" s="1" t="n">
        <v>46010</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51653-2022</t>
        </is>
      </c>
      <c r="B422" s="1" t="n">
        <v>44867</v>
      </c>
      <c r="C422" s="1" t="n">
        <v>46010</v>
      </c>
      <c r="D422" t="inlineStr">
        <is>
          <t>STOCKHOLMS LÄN</t>
        </is>
      </c>
      <c r="E422" t="inlineStr">
        <is>
          <t>NORRTÄLJE</t>
        </is>
      </c>
      <c r="G422" t="n">
        <v>6.6</v>
      </c>
      <c r="H422" t="n">
        <v>0</v>
      </c>
      <c r="I422" t="n">
        <v>0</v>
      </c>
      <c r="J422" t="n">
        <v>0</v>
      </c>
      <c r="K422" t="n">
        <v>0</v>
      </c>
      <c r="L422" t="n">
        <v>0</v>
      </c>
      <c r="M422" t="n">
        <v>0</v>
      </c>
      <c r="N422" t="n">
        <v>0</v>
      </c>
      <c r="O422" t="n">
        <v>0</v>
      </c>
      <c r="P422" t="n">
        <v>0</v>
      </c>
      <c r="Q422" t="n">
        <v>0</v>
      </c>
      <c r="R422" s="2" t="inlineStr"/>
    </row>
    <row r="423" ht="15" customHeight="1">
      <c r="A423" t="inlineStr">
        <is>
          <t>A 38449-2022</t>
        </is>
      </c>
      <c r="B423" s="1" t="n">
        <v>44813</v>
      </c>
      <c r="C423" s="1" t="n">
        <v>46010</v>
      </c>
      <c r="D423" t="inlineStr">
        <is>
          <t>STOCKHOLMS LÄN</t>
        </is>
      </c>
      <c r="E423" t="inlineStr">
        <is>
          <t>NORRTÄLJE</t>
        </is>
      </c>
      <c r="G423" t="n">
        <v>4.2</v>
      </c>
      <c r="H423" t="n">
        <v>0</v>
      </c>
      <c r="I423" t="n">
        <v>0</v>
      </c>
      <c r="J423" t="n">
        <v>0</v>
      </c>
      <c r="K423" t="n">
        <v>0</v>
      </c>
      <c r="L423" t="n">
        <v>0</v>
      </c>
      <c r="M423" t="n">
        <v>0</v>
      </c>
      <c r="N423" t="n">
        <v>0</v>
      </c>
      <c r="O423" t="n">
        <v>0</v>
      </c>
      <c r="P423" t="n">
        <v>0</v>
      </c>
      <c r="Q423" t="n">
        <v>0</v>
      </c>
      <c r="R423" s="2" t="inlineStr"/>
    </row>
    <row r="424" ht="15" customHeight="1">
      <c r="A424" t="inlineStr">
        <is>
          <t>A 40097-2025</t>
        </is>
      </c>
      <c r="B424" s="1" t="n">
        <v>45894.48322916667</v>
      </c>
      <c r="C424" s="1" t="n">
        <v>46010</v>
      </c>
      <c r="D424" t="inlineStr">
        <is>
          <t>STOCKHOLMS LÄN</t>
        </is>
      </c>
      <c r="E424" t="inlineStr">
        <is>
          <t>NORRTÄLJE</t>
        </is>
      </c>
      <c r="G424" t="n">
        <v>3</v>
      </c>
      <c r="H424" t="n">
        <v>0</v>
      </c>
      <c r="I424" t="n">
        <v>0</v>
      </c>
      <c r="J424" t="n">
        <v>0</v>
      </c>
      <c r="K424" t="n">
        <v>0</v>
      </c>
      <c r="L424" t="n">
        <v>0</v>
      </c>
      <c r="M424" t="n">
        <v>0</v>
      </c>
      <c r="N424" t="n">
        <v>0</v>
      </c>
      <c r="O424" t="n">
        <v>0</v>
      </c>
      <c r="P424" t="n">
        <v>0</v>
      </c>
      <c r="Q424" t="n">
        <v>0</v>
      </c>
      <c r="R424" s="2" t="inlineStr"/>
    </row>
    <row r="425" ht="15" customHeight="1">
      <c r="A425" t="inlineStr">
        <is>
          <t>A 34478-2025</t>
        </is>
      </c>
      <c r="B425" s="1" t="n">
        <v>45847.37414351852</v>
      </c>
      <c r="C425" s="1" t="n">
        <v>46010</v>
      </c>
      <c r="D425" t="inlineStr">
        <is>
          <t>STOCKHOLMS LÄN</t>
        </is>
      </c>
      <c r="E425" t="inlineStr">
        <is>
          <t>NORRTÄLJE</t>
        </is>
      </c>
      <c r="F425" t="inlineStr">
        <is>
          <t>Övriga Aktiebolag</t>
        </is>
      </c>
      <c r="G425" t="n">
        <v>10.8</v>
      </c>
      <c r="H425" t="n">
        <v>0</v>
      </c>
      <c r="I425" t="n">
        <v>0</v>
      </c>
      <c r="J425" t="n">
        <v>0</v>
      </c>
      <c r="K425" t="n">
        <v>0</v>
      </c>
      <c r="L425" t="n">
        <v>0</v>
      </c>
      <c r="M425" t="n">
        <v>0</v>
      </c>
      <c r="N425" t="n">
        <v>0</v>
      </c>
      <c r="O425" t="n">
        <v>0</v>
      </c>
      <c r="P425" t="n">
        <v>0</v>
      </c>
      <c r="Q425" t="n">
        <v>0</v>
      </c>
      <c r="R425" s="2" t="inlineStr"/>
    </row>
    <row r="426" ht="15" customHeight="1">
      <c r="A426" t="inlineStr">
        <is>
          <t>A 4322-2023</t>
        </is>
      </c>
      <c r="B426" s="1" t="n">
        <v>44953.69298611111</v>
      </c>
      <c r="C426" s="1" t="n">
        <v>46010</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40829-2025</t>
        </is>
      </c>
      <c r="B427" s="1" t="n">
        <v>45897.50802083333</v>
      </c>
      <c r="C427" s="1" t="n">
        <v>46010</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40837-2025</t>
        </is>
      </c>
      <c r="B428" s="1" t="n">
        <v>45897.51328703704</v>
      </c>
      <c r="C428" s="1" t="n">
        <v>46010</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40529-2025</t>
        </is>
      </c>
      <c r="B429" s="1" t="n">
        <v>45896.38466435186</v>
      </c>
      <c r="C429" s="1" t="n">
        <v>46010</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40831-2025</t>
        </is>
      </c>
      <c r="B430" s="1" t="n">
        <v>45897.51077546296</v>
      </c>
      <c r="C430" s="1" t="n">
        <v>46010</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53561-2023</t>
        </is>
      </c>
      <c r="B431" s="1" t="n">
        <v>45224</v>
      </c>
      <c r="C431" s="1" t="n">
        <v>46010</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38990-2022</t>
        </is>
      </c>
      <c r="B432" s="1" t="n">
        <v>44816</v>
      </c>
      <c r="C432" s="1" t="n">
        <v>46010</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17956-2025</t>
        </is>
      </c>
      <c r="B433" s="1" t="n">
        <v>45760.91174768518</v>
      </c>
      <c r="C433" s="1" t="n">
        <v>46010</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875-2023</t>
        </is>
      </c>
      <c r="B434" s="1" t="n">
        <v>44931.65626157408</v>
      </c>
      <c r="C434" s="1" t="n">
        <v>46010</v>
      </c>
      <c r="D434" t="inlineStr">
        <is>
          <t>STOCKHOLMS LÄN</t>
        </is>
      </c>
      <c r="E434" t="inlineStr">
        <is>
          <t>NORRTÄLJE</t>
        </is>
      </c>
      <c r="G434" t="n">
        <v>2.2</v>
      </c>
      <c r="H434" t="n">
        <v>0</v>
      </c>
      <c r="I434" t="n">
        <v>0</v>
      </c>
      <c r="J434" t="n">
        <v>0</v>
      </c>
      <c r="K434" t="n">
        <v>0</v>
      </c>
      <c r="L434" t="n">
        <v>0</v>
      </c>
      <c r="M434" t="n">
        <v>0</v>
      </c>
      <c r="N434" t="n">
        <v>0</v>
      </c>
      <c r="O434" t="n">
        <v>0</v>
      </c>
      <c r="P434" t="n">
        <v>0</v>
      </c>
      <c r="Q434" t="n">
        <v>0</v>
      </c>
      <c r="R434" s="2" t="inlineStr"/>
    </row>
    <row r="435" ht="15" customHeight="1">
      <c r="A435" t="inlineStr">
        <is>
          <t>A 31236-2022</t>
        </is>
      </c>
      <c r="B435" s="1" t="n">
        <v>44771</v>
      </c>
      <c r="C435" s="1" t="n">
        <v>46010</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8315-2025</t>
        </is>
      </c>
      <c r="B436" s="1" t="n">
        <v>45708.61761574074</v>
      </c>
      <c r="C436" s="1" t="n">
        <v>46010</v>
      </c>
      <c r="D436" t="inlineStr">
        <is>
          <t>STOCKHOLMS LÄN</t>
        </is>
      </c>
      <c r="E436" t="inlineStr">
        <is>
          <t>NORRTÄLJE</t>
        </is>
      </c>
      <c r="G436" t="n">
        <v>3.9</v>
      </c>
      <c r="H436" t="n">
        <v>0</v>
      </c>
      <c r="I436" t="n">
        <v>0</v>
      </c>
      <c r="J436" t="n">
        <v>0</v>
      </c>
      <c r="K436" t="n">
        <v>0</v>
      </c>
      <c r="L436" t="n">
        <v>0</v>
      </c>
      <c r="M436" t="n">
        <v>0</v>
      </c>
      <c r="N436" t="n">
        <v>0</v>
      </c>
      <c r="O436" t="n">
        <v>0</v>
      </c>
      <c r="P436" t="n">
        <v>0</v>
      </c>
      <c r="Q436" t="n">
        <v>0</v>
      </c>
      <c r="R436" s="2" t="inlineStr"/>
    </row>
    <row r="437" ht="15" customHeight="1">
      <c r="A437" t="inlineStr">
        <is>
          <t>A 31281-2022</t>
        </is>
      </c>
      <c r="B437" s="1" t="n">
        <v>44771</v>
      </c>
      <c r="C437" s="1" t="n">
        <v>46010</v>
      </c>
      <c r="D437" t="inlineStr">
        <is>
          <t>STOCKHOLMS LÄN</t>
        </is>
      </c>
      <c r="E437" t="inlineStr">
        <is>
          <t>NORRTÄLJE</t>
        </is>
      </c>
      <c r="F437" t="inlineStr">
        <is>
          <t>Holmen skog AB</t>
        </is>
      </c>
      <c r="G437" t="n">
        <v>5.2</v>
      </c>
      <c r="H437" t="n">
        <v>0</v>
      </c>
      <c r="I437" t="n">
        <v>0</v>
      </c>
      <c r="J437" t="n">
        <v>0</v>
      </c>
      <c r="K437" t="n">
        <v>0</v>
      </c>
      <c r="L437" t="n">
        <v>0</v>
      </c>
      <c r="M437" t="n">
        <v>0</v>
      </c>
      <c r="N437" t="n">
        <v>0</v>
      </c>
      <c r="O437" t="n">
        <v>0</v>
      </c>
      <c r="P437" t="n">
        <v>0</v>
      </c>
      <c r="Q437" t="n">
        <v>0</v>
      </c>
      <c r="R437" s="2" t="inlineStr"/>
    </row>
    <row r="438" ht="15" customHeight="1">
      <c r="A438" t="inlineStr">
        <is>
          <t>A 26051-2025</t>
        </is>
      </c>
      <c r="B438" s="1" t="n">
        <v>45804.74479166666</v>
      </c>
      <c r="C438" s="1" t="n">
        <v>46010</v>
      </c>
      <c r="D438" t="inlineStr">
        <is>
          <t>STOCKHOLMS LÄN</t>
        </is>
      </c>
      <c r="E438" t="inlineStr">
        <is>
          <t>NORRTÄLJE</t>
        </is>
      </c>
      <c r="G438" t="n">
        <v>3.2</v>
      </c>
      <c r="H438" t="n">
        <v>0</v>
      </c>
      <c r="I438" t="n">
        <v>0</v>
      </c>
      <c r="J438" t="n">
        <v>0</v>
      </c>
      <c r="K438" t="n">
        <v>0</v>
      </c>
      <c r="L438" t="n">
        <v>0</v>
      </c>
      <c r="M438" t="n">
        <v>0</v>
      </c>
      <c r="N438" t="n">
        <v>0</v>
      </c>
      <c r="O438" t="n">
        <v>0</v>
      </c>
      <c r="P438" t="n">
        <v>0</v>
      </c>
      <c r="Q438" t="n">
        <v>0</v>
      </c>
      <c r="R438" s="2" t="inlineStr"/>
    </row>
    <row r="439" ht="15" customHeight="1">
      <c r="A439" t="inlineStr">
        <is>
          <t>A 18665-2022</t>
        </is>
      </c>
      <c r="B439" s="1" t="n">
        <v>44687</v>
      </c>
      <c r="C439" s="1" t="n">
        <v>46010</v>
      </c>
      <c r="D439" t="inlineStr">
        <is>
          <t>STOCKHOLMS LÄN</t>
        </is>
      </c>
      <c r="E439" t="inlineStr">
        <is>
          <t>NORRTÄLJE</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58302-2022</t>
        </is>
      </c>
      <c r="B440" s="1" t="n">
        <v>44901</v>
      </c>
      <c r="C440" s="1" t="n">
        <v>46010</v>
      </c>
      <c r="D440" t="inlineStr">
        <is>
          <t>STOCKHOLMS LÄN</t>
        </is>
      </c>
      <c r="E440" t="inlineStr">
        <is>
          <t>NORRTÄLJE</t>
        </is>
      </c>
      <c r="G440" t="n">
        <v>3.9</v>
      </c>
      <c r="H440" t="n">
        <v>0</v>
      </c>
      <c r="I440" t="n">
        <v>0</v>
      </c>
      <c r="J440" t="n">
        <v>0</v>
      </c>
      <c r="K440" t="n">
        <v>0</v>
      </c>
      <c r="L440" t="n">
        <v>0</v>
      </c>
      <c r="M440" t="n">
        <v>0</v>
      </c>
      <c r="N440" t="n">
        <v>0</v>
      </c>
      <c r="O440" t="n">
        <v>0</v>
      </c>
      <c r="P440" t="n">
        <v>0</v>
      </c>
      <c r="Q440" t="n">
        <v>0</v>
      </c>
      <c r="R440" s="2" t="inlineStr"/>
    </row>
    <row r="441" ht="15" customHeight="1">
      <c r="A441" t="inlineStr">
        <is>
          <t>A 26708-2025</t>
        </is>
      </c>
      <c r="B441" s="1" t="n">
        <v>45810.45633101852</v>
      </c>
      <c r="C441" s="1" t="n">
        <v>46010</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41158-2025</t>
        </is>
      </c>
      <c r="B442" s="1" t="n">
        <v>45898.5315625</v>
      </c>
      <c r="C442" s="1" t="n">
        <v>46010</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26702-2025</t>
        </is>
      </c>
      <c r="B443" s="1" t="n">
        <v>45810.45236111111</v>
      </c>
      <c r="C443" s="1" t="n">
        <v>46010</v>
      </c>
      <c r="D443" t="inlineStr">
        <is>
          <t>STOCKHOLMS LÄN</t>
        </is>
      </c>
      <c r="E443" t="inlineStr">
        <is>
          <t>NORRTÄLJE</t>
        </is>
      </c>
      <c r="G443" t="n">
        <v>7.3</v>
      </c>
      <c r="H443" t="n">
        <v>0</v>
      </c>
      <c r="I443" t="n">
        <v>0</v>
      </c>
      <c r="J443" t="n">
        <v>0</v>
      </c>
      <c r="K443" t="n">
        <v>0</v>
      </c>
      <c r="L443" t="n">
        <v>0</v>
      </c>
      <c r="M443" t="n">
        <v>0</v>
      </c>
      <c r="N443" t="n">
        <v>0</v>
      </c>
      <c r="O443" t="n">
        <v>0</v>
      </c>
      <c r="P443" t="n">
        <v>0</v>
      </c>
      <c r="Q443" t="n">
        <v>0</v>
      </c>
      <c r="R443" s="2" t="inlineStr"/>
    </row>
    <row r="444" ht="15" customHeight="1">
      <c r="A444" t="inlineStr">
        <is>
          <t>A 38591-2023</t>
        </is>
      </c>
      <c r="B444" s="1" t="n">
        <v>45162</v>
      </c>
      <c r="C444" s="1" t="n">
        <v>46010</v>
      </c>
      <c r="D444" t="inlineStr">
        <is>
          <t>STOCKHOLMS LÄN</t>
        </is>
      </c>
      <c r="E444" t="inlineStr">
        <is>
          <t>NORRTÄLJE</t>
        </is>
      </c>
      <c r="F444" t="inlineStr">
        <is>
          <t>Övriga Aktiebolag</t>
        </is>
      </c>
      <c r="G444" t="n">
        <v>3.1</v>
      </c>
      <c r="H444" t="n">
        <v>0</v>
      </c>
      <c r="I444" t="n">
        <v>0</v>
      </c>
      <c r="J444" t="n">
        <v>0</v>
      </c>
      <c r="K444" t="n">
        <v>0</v>
      </c>
      <c r="L444" t="n">
        <v>0</v>
      </c>
      <c r="M444" t="n">
        <v>0</v>
      </c>
      <c r="N444" t="n">
        <v>0</v>
      </c>
      <c r="O444" t="n">
        <v>0</v>
      </c>
      <c r="P444" t="n">
        <v>0</v>
      </c>
      <c r="Q444" t="n">
        <v>0</v>
      </c>
      <c r="R444" s="2" t="inlineStr"/>
    </row>
    <row r="445" ht="15" customHeight="1">
      <c r="A445" t="inlineStr">
        <is>
          <t>A 15733-2025</t>
        </is>
      </c>
      <c r="B445" s="1" t="n">
        <v>45748</v>
      </c>
      <c r="C445" s="1" t="n">
        <v>46010</v>
      </c>
      <c r="D445" t="inlineStr">
        <is>
          <t>STOCKHOLMS LÄN</t>
        </is>
      </c>
      <c r="E445" t="inlineStr">
        <is>
          <t>NORRTÄLJE</t>
        </is>
      </c>
      <c r="G445" t="n">
        <v>13.3</v>
      </c>
      <c r="H445" t="n">
        <v>0</v>
      </c>
      <c r="I445" t="n">
        <v>0</v>
      </c>
      <c r="J445" t="n">
        <v>0</v>
      </c>
      <c r="K445" t="n">
        <v>0</v>
      </c>
      <c r="L445" t="n">
        <v>0</v>
      </c>
      <c r="M445" t="n">
        <v>0</v>
      </c>
      <c r="N445" t="n">
        <v>0</v>
      </c>
      <c r="O445" t="n">
        <v>0</v>
      </c>
      <c r="P445" t="n">
        <v>0</v>
      </c>
      <c r="Q445" t="n">
        <v>0</v>
      </c>
      <c r="R445" s="2" t="inlineStr"/>
    </row>
    <row r="446" ht="15" customHeight="1">
      <c r="A446" t="inlineStr">
        <is>
          <t>A 30338-2022</t>
        </is>
      </c>
      <c r="B446" s="1" t="n">
        <v>44760</v>
      </c>
      <c r="C446" s="1" t="n">
        <v>46010</v>
      </c>
      <c r="D446" t="inlineStr">
        <is>
          <t>STOCKHOLMS LÄN</t>
        </is>
      </c>
      <c r="E446" t="inlineStr">
        <is>
          <t>NORRTÄLJE</t>
        </is>
      </c>
      <c r="G446" t="n">
        <v>0.3</v>
      </c>
      <c r="H446" t="n">
        <v>0</v>
      </c>
      <c r="I446" t="n">
        <v>0</v>
      </c>
      <c r="J446" t="n">
        <v>0</v>
      </c>
      <c r="K446" t="n">
        <v>0</v>
      </c>
      <c r="L446" t="n">
        <v>0</v>
      </c>
      <c r="M446" t="n">
        <v>0</v>
      </c>
      <c r="N446" t="n">
        <v>0</v>
      </c>
      <c r="O446" t="n">
        <v>0</v>
      </c>
      <c r="P446" t="n">
        <v>0</v>
      </c>
      <c r="Q446" t="n">
        <v>0</v>
      </c>
      <c r="R446" s="2" t="inlineStr"/>
    </row>
    <row r="447" ht="15" customHeight="1">
      <c r="A447" t="inlineStr">
        <is>
          <t>A 2888-2022</t>
        </is>
      </c>
      <c r="B447" s="1" t="n">
        <v>44581</v>
      </c>
      <c r="C447" s="1" t="n">
        <v>46010</v>
      </c>
      <c r="D447" t="inlineStr">
        <is>
          <t>STOCKHOLMS LÄN</t>
        </is>
      </c>
      <c r="E447" t="inlineStr">
        <is>
          <t>NORRTÄLJE</t>
        </is>
      </c>
      <c r="G447" t="n">
        <v>2.4</v>
      </c>
      <c r="H447" t="n">
        <v>0</v>
      </c>
      <c r="I447" t="n">
        <v>0</v>
      </c>
      <c r="J447" t="n">
        <v>0</v>
      </c>
      <c r="K447" t="n">
        <v>0</v>
      </c>
      <c r="L447" t="n">
        <v>0</v>
      </c>
      <c r="M447" t="n">
        <v>0</v>
      </c>
      <c r="N447" t="n">
        <v>0</v>
      </c>
      <c r="O447" t="n">
        <v>0</v>
      </c>
      <c r="P447" t="n">
        <v>0</v>
      </c>
      <c r="Q447" t="n">
        <v>0</v>
      </c>
      <c r="R447" s="2" t="inlineStr"/>
    </row>
    <row r="448" ht="15" customHeight="1">
      <c r="A448" t="inlineStr">
        <is>
          <t>A 23061-2025</t>
        </is>
      </c>
      <c r="B448" s="1" t="n">
        <v>45790.81410879629</v>
      </c>
      <c r="C448" s="1" t="n">
        <v>46010</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52686-2024</t>
        </is>
      </c>
      <c r="B449" s="1" t="n">
        <v>45610.39271990741</v>
      </c>
      <c r="C449" s="1" t="n">
        <v>46010</v>
      </c>
      <c r="D449" t="inlineStr">
        <is>
          <t>STOCKHOLMS LÄN</t>
        </is>
      </c>
      <c r="E449" t="inlineStr">
        <is>
          <t>NORRTÄLJE</t>
        </is>
      </c>
      <c r="G449" t="n">
        <v>5.7</v>
      </c>
      <c r="H449" t="n">
        <v>0</v>
      </c>
      <c r="I449" t="n">
        <v>0</v>
      </c>
      <c r="J449" t="n">
        <v>0</v>
      </c>
      <c r="K449" t="n">
        <v>0</v>
      </c>
      <c r="L449" t="n">
        <v>0</v>
      </c>
      <c r="M449" t="n">
        <v>0</v>
      </c>
      <c r="N449" t="n">
        <v>0</v>
      </c>
      <c r="O449" t="n">
        <v>0</v>
      </c>
      <c r="P449" t="n">
        <v>0</v>
      </c>
      <c r="Q449" t="n">
        <v>0</v>
      </c>
      <c r="R449" s="2" t="inlineStr"/>
    </row>
    <row r="450" ht="15" customHeight="1">
      <c r="A450" t="inlineStr">
        <is>
          <t>A 20343-2024</t>
        </is>
      </c>
      <c r="B450" s="1" t="n">
        <v>45435.43466435185</v>
      </c>
      <c r="C450" s="1" t="n">
        <v>46010</v>
      </c>
      <c r="D450" t="inlineStr">
        <is>
          <t>STOCKHOLMS LÄN</t>
        </is>
      </c>
      <c r="E450" t="inlineStr">
        <is>
          <t>NORRTÄLJE</t>
        </is>
      </c>
      <c r="G450" t="n">
        <v>2.8</v>
      </c>
      <c r="H450" t="n">
        <v>0</v>
      </c>
      <c r="I450" t="n">
        <v>0</v>
      </c>
      <c r="J450" t="n">
        <v>0</v>
      </c>
      <c r="K450" t="n">
        <v>0</v>
      </c>
      <c r="L450" t="n">
        <v>0</v>
      </c>
      <c r="M450" t="n">
        <v>0</v>
      </c>
      <c r="N450" t="n">
        <v>0</v>
      </c>
      <c r="O450" t="n">
        <v>0</v>
      </c>
      <c r="P450" t="n">
        <v>0</v>
      </c>
      <c r="Q450" t="n">
        <v>0</v>
      </c>
      <c r="R450" s="2" t="inlineStr"/>
    </row>
    <row r="451" ht="15" customHeight="1">
      <c r="A451" t="inlineStr">
        <is>
          <t>A 20345-2024</t>
        </is>
      </c>
      <c r="B451" s="1" t="n">
        <v>45435.43820601852</v>
      </c>
      <c r="C451" s="1" t="n">
        <v>46010</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19058-2024</t>
        </is>
      </c>
      <c r="B452" s="1" t="n">
        <v>45427.89121527778</v>
      </c>
      <c r="C452" s="1" t="n">
        <v>46010</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9765-2024</t>
        </is>
      </c>
      <c r="B453" s="1" t="n">
        <v>45362.62811342593</v>
      </c>
      <c r="C453" s="1" t="n">
        <v>46010</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27040-2025</t>
        </is>
      </c>
      <c r="B454" s="1" t="n">
        <v>45811.60451388889</v>
      </c>
      <c r="C454" s="1" t="n">
        <v>46010</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26747-2025</t>
        </is>
      </c>
      <c r="B455" s="1" t="n">
        <v>45810.5333912037</v>
      </c>
      <c r="C455" s="1" t="n">
        <v>46010</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41053-2025</t>
        </is>
      </c>
      <c r="B456" s="1" t="n">
        <v>45898.40480324074</v>
      </c>
      <c r="C456" s="1" t="n">
        <v>46010</v>
      </c>
      <c r="D456" t="inlineStr">
        <is>
          <t>STOCKHOLMS LÄN</t>
        </is>
      </c>
      <c r="E456" t="inlineStr">
        <is>
          <t>NORRTÄLJE</t>
        </is>
      </c>
      <c r="F456" t="inlineStr">
        <is>
          <t>Holmen skog AB</t>
        </is>
      </c>
      <c r="G456" t="n">
        <v>2.5</v>
      </c>
      <c r="H456" t="n">
        <v>0</v>
      </c>
      <c r="I456" t="n">
        <v>0</v>
      </c>
      <c r="J456" t="n">
        <v>0</v>
      </c>
      <c r="K456" t="n">
        <v>0</v>
      </c>
      <c r="L456" t="n">
        <v>0</v>
      </c>
      <c r="M456" t="n">
        <v>0</v>
      </c>
      <c r="N456" t="n">
        <v>0</v>
      </c>
      <c r="O456" t="n">
        <v>0</v>
      </c>
      <c r="P456" t="n">
        <v>0</v>
      </c>
      <c r="Q456" t="n">
        <v>0</v>
      </c>
      <c r="R456" s="2" t="inlineStr"/>
    </row>
    <row r="457" ht="15" customHeight="1">
      <c r="A457" t="inlineStr">
        <is>
          <t>A 59875-2024</t>
        </is>
      </c>
      <c r="B457" s="1" t="n">
        <v>45640.58716435185</v>
      </c>
      <c r="C457" s="1" t="n">
        <v>46010</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41275-2025</t>
        </is>
      </c>
      <c r="B458" s="1" t="n">
        <v>45898.62625</v>
      </c>
      <c r="C458" s="1" t="n">
        <v>46010</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41272-2025</t>
        </is>
      </c>
      <c r="B459" s="1" t="n">
        <v>45898.62373842593</v>
      </c>
      <c r="C459" s="1" t="n">
        <v>46010</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11-2024</t>
        </is>
      </c>
      <c r="B460" s="1" t="n">
        <v>45293</v>
      </c>
      <c r="C460" s="1" t="n">
        <v>46010</v>
      </c>
      <c r="D460" t="inlineStr">
        <is>
          <t>STOCKHOLMS LÄN</t>
        </is>
      </c>
      <c r="E460" t="inlineStr">
        <is>
          <t>NORRTÄLJE</t>
        </is>
      </c>
      <c r="F460" t="inlineStr">
        <is>
          <t>Sveaskog</t>
        </is>
      </c>
      <c r="G460" t="n">
        <v>3.2</v>
      </c>
      <c r="H460" t="n">
        <v>0</v>
      </c>
      <c r="I460" t="n">
        <v>0</v>
      </c>
      <c r="J460" t="n">
        <v>0</v>
      </c>
      <c r="K460" t="n">
        <v>0</v>
      </c>
      <c r="L460" t="n">
        <v>0</v>
      </c>
      <c r="M460" t="n">
        <v>0</v>
      </c>
      <c r="N460" t="n">
        <v>0</v>
      </c>
      <c r="O460" t="n">
        <v>0</v>
      </c>
      <c r="P460" t="n">
        <v>0</v>
      </c>
      <c r="Q460" t="n">
        <v>0</v>
      </c>
      <c r="R460" s="2" t="inlineStr"/>
    </row>
    <row r="461" ht="15" customHeight="1">
      <c r="A461" t="inlineStr">
        <is>
          <t>A 14559-2024</t>
        </is>
      </c>
      <c r="B461" s="1" t="n">
        <v>45394.72869212963</v>
      </c>
      <c r="C461" s="1" t="n">
        <v>46010</v>
      </c>
      <c r="D461" t="inlineStr">
        <is>
          <t>STOCKHOLMS LÄN</t>
        </is>
      </c>
      <c r="E461" t="inlineStr">
        <is>
          <t>NORRTÄLJE</t>
        </is>
      </c>
      <c r="G461" t="n">
        <v>4.2</v>
      </c>
      <c r="H461" t="n">
        <v>0</v>
      </c>
      <c r="I461" t="n">
        <v>0</v>
      </c>
      <c r="J461" t="n">
        <v>0</v>
      </c>
      <c r="K461" t="n">
        <v>0</v>
      </c>
      <c r="L461" t="n">
        <v>0</v>
      </c>
      <c r="M461" t="n">
        <v>0</v>
      </c>
      <c r="N461" t="n">
        <v>0</v>
      </c>
      <c r="O461" t="n">
        <v>0</v>
      </c>
      <c r="P461" t="n">
        <v>0</v>
      </c>
      <c r="Q461" t="n">
        <v>0</v>
      </c>
      <c r="R461" s="2" t="inlineStr"/>
    </row>
    <row r="462" ht="15" customHeight="1">
      <c r="A462" t="inlineStr">
        <is>
          <t>A 8433-2022</t>
        </is>
      </c>
      <c r="B462" s="1" t="n">
        <v>44611</v>
      </c>
      <c r="C462" s="1" t="n">
        <v>46010</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26675-2025</t>
        </is>
      </c>
      <c r="B463" s="1" t="n">
        <v>45810.42393518519</v>
      </c>
      <c r="C463" s="1" t="n">
        <v>46010</v>
      </c>
      <c r="D463" t="inlineStr">
        <is>
          <t>STOCKHOLMS LÄN</t>
        </is>
      </c>
      <c r="E463" t="inlineStr">
        <is>
          <t>NORRTÄLJE</t>
        </is>
      </c>
      <c r="G463" t="n">
        <v>2.7</v>
      </c>
      <c r="H463" t="n">
        <v>0</v>
      </c>
      <c r="I463" t="n">
        <v>0</v>
      </c>
      <c r="J463" t="n">
        <v>0</v>
      </c>
      <c r="K463" t="n">
        <v>0</v>
      </c>
      <c r="L463" t="n">
        <v>0</v>
      </c>
      <c r="M463" t="n">
        <v>0</v>
      </c>
      <c r="N463" t="n">
        <v>0</v>
      </c>
      <c r="O463" t="n">
        <v>0</v>
      </c>
      <c r="P463" t="n">
        <v>0</v>
      </c>
      <c r="Q463" t="n">
        <v>0</v>
      </c>
      <c r="R463" s="2" t="inlineStr"/>
    </row>
    <row r="464" ht="15" customHeight="1">
      <c r="A464" t="inlineStr">
        <is>
          <t>A 41301-2025</t>
        </is>
      </c>
      <c r="B464" s="1" t="n">
        <v>45898.68826388889</v>
      </c>
      <c r="C464" s="1" t="n">
        <v>46010</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25525-2022</t>
        </is>
      </c>
      <c r="B465" s="1" t="n">
        <v>44732</v>
      </c>
      <c r="C465" s="1" t="n">
        <v>46010</v>
      </c>
      <c r="D465" t="inlineStr">
        <is>
          <t>STOCKHOLMS LÄN</t>
        </is>
      </c>
      <c r="E465" t="inlineStr">
        <is>
          <t>NORRTÄLJE</t>
        </is>
      </c>
      <c r="G465" t="n">
        <v>2.2</v>
      </c>
      <c r="H465" t="n">
        <v>0</v>
      </c>
      <c r="I465" t="n">
        <v>0</v>
      </c>
      <c r="J465" t="n">
        <v>0</v>
      </c>
      <c r="K465" t="n">
        <v>0</v>
      </c>
      <c r="L465" t="n">
        <v>0</v>
      </c>
      <c r="M465" t="n">
        <v>0</v>
      </c>
      <c r="N465" t="n">
        <v>0</v>
      </c>
      <c r="O465" t="n">
        <v>0</v>
      </c>
      <c r="P465" t="n">
        <v>0</v>
      </c>
      <c r="Q465" t="n">
        <v>0</v>
      </c>
      <c r="R465" s="2" t="inlineStr"/>
    </row>
    <row r="466" ht="15" customHeight="1">
      <c r="A466" t="inlineStr">
        <is>
          <t>A 12302-2025</t>
        </is>
      </c>
      <c r="B466" s="1" t="n">
        <v>45729.72851851852</v>
      </c>
      <c r="C466" s="1" t="n">
        <v>46010</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27554-2025</t>
        </is>
      </c>
      <c r="B467" s="1" t="n">
        <v>45813.4709375</v>
      </c>
      <c r="C467" s="1" t="n">
        <v>46010</v>
      </c>
      <c r="D467" t="inlineStr">
        <is>
          <t>STOCKHOLMS LÄN</t>
        </is>
      </c>
      <c r="E467" t="inlineStr">
        <is>
          <t>NORRTÄLJE</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41174-2025</t>
        </is>
      </c>
      <c r="B468" s="1" t="n">
        <v>45898.54921296296</v>
      </c>
      <c r="C468" s="1" t="n">
        <v>46010</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38889-2024</t>
        </is>
      </c>
      <c r="B469" s="1" t="n">
        <v>45547</v>
      </c>
      <c r="C469" s="1" t="n">
        <v>46010</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45451-2024</t>
        </is>
      </c>
      <c r="B470" s="1" t="n">
        <v>45576</v>
      </c>
      <c r="C470" s="1" t="n">
        <v>46010</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41030-2025</t>
        </is>
      </c>
      <c r="B471" s="1" t="n">
        <v>45898.37636574074</v>
      </c>
      <c r="C471" s="1" t="n">
        <v>46010</v>
      </c>
      <c r="D471" t="inlineStr">
        <is>
          <t>STOCKHOLMS LÄN</t>
        </is>
      </c>
      <c r="E471" t="inlineStr">
        <is>
          <t>NORRTÄLJE</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41036-2025</t>
        </is>
      </c>
      <c r="B472" s="1" t="n">
        <v>45898.38552083333</v>
      </c>
      <c r="C472" s="1" t="n">
        <v>46010</v>
      </c>
      <c r="D472" t="inlineStr">
        <is>
          <t>STOCKHOLMS LÄN</t>
        </is>
      </c>
      <c r="E472" t="inlineStr">
        <is>
          <t>NORRTÄLJE</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41106-2025</t>
        </is>
      </c>
      <c r="B473" s="1" t="n">
        <v>45898.45636574074</v>
      </c>
      <c r="C473" s="1" t="n">
        <v>46010</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41110-2025</t>
        </is>
      </c>
      <c r="B474" s="1" t="n">
        <v>45898.45976851852</v>
      </c>
      <c r="C474" s="1" t="n">
        <v>46010</v>
      </c>
      <c r="D474" t="inlineStr">
        <is>
          <t>STOCKHOLMS LÄN</t>
        </is>
      </c>
      <c r="E474" t="inlineStr">
        <is>
          <t>NORRTÄLJE</t>
        </is>
      </c>
      <c r="F474" t="inlineStr">
        <is>
          <t>Holmen skog AB</t>
        </is>
      </c>
      <c r="G474" t="n">
        <v>6.7</v>
      </c>
      <c r="H474" t="n">
        <v>0</v>
      </c>
      <c r="I474" t="n">
        <v>0</v>
      </c>
      <c r="J474" t="n">
        <v>0</v>
      </c>
      <c r="K474" t="n">
        <v>0</v>
      </c>
      <c r="L474" t="n">
        <v>0</v>
      </c>
      <c r="M474" t="n">
        <v>0</v>
      </c>
      <c r="N474" t="n">
        <v>0</v>
      </c>
      <c r="O474" t="n">
        <v>0</v>
      </c>
      <c r="P474" t="n">
        <v>0</v>
      </c>
      <c r="Q474" t="n">
        <v>0</v>
      </c>
      <c r="R474" s="2" t="inlineStr"/>
    </row>
    <row r="475" ht="15" customHeight="1">
      <c r="A475" t="inlineStr">
        <is>
          <t>A 27700-2025</t>
        </is>
      </c>
      <c r="B475" s="1" t="n">
        <v>45813.6799537037</v>
      </c>
      <c r="C475" s="1" t="n">
        <v>46010</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41259-2025</t>
        </is>
      </c>
      <c r="B476" s="1" t="n">
        <v>45898.61054398148</v>
      </c>
      <c r="C476" s="1" t="n">
        <v>46010</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27697-2025</t>
        </is>
      </c>
      <c r="B477" s="1" t="n">
        <v>45813.66961805556</v>
      </c>
      <c r="C477" s="1" t="n">
        <v>46010</v>
      </c>
      <c r="D477" t="inlineStr">
        <is>
          <t>STOCKHOLMS LÄN</t>
        </is>
      </c>
      <c r="E477" t="inlineStr">
        <is>
          <t>NORRTÄLJE</t>
        </is>
      </c>
      <c r="G477" t="n">
        <v>6.2</v>
      </c>
      <c r="H477" t="n">
        <v>0</v>
      </c>
      <c r="I477" t="n">
        <v>0</v>
      </c>
      <c r="J477" t="n">
        <v>0</v>
      </c>
      <c r="K477" t="n">
        <v>0</v>
      </c>
      <c r="L477" t="n">
        <v>0</v>
      </c>
      <c r="M477" t="n">
        <v>0</v>
      </c>
      <c r="N477" t="n">
        <v>0</v>
      </c>
      <c r="O477" t="n">
        <v>0</v>
      </c>
      <c r="P477" t="n">
        <v>0</v>
      </c>
      <c r="Q477" t="n">
        <v>0</v>
      </c>
      <c r="R477" s="2" t="inlineStr"/>
    </row>
    <row r="478" ht="15" customHeight="1">
      <c r="A478" t="inlineStr">
        <is>
          <t>A 10511-2025</t>
        </is>
      </c>
      <c r="B478" s="1" t="n">
        <v>45721.40780092592</v>
      </c>
      <c r="C478" s="1" t="n">
        <v>46010</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27802-2025</t>
        </is>
      </c>
      <c r="B479" s="1" t="n">
        <v>45817.2565625</v>
      </c>
      <c r="C479" s="1" t="n">
        <v>46010</v>
      </c>
      <c r="D479" t="inlineStr">
        <is>
          <t>STOCKHOLMS LÄN</t>
        </is>
      </c>
      <c r="E479" t="inlineStr">
        <is>
          <t>NORRTÄLJE</t>
        </is>
      </c>
      <c r="G479" t="n">
        <v>3</v>
      </c>
      <c r="H479" t="n">
        <v>0</v>
      </c>
      <c r="I479" t="n">
        <v>0</v>
      </c>
      <c r="J479" t="n">
        <v>0</v>
      </c>
      <c r="K479" t="n">
        <v>0</v>
      </c>
      <c r="L479" t="n">
        <v>0</v>
      </c>
      <c r="M479" t="n">
        <v>0</v>
      </c>
      <c r="N479" t="n">
        <v>0</v>
      </c>
      <c r="O479" t="n">
        <v>0</v>
      </c>
      <c r="P479" t="n">
        <v>0</v>
      </c>
      <c r="Q479" t="n">
        <v>0</v>
      </c>
      <c r="R479" s="2" t="inlineStr"/>
    </row>
    <row r="480" ht="15" customHeight="1">
      <c r="A480" t="inlineStr">
        <is>
          <t>A 27806-2025</t>
        </is>
      </c>
      <c r="B480" s="1" t="n">
        <v>45817.30329861111</v>
      </c>
      <c r="C480" s="1" t="n">
        <v>46010</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27808-2025</t>
        </is>
      </c>
      <c r="B481" s="1" t="n">
        <v>45817.31085648148</v>
      </c>
      <c r="C481" s="1" t="n">
        <v>46010</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27810-2025</t>
        </is>
      </c>
      <c r="B482" s="1" t="n">
        <v>45817.31708333334</v>
      </c>
      <c r="C482" s="1" t="n">
        <v>46010</v>
      </c>
      <c r="D482" t="inlineStr">
        <is>
          <t>STOCKHOLMS LÄN</t>
        </is>
      </c>
      <c r="E482" t="inlineStr">
        <is>
          <t>NORRTÄLJE</t>
        </is>
      </c>
      <c r="G482" t="n">
        <v>3.9</v>
      </c>
      <c r="H482" t="n">
        <v>0</v>
      </c>
      <c r="I482" t="n">
        <v>0</v>
      </c>
      <c r="J482" t="n">
        <v>0</v>
      </c>
      <c r="K482" t="n">
        <v>0</v>
      </c>
      <c r="L482" t="n">
        <v>0</v>
      </c>
      <c r="M482" t="n">
        <v>0</v>
      </c>
      <c r="N482" t="n">
        <v>0</v>
      </c>
      <c r="O482" t="n">
        <v>0</v>
      </c>
      <c r="P482" t="n">
        <v>0</v>
      </c>
      <c r="Q482" t="n">
        <v>0</v>
      </c>
      <c r="R482" s="2" t="inlineStr"/>
    </row>
    <row r="483" ht="15" customHeight="1">
      <c r="A483" t="inlineStr">
        <is>
          <t>A 27811-2025</t>
        </is>
      </c>
      <c r="B483" s="1" t="n">
        <v>45817.31986111111</v>
      </c>
      <c r="C483" s="1" t="n">
        <v>46010</v>
      </c>
      <c r="D483" t="inlineStr">
        <is>
          <t>STOCKHOLMS LÄN</t>
        </is>
      </c>
      <c r="E483" t="inlineStr">
        <is>
          <t>NORRTÄLJE</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27818-2025</t>
        </is>
      </c>
      <c r="B484" s="1" t="n">
        <v>45817.33503472222</v>
      </c>
      <c r="C484" s="1" t="n">
        <v>46010</v>
      </c>
      <c r="D484" t="inlineStr">
        <is>
          <t>STOCKHOLMS LÄN</t>
        </is>
      </c>
      <c r="E484" t="inlineStr">
        <is>
          <t>NORRTÄLJE</t>
        </is>
      </c>
      <c r="F484" t="inlineStr">
        <is>
          <t>Sveaskog</t>
        </is>
      </c>
      <c r="G484" t="n">
        <v>0.3</v>
      </c>
      <c r="H484" t="n">
        <v>0</v>
      </c>
      <c r="I484" t="n">
        <v>0</v>
      </c>
      <c r="J484" t="n">
        <v>0</v>
      </c>
      <c r="K484" t="n">
        <v>0</v>
      </c>
      <c r="L484" t="n">
        <v>0</v>
      </c>
      <c r="M484" t="n">
        <v>0</v>
      </c>
      <c r="N484" t="n">
        <v>0</v>
      </c>
      <c r="O484" t="n">
        <v>0</v>
      </c>
      <c r="P484" t="n">
        <v>0</v>
      </c>
      <c r="Q484" t="n">
        <v>0</v>
      </c>
      <c r="R484" s="2" t="inlineStr"/>
    </row>
    <row r="485" ht="15" customHeight="1">
      <c r="A485" t="inlineStr">
        <is>
          <t>A 27801-2025</t>
        </is>
      </c>
      <c r="B485" s="1" t="n">
        <v>45817.25471064815</v>
      </c>
      <c r="C485" s="1" t="n">
        <v>46010</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19057-2024</t>
        </is>
      </c>
      <c r="B486" s="1" t="n">
        <v>45427.88731481481</v>
      </c>
      <c r="C486" s="1" t="n">
        <v>46010</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27803-2025</t>
        </is>
      </c>
      <c r="B487" s="1" t="n">
        <v>45817.291875</v>
      </c>
      <c r="C487" s="1" t="n">
        <v>46010</v>
      </c>
      <c r="D487" t="inlineStr">
        <is>
          <t>STOCKHOLMS LÄN</t>
        </is>
      </c>
      <c r="E487" t="inlineStr">
        <is>
          <t>NORRTÄLJE</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27813-2025</t>
        </is>
      </c>
      <c r="B488" s="1" t="n">
        <v>45817.32538194444</v>
      </c>
      <c r="C488" s="1" t="n">
        <v>46010</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27821-2025</t>
        </is>
      </c>
      <c r="B489" s="1" t="n">
        <v>45817.34083333334</v>
      </c>
      <c r="C489" s="1" t="n">
        <v>46010</v>
      </c>
      <c r="D489" t="inlineStr">
        <is>
          <t>STOCKHOLMS LÄN</t>
        </is>
      </c>
      <c r="E489" t="inlineStr">
        <is>
          <t>NORRTÄLJE</t>
        </is>
      </c>
      <c r="G489" t="n">
        <v>3.2</v>
      </c>
      <c r="H489" t="n">
        <v>0</v>
      </c>
      <c r="I489" t="n">
        <v>0</v>
      </c>
      <c r="J489" t="n">
        <v>0</v>
      </c>
      <c r="K489" t="n">
        <v>0</v>
      </c>
      <c r="L489" t="n">
        <v>0</v>
      </c>
      <c r="M489" t="n">
        <v>0</v>
      </c>
      <c r="N489" t="n">
        <v>0</v>
      </c>
      <c r="O489" t="n">
        <v>0</v>
      </c>
      <c r="P489" t="n">
        <v>0</v>
      </c>
      <c r="Q489" t="n">
        <v>0</v>
      </c>
      <c r="R489" s="2" t="inlineStr"/>
    </row>
    <row r="490" ht="15" customHeight="1">
      <c r="A490" t="inlineStr">
        <is>
          <t>A 26644-2024</t>
        </is>
      </c>
      <c r="B490" s="1" t="n">
        <v>45469</v>
      </c>
      <c r="C490" s="1" t="n">
        <v>46010</v>
      </c>
      <c r="D490" t="inlineStr">
        <is>
          <t>STOCKHOLMS LÄN</t>
        </is>
      </c>
      <c r="E490" t="inlineStr">
        <is>
          <t>NORRTÄLJE</t>
        </is>
      </c>
      <c r="G490" t="n">
        <v>4.3</v>
      </c>
      <c r="H490" t="n">
        <v>0</v>
      </c>
      <c r="I490" t="n">
        <v>0</v>
      </c>
      <c r="J490" t="n">
        <v>0</v>
      </c>
      <c r="K490" t="n">
        <v>0</v>
      </c>
      <c r="L490" t="n">
        <v>0</v>
      </c>
      <c r="M490" t="n">
        <v>0</v>
      </c>
      <c r="N490" t="n">
        <v>0</v>
      </c>
      <c r="O490" t="n">
        <v>0</v>
      </c>
      <c r="P490" t="n">
        <v>0</v>
      </c>
      <c r="Q490" t="n">
        <v>0</v>
      </c>
      <c r="R490" s="2" t="inlineStr"/>
    </row>
    <row r="491" ht="15" customHeight="1">
      <c r="A491" t="inlineStr">
        <is>
          <t>A 2982-2023</t>
        </is>
      </c>
      <c r="B491" s="1" t="n">
        <v>44945.67409722223</v>
      </c>
      <c r="C491" s="1" t="n">
        <v>46010</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41966-2025</t>
        </is>
      </c>
      <c r="B492" s="1" t="n">
        <v>45903.47456018518</v>
      </c>
      <c r="C492" s="1" t="n">
        <v>46010</v>
      </c>
      <c r="D492" t="inlineStr">
        <is>
          <t>STOCKHOLMS LÄN</t>
        </is>
      </c>
      <c r="E492" t="inlineStr">
        <is>
          <t>NORRTÄLJE</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15528-2025</t>
        </is>
      </c>
      <c r="B493" s="1" t="n">
        <v>45747.63471064815</v>
      </c>
      <c r="C493" s="1" t="n">
        <v>46010</v>
      </c>
      <c r="D493" t="inlineStr">
        <is>
          <t>STOCKHOLMS LÄN</t>
        </is>
      </c>
      <c r="E493" t="inlineStr">
        <is>
          <t>NORRTÄLJE</t>
        </is>
      </c>
      <c r="G493" t="n">
        <v>10</v>
      </c>
      <c r="H493" t="n">
        <v>0</v>
      </c>
      <c r="I493" t="n">
        <v>0</v>
      </c>
      <c r="J493" t="n">
        <v>0</v>
      </c>
      <c r="K493" t="n">
        <v>0</v>
      </c>
      <c r="L493" t="n">
        <v>0</v>
      </c>
      <c r="M493" t="n">
        <v>0</v>
      </c>
      <c r="N493" t="n">
        <v>0</v>
      </c>
      <c r="O493" t="n">
        <v>0</v>
      </c>
      <c r="P493" t="n">
        <v>0</v>
      </c>
      <c r="Q493" t="n">
        <v>0</v>
      </c>
      <c r="R493" s="2" t="inlineStr"/>
    </row>
    <row r="494" ht="15" customHeight="1">
      <c r="A494" t="inlineStr">
        <is>
          <t>A 11901-2024</t>
        </is>
      </c>
      <c r="B494" s="1" t="n">
        <v>45376.55638888889</v>
      </c>
      <c r="C494" s="1" t="n">
        <v>46010</v>
      </c>
      <c r="D494" t="inlineStr">
        <is>
          <t>STOCKHOLMS LÄN</t>
        </is>
      </c>
      <c r="E494" t="inlineStr">
        <is>
          <t>NORRTÄLJE</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12535-2025</t>
        </is>
      </c>
      <c r="B495" s="1" t="n">
        <v>45730.69502314815</v>
      </c>
      <c r="C495" s="1" t="n">
        <v>46010</v>
      </c>
      <c r="D495" t="inlineStr">
        <is>
          <t>STOCKHOLMS LÄN</t>
        </is>
      </c>
      <c r="E495" t="inlineStr">
        <is>
          <t>NORRTÄLJE</t>
        </is>
      </c>
      <c r="G495" t="n">
        <v>7.1</v>
      </c>
      <c r="H495" t="n">
        <v>0</v>
      </c>
      <c r="I495" t="n">
        <v>0</v>
      </c>
      <c r="J495" t="n">
        <v>0</v>
      </c>
      <c r="K495" t="n">
        <v>0</v>
      </c>
      <c r="L495" t="n">
        <v>0</v>
      </c>
      <c r="M495" t="n">
        <v>0</v>
      </c>
      <c r="N495" t="n">
        <v>0</v>
      </c>
      <c r="O495" t="n">
        <v>0</v>
      </c>
      <c r="P495" t="n">
        <v>0</v>
      </c>
      <c r="Q495" t="n">
        <v>0</v>
      </c>
      <c r="R495" s="2" t="inlineStr"/>
    </row>
    <row r="496" ht="15" customHeight="1">
      <c r="A496" t="inlineStr">
        <is>
          <t>A 42038-2025</t>
        </is>
      </c>
      <c r="B496" s="1" t="n">
        <v>45903.61431712963</v>
      </c>
      <c r="C496" s="1" t="n">
        <v>46010</v>
      </c>
      <c r="D496" t="inlineStr">
        <is>
          <t>STOCKHOLMS LÄN</t>
        </is>
      </c>
      <c r="E496" t="inlineStr">
        <is>
          <t>NORRTÄLJE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37136-2023</t>
        </is>
      </c>
      <c r="B497" s="1" t="n">
        <v>45155</v>
      </c>
      <c r="C497" s="1" t="n">
        <v>46010</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18787-2022</t>
        </is>
      </c>
      <c r="B498" s="1" t="n">
        <v>44687</v>
      </c>
      <c r="C498" s="1" t="n">
        <v>46010</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13718-2022</t>
        </is>
      </c>
      <c r="B499" s="1" t="n">
        <v>44649</v>
      </c>
      <c r="C499" s="1" t="n">
        <v>46010</v>
      </c>
      <c r="D499" t="inlineStr">
        <is>
          <t>STOCKHOLMS LÄN</t>
        </is>
      </c>
      <c r="E499" t="inlineStr">
        <is>
          <t>NORRTÄLJE</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25621-2022</t>
        </is>
      </c>
      <c r="B500" s="1" t="n">
        <v>44732</v>
      </c>
      <c r="C500" s="1" t="n">
        <v>46010</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44075-2023</t>
        </is>
      </c>
      <c r="B501" s="1" t="n">
        <v>45188.41637731482</v>
      </c>
      <c r="C501" s="1" t="n">
        <v>46010</v>
      </c>
      <c r="D501" t="inlineStr">
        <is>
          <t>STOCKHOLMS LÄN</t>
        </is>
      </c>
      <c r="E501" t="inlineStr">
        <is>
          <t>NORRTÄLJE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36269-2022</t>
        </is>
      </c>
      <c r="B502" s="1" t="n">
        <v>44803</v>
      </c>
      <c r="C502" s="1" t="n">
        <v>46010</v>
      </c>
      <c r="D502" t="inlineStr">
        <is>
          <t>STOCKHOLMS LÄN</t>
        </is>
      </c>
      <c r="E502" t="inlineStr">
        <is>
          <t>NORRTÄLJE</t>
        </is>
      </c>
      <c r="G502" t="n">
        <v>2.3</v>
      </c>
      <c r="H502" t="n">
        <v>0</v>
      </c>
      <c r="I502" t="n">
        <v>0</v>
      </c>
      <c r="J502" t="n">
        <v>0</v>
      </c>
      <c r="K502" t="n">
        <v>0</v>
      </c>
      <c r="L502" t="n">
        <v>0</v>
      </c>
      <c r="M502" t="n">
        <v>0</v>
      </c>
      <c r="N502" t="n">
        <v>0</v>
      </c>
      <c r="O502" t="n">
        <v>0</v>
      </c>
      <c r="P502" t="n">
        <v>0</v>
      </c>
      <c r="Q502" t="n">
        <v>0</v>
      </c>
      <c r="R502" s="2" t="inlineStr"/>
    </row>
    <row r="503" ht="15" customHeight="1">
      <c r="A503" t="inlineStr">
        <is>
          <t>A 36308-2022</t>
        </is>
      </c>
      <c r="B503" s="1" t="n">
        <v>44803</v>
      </c>
      <c r="C503" s="1" t="n">
        <v>46010</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46010</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6919-2025</t>
        </is>
      </c>
      <c r="B505" s="1" t="n">
        <v>45701.44372685185</v>
      </c>
      <c r="C505" s="1" t="n">
        <v>46010</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32100-2022</t>
        </is>
      </c>
      <c r="B506" s="1" t="n">
        <v>44778</v>
      </c>
      <c r="C506" s="1" t="n">
        <v>46010</v>
      </c>
      <c r="D506" t="inlineStr">
        <is>
          <t>STOCKHOLMS LÄN</t>
        </is>
      </c>
      <c r="E506" t="inlineStr">
        <is>
          <t>NORRTÄLJE</t>
        </is>
      </c>
      <c r="G506" t="n">
        <v>3.3</v>
      </c>
      <c r="H506" t="n">
        <v>0</v>
      </c>
      <c r="I506" t="n">
        <v>0</v>
      </c>
      <c r="J506" t="n">
        <v>0</v>
      </c>
      <c r="K506" t="n">
        <v>0</v>
      </c>
      <c r="L506" t="n">
        <v>0</v>
      </c>
      <c r="M506" t="n">
        <v>0</v>
      </c>
      <c r="N506" t="n">
        <v>0</v>
      </c>
      <c r="O506" t="n">
        <v>0</v>
      </c>
      <c r="P506" t="n">
        <v>0</v>
      </c>
      <c r="Q506" t="n">
        <v>0</v>
      </c>
      <c r="R506" s="2" t="inlineStr"/>
    </row>
    <row r="507" ht="15" customHeight="1">
      <c r="A507" t="inlineStr">
        <is>
          <t>A 11332-2025</t>
        </is>
      </c>
      <c r="B507" s="1" t="n">
        <v>45726.48152777777</v>
      </c>
      <c r="C507" s="1" t="n">
        <v>46010</v>
      </c>
      <c r="D507" t="inlineStr">
        <is>
          <t>STOCKHOLMS LÄN</t>
        </is>
      </c>
      <c r="E507" t="inlineStr">
        <is>
          <t>NORRTÄLJE</t>
        </is>
      </c>
      <c r="G507" t="n">
        <v>4.6</v>
      </c>
      <c r="H507" t="n">
        <v>0</v>
      </c>
      <c r="I507" t="n">
        <v>0</v>
      </c>
      <c r="J507" t="n">
        <v>0</v>
      </c>
      <c r="K507" t="n">
        <v>0</v>
      </c>
      <c r="L507" t="n">
        <v>0</v>
      </c>
      <c r="M507" t="n">
        <v>0</v>
      </c>
      <c r="N507" t="n">
        <v>0</v>
      </c>
      <c r="O507" t="n">
        <v>0</v>
      </c>
      <c r="P507" t="n">
        <v>0</v>
      </c>
      <c r="Q507" t="n">
        <v>0</v>
      </c>
      <c r="R507" s="2" t="inlineStr"/>
    </row>
    <row r="508" ht="15" customHeight="1">
      <c r="A508" t="inlineStr">
        <is>
          <t>A 37444-2021</t>
        </is>
      </c>
      <c r="B508" s="1" t="n">
        <v>44398</v>
      </c>
      <c r="C508" s="1" t="n">
        <v>46010</v>
      </c>
      <c r="D508" t="inlineStr">
        <is>
          <t>STOCKHOLMS LÄN</t>
        </is>
      </c>
      <c r="E508" t="inlineStr">
        <is>
          <t>NORRTÄLJE</t>
        </is>
      </c>
      <c r="F508" t="inlineStr">
        <is>
          <t>Holmen skog AB</t>
        </is>
      </c>
      <c r="G508" t="n">
        <v>3.2</v>
      </c>
      <c r="H508" t="n">
        <v>0</v>
      </c>
      <c r="I508" t="n">
        <v>0</v>
      </c>
      <c r="J508" t="n">
        <v>0</v>
      </c>
      <c r="K508" t="n">
        <v>0</v>
      </c>
      <c r="L508" t="n">
        <v>0</v>
      </c>
      <c r="M508" t="n">
        <v>0</v>
      </c>
      <c r="N508" t="n">
        <v>0</v>
      </c>
      <c r="O508" t="n">
        <v>0</v>
      </c>
      <c r="P508" t="n">
        <v>0</v>
      </c>
      <c r="Q508" t="n">
        <v>0</v>
      </c>
      <c r="R508" s="2" t="inlineStr"/>
    </row>
    <row r="509" ht="15" customHeight="1">
      <c r="A509" t="inlineStr">
        <is>
          <t>A 30886-2022</t>
        </is>
      </c>
      <c r="B509" s="1" t="n">
        <v>44767.60601851852</v>
      </c>
      <c r="C509" s="1" t="n">
        <v>46010</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9654-2022</t>
        </is>
      </c>
      <c r="B510" s="1" t="n">
        <v>44617</v>
      </c>
      <c r="C510" s="1" t="n">
        <v>46010</v>
      </c>
      <c r="D510" t="inlineStr">
        <is>
          <t>STOCKHOLMS LÄN</t>
        </is>
      </c>
      <c r="E510" t="inlineStr">
        <is>
          <t>NORRTÄLJE</t>
        </is>
      </c>
      <c r="G510" t="n">
        <v>6.4</v>
      </c>
      <c r="H510" t="n">
        <v>0</v>
      </c>
      <c r="I510" t="n">
        <v>0</v>
      </c>
      <c r="J510" t="n">
        <v>0</v>
      </c>
      <c r="K510" t="n">
        <v>0</v>
      </c>
      <c r="L510" t="n">
        <v>0</v>
      </c>
      <c r="M510" t="n">
        <v>0</v>
      </c>
      <c r="N510" t="n">
        <v>0</v>
      </c>
      <c r="O510" t="n">
        <v>0</v>
      </c>
      <c r="P510" t="n">
        <v>0</v>
      </c>
      <c r="Q510" t="n">
        <v>0</v>
      </c>
      <c r="R510" s="2" t="inlineStr"/>
    </row>
    <row r="511" ht="15" customHeight="1">
      <c r="A511" t="inlineStr">
        <is>
          <t>A 1453-2025</t>
        </is>
      </c>
      <c r="B511" s="1" t="n">
        <v>45670.3079050926</v>
      </c>
      <c r="C511" s="1" t="n">
        <v>46010</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5804-2025</t>
        </is>
      </c>
      <c r="B512" s="1" t="n">
        <v>45694.68207175926</v>
      </c>
      <c r="C512" s="1" t="n">
        <v>46010</v>
      </c>
      <c r="D512" t="inlineStr">
        <is>
          <t>STOCKHOLMS LÄN</t>
        </is>
      </c>
      <c r="E512" t="inlineStr">
        <is>
          <t>NORRTÄLJE</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50907-2022</t>
        </is>
      </c>
      <c r="B513" s="1" t="n">
        <v>44867.62090277778</v>
      </c>
      <c r="C513" s="1" t="n">
        <v>46010</v>
      </c>
      <c r="D513" t="inlineStr">
        <is>
          <t>STOCKHOLMS LÄN</t>
        </is>
      </c>
      <c r="E513" t="inlineStr">
        <is>
          <t>NORRTÄLJE</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29250-2025</t>
        </is>
      </c>
      <c r="B514" s="1" t="n">
        <v>45824.37275462963</v>
      </c>
      <c r="C514" s="1" t="n">
        <v>46010</v>
      </c>
      <c r="D514" t="inlineStr">
        <is>
          <t>STOCKHOLMS LÄN</t>
        </is>
      </c>
      <c r="E514" t="inlineStr">
        <is>
          <t>NORRTÄLJE</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30699-2025</t>
        </is>
      </c>
      <c r="B515" s="1" t="n">
        <v>45831.54618055555</v>
      </c>
      <c r="C515" s="1" t="n">
        <v>46010</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29003-2023</t>
        </is>
      </c>
      <c r="B516" s="1" t="n">
        <v>45104</v>
      </c>
      <c r="C516" s="1" t="n">
        <v>46010</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33295-2023</t>
        </is>
      </c>
      <c r="B517" s="1" t="n">
        <v>45127.69371527778</v>
      </c>
      <c r="C517" s="1" t="n">
        <v>46010</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14127-2025</t>
        </is>
      </c>
      <c r="B518" s="1" t="n">
        <v>45740.47055555556</v>
      </c>
      <c r="C518" s="1" t="n">
        <v>46010</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16980-2023</t>
        </is>
      </c>
      <c r="B519" s="1" t="n">
        <v>45033</v>
      </c>
      <c r="C519" s="1" t="n">
        <v>46010</v>
      </c>
      <c r="D519" t="inlineStr">
        <is>
          <t>STOCKHOLMS LÄN</t>
        </is>
      </c>
      <c r="E519" t="inlineStr">
        <is>
          <t>NORRTÄLJE</t>
        </is>
      </c>
      <c r="G519" t="n">
        <v>2.3</v>
      </c>
      <c r="H519" t="n">
        <v>0</v>
      </c>
      <c r="I519" t="n">
        <v>0</v>
      </c>
      <c r="J519" t="n">
        <v>0</v>
      </c>
      <c r="K519" t="n">
        <v>0</v>
      </c>
      <c r="L519" t="n">
        <v>0</v>
      </c>
      <c r="M519" t="n">
        <v>0</v>
      </c>
      <c r="N519" t="n">
        <v>0</v>
      </c>
      <c r="O519" t="n">
        <v>0</v>
      </c>
      <c r="P519" t="n">
        <v>0</v>
      </c>
      <c r="Q519" t="n">
        <v>0</v>
      </c>
      <c r="R519" s="2" t="inlineStr"/>
    </row>
    <row r="520" ht="15" customHeight="1">
      <c r="A520" t="inlineStr">
        <is>
          <t>A 32595-2023</t>
        </is>
      </c>
      <c r="B520" s="1" t="n">
        <v>45121</v>
      </c>
      <c r="C520" s="1" t="n">
        <v>46010</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20011-2025</t>
        </is>
      </c>
      <c r="B521" s="1" t="n">
        <v>45772.29622685185</v>
      </c>
      <c r="C521" s="1" t="n">
        <v>46010</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37550-2022</t>
        </is>
      </c>
      <c r="B522" s="1" t="n">
        <v>44809</v>
      </c>
      <c r="C522" s="1" t="n">
        <v>46010</v>
      </c>
      <c r="D522" t="inlineStr">
        <is>
          <t>STOCKHOLMS LÄN</t>
        </is>
      </c>
      <c r="E522" t="inlineStr">
        <is>
          <t>NORRTÄLJE</t>
        </is>
      </c>
      <c r="G522" t="n">
        <v>1</v>
      </c>
      <c r="H522" t="n">
        <v>0</v>
      </c>
      <c r="I522" t="n">
        <v>0</v>
      </c>
      <c r="J522" t="n">
        <v>0</v>
      </c>
      <c r="K522" t="n">
        <v>0</v>
      </c>
      <c r="L522" t="n">
        <v>0</v>
      </c>
      <c r="M522" t="n">
        <v>0</v>
      </c>
      <c r="N522" t="n">
        <v>0</v>
      </c>
      <c r="O522" t="n">
        <v>0</v>
      </c>
      <c r="P522" t="n">
        <v>0</v>
      </c>
      <c r="Q522" t="n">
        <v>0</v>
      </c>
      <c r="R522" s="2" t="inlineStr"/>
    </row>
    <row r="523" ht="15" customHeight="1">
      <c r="A523" t="inlineStr">
        <is>
          <t>A 42856-2025</t>
        </is>
      </c>
      <c r="B523" s="1" t="n">
        <v>45908</v>
      </c>
      <c r="C523" s="1" t="n">
        <v>46010</v>
      </c>
      <c r="D523" t="inlineStr">
        <is>
          <t>STOCKHOLMS LÄN</t>
        </is>
      </c>
      <c r="E523" t="inlineStr">
        <is>
          <t>NORRTÄLJE</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48161-2022</t>
        </is>
      </c>
      <c r="B524" s="1" t="n">
        <v>44858</v>
      </c>
      <c r="C524" s="1" t="n">
        <v>46010</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48798-2021</t>
        </is>
      </c>
      <c r="B525" s="1" t="n">
        <v>44452</v>
      </c>
      <c r="C525" s="1" t="n">
        <v>46010</v>
      </c>
      <c r="D525" t="inlineStr">
        <is>
          <t>STOCKHOLMS LÄN</t>
        </is>
      </c>
      <c r="E525" t="inlineStr">
        <is>
          <t>NORRTÄLJE</t>
        </is>
      </c>
      <c r="G525" t="n">
        <v>2</v>
      </c>
      <c r="H525" t="n">
        <v>0</v>
      </c>
      <c r="I525" t="n">
        <v>0</v>
      </c>
      <c r="J525" t="n">
        <v>0</v>
      </c>
      <c r="K525" t="n">
        <v>0</v>
      </c>
      <c r="L525" t="n">
        <v>0</v>
      </c>
      <c r="M525" t="n">
        <v>0</v>
      </c>
      <c r="N525" t="n">
        <v>0</v>
      </c>
      <c r="O525" t="n">
        <v>0</v>
      </c>
      <c r="P525" t="n">
        <v>0</v>
      </c>
      <c r="Q525" t="n">
        <v>0</v>
      </c>
      <c r="R525" s="2" t="inlineStr"/>
    </row>
    <row r="526" ht="15" customHeight="1">
      <c r="A526" t="inlineStr">
        <is>
          <t>A 12111-2021</t>
        </is>
      </c>
      <c r="B526" s="1" t="n">
        <v>44266</v>
      </c>
      <c r="C526" s="1" t="n">
        <v>46010</v>
      </c>
      <c r="D526" t="inlineStr">
        <is>
          <t>STOCKHOLMS LÄN</t>
        </is>
      </c>
      <c r="E526" t="inlineStr">
        <is>
          <t>NORRTÄLJE</t>
        </is>
      </c>
      <c r="G526" t="n">
        <v>5.5</v>
      </c>
      <c r="H526" t="n">
        <v>0</v>
      </c>
      <c r="I526" t="n">
        <v>0</v>
      </c>
      <c r="J526" t="n">
        <v>0</v>
      </c>
      <c r="K526" t="n">
        <v>0</v>
      </c>
      <c r="L526" t="n">
        <v>0</v>
      </c>
      <c r="M526" t="n">
        <v>0</v>
      </c>
      <c r="N526" t="n">
        <v>0</v>
      </c>
      <c r="O526" t="n">
        <v>0</v>
      </c>
      <c r="P526" t="n">
        <v>0</v>
      </c>
      <c r="Q526" t="n">
        <v>0</v>
      </c>
      <c r="R526" s="2" t="inlineStr"/>
    </row>
    <row r="527" ht="15" customHeight="1">
      <c r="A527" t="inlineStr">
        <is>
          <t>A 54776-2023</t>
        </is>
      </c>
      <c r="B527" s="1" t="n">
        <v>45236.46369212963</v>
      </c>
      <c r="C527" s="1" t="n">
        <v>46010</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57442-2021</t>
        </is>
      </c>
      <c r="B528" s="1" t="n">
        <v>44483</v>
      </c>
      <c r="C528" s="1" t="n">
        <v>46010</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55952-2024</t>
        </is>
      </c>
      <c r="B529" s="1" t="n">
        <v>45623.62563657408</v>
      </c>
      <c r="C529" s="1" t="n">
        <v>46010</v>
      </c>
      <c r="D529" t="inlineStr">
        <is>
          <t>STOCKHOLMS LÄN</t>
        </is>
      </c>
      <c r="E529" t="inlineStr">
        <is>
          <t>NORRTÄLJE</t>
        </is>
      </c>
      <c r="F529" t="inlineStr">
        <is>
          <t>Holmen skog AB</t>
        </is>
      </c>
      <c r="G529" t="n">
        <v>2.8</v>
      </c>
      <c r="H529" t="n">
        <v>0</v>
      </c>
      <c r="I529" t="n">
        <v>0</v>
      </c>
      <c r="J529" t="n">
        <v>0</v>
      </c>
      <c r="K529" t="n">
        <v>0</v>
      </c>
      <c r="L529" t="n">
        <v>0</v>
      </c>
      <c r="M529" t="n">
        <v>0</v>
      </c>
      <c r="N529" t="n">
        <v>0</v>
      </c>
      <c r="O529" t="n">
        <v>0</v>
      </c>
      <c r="P529" t="n">
        <v>0</v>
      </c>
      <c r="Q529" t="n">
        <v>0</v>
      </c>
      <c r="R529" s="2" t="inlineStr"/>
    </row>
    <row r="530" ht="15" customHeight="1">
      <c r="A530" t="inlineStr">
        <is>
          <t>A 30639-2025</t>
        </is>
      </c>
      <c r="B530" s="1" t="n">
        <v>45831.4844212963</v>
      </c>
      <c r="C530" s="1" t="n">
        <v>46010</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8135-2025</t>
        </is>
      </c>
      <c r="B531" s="1" t="n">
        <v>45707.84997685185</v>
      </c>
      <c r="C531" s="1" t="n">
        <v>46010</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24835-2025</t>
        </is>
      </c>
      <c r="B532" s="1" t="n">
        <v>45799</v>
      </c>
      <c r="C532" s="1" t="n">
        <v>46010</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30668-2025</t>
        </is>
      </c>
      <c r="B533" s="1" t="n">
        <v>45831.51659722222</v>
      </c>
      <c r="C533" s="1" t="n">
        <v>46010</v>
      </c>
      <c r="D533" t="inlineStr">
        <is>
          <t>STOCKHOLMS LÄN</t>
        </is>
      </c>
      <c r="E533" t="inlineStr">
        <is>
          <t>NORRTÄLJE</t>
        </is>
      </c>
      <c r="G533" t="n">
        <v>4.9</v>
      </c>
      <c r="H533" t="n">
        <v>0</v>
      </c>
      <c r="I533" t="n">
        <v>0</v>
      </c>
      <c r="J533" t="n">
        <v>0</v>
      </c>
      <c r="K533" t="n">
        <v>0</v>
      </c>
      <c r="L533" t="n">
        <v>0</v>
      </c>
      <c r="M533" t="n">
        <v>0</v>
      </c>
      <c r="N533" t="n">
        <v>0</v>
      </c>
      <c r="O533" t="n">
        <v>0</v>
      </c>
      <c r="P533" t="n">
        <v>0</v>
      </c>
      <c r="Q533" t="n">
        <v>0</v>
      </c>
      <c r="R533" s="2" t="inlineStr"/>
    </row>
    <row r="534" ht="15" customHeight="1">
      <c r="A534" t="inlineStr">
        <is>
          <t>A 3383-2023</t>
        </is>
      </c>
      <c r="B534" s="1" t="n">
        <v>44949</v>
      </c>
      <c r="C534" s="1" t="n">
        <v>46010</v>
      </c>
      <c r="D534" t="inlineStr">
        <is>
          <t>STOCKHOLMS LÄN</t>
        </is>
      </c>
      <c r="E534" t="inlineStr">
        <is>
          <t>NORRTÄLJE</t>
        </is>
      </c>
      <c r="G534" t="n">
        <v>14.6</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46010</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21732-2023</t>
        </is>
      </c>
      <c r="B536" s="1" t="n">
        <v>45063</v>
      </c>
      <c r="C536" s="1" t="n">
        <v>46010</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23307-2024</t>
        </is>
      </c>
      <c r="B537" s="1" t="n">
        <v>45453</v>
      </c>
      <c r="C537" s="1" t="n">
        <v>46010</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43169-2025</t>
        </is>
      </c>
      <c r="B538" s="1" t="n">
        <v>45910</v>
      </c>
      <c r="C538" s="1" t="n">
        <v>46010</v>
      </c>
      <c r="D538" t="inlineStr">
        <is>
          <t>STOCKHOLMS LÄN</t>
        </is>
      </c>
      <c r="E538" t="inlineStr">
        <is>
          <t>NORRTÄLJE</t>
        </is>
      </c>
      <c r="G538" t="n">
        <v>6.9</v>
      </c>
      <c r="H538" t="n">
        <v>0</v>
      </c>
      <c r="I538" t="n">
        <v>0</v>
      </c>
      <c r="J538" t="n">
        <v>0</v>
      </c>
      <c r="K538" t="n">
        <v>0</v>
      </c>
      <c r="L538" t="n">
        <v>0</v>
      </c>
      <c r="M538" t="n">
        <v>0</v>
      </c>
      <c r="N538" t="n">
        <v>0</v>
      </c>
      <c r="O538" t="n">
        <v>0</v>
      </c>
      <c r="P538" t="n">
        <v>0</v>
      </c>
      <c r="Q538" t="n">
        <v>0</v>
      </c>
      <c r="R538" s="2" t="inlineStr"/>
    </row>
    <row r="539" ht="15" customHeight="1">
      <c r="A539" t="inlineStr">
        <is>
          <t>A 31170-2025</t>
        </is>
      </c>
      <c r="B539" s="1" t="n">
        <v>45832.66385416667</v>
      </c>
      <c r="C539" s="1" t="n">
        <v>46010</v>
      </c>
      <c r="D539" t="inlineStr">
        <is>
          <t>STOCKHOLMS LÄN</t>
        </is>
      </c>
      <c r="E539" t="inlineStr">
        <is>
          <t>NORRTÄLJE</t>
        </is>
      </c>
      <c r="G539" t="n">
        <v>2.7</v>
      </c>
      <c r="H539" t="n">
        <v>0</v>
      </c>
      <c r="I539" t="n">
        <v>0</v>
      </c>
      <c r="J539" t="n">
        <v>0</v>
      </c>
      <c r="K539" t="n">
        <v>0</v>
      </c>
      <c r="L539" t="n">
        <v>0</v>
      </c>
      <c r="M539" t="n">
        <v>0</v>
      </c>
      <c r="N539" t="n">
        <v>0</v>
      </c>
      <c r="O539" t="n">
        <v>0</v>
      </c>
      <c r="P539" t="n">
        <v>0</v>
      </c>
      <c r="Q539" t="n">
        <v>0</v>
      </c>
      <c r="R539" s="2" t="inlineStr"/>
    </row>
    <row r="540" ht="15" customHeight="1">
      <c r="A540" t="inlineStr">
        <is>
          <t>A 3386-2021</t>
        </is>
      </c>
      <c r="B540" s="1" t="n">
        <v>44218</v>
      </c>
      <c r="C540" s="1" t="n">
        <v>46010</v>
      </c>
      <c r="D540" t="inlineStr">
        <is>
          <t>STOCKHOLMS LÄN</t>
        </is>
      </c>
      <c r="E540" t="inlineStr">
        <is>
          <t>NORRTÄLJE</t>
        </is>
      </c>
      <c r="G540" t="n">
        <v>8</v>
      </c>
      <c r="H540" t="n">
        <v>0</v>
      </c>
      <c r="I540" t="n">
        <v>0</v>
      </c>
      <c r="J540" t="n">
        <v>0</v>
      </c>
      <c r="K540" t="n">
        <v>0</v>
      </c>
      <c r="L540" t="n">
        <v>0</v>
      </c>
      <c r="M540" t="n">
        <v>0</v>
      </c>
      <c r="N540" t="n">
        <v>0</v>
      </c>
      <c r="O540" t="n">
        <v>0</v>
      </c>
      <c r="P540" t="n">
        <v>0</v>
      </c>
      <c r="Q540" t="n">
        <v>0</v>
      </c>
      <c r="R540" s="2" t="inlineStr"/>
    </row>
    <row r="541" ht="15" customHeight="1">
      <c r="A541" t="inlineStr">
        <is>
          <t>A 30719-2025</t>
        </is>
      </c>
      <c r="B541" s="1" t="n">
        <v>45831</v>
      </c>
      <c r="C541" s="1" t="n">
        <v>46010</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31880-2025</t>
        </is>
      </c>
      <c r="B542" s="1" t="n">
        <v>45834.65538194445</v>
      </c>
      <c r="C542" s="1" t="n">
        <v>46010</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43269-2025</t>
        </is>
      </c>
      <c r="B543" s="1" t="n">
        <v>45910.5819212963</v>
      </c>
      <c r="C543" s="1" t="n">
        <v>46010</v>
      </c>
      <c r="D543" t="inlineStr">
        <is>
          <t>STOCKHOLMS LÄN</t>
        </is>
      </c>
      <c r="E543" t="inlineStr">
        <is>
          <t>NORRTÄLJE</t>
        </is>
      </c>
      <c r="G543" t="n">
        <v>3.7</v>
      </c>
      <c r="H543" t="n">
        <v>0</v>
      </c>
      <c r="I543" t="n">
        <v>0</v>
      </c>
      <c r="J543" t="n">
        <v>0</v>
      </c>
      <c r="K543" t="n">
        <v>0</v>
      </c>
      <c r="L543" t="n">
        <v>0</v>
      </c>
      <c r="M543" t="n">
        <v>0</v>
      </c>
      <c r="N543" t="n">
        <v>0</v>
      </c>
      <c r="O543" t="n">
        <v>0</v>
      </c>
      <c r="P543" t="n">
        <v>0</v>
      </c>
      <c r="Q543" t="n">
        <v>0</v>
      </c>
      <c r="R543" s="2" t="inlineStr"/>
    </row>
    <row r="544" ht="15" customHeight="1">
      <c r="A544" t="inlineStr">
        <is>
          <t>A 32122-2025</t>
        </is>
      </c>
      <c r="B544" s="1" t="n">
        <v>45835.4928125</v>
      </c>
      <c r="C544" s="1" t="n">
        <v>46010</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31868-2025</t>
        </is>
      </c>
      <c r="B545" s="1" t="n">
        <v>45834.6447337963</v>
      </c>
      <c r="C545" s="1" t="n">
        <v>46010</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6413-2025</t>
        </is>
      </c>
      <c r="B546" s="1" t="n">
        <v>45699.46283564815</v>
      </c>
      <c r="C546" s="1" t="n">
        <v>46010</v>
      </c>
      <c r="D546" t="inlineStr">
        <is>
          <t>STOCKHOLMS LÄN</t>
        </is>
      </c>
      <c r="E546" t="inlineStr">
        <is>
          <t>NORRTÄLJE</t>
        </is>
      </c>
      <c r="G546" t="n">
        <v>3.6</v>
      </c>
      <c r="H546" t="n">
        <v>0</v>
      </c>
      <c r="I546" t="n">
        <v>0</v>
      </c>
      <c r="J546" t="n">
        <v>0</v>
      </c>
      <c r="K546" t="n">
        <v>0</v>
      </c>
      <c r="L546" t="n">
        <v>0</v>
      </c>
      <c r="M546" t="n">
        <v>0</v>
      </c>
      <c r="N546" t="n">
        <v>0</v>
      </c>
      <c r="O546" t="n">
        <v>0</v>
      </c>
      <c r="P546" t="n">
        <v>0</v>
      </c>
      <c r="Q546" t="n">
        <v>0</v>
      </c>
      <c r="R546" s="2" t="inlineStr"/>
    </row>
    <row r="547" ht="15" customHeight="1">
      <c r="A547" t="inlineStr">
        <is>
          <t>A 37085-2021</t>
        </is>
      </c>
      <c r="B547" s="1" t="n">
        <v>44395</v>
      </c>
      <c r="C547" s="1" t="n">
        <v>46010</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56428-2023</t>
        </is>
      </c>
      <c r="B548" s="1" t="n">
        <v>45243.45289351852</v>
      </c>
      <c r="C548" s="1" t="n">
        <v>46010</v>
      </c>
      <c r="D548" t="inlineStr">
        <is>
          <t>STOCKHOLMS LÄN</t>
        </is>
      </c>
      <c r="E548" t="inlineStr">
        <is>
          <t>NORRTÄLJE</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32016-2025</t>
        </is>
      </c>
      <c r="B549" s="1" t="n">
        <v>45835</v>
      </c>
      <c r="C549" s="1" t="n">
        <v>46010</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32283-2025</t>
        </is>
      </c>
      <c r="B550" s="1" t="n">
        <v>45835.68076388889</v>
      </c>
      <c r="C550" s="1" t="n">
        <v>46010</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17556-2025</t>
        </is>
      </c>
      <c r="B551" s="1" t="n">
        <v>45757.62482638889</v>
      </c>
      <c r="C551" s="1" t="n">
        <v>46010</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31874-2025</t>
        </is>
      </c>
      <c r="B552" s="1" t="n">
        <v>45834</v>
      </c>
      <c r="C552" s="1" t="n">
        <v>46010</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32094-2025</t>
        </is>
      </c>
      <c r="B553" s="1" t="n">
        <v>45835.46034722222</v>
      </c>
      <c r="C553" s="1" t="n">
        <v>46010</v>
      </c>
      <c r="D553" t="inlineStr">
        <is>
          <t>STOCKHOLMS LÄN</t>
        </is>
      </c>
      <c r="E553" t="inlineStr">
        <is>
          <t>NORRTÄLJE</t>
        </is>
      </c>
      <c r="F553" t="inlineStr">
        <is>
          <t>Holmen skog AB</t>
        </is>
      </c>
      <c r="G553" t="n">
        <v>2.9</v>
      </c>
      <c r="H553" t="n">
        <v>0</v>
      </c>
      <c r="I553" t="n">
        <v>0</v>
      </c>
      <c r="J553" t="n">
        <v>0</v>
      </c>
      <c r="K553" t="n">
        <v>0</v>
      </c>
      <c r="L553" t="n">
        <v>0</v>
      </c>
      <c r="M553" t="n">
        <v>0</v>
      </c>
      <c r="N553" t="n">
        <v>0</v>
      </c>
      <c r="O553" t="n">
        <v>0</v>
      </c>
      <c r="P553" t="n">
        <v>0</v>
      </c>
      <c r="Q553" t="n">
        <v>0</v>
      </c>
      <c r="R553" s="2" t="inlineStr"/>
    </row>
    <row r="554" ht="15" customHeight="1">
      <c r="A554" t="inlineStr">
        <is>
          <t>A 43916-2025</t>
        </is>
      </c>
      <c r="B554" s="1" t="n">
        <v>45914.78884259259</v>
      </c>
      <c r="C554" s="1" t="n">
        <v>46010</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42094-2023</t>
        </is>
      </c>
      <c r="B555" s="1" t="n">
        <v>45177.61498842593</v>
      </c>
      <c r="C555" s="1" t="n">
        <v>46010</v>
      </c>
      <c r="D555" t="inlineStr">
        <is>
          <t>STOCKHOLMS LÄN</t>
        </is>
      </c>
      <c r="E555" t="inlineStr">
        <is>
          <t>NORRTÄLJE</t>
        </is>
      </c>
      <c r="G555" t="n">
        <v>0.3</v>
      </c>
      <c r="H555" t="n">
        <v>0</v>
      </c>
      <c r="I555" t="n">
        <v>0</v>
      </c>
      <c r="J555" t="n">
        <v>0</v>
      </c>
      <c r="K555" t="n">
        <v>0</v>
      </c>
      <c r="L555" t="n">
        <v>0</v>
      </c>
      <c r="M555" t="n">
        <v>0</v>
      </c>
      <c r="N555" t="n">
        <v>0</v>
      </c>
      <c r="O555" t="n">
        <v>0</v>
      </c>
      <c r="P555" t="n">
        <v>0</v>
      </c>
      <c r="Q555" t="n">
        <v>0</v>
      </c>
      <c r="R555" s="2" t="inlineStr"/>
    </row>
    <row r="556" ht="15" customHeight="1">
      <c r="A556" t="inlineStr">
        <is>
          <t>A 32480-2025</t>
        </is>
      </c>
      <c r="B556" s="1" t="n">
        <v>45838.43261574074</v>
      </c>
      <c r="C556" s="1" t="n">
        <v>46010</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32872-2025</t>
        </is>
      </c>
      <c r="B557" s="1" t="n">
        <v>45839</v>
      </c>
      <c r="C557" s="1" t="n">
        <v>46010</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32903-2025</t>
        </is>
      </c>
      <c r="B558" s="1" t="n">
        <v>45839.62398148148</v>
      </c>
      <c r="C558" s="1" t="n">
        <v>46010</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32395-2025</t>
        </is>
      </c>
      <c r="B559" s="1" t="n">
        <v>45837.93730324074</v>
      </c>
      <c r="C559" s="1" t="n">
        <v>46010</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32396-2025</t>
        </is>
      </c>
      <c r="B560" s="1" t="n">
        <v>45837</v>
      </c>
      <c r="C560" s="1" t="n">
        <v>46010</v>
      </c>
      <c r="D560" t="inlineStr">
        <is>
          <t>STOCKHOLMS LÄN</t>
        </is>
      </c>
      <c r="E560" t="inlineStr">
        <is>
          <t>NORRTÄLJE</t>
        </is>
      </c>
      <c r="G560" t="n">
        <v>2</v>
      </c>
      <c r="H560" t="n">
        <v>0</v>
      </c>
      <c r="I560" t="n">
        <v>0</v>
      </c>
      <c r="J560" t="n">
        <v>0</v>
      </c>
      <c r="K560" t="n">
        <v>0</v>
      </c>
      <c r="L560" t="n">
        <v>0</v>
      </c>
      <c r="M560" t="n">
        <v>0</v>
      </c>
      <c r="N560" t="n">
        <v>0</v>
      </c>
      <c r="O560" t="n">
        <v>0</v>
      </c>
      <c r="P560" t="n">
        <v>0</v>
      </c>
      <c r="Q560" t="n">
        <v>0</v>
      </c>
      <c r="R560" s="2" t="inlineStr"/>
    </row>
    <row r="561" ht="15" customHeight="1">
      <c r="A561" t="inlineStr">
        <is>
          <t>A 32397-2025</t>
        </is>
      </c>
      <c r="B561" s="1" t="n">
        <v>45837.94081018519</v>
      </c>
      <c r="C561" s="1" t="n">
        <v>46010</v>
      </c>
      <c r="D561" t="inlineStr">
        <is>
          <t>STOCKHOLMS LÄN</t>
        </is>
      </c>
      <c r="E561" t="inlineStr">
        <is>
          <t>NORRTÄLJE</t>
        </is>
      </c>
      <c r="G561" t="n">
        <v>5.9</v>
      </c>
      <c r="H561" t="n">
        <v>0</v>
      </c>
      <c r="I561" t="n">
        <v>0</v>
      </c>
      <c r="J561" t="n">
        <v>0</v>
      </c>
      <c r="K561" t="n">
        <v>0</v>
      </c>
      <c r="L561" t="n">
        <v>0</v>
      </c>
      <c r="M561" t="n">
        <v>0</v>
      </c>
      <c r="N561" t="n">
        <v>0</v>
      </c>
      <c r="O561" t="n">
        <v>0</v>
      </c>
      <c r="P561" t="n">
        <v>0</v>
      </c>
      <c r="Q561" t="n">
        <v>0</v>
      </c>
      <c r="R561" s="2" t="inlineStr"/>
    </row>
    <row r="562" ht="15" customHeight="1">
      <c r="A562" t="inlineStr">
        <is>
          <t>A 8370-2025</t>
        </is>
      </c>
      <c r="B562" s="1" t="n">
        <v>45708</v>
      </c>
      <c r="C562" s="1" t="n">
        <v>46010</v>
      </c>
      <c r="D562" t="inlineStr">
        <is>
          <t>STOCKHOLMS LÄN</t>
        </is>
      </c>
      <c r="E562" t="inlineStr">
        <is>
          <t>NORRTÄLJE</t>
        </is>
      </c>
      <c r="F562" t="inlineStr">
        <is>
          <t>Övriga Aktiebolag</t>
        </is>
      </c>
      <c r="G562" t="n">
        <v>5.6</v>
      </c>
      <c r="H562" t="n">
        <v>0</v>
      </c>
      <c r="I562" t="n">
        <v>0</v>
      </c>
      <c r="J562" t="n">
        <v>0</v>
      </c>
      <c r="K562" t="n">
        <v>0</v>
      </c>
      <c r="L562" t="n">
        <v>0</v>
      </c>
      <c r="M562" t="n">
        <v>0</v>
      </c>
      <c r="N562" t="n">
        <v>0</v>
      </c>
      <c r="O562" t="n">
        <v>0</v>
      </c>
      <c r="P562" t="n">
        <v>0</v>
      </c>
      <c r="Q562" t="n">
        <v>0</v>
      </c>
      <c r="R562" s="2" t="inlineStr"/>
    </row>
    <row r="563" ht="15" customHeight="1">
      <c r="A563" t="inlineStr">
        <is>
          <t>A 3299-2022</t>
        </is>
      </c>
      <c r="B563" s="1" t="n">
        <v>44584.91001157407</v>
      </c>
      <c r="C563" s="1" t="n">
        <v>46010</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44354-2025</t>
        </is>
      </c>
      <c r="B564" s="1" t="n">
        <v>45916.44655092592</v>
      </c>
      <c r="C564" s="1" t="n">
        <v>46010</v>
      </c>
      <c r="D564" t="inlineStr">
        <is>
          <t>STOCKHOLMS LÄN</t>
        </is>
      </c>
      <c r="E564" t="inlineStr">
        <is>
          <t>NORRTÄLJE</t>
        </is>
      </c>
      <c r="G564" t="n">
        <v>2.3</v>
      </c>
      <c r="H564" t="n">
        <v>0</v>
      </c>
      <c r="I564" t="n">
        <v>0</v>
      </c>
      <c r="J564" t="n">
        <v>0</v>
      </c>
      <c r="K564" t="n">
        <v>0</v>
      </c>
      <c r="L564" t="n">
        <v>0</v>
      </c>
      <c r="M564" t="n">
        <v>0</v>
      </c>
      <c r="N564" t="n">
        <v>0</v>
      </c>
      <c r="O564" t="n">
        <v>0</v>
      </c>
      <c r="P564" t="n">
        <v>0</v>
      </c>
      <c r="Q564" t="n">
        <v>0</v>
      </c>
      <c r="R564" s="2" t="inlineStr"/>
    </row>
    <row r="565" ht="15" customHeight="1">
      <c r="A565" t="inlineStr">
        <is>
          <t>A 12348-2025</t>
        </is>
      </c>
      <c r="B565" s="1" t="n">
        <v>45730.35026620371</v>
      </c>
      <c r="C565" s="1" t="n">
        <v>46010</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17545-2025</t>
        </is>
      </c>
      <c r="B566" s="1" t="n">
        <v>45757.60658564815</v>
      </c>
      <c r="C566" s="1" t="n">
        <v>46010</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25094-2023</t>
        </is>
      </c>
      <c r="B567" s="1" t="n">
        <v>45086.3629050926</v>
      </c>
      <c r="C567" s="1" t="n">
        <v>46010</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36157-2024</t>
        </is>
      </c>
      <c r="B568" s="1" t="n">
        <v>45534.38240740741</v>
      </c>
      <c r="C568" s="1" t="n">
        <v>46010</v>
      </c>
      <c r="D568" t="inlineStr">
        <is>
          <t>STOCKHOLMS LÄN</t>
        </is>
      </c>
      <c r="E568" t="inlineStr">
        <is>
          <t>NORRTÄLJE</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33702-2025</t>
        </is>
      </c>
      <c r="B569" s="1" t="n">
        <v>45841.74596064815</v>
      </c>
      <c r="C569" s="1" t="n">
        <v>46010</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47694-2023</t>
        </is>
      </c>
      <c r="B570" s="1" t="n">
        <v>45203.63303240741</v>
      </c>
      <c r="C570" s="1" t="n">
        <v>46010</v>
      </c>
      <c r="D570" t="inlineStr">
        <is>
          <t>STOCKHOLMS LÄN</t>
        </is>
      </c>
      <c r="E570" t="inlineStr">
        <is>
          <t>NORRTÄLJE</t>
        </is>
      </c>
      <c r="G570" t="n">
        <v>5.2</v>
      </c>
      <c r="H570" t="n">
        <v>0</v>
      </c>
      <c r="I570" t="n">
        <v>0</v>
      </c>
      <c r="J570" t="n">
        <v>0</v>
      </c>
      <c r="K570" t="n">
        <v>0</v>
      </c>
      <c r="L570" t="n">
        <v>0</v>
      </c>
      <c r="M570" t="n">
        <v>0</v>
      </c>
      <c r="N570" t="n">
        <v>0</v>
      </c>
      <c r="O570" t="n">
        <v>0</v>
      </c>
      <c r="P570" t="n">
        <v>0</v>
      </c>
      <c r="Q570" t="n">
        <v>0</v>
      </c>
      <c r="R570" s="2" t="inlineStr"/>
    </row>
    <row r="571" ht="15" customHeight="1">
      <c r="A571" t="inlineStr">
        <is>
          <t>A 33211-2025</t>
        </is>
      </c>
      <c r="B571" s="1" t="n">
        <v>45840.62755787037</v>
      </c>
      <c r="C571" s="1" t="n">
        <v>46010</v>
      </c>
      <c r="D571" t="inlineStr">
        <is>
          <t>STOCKHOLMS LÄN</t>
        </is>
      </c>
      <c r="E571" t="inlineStr">
        <is>
          <t>NORRTÄLJE</t>
        </is>
      </c>
      <c r="G571" t="n">
        <v>5.1</v>
      </c>
      <c r="H571" t="n">
        <v>0</v>
      </c>
      <c r="I571" t="n">
        <v>0</v>
      </c>
      <c r="J571" t="n">
        <v>0</v>
      </c>
      <c r="K571" t="n">
        <v>0</v>
      </c>
      <c r="L571" t="n">
        <v>0</v>
      </c>
      <c r="M571" t="n">
        <v>0</v>
      </c>
      <c r="N571" t="n">
        <v>0</v>
      </c>
      <c r="O571" t="n">
        <v>0</v>
      </c>
      <c r="P571" t="n">
        <v>0</v>
      </c>
      <c r="Q571" t="n">
        <v>0</v>
      </c>
      <c r="R571" s="2" t="inlineStr"/>
    </row>
    <row r="572" ht="15" customHeight="1">
      <c r="A572" t="inlineStr">
        <is>
          <t>A 35532-2024</t>
        </is>
      </c>
      <c r="B572" s="1" t="n">
        <v>45531</v>
      </c>
      <c r="C572" s="1" t="n">
        <v>46010</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44306-2025</t>
        </is>
      </c>
      <c r="B573" s="1" t="n">
        <v>45916.37736111111</v>
      </c>
      <c r="C573" s="1" t="n">
        <v>46010</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1654-2025</t>
        </is>
      </c>
      <c r="B574" s="1" t="n">
        <v>45670.65921296296</v>
      </c>
      <c r="C574" s="1" t="n">
        <v>46010</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44343-2025</t>
        </is>
      </c>
      <c r="B575" s="1" t="n">
        <v>45916.43378472222</v>
      </c>
      <c r="C575" s="1" t="n">
        <v>46010</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44349-2025</t>
        </is>
      </c>
      <c r="B576" s="1" t="n">
        <v>45916.43929398148</v>
      </c>
      <c r="C576" s="1" t="n">
        <v>46010</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62644-2023</t>
        </is>
      </c>
      <c r="B577" s="1" t="n">
        <v>45271</v>
      </c>
      <c r="C577" s="1" t="n">
        <v>46010</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33265-2025</t>
        </is>
      </c>
      <c r="B578" s="1" t="n">
        <v>45840.67829861111</v>
      </c>
      <c r="C578" s="1" t="n">
        <v>46010</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44311-2025</t>
        </is>
      </c>
      <c r="B579" s="1" t="n">
        <v>45916.38394675926</v>
      </c>
      <c r="C579" s="1" t="n">
        <v>46010</v>
      </c>
      <c r="D579" t="inlineStr">
        <is>
          <t>STOCKHOLMS LÄN</t>
        </is>
      </c>
      <c r="E579" t="inlineStr">
        <is>
          <t>NORRTÄLJE</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33552-2025</t>
        </is>
      </c>
      <c r="B580" s="1" t="n">
        <v>45841.5737962963</v>
      </c>
      <c r="C580" s="1" t="n">
        <v>46010</v>
      </c>
      <c r="D580" t="inlineStr">
        <is>
          <t>STOCKHOLMS LÄN</t>
        </is>
      </c>
      <c r="E580" t="inlineStr">
        <is>
          <t>NORRTÄLJE</t>
        </is>
      </c>
      <c r="G580" t="n">
        <v>8.9</v>
      </c>
      <c r="H580" t="n">
        <v>0</v>
      </c>
      <c r="I580" t="n">
        <v>0</v>
      </c>
      <c r="J580" t="n">
        <v>0</v>
      </c>
      <c r="K580" t="n">
        <v>0</v>
      </c>
      <c r="L580" t="n">
        <v>0</v>
      </c>
      <c r="M580" t="n">
        <v>0</v>
      </c>
      <c r="N580" t="n">
        <v>0</v>
      </c>
      <c r="O580" t="n">
        <v>0</v>
      </c>
      <c r="P580" t="n">
        <v>0</v>
      </c>
      <c r="Q580" t="n">
        <v>0</v>
      </c>
      <c r="R580" s="2" t="inlineStr"/>
    </row>
    <row r="581" ht="15" customHeight="1">
      <c r="A581" t="inlineStr">
        <is>
          <t>A 33336-2025</t>
        </is>
      </c>
      <c r="B581" s="1" t="n">
        <v>45841.35611111111</v>
      </c>
      <c r="C581" s="1" t="n">
        <v>46010</v>
      </c>
      <c r="D581" t="inlineStr">
        <is>
          <t>STOCKHOLMS LÄN</t>
        </is>
      </c>
      <c r="E581" t="inlineStr">
        <is>
          <t>NORRTÄLJE</t>
        </is>
      </c>
      <c r="G581" t="n">
        <v>2.4</v>
      </c>
      <c r="H581" t="n">
        <v>0</v>
      </c>
      <c r="I581" t="n">
        <v>0</v>
      </c>
      <c r="J581" t="n">
        <v>0</v>
      </c>
      <c r="K581" t="n">
        <v>0</v>
      </c>
      <c r="L581" t="n">
        <v>0</v>
      </c>
      <c r="M581" t="n">
        <v>0</v>
      </c>
      <c r="N581" t="n">
        <v>0</v>
      </c>
      <c r="O581" t="n">
        <v>0</v>
      </c>
      <c r="P581" t="n">
        <v>0</v>
      </c>
      <c r="Q581" t="n">
        <v>0</v>
      </c>
      <c r="R581" s="2" t="inlineStr"/>
    </row>
    <row r="582" ht="15" customHeight="1">
      <c r="A582" t="inlineStr">
        <is>
          <t>A 33824-2025</t>
        </is>
      </c>
      <c r="B582" s="1" t="n">
        <v>45842.46885416667</v>
      </c>
      <c r="C582" s="1" t="n">
        <v>46010</v>
      </c>
      <c r="D582" t="inlineStr">
        <is>
          <t>STOCKHOLMS LÄN</t>
        </is>
      </c>
      <c r="E582" t="inlineStr">
        <is>
          <t>NORRTÄLJE</t>
        </is>
      </c>
      <c r="G582" t="n">
        <v>1.9</v>
      </c>
      <c r="H582" t="n">
        <v>0</v>
      </c>
      <c r="I582" t="n">
        <v>0</v>
      </c>
      <c r="J582" t="n">
        <v>0</v>
      </c>
      <c r="K582" t="n">
        <v>0</v>
      </c>
      <c r="L582" t="n">
        <v>0</v>
      </c>
      <c r="M582" t="n">
        <v>0</v>
      </c>
      <c r="N582" t="n">
        <v>0</v>
      </c>
      <c r="O582" t="n">
        <v>0</v>
      </c>
      <c r="P582" t="n">
        <v>0</v>
      </c>
      <c r="Q582" t="n">
        <v>0</v>
      </c>
      <c r="R582" s="2" t="inlineStr"/>
    </row>
    <row r="583" ht="15" customHeight="1">
      <c r="A583" t="inlineStr">
        <is>
          <t>A 44333-2025</t>
        </is>
      </c>
      <c r="B583" s="1" t="n">
        <v>45916.42293981482</v>
      </c>
      <c r="C583" s="1" t="n">
        <v>46010</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11229-2022</t>
        </is>
      </c>
      <c r="B584" s="1" t="n">
        <v>44629</v>
      </c>
      <c r="C584" s="1" t="n">
        <v>46010</v>
      </c>
      <c r="D584" t="inlineStr">
        <is>
          <t>STOCKHOLMS LÄN</t>
        </is>
      </c>
      <c r="E584" t="inlineStr">
        <is>
          <t>NORRTÄLJE</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34006-2025</t>
        </is>
      </c>
      <c r="B585" s="1" t="n">
        <v>45844.62609953704</v>
      </c>
      <c r="C585" s="1" t="n">
        <v>46010</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34139-2025</t>
        </is>
      </c>
      <c r="B586" s="1" t="n">
        <v>45845</v>
      </c>
      <c r="C586" s="1" t="n">
        <v>46010</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34010-2025</t>
        </is>
      </c>
      <c r="B587" s="1" t="n">
        <v>45844.91234953704</v>
      </c>
      <c r="C587" s="1" t="n">
        <v>46010</v>
      </c>
      <c r="D587" t="inlineStr">
        <is>
          <t>STOCKHOLMS LÄN</t>
        </is>
      </c>
      <c r="E587" t="inlineStr">
        <is>
          <t>NORRTÄLJE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57353-2024</t>
        </is>
      </c>
      <c r="B588" s="1" t="n">
        <v>45629.65143518519</v>
      </c>
      <c r="C588" s="1" t="n">
        <v>46010</v>
      </c>
      <c r="D588" t="inlineStr">
        <is>
          <t>STOCKHOLMS LÄN</t>
        </is>
      </c>
      <c r="E588" t="inlineStr">
        <is>
          <t>NORRTÄLJE</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48587-2023</t>
        </is>
      </c>
      <c r="B589" s="1" t="n">
        <v>45208</v>
      </c>
      <c r="C589" s="1" t="n">
        <v>46010</v>
      </c>
      <c r="D589" t="inlineStr">
        <is>
          <t>STOCKHOLMS LÄN</t>
        </is>
      </c>
      <c r="E589" t="inlineStr">
        <is>
          <t>NORRTÄLJE</t>
        </is>
      </c>
      <c r="G589" t="n">
        <v>7</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46010</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36689-2023</t>
        </is>
      </c>
      <c r="B591" s="1" t="n">
        <v>45152</v>
      </c>
      <c r="C591" s="1" t="n">
        <v>46010</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46073-2024</t>
        </is>
      </c>
      <c r="B592" s="1" t="n">
        <v>45581</v>
      </c>
      <c r="C592" s="1" t="n">
        <v>46010</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2549-2022</t>
        </is>
      </c>
      <c r="B593" s="1" t="n">
        <v>44580</v>
      </c>
      <c r="C593" s="1" t="n">
        <v>46010</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4438-2023</t>
        </is>
      </c>
      <c r="B594" s="1" t="n">
        <v>44956</v>
      </c>
      <c r="C594" s="1" t="n">
        <v>46010</v>
      </c>
      <c r="D594" t="inlineStr">
        <is>
          <t>STOCKHOLMS LÄN</t>
        </is>
      </c>
      <c r="E594" t="inlineStr">
        <is>
          <t>NORRTÄLJE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47758-2023</t>
        </is>
      </c>
      <c r="B595" s="1" t="n">
        <v>45203.83891203703</v>
      </c>
      <c r="C595" s="1" t="n">
        <v>46010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51061-2023</t>
        </is>
      </c>
      <c r="B596" s="1" t="n">
        <v>45218.65849537037</v>
      </c>
      <c r="C596" s="1" t="n">
        <v>46010</v>
      </c>
      <c r="D596" t="inlineStr">
        <is>
          <t>STOCKHOLMS LÄN</t>
        </is>
      </c>
      <c r="E596" t="inlineStr">
        <is>
          <t>NORRTÄLJE</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22697-2022</t>
        </is>
      </c>
      <c r="B597" s="1" t="n">
        <v>44714.56040509259</v>
      </c>
      <c r="C597" s="1" t="n">
        <v>46010</v>
      </c>
      <c r="D597" t="inlineStr">
        <is>
          <t>STOCKHOLMS LÄN</t>
        </is>
      </c>
      <c r="E597" t="inlineStr">
        <is>
          <t>NORRTÄLJE</t>
        </is>
      </c>
      <c r="G597" t="n">
        <v>5.6</v>
      </c>
      <c r="H597" t="n">
        <v>0</v>
      </c>
      <c r="I597" t="n">
        <v>0</v>
      </c>
      <c r="J597" t="n">
        <v>0</v>
      </c>
      <c r="K597" t="n">
        <v>0</v>
      </c>
      <c r="L597" t="n">
        <v>0</v>
      </c>
      <c r="M597" t="n">
        <v>0</v>
      </c>
      <c r="N597" t="n">
        <v>0</v>
      </c>
      <c r="O597" t="n">
        <v>0</v>
      </c>
      <c r="P597" t="n">
        <v>0</v>
      </c>
      <c r="Q597" t="n">
        <v>0</v>
      </c>
      <c r="R597" s="2" t="inlineStr"/>
    </row>
    <row r="598" ht="15" customHeight="1">
      <c r="A598" t="inlineStr">
        <is>
          <t>A 45549-2022</t>
        </is>
      </c>
      <c r="B598" s="1" t="n">
        <v>44845.48064814815</v>
      </c>
      <c r="C598" s="1" t="n">
        <v>46010</v>
      </c>
      <c r="D598" t="inlineStr">
        <is>
          <t>STOCKHOLMS LÄN</t>
        </is>
      </c>
      <c r="E598" t="inlineStr">
        <is>
          <t>NORRTÄLJE</t>
        </is>
      </c>
      <c r="G598" t="n">
        <v>0.8</v>
      </c>
      <c r="H598" t="n">
        <v>0</v>
      </c>
      <c r="I598" t="n">
        <v>0</v>
      </c>
      <c r="J598" t="n">
        <v>0</v>
      </c>
      <c r="K598" t="n">
        <v>0</v>
      </c>
      <c r="L598" t="n">
        <v>0</v>
      </c>
      <c r="M598" t="n">
        <v>0</v>
      </c>
      <c r="N598" t="n">
        <v>0</v>
      </c>
      <c r="O598" t="n">
        <v>0</v>
      </c>
      <c r="P598" t="n">
        <v>0</v>
      </c>
      <c r="Q598" t="n">
        <v>0</v>
      </c>
      <c r="R598" s="2" t="inlineStr"/>
    </row>
    <row r="599" ht="15" customHeight="1">
      <c r="A599" t="inlineStr">
        <is>
          <t>A 54396-2021</t>
        </is>
      </c>
      <c r="B599" s="1" t="n">
        <v>44472</v>
      </c>
      <c r="C599" s="1" t="n">
        <v>46010</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44937-2025</t>
        </is>
      </c>
      <c r="B600" s="1" t="n">
        <v>45918</v>
      </c>
      <c r="C600" s="1" t="n">
        <v>46010</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24727-2023</t>
        </is>
      </c>
      <c r="B601" s="1" t="n">
        <v>45084.57695601852</v>
      </c>
      <c r="C601" s="1" t="n">
        <v>46010</v>
      </c>
      <c r="D601" t="inlineStr">
        <is>
          <t>STOCKHOLMS LÄN</t>
        </is>
      </c>
      <c r="E601" t="inlineStr">
        <is>
          <t>NORRTÄLJE</t>
        </is>
      </c>
      <c r="F601" t="inlineStr">
        <is>
          <t>Holmen skog AB</t>
        </is>
      </c>
      <c r="G601" t="n">
        <v>2.2</v>
      </c>
      <c r="H601" t="n">
        <v>0</v>
      </c>
      <c r="I601" t="n">
        <v>0</v>
      </c>
      <c r="J601" t="n">
        <v>0</v>
      </c>
      <c r="K601" t="n">
        <v>0</v>
      </c>
      <c r="L601" t="n">
        <v>0</v>
      </c>
      <c r="M601" t="n">
        <v>0</v>
      </c>
      <c r="N601" t="n">
        <v>0</v>
      </c>
      <c r="O601" t="n">
        <v>0</v>
      </c>
      <c r="P601" t="n">
        <v>0</v>
      </c>
      <c r="Q601" t="n">
        <v>0</v>
      </c>
      <c r="R601" s="2" t="inlineStr"/>
    </row>
    <row r="602" ht="15" customHeight="1">
      <c r="A602" t="inlineStr">
        <is>
          <t>A 39610-2025</t>
        </is>
      </c>
      <c r="B602" s="1" t="n">
        <v>45890.56001157407</v>
      </c>
      <c r="C602" s="1" t="n">
        <v>46010</v>
      </c>
      <c r="D602" t="inlineStr">
        <is>
          <t>STOCKHOLMS LÄN</t>
        </is>
      </c>
      <c r="E602" t="inlineStr">
        <is>
          <t>NORRTÄLJE</t>
        </is>
      </c>
      <c r="G602" t="n">
        <v>28.6</v>
      </c>
      <c r="H602" t="n">
        <v>0</v>
      </c>
      <c r="I602" t="n">
        <v>0</v>
      </c>
      <c r="J602" t="n">
        <v>0</v>
      </c>
      <c r="K602" t="n">
        <v>0</v>
      </c>
      <c r="L602" t="n">
        <v>0</v>
      </c>
      <c r="M602" t="n">
        <v>0</v>
      </c>
      <c r="N602" t="n">
        <v>0</v>
      </c>
      <c r="O602" t="n">
        <v>0</v>
      </c>
      <c r="P602" t="n">
        <v>0</v>
      </c>
      <c r="Q602" t="n">
        <v>0</v>
      </c>
      <c r="R602" s="2" t="inlineStr"/>
    </row>
    <row r="603" ht="15" customHeight="1">
      <c r="A603" t="inlineStr">
        <is>
          <t>A 48722-2023</t>
        </is>
      </c>
      <c r="B603" s="1" t="n">
        <v>45208.70996527778</v>
      </c>
      <c r="C603" s="1" t="n">
        <v>46010</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35235-2024</t>
        </is>
      </c>
      <c r="B604" s="1" t="n">
        <v>45530</v>
      </c>
      <c r="C604" s="1" t="n">
        <v>46010</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1448-2023</t>
        </is>
      </c>
      <c r="B605" s="1" t="n">
        <v>44937</v>
      </c>
      <c r="C605" s="1" t="n">
        <v>46010</v>
      </c>
      <c r="D605" t="inlineStr">
        <is>
          <t>STOCKHOLMS LÄN</t>
        </is>
      </c>
      <c r="E605" t="inlineStr">
        <is>
          <t>NORRTÄLJE</t>
        </is>
      </c>
      <c r="G605" t="n">
        <v>1.9</v>
      </c>
      <c r="H605" t="n">
        <v>0</v>
      </c>
      <c r="I605" t="n">
        <v>0</v>
      </c>
      <c r="J605" t="n">
        <v>0</v>
      </c>
      <c r="K605" t="n">
        <v>0</v>
      </c>
      <c r="L605" t="n">
        <v>0</v>
      </c>
      <c r="M605" t="n">
        <v>0</v>
      </c>
      <c r="N605" t="n">
        <v>0</v>
      </c>
      <c r="O605" t="n">
        <v>0</v>
      </c>
      <c r="P605" t="n">
        <v>0</v>
      </c>
      <c r="Q605" t="n">
        <v>0</v>
      </c>
      <c r="R605" s="2" t="inlineStr"/>
    </row>
    <row r="606" ht="15" customHeight="1">
      <c r="A606" t="inlineStr">
        <is>
          <t>A 8736-2024</t>
        </is>
      </c>
      <c r="B606" s="1" t="n">
        <v>45356.4722800926</v>
      </c>
      <c r="C606" s="1" t="n">
        <v>46010</v>
      </c>
      <c r="D606" t="inlineStr">
        <is>
          <t>STOCKHOLMS LÄN</t>
        </is>
      </c>
      <c r="E606" t="inlineStr">
        <is>
          <t>NORRTÄLJE</t>
        </is>
      </c>
      <c r="G606" t="n">
        <v>8.9</v>
      </c>
      <c r="H606" t="n">
        <v>0</v>
      </c>
      <c r="I606" t="n">
        <v>0</v>
      </c>
      <c r="J606" t="n">
        <v>0</v>
      </c>
      <c r="K606" t="n">
        <v>0</v>
      </c>
      <c r="L606" t="n">
        <v>0</v>
      </c>
      <c r="M606" t="n">
        <v>0</v>
      </c>
      <c r="N606" t="n">
        <v>0</v>
      </c>
      <c r="O606" t="n">
        <v>0</v>
      </c>
      <c r="P606" t="n">
        <v>0</v>
      </c>
      <c r="Q606" t="n">
        <v>0</v>
      </c>
      <c r="R606" s="2" t="inlineStr"/>
    </row>
    <row r="607" ht="15" customHeight="1">
      <c r="A607" t="inlineStr">
        <is>
          <t>A 33149-2022</t>
        </is>
      </c>
      <c r="B607" s="1" t="n">
        <v>44785</v>
      </c>
      <c r="C607" s="1" t="n">
        <v>46010</v>
      </c>
      <c r="D607" t="inlineStr">
        <is>
          <t>STOCKHOLMS LÄN</t>
        </is>
      </c>
      <c r="E607" t="inlineStr">
        <is>
          <t>NORRTÄLJE</t>
        </is>
      </c>
      <c r="F607" t="inlineStr">
        <is>
          <t>Holmen skog AB</t>
        </is>
      </c>
      <c r="G607" t="n">
        <v>4.4</v>
      </c>
      <c r="H607" t="n">
        <v>0</v>
      </c>
      <c r="I607" t="n">
        <v>0</v>
      </c>
      <c r="J607" t="n">
        <v>0</v>
      </c>
      <c r="K607" t="n">
        <v>0</v>
      </c>
      <c r="L607" t="n">
        <v>0</v>
      </c>
      <c r="M607" t="n">
        <v>0</v>
      </c>
      <c r="N607" t="n">
        <v>0</v>
      </c>
      <c r="O607" t="n">
        <v>0</v>
      </c>
      <c r="P607" t="n">
        <v>0</v>
      </c>
      <c r="Q607" t="n">
        <v>0</v>
      </c>
      <c r="R607" s="2" t="inlineStr"/>
    </row>
    <row r="608" ht="15" customHeight="1">
      <c r="A608" t="inlineStr">
        <is>
          <t>A 35110-2025</t>
        </is>
      </c>
      <c r="B608" s="1" t="n">
        <v>45852.58030092593</v>
      </c>
      <c r="C608" s="1" t="n">
        <v>46010</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35254-2025</t>
        </is>
      </c>
      <c r="B609" s="1" t="n">
        <v>45853</v>
      </c>
      <c r="C609" s="1" t="n">
        <v>46010</v>
      </c>
      <c r="D609" t="inlineStr">
        <is>
          <t>STOCKHOLMS LÄN</t>
        </is>
      </c>
      <c r="E609" t="inlineStr">
        <is>
          <t>NORRTÄLJE</t>
        </is>
      </c>
      <c r="G609" t="n">
        <v>6.5</v>
      </c>
      <c r="H609" t="n">
        <v>0</v>
      </c>
      <c r="I609" t="n">
        <v>0</v>
      </c>
      <c r="J609" t="n">
        <v>0</v>
      </c>
      <c r="K609" t="n">
        <v>0</v>
      </c>
      <c r="L609" t="n">
        <v>0</v>
      </c>
      <c r="M609" t="n">
        <v>0</v>
      </c>
      <c r="N609" t="n">
        <v>0</v>
      </c>
      <c r="O609" t="n">
        <v>0</v>
      </c>
      <c r="P609" t="n">
        <v>0</v>
      </c>
      <c r="Q609" t="n">
        <v>0</v>
      </c>
      <c r="R609" s="2" t="inlineStr"/>
    </row>
    <row r="610" ht="15" customHeight="1">
      <c r="A610" t="inlineStr">
        <is>
          <t>A 35479-2025</t>
        </is>
      </c>
      <c r="B610" s="1" t="n">
        <v>45855.69387731481</v>
      </c>
      <c r="C610" s="1" t="n">
        <v>46010</v>
      </c>
      <c r="D610" t="inlineStr">
        <is>
          <t>STOCKHOLMS LÄN</t>
        </is>
      </c>
      <c r="E610" t="inlineStr">
        <is>
          <t>NORRTÄLJE</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35451-2025</t>
        </is>
      </c>
      <c r="B611" s="1" t="n">
        <v>45855.57033564815</v>
      </c>
      <c r="C611" s="1" t="n">
        <v>46010</v>
      </c>
      <c r="D611" t="inlineStr">
        <is>
          <t>STOCKHOLMS LÄN</t>
        </is>
      </c>
      <c r="E611" t="inlineStr">
        <is>
          <t>NORRTÄLJE</t>
        </is>
      </c>
      <c r="F611" t="inlineStr">
        <is>
          <t>Holmen skog AB</t>
        </is>
      </c>
      <c r="G611" t="n">
        <v>7.4</v>
      </c>
      <c r="H611" t="n">
        <v>0</v>
      </c>
      <c r="I611" t="n">
        <v>0</v>
      </c>
      <c r="J611" t="n">
        <v>0</v>
      </c>
      <c r="K611" t="n">
        <v>0</v>
      </c>
      <c r="L611" t="n">
        <v>0</v>
      </c>
      <c r="M611" t="n">
        <v>0</v>
      </c>
      <c r="N611" t="n">
        <v>0</v>
      </c>
      <c r="O611" t="n">
        <v>0</v>
      </c>
      <c r="P611" t="n">
        <v>0</v>
      </c>
      <c r="Q611" t="n">
        <v>0</v>
      </c>
      <c r="R611" s="2" t="inlineStr"/>
    </row>
    <row r="612" ht="15" customHeight="1">
      <c r="A612" t="inlineStr">
        <is>
          <t>A 35478-2025</t>
        </is>
      </c>
      <c r="B612" s="1" t="n">
        <v>45855.68413194444</v>
      </c>
      <c r="C612" s="1" t="n">
        <v>46010</v>
      </c>
      <c r="D612" t="inlineStr">
        <is>
          <t>STOCKHOLMS LÄN</t>
        </is>
      </c>
      <c r="E612" t="inlineStr">
        <is>
          <t>NORRTÄLJE</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22359-2025</t>
        </is>
      </c>
      <c r="B613" s="1" t="n">
        <v>45786</v>
      </c>
      <c r="C613" s="1" t="n">
        <v>46010</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6537-2024</t>
        </is>
      </c>
      <c r="B614" s="1" t="n">
        <v>45341.39853009259</v>
      </c>
      <c r="C614" s="1" t="n">
        <v>46010</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40175-2024</t>
        </is>
      </c>
      <c r="B615" s="1" t="n">
        <v>45554.55707175926</v>
      </c>
      <c r="C615" s="1" t="n">
        <v>46010</v>
      </c>
      <c r="D615" t="inlineStr">
        <is>
          <t>STOCKHOLMS LÄN</t>
        </is>
      </c>
      <c r="E615" t="inlineStr">
        <is>
          <t>NORRTÄLJE</t>
        </is>
      </c>
      <c r="G615" t="n">
        <v>7.7</v>
      </c>
      <c r="H615" t="n">
        <v>0</v>
      </c>
      <c r="I615" t="n">
        <v>0</v>
      </c>
      <c r="J615" t="n">
        <v>0</v>
      </c>
      <c r="K615" t="n">
        <v>0</v>
      </c>
      <c r="L615" t="n">
        <v>0</v>
      </c>
      <c r="M615" t="n">
        <v>0</v>
      </c>
      <c r="N615" t="n">
        <v>0</v>
      </c>
      <c r="O615" t="n">
        <v>0</v>
      </c>
      <c r="P615" t="n">
        <v>0</v>
      </c>
      <c r="Q615" t="n">
        <v>0</v>
      </c>
      <c r="R615" s="2" t="inlineStr"/>
    </row>
    <row r="616" ht="15" customHeight="1">
      <c r="A616" t="inlineStr">
        <is>
          <t>A 54558-2024</t>
        </is>
      </c>
      <c r="B616" s="1" t="n">
        <v>45617.62358796296</v>
      </c>
      <c r="C616" s="1" t="n">
        <v>46010</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23056-2023</t>
        </is>
      </c>
      <c r="B617" s="1" t="n">
        <v>45075</v>
      </c>
      <c r="C617" s="1" t="n">
        <v>46010</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47431-2023</t>
        </is>
      </c>
      <c r="B618" s="1" t="n">
        <v>45202</v>
      </c>
      <c r="C618" s="1" t="n">
        <v>46010</v>
      </c>
      <c r="D618" t="inlineStr">
        <is>
          <t>STOCKHOLMS LÄN</t>
        </is>
      </c>
      <c r="E618" t="inlineStr">
        <is>
          <t>NORRTÄLJE</t>
        </is>
      </c>
      <c r="F618" t="inlineStr">
        <is>
          <t>Naturvårdsverket</t>
        </is>
      </c>
      <c r="G618" t="n">
        <v>1.2</v>
      </c>
      <c r="H618" t="n">
        <v>0</v>
      </c>
      <c r="I618" t="n">
        <v>0</v>
      </c>
      <c r="J618" t="n">
        <v>0</v>
      </c>
      <c r="K618" t="n">
        <v>0</v>
      </c>
      <c r="L618" t="n">
        <v>0</v>
      </c>
      <c r="M618" t="n">
        <v>0</v>
      </c>
      <c r="N618" t="n">
        <v>0</v>
      </c>
      <c r="O618" t="n">
        <v>0</v>
      </c>
      <c r="P618" t="n">
        <v>0</v>
      </c>
      <c r="Q618" t="n">
        <v>0</v>
      </c>
      <c r="R618" s="2" t="inlineStr"/>
    </row>
    <row r="619" ht="15" customHeight="1">
      <c r="A619" t="inlineStr">
        <is>
          <t>A 45697-2025</t>
        </is>
      </c>
      <c r="B619" s="1" t="n">
        <v>45923.39877314815</v>
      </c>
      <c r="C619" s="1" t="n">
        <v>46010</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59499-2023</t>
        </is>
      </c>
      <c r="B620" s="1" t="n">
        <v>45254</v>
      </c>
      <c r="C620" s="1" t="n">
        <v>46010</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59468-2023</t>
        </is>
      </c>
      <c r="B621" s="1" t="n">
        <v>45254.41509259259</v>
      </c>
      <c r="C621" s="1" t="n">
        <v>46010</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12532-2025</t>
        </is>
      </c>
      <c r="B622" s="1" t="n">
        <v>45730.69143518519</v>
      </c>
      <c r="C622" s="1" t="n">
        <v>46010</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34444-2024</t>
        </is>
      </c>
      <c r="B623" s="1" t="n">
        <v>45525</v>
      </c>
      <c r="C623" s="1" t="n">
        <v>46010</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5732-2023</t>
        </is>
      </c>
      <c r="B624" s="1" t="n">
        <v>44962</v>
      </c>
      <c r="C624" s="1" t="n">
        <v>46010</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10653-2022</t>
        </is>
      </c>
      <c r="B625" s="1" t="n">
        <v>44624.59434027778</v>
      </c>
      <c r="C625" s="1" t="n">
        <v>46010</v>
      </c>
      <c r="D625" t="inlineStr">
        <is>
          <t>STOCKHOLMS LÄN</t>
        </is>
      </c>
      <c r="E625" t="inlineStr">
        <is>
          <t>NORRTÄLJE</t>
        </is>
      </c>
      <c r="G625" t="n">
        <v>2.3</v>
      </c>
      <c r="H625" t="n">
        <v>0</v>
      </c>
      <c r="I625" t="n">
        <v>0</v>
      </c>
      <c r="J625" t="n">
        <v>0</v>
      </c>
      <c r="K625" t="n">
        <v>0</v>
      </c>
      <c r="L625" t="n">
        <v>0</v>
      </c>
      <c r="M625" t="n">
        <v>0</v>
      </c>
      <c r="N625" t="n">
        <v>0</v>
      </c>
      <c r="O625" t="n">
        <v>0</v>
      </c>
      <c r="P625" t="n">
        <v>0</v>
      </c>
      <c r="Q625" t="n">
        <v>0</v>
      </c>
      <c r="R625" s="2" t="inlineStr"/>
    </row>
    <row r="626" ht="15" customHeight="1">
      <c r="A626" t="inlineStr">
        <is>
          <t>A 20698-2025</t>
        </is>
      </c>
      <c r="B626" s="1" t="n">
        <v>45776.47122685185</v>
      </c>
      <c r="C626" s="1" t="n">
        <v>46010</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21729-2024</t>
        </is>
      </c>
      <c r="B627" s="1" t="n">
        <v>45442</v>
      </c>
      <c r="C627" s="1" t="n">
        <v>46010</v>
      </c>
      <c r="D627" t="inlineStr">
        <is>
          <t>STOCKHOLMS LÄN</t>
        </is>
      </c>
      <c r="E627" t="inlineStr">
        <is>
          <t>NORRTÄLJE</t>
        </is>
      </c>
      <c r="G627" t="n">
        <v>2.2</v>
      </c>
      <c r="H627" t="n">
        <v>0</v>
      </c>
      <c r="I627" t="n">
        <v>0</v>
      </c>
      <c r="J627" t="n">
        <v>0</v>
      </c>
      <c r="K627" t="n">
        <v>0</v>
      </c>
      <c r="L627" t="n">
        <v>0</v>
      </c>
      <c r="M627" t="n">
        <v>0</v>
      </c>
      <c r="N627" t="n">
        <v>0</v>
      </c>
      <c r="O627" t="n">
        <v>0</v>
      </c>
      <c r="P627" t="n">
        <v>0</v>
      </c>
      <c r="Q627" t="n">
        <v>0</v>
      </c>
      <c r="R627" s="2" t="inlineStr"/>
    </row>
    <row r="628" ht="15" customHeight="1">
      <c r="A628" t="inlineStr">
        <is>
          <t>A 11854-2025</t>
        </is>
      </c>
      <c r="B628" s="1" t="n">
        <v>45728.38924768518</v>
      </c>
      <c r="C628" s="1" t="n">
        <v>46010</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46415-2025</t>
        </is>
      </c>
      <c r="B629" s="1" t="n">
        <v>45925.58636574074</v>
      </c>
      <c r="C629" s="1" t="n">
        <v>46010</v>
      </c>
      <c r="D629" t="inlineStr">
        <is>
          <t>STOCKHOLMS LÄN</t>
        </is>
      </c>
      <c r="E629" t="inlineStr">
        <is>
          <t>NORRTÄLJE</t>
        </is>
      </c>
      <c r="G629" t="n">
        <v>3.8</v>
      </c>
      <c r="H629" t="n">
        <v>0</v>
      </c>
      <c r="I629" t="n">
        <v>0</v>
      </c>
      <c r="J629" t="n">
        <v>0</v>
      </c>
      <c r="K629" t="n">
        <v>0</v>
      </c>
      <c r="L629" t="n">
        <v>0</v>
      </c>
      <c r="M629" t="n">
        <v>0</v>
      </c>
      <c r="N629" t="n">
        <v>0</v>
      </c>
      <c r="O629" t="n">
        <v>0</v>
      </c>
      <c r="P629" t="n">
        <v>0</v>
      </c>
      <c r="Q629" t="n">
        <v>0</v>
      </c>
      <c r="R629" s="2" t="inlineStr"/>
    </row>
    <row r="630" ht="15" customHeight="1">
      <c r="A630" t="inlineStr">
        <is>
          <t>A 14762-2024</t>
        </is>
      </c>
      <c r="B630" s="1" t="n">
        <v>45397</v>
      </c>
      <c r="C630" s="1" t="n">
        <v>46010</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22232-2024</t>
        </is>
      </c>
      <c r="B631" s="1" t="n">
        <v>45446.4287962963</v>
      </c>
      <c r="C631" s="1" t="n">
        <v>46010</v>
      </c>
      <c r="D631" t="inlineStr">
        <is>
          <t>STOCKHOLMS LÄN</t>
        </is>
      </c>
      <c r="E631" t="inlineStr">
        <is>
          <t>NORRTÄLJE</t>
        </is>
      </c>
      <c r="G631" t="n">
        <v>12.8</v>
      </c>
      <c r="H631" t="n">
        <v>0</v>
      </c>
      <c r="I631" t="n">
        <v>0</v>
      </c>
      <c r="J631" t="n">
        <v>0</v>
      </c>
      <c r="K631" t="n">
        <v>0</v>
      </c>
      <c r="L631" t="n">
        <v>0</v>
      </c>
      <c r="M631" t="n">
        <v>0</v>
      </c>
      <c r="N631" t="n">
        <v>0</v>
      </c>
      <c r="O631" t="n">
        <v>0</v>
      </c>
      <c r="P631" t="n">
        <v>0</v>
      </c>
      <c r="Q631" t="n">
        <v>0</v>
      </c>
      <c r="R631" s="2" t="inlineStr"/>
    </row>
    <row r="632" ht="15" customHeight="1">
      <c r="A632" t="inlineStr">
        <is>
          <t>A 36396-2025</t>
        </is>
      </c>
      <c r="B632" s="1" t="n">
        <v>45868.62267361111</v>
      </c>
      <c r="C632" s="1" t="n">
        <v>46010</v>
      </c>
      <c r="D632" t="inlineStr">
        <is>
          <t>STOCKHOLMS LÄN</t>
        </is>
      </c>
      <c r="E632" t="inlineStr">
        <is>
          <t>NORRTÄLJE</t>
        </is>
      </c>
      <c r="G632" t="n">
        <v>4.1</v>
      </c>
      <c r="H632" t="n">
        <v>0</v>
      </c>
      <c r="I632" t="n">
        <v>0</v>
      </c>
      <c r="J632" t="n">
        <v>0</v>
      </c>
      <c r="K632" t="n">
        <v>0</v>
      </c>
      <c r="L632" t="n">
        <v>0</v>
      </c>
      <c r="M632" t="n">
        <v>0</v>
      </c>
      <c r="N632" t="n">
        <v>0</v>
      </c>
      <c r="O632" t="n">
        <v>0</v>
      </c>
      <c r="P632" t="n">
        <v>0</v>
      </c>
      <c r="Q632" t="n">
        <v>0</v>
      </c>
      <c r="R632" s="2" t="inlineStr"/>
    </row>
    <row r="633" ht="15" customHeight="1">
      <c r="A633" t="inlineStr">
        <is>
          <t>A 59712-2024</t>
        </is>
      </c>
      <c r="B633" s="1" t="n">
        <v>45639.45166666667</v>
      </c>
      <c r="C633" s="1" t="n">
        <v>46010</v>
      </c>
      <c r="D633" t="inlineStr">
        <is>
          <t>STOCKHOLMS LÄN</t>
        </is>
      </c>
      <c r="E633" t="inlineStr">
        <is>
          <t>NORRTÄLJE</t>
        </is>
      </c>
      <c r="G633" t="n">
        <v>4.4</v>
      </c>
      <c r="H633" t="n">
        <v>0</v>
      </c>
      <c r="I633" t="n">
        <v>0</v>
      </c>
      <c r="J633" t="n">
        <v>0</v>
      </c>
      <c r="K633" t="n">
        <v>0</v>
      </c>
      <c r="L633" t="n">
        <v>0</v>
      </c>
      <c r="M633" t="n">
        <v>0</v>
      </c>
      <c r="N633" t="n">
        <v>0</v>
      </c>
      <c r="O633" t="n">
        <v>0</v>
      </c>
      <c r="P633" t="n">
        <v>0</v>
      </c>
      <c r="Q633" t="n">
        <v>0</v>
      </c>
      <c r="R633" s="2" t="inlineStr"/>
    </row>
    <row r="634" ht="15" customHeight="1">
      <c r="A634" t="inlineStr">
        <is>
          <t>A 35127-2023</t>
        </is>
      </c>
      <c r="B634" s="1" t="n">
        <v>45145.51</v>
      </c>
      <c r="C634" s="1" t="n">
        <v>46010</v>
      </c>
      <c r="D634" t="inlineStr">
        <is>
          <t>STOCKHOLMS LÄN</t>
        </is>
      </c>
      <c r="E634" t="inlineStr">
        <is>
          <t>NORRTÄLJE</t>
        </is>
      </c>
      <c r="G634" t="n">
        <v>4.7</v>
      </c>
      <c r="H634" t="n">
        <v>0</v>
      </c>
      <c r="I634" t="n">
        <v>0</v>
      </c>
      <c r="J634" t="n">
        <v>0</v>
      </c>
      <c r="K634" t="n">
        <v>0</v>
      </c>
      <c r="L634" t="n">
        <v>0</v>
      </c>
      <c r="M634" t="n">
        <v>0</v>
      </c>
      <c r="N634" t="n">
        <v>0</v>
      </c>
      <c r="O634" t="n">
        <v>0</v>
      </c>
      <c r="P634" t="n">
        <v>0</v>
      </c>
      <c r="Q634" t="n">
        <v>0</v>
      </c>
      <c r="R634" s="2" t="inlineStr"/>
    </row>
    <row r="635" ht="15" customHeight="1">
      <c r="A635" t="inlineStr">
        <is>
          <t>A 45255-2022</t>
        </is>
      </c>
      <c r="B635" s="1" t="n">
        <v>44840</v>
      </c>
      <c r="C635" s="1" t="n">
        <v>46010</v>
      </c>
      <c r="D635" t="inlineStr">
        <is>
          <t>STOCKHOLMS LÄN</t>
        </is>
      </c>
      <c r="E635" t="inlineStr">
        <is>
          <t>NORRTÄLJE</t>
        </is>
      </c>
      <c r="G635" t="n">
        <v>4.1</v>
      </c>
      <c r="H635" t="n">
        <v>0</v>
      </c>
      <c r="I635" t="n">
        <v>0</v>
      </c>
      <c r="J635" t="n">
        <v>0</v>
      </c>
      <c r="K635" t="n">
        <v>0</v>
      </c>
      <c r="L635" t="n">
        <v>0</v>
      </c>
      <c r="M635" t="n">
        <v>0</v>
      </c>
      <c r="N635" t="n">
        <v>0</v>
      </c>
      <c r="O635" t="n">
        <v>0</v>
      </c>
      <c r="P635" t="n">
        <v>0</v>
      </c>
      <c r="Q635" t="n">
        <v>0</v>
      </c>
      <c r="R635" s="2" t="inlineStr"/>
    </row>
    <row r="636" ht="15" customHeight="1">
      <c r="A636" t="inlineStr">
        <is>
          <t>A 59893-2022</t>
        </is>
      </c>
      <c r="B636" s="1" t="n">
        <v>44908.77368055555</v>
      </c>
      <c r="C636" s="1" t="n">
        <v>46010</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46900-2025</t>
        </is>
      </c>
      <c r="B637" s="1" t="n">
        <v>45929.38712962963</v>
      </c>
      <c r="C637" s="1" t="n">
        <v>46010</v>
      </c>
      <c r="D637" t="inlineStr">
        <is>
          <t>STOCKHOLMS LÄN</t>
        </is>
      </c>
      <c r="E637" t="inlineStr">
        <is>
          <t>NORRTÄLJE</t>
        </is>
      </c>
      <c r="F637" t="inlineStr">
        <is>
          <t>Holmen skog AB</t>
        </is>
      </c>
      <c r="G637" t="n">
        <v>6.2</v>
      </c>
      <c r="H637" t="n">
        <v>0</v>
      </c>
      <c r="I637" t="n">
        <v>0</v>
      </c>
      <c r="J637" t="n">
        <v>0</v>
      </c>
      <c r="K637" t="n">
        <v>0</v>
      </c>
      <c r="L637" t="n">
        <v>0</v>
      </c>
      <c r="M637" t="n">
        <v>0</v>
      </c>
      <c r="N637" t="n">
        <v>0</v>
      </c>
      <c r="O637" t="n">
        <v>0</v>
      </c>
      <c r="P637" t="n">
        <v>0</v>
      </c>
      <c r="Q637" t="n">
        <v>0</v>
      </c>
      <c r="R637" s="2" t="inlineStr"/>
    </row>
    <row r="638" ht="15" customHeight="1">
      <c r="A638" t="inlineStr">
        <is>
          <t>A 39905-2023</t>
        </is>
      </c>
      <c r="B638" s="1" t="n">
        <v>45168.44489583333</v>
      </c>
      <c r="C638" s="1" t="n">
        <v>46010</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5645-2023</t>
        </is>
      </c>
      <c r="B639" s="1" t="n">
        <v>44960.60469907407</v>
      </c>
      <c r="C639" s="1" t="n">
        <v>46010</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68361-2021</t>
        </is>
      </c>
      <c r="B640" s="1" t="n">
        <v>44528.91494212963</v>
      </c>
      <c r="C640" s="1" t="n">
        <v>46010</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60529-2023</t>
        </is>
      </c>
      <c r="B641" s="1" t="n">
        <v>45259</v>
      </c>
      <c r="C641" s="1" t="n">
        <v>46010</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55599-2025</t>
        </is>
      </c>
      <c r="B642" s="1" t="n">
        <v>45971.76810185185</v>
      </c>
      <c r="C642" s="1" t="n">
        <v>46010</v>
      </c>
      <c r="D642" t="inlineStr">
        <is>
          <t>STOCKHOLMS LÄN</t>
        </is>
      </c>
      <c r="E642" t="inlineStr">
        <is>
          <t>NORRTÄLJE</t>
        </is>
      </c>
      <c r="F642" t="inlineStr">
        <is>
          <t>Holmen skog AB</t>
        </is>
      </c>
      <c r="G642" t="n">
        <v>6.4</v>
      </c>
      <c r="H642" t="n">
        <v>0</v>
      </c>
      <c r="I642" t="n">
        <v>0</v>
      </c>
      <c r="J642" t="n">
        <v>0</v>
      </c>
      <c r="K642" t="n">
        <v>0</v>
      </c>
      <c r="L642" t="n">
        <v>0</v>
      </c>
      <c r="M642" t="n">
        <v>0</v>
      </c>
      <c r="N642" t="n">
        <v>0</v>
      </c>
      <c r="O642" t="n">
        <v>0</v>
      </c>
      <c r="P642" t="n">
        <v>0</v>
      </c>
      <c r="Q642" t="n">
        <v>0</v>
      </c>
      <c r="R642" s="2" t="inlineStr"/>
    </row>
    <row r="643" ht="15" customHeight="1">
      <c r="A643" t="inlineStr">
        <is>
          <t>A 37261-2025</t>
        </is>
      </c>
      <c r="B643" s="1" t="n">
        <v>45876.45253472222</v>
      </c>
      <c r="C643" s="1" t="n">
        <v>46010</v>
      </c>
      <c r="D643" t="inlineStr">
        <is>
          <t>STOCKHOLMS LÄN</t>
        </is>
      </c>
      <c r="E643" t="inlineStr">
        <is>
          <t>NORRTÄLJE</t>
        </is>
      </c>
      <c r="F643" t="inlineStr">
        <is>
          <t>Kommuner</t>
        </is>
      </c>
      <c r="G643" t="n">
        <v>2.2</v>
      </c>
      <c r="H643" t="n">
        <v>0</v>
      </c>
      <c r="I643" t="n">
        <v>0</v>
      </c>
      <c r="J643" t="n">
        <v>0</v>
      </c>
      <c r="K643" t="n">
        <v>0</v>
      </c>
      <c r="L643" t="n">
        <v>0</v>
      </c>
      <c r="M643" t="n">
        <v>0</v>
      </c>
      <c r="N643" t="n">
        <v>0</v>
      </c>
      <c r="O643" t="n">
        <v>0</v>
      </c>
      <c r="P643" t="n">
        <v>0</v>
      </c>
      <c r="Q643" t="n">
        <v>0</v>
      </c>
      <c r="R643" s="2" t="inlineStr"/>
    </row>
    <row r="644" ht="15" customHeight="1">
      <c r="A644" t="inlineStr">
        <is>
          <t>A 19706-2023</t>
        </is>
      </c>
      <c r="B644" s="1" t="n">
        <v>45051.455</v>
      </c>
      <c r="C644" s="1" t="n">
        <v>46010</v>
      </c>
      <c r="D644" t="inlineStr">
        <is>
          <t>STOCKHOLMS LÄN</t>
        </is>
      </c>
      <c r="E644" t="inlineStr">
        <is>
          <t>NORRTÄLJE</t>
        </is>
      </c>
      <c r="G644" t="n">
        <v>0.2</v>
      </c>
      <c r="H644" t="n">
        <v>0</v>
      </c>
      <c r="I644" t="n">
        <v>0</v>
      </c>
      <c r="J644" t="n">
        <v>0</v>
      </c>
      <c r="K644" t="n">
        <v>0</v>
      </c>
      <c r="L644" t="n">
        <v>0</v>
      </c>
      <c r="M644" t="n">
        <v>0</v>
      </c>
      <c r="N644" t="n">
        <v>0</v>
      </c>
      <c r="O644" t="n">
        <v>0</v>
      </c>
      <c r="P644" t="n">
        <v>0</v>
      </c>
      <c r="Q644" t="n">
        <v>0</v>
      </c>
      <c r="R644" s="2" t="inlineStr"/>
    </row>
    <row r="645" ht="15" customHeight="1">
      <c r="A645" t="inlineStr">
        <is>
          <t>A 18539-2021</t>
        </is>
      </c>
      <c r="B645" s="1" t="n">
        <v>44306</v>
      </c>
      <c r="C645" s="1" t="n">
        <v>46010</v>
      </c>
      <c r="D645" t="inlineStr">
        <is>
          <t>STOCKHOLMS LÄN</t>
        </is>
      </c>
      <c r="E645" t="inlineStr">
        <is>
          <t>NORRTÄLJE</t>
        </is>
      </c>
      <c r="F645" t="inlineStr">
        <is>
          <t>Holmen skog AB</t>
        </is>
      </c>
      <c r="G645" t="n">
        <v>5.5</v>
      </c>
      <c r="H645" t="n">
        <v>0</v>
      </c>
      <c r="I645" t="n">
        <v>0</v>
      </c>
      <c r="J645" t="n">
        <v>0</v>
      </c>
      <c r="K645" t="n">
        <v>0</v>
      </c>
      <c r="L645" t="n">
        <v>0</v>
      </c>
      <c r="M645" t="n">
        <v>0</v>
      </c>
      <c r="N645" t="n">
        <v>0</v>
      </c>
      <c r="O645" t="n">
        <v>0</v>
      </c>
      <c r="P645" t="n">
        <v>0</v>
      </c>
      <c r="Q645" t="n">
        <v>0</v>
      </c>
      <c r="R645" s="2" t="inlineStr"/>
    </row>
    <row r="646" ht="15" customHeight="1">
      <c r="A646" t="inlineStr">
        <is>
          <t>A 37628-2025</t>
        </is>
      </c>
      <c r="B646" s="1" t="n">
        <v>45880.46189814815</v>
      </c>
      <c r="C646" s="1" t="n">
        <v>46010</v>
      </c>
      <c r="D646" t="inlineStr">
        <is>
          <t>STOCKHOLMS LÄN</t>
        </is>
      </c>
      <c r="E646" t="inlineStr">
        <is>
          <t>NORRTÄLJE</t>
        </is>
      </c>
      <c r="F646" t="inlineStr">
        <is>
          <t>Sveaskog</t>
        </is>
      </c>
      <c r="G646" t="n">
        <v>2.6</v>
      </c>
      <c r="H646" t="n">
        <v>0</v>
      </c>
      <c r="I646" t="n">
        <v>0</v>
      </c>
      <c r="J646" t="n">
        <v>0</v>
      </c>
      <c r="K646" t="n">
        <v>0</v>
      </c>
      <c r="L646" t="n">
        <v>0</v>
      </c>
      <c r="M646" t="n">
        <v>0</v>
      </c>
      <c r="N646" t="n">
        <v>0</v>
      </c>
      <c r="O646" t="n">
        <v>0</v>
      </c>
      <c r="P646" t="n">
        <v>0</v>
      </c>
      <c r="Q646" t="n">
        <v>0</v>
      </c>
      <c r="R646" s="2" t="inlineStr"/>
    </row>
    <row r="647" ht="15" customHeight="1">
      <c r="A647" t="inlineStr">
        <is>
          <t>A 29369-2024</t>
        </is>
      </c>
      <c r="B647" s="1" t="n">
        <v>45483.57244212963</v>
      </c>
      <c r="C647" s="1" t="n">
        <v>46010</v>
      </c>
      <c r="D647" t="inlineStr">
        <is>
          <t>STOCKHOLMS LÄN</t>
        </is>
      </c>
      <c r="E647" t="inlineStr">
        <is>
          <t>NORRTÄLJE</t>
        </is>
      </c>
      <c r="G647" t="n">
        <v>15.9</v>
      </c>
      <c r="H647" t="n">
        <v>0</v>
      </c>
      <c r="I647" t="n">
        <v>0</v>
      </c>
      <c r="J647" t="n">
        <v>0</v>
      </c>
      <c r="K647" t="n">
        <v>0</v>
      </c>
      <c r="L647" t="n">
        <v>0</v>
      </c>
      <c r="M647" t="n">
        <v>0</v>
      </c>
      <c r="N647" t="n">
        <v>0</v>
      </c>
      <c r="O647" t="n">
        <v>0</v>
      </c>
      <c r="P647" t="n">
        <v>0</v>
      </c>
      <c r="Q647" t="n">
        <v>0</v>
      </c>
      <c r="R647" s="2" t="inlineStr"/>
    </row>
    <row r="648" ht="15" customHeight="1">
      <c r="A648" t="inlineStr">
        <is>
          <t>A 17612-2022</t>
        </is>
      </c>
      <c r="B648" s="1" t="n">
        <v>44680</v>
      </c>
      <c r="C648" s="1" t="n">
        <v>46010</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37632-2025</t>
        </is>
      </c>
      <c r="B649" s="1" t="n">
        <v>45880.46524305556</v>
      </c>
      <c r="C649" s="1" t="n">
        <v>46010</v>
      </c>
      <c r="D649" t="inlineStr">
        <is>
          <t>STOCKHOLMS LÄN</t>
        </is>
      </c>
      <c r="E649" t="inlineStr">
        <is>
          <t>NORRTÄLJE</t>
        </is>
      </c>
      <c r="F649" t="inlineStr">
        <is>
          <t>Sveaskog</t>
        </is>
      </c>
      <c r="G649" t="n">
        <v>6.4</v>
      </c>
      <c r="H649" t="n">
        <v>0</v>
      </c>
      <c r="I649" t="n">
        <v>0</v>
      </c>
      <c r="J649" t="n">
        <v>0</v>
      </c>
      <c r="K649" t="n">
        <v>0</v>
      </c>
      <c r="L649" t="n">
        <v>0</v>
      </c>
      <c r="M649" t="n">
        <v>0</v>
      </c>
      <c r="N649" t="n">
        <v>0</v>
      </c>
      <c r="O649" t="n">
        <v>0</v>
      </c>
      <c r="P649" t="n">
        <v>0</v>
      </c>
      <c r="Q649" t="n">
        <v>0</v>
      </c>
      <c r="R649" s="2" t="inlineStr"/>
    </row>
    <row r="650" ht="15" customHeight="1">
      <c r="A650" t="inlineStr">
        <is>
          <t>A 16835-2022</t>
        </is>
      </c>
      <c r="B650" s="1" t="n">
        <v>44673</v>
      </c>
      <c r="C650" s="1" t="n">
        <v>46010</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29841-2024</t>
        </is>
      </c>
      <c r="B651" s="1" t="n">
        <v>45485.60261574074</v>
      </c>
      <c r="C651" s="1" t="n">
        <v>46010</v>
      </c>
      <c r="D651" t="inlineStr">
        <is>
          <t>STOCKHOLMS LÄN</t>
        </is>
      </c>
      <c r="E651" t="inlineStr">
        <is>
          <t>NORRTÄLJE</t>
        </is>
      </c>
      <c r="G651" t="n">
        <v>15.9</v>
      </c>
      <c r="H651" t="n">
        <v>0</v>
      </c>
      <c r="I651" t="n">
        <v>0</v>
      </c>
      <c r="J651" t="n">
        <v>0</v>
      </c>
      <c r="K651" t="n">
        <v>0</v>
      </c>
      <c r="L651" t="n">
        <v>0</v>
      </c>
      <c r="M651" t="n">
        <v>0</v>
      </c>
      <c r="N651" t="n">
        <v>0</v>
      </c>
      <c r="O651" t="n">
        <v>0</v>
      </c>
      <c r="P651" t="n">
        <v>0</v>
      </c>
      <c r="Q651" t="n">
        <v>0</v>
      </c>
      <c r="R651" s="2" t="inlineStr"/>
    </row>
    <row r="652" ht="15" customHeight="1">
      <c r="A652" t="inlineStr">
        <is>
          <t>A 62765-2022</t>
        </is>
      </c>
      <c r="B652" s="1" t="n">
        <v>44637</v>
      </c>
      <c r="C652" s="1" t="n">
        <v>46010</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58404-2023</t>
        </is>
      </c>
      <c r="B653" s="1" t="n">
        <v>45245</v>
      </c>
      <c r="C653" s="1" t="n">
        <v>46010</v>
      </c>
      <c r="D653" t="inlineStr">
        <is>
          <t>STOCKHOLMS LÄN</t>
        </is>
      </c>
      <c r="E653" t="inlineStr">
        <is>
          <t>NORRTÄLJE</t>
        </is>
      </c>
      <c r="G653" t="n">
        <v>53.5</v>
      </c>
      <c r="H653" t="n">
        <v>0</v>
      </c>
      <c r="I653" t="n">
        <v>0</v>
      </c>
      <c r="J653" t="n">
        <v>0</v>
      </c>
      <c r="K653" t="n">
        <v>0</v>
      </c>
      <c r="L653" t="n">
        <v>0</v>
      </c>
      <c r="M653" t="n">
        <v>0</v>
      </c>
      <c r="N653" t="n">
        <v>0</v>
      </c>
      <c r="O653" t="n">
        <v>0</v>
      </c>
      <c r="P653" t="n">
        <v>0</v>
      </c>
      <c r="Q653" t="n">
        <v>0</v>
      </c>
      <c r="R653" s="2" t="inlineStr"/>
    </row>
    <row r="654" ht="15" customHeight="1">
      <c r="A654" t="inlineStr">
        <is>
          <t>A 20692-2025</t>
        </is>
      </c>
      <c r="B654" s="1" t="n">
        <v>45776.46369212963</v>
      </c>
      <c r="C654" s="1" t="n">
        <v>46010</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37630-2025</t>
        </is>
      </c>
      <c r="B655" s="1" t="n">
        <v>45880.46372685185</v>
      </c>
      <c r="C655" s="1" t="n">
        <v>46010</v>
      </c>
      <c r="D655" t="inlineStr">
        <is>
          <t>STOCKHOLMS LÄN</t>
        </is>
      </c>
      <c r="E655" t="inlineStr">
        <is>
          <t>NORRTÄLJE</t>
        </is>
      </c>
      <c r="F655" t="inlineStr">
        <is>
          <t>Sveaskog</t>
        </is>
      </c>
      <c r="G655" t="n">
        <v>12.9</v>
      </c>
      <c r="H655" t="n">
        <v>0</v>
      </c>
      <c r="I655" t="n">
        <v>0</v>
      </c>
      <c r="J655" t="n">
        <v>0</v>
      </c>
      <c r="K655" t="n">
        <v>0</v>
      </c>
      <c r="L655" t="n">
        <v>0</v>
      </c>
      <c r="M655" t="n">
        <v>0</v>
      </c>
      <c r="N655" t="n">
        <v>0</v>
      </c>
      <c r="O655" t="n">
        <v>0</v>
      </c>
      <c r="P655" t="n">
        <v>0</v>
      </c>
      <c r="Q655" t="n">
        <v>0</v>
      </c>
      <c r="R655" s="2" t="inlineStr"/>
    </row>
    <row r="656" ht="15" customHeight="1">
      <c r="A656" t="inlineStr">
        <is>
          <t>A 8586-2023</t>
        </is>
      </c>
      <c r="B656" s="1" t="n">
        <v>44977</v>
      </c>
      <c r="C656" s="1" t="n">
        <v>46010</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46071-2024</t>
        </is>
      </c>
      <c r="B657" s="1" t="n">
        <v>45581</v>
      </c>
      <c r="C657" s="1" t="n">
        <v>46010</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16202-2022</t>
        </is>
      </c>
      <c r="B658" s="1" t="n">
        <v>44670</v>
      </c>
      <c r="C658" s="1" t="n">
        <v>46010</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55018-2024</t>
        </is>
      </c>
      <c r="B659" s="1" t="n">
        <v>45621.35712962963</v>
      </c>
      <c r="C659" s="1" t="n">
        <v>46010</v>
      </c>
      <c r="D659" t="inlineStr">
        <is>
          <t>STOCKHOLMS LÄN</t>
        </is>
      </c>
      <c r="E659" t="inlineStr">
        <is>
          <t>NORRTÄLJE</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50136-2023</t>
        </is>
      </c>
      <c r="B660" s="1" t="n">
        <v>45215</v>
      </c>
      <c r="C660" s="1" t="n">
        <v>46010</v>
      </c>
      <c r="D660" t="inlineStr">
        <is>
          <t>STOCKHOLMS LÄN</t>
        </is>
      </c>
      <c r="E660" t="inlineStr">
        <is>
          <t>NORRTÄLJE</t>
        </is>
      </c>
      <c r="G660" t="n">
        <v>5.2</v>
      </c>
      <c r="H660" t="n">
        <v>0</v>
      </c>
      <c r="I660" t="n">
        <v>0</v>
      </c>
      <c r="J660" t="n">
        <v>0</v>
      </c>
      <c r="K660" t="n">
        <v>0</v>
      </c>
      <c r="L660" t="n">
        <v>0</v>
      </c>
      <c r="M660" t="n">
        <v>0</v>
      </c>
      <c r="N660" t="n">
        <v>0</v>
      </c>
      <c r="O660" t="n">
        <v>0</v>
      </c>
      <c r="P660" t="n">
        <v>0</v>
      </c>
      <c r="Q660" t="n">
        <v>0</v>
      </c>
      <c r="R660" s="2" t="inlineStr"/>
    </row>
    <row r="661" ht="15" customHeight="1">
      <c r="A661" t="inlineStr">
        <is>
          <t>A 13137-2024</t>
        </is>
      </c>
      <c r="B661" s="1" t="n">
        <v>45386.34175925926</v>
      </c>
      <c r="C661" s="1" t="n">
        <v>46010</v>
      </c>
      <c r="D661" t="inlineStr">
        <is>
          <t>STOCKHOLMS LÄN</t>
        </is>
      </c>
      <c r="E661" t="inlineStr">
        <is>
          <t>NORRTÄLJE</t>
        </is>
      </c>
      <c r="G661" t="n">
        <v>5</v>
      </c>
      <c r="H661" t="n">
        <v>0</v>
      </c>
      <c r="I661" t="n">
        <v>0</v>
      </c>
      <c r="J661" t="n">
        <v>0</v>
      </c>
      <c r="K661" t="n">
        <v>0</v>
      </c>
      <c r="L661" t="n">
        <v>0</v>
      </c>
      <c r="M661" t="n">
        <v>0</v>
      </c>
      <c r="N661" t="n">
        <v>0</v>
      </c>
      <c r="O661" t="n">
        <v>0</v>
      </c>
      <c r="P661" t="n">
        <v>0</v>
      </c>
      <c r="Q661" t="n">
        <v>0</v>
      </c>
      <c r="R661" s="2" t="inlineStr"/>
    </row>
    <row r="662" ht="15" customHeight="1">
      <c r="A662" t="inlineStr">
        <is>
          <t>A 25656-2023</t>
        </is>
      </c>
      <c r="B662" s="1" t="n">
        <v>45089</v>
      </c>
      <c r="C662" s="1" t="n">
        <v>46010</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6003-2025</t>
        </is>
      </c>
      <c r="B663" s="1" t="n">
        <v>45695.57881944445</v>
      </c>
      <c r="C663" s="1" t="n">
        <v>46010</v>
      </c>
      <c r="D663" t="inlineStr">
        <is>
          <t>STOCKHOLMS LÄN</t>
        </is>
      </c>
      <c r="E663" t="inlineStr">
        <is>
          <t>NORRTÄLJE</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11902-2024</t>
        </is>
      </c>
      <c r="B664" s="1" t="n">
        <v>45376.55704861111</v>
      </c>
      <c r="C664" s="1" t="n">
        <v>46010</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24350-2025</t>
        </is>
      </c>
      <c r="B665" s="1" t="n">
        <v>45797.58350694444</v>
      </c>
      <c r="C665" s="1" t="n">
        <v>46010</v>
      </c>
      <c r="D665" t="inlineStr">
        <is>
          <t>STOCKHOLMS LÄN</t>
        </is>
      </c>
      <c r="E665" t="inlineStr">
        <is>
          <t>NORRTÄLJE</t>
        </is>
      </c>
      <c r="G665" t="n">
        <v>4.5</v>
      </c>
      <c r="H665" t="n">
        <v>0</v>
      </c>
      <c r="I665" t="n">
        <v>0</v>
      </c>
      <c r="J665" t="n">
        <v>0</v>
      </c>
      <c r="K665" t="n">
        <v>0</v>
      </c>
      <c r="L665" t="n">
        <v>0</v>
      </c>
      <c r="M665" t="n">
        <v>0</v>
      </c>
      <c r="N665" t="n">
        <v>0</v>
      </c>
      <c r="O665" t="n">
        <v>0</v>
      </c>
      <c r="P665" t="n">
        <v>0</v>
      </c>
      <c r="Q665" t="n">
        <v>0</v>
      </c>
      <c r="R665" s="2" t="inlineStr"/>
    </row>
    <row r="666" ht="15" customHeight="1">
      <c r="A666" t="inlineStr">
        <is>
          <t>A 26703-2025</t>
        </is>
      </c>
      <c r="B666" s="1" t="n">
        <v>45810.45263888889</v>
      </c>
      <c r="C666" s="1" t="n">
        <v>46010</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38049-2023</t>
        </is>
      </c>
      <c r="B667" s="1" t="n">
        <v>45159</v>
      </c>
      <c r="C667" s="1" t="n">
        <v>46010</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59535-2024</t>
        </is>
      </c>
      <c r="B668" s="1" t="n">
        <v>45638.59979166667</v>
      </c>
      <c r="C668" s="1" t="n">
        <v>46010</v>
      </c>
      <c r="D668" t="inlineStr">
        <is>
          <t>STOCKHOLMS LÄN</t>
        </is>
      </c>
      <c r="E668" t="inlineStr">
        <is>
          <t>NORRTÄLJE</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38153-2025</t>
        </is>
      </c>
      <c r="B669" s="1" t="n">
        <v>45882.59722222222</v>
      </c>
      <c r="C669" s="1" t="n">
        <v>46010</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35256-2025</t>
        </is>
      </c>
      <c r="B670" s="1" t="n">
        <v>45853</v>
      </c>
      <c r="C670" s="1" t="n">
        <v>46010</v>
      </c>
      <c r="D670" t="inlineStr">
        <is>
          <t>STOCKHOLMS LÄN</t>
        </is>
      </c>
      <c r="E670" t="inlineStr">
        <is>
          <t>NORRTÄLJE</t>
        </is>
      </c>
      <c r="G670" t="n">
        <v>6.4</v>
      </c>
      <c r="H670" t="n">
        <v>0</v>
      </c>
      <c r="I670" t="n">
        <v>0</v>
      </c>
      <c r="J670" t="n">
        <v>0</v>
      </c>
      <c r="K670" t="n">
        <v>0</v>
      </c>
      <c r="L670" t="n">
        <v>0</v>
      </c>
      <c r="M670" t="n">
        <v>0</v>
      </c>
      <c r="N670" t="n">
        <v>0</v>
      </c>
      <c r="O670" t="n">
        <v>0</v>
      </c>
      <c r="P670" t="n">
        <v>0</v>
      </c>
      <c r="Q670" t="n">
        <v>0</v>
      </c>
      <c r="R670" s="2" t="inlineStr"/>
    </row>
    <row r="671" ht="15" customHeight="1">
      <c r="A671" t="inlineStr">
        <is>
          <t>A 4183-2025</t>
        </is>
      </c>
      <c r="B671" s="1" t="n">
        <v>45685.44592592592</v>
      </c>
      <c r="C671" s="1" t="n">
        <v>46010</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22816-2021</t>
        </is>
      </c>
      <c r="B672" s="1" t="n">
        <v>44325</v>
      </c>
      <c r="C672" s="1" t="n">
        <v>46010</v>
      </c>
      <c r="D672" t="inlineStr">
        <is>
          <t>STOCKHOLMS LÄN</t>
        </is>
      </c>
      <c r="E672" t="inlineStr">
        <is>
          <t>NORRTÄLJE</t>
        </is>
      </c>
      <c r="G672" t="n">
        <v>4.5</v>
      </c>
      <c r="H672" t="n">
        <v>0</v>
      </c>
      <c r="I672" t="n">
        <v>0</v>
      </c>
      <c r="J672" t="n">
        <v>0</v>
      </c>
      <c r="K672" t="n">
        <v>0</v>
      </c>
      <c r="L672" t="n">
        <v>0</v>
      </c>
      <c r="M672" t="n">
        <v>0</v>
      </c>
      <c r="N672" t="n">
        <v>0</v>
      </c>
      <c r="O672" t="n">
        <v>0</v>
      </c>
      <c r="P672" t="n">
        <v>0</v>
      </c>
      <c r="Q672" t="n">
        <v>0</v>
      </c>
      <c r="R672" s="2" t="inlineStr"/>
    </row>
    <row r="673" ht="15" customHeight="1">
      <c r="A673" t="inlineStr">
        <is>
          <t>A 9480-2025</t>
        </is>
      </c>
      <c r="B673" s="1" t="n">
        <v>45715</v>
      </c>
      <c r="C673" s="1" t="n">
        <v>46010</v>
      </c>
      <c r="D673" t="inlineStr">
        <is>
          <t>STOCKHOLMS LÄN</t>
        </is>
      </c>
      <c r="E673" t="inlineStr">
        <is>
          <t>NORRTÄLJE</t>
        </is>
      </c>
      <c r="F673" t="inlineStr">
        <is>
          <t>Övriga Aktiebolag</t>
        </is>
      </c>
      <c r="G673" t="n">
        <v>3.9</v>
      </c>
      <c r="H673" t="n">
        <v>0</v>
      </c>
      <c r="I673" t="n">
        <v>0</v>
      </c>
      <c r="J673" t="n">
        <v>0</v>
      </c>
      <c r="K673" t="n">
        <v>0</v>
      </c>
      <c r="L673" t="n">
        <v>0</v>
      </c>
      <c r="M673" t="n">
        <v>0</v>
      </c>
      <c r="N673" t="n">
        <v>0</v>
      </c>
      <c r="O673" t="n">
        <v>0</v>
      </c>
      <c r="P673" t="n">
        <v>0</v>
      </c>
      <c r="Q673" t="n">
        <v>0</v>
      </c>
      <c r="R673" s="2" t="inlineStr"/>
    </row>
    <row r="674" ht="15" customHeight="1">
      <c r="A674" t="inlineStr">
        <is>
          <t>A 24522-2023</t>
        </is>
      </c>
      <c r="B674" s="1" t="n">
        <v>45082.69179398148</v>
      </c>
      <c r="C674" s="1" t="n">
        <v>46010</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25625-2023</t>
        </is>
      </c>
      <c r="B675" s="1" t="n">
        <v>45089</v>
      </c>
      <c r="C675" s="1" t="n">
        <v>46010</v>
      </c>
      <c r="D675" t="inlineStr">
        <is>
          <t>STOCKHOLMS LÄN</t>
        </is>
      </c>
      <c r="E675" t="inlineStr">
        <is>
          <t>NORRTÄLJE</t>
        </is>
      </c>
      <c r="G675" t="n">
        <v>5.5</v>
      </c>
      <c r="H675" t="n">
        <v>0</v>
      </c>
      <c r="I675" t="n">
        <v>0</v>
      </c>
      <c r="J675" t="n">
        <v>0</v>
      </c>
      <c r="K675" t="n">
        <v>0</v>
      </c>
      <c r="L675" t="n">
        <v>0</v>
      </c>
      <c r="M675" t="n">
        <v>0</v>
      </c>
      <c r="N675" t="n">
        <v>0</v>
      </c>
      <c r="O675" t="n">
        <v>0</v>
      </c>
      <c r="P675" t="n">
        <v>0</v>
      </c>
      <c r="Q675" t="n">
        <v>0</v>
      </c>
      <c r="R675" s="2" t="inlineStr"/>
    </row>
    <row r="676" ht="15" customHeight="1">
      <c r="A676" t="inlineStr">
        <is>
          <t>A 37147-2023</t>
        </is>
      </c>
      <c r="B676" s="1" t="n">
        <v>45155</v>
      </c>
      <c r="C676" s="1" t="n">
        <v>46010</v>
      </c>
      <c r="D676" t="inlineStr">
        <is>
          <t>STOCKHOLMS LÄN</t>
        </is>
      </c>
      <c r="E676" t="inlineStr">
        <is>
          <t>NORRTÄLJE</t>
        </is>
      </c>
      <c r="G676" t="n">
        <v>8</v>
      </c>
      <c r="H676" t="n">
        <v>0</v>
      </c>
      <c r="I676" t="n">
        <v>0</v>
      </c>
      <c r="J676" t="n">
        <v>0</v>
      </c>
      <c r="K676" t="n">
        <v>0</v>
      </c>
      <c r="L676" t="n">
        <v>0</v>
      </c>
      <c r="M676" t="n">
        <v>0</v>
      </c>
      <c r="N676" t="n">
        <v>0</v>
      </c>
      <c r="O676" t="n">
        <v>0</v>
      </c>
      <c r="P676" t="n">
        <v>0</v>
      </c>
      <c r="Q676" t="n">
        <v>0</v>
      </c>
      <c r="R676" s="2" t="inlineStr"/>
    </row>
    <row r="677" ht="15" customHeight="1">
      <c r="A677" t="inlineStr">
        <is>
          <t>A 7186-2024</t>
        </is>
      </c>
      <c r="B677" s="1" t="n">
        <v>45344</v>
      </c>
      <c r="C677" s="1" t="n">
        <v>46010</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57602-2024</t>
        </is>
      </c>
      <c r="B678" s="1" t="n">
        <v>45630.52866898148</v>
      </c>
      <c r="C678" s="1" t="n">
        <v>46010</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64600-2021</t>
        </is>
      </c>
      <c r="B679" s="1" t="n">
        <v>44511.70518518519</v>
      </c>
      <c r="C679" s="1" t="n">
        <v>46010</v>
      </c>
      <c r="D679" t="inlineStr">
        <is>
          <t>STOCKHOLMS LÄN</t>
        </is>
      </c>
      <c r="E679" t="inlineStr">
        <is>
          <t>NORRTÄLJE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50602-2021</t>
        </is>
      </c>
      <c r="B680" s="1" t="n">
        <v>44459</v>
      </c>
      <c r="C680" s="1" t="n">
        <v>46010</v>
      </c>
      <c r="D680" t="inlineStr">
        <is>
          <t>STOCKHOLMS LÄN</t>
        </is>
      </c>
      <c r="E680" t="inlineStr">
        <is>
          <t>NORRTÄLJE</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26365-2024</t>
        </is>
      </c>
      <c r="B681" s="1" t="n">
        <v>45469</v>
      </c>
      <c r="C681" s="1" t="n">
        <v>46010</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26640-2023</t>
        </is>
      </c>
      <c r="B682" s="1" t="n">
        <v>45092</v>
      </c>
      <c r="C682" s="1" t="n">
        <v>46010</v>
      </c>
      <c r="D682" t="inlineStr">
        <is>
          <t>STOCKHOLMS LÄN</t>
        </is>
      </c>
      <c r="E682" t="inlineStr">
        <is>
          <t>NORRTÄLJE</t>
        </is>
      </c>
      <c r="G682" t="n">
        <v>5.7</v>
      </c>
      <c r="H682" t="n">
        <v>0</v>
      </c>
      <c r="I682" t="n">
        <v>0</v>
      </c>
      <c r="J682" t="n">
        <v>0</v>
      </c>
      <c r="K682" t="n">
        <v>0</v>
      </c>
      <c r="L682" t="n">
        <v>0</v>
      </c>
      <c r="M682" t="n">
        <v>0</v>
      </c>
      <c r="N682" t="n">
        <v>0</v>
      </c>
      <c r="O682" t="n">
        <v>0</v>
      </c>
      <c r="P682" t="n">
        <v>0</v>
      </c>
      <c r="Q682" t="n">
        <v>0</v>
      </c>
      <c r="R682" s="2" t="inlineStr"/>
    </row>
    <row r="683" ht="15" customHeight="1">
      <c r="A683" t="inlineStr">
        <is>
          <t>A 31827-2023</t>
        </is>
      </c>
      <c r="B683" s="1" t="n">
        <v>45118</v>
      </c>
      <c r="C683" s="1" t="n">
        <v>46010</v>
      </c>
      <c r="D683" t="inlineStr">
        <is>
          <t>STOCKHOLMS LÄN</t>
        </is>
      </c>
      <c r="E683" t="inlineStr">
        <is>
          <t>NORRTÄLJE</t>
        </is>
      </c>
      <c r="F683" t="inlineStr">
        <is>
          <t>Kyrkan</t>
        </is>
      </c>
      <c r="G683" t="n">
        <v>4.9</v>
      </c>
      <c r="H683" t="n">
        <v>0</v>
      </c>
      <c r="I683" t="n">
        <v>0</v>
      </c>
      <c r="J683" t="n">
        <v>0</v>
      </c>
      <c r="K683" t="n">
        <v>0</v>
      </c>
      <c r="L683" t="n">
        <v>0</v>
      </c>
      <c r="M683" t="n">
        <v>0</v>
      </c>
      <c r="N683" t="n">
        <v>0</v>
      </c>
      <c r="O683" t="n">
        <v>0</v>
      </c>
      <c r="P683" t="n">
        <v>0</v>
      </c>
      <c r="Q683" t="n">
        <v>0</v>
      </c>
      <c r="R683" s="2" t="inlineStr"/>
    </row>
    <row r="684" ht="15" customHeight="1">
      <c r="A684" t="inlineStr">
        <is>
          <t>A 58993-2022</t>
        </is>
      </c>
      <c r="B684" s="1" t="n">
        <v>44903</v>
      </c>
      <c r="C684" s="1" t="n">
        <v>46010</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28900-2022</t>
        </is>
      </c>
      <c r="B685" s="1" t="n">
        <v>44749.55258101852</v>
      </c>
      <c r="C685" s="1" t="n">
        <v>46010</v>
      </c>
      <c r="D685" t="inlineStr">
        <is>
          <t>STOCKHOLMS LÄN</t>
        </is>
      </c>
      <c r="E685" t="inlineStr">
        <is>
          <t>NORRTÄLJE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17574-2025</t>
        </is>
      </c>
      <c r="B686" s="1" t="n">
        <v>45757.65178240741</v>
      </c>
      <c r="C686" s="1" t="n">
        <v>46010</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58297-2023</t>
        </is>
      </c>
      <c r="B687" s="1" t="n">
        <v>45245</v>
      </c>
      <c r="C687" s="1" t="n">
        <v>46010</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20304-2023</t>
        </is>
      </c>
      <c r="B688" s="1" t="n">
        <v>45056</v>
      </c>
      <c r="C688" s="1" t="n">
        <v>46010</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12299-2025</t>
        </is>
      </c>
      <c r="B689" s="1" t="n">
        <v>45729.71065972222</v>
      </c>
      <c r="C689" s="1" t="n">
        <v>46010</v>
      </c>
      <c r="D689" t="inlineStr">
        <is>
          <t>STOCKHOLMS LÄN</t>
        </is>
      </c>
      <c r="E689" t="inlineStr">
        <is>
          <t>NORRTÄLJE</t>
        </is>
      </c>
      <c r="F689" t="inlineStr">
        <is>
          <t>Holmen skog AB</t>
        </is>
      </c>
      <c r="G689" t="n">
        <v>6.9</v>
      </c>
      <c r="H689" t="n">
        <v>0</v>
      </c>
      <c r="I689" t="n">
        <v>0</v>
      </c>
      <c r="J689" t="n">
        <v>0</v>
      </c>
      <c r="K689" t="n">
        <v>0</v>
      </c>
      <c r="L689" t="n">
        <v>0</v>
      </c>
      <c r="M689" t="n">
        <v>0</v>
      </c>
      <c r="N689" t="n">
        <v>0</v>
      </c>
      <c r="O689" t="n">
        <v>0</v>
      </c>
      <c r="P689" t="n">
        <v>0</v>
      </c>
      <c r="Q689" t="n">
        <v>0</v>
      </c>
      <c r="R689" s="2" t="inlineStr"/>
    </row>
    <row r="690" ht="15" customHeight="1">
      <c r="A690" t="inlineStr">
        <is>
          <t>A 22157-2023</t>
        </is>
      </c>
      <c r="B690" s="1" t="n">
        <v>45069</v>
      </c>
      <c r="C690" s="1" t="n">
        <v>46010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c r="U690">
        <f>HYPERLINK("https://klasma.github.io/Logging_0188/knärot/A 22157-2023 karta knärot.png", "A 22157-2023")</f>
        <v/>
      </c>
      <c r="V690">
        <f>HYPERLINK("https://klasma.github.io/Logging_0188/klagomål/A 22157-2023 FSC-klagomål.docx", "A 22157-2023")</f>
        <v/>
      </c>
      <c r="W690">
        <f>HYPERLINK("https://klasma.github.io/Logging_0188/klagomålsmail/A 22157-2023 FSC-klagomål mail.docx", "A 22157-2023")</f>
        <v/>
      </c>
      <c r="X690">
        <f>HYPERLINK("https://klasma.github.io/Logging_0188/tillsyn/A 22157-2023 tillsynsbegäran.docx", "A 22157-2023")</f>
        <v/>
      </c>
      <c r="Y690">
        <f>HYPERLINK("https://klasma.github.io/Logging_0188/tillsynsmail/A 22157-2023 tillsynsbegäran mail.docx", "A 22157-2023")</f>
        <v/>
      </c>
    </row>
    <row r="691" ht="15" customHeight="1">
      <c r="A691" t="inlineStr">
        <is>
          <t>A 67921-2021</t>
        </is>
      </c>
      <c r="B691" s="1" t="n">
        <v>44525</v>
      </c>
      <c r="C691" s="1" t="n">
        <v>46010</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47498-2025</t>
        </is>
      </c>
      <c r="B692" s="1" t="n">
        <v>45930.8134375</v>
      </c>
      <c r="C692" s="1" t="n">
        <v>46010</v>
      </c>
      <c r="D692" t="inlineStr">
        <is>
          <t>STOCKHOLMS LÄN</t>
        </is>
      </c>
      <c r="E692" t="inlineStr">
        <is>
          <t>NORRTÄLJE</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56114-2025</t>
        </is>
      </c>
      <c r="B693" s="1" t="n">
        <v>45973.74474537037</v>
      </c>
      <c r="C693" s="1" t="n">
        <v>46010</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47460-2025</t>
        </is>
      </c>
      <c r="B694" s="1" t="n">
        <v>45930.66012731481</v>
      </c>
      <c r="C694" s="1" t="n">
        <v>46010</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47496-2025</t>
        </is>
      </c>
      <c r="B695" s="1" t="n">
        <v>45930.79252314815</v>
      </c>
      <c r="C695" s="1" t="n">
        <v>46010</v>
      </c>
      <c r="D695" t="inlineStr">
        <is>
          <t>STOCKHOLMS LÄN</t>
        </is>
      </c>
      <c r="E695" t="inlineStr">
        <is>
          <t>NORRTÄLJE</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47497-2025</t>
        </is>
      </c>
      <c r="B696" s="1" t="n">
        <v>45930.80217592593</v>
      </c>
      <c r="C696" s="1" t="n">
        <v>46010</v>
      </c>
      <c r="D696" t="inlineStr">
        <is>
          <t>STOCKHOLMS LÄN</t>
        </is>
      </c>
      <c r="E696" t="inlineStr">
        <is>
          <t>NORRTÄLJE</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11929-2024</t>
        </is>
      </c>
      <c r="B697" s="1" t="n">
        <v>45376.64532407407</v>
      </c>
      <c r="C697" s="1" t="n">
        <v>46010</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65499-2021</t>
        </is>
      </c>
      <c r="B698" s="1" t="n">
        <v>44516</v>
      </c>
      <c r="C698" s="1" t="n">
        <v>46010</v>
      </c>
      <c r="D698" t="inlineStr">
        <is>
          <t>STOCKHOLMS LÄN</t>
        </is>
      </c>
      <c r="E698" t="inlineStr">
        <is>
          <t>NORRTÄLJE</t>
        </is>
      </c>
      <c r="F698" t="inlineStr">
        <is>
          <t>Kommuner</t>
        </is>
      </c>
      <c r="G698" t="n">
        <v>5.2</v>
      </c>
      <c r="H698" t="n">
        <v>0</v>
      </c>
      <c r="I698" t="n">
        <v>0</v>
      </c>
      <c r="J698" t="n">
        <v>0</v>
      </c>
      <c r="K698" t="n">
        <v>0</v>
      </c>
      <c r="L698" t="n">
        <v>0</v>
      </c>
      <c r="M698" t="n">
        <v>0</v>
      </c>
      <c r="N698" t="n">
        <v>0</v>
      </c>
      <c r="O698" t="n">
        <v>0</v>
      </c>
      <c r="P698" t="n">
        <v>0</v>
      </c>
      <c r="Q698" t="n">
        <v>0</v>
      </c>
      <c r="R698" s="2" t="inlineStr"/>
    </row>
    <row r="699" ht="15" customHeight="1">
      <c r="A699" t="inlineStr">
        <is>
          <t>A 8296-2023</t>
        </is>
      </c>
      <c r="B699" s="1" t="n">
        <v>44974</v>
      </c>
      <c r="C699" s="1" t="n">
        <v>46010</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48360-2025</t>
        </is>
      </c>
      <c r="B700" s="1" t="n">
        <v>45933.66253472222</v>
      </c>
      <c r="C700" s="1" t="n">
        <v>46010</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48370-2025</t>
        </is>
      </c>
      <c r="B701" s="1" t="n">
        <v>45933.67854166667</v>
      </c>
      <c r="C701" s="1" t="n">
        <v>46010</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24575-2024</t>
        </is>
      </c>
      <c r="B702" s="1" t="n">
        <v>45460.45523148148</v>
      </c>
      <c r="C702" s="1" t="n">
        <v>46010</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64899-2023</t>
        </is>
      </c>
      <c r="B703" s="1" t="n">
        <v>45282</v>
      </c>
      <c r="C703" s="1" t="n">
        <v>46010</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52593-2024</t>
        </is>
      </c>
      <c r="B704" s="1" t="n">
        <v>45609.70778935185</v>
      </c>
      <c r="C704" s="1" t="n">
        <v>46010</v>
      </c>
      <c r="D704" t="inlineStr">
        <is>
          <t>STOCKHOLMS LÄN</t>
        </is>
      </c>
      <c r="E704" t="inlineStr">
        <is>
          <t>NORRTÄLJE</t>
        </is>
      </c>
      <c r="F704" t="inlineStr">
        <is>
          <t>Holmen skog AB</t>
        </is>
      </c>
      <c r="G704" t="n">
        <v>2.4</v>
      </c>
      <c r="H704" t="n">
        <v>0</v>
      </c>
      <c r="I704" t="n">
        <v>0</v>
      </c>
      <c r="J704" t="n">
        <v>0</v>
      </c>
      <c r="K704" t="n">
        <v>0</v>
      </c>
      <c r="L704" t="n">
        <v>0</v>
      </c>
      <c r="M704" t="n">
        <v>0</v>
      </c>
      <c r="N704" t="n">
        <v>0</v>
      </c>
      <c r="O704" t="n">
        <v>0</v>
      </c>
      <c r="P704" t="n">
        <v>0</v>
      </c>
      <c r="Q704" t="n">
        <v>0</v>
      </c>
      <c r="R704" s="2" t="inlineStr"/>
    </row>
    <row r="705" ht="15" customHeight="1">
      <c r="A705" t="inlineStr">
        <is>
          <t>A 52617-2024</t>
        </is>
      </c>
      <c r="B705" s="1" t="n">
        <v>45609.85146990741</v>
      </c>
      <c r="C705" s="1" t="n">
        <v>46010</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48364-2025</t>
        </is>
      </c>
      <c r="B706" s="1" t="n">
        <v>45933.66796296297</v>
      </c>
      <c r="C706" s="1" t="n">
        <v>46010</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22816-2021</t>
        </is>
      </c>
      <c r="B707" s="1" t="n">
        <v>44325</v>
      </c>
      <c r="C707" s="1" t="n">
        <v>46010</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59904-2023</t>
        </is>
      </c>
      <c r="B708" s="1" t="n">
        <v>45257</v>
      </c>
      <c r="C708" s="1" t="n">
        <v>46010</v>
      </c>
      <c r="D708" t="inlineStr">
        <is>
          <t>STOCKHOLMS LÄN</t>
        </is>
      </c>
      <c r="E708" t="inlineStr">
        <is>
          <t>NORRTÄLJE</t>
        </is>
      </c>
      <c r="G708" t="n">
        <v>17.4</v>
      </c>
      <c r="H708" t="n">
        <v>0</v>
      </c>
      <c r="I708" t="n">
        <v>0</v>
      </c>
      <c r="J708" t="n">
        <v>0</v>
      </c>
      <c r="K708" t="n">
        <v>0</v>
      </c>
      <c r="L708" t="n">
        <v>0</v>
      </c>
      <c r="M708" t="n">
        <v>0</v>
      </c>
      <c r="N708" t="n">
        <v>0</v>
      </c>
      <c r="O708" t="n">
        <v>0</v>
      </c>
      <c r="P708" t="n">
        <v>0</v>
      </c>
      <c r="Q708" t="n">
        <v>0</v>
      </c>
      <c r="R708" s="2" t="inlineStr"/>
    </row>
    <row r="709" ht="15" customHeight="1">
      <c r="A709" t="inlineStr">
        <is>
          <t>A 9914-2023</t>
        </is>
      </c>
      <c r="B709" s="1" t="n">
        <v>44985</v>
      </c>
      <c r="C709" s="1" t="n">
        <v>46010</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11062-2024</t>
        </is>
      </c>
      <c r="B710" s="1" t="n">
        <v>45370</v>
      </c>
      <c r="C710" s="1" t="n">
        <v>46010</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row>
    <row r="711" ht="15" customHeight="1">
      <c r="A711" t="inlineStr">
        <is>
          <t>A 56207-2025</t>
        </is>
      </c>
      <c r="B711" s="1" t="n">
        <v>45974.47329861111</v>
      </c>
      <c r="C711" s="1" t="n">
        <v>46010</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row>
    <row r="712" ht="15" customHeight="1">
      <c r="A712" t="inlineStr">
        <is>
          <t>A 33569-2023</t>
        </is>
      </c>
      <c r="B712" s="1" t="n">
        <v>45131.666875</v>
      </c>
      <c r="C712" s="1" t="n">
        <v>46010</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15905-2023</t>
        </is>
      </c>
      <c r="B713" s="1" t="n">
        <v>45022</v>
      </c>
      <c r="C713" s="1" t="n">
        <v>46010</v>
      </c>
      <c r="D713" t="inlineStr">
        <is>
          <t>STOCKHOLMS LÄN</t>
        </is>
      </c>
      <c r="E713" t="inlineStr">
        <is>
          <t>NORRTÄLJE</t>
        </is>
      </c>
      <c r="G713" t="n">
        <v>3.2</v>
      </c>
      <c r="H713" t="n">
        <v>0</v>
      </c>
      <c r="I713" t="n">
        <v>0</v>
      </c>
      <c r="J713" t="n">
        <v>0</v>
      </c>
      <c r="K713" t="n">
        <v>0</v>
      </c>
      <c r="L713" t="n">
        <v>0</v>
      </c>
      <c r="M713" t="n">
        <v>0</v>
      </c>
      <c r="N713" t="n">
        <v>0</v>
      </c>
      <c r="O713" t="n">
        <v>0</v>
      </c>
      <c r="P713" t="n">
        <v>0</v>
      </c>
      <c r="Q713" t="n">
        <v>0</v>
      </c>
      <c r="R713" s="2" t="inlineStr"/>
    </row>
    <row r="714" ht="15" customHeight="1">
      <c r="A714" t="inlineStr">
        <is>
          <t>A 48174-2025</t>
        </is>
      </c>
      <c r="B714" s="1" t="n">
        <v>45933.44230324074</v>
      </c>
      <c r="C714" s="1" t="n">
        <v>46010</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48127-2025</t>
        </is>
      </c>
      <c r="B715" s="1" t="n">
        <v>45933.36621527778</v>
      </c>
      <c r="C715" s="1" t="n">
        <v>46010</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15956-2023</t>
        </is>
      </c>
      <c r="B716" s="1" t="n">
        <v>45022.61003472222</v>
      </c>
      <c r="C716" s="1" t="n">
        <v>46010</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48179-2025</t>
        </is>
      </c>
      <c r="B717" s="1" t="n">
        <v>45933.44907407407</v>
      </c>
      <c r="C717" s="1" t="n">
        <v>46010</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47626-2022</t>
        </is>
      </c>
      <c r="B718" s="1" t="n">
        <v>44854</v>
      </c>
      <c r="C718" s="1" t="n">
        <v>46010</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62206-2022</t>
        </is>
      </c>
      <c r="B719" s="1" t="n">
        <v>44922</v>
      </c>
      <c r="C719" s="1" t="n">
        <v>46010</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20618-2022</t>
        </is>
      </c>
      <c r="B720" s="1" t="n">
        <v>44700.50659722222</v>
      </c>
      <c r="C720" s="1" t="n">
        <v>46010</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48718-2025</t>
        </is>
      </c>
      <c r="B721" s="1" t="n">
        <v>45936</v>
      </c>
      <c r="C721" s="1" t="n">
        <v>46010</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40192-2023</t>
        </is>
      </c>
      <c r="B722" s="1" t="n">
        <v>45169</v>
      </c>
      <c r="C722" s="1" t="n">
        <v>46010</v>
      </c>
      <c r="D722" t="inlineStr">
        <is>
          <t>STOCKHOLMS LÄN</t>
        </is>
      </c>
      <c r="E722" t="inlineStr">
        <is>
          <t>NORRTÄLJE</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11900-2022</t>
        </is>
      </c>
      <c r="B723" s="1" t="n">
        <v>44635</v>
      </c>
      <c r="C723" s="1" t="n">
        <v>46010</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10973-2025</t>
        </is>
      </c>
      <c r="B724" s="1" t="n">
        <v>45723</v>
      </c>
      <c r="C724" s="1" t="n">
        <v>46010</v>
      </c>
      <c r="D724" t="inlineStr">
        <is>
          <t>STOCKHOLMS LÄN</t>
        </is>
      </c>
      <c r="E724" t="inlineStr">
        <is>
          <t>NORRTÄLJE</t>
        </is>
      </c>
      <c r="F724" t="inlineStr">
        <is>
          <t>Övriga Aktiebolag</t>
        </is>
      </c>
      <c r="G724" t="n">
        <v>2.7</v>
      </c>
      <c r="H724" t="n">
        <v>0</v>
      </c>
      <c r="I724" t="n">
        <v>0</v>
      </c>
      <c r="J724" t="n">
        <v>0</v>
      </c>
      <c r="K724" t="n">
        <v>0</v>
      </c>
      <c r="L724" t="n">
        <v>0</v>
      </c>
      <c r="M724" t="n">
        <v>0</v>
      </c>
      <c r="N724" t="n">
        <v>0</v>
      </c>
      <c r="O724" t="n">
        <v>0</v>
      </c>
      <c r="P724" t="n">
        <v>0</v>
      </c>
      <c r="Q724" t="n">
        <v>0</v>
      </c>
      <c r="R724" s="2" t="inlineStr"/>
    </row>
    <row r="725" ht="15" customHeight="1">
      <c r="A725" t="inlineStr">
        <is>
          <t>A 27885-2022</t>
        </is>
      </c>
      <c r="B725" s="1" t="n">
        <v>44743.67418981482</v>
      </c>
      <c r="C725" s="1" t="n">
        <v>46010</v>
      </c>
      <c r="D725" t="inlineStr">
        <is>
          <t>STOCKHOLMS LÄN</t>
        </is>
      </c>
      <c r="E725" t="inlineStr">
        <is>
          <t>NORRTÄLJE</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48593-2025</t>
        </is>
      </c>
      <c r="B726" s="1" t="n">
        <v>45936.4627662037</v>
      </c>
      <c r="C726" s="1" t="n">
        <v>46010</v>
      </c>
      <c r="D726" t="inlineStr">
        <is>
          <t>STOCKHOLMS LÄN</t>
        </is>
      </c>
      <c r="E726" t="inlineStr">
        <is>
          <t>NORRTÄLJE</t>
        </is>
      </c>
      <c r="G726" t="n">
        <v>4.2</v>
      </c>
      <c r="H726" t="n">
        <v>0</v>
      </c>
      <c r="I726" t="n">
        <v>0</v>
      </c>
      <c r="J726" t="n">
        <v>0</v>
      </c>
      <c r="K726" t="n">
        <v>0</v>
      </c>
      <c r="L726" t="n">
        <v>0</v>
      </c>
      <c r="M726" t="n">
        <v>0</v>
      </c>
      <c r="N726" t="n">
        <v>0</v>
      </c>
      <c r="O726" t="n">
        <v>0</v>
      </c>
      <c r="P726" t="n">
        <v>0</v>
      </c>
      <c r="Q726" t="n">
        <v>0</v>
      </c>
      <c r="R726" s="2" t="inlineStr"/>
    </row>
    <row r="727" ht="15" customHeight="1">
      <c r="A727" t="inlineStr">
        <is>
          <t>A 33279-2025</t>
        </is>
      </c>
      <c r="B727" s="1" t="n">
        <v>45840</v>
      </c>
      <c r="C727" s="1" t="n">
        <v>46010</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48443-2025</t>
        </is>
      </c>
      <c r="B728" s="1" t="n">
        <v>45935.55326388889</v>
      </c>
      <c r="C728" s="1" t="n">
        <v>46010</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60224-2023</t>
        </is>
      </c>
      <c r="B729" s="1" t="n">
        <v>45257</v>
      </c>
      <c r="C729" s="1" t="n">
        <v>46010</v>
      </c>
      <c r="D729" t="inlineStr">
        <is>
          <t>STOCKHOLMS LÄN</t>
        </is>
      </c>
      <c r="E729" t="inlineStr">
        <is>
          <t>NORRTÄLJE</t>
        </is>
      </c>
      <c r="G729" t="n">
        <v>8.1</v>
      </c>
      <c r="H729" t="n">
        <v>0</v>
      </c>
      <c r="I729" t="n">
        <v>0</v>
      </c>
      <c r="J729" t="n">
        <v>0</v>
      </c>
      <c r="K729" t="n">
        <v>0</v>
      </c>
      <c r="L729" t="n">
        <v>0</v>
      </c>
      <c r="M729" t="n">
        <v>0</v>
      </c>
      <c r="N729" t="n">
        <v>0</v>
      </c>
      <c r="O729" t="n">
        <v>0</v>
      </c>
      <c r="P729" t="n">
        <v>0</v>
      </c>
      <c r="Q729" t="n">
        <v>0</v>
      </c>
      <c r="R729" s="2" t="inlineStr"/>
    </row>
    <row r="730" ht="15" customHeight="1">
      <c r="A730" t="inlineStr">
        <is>
          <t>A 5158-2024</t>
        </is>
      </c>
      <c r="B730" s="1" t="n">
        <v>45330.50098379629</v>
      </c>
      <c r="C730" s="1" t="n">
        <v>46010</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9130-2025</t>
        </is>
      </c>
      <c r="B731" s="1" t="n">
        <v>45713.92623842593</v>
      </c>
      <c r="C731" s="1" t="n">
        <v>46010</v>
      </c>
      <c r="D731" t="inlineStr">
        <is>
          <t>STOCKHOLMS LÄN</t>
        </is>
      </c>
      <c r="E731" t="inlineStr">
        <is>
          <t>NORRTÄLJE</t>
        </is>
      </c>
      <c r="G731" t="n">
        <v>16</v>
      </c>
      <c r="H731" t="n">
        <v>0</v>
      </c>
      <c r="I731" t="n">
        <v>0</v>
      </c>
      <c r="J731" t="n">
        <v>0</v>
      </c>
      <c r="K731" t="n">
        <v>0</v>
      </c>
      <c r="L731" t="n">
        <v>0</v>
      </c>
      <c r="M731" t="n">
        <v>0</v>
      </c>
      <c r="N731" t="n">
        <v>0</v>
      </c>
      <c r="O731" t="n">
        <v>0</v>
      </c>
      <c r="P731" t="n">
        <v>0</v>
      </c>
      <c r="Q731" t="n">
        <v>0</v>
      </c>
      <c r="R731" s="2" t="inlineStr"/>
    </row>
    <row r="732" ht="15" customHeight="1">
      <c r="A732" t="inlineStr">
        <is>
          <t>A 48780-2025</t>
        </is>
      </c>
      <c r="B732" s="1" t="n">
        <v>45937.30377314815</v>
      </c>
      <c r="C732" s="1" t="n">
        <v>46010</v>
      </c>
      <c r="D732" t="inlineStr">
        <is>
          <t>STOCKHOLMS LÄN</t>
        </is>
      </c>
      <c r="E732" t="inlineStr">
        <is>
          <t>NORRTÄLJE</t>
        </is>
      </c>
      <c r="G732" t="n">
        <v>7.7</v>
      </c>
      <c r="H732" t="n">
        <v>0</v>
      </c>
      <c r="I732" t="n">
        <v>0</v>
      </c>
      <c r="J732" t="n">
        <v>0</v>
      </c>
      <c r="K732" t="n">
        <v>0</v>
      </c>
      <c r="L732" t="n">
        <v>0</v>
      </c>
      <c r="M732" t="n">
        <v>0</v>
      </c>
      <c r="N732" t="n">
        <v>0</v>
      </c>
      <c r="O732" t="n">
        <v>0</v>
      </c>
      <c r="P732" t="n">
        <v>0</v>
      </c>
      <c r="Q732" t="n">
        <v>0</v>
      </c>
      <c r="R732" s="2" t="inlineStr"/>
    </row>
    <row r="733" ht="15" customHeight="1">
      <c r="A733" t="inlineStr">
        <is>
          <t>A 17551-2025</t>
        </is>
      </c>
      <c r="B733" s="1" t="n">
        <v>45757.61421296297</v>
      </c>
      <c r="C733" s="1" t="n">
        <v>46010</v>
      </c>
      <c r="D733" t="inlineStr">
        <is>
          <t>STOCKHOLMS LÄN</t>
        </is>
      </c>
      <c r="E733" t="inlineStr">
        <is>
          <t>NORRTÄLJE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55010-2024</t>
        </is>
      </c>
      <c r="B734" s="1" t="n">
        <v>45621.34425925926</v>
      </c>
      <c r="C734" s="1" t="n">
        <v>46010</v>
      </c>
      <c r="D734" t="inlineStr">
        <is>
          <t>STOCKHOLMS LÄN</t>
        </is>
      </c>
      <c r="E734" t="inlineStr">
        <is>
          <t>NORRTÄLJE</t>
        </is>
      </c>
      <c r="F734" t="inlineStr">
        <is>
          <t>Sveaskog</t>
        </is>
      </c>
      <c r="G734" t="n">
        <v>5.7</v>
      </c>
      <c r="H734" t="n">
        <v>0</v>
      </c>
      <c r="I734" t="n">
        <v>0</v>
      </c>
      <c r="J734" t="n">
        <v>0</v>
      </c>
      <c r="K734" t="n">
        <v>0</v>
      </c>
      <c r="L734" t="n">
        <v>0</v>
      </c>
      <c r="M734" t="n">
        <v>0</v>
      </c>
      <c r="N734" t="n">
        <v>0</v>
      </c>
      <c r="O734" t="n">
        <v>0</v>
      </c>
      <c r="P734" t="n">
        <v>0</v>
      </c>
      <c r="Q734" t="n">
        <v>0</v>
      </c>
      <c r="R734" s="2" t="inlineStr"/>
    </row>
    <row r="735" ht="15" customHeight="1">
      <c r="A735" t="inlineStr">
        <is>
          <t>A 31105-2022</t>
        </is>
      </c>
      <c r="B735" s="1" t="n">
        <v>44769.66039351852</v>
      </c>
      <c r="C735" s="1" t="n">
        <v>46010</v>
      </c>
      <c r="D735" t="inlineStr">
        <is>
          <t>STOCKHOLMS LÄN</t>
        </is>
      </c>
      <c r="E735" t="inlineStr">
        <is>
          <t>NORRTÄLJE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30620-2022</t>
        </is>
      </c>
      <c r="B736" s="1" t="n">
        <v>44763.40914351852</v>
      </c>
      <c r="C736" s="1" t="n">
        <v>46010</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50113-2024</t>
        </is>
      </c>
      <c r="B737" s="1" t="n">
        <v>45600.411875</v>
      </c>
      <c r="C737" s="1" t="n">
        <v>46010</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28365-2022</t>
        </is>
      </c>
      <c r="B738" s="1" t="n">
        <v>44747</v>
      </c>
      <c r="C738" s="1" t="n">
        <v>46010</v>
      </c>
      <c r="D738" t="inlineStr">
        <is>
          <t>STOCKHOLMS LÄN</t>
        </is>
      </c>
      <c r="E738" t="inlineStr">
        <is>
          <t>NORRTÄLJE</t>
        </is>
      </c>
      <c r="G738" t="n">
        <v>5.1</v>
      </c>
      <c r="H738" t="n">
        <v>0</v>
      </c>
      <c r="I738" t="n">
        <v>0</v>
      </c>
      <c r="J738" t="n">
        <v>0</v>
      </c>
      <c r="K738" t="n">
        <v>0</v>
      </c>
      <c r="L738" t="n">
        <v>0</v>
      </c>
      <c r="M738" t="n">
        <v>0</v>
      </c>
      <c r="N738" t="n">
        <v>0</v>
      </c>
      <c r="O738" t="n">
        <v>0</v>
      </c>
      <c r="P738" t="n">
        <v>0</v>
      </c>
      <c r="Q738" t="n">
        <v>0</v>
      </c>
      <c r="R738" s="2" t="inlineStr"/>
    </row>
    <row r="739" ht="15" customHeight="1">
      <c r="A739" t="inlineStr">
        <is>
          <t>A 42955-2022</t>
        </is>
      </c>
      <c r="B739" s="1" t="n">
        <v>44833.40876157407</v>
      </c>
      <c r="C739" s="1" t="n">
        <v>46010</v>
      </c>
      <c r="D739" t="inlineStr">
        <is>
          <t>STOCKHOLMS LÄN</t>
        </is>
      </c>
      <c r="E739" t="inlineStr">
        <is>
          <t>NORRTÄLJE</t>
        </is>
      </c>
      <c r="G739" t="n">
        <v>13.1</v>
      </c>
      <c r="H739" t="n">
        <v>0</v>
      </c>
      <c r="I739" t="n">
        <v>0</v>
      </c>
      <c r="J739" t="n">
        <v>0</v>
      </c>
      <c r="K739" t="n">
        <v>0</v>
      </c>
      <c r="L739" t="n">
        <v>0</v>
      </c>
      <c r="M739" t="n">
        <v>0</v>
      </c>
      <c r="N739" t="n">
        <v>0</v>
      </c>
      <c r="O739" t="n">
        <v>0</v>
      </c>
      <c r="P739" t="n">
        <v>0</v>
      </c>
      <c r="Q739" t="n">
        <v>0</v>
      </c>
      <c r="R739" s="2" t="inlineStr"/>
    </row>
    <row r="740" ht="15" customHeight="1">
      <c r="A740" t="inlineStr">
        <is>
          <t>A 1283-2025</t>
        </is>
      </c>
      <c r="B740" s="1" t="n">
        <v>45667.49878472222</v>
      </c>
      <c r="C740" s="1" t="n">
        <v>46010</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9703-2021</t>
        </is>
      </c>
      <c r="B741" s="1" t="n">
        <v>44252</v>
      </c>
      <c r="C741" s="1" t="n">
        <v>46010</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49129-2025</t>
        </is>
      </c>
      <c r="B742" s="1" t="n">
        <v>45937.89517361111</v>
      </c>
      <c r="C742" s="1" t="n">
        <v>46010</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57788-2025</t>
        </is>
      </c>
      <c r="B743" s="1" t="n">
        <v>45981.5778125</v>
      </c>
      <c r="C743" s="1" t="n">
        <v>46010</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13767-2025</t>
        </is>
      </c>
      <c r="B744" s="1" t="n">
        <v>45737.43347222222</v>
      </c>
      <c r="C744" s="1" t="n">
        <v>46010</v>
      </c>
      <c r="D744" t="inlineStr">
        <is>
          <t>STOCKHOLMS LÄN</t>
        </is>
      </c>
      <c r="E744" t="inlineStr">
        <is>
          <t>NORRTÄLJE</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20013-2025</t>
        </is>
      </c>
      <c r="B745" s="1" t="n">
        <v>45772.30436342592</v>
      </c>
      <c r="C745" s="1" t="n">
        <v>46010</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53362-2023</t>
        </is>
      </c>
      <c r="B746" s="1" t="n">
        <v>45223</v>
      </c>
      <c r="C746" s="1" t="n">
        <v>46010</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55503-2025</t>
        </is>
      </c>
      <c r="B747" s="1" t="n">
        <v>45971</v>
      </c>
      <c r="C747" s="1" t="n">
        <v>46010</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15422-2024</t>
        </is>
      </c>
      <c r="B748" s="1" t="n">
        <v>45401.3653125</v>
      </c>
      <c r="C748" s="1" t="n">
        <v>46010</v>
      </c>
      <c r="D748" t="inlineStr">
        <is>
          <t>STOCKHOLMS LÄN</t>
        </is>
      </c>
      <c r="E748" t="inlineStr">
        <is>
          <t>NORRTÄLJE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30508-2023</t>
        </is>
      </c>
      <c r="B749" s="1" t="n">
        <v>45111</v>
      </c>
      <c r="C749" s="1" t="n">
        <v>46010</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16008-2025</t>
        </is>
      </c>
      <c r="B750" s="1" t="n">
        <v>45749</v>
      </c>
      <c r="C750" s="1" t="n">
        <v>46010</v>
      </c>
      <c r="D750" t="inlineStr">
        <is>
          <t>STOCKHOLMS LÄN</t>
        </is>
      </c>
      <c r="E750" t="inlineStr">
        <is>
          <t>NORRTÄLJE</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57953-2025</t>
        </is>
      </c>
      <c r="B751" s="1" t="n">
        <v>45982.35016203704</v>
      </c>
      <c r="C751" s="1" t="n">
        <v>46010</v>
      </c>
      <c r="D751" t="inlineStr">
        <is>
          <t>STOCKHOLMS LÄN</t>
        </is>
      </c>
      <c r="E751" t="inlineStr">
        <is>
          <t>NORRTÄLJE</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21158-2022</t>
        </is>
      </c>
      <c r="B752" s="1" t="n">
        <v>44704</v>
      </c>
      <c r="C752" s="1" t="n">
        <v>46010</v>
      </c>
      <c r="D752" t="inlineStr">
        <is>
          <t>STOCKHOLMS LÄN</t>
        </is>
      </c>
      <c r="E752" t="inlineStr">
        <is>
          <t>NORRTÄLJE</t>
        </is>
      </c>
      <c r="G752" t="n">
        <v>17.8</v>
      </c>
      <c r="H752" t="n">
        <v>0</v>
      </c>
      <c r="I752" t="n">
        <v>0</v>
      </c>
      <c r="J752" t="n">
        <v>0</v>
      </c>
      <c r="K752" t="n">
        <v>0</v>
      </c>
      <c r="L752" t="n">
        <v>0</v>
      </c>
      <c r="M752" t="n">
        <v>0</v>
      </c>
      <c r="N752" t="n">
        <v>0</v>
      </c>
      <c r="O752" t="n">
        <v>0</v>
      </c>
      <c r="P752" t="n">
        <v>0</v>
      </c>
      <c r="Q752" t="n">
        <v>0</v>
      </c>
      <c r="R752" s="2" t="inlineStr"/>
    </row>
    <row r="753" ht="15" customHeight="1">
      <c r="A753" t="inlineStr">
        <is>
          <t>A 32101-2022</t>
        </is>
      </c>
      <c r="B753" s="1" t="n">
        <v>44778.69210648148</v>
      </c>
      <c r="C753" s="1" t="n">
        <v>46010</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23150-2024</t>
        </is>
      </c>
      <c r="B754" s="1" t="n">
        <v>45450.64643518518</v>
      </c>
      <c r="C754" s="1" t="n">
        <v>46010</v>
      </c>
      <c r="D754" t="inlineStr">
        <is>
          <t>STOCKHOLMS LÄN</t>
        </is>
      </c>
      <c r="E754" t="inlineStr">
        <is>
          <t>NORRTÄLJE</t>
        </is>
      </c>
      <c r="F754" t="inlineStr">
        <is>
          <t>Kommuner</t>
        </is>
      </c>
      <c r="G754" t="n">
        <v>2.7</v>
      </c>
      <c r="H754" t="n">
        <v>0</v>
      </c>
      <c r="I754" t="n">
        <v>0</v>
      </c>
      <c r="J754" t="n">
        <v>0</v>
      </c>
      <c r="K754" t="n">
        <v>0</v>
      </c>
      <c r="L754" t="n">
        <v>0</v>
      </c>
      <c r="M754" t="n">
        <v>0</v>
      </c>
      <c r="N754" t="n">
        <v>0</v>
      </c>
      <c r="O754" t="n">
        <v>0</v>
      </c>
      <c r="P754" t="n">
        <v>0</v>
      </c>
      <c r="Q754" t="n">
        <v>0</v>
      </c>
      <c r="R754" s="2" t="inlineStr"/>
    </row>
    <row r="755" ht="15" customHeight="1">
      <c r="A755" t="inlineStr">
        <is>
          <t>A 24933-2023</t>
        </is>
      </c>
      <c r="B755" s="1" t="n">
        <v>45085.5309375</v>
      </c>
      <c r="C755" s="1" t="n">
        <v>46010</v>
      </c>
      <c r="D755" t="inlineStr">
        <is>
          <t>STOCKHOLMS LÄN</t>
        </is>
      </c>
      <c r="E755" t="inlineStr">
        <is>
          <t>NORRTÄLJE</t>
        </is>
      </c>
      <c r="F755" t="inlineStr">
        <is>
          <t>Holmen skog AB</t>
        </is>
      </c>
      <c r="G755" t="n">
        <v>1.8</v>
      </c>
      <c r="H755" t="n">
        <v>0</v>
      </c>
      <c r="I755" t="n">
        <v>0</v>
      </c>
      <c r="J755" t="n">
        <v>0</v>
      </c>
      <c r="K755" t="n">
        <v>0</v>
      </c>
      <c r="L755" t="n">
        <v>0</v>
      </c>
      <c r="M755" t="n">
        <v>0</v>
      </c>
      <c r="N755" t="n">
        <v>0</v>
      </c>
      <c r="O755" t="n">
        <v>0</v>
      </c>
      <c r="P755" t="n">
        <v>0</v>
      </c>
      <c r="Q755" t="n">
        <v>0</v>
      </c>
      <c r="R755" s="2" t="inlineStr"/>
    </row>
    <row r="756" ht="15" customHeight="1">
      <c r="A756" t="inlineStr">
        <is>
          <t>A 56631-2024</t>
        </is>
      </c>
      <c r="B756" s="1" t="n">
        <v>45625</v>
      </c>
      <c r="C756" s="1" t="n">
        <v>46010</v>
      </c>
      <c r="D756" t="inlineStr">
        <is>
          <t>STOCKHOLMS LÄN</t>
        </is>
      </c>
      <c r="E756" t="inlineStr">
        <is>
          <t>NORRTÄLJE</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652-2025</t>
        </is>
      </c>
      <c r="B757" s="1" t="n">
        <v>45664</v>
      </c>
      <c r="C757" s="1" t="n">
        <v>46010</v>
      </c>
      <c r="D757" t="inlineStr">
        <is>
          <t>STOCKHOLMS LÄN</t>
        </is>
      </c>
      <c r="E757" t="inlineStr">
        <is>
          <t>NORRTÄLJE</t>
        </is>
      </c>
      <c r="G757" t="n">
        <v>2.5</v>
      </c>
      <c r="H757" t="n">
        <v>0</v>
      </c>
      <c r="I757" t="n">
        <v>0</v>
      </c>
      <c r="J757" t="n">
        <v>0</v>
      </c>
      <c r="K757" t="n">
        <v>0</v>
      </c>
      <c r="L757" t="n">
        <v>0</v>
      </c>
      <c r="M757" t="n">
        <v>0</v>
      </c>
      <c r="N757" t="n">
        <v>0</v>
      </c>
      <c r="O757" t="n">
        <v>0</v>
      </c>
      <c r="P757" t="n">
        <v>0</v>
      </c>
      <c r="Q757" t="n">
        <v>0</v>
      </c>
      <c r="R757" s="2" t="inlineStr"/>
    </row>
    <row r="758" ht="15" customHeight="1">
      <c r="A758" t="inlineStr">
        <is>
          <t>A 58142-2025</t>
        </is>
      </c>
      <c r="B758" s="1" t="n">
        <v>45982.63791666667</v>
      </c>
      <c r="C758" s="1" t="n">
        <v>46010</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50097-2025</t>
        </is>
      </c>
      <c r="B759" s="1" t="n">
        <v>45943.50207175926</v>
      </c>
      <c r="C759" s="1" t="n">
        <v>46010</v>
      </c>
      <c r="D759" t="inlineStr">
        <is>
          <t>STOCKHOLMS LÄN</t>
        </is>
      </c>
      <c r="E759" t="inlineStr">
        <is>
          <t>NORRTÄLJE</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49836-2025</t>
        </is>
      </c>
      <c r="B760" s="1" t="n">
        <v>45940.46862268518</v>
      </c>
      <c r="C760" s="1" t="n">
        <v>46010</v>
      </c>
      <c r="D760" t="inlineStr">
        <is>
          <t>STOCKHOLMS LÄN</t>
        </is>
      </c>
      <c r="E760" t="inlineStr">
        <is>
          <t>NORRTÄLJE</t>
        </is>
      </c>
      <c r="G760" t="n">
        <v>3.5</v>
      </c>
      <c r="H760" t="n">
        <v>0</v>
      </c>
      <c r="I760" t="n">
        <v>0</v>
      </c>
      <c r="J760" t="n">
        <v>0</v>
      </c>
      <c r="K760" t="n">
        <v>0</v>
      </c>
      <c r="L760" t="n">
        <v>0</v>
      </c>
      <c r="M760" t="n">
        <v>0</v>
      </c>
      <c r="N760" t="n">
        <v>0</v>
      </c>
      <c r="O760" t="n">
        <v>0</v>
      </c>
      <c r="P760" t="n">
        <v>0</v>
      </c>
      <c r="Q760" t="n">
        <v>0</v>
      </c>
      <c r="R760" s="2" t="inlineStr"/>
    </row>
    <row r="761" ht="15" customHeight="1">
      <c r="A761" t="inlineStr">
        <is>
          <t>A 58403-2025</t>
        </is>
      </c>
      <c r="B761" s="1" t="n">
        <v>45985.56777777777</v>
      </c>
      <c r="C761" s="1" t="n">
        <v>46010</v>
      </c>
      <c r="D761" t="inlineStr">
        <is>
          <t>STOCKHOLMS LÄN</t>
        </is>
      </c>
      <c r="E761" t="inlineStr">
        <is>
          <t>NORRTÄLJE</t>
        </is>
      </c>
      <c r="F761" t="inlineStr">
        <is>
          <t>Naturvårdsverket</t>
        </is>
      </c>
      <c r="G761" t="n">
        <v>13.5</v>
      </c>
      <c r="H761" t="n">
        <v>0</v>
      </c>
      <c r="I761" t="n">
        <v>0</v>
      </c>
      <c r="J761" t="n">
        <v>0</v>
      </c>
      <c r="K761" t="n">
        <v>0</v>
      </c>
      <c r="L761" t="n">
        <v>0</v>
      </c>
      <c r="M761" t="n">
        <v>0</v>
      </c>
      <c r="N761" t="n">
        <v>0</v>
      </c>
      <c r="O761" t="n">
        <v>0</v>
      </c>
      <c r="P761" t="n">
        <v>0</v>
      </c>
      <c r="Q761" t="n">
        <v>0</v>
      </c>
      <c r="R761" s="2" t="inlineStr"/>
    </row>
    <row r="762" ht="15" customHeight="1">
      <c r="A762" t="inlineStr">
        <is>
          <t>A 5389-2025</t>
        </is>
      </c>
      <c r="B762" s="1" t="n">
        <v>45692</v>
      </c>
      <c r="C762" s="1" t="n">
        <v>46010</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13051-2021</t>
        </is>
      </c>
      <c r="B763" s="1" t="n">
        <v>44272</v>
      </c>
      <c r="C763" s="1" t="n">
        <v>46010</v>
      </c>
      <c r="D763" t="inlineStr">
        <is>
          <t>STOCKHOLMS LÄN</t>
        </is>
      </c>
      <c r="E763" t="inlineStr">
        <is>
          <t>NORRTÄLJE</t>
        </is>
      </c>
      <c r="G763" t="n">
        <v>9.1</v>
      </c>
      <c r="H763" t="n">
        <v>0</v>
      </c>
      <c r="I763" t="n">
        <v>0</v>
      </c>
      <c r="J763" t="n">
        <v>0</v>
      </c>
      <c r="K763" t="n">
        <v>0</v>
      </c>
      <c r="L763" t="n">
        <v>0</v>
      </c>
      <c r="M763" t="n">
        <v>0</v>
      </c>
      <c r="N763" t="n">
        <v>0</v>
      </c>
      <c r="O763" t="n">
        <v>0</v>
      </c>
      <c r="P763" t="n">
        <v>0</v>
      </c>
      <c r="Q763" t="n">
        <v>0</v>
      </c>
      <c r="R763" s="2" t="inlineStr"/>
    </row>
    <row r="764" ht="15" customHeight="1">
      <c r="A764" t="inlineStr">
        <is>
          <t>A 58939-2025</t>
        </is>
      </c>
      <c r="B764" s="1" t="n">
        <v>45987.5681712963</v>
      </c>
      <c r="C764" s="1" t="n">
        <v>46010</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11499-2023</t>
        </is>
      </c>
      <c r="B765" s="1" t="n">
        <v>44993.66707175926</v>
      </c>
      <c r="C765" s="1" t="n">
        <v>46010</v>
      </c>
      <c r="D765" t="inlineStr">
        <is>
          <t>STOCKHOLMS LÄN</t>
        </is>
      </c>
      <c r="E765" t="inlineStr">
        <is>
          <t>NORRTÄLJE</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50327-2025</t>
        </is>
      </c>
      <c r="B766" s="1" t="n">
        <v>45944.46387731482</v>
      </c>
      <c r="C766" s="1" t="n">
        <v>46010</v>
      </c>
      <c r="D766" t="inlineStr">
        <is>
          <t>STOCKHOLMS LÄN</t>
        </is>
      </c>
      <c r="E766" t="inlineStr">
        <is>
          <t>NORRTÄLJE</t>
        </is>
      </c>
      <c r="G766" t="n">
        <v>0.3</v>
      </c>
      <c r="H766" t="n">
        <v>0</v>
      </c>
      <c r="I766" t="n">
        <v>0</v>
      </c>
      <c r="J766" t="n">
        <v>0</v>
      </c>
      <c r="K766" t="n">
        <v>0</v>
      </c>
      <c r="L766" t="n">
        <v>0</v>
      </c>
      <c r="M766" t="n">
        <v>0</v>
      </c>
      <c r="N766" t="n">
        <v>0</v>
      </c>
      <c r="O766" t="n">
        <v>0</v>
      </c>
      <c r="P766" t="n">
        <v>0</v>
      </c>
      <c r="Q766" t="n">
        <v>0</v>
      </c>
      <c r="R766" s="2" t="inlineStr"/>
    </row>
    <row r="767" ht="15" customHeight="1">
      <c r="A767" t="inlineStr">
        <is>
          <t>A 576-2023</t>
        </is>
      </c>
      <c r="B767" s="1" t="n">
        <v>44925</v>
      </c>
      <c r="C767" s="1" t="n">
        <v>46010</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10678-2025</t>
        </is>
      </c>
      <c r="B768" s="1" t="n">
        <v>45721.89123842592</v>
      </c>
      <c r="C768" s="1" t="n">
        <v>46010</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31936-2022</t>
        </is>
      </c>
      <c r="B769" s="1" t="n">
        <v>44777</v>
      </c>
      <c r="C769" s="1" t="n">
        <v>46010</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59873-2024</t>
        </is>
      </c>
      <c r="B770" s="1" t="n">
        <v>45640.57305555556</v>
      </c>
      <c r="C770" s="1" t="n">
        <v>46010</v>
      </c>
      <c r="D770" t="inlineStr">
        <is>
          <t>STOCKHOLMS LÄN</t>
        </is>
      </c>
      <c r="E770" t="inlineStr">
        <is>
          <t>NORRTÄLJE</t>
        </is>
      </c>
      <c r="G770" t="n">
        <v>3.3</v>
      </c>
      <c r="H770" t="n">
        <v>0</v>
      </c>
      <c r="I770" t="n">
        <v>0</v>
      </c>
      <c r="J770" t="n">
        <v>0</v>
      </c>
      <c r="K770" t="n">
        <v>0</v>
      </c>
      <c r="L770" t="n">
        <v>0</v>
      </c>
      <c r="M770" t="n">
        <v>0</v>
      </c>
      <c r="N770" t="n">
        <v>0</v>
      </c>
      <c r="O770" t="n">
        <v>0</v>
      </c>
      <c r="P770" t="n">
        <v>0</v>
      </c>
      <c r="Q770" t="n">
        <v>0</v>
      </c>
      <c r="R770" s="2" t="inlineStr"/>
    </row>
    <row r="771" ht="15" customHeight="1">
      <c r="A771" t="inlineStr">
        <is>
          <t>A 50563-2025</t>
        </is>
      </c>
      <c r="B771" s="1" t="n">
        <v>45944</v>
      </c>
      <c r="C771" s="1" t="n">
        <v>46010</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35916-2024</t>
        </is>
      </c>
      <c r="B772" s="1" t="n">
        <v>45533</v>
      </c>
      <c r="C772" s="1" t="n">
        <v>46010</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50333-2025</t>
        </is>
      </c>
      <c r="B773" s="1" t="n">
        <v>45944.47178240741</v>
      </c>
      <c r="C773" s="1" t="n">
        <v>46010</v>
      </c>
      <c r="D773" t="inlineStr">
        <is>
          <t>STOCKHOLMS LÄN</t>
        </is>
      </c>
      <c r="E773" t="inlineStr">
        <is>
          <t>NORRTÄLJE</t>
        </is>
      </c>
      <c r="G773" t="n">
        <v>4.2</v>
      </c>
      <c r="H773" t="n">
        <v>0</v>
      </c>
      <c r="I773" t="n">
        <v>0</v>
      </c>
      <c r="J773" t="n">
        <v>0</v>
      </c>
      <c r="K773" t="n">
        <v>0</v>
      </c>
      <c r="L773" t="n">
        <v>0</v>
      </c>
      <c r="M773" t="n">
        <v>0</v>
      </c>
      <c r="N773" t="n">
        <v>0</v>
      </c>
      <c r="O773" t="n">
        <v>0</v>
      </c>
      <c r="P773" t="n">
        <v>0</v>
      </c>
      <c r="Q773" t="n">
        <v>0</v>
      </c>
      <c r="R773" s="2" t="inlineStr"/>
    </row>
    <row r="774" ht="15" customHeight="1">
      <c r="A774" t="inlineStr">
        <is>
          <t>A 10098-2022</t>
        </is>
      </c>
      <c r="B774" s="1" t="n">
        <v>44621</v>
      </c>
      <c r="C774" s="1" t="n">
        <v>46010</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63161-2023</t>
        </is>
      </c>
      <c r="B775" s="1" t="n">
        <v>45273</v>
      </c>
      <c r="C775" s="1" t="n">
        <v>46010</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51122-2025</t>
        </is>
      </c>
      <c r="B776" s="1" t="n">
        <v>45947.53693287037</v>
      </c>
      <c r="C776" s="1" t="n">
        <v>46010</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51233-2025</t>
        </is>
      </c>
      <c r="B777" s="1" t="n">
        <v>45947.68232638889</v>
      </c>
      <c r="C777" s="1" t="n">
        <v>46010</v>
      </c>
      <c r="D777" t="inlineStr">
        <is>
          <t>STOCKHOLMS LÄN</t>
        </is>
      </c>
      <c r="E777" t="inlineStr">
        <is>
          <t>NORRTÄLJE</t>
        </is>
      </c>
      <c r="F777" t="inlineStr">
        <is>
          <t>Naturvårdsverket</t>
        </is>
      </c>
      <c r="G777" t="n">
        <v>8.1</v>
      </c>
      <c r="H777" t="n">
        <v>0</v>
      </c>
      <c r="I777" t="n">
        <v>0</v>
      </c>
      <c r="J777" t="n">
        <v>0</v>
      </c>
      <c r="K777" t="n">
        <v>0</v>
      </c>
      <c r="L777" t="n">
        <v>0</v>
      </c>
      <c r="M777" t="n">
        <v>0</v>
      </c>
      <c r="N777" t="n">
        <v>0</v>
      </c>
      <c r="O777" t="n">
        <v>0</v>
      </c>
      <c r="P777" t="n">
        <v>0</v>
      </c>
      <c r="Q777" t="n">
        <v>0</v>
      </c>
      <c r="R777" s="2" t="inlineStr"/>
    </row>
    <row r="778" ht="15" customHeight="1">
      <c r="A778" t="inlineStr">
        <is>
          <t>A 51236-2025</t>
        </is>
      </c>
      <c r="B778" s="1" t="n">
        <v>45947.69078703703</v>
      </c>
      <c r="C778" s="1" t="n">
        <v>46010</v>
      </c>
      <c r="D778" t="inlineStr">
        <is>
          <t>STOCKHOLMS LÄN</t>
        </is>
      </c>
      <c r="E778" t="inlineStr">
        <is>
          <t>NORRTÄLJE</t>
        </is>
      </c>
      <c r="F778" t="inlineStr">
        <is>
          <t>Naturvårdsverket</t>
        </is>
      </c>
      <c r="G778" t="n">
        <v>6.3</v>
      </c>
      <c r="H778" t="n">
        <v>0</v>
      </c>
      <c r="I778" t="n">
        <v>0</v>
      </c>
      <c r="J778" t="n">
        <v>0</v>
      </c>
      <c r="K778" t="n">
        <v>0</v>
      </c>
      <c r="L778" t="n">
        <v>0</v>
      </c>
      <c r="M778" t="n">
        <v>0</v>
      </c>
      <c r="N778" t="n">
        <v>0</v>
      </c>
      <c r="O778" t="n">
        <v>0</v>
      </c>
      <c r="P778" t="n">
        <v>0</v>
      </c>
      <c r="Q778" t="n">
        <v>0</v>
      </c>
      <c r="R778" s="2" t="inlineStr"/>
    </row>
    <row r="779" ht="15" customHeight="1">
      <c r="A779" t="inlineStr">
        <is>
          <t>A 51241-2025</t>
        </is>
      </c>
      <c r="B779" s="1" t="n">
        <v>45947.71726851852</v>
      </c>
      <c r="C779" s="1" t="n">
        <v>46010</v>
      </c>
      <c r="D779" t="inlineStr">
        <is>
          <t>STOCKHOLMS LÄN</t>
        </is>
      </c>
      <c r="E779" t="inlineStr">
        <is>
          <t>NORRTÄLJE</t>
        </is>
      </c>
      <c r="F779" t="inlineStr">
        <is>
          <t>Naturvårdsverket</t>
        </is>
      </c>
      <c r="G779" t="n">
        <v>6.4</v>
      </c>
      <c r="H779" t="n">
        <v>0</v>
      </c>
      <c r="I779" t="n">
        <v>0</v>
      </c>
      <c r="J779" t="n">
        <v>0</v>
      </c>
      <c r="K779" t="n">
        <v>0</v>
      </c>
      <c r="L779" t="n">
        <v>0</v>
      </c>
      <c r="M779" t="n">
        <v>0</v>
      </c>
      <c r="N779" t="n">
        <v>0</v>
      </c>
      <c r="O779" t="n">
        <v>0</v>
      </c>
      <c r="P779" t="n">
        <v>0</v>
      </c>
      <c r="Q779" t="n">
        <v>0</v>
      </c>
      <c r="R779" s="2" t="inlineStr"/>
    </row>
    <row r="780" ht="15" customHeight="1">
      <c r="A780" t="inlineStr">
        <is>
          <t>A 7796-2025</t>
        </is>
      </c>
      <c r="B780" s="1" t="n">
        <v>45706.60130787037</v>
      </c>
      <c r="C780" s="1" t="n">
        <v>46010</v>
      </c>
      <c r="D780" t="inlineStr">
        <is>
          <t>STOCKHOLMS LÄN</t>
        </is>
      </c>
      <c r="E780" t="inlineStr">
        <is>
          <t>NORRTÄLJE</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15552-2021</t>
        </is>
      </c>
      <c r="B781" s="1" t="n">
        <v>44285</v>
      </c>
      <c r="C781" s="1" t="n">
        <v>46010</v>
      </c>
      <c r="D781" t="inlineStr">
        <is>
          <t>STOCKHOLMS LÄN</t>
        </is>
      </c>
      <c r="E781" t="inlineStr">
        <is>
          <t>NORRTÄLJE</t>
        </is>
      </c>
      <c r="G781" t="n">
        <v>10</v>
      </c>
      <c r="H781" t="n">
        <v>0</v>
      </c>
      <c r="I781" t="n">
        <v>0</v>
      </c>
      <c r="J781" t="n">
        <v>0</v>
      </c>
      <c r="K781" t="n">
        <v>0</v>
      </c>
      <c r="L781" t="n">
        <v>0</v>
      </c>
      <c r="M781" t="n">
        <v>0</v>
      </c>
      <c r="N781" t="n">
        <v>0</v>
      </c>
      <c r="O781" t="n">
        <v>0</v>
      </c>
      <c r="P781" t="n">
        <v>0</v>
      </c>
      <c r="Q781" t="n">
        <v>0</v>
      </c>
      <c r="R781" s="2" t="inlineStr"/>
    </row>
    <row r="782" ht="15" customHeight="1">
      <c r="A782" t="inlineStr">
        <is>
          <t>A 58040-2024</t>
        </is>
      </c>
      <c r="B782" s="1" t="n">
        <v>45631.73952546297</v>
      </c>
      <c r="C782" s="1" t="n">
        <v>46010</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58041-2024</t>
        </is>
      </c>
      <c r="B783" s="1" t="n">
        <v>45631.74673611111</v>
      </c>
      <c r="C783" s="1" t="n">
        <v>46010</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30268-2024</t>
        </is>
      </c>
      <c r="B784" s="1" t="n">
        <v>45490.60572916667</v>
      </c>
      <c r="C784" s="1" t="n">
        <v>46010</v>
      </c>
      <c r="D784" t="inlineStr">
        <is>
          <t>STOCKHOLMS LÄN</t>
        </is>
      </c>
      <c r="E784" t="inlineStr">
        <is>
          <t>NORRTÄLJE</t>
        </is>
      </c>
      <c r="G784" t="n">
        <v>5.6</v>
      </c>
      <c r="H784" t="n">
        <v>0</v>
      </c>
      <c r="I784" t="n">
        <v>0</v>
      </c>
      <c r="J784" t="n">
        <v>0</v>
      </c>
      <c r="K784" t="n">
        <v>0</v>
      </c>
      <c r="L784" t="n">
        <v>0</v>
      </c>
      <c r="M784" t="n">
        <v>0</v>
      </c>
      <c r="N784" t="n">
        <v>0</v>
      </c>
      <c r="O784" t="n">
        <v>0</v>
      </c>
      <c r="P784" t="n">
        <v>0</v>
      </c>
      <c r="Q784" t="n">
        <v>0</v>
      </c>
      <c r="R784" s="2" t="inlineStr"/>
    </row>
    <row r="785" ht="15" customHeight="1">
      <c r="A785" t="inlineStr">
        <is>
          <t>A 51240-2025</t>
        </is>
      </c>
      <c r="B785" s="1" t="n">
        <v>45947.70420138889</v>
      </c>
      <c r="C785" s="1" t="n">
        <v>46010</v>
      </c>
      <c r="D785" t="inlineStr">
        <is>
          <t>STOCKHOLMS LÄN</t>
        </is>
      </c>
      <c r="E785" t="inlineStr">
        <is>
          <t>NORRTÄLJE</t>
        </is>
      </c>
      <c r="F785" t="inlineStr">
        <is>
          <t>Naturvårdsverket</t>
        </is>
      </c>
      <c r="G785" t="n">
        <v>3</v>
      </c>
      <c r="H785" t="n">
        <v>0</v>
      </c>
      <c r="I785" t="n">
        <v>0</v>
      </c>
      <c r="J785" t="n">
        <v>0</v>
      </c>
      <c r="K785" t="n">
        <v>0</v>
      </c>
      <c r="L785" t="n">
        <v>0</v>
      </c>
      <c r="M785" t="n">
        <v>0</v>
      </c>
      <c r="N785" t="n">
        <v>0</v>
      </c>
      <c r="O785" t="n">
        <v>0</v>
      </c>
      <c r="P785" t="n">
        <v>0</v>
      </c>
      <c r="Q785" t="n">
        <v>0</v>
      </c>
      <c r="R785" s="2" t="inlineStr"/>
    </row>
    <row r="786" ht="15" customHeight="1">
      <c r="A786" t="inlineStr">
        <is>
          <t>A 12407-2025</t>
        </is>
      </c>
      <c r="B786" s="1" t="n">
        <v>45730.42851851852</v>
      </c>
      <c r="C786" s="1" t="n">
        <v>46010</v>
      </c>
      <c r="D786" t="inlineStr">
        <is>
          <t>STOCKHOLMS LÄN</t>
        </is>
      </c>
      <c r="E786" t="inlineStr">
        <is>
          <t>NORRTÄLJE</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19025-2025</t>
        </is>
      </c>
      <c r="B787" s="1" t="n">
        <v>45764.6359837963</v>
      </c>
      <c r="C787" s="1" t="n">
        <v>46010</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54276-2021</t>
        </is>
      </c>
      <c r="B788" s="1" t="n">
        <v>44470</v>
      </c>
      <c r="C788" s="1" t="n">
        <v>46010</v>
      </c>
      <c r="D788" t="inlineStr">
        <is>
          <t>STOCKHOLMS LÄN</t>
        </is>
      </c>
      <c r="E788" t="inlineStr">
        <is>
          <t>NORRTÄLJE</t>
        </is>
      </c>
      <c r="G788" t="n">
        <v>7.3</v>
      </c>
      <c r="H788" t="n">
        <v>0</v>
      </c>
      <c r="I788" t="n">
        <v>0</v>
      </c>
      <c r="J788" t="n">
        <v>0</v>
      </c>
      <c r="K788" t="n">
        <v>0</v>
      </c>
      <c r="L788" t="n">
        <v>0</v>
      </c>
      <c r="M788" t="n">
        <v>0</v>
      </c>
      <c r="N788" t="n">
        <v>0</v>
      </c>
      <c r="O788" t="n">
        <v>0</v>
      </c>
      <c r="P788" t="n">
        <v>0</v>
      </c>
      <c r="Q788" t="n">
        <v>0</v>
      </c>
      <c r="R788" s="2" t="inlineStr"/>
    </row>
    <row r="789" ht="15" customHeight="1">
      <c r="A789" t="inlineStr">
        <is>
          <t>A 4316-2023</t>
        </is>
      </c>
      <c r="B789" s="1" t="n">
        <v>44953.67443287037</v>
      </c>
      <c r="C789" s="1" t="n">
        <v>46010</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41587-2023</t>
        </is>
      </c>
      <c r="B790" s="1" t="n">
        <v>45175</v>
      </c>
      <c r="C790" s="1" t="n">
        <v>46010</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51121-2025</t>
        </is>
      </c>
      <c r="B791" s="1" t="n">
        <v>45947.53293981482</v>
      </c>
      <c r="C791" s="1" t="n">
        <v>46010</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59477-2025</t>
        </is>
      </c>
      <c r="B792" s="1" t="n">
        <v>45989.58679398148</v>
      </c>
      <c r="C792" s="1" t="n">
        <v>46010</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17304-2024</t>
        </is>
      </c>
      <c r="B793" s="1" t="n">
        <v>45414</v>
      </c>
      <c r="C793" s="1" t="n">
        <v>46010</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11280-2023</t>
        </is>
      </c>
      <c r="B794" s="1" t="n">
        <v>44992</v>
      </c>
      <c r="C794" s="1" t="n">
        <v>46010</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26668-2024</t>
        </is>
      </c>
      <c r="B795" s="1" t="n">
        <v>45469</v>
      </c>
      <c r="C795" s="1" t="n">
        <v>46010</v>
      </c>
      <c r="D795" t="inlineStr">
        <is>
          <t>STOCKHOLMS LÄN</t>
        </is>
      </c>
      <c r="E795" t="inlineStr">
        <is>
          <t>NORRTÄLJE</t>
        </is>
      </c>
      <c r="G795" t="n">
        <v>4.8</v>
      </c>
      <c r="H795" t="n">
        <v>0</v>
      </c>
      <c r="I795" t="n">
        <v>0</v>
      </c>
      <c r="J795" t="n">
        <v>0</v>
      </c>
      <c r="K795" t="n">
        <v>0</v>
      </c>
      <c r="L795" t="n">
        <v>0</v>
      </c>
      <c r="M795" t="n">
        <v>0</v>
      </c>
      <c r="N795" t="n">
        <v>0</v>
      </c>
      <c r="O795" t="n">
        <v>0</v>
      </c>
      <c r="P795" t="n">
        <v>0</v>
      </c>
      <c r="Q795" t="n">
        <v>0</v>
      </c>
      <c r="R795" s="2" t="inlineStr"/>
    </row>
    <row r="796" ht="15" customHeight="1">
      <c r="A796" t="inlineStr">
        <is>
          <t>A 51532-2025</t>
        </is>
      </c>
      <c r="B796" s="1" t="n">
        <v>45950.68297453703</v>
      </c>
      <c r="C796" s="1" t="n">
        <v>46010</v>
      </c>
      <c r="D796" t="inlineStr">
        <is>
          <t>STOCKHOLMS LÄN</t>
        </is>
      </c>
      <c r="E796" t="inlineStr">
        <is>
          <t>NORRTÄLJE</t>
        </is>
      </c>
      <c r="F796" t="inlineStr">
        <is>
          <t>Naturvårdsverket</t>
        </is>
      </c>
      <c r="G796" t="n">
        <v>17.3</v>
      </c>
      <c r="H796" t="n">
        <v>0</v>
      </c>
      <c r="I796" t="n">
        <v>0</v>
      </c>
      <c r="J796" t="n">
        <v>0</v>
      </c>
      <c r="K796" t="n">
        <v>0</v>
      </c>
      <c r="L796" t="n">
        <v>0</v>
      </c>
      <c r="M796" t="n">
        <v>0</v>
      </c>
      <c r="N796" t="n">
        <v>0</v>
      </c>
      <c r="O796" t="n">
        <v>0</v>
      </c>
      <c r="P796" t="n">
        <v>0</v>
      </c>
      <c r="Q796" t="n">
        <v>0</v>
      </c>
      <c r="R796" s="2" t="inlineStr"/>
    </row>
    <row r="797" ht="15" customHeight="1">
      <c r="A797" t="inlineStr">
        <is>
          <t>A 51789-2025</t>
        </is>
      </c>
      <c r="B797" s="1" t="n">
        <v>45951.68046296296</v>
      </c>
      <c r="C797" s="1" t="n">
        <v>46010</v>
      </c>
      <c r="D797" t="inlineStr">
        <is>
          <t>STOCKHOLMS LÄN</t>
        </is>
      </c>
      <c r="E797" t="inlineStr">
        <is>
          <t>NORRTÄLJE</t>
        </is>
      </c>
      <c r="F797" t="inlineStr">
        <is>
          <t>Naturvårdsverket</t>
        </is>
      </c>
      <c r="G797" t="n">
        <v>8.9</v>
      </c>
      <c r="H797" t="n">
        <v>0</v>
      </c>
      <c r="I797" t="n">
        <v>0</v>
      </c>
      <c r="J797" t="n">
        <v>0</v>
      </c>
      <c r="K797" t="n">
        <v>0</v>
      </c>
      <c r="L797" t="n">
        <v>0</v>
      </c>
      <c r="M797" t="n">
        <v>0</v>
      </c>
      <c r="N797" t="n">
        <v>0</v>
      </c>
      <c r="O797" t="n">
        <v>0</v>
      </c>
      <c r="P797" t="n">
        <v>0</v>
      </c>
      <c r="Q797" t="n">
        <v>0</v>
      </c>
      <c r="R797" s="2" t="inlineStr"/>
    </row>
    <row r="798" ht="15" customHeight="1">
      <c r="A798" t="inlineStr">
        <is>
          <t>A 59907-2025</t>
        </is>
      </c>
      <c r="B798" s="1" t="n">
        <v>45993.35350694445</v>
      </c>
      <c r="C798" s="1" t="n">
        <v>46010</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59914-2025</t>
        </is>
      </c>
      <c r="B799" s="1" t="n">
        <v>45993.37056712963</v>
      </c>
      <c r="C799" s="1" t="n">
        <v>46010</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31926-2022</t>
        </is>
      </c>
      <c r="B800" s="1" t="n">
        <v>44777</v>
      </c>
      <c r="C800" s="1" t="n">
        <v>46010</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46010</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11041-2025</t>
        </is>
      </c>
      <c r="B802" s="1" t="n">
        <v>45723</v>
      </c>
      <c r="C802" s="1" t="n">
        <v>46010</v>
      </c>
      <c r="D802" t="inlineStr">
        <is>
          <t>STOCKHOLMS LÄN</t>
        </is>
      </c>
      <c r="E802" t="inlineStr">
        <is>
          <t>NORRTÄLJE</t>
        </is>
      </c>
      <c r="F802" t="inlineStr">
        <is>
          <t>Övriga Aktiebolag</t>
        </is>
      </c>
      <c r="G802" t="n">
        <v>1.8</v>
      </c>
      <c r="H802" t="n">
        <v>0</v>
      </c>
      <c r="I802" t="n">
        <v>0</v>
      </c>
      <c r="J802" t="n">
        <v>0</v>
      </c>
      <c r="K802" t="n">
        <v>0</v>
      </c>
      <c r="L802" t="n">
        <v>0</v>
      </c>
      <c r="M802" t="n">
        <v>0</v>
      </c>
      <c r="N802" t="n">
        <v>0</v>
      </c>
      <c r="O802" t="n">
        <v>0</v>
      </c>
      <c r="P802" t="n">
        <v>0</v>
      </c>
      <c r="Q802" t="n">
        <v>0</v>
      </c>
      <c r="R802" s="2" t="inlineStr"/>
    </row>
    <row r="803" ht="15" customHeight="1">
      <c r="A803" t="inlineStr">
        <is>
          <t>A 9469-2021</t>
        </is>
      </c>
      <c r="B803" s="1" t="n">
        <v>44251</v>
      </c>
      <c r="C803" s="1" t="n">
        <v>46010</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24024-2024</t>
        </is>
      </c>
      <c r="B804" s="1" t="n">
        <v>45456</v>
      </c>
      <c r="C804" s="1" t="n">
        <v>46010</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59924-2025</t>
        </is>
      </c>
      <c r="B805" s="1" t="n">
        <v>45993.38928240741</v>
      </c>
      <c r="C805" s="1" t="n">
        <v>46010</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28809-2023</t>
        </is>
      </c>
      <c r="B806" s="1" t="n">
        <v>45104</v>
      </c>
      <c r="C806" s="1" t="n">
        <v>46010</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28813-2023</t>
        </is>
      </c>
      <c r="B807" s="1" t="n">
        <v>45104</v>
      </c>
      <c r="C807" s="1" t="n">
        <v>46010</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40656-2022</t>
        </is>
      </c>
      <c r="B808" s="1" t="n">
        <v>44824.36069444445</v>
      </c>
      <c r="C808" s="1" t="n">
        <v>46010</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60694-2024</t>
        </is>
      </c>
      <c r="B809" s="1" t="n">
        <v>45644.47878472223</v>
      </c>
      <c r="C809" s="1" t="n">
        <v>46010</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19450-2025</t>
        </is>
      </c>
      <c r="B810" s="1" t="n">
        <v>45770</v>
      </c>
      <c r="C810" s="1" t="n">
        <v>46010</v>
      </c>
      <c r="D810" t="inlineStr">
        <is>
          <t>STOCKHOLMS LÄN</t>
        </is>
      </c>
      <c r="E810" t="inlineStr">
        <is>
          <t>NORRTÄLJE</t>
        </is>
      </c>
      <c r="G810" t="n">
        <v>5.3</v>
      </c>
      <c r="H810" t="n">
        <v>0</v>
      </c>
      <c r="I810" t="n">
        <v>0</v>
      </c>
      <c r="J810" t="n">
        <v>0</v>
      </c>
      <c r="K810" t="n">
        <v>0</v>
      </c>
      <c r="L810" t="n">
        <v>0</v>
      </c>
      <c r="M810" t="n">
        <v>0</v>
      </c>
      <c r="N810" t="n">
        <v>0</v>
      </c>
      <c r="O810" t="n">
        <v>0</v>
      </c>
      <c r="P810" t="n">
        <v>0</v>
      </c>
      <c r="Q810" t="n">
        <v>0</v>
      </c>
      <c r="R810" s="2" t="inlineStr"/>
    </row>
    <row r="811" ht="15" customHeight="1">
      <c r="A811" t="inlineStr">
        <is>
          <t>A 59672-2025</t>
        </is>
      </c>
      <c r="B811" s="1" t="n">
        <v>45992.45884259259</v>
      </c>
      <c r="C811" s="1" t="n">
        <v>46010</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51960-2025</t>
        </is>
      </c>
      <c r="B812" s="1" t="n">
        <v>45952.54755787037</v>
      </c>
      <c r="C812" s="1" t="n">
        <v>46010</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60253-2025</t>
        </is>
      </c>
      <c r="B813" s="1" t="n">
        <v>45994.59827546297</v>
      </c>
      <c r="C813" s="1" t="n">
        <v>46010</v>
      </c>
      <c r="D813" t="inlineStr">
        <is>
          <t>STOCKHOLMS LÄN</t>
        </is>
      </c>
      <c r="E813" t="inlineStr">
        <is>
          <t>NORRTÄLJE</t>
        </is>
      </c>
      <c r="F813" t="inlineStr">
        <is>
          <t>Holmen skog AB</t>
        </is>
      </c>
      <c r="G813" t="n">
        <v>3.6</v>
      </c>
      <c r="H813" t="n">
        <v>0</v>
      </c>
      <c r="I813" t="n">
        <v>0</v>
      </c>
      <c r="J813" t="n">
        <v>0</v>
      </c>
      <c r="K813" t="n">
        <v>0</v>
      </c>
      <c r="L813" t="n">
        <v>0</v>
      </c>
      <c r="M813" t="n">
        <v>0</v>
      </c>
      <c r="N813" t="n">
        <v>0</v>
      </c>
      <c r="O813" t="n">
        <v>0</v>
      </c>
      <c r="P813" t="n">
        <v>0</v>
      </c>
      <c r="Q813" t="n">
        <v>0</v>
      </c>
      <c r="R813" s="2" t="inlineStr"/>
    </row>
    <row r="814" ht="15" customHeight="1">
      <c r="A814" t="inlineStr">
        <is>
          <t>A 33353-2023</t>
        </is>
      </c>
      <c r="B814" s="1" t="n">
        <v>45128</v>
      </c>
      <c r="C814" s="1" t="n">
        <v>46010</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3966-2024</t>
        </is>
      </c>
      <c r="B815" s="1" t="n">
        <v>45322</v>
      </c>
      <c r="C815" s="1" t="n">
        <v>46010</v>
      </c>
      <c r="D815" t="inlineStr">
        <is>
          <t>STOCKHOLMS LÄN</t>
        </is>
      </c>
      <c r="E815" t="inlineStr">
        <is>
          <t>NORRTÄLJE</t>
        </is>
      </c>
      <c r="G815" t="n">
        <v>5.3</v>
      </c>
      <c r="H815" t="n">
        <v>0</v>
      </c>
      <c r="I815" t="n">
        <v>0</v>
      </c>
      <c r="J815" t="n">
        <v>0</v>
      </c>
      <c r="K815" t="n">
        <v>0</v>
      </c>
      <c r="L815" t="n">
        <v>0</v>
      </c>
      <c r="M815" t="n">
        <v>0</v>
      </c>
      <c r="N815" t="n">
        <v>0</v>
      </c>
      <c r="O815" t="n">
        <v>0</v>
      </c>
      <c r="P815" t="n">
        <v>0</v>
      </c>
      <c r="Q815" t="n">
        <v>0</v>
      </c>
      <c r="R815" s="2" t="inlineStr"/>
    </row>
    <row r="816" ht="15" customHeight="1">
      <c r="A816" t="inlineStr">
        <is>
          <t>A 51941-2025</t>
        </is>
      </c>
      <c r="B816" s="1" t="n">
        <v>45952.52261574074</v>
      </c>
      <c r="C816" s="1" t="n">
        <v>46010</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60214-2025</t>
        </is>
      </c>
      <c r="B817" s="1" t="n">
        <v>45994.53761574074</v>
      </c>
      <c r="C817" s="1" t="n">
        <v>46010</v>
      </c>
      <c r="D817" t="inlineStr">
        <is>
          <t>STOCKHOLMS LÄN</t>
        </is>
      </c>
      <c r="E817" t="inlineStr">
        <is>
          <t>NORRTÄLJE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52061-2025</t>
        </is>
      </c>
      <c r="B818" s="1" t="n">
        <v>45952.63679398148</v>
      </c>
      <c r="C818" s="1" t="n">
        <v>46010</v>
      </c>
      <c r="D818" t="inlineStr">
        <is>
          <t>STOCKHOLMS LÄN</t>
        </is>
      </c>
      <c r="E818" t="inlineStr">
        <is>
          <t>NORRTÄLJE</t>
        </is>
      </c>
      <c r="G818" t="n">
        <v>9.5</v>
      </c>
      <c r="H818" t="n">
        <v>0</v>
      </c>
      <c r="I818" t="n">
        <v>0</v>
      </c>
      <c r="J818" t="n">
        <v>0</v>
      </c>
      <c r="K818" t="n">
        <v>0</v>
      </c>
      <c r="L818" t="n">
        <v>0</v>
      </c>
      <c r="M818" t="n">
        <v>0</v>
      </c>
      <c r="N818" t="n">
        <v>0</v>
      </c>
      <c r="O818" t="n">
        <v>0</v>
      </c>
      <c r="P818" t="n">
        <v>0</v>
      </c>
      <c r="Q818" t="n">
        <v>0</v>
      </c>
      <c r="R818" s="2" t="inlineStr"/>
    </row>
    <row r="819" ht="15" customHeight="1">
      <c r="A819" t="inlineStr">
        <is>
          <t>A 51945-2025</t>
        </is>
      </c>
      <c r="B819" s="1" t="n">
        <v>45952.52679398148</v>
      </c>
      <c r="C819" s="1" t="n">
        <v>46010</v>
      </c>
      <c r="D819" t="inlineStr">
        <is>
          <t>STOCKHOLMS LÄN</t>
        </is>
      </c>
      <c r="E819" t="inlineStr">
        <is>
          <t>NORRTÄLJE</t>
        </is>
      </c>
      <c r="G819" t="n">
        <v>7</v>
      </c>
      <c r="H819" t="n">
        <v>0</v>
      </c>
      <c r="I819" t="n">
        <v>0</v>
      </c>
      <c r="J819" t="n">
        <v>0</v>
      </c>
      <c r="K819" t="n">
        <v>0</v>
      </c>
      <c r="L819" t="n">
        <v>0</v>
      </c>
      <c r="M819" t="n">
        <v>0</v>
      </c>
      <c r="N819" t="n">
        <v>0</v>
      </c>
      <c r="O819" t="n">
        <v>0</v>
      </c>
      <c r="P819" t="n">
        <v>0</v>
      </c>
      <c r="Q819" t="n">
        <v>0</v>
      </c>
      <c r="R819" s="2" t="inlineStr"/>
    </row>
    <row r="820" ht="15" customHeight="1">
      <c r="A820" t="inlineStr">
        <is>
          <t>A 52251-2025</t>
        </is>
      </c>
      <c r="B820" s="1" t="n">
        <v>45953.49185185185</v>
      </c>
      <c r="C820" s="1" t="n">
        <v>46010</v>
      </c>
      <c r="D820" t="inlineStr">
        <is>
          <t>STOCKHOLMS LÄN</t>
        </is>
      </c>
      <c r="E820" t="inlineStr">
        <is>
          <t>NORRTÄLJE</t>
        </is>
      </c>
      <c r="G820" t="n">
        <v>6.2</v>
      </c>
      <c r="H820" t="n">
        <v>0</v>
      </c>
      <c r="I820" t="n">
        <v>0</v>
      </c>
      <c r="J820" t="n">
        <v>0</v>
      </c>
      <c r="K820" t="n">
        <v>0</v>
      </c>
      <c r="L820" t="n">
        <v>0</v>
      </c>
      <c r="M820" t="n">
        <v>0</v>
      </c>
      <c r="N820" t="n">
        <v>0</v>
      </c>
      <c r="O820" t="n">
        <v>0</v>
      </c>
      <c r="P820" t="n">
        <v>0</v>
      </c>
      <c r="Q820" t="n">
        <v>0</v>
      </c>
      <c r="R820" s="2" t="inlineStr"/>
    </row>
    <row r="821" ht="15" customHeight="1">
      <c r="A821" t="inlineStr">
        <is>
          <t>A 52254-2025</t>
        </is>
      </c>
      <c r="B821" s="1" t="n">
        <v>45953.49519675926</v>
      </c>
      <c r="C821" s="1" t="n">
        <v>46010</v>
      </c>
      <c r="D821" t="inlineStr">
        <is>
          <t>STOCKHOLMS LÄN</t>
        </is>
      </c>
      <c r="E821" t="inlineStr">
        <is>
          <t>NORRTÄLJE</t>
        </is>
      </c>
      <c r="G821" t="n">
        <v>2.2</v>
      </c>
      <c r="H821" t="n">
        <v>0</v>
      </c>
      <c r="I821" t="n">
        <v>0</v>
      </c>
      <c r="J821" t="n">
        <v>0</v>
      </c>
      <c r="K821" t="n">
        <v>0</v>
      </c>
      <c r="L821" t="n">
        <v>0</v>
      </c>
      <c r="M821" t="n">
        <v>0</v>
      </c>
      <c r="N821" t="n">
        <v>0</v>
      </c>
      <c r="O821" t="n">
        <v>0</v>
      </c>
      <c r="P821" t="n">
        <v>0</v>
      </c>
      <c r="Q821" t="n">
        <v>0</v>
      </c>
      <c r="R821" s="2" t="inlineStr"/>
    </row>
    <row r="822" ht="15" customHeight="1">
      <c r="A822" t="inlineStr">
        <is>
          <t>A 60223-2025</t>
        </is>
      </c>
      <c r="B822" s="1" t="n">
        <v>45994.54497685185</v>
      </c>
      <c r="C822" s="1" t="n">
        <v>46010</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52773-2025</t>
        </is>
      </c>
      <c r="B823" s="1" t="n">
        <v>45957.41457175926</v>
      </c>
      <c r="C823" s="1" t="n">
        <v>46010</v>
      </c>
      <c r="D823" t="inlineStr">
        <is>
          <t>STOCKHOLMS LÄN</t>
        </is>
      </c>
      <c r="E823" t="inlineStr">
        <is>
          <t>NORRTÄLJE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52777-2025</t>
        </is>
      </c>
      <c r="B824" s="1" t="n">
        <v>45957.41832175926</v>
      </c>
      <c r="C824" s="1" t="n">
        <v>46010</v>
      </c>
      <c r="D824" t="inlineStr">
        <is>
          <t>STOCKHOLMS LÄN</t>
        </is>
      </c>
      <c r="E824" t="inlineStr">
        <is>
          <t>NORRTÄLJE</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52526-2025</t>
        </is>
      </c>
      <c r="B825" s="1" t="n">
        <v>45954.53061342592</v>
      </c>
      <c r="C825" s="1" t="n">
        <v>46010</v>
      </c>
      <c r="D825" t="inlineStr">
        <is>
          <t>STOCKHOLMS LÄN</t>
        </is>
      </c>
      <c r="E825" t="inlineStr">
        <is>
          <t>NORRTÄLJE</t>
        </is>
      </c>
      <c r="F825" t="inlineStr">
        <is>
          <t>Sveaskog</t>
        </is>
      </c>
      <c r="G825" t="n">
        <v>2.9</v>
      </c>
      <c r="H825" t="n">
        <v>0</v>
      </c>
      <c r="I825" t="n">
        <v>0</v>
      </c>
      <c r="J825" t="n">
        <v>0</v>
      </c>
      <c r="K825" t="n">
        <v>0</v>
      </c>
      <c r="L825" t="n">
        <v>0</v>
      </c>
      <c r="M825" t="n">
        <v>0</v>
      </c>
      <c r="N825" t="n">
        <v>0</v>
      </c>
      <c r="O825" t="n">
        <v>0</v>
      </c>
      <c r="P825" t="n">
        <v>0</v>
      </c>
      <c r="Q825" t="n">
        <v>0</v>
      </c>
      <c r="R825" s="2" t="inlineStr"/>
    </row>
    <row r="826" ht="15" customHeight="1">
      <c r="A826" t="inlineStr">
        <is>
          <t>A 53000-2025</t>
        </is>
      </c>
      <c r="B826" s="1" t="n">
        <v>45957.74357638889</v>
      </c>
      <c r="C826" s="1" t="n">
        <v>46010</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60649-2025</t>
        </is>
      </c>
      <c r="B827" s="1" t="n">
        <v>45996.4560300926</v>
      </c>
      <c r="C827" s="1" t="n">
        <v>46010</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23262-2023</t>
        </is>
      </c>
      <c r="B828" s="1" t="n">
        <v>45075.90270833333</v>
      </c>
      <c r="C828" s="1" t="n">
        <v>46010</v>
      </c>
      <c r="D828" t="inlineStr">
        <is>
          <t>STOCKHOLMS LÄN</t>
        </is>
      </c>
      <c r="E828" t="inlineStr">
        <is>
          <t>NORRTÄLJE</t>
        </is>
      </c>
      <c r="F828" t="inlineStr">
        <is>
          <t>Kommuner</t>
        </is>
      </c>
      <c r="G828" t="n">
        <v>1.9</v>
      </c>
      <c r="H828" t="n">
        <v>0</v>
      </c>
      <c r="I828" t="n">
        <v>0</v>
      </c>
      <c r="J828" t="n">
        <v>0</v>
      </c>
      <c r="K828" t="n">
        <v>0</v>
      </c>
      <c r="L828" t="n">
        <v>0</v>
      </c>
      <c r="M828" t="n">
        <v>0</v>
      </c>
      <c r="N828" t="n">
        <v>0</v>
      </c>
      <c r="O828" t="n">
        <v>0</v>
      </c>
      <c r="P828" t="n">
        <v>0</v>
      </c>
      <c r="Q828" t="n">
        <v>0</v>
      </c>
      <c r="R828" s="2" t="inlineStr"/>
    </row>
    <row r="829" ht="15" customHeight="1">
      <c r="A829" t="inlineStr">
        <is>
          <t>A 23268-2023</t>
        </is>
      </c>
      <c r="B829" s="1" t="n">
        <v>45075.91042824074</v>
      </c>
      <c r="C829" s="1" t="n">
        <v>46010</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23270-2023</t>
        </is>
      </c>
      <c r="B830" s="1" t="n">
        <v>45075.91265046296</v>
      </c>
      <c r="C830" s="1" t="n">
        <v>46010</v>
      </c>
      <c r="D830" t="inlineStr">
        <is>
          <t>STOCKHOLMS LÄN</t>
        </is>
      </c>
      <c r="E830" t="inlineStr">
        <is>
          <t>NORRTÄLJE</t>
        </is>
      </c>
      <c r="G830" t="n">
        <v>12.3</v>
      </c>
      <c r="H830" t="n">
        <v>0</v>
      </c>
      <c r="I830" t="n">
        <v>0</v>
      </c>
      <c r="J830" t="n">
        <v>0</v>
      </c>
      <c r="K830" t="n">
        <v>0</v>
      </c>
      <c r="L830" t="n">
        <v>0</v>
      </c>
      <c r="M830" t="n">
        <v>0</v>
      </c>
      <c r="N830" t="n">
        <v>0</v>
      </c>
      <c r="O830" t="n">
        <v>0</v>
      </c>
      <c r="P830" t="n">
        <v>0</v>
      </c>
      <c r="Q830" t="n">
        <v>0</v>
      </c>
      <c r="R830" s="2" t="inlineStr"/>
    </row>
    <row r="831" ht="15" customHeight="1">
      <c r="A831" t="inlineStr">
        <is>
          <t>A 23274-2023</t>
        </is>
      </c>
      <c r="B831" s="1" t="n">
        <v>45075.92153935185</v>
      </c>
      <c r="C831" s="1" t="n">
        <v>46010</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59041-2025</t>
        </is>
      </c>
      <c r="B832" s="1" t="n">
        <v>45988</v>
      </c>
      <c r="C832" s="1" t="n">
        <v>46010</v>
      </c>
      <c r="D832" t="inlineStr">
        <is>
          <t>STOCKHOLMS LÄN</t>
        </is>
      </c>
      <c r="E832" t="inlineStr">
        <is>
          <t>NORRTÄLJE</t>
        </is>
      </c>
      <c r="G832" t="n">
        <v>6.6</v>
      </c>
      <c r="H832" t="n">
        <v>0</v>
      </c>
      <c r="I832" t="n">
        <v>0</v>
      </c>
      <c r="J832" t="n">
        <v>0</v>
      </c>
      <c r="K832" t="n">
        <v>0</v>
      </c>
      <c r="L832" t="n">
        <v>0</v>
      </c>
      <c r="M832" t="n">
        <v>0</v>
      </c>
      <c r="N832" t="n">
        <v>0</v>
      </c>
      <c r="O832" t="n">
        <v>0</v>
      </c>
      <c r="P832" t="n">
        <v>0</v>
      </c>
      <c r="Q832" t="n">
        <v>0</v>
      </c>
      <c r="R832" s="2" t="inlineStr"/>
    </row>
    <row r="833" ht="15" customHeight="1">
      <c r="A833" t="inlineStr">
        <is>
          <t>A 52703-2025</t>
        </is>
      </c>
      <c r="B833" s="1" t="n">
        <v>45956.88643518519</v>
      </c>
      <c r="C833" s="1" t="n">
        <v>46010</v>
      </c>
      <c r="D833" t="inlineStr">
        <is>
          <t>STOCKHOLMS LÄN</t>
        </is>
      </c>
      <c r="E833" t="inlineStr">
        <is>
          <t>NORRTÄLJE</t>
        </is>
      </c>
      <c r="G833" t="n">
        <v>4.7</v>
      </c>
      <c r="H833" t="n">
        <v>0</v>
      </c>
      <c r="I833" t="n">
        <v>0</v>
      </c>
      <c r="J833" t="n">
        <v>0</v>
      </c>
      <c r="K833" t="n">
        <v>0</v>
      </c>
      <c r="L833" t="n">
        <v>0</v>
      </c>
      <c r="M833" t="n">
        <v>0</v>
      </c>
      <c r="N833" t="n">
        <v>0</v>
      </c>
      <c r="O833" t="n">
        <v>0</v>
      </c>
      <c r="P833" t="n">
        <v>0</v>
      </c>
      <c r="Q833" t="n">
        <v>0</v>
      </c>
      <c r="R833" s="2" t="inlineStr"/>
    </row>
    <row r="834" ht="15" customHeight="1">
      <c r="A834" t="inlineStr">
        <is>
          <t>A 17843-2024</t>
        </is>
      </c>
      <c r="B834" s="1" t="n">
        <v>45418</v>
      </c>
      <c r="C834" s="1" t="n">
        <v>46010</v>
      </c>
      <c r="D834" t="inlineStr">
        <is>
          <t>STOCKHOLMS LÄN</t>
        </is>
      </c>
      <c r="E834" t="inlineStr">
        <is>
          <t>NORRTÄLJE</t>
        </is>
      </c>
      <c r="G834" t="n">
        <v>5.4</v>
      </c>
      <c r="H834" t="n">
        <v>0</v>
      </c>
      <c r="I834" t="n">
        <v>0</v>
      </c>
      <c r="J834" t="n">
        <v>0</v>
      </c>
      <c r="K834" t="n">
        <v>0</v>
      </c>
      <c r="L834" t="n">
        <v>0</v>
      </c>
      <c r="M834" t="n">
        <v>0</v>
      </c>
      <c r="N834" t="n">
        <v>0</v>
      </c>
      <c r="O834" t="n">
        <v>0</v>
      </c>
      <c r="P834" t="n">
        <v>0</v>
      </c>
      <c r="Q834" t="n">
        <v>0</v>
      </c>
      <c r="R834" s="2" t="inlineStr"/>
    </row>
    <row r="835" ht="15" customHeight="1">
      <c r="A835" t="inlineStr">
        <is>
          <t>A 52729-2025</t>
        </is>
      </c>
      <c r="B835" s="1" t="n">
        <v>45957.3636574074</v>
      </c>
      <c r="C835" s="1" t="n">
        <v>46010</v>
      </c>
      <c r="D835" t="inlineStr">
        <is>
          <t>STOCKHOLMS LÄN</t>
        </is>
      </c>
      <c r="E835" t="inlineStr">
        <is>
          <t>NORRTÄLJE</t>
        </is>
      </c>
      <c r="F835" t="inlineStr">
        <is>
          <t>Sveaskog</t>
        </is>
      </c>
      <c r="G835" t="n">
        <v>2</v>
      </c>
      <c r="H835" t="n">
        <v>0</v>
      </c>
      <c r="I835" t="n">
        <v>0</v>
      </c>
      <c r="J835" t="n">
        <v>0</v>
      </c>
      <c r="K835" t="n">
        <v>0</v>
      </c>
      <c r="L835" t="n">
        <v>0</v>
      </c>
      <c r="M835" t="n">
        <v>0</v>
      </c>
      <c r="N835" t="n">
        <v>0</v>
      </c>
      <c r="O835" t="n">
        <v>0</v>
      </c>
      <c r="P835" t="n">
        <v>0</v>
      </c>
      <c r="Q835" t="n">
        <v>0</v>
      </c>
      <c r="R835" s="2" t="inlineStr"/>
    </row>
    <row r="836" ht="15" customHeight="1">
      <c r="A836" t="inlineStr">
        <is>
          <t>A 60745-2025</t>
        </is>
      </c>
      <c r="B836" s="1" t="n">
        <v>45999.37753472223</v>
      </c>
      <c r="C836" s="1" t="n">
        <v>46010</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26636-2023</t>
        </is>
      </c>
      <c r="B837" s="1" t="n">
        <v>45092</v>
      </c>
      <c r="C837" s="1" t="n">
        <v>46010</v>
      </c>
      <c r="D837" t="inlineStr">
        <is>
          <t>STOCKHOLMS LÄN</t>
        </is>
      </c>
      <c r="E837" t="inlineStr">
        <is>
          <t>NORRTÄLJE</t>
        </is>
      </c>
      <c r="G837" t="n">
        <v>1.7</v>
      </c>
      <c r="H837" t="n">
        <v>0</v>
      </c>
      <c r="I837" t="n">
        <v>0</v>
      </c>
      <c r="J837" t="n">
        <v>0</v>
      </c>
      <c r="K837" t="n">
        <v>0</v>
      </c>
      <c r="L837" t="n">
        <v>0</v>
      </c>
      <c r="M837" t="n">
        <v>0</v>
      </c>
      <c r="N837" t="n">
        <v>0</v>
      </c>
      <c r="O837" t="n">
        <v>0</v>
      </c>
      <c r="P837" t="n">
        <v>0</v>
      </c>
      <c r="Q837" t="n">
        <v>0</v>
      </c>
      <c r="R837" s="2" t="inlineStr"/>
    </row>
    <row r="838" ht="15" customHeight="1">
      <c r="A838" t="inlineStr">
        <is>
          <t>A 26637-2023</t>
        </is>
      </c>
      <c r="B838" s="1" t="n">
        <v>45092</v>
      </c>
      <c r="C838" s="1" t="n">
        <v>46010</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52734-2025</t>
        </is>
      </c>
      <c r="B839" s="1" t="n">
        <v>45957.3710300926</v>
      </c>
      <c r="C839" s="1" t="n">
        <v>46010</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72704-2021</t>
        </is>
      </c>
      <c r="B840" s="1" t="n">
        <v>44546</v>
      </c>
      <c r="C840" s="1" t="n">
        <v>46010</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52743-2024</t>
        </is>
      </c>
      <c r="B841" s="1" t="n">
        <v>45610.47414351852</v>
      </c>
      <c r="C841" s="1" t="n">
        <v>46010</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16852-2024</t>
        </is>
      </c>
      <c r="B842" s="1" t="n">
        <v>45411.54768518519</v>
      </c>
      <c r="C842" s="1" t="n">
        <v>46010</v>
      </c>
      <c r="D842" t="inlineStr">
        <is>
          <t>STOCKHOLMS LÄN</t>
        </is>
      </c>
      <c r="E842" t="inlineStr">
        <is>
          <t>NORRTÄLJE</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52776-2025</t>
        </is>
      </c>
      <c r="B843" s="1" t="n">
        <v>45957.41724537037</v>
      </c>
      <c r="C843" s="1" t="n">
        <v>46010</v>
      </c>
      <c r="D843" t="inlineStr">
        <is>
          <t>STOCKHOLMS LÄN</t>
        </is>
      </c>
      <c r="E843" t="inlineStr">
        <is>
          <t>NORRTÄLJE</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52529-2025</t>
        </is>
      </c>
      <c r="B844" s="1" t="n">
        <v>45954.53229166667</v>
      </c>
      <c r="C844" s="1" t="n">
        <v>46010</v>
      </c>
      <c r="D844" t="inlineStr">
        <is>
          <t>STOCKHOLMS LÄN</t>
        </is>
      </c>
      <c r="E844" t="inlineStr">
        <is>
          <t>NORRTÄLJE</t>
        </is>
      </c>
      <c r="F844" t="inlineStr">
        <is>
          <t>Sveaskog</t>
        </is>
      </c>
      <c r="G844" t="n">
        <v>7.8</v>
      </c>
      <c r="H844" t="n">
        <v>0</v>
      </c>
      <c r="I844" t="n">
        <v>0</v>
      </c>
      <c r="J844" t="n">
        <v>0</v>
      </c>
      <c r="K844" t="n">
        <v>0</v>
      </c>
      <c r="L844" t="n">
        <v>0</v>
      </c>
      <c r="M844" t="n">
        <v>0</v>
      </c>
      <c r="N844" t="n">
        <v>0</v>
      </c>
      <c r="O844" t="n">
        <v>0</v>
      </c>
      <c r="P844" t="n">
        <v>0</v>
      </c>
      <c r="Q844" t="n">
        <v>0</v>
      </c>
      <c r="R844" s="2" t="inlineStr"/>
    </row>
    <row r="845" ht="15" customHeight="1">
      <c r="A845" t="inlineStr">
        <is>
          <t>A 52704-2025</t>
        </is>
      </c>
      <c r="B845" s="1" t="n">
        <v>45956.89097222222</v>
      </c>
      <c r="C845" s="1" t="n">
        <v>46010</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60928-2025</t>
        </is>
      </c>
      <c r="B846" s="1" t="n">
        <v>45999.633125</v>
      </c>
      <c r="C846" s="1" t="n">
        <v>46010</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52553-2025</t>
        </is>
      </c>
      <c r="B847" s="1" t="n">
        <v>45954.5624537037</v>
      </c>
      <c r="C847" s="1" t="n">
        <v>46010</v>
      </c>
      <c r="D847" t="inlineStr">
        <is>
          <t>STOCKHOLMS LÄN</t>
        </is>
      </c>
      <c r="E847" t="inlineStr">
        <is>
          <t>NORRTÄLJE</t>
        </is>
      </c>
      <c r="G847" t="n">
        <v>4.4</v>
      </c>
      <c r="H847" t="n">
        <v>0</v>
      </c>
      <c r="I847" t="n">
        <v>0</v>
      </c>
      <c r="J847" t="n">
        <v>0</v>
      </c>
      <c r="K847" t="n">
        <v>0</v>
      </c>
      <c r="L847" t="n">
        <v>0</v>
      </c>
      <c r="M847" t="n">
        <v>0</v>
      </c>
      <c r="N847" t="n">
        <v>0</v>
      </c>
      <c r="O847" t="n">
        <v>0</v>
      </c>
      <c r="P847" t="n">
        <v>0</v>
      </c>
      <c r="Q847" t="n">
        <v>0</v>
      </c>
      <c r="R847" s="2" t="inlineStr"/>
    </row>
    <row r="848" ht="15" customHeight="1">
      <c r="A848" t="inlineStr">
        <is>
          <t>A 60948-2025</t>
        </is>
      </c>
      <c r="B848" s="1" t="n">
        <v>45999.650625</v>
      </c>
      <c r="C848" s="1" t="n">
        <v>46010</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55755-2023</t>
        </is>
      </c>
      <c r="B849" s="1" t="n">
        <v>45239</v>
      </c>
      <c r="C849" s="1" t="n">
        <v>46010</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61430-2025</t>
        </is>
      </c>
      <c r="B850" s="1" t="n">
        <v>46001.55583333333</v>
      </c>
      <c r="C850" s="1" t="n">
        <v>46010</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17348-2024</t>
        </is>
      </c>
      <c r="B851" s="1" t="n">
        <v>45414.58650462963</v>
      </c>
      <c r="C851" s="1" t="n">
        <v>46010</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61289-2025</t>
        </is>
      </c>
      <c r="B852" s="1" t="n">
        <v>46000.73659722223</v>
      </c>
      <c r="C852" s="1" t="n">
        <v>46010</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61452-2025</t>
        </is>
      </c>
      <c r="B853" s="1" t="n">
        <v>46001.58043981482</v>
      </c>
      <c r="C853" s="1" t="n">
        <v>46010</v>
      </c>
      <c r="D853" t="inlineStr">
        <is>
          <t>STOCKHOLMS LÄN</t>
        </is>
      </c>
      <c r="E853" t="inlineStr">
        <is>
          <t>NORRTÄLJE</t>
        </is>
      </c>
      <c r="F853" t="inlineStr">
        <is>
          <t>Holmen skog AB</t>
        </is>
      </c>
      <c r="G853" t="n">
        <v>3.7</v>
      </c>
      <c r="H853" t="n">
        <v>0</v>
      </c>
      <c r="I853" t="n">
        <v>0</v>
      </c>
      <c r="J853" t="n">
        <v>0</v>
      </c>
      <c r="K853" t="n">
        <v>0</v>
      </c>
      <c r="L853" t="n">
        <v>0</v>
      </c>
      <c r="M853" t="n">
        <v>0</v>
      </c>
      <c r="N853" t="n">
        <v>0</v>
      </c>
      <c r="O853" t="n">
        <v>0</v>
      </c>
      <c r="P853" t="n">
        <v>0</v>
      </c>
      <c r="Q853" t="n">
        <v>0</v>
      </c>
      <c r="R853" s="2" t="inlineStr"/>
    </row>
    <row r="854" ht="15" customHeight="1">
      <c r="A854" t="inlineStr">
        <is>
          <t>A 61292-2025</t>
        </is>
      </c>
      <c r="B854" s="1" t="n">
        <v>46000.75015046296</v>
      </c>
      <c r="C854" s="1" t="n">
        <v>46010</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c r="U854">
        <f>HYPERLINK("https://klasma.github.io/Logging_0188/knärot/A 61292-2025 karta knärot.png", "A 61292-2025")</f>
        <v/>
      </c>
      <c r="V854">
        <f>HYPERLINK("https://klasma.github.io/Logging_0188/klagomål/A 61292-2025 FSC-klagomål.docx", "A 61292-2025")</f>
        <v/>
      </c>
      <c r="W854">
        <f>HYPERLINK("https://klasma.github.io/Logging_0188/klagomålsmail/A 61292-2025 FSC-klagomål mail.docx", "A 61292-2025")</f>
        <v/>
      </c>
      <c r="X854">
        <f>HYPERLINK("https://klasma.github.io/Logging_0188/tillsyn/A 61292-2025 tillsynsbegäran.docx", "A 61292-2025")</f>
        <v/>
      </c>
      <c r="Y854">
        <f>HYPERLINK("https://klasma.github.io/Logging_0188/tillsynsmail/A 61292-2025 tillsynsbegäran mail.docx", "A 61292-2025")</f>
        <v/>
      </c>
    </row>
    <row r="855" ht="15" customHeight="1">
      <c r="A855" t="inlineStr">
        <is>
          <t>A 61419-2025</t>
        </is>
      </c>
      <c r="B855" s="1" t="n">
        <v>46001.54137731482</v>
      </c>
      <c r="C855" s="1" t="n">
        <v>46010</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13089-2022</t>
        </is>
      </c>
      <c r="B856" s="1" t="n">
        <v>44643</v>
      </c>
      <c r="C856" s="1" t="n">
        <v>46010</v>
      </c>
      <c r="D856" t="inlineStr">
        <is>
          <t>STOCKHOLMS LÄN</t>
        </is>
      </c>
      <c r="E856" t="inlineStr">
        <is>
          <t>NORRTÄLJE</t>
        </is>
      </c>
      <c r="G856" t="n">
        <v>4.5</v>
      </c>
      <c r="H856" t="n">
        <v>0</v>
      </c>
      <c r="I856" t="n">
        <v>0</v>
      </c>
      <c r="J856" t="n">
        <v>0</v>
      </c>
      <c r="K856" t="n">
        <v>0</v>
      </c>
      <c r="L856" t="n">
        <v>0</v>
      </c>
      <c r="M856" t="n">
        <v>0</v>
      </c>
      <c r="N856" t="n">
        <v>0</v>
      </c>
      <c r="O856" t="n">
        <v>0</v>
      </c>
      <c r="P856" t="n">
        <v>0</v>
      </c>
      <c r="Q856" t="n">
        <v>0</v>
      </c>
      <c r="R856" s="2" t="inlineStr"/>
    </row>
    <row r="857" ht="15" customHeight="1">
      <c r="A857" t="inlineStr">
        <is>
          <t>A 61099-2025</t>
        </is>
      </c>
      <c r="B857" s="1" t="n">
        <v>46000.44185185185</v>
      </c>
      <c r="C857" s="1" t="n">
        <v>46010</v>
      </c>
      <c r="D857" t="inlineStr">
        <is>
          <t>STOCKHOLMS LÄN</t>
        </is>
      </c>
      <c r="E857" t="inlineStr">
        <is>
          <t>NORRTÄLJE</t>
        </is>
      </c>
      <c r="G857" t="n">
        <v>9.5</v>
      </c>
      <c r="H857" t="n">
        <v>0</v>
      </c>
      <c r="I857" t="n">
        <v>0</v>
      </c>
      <c r="J857" t="n">
        <v>0</v>
      </c>
      <c r="K857" t="n">
        <v>0</v>
      </c>
      <c r="L857" t="n">
        <v>0</v>
      </c>
      <c r="M857" t="n">
        <v>0</v>
      </c>
      <c r="N857" t="n">
        <v>0</v>
      </c>
      <c r="O857" t="n">
        <v>0</v>
      </c>
      <c r="P857" t="n">
        <v>0</v>
      </c>
      <c r="Q857" t="n">
        <v>0</v>
      </c>
      <c r="R857" s="2" t="inlineStr"/>
    </row>
    <row r="858" ht="15" customHeight="1">
      <c r="A858" t="inlineStr">
        <is>
          <t>A 48145-2024</t>
        </is>
      </c>
      <c r="B858" s="1" t="n">
        <v>45589.6756712963</v>
      </c>
      <c r="C858" s="1" t="n">
        <v>46010</v>
      </c>
      <c r="D858" t="inlineStr">
        <is>
          <t>STOCKHOLMS LÄN</t>
        </is>
      </c>
      <c r="E858" t="inlineStr">
        <is>
          <t>NORRTÄLJE</t>
        </is>
      </c>
      <c r="G858" t="n">
        <v>3.4</v>
      </c>
      <c r="H858" t="n">
        <v>0</v>
      </c>
      <c r="I858" t="n">
        <v>0</v>
      </c>
      <c r="J858" t="n">
        <v>0</v>
      </c>
      <c r="K858" t="n">
        <v>0</v>
      </c>
      <c r="L858" t="n">
        <v>0</v>
      </c>
      <c r="M858" t="n">
        <v>0</v>
      </c>
      <c r="N858" t="n">
        <v>0</v>
      </c>
      <c r="O858" t="n">
        <v>0</v>
      </c>
      <c r="P858" t="n">
        <v>0</v>
      </c>
      <c r="Q858" t="n">
        <v>0</v>
      </c>
      <c r="R858" s="2" t="inlineStr"/>
    </row>
    <row r="859" ht="15" customHeight="1">
      <c r="A859" t="inlineStr">
        <is>
          <t>A 23998-2024</t>
        </is>
      </c>
      <c r="B859" s="1" t="n">
        <v>45456</v>
      </c>
      <c r="C859" s="1" t="n">
        <v>46010</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61288-2025</t>
        </is>
      </c>
      <c r="B860" s="1" t="n">
        <v>46000.73247685185</v>
      </c>
      <c r="C860" s="1" t="n">
        <v>46010</v>
      </c>
      <c r="D860" t="inlineStr">
        <is>
          <t>STOCKHOLMS LÄN</t>
        </is>
      </c>
      <c r="E860" t="inlineStr">
        <is>
          <t>NORRTÄLJE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61160-2025</t>
        </is>
      </c>
      <c r="B861" s="1" t="n">
        <v>46000.55262731481</v>
      </c>
      <c r="C861" s="1" t="n">
        <v>46010</v>
      </c>
      <c r="D861" t="inlineStr">
        <is>
          <t>STOCKHOLMS LÄN</t>
        </is>
      </c>
      <c r="E861" t="inlineStr">
        <is>
          <t>NORRTÄLJE</t>
        </is>
      </c>
      <c r="G861" t="n">
        <v>5.3</v>
      </c>
      <c r="H861" t="n">
        <v>0</v>
      </c>
      <c r="I861" t="n">
        <v>0</v>
      </c>
      <c r="J861" t="n">
        <v>0</v>
      </c>
      <c r="K861" t="n">
        <v>0</v>
      </c>
      <c r="L861" t="n">
        <v>0</v>
      </c>
      <c r="M861" t="n">
        <v>0</v>
      </c>
      <c r="N861" t="n">
        <v>0</v>
      </c>
      <c r="O861" t="n">
        <v>0</v>
      </c>
      <c r="P861" t="n">
        <v>0</v>
      </c>
      <c r="Q861" t="n">
        <v>0</v>
      </c>
      <c r="R861" s="2" t="inlineStr"/>
    </row>
    <row r="862" ht="15" customHeight="1">
      <c r="A862" t="inlineStr">
        <is>
          <t>A 15447-2023</t>
        </is>
      </c>
      <c r="B862" s="1" t="n">
        <v>45020</v>
      </c>
      <c r="C862" s="1" t="n">
        <v>46010</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53299-2025</t>
        </is>
      </c>
      <c r="B863" s="1" t="n">
        <v>45959.31901620371</v>
      </c>
      <c r="C863" s="1" t="n">
        <v>46010</v>
      </c>
      <c r="D863" t="inlineStr">
        <is>
          <t>STOCKHOLMS LÄN</t>
        </is>
      </c>
      <c r="E863" t="inlineStr">
        <is>
          <t>NORRTÄLJE</t>
        </is>
      </c>
      <c r="G863" t="n">
        <v>4.8</v>
      </c>
      <c r="H863" t="n">
        <v>0</v>
      </c>
      <c r="I863" t="n">
        <v>0</v>
      </c>
      <c r="J863" t="n">
        <v>0</v>
      </c>
      <c r="K863" t="n">
        <v>0</v>
      </c>
      <c r="L863" t="n">
        <v>0</v>
      </c>
      <c r="M863" t="n">
        <v>0</v>
      </c>
      <c r="N863" t="n">
        <v>0</v>
      </c>
      <c r="O863" t="n">
        <v>0</v>
      </c>
      <c r="P863" t="n">
        <v>0</v>
      </c>
      <c r="Q863" t="n">
        <v>0</v>
      </c>
      <c r="R863" s="2" t="inlineStr"/>
    </row>
    <row r="864" ht="15" customHeight="1">
      <c r="A864" t="inlineStr">
        <is>
          <t>A 53087-2025</t>
        </is>
      </c>
      <c r="B864" s="1" t="n">
        <v>45958.41065972222</v>
      </c>
      <c r="C864" s="1" t="n">
        <v>46010</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53115-2025</t>
        </is>
      </c>
      <c r="B865" s="1" t="n">
        <v>45958.44614583333</v>
      </c>
      <c r="C865" s="1" t="n">
        <v>46010</v>
      </c>
      <c r="D865" t="inlineStr">
        <is>
          <t>STOCKHOLMS LÄN</t>
        </is>
      </c>
      <c r="E865" t="inlineStr">
        <is>
          <t>NORRTÄLJE</t>
        </is>
      </c>
      <c r="F865" t="inlineStr">
        <is>
          <t>Kyrkan</t>
        </is>
      </c>
      <c r="G865" t="n">
        <v>2.5</v>
      </c>
      <c r="H865" t="n">
        <v>0</v>
      </c>
      <c r="I865" t="n">
        <v>0</v>
      </c>
      <c r="J865" t="n">
        <v>0</v>
      </c>
      <c r="K865" t="n">
        <v>0</v>
      </c>
      <c r="L865" t="n">
        <v>0</v>
      </c>
      <c r="M865" t="n">
        <v>0</v>
      </c>
      <c r="N865" t="n">
        <v>0</v>
      </c>
      <c r="O865" t="n">
        <v>0</v>
      </c>
      <c r="P865" t="n">
        <v>0</v>
      </c>
      <c r="Q865" t="n">
        <v>0</v>
      </c>
      <c r="R865" s="2" t="inlineStr"/>
    </row>
    <row r="866" ht="15" customHeight="1">
      <c r="A866" t="inlineStr">
        <is>
          <t>A 54358-2022</t>
        </is>
      </c>
      <c r="B866" s="1" t="n">
        <v>44882</v>
      </c>
      <c r="C866" s="1" t="n">
        <v>46010</v>
      </c>
      <c r="D866" t="inlineStr">
        <is>
          <t>STOCKHOLMS LÄN</t>
        </is>
      </c>
      <c r="E866" t="inlineStr">
        <is>
          <t>NORRTÄLJE</t>
        </is>
      </c>
      <c r="G866" t="n">
        <v>3.3</v>
      </c>
      <c r="H866" t="n">
        <v>0</v>
      </c>
      <c r="I866" t="n">
        <v>0</v>
      </c>
      <c r="J866" t="n">
        <v>0</v>
      </c>
      <c r="K866" t="n">
        <v>0</v>
      </c>
      <c r="L866" t="n">
        <v>0</v>
      </c>
      <c r="M866" t="n">
        <v>0</v>
      </c>
      <c r="N866" t="n">
        <v>0</v>
      </c>
      <c r="O866" t="n">
        <v>0</v>
      </c>
      <c r="P866" t="n">
        <v>0</v>
      </c>
      <c r="Q866" t="n">
        <v>0</v>
      </c>
      <c r="R866" s="2" t="inlineStr"/>
    </row>
    <row r="867" ht="15" customHeight="1">
      <c r="A867" t="inlineStr">
        <is>
          <t>A 53629-2025</t>
        </is>
      </c>
      <c r="B867" s="1" t="n">
        <v>45960.49570601852</v>
      </c>
      <c r="C867" s="1" t="n">
        <v>46010</v>
      </c>
      <c r="D867" t="inlineStr">
        <is>
          <t>STOCKHOLMS LÄN</t>
        </is>
      </c>
      <c r="E867" t="inlineStr">
        <is>
          <t>NORRTÄLJE</t>
        </is>
      </c>
      <c r="F867" t="inlineStr">
        <is>
          <t>Naturvårdsverket</t>
        </is>
      </c>
      <c r="G867" t="n">
        <v>7.9</v>
      </c>
      <c r="H867" t="n">
        <v>0</v>
      </c>
      <c r="I867" t="n">
        <v>0</v>
      </c>
      <c r="J867" t="n">
        <v>0</v>
      </c>
      <c r="K867" t="n">
        <v>0</v>
      </c>
      <c r="L867" t="n">
        <v>0</v>
      </c>
      <c r="M867" t="n">
        <v>0</v>
      </c>
      <c r="N867" t="n">
        <v>0</v>
      </c>
      <c r="O867" t="n">
        <v>0</v>
      </c>
      <c r="P867" t="n">
        <v>0</v>
      </c>
      <c r="Q867" t="n">
        <v>0</v>
      </c>
      <c r="R867" s="2" t="inlineStr"/>
    </row>
    <row r="868" ht="15" customHeight="1">
      <c r="A868" t="inlineStr">
        <is>
          <t>A 23263-2023</t>
        </is>
      </c>
      <c r="B868" s="1" t="n">
        <v>45075</v>
      </c>
      <c r="C868" s="1" t="n">
        <v>46010</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23264-2023</t>
        </is>
      </c>
      <c r="B869" s="1" t="n">
        <v>45075</v>
      </c>
      <c r="C869" s="1" t="n">
        <v>46010</v>
      </c>
      <c r="D869" t="inlineStr">
        <is>
          <t>STOCKHOLMS LÄN</t>
        </is>
      </c>
      <c r="E869" t="inlineStr">
        <is>
          <t>NORRTÄLJE</t>
        </is>
      </c>
      <c r="G869" t="n">
        <v>2.9</v>
      </c>
      <c r="H869" t="n">
        <v>0</v>
      </c>
      <c r="I869" t="n">
        <v>0</v>
      </c>
      <c r="J869" t="n">
        <v>0</v>
      </c>
      <c r="K869" t="n">
        <v>0</v>
      </c>
      <c r="L869" t="n">
        <v>0</v>
      </c>
      <c r="M869" t="n">
        <v>0</v>
      </c>
      <c r="N869" t="n">
        <v>0</v>
      </c>
      <c r="O869" t="n">
        <v>0</v>
      </c>
      <c r="P869" t="n">
        <v>0</v>
      </c>
      <c r="Q869" t="n">
        <v>0</v>
      </c>
      <c r="R869" s="2" t="inlineStr"/>
    </row>
    <row r="870" ht="15" customHeight="1">
      <c r="A870" t="inlineStr">
        <is>
          <t>A 23267-2023</t>
        </is>
      </c>
      <c r="B870" s="1" t="n">
        <v>45075.90934027778</v>
      </c>
      <c r="C870" s="1" t="n">
        <v>46010</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23269-2023</t>
        </is>
      </c>
      <c r="B871" s="1" t="n">
        <v>45075.91148148148</v>
      </c>
      <c r="C871" s="1" t="n">
        <v>46010</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61769-2025</t>
        </is>
      </c>
      <c r="B872" s="1" t="n">
        <v>46002.64556712963</v>
      </c>
      <c r="C872" s="1" t="n">
        <v>46010</v>
      </c>
      <c r="D872" t="inlineStr">
        <is>
          <t>STOCKHOLMS LÄN</t>
        </is>
      </c>
      <c r="E872" t="inlineStr">
        <is>
          <t>NORRTÄLJE</t>
        </is>
      </c>
      <c r="G872" t="n">
        <v>2.9</v>
      </c>
      <c r="H872" t="n">
        <v>0</v>
      </c>
      <c r="I872" t="n">
        <v>0</v>
      </c>
      <c r="J872" t="n">
        <v>0</v>
      </c>
      <c r="K872" t="n">
        <v>0</v>
      </c>
      <c r="L872" t="n">
        <v>0</v>
      </c>
      <c r="M872" t="n">
        <v>0</v>
      </c>
      <c r="N872" t="n">
        <v>0</v>
      </c>
      <c r="O872" t="n">
        <v>0</v>
      </c>
      <c r="P872" t="n">
        <v>0</v>
      </c>
      <c r="Q872" t="n">
        <v>0</v>
      </c>
      <c r="R872" s="2" t="inlineStr"/>
    </row>
    <row r="873" ht="15" customHeight="1">
      <c r="A873" t="inlineStr">
        <is>
          <t>A 19911-2025</t>
        </is>
      </c>
      <c r="B873" s="1" t="n">
        <v>45771</v>
      </c>
      <c r="C873" s="1" t="n">
        <v>46010</v>
      </c>
      <c r="D873" t="inlineStr">
        <is>
          <t>STOCKHOLMS LÄN</t>
        </is>
      </c>
      <c r="E873" t="inlineStr">
        <is>
          <t>NORRTÄLJE</t>
        </is>
      </c>
      <c r="G873" t="n">
        <v>1.4</v>
      </c>
      <c r="H873" t="n">
        <v>0</v>
      </c>
      <c r="I873" t="n">
        <v>0</v>
      </c>
      <c r="J873" t="n">
        <v>0</v>
      </c>
      <c r="K873" t="n">
        <v>0</v>
      </c>
      <c r="L873" t="n">
        <v>0</v>
      </c>
      <c r="M873" t="n">
        <v>0</v>
      </c>
      <c r="N873" t="n">
        <v>0</v>
      </c>
      <c r="O873" t="n">
        <v>0</v>
      </c>
      <c r="P873" t="n">
        <v>0</v>
      </c>
      <c r="Q873" t="n">
        <v>0</v>
      </c>
      <c r="R873" s="2" t="inlineStr"/>
    </row>
    <row r="874" ht="15" customHeight="1">
      <c r="A874" t="inlineStr">
        <is>
          <t>A 5831-2022</t>
        </is>
      </c>
      <c r="B874" s="1" t="n">
        <v>44596</v>
      </c>
      <c r="C874" s="1" t="n">
        <v>46010</v>
      </c>
      <c r="D874" t="inlineStr">
        <is>
          <t>STOCKHOLMS LÄN</t>
        </is>
      </c>
      <c r="E874" t="inlineStr">
        <is>
          <t>NORRTÄLJE</t>
        </is>
      </c>
      <c r="G874" t="n">
        <v>4.8</v>
      </c>
      <c r="H874" t="n">
        <v>0</v>
      </c>
      <c r="I874" t="n">
        <v>0</v>
      </c>
      <c r="J874" t="n">
        <v>0</v>
      </c>
      <c r="K874" t="n">
        <v>0</v>
      </c>
      <c r="L874" t="n">
        <v>0</v>
      </c>
      <c r="M874" t="n">
        <v>0</v>
      </c>
      <c r="N874" t="n">
        <v>0</v>
      </c>
      <c r="O874" t="n">
        <v>0</v>
      </c>
      <c r="P874" t="n">
        <v>0</v>
      </c>
      <c r="Q874" t="n">
        <v>0</v>
      </c>
      <c r="R874" s="2" t="inlineStr"/>
    </row>
    <row r="875" ht="15" customHeight="1">
      <c r="A875" t="inlineStr">
        <is>
          <t>A 5867-2022</t>
        </is>
      </c>
      <c r="B875" s="1" t="n">
        <v>44596.66335648148</v>
      </c>
      <c r="C875" s="1" t="n">
        <v>46010</v>
      </c>
      <c r="D875" t="inlineStr">
        <is>
          <t>STOCKHOLMS LÄN</t>
        </is>
      </c>
      <c r="E875" t="inlineStr">
        <is>
          <t>NORRTÄLJE</t>
        </is>
      </c>
      <c r="F875" t="inlineStr">
        <is>
          <t>Naturvårdsverket</t>
        </is>
      </c>
      <c r="G875" t="n">
        <v>1.6</v>
      </c>
      <c r="H875" t="n">
        <v>0</v>
      </c>
      <c r="I875" t="n">
        <v>0</v>
      </c>
      <c r="J875" t="n">
        <v>0</v>
      </c>
      <c r="K875" t="n">
        <v>0</v>
      </c>
      <c r="L875" t="n">
        <v>0</v>
      </c>
      <c r="M875" t="n">
        <v>0</v>
      </c>
      <c r="N875" t="n">
        <v>0</v>
      </c>
      <c r="O875" t="n">
        <v>0</v>
      </c>
      <c r="P875" t="n">
        <v>0</v>
      </c>
      <c r="Q875" t="n">
        <v>0</v>
      </c>
      <c r="R875" s="2" t="inlineStr"/>
    </row>
    <row r="876" ht="15" customHeight="1">
      <c r="A876" t="inlineStr">
        <is>
          <t>A 20244-2025</t>
        </is>
      </c>
      <c r="B876" s="1" t="n">
        <v>45772.71221064815</v>
      </c>
      <c r="C876" s="1" t="n">
        <v>46010</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48633-2023</t>
        </is>
      </c>
      <c r="B877" s="1" t="n">
        <v>45208.58004629629</v>
      </c>
      <c r="C877" s="1" t="n">
        <v>46010</v>
      </c>
      <c r="D877" t="inlineStr">
        <is>
          <t>STOCKHOLMS LÄN</t>
        </is>
      </c>
      <c r="E877" t="inlineStr">
        <is>
          <t>NORRTÄLJE</t>
        </is>
      </c>
      <c r="G877" t="n">
        <v>3.3</v>
      </c>
      <c r="H877" t="n">
        <v>0</v>
      </c>
      <c r="I877" t="n">
        <v>0</v>
      </c>
      <c r="J877" t="n">
        <v>0</v>
      </c>
      <c r="K877" t="n">
        <v>0</v>
      </c>
      <c r="L877" t="n">
        <v>0</v>
      </c>
      <c r="M877" t="n">
        <v>0</v>
      </c>
      <c r="N877" t="n">
        <v>0</v>
      </c>
      <c r="O877" t="n">
        <v>0</v>
      </c>
      <c r="P877" t="n">
        <v>0</v>
      </c>
      <c r="Q877" t="n">
        <v>0</v>
      </c>
      <c r="R877" s="2" t="inlineStr"/>
    </row>
    <row r="878" ht="15" customHeight="1">
      <c r="A878" t="inlineStr">
        <is>
          <t>A 39669-2024</t>
        </is>
      </c>
      <c r="B878" s="1" t="n">
        <v>45552.52827546297</v>
      </c>
      <c r="C878" s="1" t="n">
        <v>46010</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53747-2025</t>
        </is>
      </c>
      <c r="B879" s="1" t="n">
        <v>45960.65415509259</v>
      </c>
      <c r="C879" s="1" t="n">
        <v>46010</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61764-2025</t>
        </is>
      </c>
      <c r="B880" s="1" t="n">
        <v>46002.62763888889</v>
      </c>
      <c r="C880" s="1" t="n">
        <v>46010</v>
      </c>
      <c r="D880" t="inlineStr">
        <is>
          <t>STOCKHOLMS LÄN</t>
        </is>
      </c>
      <c r="E880" t="inlineStr">
        <is>
          <t>NORRTÄLJE</t>
        </is>
      </c>
      <c r="G880" t="n">
        <v>2.3</v>
      </c>
      <c r="H880" t="n">
        <v>0</v>
      </c>
      <c r="I880" t="n">
        <v>0</v>
      </c>
      <c r="J880" t="n">
        <v>0</v>
      </c>
      <c r="K880" t="n">
        <v>0</v>
      </c>
      <c r="L880" t="n">
        <v>0</v>
      </c>
      <c r="M880" t="n">
        <v>0</v>
      </c>
      <c r="N880" t="n">
        <v>0</v>
      </c>
      <c r="O880" t="n">
        <v>0</v>
      </c>
      <c r="P880" t="n">
        <v>0</v>
      </c>
      <c r="Q880" t="n">
        <v>0</v>
      </c>
      <c r="R880" s="2" t="inlineStr"/>
    </row>
    <row r="881" ht="15" customHeight="1">
      <c r="A881" t="inlineStr">
        <is>
          <t>A 43170-2023</t>
        </is>
      </c>
      <c r="B881" s="1" t="n">
        <v>45183</v>
      </c>
      <c r="C881" s="1" t="n">
        <v>46010</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9-2024</t>
        </is>
      </c>
      <c r="B882" s="1" t="n">
        <v>45293</v>
      </c>
      <c r="C882" s="1" t="n">
        <v>46010</v>
      </c>
      <c r="D882" t="inlineStr">
        <is>
          <t>STOCKHOLMS LÄN</t>
        </is>
      </c>
      <c r="E882" t="inlineStr">
        <is>
          <t>NORRTÄLJE</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22832-2021</t>
        </is>
      </c>
      <c r="B883" s="1" t="n">
        <v>44325</v>
      </c>
      <c r="C883" s="1" t="n">
        <v>46010</v>
      </c>
      <c r="D883" t="inlineStr">
        <is>
          <t>STOCKHOLMS LÄN</t>
        </is>
      </c>
      <c r="E883" t="inlineStr">
        <is>
          <t>NORRTÄLJE</t>
        </is>
      </c>
      <c r="G883" t="n">
        <v>6.8</v>
      </c>
      <c r="H883" t="n">
        <v>0</v>
      </c>
      <c r="I883" t="n">
        <v>0</v>
      </c>
      <c r="J883" t="n">
        <v>0</v>
      </c>
      <c r="K883" t="n">
        <v>0</v>
      </c>
      <c r="L883" t="n">
        <v>0</v>
      </c>
      <c r="M883" t="n">
        <v>0</v>
      </c>
      <c r="N883" t="n">
        <v>0</v>
      </c>
      <c r="O883" t="n">
        <v>0</v>
      </c>
      <c r="P883" t="n">
        <v>0</v>
      </c>
      <c r="Q883" t="n">
        <v>0</v>
      </c>
      <c r="R883" s="2" t="inlineStr"/>
    </row>
    <row r="884" ht="15" customHeight="1">
      <c r="A884" t="inlineStr">
        <is>
          <t>A 16913-2025</t>
        </is>
      </c>
      <c r="B884" s="1" t="n">
        <v>45755.36583333334</v>
      </c>
      <c r="C884" s="1" t="n">
        <v>46010</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4035-2023</t>
        </is>
      </c>
      <c r="B885" s="1" t="n">
        <v>44952.57989583333</v>
      </c>
      <c r="C885" s="1" t="n">
        <v>46010</v>
      </c>
      <c r="D885" t="inlineStr">
        <is>
          <t>STOCKHOLMS LÄN</t>
        </is>
      </c>
      <c r="E885" t="inlineStr">
        <is>
          <t>NORRTÄLJE</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53499-2025</t>
        </is>
      </c>
      <c r="B886" s="1" t="n">
        <v>45960</v>
      </c>
      <c r="C886" s="1" t="n">
        <v>46010</v>
      </c>
      <c r="D886" t="inlineStr">
        <is>
          <t>STOCKHOLMS LÄN</t>
        </is>
      </c>
      <c r="E886" t="inlineStr">
        <is>
          <t>NORRTÄLJE</t>
        </is>
      </c>
      <c r="G886" t="n">
        <v>23.8</v>
      </c>
      <c r="H886" t="n">
        <v>0</v>
      </c>
      <c r="I886" t="n">
        <v>0</v>
      </c>
      <c r="J886" t="n">
        <v>0</v>
      </c>
      <c r="K886" t="n">
        <v>0</v>
      </c>
      <c r="L886" t="n">
        <v>0</v>
      </c>
      <c r="M886" t="n">
        <v>0</v>
      </c>
      <c r="N886" t="n">
        <v>0</v>
      </c>
      <c r="O886" t="n">
        <v>0</v>
      </c>
      <c r="P886" t="n">
        <v>0</v>
      </c>
      <c r="Q886" t="n">
        <v>0</v>
      </c>
      <c r="R886" s="2" t="inlineStr"/>
    </row>
    <row r="887" ht="15" customHeight="1">
      <c r="A887" t="inlineStr">
        <is>
          <t>A 33793-2022</t>
        </is>
      </c>
      <c r="B887" s="1" t="n">
        <v>44790</v>
      </c>
      <c r="C887" s="1" t="n">
        <v>46010</v>
      </c>
      <c r="D887" t="inlineStr">
        <is>
          <t>STOCKHOLMS LÄN</t>
        </is>
      </c>
      <c r="E887" t="inlineStr">
        <is>
          <t>NORRTÄLJE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53600-2022</t>
        </is>
      </c>
      <c r="B888" s="1" t="n">
        <v>44879.70518518519</v>
      </c>
      <c r="C888" s="1" t="n">
        <v>46010</v>
      </c>
      <c r="D888" t="inlineStr">
        <is>
          <t>STOCKHOLMS LÄN</t>
        </is>
      </c>
      <c r="E888" t="inlineStr">
        <is>
          <t>NORRTÄLJE</t>
        </is>
      </c>
      <c r="G888" t="n">
        <v>4.3</v>
      </c>
      <c r="H888" t="n">
        <v>0</v>
      </c>
      <c r="I888" t="n">
        <v>0</v>
      </c>
      <c r="J888" t="n">
        <v>0</v>
      </c>
      <c r="K888" t="n">
        <v>0</v>
      </c>
      <c r="L888" t="n">
        <v>0</v>
      </c>
      <c r="M888" t="n">
        <v>0</v>
      </c>
      <c r="N888" t="n">
        <v>0</v>
      </c>
      <c r="O888" t="n">
        <v>0</v>
      </c>
      <c r="P888" t="n">
        <v>0</v>
      </c>
      <c r="Q888" t="n">
        <v>0</v>
      </c>
      <c r="R888" s="2" t="inlineStr"/>
    </row>
    <row r="889" ht="15" customHeight="1">
      <c r="A889" t="inlineStr">
        <is>
          <t>A 7697-2025</t>
        </is>
      </c>
      <c r="B889" s="1" t="n">
        <v>45706.40086805556</v>
      </c>
      <c r="C889" s="1" t="n">
        <v>46010</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30221-2024</t>
        </is>
      </c>
      <c r="B890" s="1" t="n">
        <v>45490.45342592592</v>
      </c>
      <c r="C890" s="1" t="n">
        <v>46010</v>
      </c>
      <c r="D890" t="inlineStr">
        <is>
          <t>STOCKHOLMS LÄN</t>
        </is>
      </c>
      <c r="E890" t="inlineStr">
        <is>
          <t>NORRTÄLJE</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62708-2025</t>
        </is>
      </c>
      <c r="B891" s="1" t="n">
        <v>46008.50986111111</v>
      </c>
      <c r="C891" s="1" t="n">
        <v>46010</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13-2024</t>
        </is>
      </c>
      <c r="B892" s="1" t="n">
        <v>45293.37263888889</v>
      </c>
      <c r="C892" s="1" t="n">
        <v>46010</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19-2024</t>
        </is>
      </c>
      <c r="B893" s="1" t="n">
        <v>45293</v>
      </c>
      <c r="C893" s="1" t="n">
        <v>46010</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31559-2022</t>
        </is>
      </c>
      <c r="B894" s="1" t="n">
        <v>44775</v>
      </c>
      <c r="C894" s="1" t="n">
        <v>46010</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62689-2025</t>
        </is>
      </c>
      <c r="B895" s="1" t="n">
        <v>46008.47171296296</v>
      </c>
      <c r="C895" s="1" t="n">
        <v>46010</v>
      </c>
      <c r="D895" t="inlineStr">
        <is>
          <t>STOCKHOLMS LÄN</t>
        </is>
      </c>
      <c r="E895" t="inlineStr">
        <is>
          <t>NORRTÄLJE</t>
        </is>
      </c>
      <c r="F895" t="inlineStr">
        <is>
          <t>Kyrkan</t>
        </is>
      </c>
      <c r="G895" t="n">
        <v>0.7</v>
      </c>
      <c r="H895" t="n">
        <v>0</v>
      </c>
      <c r="I895" t="n">
        <v>0</v>
      </c>
      <c r="J895" t="n">
        <v>0</v>
      </c>
      <c r="K895" t="n">
        <v>0</v>
      </c>
      <c r="L895" t="n">
        <v>0</v>
      </c>
      <c r="M895" t="n">
        <v>0</v>
      </c>
      <c r="N895" t="n">
        <v>0</v>
      </c>
      <c r="O895" t="n">
        <v>0</v>
      </c>
      <c r="P895" t="n">
        <v>0</v>
      </c>
      <c r="Q895" t="n">
        <v>0</v>
      </c>
      <c r="R895" s="2" t="inlineStr"/>
    </row>
    <row r="896" ht="15" customHeight="1">
      <c r="A896" t="inlineStr">
        <is>
          <t>A 62681-2025</t>
        </is>
      </c>
      <c r="B896" s="1" t="n">
        <v>46008.45534722223</v>
      </c>
      <c r="C896" s="1" t="n">
        <v>46010</v>
      </c>
      <c r="D896" t="inlineStr">
        <is>
          <t>STOCKHOLMS LÄN</t>
        </is>
      </c>
      <c r="E896" t="inlineStr">
        <is>
          <t>NORRTÄLJE</t>
        </is>
      </c>
      <c r="G896" t="n">
        <v>2.4</v>
      </c>
      <c r="H896" t="n">
        <v>0</v>
      </c>
      <c r="I896" t="n">
        <v>0</v>
      </c>
      <c r="J896" t="n">
        <v>0</v>
      </c>
      <c r="K896" t="n">
        <v>0</v>
      </c>
      <c r="L896" t="n">
        <v>0</v>
      </c>
      <c r="M896" t="n">
        <v>0</v>
      </c>
      <c r="N896" t="n">
        <v>0</v>
      </c>
      <c r="O896" t="n">
        <v>0</v>
      </c>
      <c r="P896" t="n">
        <v>0</v>
      </c>
      <c r="Q896" t="n">
        <v>0</v>
      </c>
      <c r="R896" s="2" t="inlineStr"/>
    </row>
    <row r="897" ht="15" customHeight="1">
      <c r="A897" t="inlineStr">
        <is>
          <t>A 8419-2025</t>
        </is>
      </c>
      <c r="B897" s="1" t="n">
        <v>45709.40231481481</v>
      </c>
      <c r="C897" s="1" t="n">
        <v>46010</v>
      </c>
      <c r="D897" t="inlineStr">
        <is>
          <t>STOCKHOLMS LÄN</t>
        </is>
      </c>
      <c r="E897" t="inlineStr">
        <is>
          <t>NORRTÄLJE</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62922-2025</t>
        </is>
      </c>
      <c r="B898" s="1" t="n">
        <v>46009.38064814815</v>
      </c>
      <c r="C898" s="1" t="n">
        <v>46010</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35161-2022</t>
        </is>
      </c>
      <c r="B899" s="1" t="n">
        <v>44797</v>
      </c>
      <c r="C899" s="1" t="n">
        <v>46010</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54907-2025</t>
        </is>
      </c>
      <c r="B900" s="1" t="n">
        <v>45967.37137731481</v>
      </c>
      <c r="C900" s="1" t="n">
        <v>46010</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58989-2021</t>
        </is>
      </c>
      <c r="B901" s="1" t="n">
        <v>44490.02482638889</v>
      </c>
      <c r="C901" s="1" t="n">
        <v>46010</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46988-2024</t>
        </is>
      </c>
      <c r="B902" s="1" t="n">
        <v>45586</v>
      </c>
      <c r="C902" s="1" t="n">
        <v>46010</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21529-2021</t>
        </is>
      </c>
      <c r="B903" s="1" t="n">
        <v>44321</v>
      </c>
      <c r="C903" s="1" t="n">
        <v>46010</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13701-2022</t>
        </is>
      </c>
      <c r="B904" s="1" t="n">
        <v>44648</v>
      </c>
      <c r="C904" s="1" t="n">
        <v>46010</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14132-2025</t>
        </is>
      </c>
      <c r="B905" s="1" t="n">
        <v>45740.47550925926</v>
      </c>
      <c r="C905" s="1" t="n">
        <v>46010</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14133-2025</t>
        </is>
      </c>
      <c r="B906" s="1" t="n">
        <v>45740.47724537037</v>
      </c>
      <c r="C906" s="1" t="n">
        <v>46010</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8792-2025</t>
        </is>
      </c>
      <c r="B907" s="1" t="n">
        <v>45712</v>
      </c>
      <c r="C907" s="1" t="n">
        <v>46010</v>
      </c>
      <c r="D907" t="inlineStr">
        <is>
          <t>STOCKHOLMS LÄN</t>
        </is>
      </c>
      <c r="E907" t="inlineStr">
        <is>
          <t>NORRTÄLJE</t>
        </is>
      </c>
      <c r="F907" t="inlineStr">
        <is>
          <t>Övriga Aktiebolag</t>
        </is>
      </c>
      <c r="G907" t="n">
        <v>6.6</v>
      </c>
      <c r="H907" t="n">
        <v>0</v>
      </c>
      <c r="I907" t="n">
        <v>0</v>
      </c>
      <c r="J907" t="n">
        <v>0</v>
      </c>
      <c r="K907" t="n">
        <v>0</v>
      </c>
      <c r="L907" t="n">
        <v>0</v>
      </c>
      <c r="M907" t="n">
        <v>0</v>
      </c>
      <c r="N907" t="n">
        <v>0</v>
      </c>
      <c r="O907" t="n">
        <v>0</v>
      </c>
      <c r="P907" t="n">
        <v>0</v>
      </c>
      <c r="Q907" t="n">
        <v>0</v>
      </c>
      <c r="R907" s="2" t="inlineStr"/>
    </row>
    <row r="908" ht="15" customHeight="1">
      <c r="A908" t="inlineStr">
        <is>
          <t>A 24887-2023</t>
        </is>
      </c>
      <c r="B908" s="1" t="n">
        <v>45085</v>
      </c>
      <c r="C908" s="1" t="n">
        <v>46010</v>
      </c>
      <c r="D908" t="inlineStr">
        <is>
          <t>STOCKHOLMS LÄN</t>
        </is>
      </c>
      <c r="E908" t="inlineStr">
        <is>
          <t>NORRTÄLJE</t>
        </is>
      </c>
      <c r="G908" t="n">
        <v>13.9</v>
      </c>
      <c r="H908" t="n">
        <v>0</v>
      </c>
      <c r="I908" t="n">
        <v>0</v>
      </c>
      <c r="J908" t="n">
        <v>0</v>
      </c>
      <c r="K908" t="n">
        <v>0</v>
      </c>
      <c r="L908" t="n">
        <v>0</v>
      </c>
      <c r="M908" t="n">
        <v>0</v>
      </c>
      <c r="N908" t="n">
        <v>0</v>
      </c>
      <c r="O908" t="n">
        <v>0</v>
      </c>
      <c r="P908" t="n">
        <v>0</v>
      </c>
      <c r="Q908" t="n">
        <v>0</v>
      </c>
      <c r="R908" s="2" t="inlineStr"/>
    </row>
    <row r="909" ht="15" customHeight="1">
      <c r="A909" t="inlineStr">
        <is>
          <t>A 38612-2022</t>
        </is>
      </c>
      <c r="B909" s="1" t="n">
        <v>44813</v>
      </c>
      <c r="C909" s="1" t="n">
        <v>46010</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4326-2023</t>
        </is>
      </c>
      <c r="B910" s="1" t="n">
        <v>44953.70481481482</v>
      </c>
      <c r="C910" s="1" t="n">
        <v>46010</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54504-2024</t>
        </is>
      </c>
      <c r="B911" s="1" t="n">
        <v>45617.58453703704</v>
      </c>
      <c r="C911" s="1" t="n">
        <v>46010</v>
      </c>
      <c r="D911" t="inlineStr">
        <is>
          <t>STOCKHOLMS LÄN</t>
        </is>
      </c>
      <c r="E911" t="inlineStr">
        <is>
          <t>NORRTÄLJE</t>
        </is>
      </c>
      <c r="G911" t="n">
        <v>3.4</v>
      </c>
      <c r="H911" t="n">
        <v>0</v>
      </c>
      <c r="I911" t="n">
        <v>0</v>
      </c>
      <c r="J911" t="n">
        <v>0</v>
      </c>
      <c r="K911" t="n">
        <v>0</v>
      </c>
      <c r="L911" t="n">
        <v>0</v>
      </c>
      <c r="M911" t="n">
        <v>0</v>
      </c>
      <c r="N911" t="n">
        <v>0</v>
      </c>
      <c r="O911" t="n">
        <v>0</v>
      </c>
      <c r="P911" t="n">
        <v>0</v>
      </c>
      <c r="Q911" t="n">
        <v>0</v>
      </c>
      <c r="R911" s="2" t="inlineStr"/>
    </row>
    <row r="912" ht="15" customHeight="1">
      <c r="A912" t="inlineStr">
        <is>
          <t>A 21745-2023</t>
        </is>
      </c>
      <c r="B912" s="1" t="n">
        <v>45065.55917824074</v>
      </c>
      <c r="C912" s="1" t="n">
        <v>46010</v>
      </c>
      <c r="D912" t="inlineStr">
        <is>
          <t>STOCKHOLMS LÄN</t>
        </is>
      </c>
      <c r="E912" t="inlineStr">
        <is>
          <t>NORRTÄLJE</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21894-2023</t>
        </is>
      </c>
      <c r="B913" s="1" t="n">
        <v>45068.51783564815</v>
      </c>
      <c r="C913" s="1" t="n">
        <v>46010</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13276-2022</t>
        </is>
      </c>
      <c r="B914" s="1" t="n">
        <v>44644</v>
      </c>
      <c r="C914" s="1" t="n">
        <v>46010</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28182-2022</t>
        </is>
      </c>
      <c r="B915" s="1" t="n">
        <v>44746.58530092592</v>
      </c>
      <c r="C915" s="1" t="n">
        <v>46010</v>
      </c>
      <c r="D915" t="inlineStr">
        <is>
          <t>STOCKHOLMS LÄN</t>
        </is>
      </c>
      <c r="E915" t="inlineStr">
        <is>
          <t>NORRTÄLJE</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34461-2023</t>
        </is>
      </c>
      <c r="B916" s="1" t="n">
        <v>45139</v>
      </c>
      <c r="C916" s="1" t="n">
        <v>46010</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51046-2023</t>
        </is>
      </c>
      <c r="B917" s="1" t="n">
        <v>45218</v>
      </c>
      <c r="C917" s="1" t="n">
        <v>46010</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17382-2024</t>
        </is>
      </c>
      <c r="B918" s="1" t="n">
        <v>45414.65855324074</v>
      </c>
      <c r="C918" s="1" t="n">
        <v>46010</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6070-2022</t>
        </is>
      </c>
      <c r="B919" s="1" t="n">
        <v>44599.58428240741</v>
      </c>
      <c r="C919" s="1" t="n">
        <v>46010</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17039-2024</t>
        </is>
      </c>
      <c r="B920" s="1" t="n">
        <v>45412.4104050926</v>
      </c>
      <c r="C920" s="1" t="n">
        <v>46010</v>
      </c>
      <c r="D920" t="inlineStr">
        <is>
          <t>STOCKHOLMS LÄN</t>
        </is>
      </c>
      <c r="E920" t="inlineStr">
        <is>
          <t>NORRTÄLJE</t>
        </is>
      </c>
      <c r="G920" t="n">
        <v>5.9</v>
      </c>
      <c r="H920" t="n">
        <v>0</v>
      </c>
      <c r="I920" t="n">
        <v>0</v>
      </c>
      <c r="J920" t="n">
        <v>0</v>
      </c>
      <c r="K920" t="n">
        <v>0</v>
      </c>
      <c r="L920" t="n">
        <v>0</v>
      </c>
      <c r="M920" t="n">
        <v>0</v>
      </c>
      <c r="N920" t="n">
        <v>0</v>
      </c>
      <c r="O920" t="n">
        <v>0</v>
      </c>
      <c r="P920" t="n">
        <v>0</v>
      </c>
      <c r="Q920" t="n">
        <v>0</v>
      </c>
      <c r="R920" s="2" t="inlineStr"/>
    </row>
    <row r="921" ht="15" customHeight="1">
      <c r="A921" t="inlineStr">
        <is>
          <t>A 48180-2023</t>
        </is>
      </c>
      <c r="B921" s="1" t="n">
        <v>45205</v>
      </c>
      <c r="C921" s="1" t="n">
        <v>46010</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35695-2023</t>
        </is>
      </c>
      <c r="B922" s="1" t="n">
        <v>45147.65407407407</v>
      </c>
      <c r="C922" s="1" t="n">
        <v>46010</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45173-2023</t>
        </is>
      </c>
      <c r="B923" s="1" t="n">
        <v>45191</v>
      </c>
      <c r="C923" s="1" t="n">
        <v>46010</v>
      </c>
      <c r="D923" t="inlineStr">
        <is>
          <t>STOCKHOLMS LÄN</t>
        </is>
      </c>
      <c r="E923" t="inlineStr">
        <is>
          <t>NORRTÄLJE</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24705-2023</t>
        </is>
      </c>
      <c r="B924" s="1" t="n">
        <v>45084.54459490741</v>
      </c>
      <c r="C924" s="1" t="n">
        <v>46010</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21696-2024</t>
        </is>
      </c>
      <c r="B925" s="1" t="n">
        <v>45442.45686342593</v>
      </c>
      <c r="C925" s="1" t="n">
        <v>46010</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67990-2021</t>
        </is>
      </c>
      <c r="B926" s="1" t="n">
        <v>44525</v>
      </c>
      <c r="C926" s="1" t="n">
        <v>46010</v>
      </c>
      <c r="D926" t="inlineStr">
        <is>
          <t>STOCKHOLMS LÄN</t>
        </is>
      </c>
      <c r="E926" t="inlineStr">
        <is>
          <t>NORRTÄLJE</t>
        </is>
      </c>
      <c r="F926" t="inlineStr">
        <is>
          <t>Sveaskog</t>
        </is>
      </c>
      <c r="G926" t="n">
        <v>7.8</v>
      </c>
      <c r="H926" t="n">
        <v>0</v>
      </c>
      <c r="I926" t="n">
        <v>0</v>
      </c>
      <c r="J926" t="n">
        <v>0</v>
      </c>
      <c r="K926" t="n">
        <v>0</v>
      </c>
      <c r="L926" t="n">
        <v>0</v>
      </c>
      <c r="M926" t="n">
        <v>0</v>
      </c>
      <c r="N926" t="n">
        <v>0</v>
      </c>
      <c r="O926" t="n">
        <v>0</v>
      </c>
      <c r="P926" t="n">
        <v>0</v>
      </c>
      <c r="Q926" t="n">
        <v>0</v>
      </c>
      <c r="R926" s="2" t="inlineStr"/>
    </row>
    <row r="927" ht="15" customHeight="1">
      <c r="A927" t="inlineStr">
        <is>
          <t>A 71552-2021</t>
        </is>
      </c>
      <c r="B927" s="1" t="n">
        <v>44540</v>
      </c>
      <c r="C927" s="1" t="n">
        <v>46010</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73992-2021</t>
        </is>
      </c>
      <c r="B928" s="1" t="n">
        <v>44556</v>
      </c>
      <c r="C928" s="1" t="n">
        <v>46010</v>
      </c>
      <c r="D928" t="inlineStr">
        <is>
          <t>STOCKHOLMS LÄN</t>
        </is>
      </c>
      <c r="E928" t="inlineStr">
        <is>
          <t>NORRTÄLJE</t>
        </is>
      </c>
      <c r="G928" t="n">
        <v>12.5</v>
      </c>
      <c r="H928" t="n">
        <v>0</v>
      </c>
      <c r="I928" t="n">
        <v>0</v>
      </c>
      <c r="J928" t="n">
        <v>0</v>
      </c>
      <c r="K928" t="n">
        <v>0</v>
      </c>
      <c r="L928" t="n">
        <v>0</v>
      </c>
      <c r="M928" t="n">
        <v>0</v>
      </c>
      <c r="N928" t="n">
        <v>0</v>
      </c>
      <c r="O928" t="n">
        <v>0</v>
      </c>
      <c r="P928" t="n">
        <v>0</v>
      </c>
      <c r="Q928" t="n">
        <v>0</v>
      </c>
      <c r="R928" s="2" t="inlineStr"/>
    </row>
    <row r="929" ht="15" customHeight="1">
      <c r="A929" t="inlineStr">
        <is>
          <t>A 26113-2024</t>
        </is>
      </c>
      <c r="B929" s="1" t="n">
        <v>45468.45541666666</v>
      </c>
      <c r="C929" s="1" t="n">
        <v>46010</v>
      </c>
      <c r="D929" t="inlineStr">
        <is>
          <t>STOCKHOLMS LÄN</t>
        </is>
      </c>
      <c r="E929" t="inlineStr">
        <is>
          <t>NORRTÄLJE</t>
        </is>
      </c>
      <c r="G929" t="n">
        <v>0.4</v>
      </c>
      <c r="H929" t="n">
        <v>0</v>
      </c>
      <c r="I929" t="n">
        <v>0</v>
      </c>
      <c r="J929" t="n">
        <v>0</v>
      </c>
      <c r="K929" t="n">
        <v>0</v>
      </c>
      <c r="L929" t="n">
        <v>0</v>
      </c>
      <c r="M929" t="n">
        <v>0</v>
      </c>
      <c r="N929" t="n">
        <v>0</v>
      </c>
      <c r="O929" t="n">
        <v>0</v>
      </c>
      <c r="P929" t="n">
        <v>0</v>
      </c>
      <c r="Q929" t="n">
        <v>0</v>
      </c>
      <c r="R929" s="2" t="inlineStr"/>
    </row>
    <row r="930" ht="15" customHeight="1">
      <c r="A930" t="inlineStr">
        <is>
          <t>A 26116-2024</t>
        </is>
      </c>
      <c r="B930" s="1" t="n">
        <v>45468.45747685185</v>
      </c>
      <c r="C930" s="1" t="n">
        <v>46010</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15978-2024</t>
        </is>
      </c>
      <c r="B931" s="1" t="n">
        <v>45405.57927083333</v>
      </c>
      <c r="C931" s="1" t="n">
        <v>46010</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11333-2025</t>
        </is>
      </c>
      <c r="B932" s="1" t="n">
        <v>45726.48377314815</v>
      </c>
      <c r="C932" s="1" t="n">
        <v>46010</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34391-2023</t>
        </is>
      </c>
      <c r="B933" s="1" t="n">
        <v>45139.51457175926</v>
      </c>
      <c r="C933" s="1" t="n">
        <v>46010</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67921-2021</t>
        </is>
      </c>
      <c r="B934" s="1" t="n">
        <v>44525</v>
      </c>
      <c r="C934" s="1" t="n">
        <v>46010</v>
      </c>
      <c r="D934" t="inlineStr">
        <is>
          <t>STOCKHOLMS LÄN</t>
        </is>
      </c>
      <c r="E934" t="inlineStr">
        <is>
          <t>NORRTÄLJE</t>
        </is>
      </c>
      <c r="G934" t="n">
        <v>6.3</v>
      </c>
      <c r="H934" t="n">
        <v>0</v>
      </c>
      <c r="I934" t="n">
        <v>0</v>
      </c>
      <c r="J934" t="n">
        <v>0</v>
      </c>
      <c r="K934" t="n">
        <v>0</v>
      </c>
      <c r="L934" t="n">
        <v>0</v>
      </c>
      <c r="M934" t="n">
        <v>0</v>
      </c>
      <c r="N934" t="n">
        <v>0</v>
      </c>
      <c r="O934" t="n">
        <v>0</v>
      </c>
      <c r="P934" t="n">
        <v>0</v>
      </c>
      <c r="Q934" t="n">
        <v>0</v>
      </c>
      <c r="R934" s="2" t="inlineStr"/>
    </row>
    <row r="935" ht="15" customHeight="1">
      <c r="A935" t="inlineStr">
        <is>
          <t>A 25681-2024</t>
        </is>
      </c>
      <c r="B935" s="1" t="n">
        <v>45463.80486111111</v>
      </c>
      <c r="C935" s="1" t="n">
        <v>46010</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58853-2024</t>
        </is>
      </c>
      <c r="B936" s="1" t="n">
        <v>45636.38974537037</v>
      </c>
      <c r="C936" s="1" t="n">
        <v>46010</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35438-2023</t>
        </is>
      </c>
      <c r="B937" s="1" t="n">
        <v>45146</v>
      </c>
      <c r="C937" s="1" t="n">
        <v>46010</v>
      </c>
      <c r="D937" t="inlineStr">
        <is>
          <t>STOCKHOLMS LÄN</t>
        </is>
      </c>
      <c r="E937" t="inlineStr">
        <is>
          <t>NORRTÄLJE</t>
        </is>
      </c>
      <c r="F937" t="inlineStr">
        <is>
          <t>Kommuner</t>
        </is>
      </c>
      <c r="G937" t="n">
        <v>1.9</v>
      </c>
      <c r="H937" t="n">
        <v>0</v>
      </c>
      <c r="I937" t="n">
        <v>0</v>
      </c>
      <c r="J937" t="n">
        <v>0</v>
      </c>
      <c r="K937" t="n">
        <v>0</v>
      </c>
      <c r="L937" t="n">
        <v>0</v>
      </c>
      <c r="M937" t="n">
        <v>0</v>
      </c>
      <c r="N937" t="n">
        <v>0</v>
      </c>
      <c r="O937" t="n">
        <v>0</v>
      </c>
      <c r="P937" t="n">
        <v>0</v>
      </c>
      <c r="Q937" t="n">
        <v>0</v>
      </c>
      <c r="R937" s="2" t="inlineStr"/>
    </row>
    <row r="938" ht="15" customHeight="1">
      <c r="A938" t="inlineStr">
        <is>
          <t>A 20291-2022</t>
        </is>
      </c>
      <c r="B938" s="1" t="n">
        <v>44698</v>
      </c>
      <c r="C938" s="1" t="n">
        <v>46010</v>
      </c>
      <c r="D938" t="inlineStr">
        <is>
          <t>STOCKHOLMS LÄN</t>
        </is>
      </c>
      <c r="E938" t="inlineStr">
        <is>
          <t>NORRTÄLJE</t>
        </is>
      </c>
      <c r="F938" t="inlineStr">
        <is>
          <t>Naturvårdsverket</t>
        </is>
      </c>
      <c r="G938" t="n">
        <v>2</v>
      </c>
      <c r="H938" t="n">
        <v>0</v>
      </c>
      <c r="I938" t="n">
        <v>0</v>
      </c>
      <c r="J938" t="n">
        <v>0</v>
      </c>
      <c r="K938" t="n">
        <v>0</v>
      </c>
      <c r="L938" t="n">
        <v>0</v>
      </c>
      <c r="M938" t="n">
        <v>0</v>
      </c>
      <c r="N938" t="n">
        <v>0</v>
      </c>
      <c r="O938" t="n">
        <v>0</v>
      </c>
      <c r="P938" t="n">
        <v>0</v>
      </c>
      <c r="Q938" t="n">
        <v>0</v>
      </c>
      <c r="R938" s="2" t="inlineStr"/>
    </row>
    <row r="939" ht="15" customHeight="1">
      <c r="A939" t="inlineStr">
        <is>
          <t>A 26115-2024</t>
        </is>
      </c>
      <c r="B939" s="1" t="n">
        <v>45468.45628472222</v>
      </c>
      <c r="C939" s="1" t="n">
        <v>46010</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28816-2023</t>
        </is>
      </c>
      <c r="B940" s="1" t="n">
        <v>45104</v>
      </c>
      <c r="C940" s="1" t="n">
        <v>46010</v>
      </c>
      <c r="D940" t="inlineStr">
        <is>
          <t>STOCKHOLMS LÄN</t>
        </is>
      </c>
      <c r="E940" t="inlineStr">
        <is>
          <t>NORRTÄLJE</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19118-2022</t>
        </is>
      </c>
      <c r="B941" s="1" t="n">
        <v>44691.5652662037</v>
      </c>
      <c r="C941" s="1" t="n">
        <v>46010</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8739-2024</t>
        </is>
      </c>
      <c r="B942" s="1" t="n">
        <v>45356.47784722222</v>
      </c>
      <c r="C942" s="1" t="n">
        <v>46010</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46010</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32857-2021</t>
        </is>
      </c>
      <c r="B944" s="1" t="n">
        <v>44375</v>
      </c>
      <c r="C944" s="1" t="n">
        <v>46010</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29714-2023</t>
        </is>
      </c>
      <c r="B945" s="1" t="n">
        <v>45107.42538194444</v>
      </c>
      <c r="C945" s="1" t="n">
        <v>46010</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23271-2023</t>
        </is>
      </c>
      <c r="B946" s="1" t="n">
        <v>45075.91362268518</v>
      </c>
      <c r="C946" s="1" t="n">
        <v>46010</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23273-2023</t>
        </is>
      </c>
      <c r="B947" s="1" t="n">
        <v>45075.91971064815</v>
      </c>
      <c r="C947" s="1" t="n">
        <v>46010</v>
      </c>
      <c r="D947" t="inlineStr">
        <is>
          <t>STOCKHOLMS LÄN</t>
        </is>
      </c>
      <c r="E947" t="inlineStr">
        <is>
          <t>NORRTÄLJE</t>
        </is>
      </c>
      <c r="G947" t="n">
        <v>7.5</v>
      </c>
      <c r="H947" t="n">
        <v>0</v>
      </c>
      <c r="I947" t="n">
        <v>0</v>
      </c>
      <c r="J947" t="n">
        <v>0</v>
      </c>
      <c r="K947" t="n">
        <v>0</v>
      </c>
      <c r="L947" t="n">
        <v>0</v>
      </c>
      <c r="M947" t="n">
        <v>0</v>
      </c>
      <c r="N947" t="n">
        <v>0</v>
      </c>
      <c r="O947" t="n">
        <v>0</v>
      </c>
      <c r="P947" t="n">
        <v>0</v>
      </c>
      <c r="Q947" t="n">
        <v>0</v>
      </c>
      <c r="R947" s="2" t="inlineStr"/>
    </row>
    <row r="948" ht="15" customHeight="1">
      <c r="A948" t="inlineStr">
        <is>
          <t>A 7603-2025</t>
        </is>
      </c>
      <c r="B948" s="1" t="n">
        <v>45705.66126157407</v>
      </c>
      <c r="C948" s="1" t="n">
        <v>46010</v>
      </c>
      <c r="D948" t="inlineStr">
        <is>
          <t>STOCKHOLMS LÄN</t>
        </is>
      </c>
      <c r="E948" t="inlineStr">
        <is>
          <t>NORRTÄLJE</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30802-2022</t>
        </is>
      </c>
      <c r="B949" s="1" t="n">
        <v>44764</v>
      </c>
      <c r="C949" s="1" t="n">
        <v>46010</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55369-2023</t>
        </is>
      </c>
      <c r="B950" s="1" t="n">
        <v>45238</v>
      </c>
      <c r="C950" s="1" t="n">
        <v>46010</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61113-2023</t>
        </is>
      </c>
      <c r="B951" s="1" t="n">
        <v>45261</v>
      </c>
      <c r="C951" s="1" t="n">
        <v>46010</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3283-2025</t>
        </is>
      </c>
      <c r="B952" s="1" t="n">
        <v>45679</v>
      </c>
      <c r="C952" s="1" t="n">
        <v>46010</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34295-2024</t>
        </is>
      </c>
      <c r="B953" s="1" t="n">
        <v>45524</v>
      </c>
      <c r="C953" s="1" t="n">
        <v>46010</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58311-2023</t>
        </is>
      </c>
      <c r="B954" s="1" t="n">
        <v>45245</v>
      </c>
      <c r="C954" s="1" t="n">
        <v>46010</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23692-2024</t>
        </is>
      </c>
      <c r="B955" s="1" t="n">
        <v>45454.65774305556</v>
      </c>
      <c r="C955" s="1" t="n">
        <v>46010</v>
      </c>
      <c r="D955" t="inlineStr">
        <is>
          <t>STOCKHOLMS LÄN</t>
        </is>
      </c>
      <c r="E955" t="inlineStr">
        <is>
          <t>NORRTÄLJE</t>
        </is>
      </c>
      <c r="G955" t="n">
        <v>3.7</v>
      </c>
      <c r="H955" t="n">
        <v>0</v>
      </c>
      <c r="I955" t="n">
        <v>0</v>
      </c>
      <c r="J955" t="n">
        <v>0</v>
      </c>
      <c r="K955" t="n">
        <v>0</v>
      </c>
      <c r="L955" t="n">
        <v>0</v>
      </c>
      <c r="M955" t="n">
        <v>0</v>
      </c>
      <c r="N955" t="n">
        <v>0</v>
      </c>
      <c r="O955" t="n">
        <v>0</v>
      </c>
      <c r="P955" t="n">
        <v>0</v>
      </c>
      <c r="Q955" t="n">
        <v>0</v>
      </c>
      <c r="R955" s="2" t="inlineStr"/>
    </row>
    <row r="956" ht="15" customHeight="1">
      <c r="A956" t="inlineStr">
        <is>
          <t>A 20473-2021</t>
        </is>
      </c>
      <c r="B956" s="1" t="n">
        <v>44315</v>
      </c>
      <c r="C956" s="1" t="n">
        <v>46010</v>
      </c>
      <c r="D956" t="inlineStr">
        <is>
          <t>STOCKHOLMS LÄN</t>
        </is>
      </c>
      <c r="E956" t="inlineStr">
        <is>
          <t>NORRTÄLJE</t>
        </is>
      </c>
      <c r="F956" t="inlineStr">
        <is>
          <t>Övriga Aktiebolag</t>
        </is>
      </c>
      <c r="G956" t="n">
        <v>3.6</v>
      </c>
      <c r="H956" t="n">
        <v>0</v>
      </c>
      <c r="I956" t="n">
        <v>0</v>
      </c>
      <c r="J956" t="n">
        <v>0</v>
      </c>
      <c r="K956" t="n">
        <v>0</v>
      </c>
      <c r="L956" t="n">
        <v>0</v>
      </c>
      <c r="M956" t="n">
        <v>0</v>
      </c>
      <c r="N956" t="n">
        <v>0</v>
      </c>
      <c r="O956" t="n">
        <v>0</v>
      </c>
      <c r="P956" t="n">
        <v>0</v>
      </c>
      <c r="Q956" t="n">
        <v>0</v>
      </c>
      <c r="R956" s="2" t="inlineStr"/>
    </row>
    <row r="957" ht="15" customHeight="1">
      <c r="A957" t="inlineStr">
        <is>
          <t>A 54273-2021</t>
        </is>
      </c>
      <c r="B957" s="1" t="n">
        <v>44470.72987268519</v>
      </c>
      <c r="C957" s="1" t="n">
        <v>46010</v>
      </c>
      <c r="D957" t="inlineStr">
        <is>
          <t>STOCKHOLMS LÄN</t>
        </is>
      </c>
      <c r="E957" t="inlineStr">
        <is>
          <t>NORRTÄLJE</t>
        </is>
      </c>
      <c r="G957" t="n">
        <v>2.7</v>
      </c>
      <c r="H957" t="n">
        <v>0</v>
      </c>
      <c r="I957" t="n">
        <v>0</v>
      </c>
      <c r="J957" t="n">
        <v>0</v>
      </c>
      <c r="K957" t="n">
        <v>0</v>
      </c>
      <c r="L957" t="n">
        <v>0</v>
      </c>
      <c r="M957" t="n">
        <v>0</v>
      </c>
      <c r="N957" t="n">
        <v>0</v>
      </c>
      <c r="O957" t="n">
        <v>0</v>
      </c>
      <c r="P957" t="n">
        <v>0</v>
      </c>
      <c r="Q957" t="n">
        <v>0</v>
      </c>
      <c r="R957" s="2" t="inlineStr"/>
    </row>
    <row r="958" ht="15" customHeight="1">
      <c r="A958" t="inlineStr">
        <is>
          <t>A 7806-2025</t>
        </is>
      </c>
      <c r="B958" s="1" t="n">
        <v>45706.61178240741</v>
      </c>
      <c r="C958" s="1" t="n">
        <v>46010</v>
      </c>
      <c r="D958" t="inlineStr">
        <is>
          <t>STOCKHOLMS LÄN</t>
        </is>
      </c>
      <c r="E958" t="inlineStr">
        <is>
          <t>NORRTÄLJE</t>
        </is>
      </c>
      <c r="F958" t="inlineStr">
        <is>
          <t>Holmen skog AB</t>
        </is>
      </c>
      <c r="G958" t="n">
        <v>3.5</v>
      </c>
      <c r="H958" t="n">
        <v>0</v>
      </c>
      <c r="I958" t="n">
        <v>0</v>
      </c>
      <c r="J958" t="n">
        <v>0</v>
      </c>
      <c r="K958" t="n">
        <v>0</v>
      </c>
      <c r="L958" t="n">
        <v>0</v>
      </c>
      <c r="M958" t="n">
        <v>0</v>
      </c>
      <c r="N958" t="n">
        <v>0</v>
      </c>
      <c r="O958" t="n">
        <v>0</v>
      </c>
      <c r="P958" t="n">
        <v>0</v>
      </c>
      <c r="Q958" t="n">
        <v>0</v>
      </c>
      <c r="R958" s="2" t="inlineStr"/>
    </row>
    <row r="959" ht="15" customHeight="1">
      <c r="A959" t="inlineStr">
        <is>
          <t>A 53792-2023</t>
        </is>
      </c>
      <c r="B959" s="1" t="n">
        <v>45231.34144675926</v>
      </c>
      <c r="C959" s="1" t="n">
        <v>46010</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21329-2022</t>
        </is>
      </c>
      <c r="B960" s="1" t="n">
        <v>44705.60626157407</v>
      </c>
      <c r="C960" s="1" t="n">
        <v>46010</v>
      </c>
      <c r="D960" t="inlineStr">
        <is>
          <t>STOCKHOLMS LÄN</t>
        </is>
      </c>
      <c r="E960" t="inlineStr">
        <is>
          <t>NORRTÄLJE</t>
        </is>
      </c>
      <c r="G960" t="n">
        <v>4.1</v>
      </c>
      <c r="H960" t="n">
        <v>0</v>
      </c>
      <c r="I960" t="n">
        <v>0</v>
      </c>
      <c r="J960" t="n">
        <v>0</v>
      </c>
      <c r="K960" t="n">
        <v>0</v>
      </c>
      <c r="L960" t="n">
        <v>0</v>
      </c>
      <c r="M960" t="n">
        <v>0</v>
      </c>
      <c r="N960" t="n">
        <v>0</v>
      </c>
      <c r="O960" t="n">
        <v>0</v>
      </c>
      <c r="P960" t="n">
        <v>0</v>
      </c>
      <c r="Q960" t="n">
        <v>0</v>
      </c>
      <c r="R960" s="2" t="inlineStr"/>
    </row>
    <row r="961" ht="15" customHeight="1">
      <c r="A961" t="inlineStr">
        <is>
          <t>A 50569-2022</t>
        </is>
      </c>
      <c r="B961" s="1" t="n">
        <v>44866.63775462963</v>
      </c>
      <c r="C961" s="1" t="n">
        <v>46010</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24501-2023</t>
        </is>
      </c>
      <c r="B962" s="1" t="n">
        <v>45082</v>
      </c>
      <c r="C962" s="1" t="n">
        <v>46010</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24520-2023</t>
        </is>
      </c>
      <c r="B963" s="1" t="n">
        <v>45082.68922453704</v>
      </c>
      <c r="C963" s="1" t="n">
        <v>46010</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60654-2023</t>
        </is>
      </c>
      <c r="B964" s="1" t="n">
        <v>45260.43225694444</v>
      </c>
      <c r="C964" s="1" t="n">
        <v>46010</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60656-2023</t>
        </is>
      </c>
      <c r="B965" s="1" t="n">
        <v>45260.4333449074</v>
      </c>
      <c r="C965" s="1" t="n">
        <v>46010</v>
      </c>
      <c r="D965" t="inlineStr">
        <is>
          <t>STOCKHOLMS LÄN</t>
        </is>
      </c>
      <c r="E965" t="inlineStr">
        <is>
          <t>NORRTÄLJE</t>
        </is>
      </c>
      <c r="G965" t="n">
        <v>4.8</v>
      </c>
      <c r="H965" t="n">
        <v>0</v>
      </c>
      <c r="I965" t="n">
        <v>0</v>
      </c>
      <c r="J965" t="n">
        <v>0</v>
      </c>
      <c r="K965" t="n">
        <v>0</v>
      </c>
      <c r="L965" t="n">
        <v>0</v>
      </c>
      <c r="M965" t="n">
        <v>0</v>
      </c>
      <c r="N965" t="n">
        <v>0</v>
      </c>
      <c r="O965" t="n">
        <v>0</v>
      </c>
      <c r="P965" t="n">
        <v>0</v>
      </c>
      <c r="Q965" t="n">
        <v>0</v>
      </c>
      <c r="R965" s="2" t="inlineStr"/>
    </row>
    <row r="966" ht="15" customHeight="1">
      <c r="A966" t="inlineStr">
        <is>
          <t>A 54496-2024</t>
        </is>
      </c>
      <c r="B966" s="1" t="n">
        <v>45617.57439814815</v>
      </c>
      <c r="C966" s="1" t="n">
        <v>46010</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21386-2023</t>
        </is>
      </c>
      <c r="B967" s="1" t="n">
        <v>45063.35880787037</v>
      </c>
      <c r="C967" s="1" t="n">
        <v>46010</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10642-2025</t>
        </is>
      </c>
      <c r="B968" s="1" t="n">
        <v>45721.65858796296</v>
      </c>
      <c r="C968" s="1" t="n">
        <v>46010</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20144-2023</t>
        </is>
      </c>
      <c r="B969" s="1" t="n">
        <v>45055.43509259259</v>
      </c>
      <c r="C969" s="1" t="n">
        <v>46010</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53312-2024</t>
        </is>
      </c>
      <c r="B970" s="1" t="n">
        <v>45614.39627314815</v>
      </c>
      <c r="C970" s="1" t="n">
        <v>46010</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39202-2024</t>
        </is>
      </c>
      <c r="B971" s="1" t="n">
        <v>45548.72306712963</v>
      </c>
      <c r="C971" s="1" t="n">
        <v>46010</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22756-2022</t>
        </is>
      </c>
      <c r="B972" s="1" t="n">
        <v>44714.92253472222</v>
      </c>
      <c r="C972" s="1" t="n">
        <v>46010</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4581-2025</t>
        </is>
      </c>
      <c r="B973" s="1" t="n">
        <v>45687</v>
      </c>
      <c r="C973" s="1" t="n">
        <v>46010</v>
      </c>
      <c r="D973" t="inlineStr">
        <is>
          <t>STOCKHOLMS LÄN</t>
        </is>
      </c>
      <c r="E973" t="inlineStr">
        <is>
          <t>NORRTÄLJE</t>
        </is>
      </c>
      <c r="F973" t="inlineStr">
        <is>
          <t>Holmen skog AB</t>
        </is>
      </c>
      <c r="G973" t="n">
        <v>2.8</v>
      </c>
      <c r="H973" t="n">
        <v>0</v>
      </c>
      <c r="I973" t="n">
        <v>0</v>
      </c>
      <c r="J973" t="n">
        <v>0</v>
      </c>
      <c r="K973" t="n">
        <v>0</v>
      </c>
      <c r="L973" t="n">
        <v>0</v>
      </c>
      <c r="M973" t="n">
        <v>0</v>
      </c>
      <c r="N973" t="n">
        <v>0</v>
      </c>
      <c r="O973" t="n">
        <v>0</v>
      </c>
      <c r="P973" t="n">
        <v>0</v>
      </c>
      <c r="Q973" t="n">
        <v>0</v>
      </c>
      <c r="R973" s="2" t="inlineStr"/>
    </row>
    <row r="974" ht="15" customHeight="1">
      <c r="A974" t="inlineStr">
        <is>
          <t>A 60765-2023</t>
        </is>
      </c>
      <c r="B974" s="1" t="n">
        <v>45260</v>
      </c>
      <c r="C974" s="1" t="n">
        <v>46010</v>
      </c>
      <c r="D974" t="inlineStr">
        <is>
          <t>STOCKHOLMS LÄN</t>
        </is>
      </c>
      <c r="E974" t="inlineStr">
        <is>
          <t>NORRTÄLJE</t>
        </is>
      </c>
      <c r="G974" t="n">
        <v>3.7</v>
      </c>
      <c r="H974" t="n">
        <v>0</v>
      </c>
      <c r="I974" t="n">
        <v>0</v>
      </c>
      <c r="J974" t="n">
        <v>0</v>
      </c>
      <c r="K974" t="n">
        <v>0</v>
      </c>
      <c r="L974" t="n">
        <v>0</v>
      </c>
      <c r="M974" t="n">
        <v>0</v>
      </c>
      <c r="N974" t="n">
        <v>0</v>
      </c>
      <c r="O974" t="n">
        <v>0</v>
      </c>
      <c r="P974" t="n">
        <v>0</v>
      </c>
      <c r="Q974" t="n">
        <v>0</v>
      </c>
      <c r="R974" s="2" t="inlineStr"/>
    </row>
    <row r="975" ht="15" customHeight="1">
      <c r="A975" t="inlineStr">
        <is>
          <t>A 23801-2022</t>
        </is>
      </c>
      <c r="B975" s="1" t="n">
        <v>44722</v>
      </c>
      <c r="C975" s="1" t="n">
        <v>46010</v>
      </c>
      <c r="D975" t="inlineStr">
        <is>
          <t>STOCKHOLMS LÄN</t>
        </is>
      </c>
      <c r="E975" t="inlineStr">
        <is>
          <t>NORRTÄLJE</t>
        </is>
      </c>
      <c r="G975" t="n">
        <v>6.8</v>
      </c>
      <c r="H975" t="n">
        <v>0</v>
      </c>
      <c r="I975" t="n">
        <v>0</v>
      </c>
      <c r="J975" t="n">
        <v>0</v>
      </c>
      <c r="K975" t="n">
        <v>0</v>
      </c>
      <c r="L975" t="n">
        <v>0</v>
      </c>
      <c r="M975" t="n">
        <v>0</v>
      </c>
      <c r="N975" t="n">
        <v>0</v>
      </c>
      <c r="O975" t="n">
        <v>0</v>
      </c>
      <c r="P975" t="n">
        <v>0</v>
      </c>
      <c r="Q975" t="n">
        <v>0</v>
      </c>
      <c r="R975" s="2" t="inlineStr"/>
    </row>
    <row r="976" ht="15" customHeight="1">
      <c r="A976" t="inlineStr">
        <is>
          <t>A 59276-2023</t>
        </is>
      </c>
      <c r="B976" s="1" t="n">
        <v>45253.55641203704</v>
      </c>
      <c r="C976" s="1" t="n">
        <v>46010</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46010</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18541-2023</t>
        </is>
      </c>
      <c r="B978" s="1" t="n">
        <v>45042.74291666667</v>
      </c>
      <c r="C978" s="1" t="n">
        <v>46010</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3509-2022</t>
        </is>
      </c>
      <c r="B979" s="1" t="n">
        <v>44585</v>
      </c>
      <c r="C979" s="1" t="n">
        <v>46010</v>
      </c>
      <c r="D979" t="inlineStr">
        <is>
          <t>STOCKHOLMS LÄN</t>
        </is>
      </c>
      <c r="E979" t="inlineStr">
        <is>
          <t>NORRTÄLJE</t>
        </is>
      </c>
      <c r="F979" t="inlineStr">
        <is>
          <t>Kommuner</t>
        </is>
      </c>
      <c r="G979" t="n">
        <v>0.8</v>
      </c>
      <c r="H979" t="n">
        <v>0</v>
      </c>
      <c r="I979" t="n">
        <v>0</v>
      </c>
      <c r="J979" t="n">
        <v>0</v>
      </c>
      <c r="K979" t="n">
        <v>0</v>
      </c>
      <c r="L979" t="n">
        <v>0</v>
      </c>
      <c r="M979" t="n">
        <v>0</v>
      </c>
      <c r="N979" t="n">
        <v>0</v>
      </c>
      <c r="O979" t="n">
        <v>0</v>
      </c>
      <c r="P979" t="n">
        <v>0</v>
      </c>
      <c r="Q979" t="n">
        <v>0</v>
      </c>
      <c r="R979" s="2" t="inlineStr"/>
    </row>
    <row r="980" ht="15" customHeight="1">
      <c r="A980" t="inlineStr">
        <is>
          <t>A 26407-2024</t>
        </is>
      </c>
      <c r="B980" s="1" t="n">
        <v>45469</v>
      </c>
      <c r="C980" s="1" t="n">
        <v>46010</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12890-2024</t>
        </is>
      </c>
      <c r="B981" s="1" t="n">
        <v>45385.36243055556</v>
      </c>
      <c r="C981" s="1" t="n">
        <v>46010</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47419-2023</t>
        </is>
      </c>
      <c r="B982" s="1" t="n">
        <v>45202.65660879629</v>
      </c>
      <c r="C982" s="1" t="n">
        <v>46010</v>
      </c>
      <c r="D982" t="inlineStr">
        <is>
          <t>STOCKHOLMS LÄN</t>
        </is>
      </c>
      <c r="E982" t="inlineStr">
        <is>
          <t>NORRTÄLJE</t>
        </is>
      </c>
      <c r="G982" t="n">
        <v>11.4</v>
      </c>
      <c r="H982" t="n">
        <v>0</v>
      </c>
      <c r="I982" t="n">
        <v>0</v>
      </c>
      <c r="J982" t="n">
        <v>0</v>
      </c>
      <c r="K982" t="n">
        <v>0</v>
      </c>
      <c r="L982" t="n">
        <v>0</v>
      </c>
      <c r="M982" t="n">
        <v>0</v>
      </c>
      <c r="N982" t="n">
        <v>0</v>
      </c>
      <c r="O982" t="n">
        <v>0</v>
      </c>
      <c r="P982" t="n">
        <v>0</v>
      </c>
      <c r="Q982" t="n">
        <v>0</v>
      </c>
      <c r="R982" s="2" t="inlineStr"/>
    </row>
    <row r="983" ht="15" customHeight="1">
      <c r="A983" t="inlineStr">
        <is>
          <t>A 23070-2023</t>
        </is>
      </c>
      <c r="B983" s="1" t="n">
        <v>45075</v>
      </c>
      <c r="C983" s="1" t="n">
        <v>46010</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27824-2022</t>
        </is>
      </c>
      <c r="B984" s="1" t="n">
        <v>44743.59331018518</v>
      </c>
      <c r="C984" s="1" t="n">
        <v>46010</v>
      </c>
      <c r="D984" t="inlineStr">
        <is>
          <t>STOCKHOLMS LÄN</t>
        </is>
      </c>
      <c r="E984" t="inlineStr">
        <is>
          <t>NORRTÄLJE</t>
        </is>
      </c>
      <c r="F984" t="inlineStr">
        <is>
          <t>Kommuner</t>
        </is>
      </c>
      <c r="G984" t="n">
        <v>3.1</v>
      </c>
      <c r="H984" t="n">
        <v>0</v>
      </c>
      <c r="I984" t="n">
        <v>0</v>
      </c>
      <c r="J984" t="n">
        <v>0</v>
      </c>
      <c r="K984" t="n">
        <v>0</v>
      </c>
      <c r="L984" t="n">
        <v>0</v>
      </c>
      <c r="M984" t="n">
        <v>0</v>
      </c>
      <c r="N984" t="n">
        <v>0</v>
      </c>
      <c r="O984" t="n">
        <v>0</v>
      </c>
      <c r="P984" t="n">
        <v>0</v>
      </c>
      <c r="Q984" t="n">
        <v>0</v>
      </c>
      <c r="R984" s="2" t="inlineStr"/>
    </row>
    <row r="985" ht="15" customHeight="1">
      <c r="A985" t="inlineStr">
        <is>
          <t>A 25619-2022</t>
        </is>
      </c>
      <c r="B985" s="1" t="n">
        <v>44732</v>
      </c>
      <c r="C985" s="1" t="n">
        <v>46010</v>
      </c>
      <c r="D985" t="inlineStr">
        <is>
          <t>STOCKHOLMS LÄN</t>
        </is>
      </c>
      <c r="E985" t="inlineStr">
        <is>
          <t>NORRTÄLJE</t>
        </is>
      </c>
      <c r="G985" t="n">
        <v>3.9</v>
      </c>
      <c r="H985" t="n">
        <v>0</v>
      </c>
      <c r="I985" t="n">
        <v>0</v>
      </c>
      <c r="J985" t="n">
        <v>0</v>
      </c>
      <c r="K985" t="n">
        <v>0</v>
      </c>
      <c r="L985" t="n">
        <v>0</v>
      </c>
      <c r="M985" t="n">
        <v>0</v>
      </c>
      <c r="N985" t="n">
        <v>0</v>
      </c>
      <c r="O985" t="n">
        <v>0</v>
      </c>
      <c r="P985" t="n">
        <v>0</v>
      </c>
      <c r="Q985" t="n">
        <v>0</v>
      </c>
      <c r="R985" s="2" t="inlineStr"/>
    </row>
    <row r="986" ht="15" customHeight="1">
      <c r="A986" t="inlineStr">
        <is>
          <t>A 36246-2021</t>
        </is>
      </c>
      <c r="B986" s="1" t="n">
        <v>44390</v>
      </c>
      <c r="C986" s="1" t="n">
        <v>46010</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19952-2023</t>
        </is>
      </c>
      <c r="B987" s="1" t="n">
        <v>45054.54091435186</v>
      </c>
      <c r="C987" s="1" t="n">
        <v>46010</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19994-2023</t>
        </is>
      </c>
      <c r="B988" s="1" t="n">
        <v>45054</v>
      </c>
      <c r="C988" s="1" t="n">
        <v>46010</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14130-2025</t>
        </is>
      </c>
      <c r="B989" s="1" t="n">
        <v>45740.47288194444</v>
      </c>
      <c r="C989" s="1" t="n">
        <v>46010</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574-2023</t>
        </is>
      </c>
      <c r="B990" s="1" t="n">
        <v>44925</v>
      </c>
      <c r="C990" s="1" t="n">
        <v>46010</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30283-2022</t>
        </is>
      </c>
      <c r="B991" s="1" t="n">
        <v>44760</v>
      </c>
      <c r="C991" s="1" t="n">
        <v>46010</v>
      </c>
      <c r="D991" t="inlineStr">
        <is>
          <t>STOCKHOLMS LÄN</t>
        </is>
      </c>
      <c r="E991" t="inlineStr">
        <is>
          <t>NORRTÄLJE</t>
        </is>
      </c>
      <c r="G991" t="n">
        <v>6.2</v>
      </c>
      <c r="H991" t="n">
        <v>0</v>
      </c>
      <c r="I991" t="n">
        <v>0</v>
      </c>
      <c r="J991" t="n">
        <v>0</v>
      </c>
      <c r="K991" t="n">
        <v>0</v>
      </c>
      <c r="L991" t="n">
        <v>0</v>
      </c>
      <c r="M991" t="n">
        <v>0</v>
      </c>
      <c r="N991" t="n">
        <v>0</v>
      </c>
      <c r="O991" t="n">
        <v>0</v>
      </c>
      <c r="P991" t="n">
        <v>0</v>
      </c>
      <c r="Q991" t="n">
        <v>0</v>
      </c>
      <c r="R991" s="2" t="inlineStr"/>
    </row>
    <row r="992" ht="15" customHeight="1">
      <c r="A992" t="inlineStr">
        <is>
          <t>A 30290-2022</t>
        </is>
      </c>
      <c r="B992" s="1" t="n">
        <v>44760</v>
      </c>
      <c r="C992" s="1" t="n">
        <v>46010</v>
      </c>
      <c r="D992" t="inlineStr">
        <is>
          <t>STOCKHOLMS LÄN</t>
        </is>
      </c>
      <c r="E992" t="inlineStr">
        <is>
          <t>NORRTÄLJE</t>
        </is>
      </c>
      <c r="G992" t="n">
        <v>4.8</v>
      </c>
      <c r="H992" t="n">
        <v>0</v>
      </c>
      <c r="I992" t="n">
        <v>0</v>
      </c>
      <c r="J992" t="n">
        <v>0</v>
      </c>
      <c r="K992" t="n">
        <v>0</v>
      </c>
      <c r="L992" t="n">
        <v>0</v>
      </c>
      <c r="M992" t="n">
        <v>0</v>
      </c>
      <c r="N992" t="n">
        <v>0</v>
      </c>
      <c r="O992" t="n">
        <v>0</v>
      </c>
      <c r="P992" t="n">
        <v>0</v>
      </c>
      <c r="Q992" t="n">
        <v>0</v>
      </c>
      <c r="R992" s="2" t="inlineStr"/>
    </row>
    <row r="993" ht="15" customHeight="1">
      <c r="A993" t="inlineStr">
        <is>
          <t>A 3143-2021</t>
        </is>
      </c>
      <c r="B993" s="1" t="n">
        <v>44217.40149305556</v>
      </c>
      <c r="C993" s="1" t="n">
        <v>46010</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29684-2021</t>
        </is>
      </c>
      <c r="B994" s="1" t="n">
        <v>44362.37172453704</v>
      </c>
      <c r="C994" s="1" t="n">
        <v>46010</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60884-2024</t>
        </is>
      </c>
      <c r="B995" s="1" t="n">
        <v>45644.90815972222</v>
      </c>
      <c r="C995" s="1" t="n">
        <v>46010</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38610-2022</t>
        </is>
      </c>
      <c r="B996" s="1" t="n">
        <v>44813.59915509259</v>
      </c>
      <c r="C996" s="1" t="n">
        <v>46010</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10090-2022</t>
        </is>
      </c>
      <c r="B997" s="1" t="n">
        <v>44621</v>
      </c>
      <c r="C997" s="1" t="n">
        <v>46010</v>
      </c>
      <c r="D997" t="inlineStr">
        <is>
          <t>STOCKHOLMS LÄN</t>
        </is>
      </c>
      <c r="E997" t="inlineStr">
        <is>
          <t>NORRTÄLJE</t>
        </is>
      </c>
      <c r="G997" t="n">
        <v>5.2</v>
      </c>
      <c r="H997" t="n">
        <v>0</v>
      </c>
      <c r="I997" t="n">
        <v>0</v>
      </c>
      <c r="J997" t="n">
        <v>0</v>
      </c>
      <c r="K997" t="n">
        <v>0</v>
      </c>
      <c r="L997" t="n">
        <v>0</v>
      </c>
      <c r="M997" t="n">
        <v>0</v>
      </c>
      <c r="N997" t="n">
        <v>0</v>
      </c>
      <c r="O997" t="n">
        <v>0</v>
      </c>
      <c r="P997" t="n">
        <v>0</v>
      </c>
      <c r="Q997" t="n">
        <v>0</v>
      </c>
      <c r="R997" s="2" t="inlineStr"/>
    </row>
    <row r="998" ht="15" customHeight="1">
      <c r="A998" t="inlineStr">
        <is>
          <t>A 14724-2022</t>
        </is>
      </c>
      <c r="B998" s="1" t="n">
        <v>44656</v>
      </c>
      <c r="C998" s="1" t="n">
        <v>46010</v>
      </c>
      <c r="D998" t="inlineStr">
        <is>
          <t>STOCKHOLMS LÄN</t>
        </is>
      </c>
      <c r="E998" t="inlineStr">
        <is>
          <t>NORRTÄLJE</t>
        </is>
      </c>
      <c r="F998" t="inlineStr">
        <is>
          <t>Sveaskog</t>
        </is>
      </c>
      <c r="G998" t="n">
        <v>9</v>
      </c>
      <c r="H998" t="n">
        <v>0</v>
      </c>
      <c r="I998" t="n">
        <v>0</v>
      </c>
      <c r="J998" t="n">
        <v>0</v>
      </c>
      <c r="K998" t="n">
        <v>0</v>
      </c>
      <c r="L998" t="n">
        <v>0</v>
      </c>
      <c r="M998" t="n">
        <v>0</v>
      </c>
      <c r="N998" t="n">
        <v>0</v>
      </c>
      <c r="O998" t="n">
        <v>0</v>
      </c>
      <c r="P998" t="n">
        <v>0</v>
      </c>
      <c r="Q998" t="n">
        <v>0</v>
      </c>
      <c r="R998" s="2" t="inlineStr"/>
    </row>
    <row r="999" ht="15" customHeight="1">
      <c r="A999" t="inlineStr">
        <is>
          <t>A 18846-2022</t>
        </is>
      </c>
      <c r="B999" s="1" t="n">
        <v>44690</v>
      </c>
      <c r="C999" s="1" t="n">
        <v>46010</v>
      </c>
      <c r="D999" t="inlineStr">
        <is>
          <t>STOCKHOLMS LÄN</t>
        </is>
      </c>
      <c r="E999" t="inlineStr">
        <is>
          <t>NORRTÄLJE</t>
        </is>
      </c>
      <c r="G999" t="n">
        <v>7</v>
      </c>
      <c r="H999" t="n">
        <v>0</v>
      </c>
      <c r="I999" t="n">
        <v>0</v>
      </c>
      <c r="J999" t="n">
        <v>0</v>
      </c>
      <c r="K999" t="n">
        <v>0</v>
      </c>
      <c r="L999" t="n">
        <v>0</v>
      </c>
      <c r="M999" t="n">
        <v>0</v>
      </c>
      <c r="N999" t="n">
        <v>0</v>
      </c>
      <c r="O999" t="n">
        <v>0</v>
      </c>
      <c r="P999" t="n">
        <v>0</v>
      </c>
      <c r="Q999" t="n">
        <v>0</v>
      </c>
      <c r="R999" s="2" t="inlineStr"/>
    </row>
    <row r="1000" ht="15" customHeight="1">
      <c r="A1000" t="inlineStr">
        <is>
          <t>A 43300-2023</t>
        </is>
      </c>
      <c r="B1000" s="1" t="n">
        <v>45183</v>
      </c>
      <c r="C1000" s="1" t="n">
        <v>46010</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25654-2023</t>
        </is>
      </c>
      <c r="B1001" s="1" t="n">
        <v>45089</v>
      </c>
      <c r="C1001" s="1" t="n">
        <v>46010</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23125-2022</t>
        </is>
      </c>
      <c r="B1002" s="1" t="n">
        <v>44719</v>
      </c>
      <c r="C1002" s="1" t="n">
        <v>46010</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20121-2022</t>
        </is>
      </c>
      <c r="B1003" s="1" t="n">
        <v>44698</v>
      </c>
      <c r="C1003" s="1" t="n">
        <v>46010</v>
      </c>
      <c r="D1003" t="inlineStr">
        <is>
          <t>STOCKHOLMS LÄN</t>
        </is>
      </c>
      <c r="E1003" t="inlineStr">
        <is>
          <t>NORRTÄLJE</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33385-2024</t>
        </is>
      </c>
      <c r="B1004" s="1" t="n">
        <v>45519</v>
      </c>
      <c r="C1004" s="1" t="n">
        <v>46010</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41172-2023</t>
        </is>
      </c>
      <c r="B1005" s="1" t="n">
        <v>45170</v>
      </c>
      <c r="C1005" s="1" t="n">
        <v>46010</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73307-2021</t>
        </is>
      </c>
      <c r="B1006" s="1" t="n">
        <v>44549</v>
      </c>
      <c r="C1006" s="1" t="n">
        <v>46010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50534-2024</t>
        </is>
      </c>
      <c r="B1007" s="1" t="n">
        <v>45601.56726851852</v>
      </c>
      <c r="C1007" s="1" t="n">
        <v>46010</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11988-2021</t>
        </is>
      </c>
      <c r="B1008" s="1" t="n">
        <v>44266</v>
      </c>
      <c r="C1008" s="1" t="n">
        <v>46010</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12132-2021</t>
        </is>
      </c>
      <c r="B1009" s="1" t="n">
        <v>44266</v>
      </c>
      <c r="C1009" s="1" t="n">
        <v>46010</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65499-2021</t>
        </is>
      </c>
      <c r="B1010" s="1" t="n">
        <v>44516</v>
      </c>
      <c r="C1010" s="1" t="n">
        <v>46010</v>
      </c>
      <c r="D1010" t="inlineStr">
        <is>
          <t>STOCKHOLMS LÄN</t>
        </is>
      </c>
      <c r="E1010" t="inlineStr">
        <is>
          <t>NORRTÄLJE</t>
        </is>
      </c>
      <c r="F1010" t="inlineStr">
        <is>
          <t>Kommuner</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65511-2021</t>
        </is>
      </c>
      <c r="B1011" s="1" t="n">
        <v>44516.40674768519</v>
      </c>
      <c r="C1011" s="1" t="n">
        <v>46010</v>
      </c>
      <c r="D1011" t="inlineStr">
        <is>
          <t>STOCKHOLMS LÄN</t>
        </is>
      </c>
      <c r="E1011" t="inlineStr">
        <is>
          <t>NORRTÄLJE</t>
        </is>
      </c>
      <c r="F1011" t="inlineStr">
        <is>
          <t>Kommuner</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22833-2024</t>
        </is>
      </c>
      <c r="B1012" s="1" t="n">
        <v>45448.56746527777</v>
      </c>
      <c r="C1012" s="1" t="n">
        <v>46010</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32514-2022</t>
        </is>
      </c>
      <c r="B1013" s="1" t="n">
        <v>44782</v>
      </c>
      <c r="C1013" s="1" t="n">
        <v>46010</v>
      </c>
      <c r="D1013" t="inlineStr">
        <is>
          <t>STOCKHOLMS LÄN</t>
        </is>
      </c>
      <c r="E1013" t="inlineStr">
        <is>
          <t>NORRTÄLJE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29362-2022</t>
        </is>
      </c>
      <c r="B1014" s="1" t="n">
        <v>44753</v>
      </c>
      <c r="C1014" s="1" t="n">
        <v>46010</v>
      </c>
      <c r="D1014" t="inlineStr">
        <is>
          <t>STOCKHOLMS LÄN</t>
        </is>
      </c>
      <c r="E1014" t="inlineStr">
        <is>
          <t>NORRTÄLJE</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58492-2022</t>
        </is>
      </c>
      <c r="B1015" s="1" t="n">
        <v>44902</v>
      </c>
      <c r="C1015" s="1" t="n">
        <v>46010</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51315-2021</t>
        </is>
      </c>
      <c r="B1016" s="1" t="n">
        <v>44461</v>
      </c>
      <c r="C1016" s="1" t="n">
        <v>46010</v>
      </c>
      <c r="D1016" t="inlineStr">
        <is>
          <t>STOCKHOLMS LÄN</t>
        </is>
      </c>
      <c r="E1016" t="inlineStr">
        <is>
          <t>NORRTÄLJE</t>
        </is>
      </c>
      <c r="F1016" t="inlineStr">
        <is>
          <t>Holmen skog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14873-2025</t>
        </is>
      </c>
      <c r="B1017" s="1" t="n">
        <v>45743.44953703704</v>
      </c>
      <c r="C1017" s="1" t="n">
        <v>46010</v>
      </c>
      <c r="D1017" t="inlineStr">
        <is>
          <t>STOCKHOLMS LÄN</t>
        </is>
      </c>
      <c r="E1017" t="inlineStr">
        <is>
          <t>NORRTÄLJE</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34773-2022</t>
        </is>
      </c>
      <c r="B1018" s="1" t="n">
        <v>44795</v>
      </c>
      <c r="C1018" s="1" t="n">
        <v>46010</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33173-2024</t>
        </is>
      </c>
      <c r="B1019" s="1" t="n">
        <v>45518</v>
      </c>
      <c r="C1019" s="1" t="n">
        <v>46010</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4484-2025</t>
        </is>
      </c>
      <c r="B1020" s="1" t="n">
        <v>45686.65545138889</v>
      </c>
      <c r="C1020" s="1" t="n">
        <v>46010</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33878-2024</t>
        </is>
      </c>
      <c r="B1021" s="1" t="n">
        <v>45522.44414351852</v>
      </c>
      <c r="C1021" s="1" t="n">
        <v>46010</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9246-2024</t>
        </is>
      </c>
      <c r="B1022" s="1" t="n">
        <v>45357</v>
      </c>
      <c r="C1022" s="1" t="n">
        <v>46010</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35698-2023</t>
        </is>
      </c>
      <c r="B1023" s="1" t="n">
        <v>45147</v>
      </c>
      <c r="C1023" s="1" t="n">
        <v>46010</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62398-2022</t>
        </is>
      </c>
      <c r="B1024" s="1" t="n">
        <v>44923.90159722222</v>
      </c>
      <c r="C1024" s="1" t="n">
        <v>46010</v>
      </c>
      <c r="D1024" t="inlineStr">
        <is>
          <t>STOCKHOLMS LÄN</t>
        </is>
      </c>
      <c r="E1024" t="inlineStr">
        <is>
          <t>NORRTÄLJE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49700-2023</t>
        </is>
      </c>
      <c r="B1025" s="1" t="n">
        <v>45212</v>
      </c>
      <c r="C1025" s="1" t="n">
        <v>46010</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32071-2023</t>
        </is>
      </c>
      <c r="B1026" s="1" t="n">
        <v>45119.57728009259</v>
      </c>
      <c r="C1026" s="1" t="n">
        <v>46010</v>
      </c>
      <c r="D1026" t="inlineStr">
        <is>
          <t>STOCKHOLMS LÄN</t>
        </is>
      </c>
      <c r="E1026" t="inlineStr">
        <is>
          <t>NORRTÄLJE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1425-2025</t>
        </is>
      </c>
      <c r="B1027" s="1" t="n">
        <v>45668.67446759259</v>
      </c>
      <c r="C1027" s="1" t="n">
        <v>46010</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17775-2022</t>
        </is>
      </c>
      <c r="B1028" s="1" t="n">
        <v>44682.78430555556</v>
      </c>
      <c r="C1028" s="1" t="n">
        <v>46010</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38720-2022</t>
        </is>
      </c>
      <c r="B1029" s="1" t="n">
        <v>44815.74539351852</v>
      </c>
      <c r="C1029" s="1" t="n">
        <v>46010</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10215-2023</t>
        </is>
      </c>
      <c r="B1030" s="1" t="n">
        <v>44986.5887962963</v>
      </c>
      <c r="C1030" s="1" t="n">
        <v>46010</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25609-2023</t>
        </is>
      </c>
      <c r="B1031" s="1" t="n">
        <v>45089</v>
      </c>
      <c r="C1031" s="1" t="n">
        <v>46010</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20014-2025</t>
        </is>
      </c>
      <c r="B1032" s="1" t="n">
        <v>45772.3078125</v>
      </c>
      <c r="C1032" s="1" t="n">
        <v>46010</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20136-2025</t>
        </is>
      </c>
      <c r="B1033" s="1" t="n">
        <v>45772.51127314815</v>
      </c>
      <c r="C1033" s="1" t="n">
        <v>46010</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2287-2024</t>
        </is>
      </c>
      <c r="B1034" s="1" t="n">
        <v>45310</v>
      </c>
      <c r="C1034" s="1" t="n">
        <v>46010</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13785-2024</t>
        </is>
      </c>
      <c r="B1035" s="1" t="n">
        <v>45391.3395949074</v>
      </c>
      <c r="C1035" s="1" t="n">
        <v>46010</v>
      </c>
      <c r="D1035" t="inlineStr">
        <is>
          <t>STOCKHOLMS LÄN</t>
        </is>
      </c>
      <c r="E1035" t="inlineStr">
        <is>
          <t>NORRTÄLJE</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50469-2022</t>
        </is>
      </c>
      <c r="B1036" s="1" t="n">
        <v>44866.49827546296</v>
      </c>
      <c r="C1036" s="1" t="n">
        <v>46010</v>
      </c>
      <c r="D1036" t="inlineStr">
        <is>
          <t>STOCKHOLMS LÄN</t>
        </is>
      </c>
      <c r="E1036" t="inlineStr">
        <is>
          <t>NORRTÄLJE</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51116-2022</t>
        </is>
      </c>
      <c r="B1037" s="1" t="n">
        <v>44868.45741898148</v>
      </c>
      <c r="C1037" s="1" t="n">
        <v>46010</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60217-2021</t>
        </is>
      </c>
      <c r="B1038" s="1" t="n">
        <v>44495.5893287037</v>
      </c>
      <c r="C1038" s="1" t="n">
        <v>46010</v>
      </c>
      <c r="D1038" t="inlineStr">
        <is>
          <t>STOCKHOLMS LÄN</t>
        </is>
      </c>
      <c r="E1038" t="inlineStr">
        <is>
          <t>NORRTÄLJE</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5839-2023</t>
        </is>
      </c>
      <c r="B1039" s="1" t="n">
        <v>44963</v>
      </c>
      <c r="C1039" s="1" t="n">
        <v>46010</v>
      </c>
      <c r="D1039" t="inlineStr">
        <is>
          <t>STOCKHOLMS LÄN</t>
        </is>
      </c>
      <c r="E1039" t="inlineStr">
        <is>
          <t>NORRTÄLJE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38985-2022</t>
        </is>
      </c>
      <c r="B1040" s="1" t="n">
        <v>44816</v>
      </c>
      <c r="C1040" s="1" t="n">
        <v>46010</v>
      </c>
      <c r="D1040" t="inlineStr">
        <is>
          <t>STOCKHOLMS LÄN</t>
        </is>
      </c>
      <c r="E1040" t="inlineStr">
        <is>
          <t>NORRTÄLJE</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5665-2025</t>
        </is>
      </c>
      <c r="B1041" s="1" t="n">
        <v>45693</v>
      </c>
      <c r="C1041" s="1" t="n">
        <v>46010</v>
      </c>
      <c r="D1041" t="inlineStr">
        <is>
          <t>STOCKHOLMS LÄN</t>
        </is>
      </c>
      <c r="E1041" t="inlineStr">
        <is>
          <t>NORRTÄLJE</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3426-2025</t>
        </is>
      </c>
      <c r="B1042" s="1" t="n">
        <v>45680.42665509259</v>
      </c>
      <c r="C1042" s="1" t="n">
        <v>46010</v>
      </c>
      <c r="D1042" t="inlineStr">
        <is>
          <t>STOCKHOLMS LÄN</t>
        </is>
      </c>
      <c r="E1042" t="inlineStr">
        <is>
          <t>NORRTÄLJE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58530-2024</t>
        </is>
      </c>
      <c r="B1043" s="1" t="n">
        <v>45635.44788194444</v>
      </c>
      <c r="C1043" s="1" t="n">
        <v>46010</v>
      </c>
      <c r="D1043" t="inlineStr">
        <is>
          <t>STOCKHOLMS LÄN</t>
        </is>
      </c>
      <c r="E1043" t="inlineStr">
        <is>
          <t>NORRTÄLJE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22421-2021</t>
        </is>
      </c>
      <c r="B1044" s="1" t="n">
        <v>44326</v>
      </c>
      <c r="C1044" s="1" t="n">
        <v>46010</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40761-2024</t>
        </is>
      </c>
      <c r="B1045" s="1" t="n">
        <v>45558.46283564815</v>
      </c>
      <c r="C1045" s="1" t="n">
        <v>46010</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4553-2023</t>
        </is>
      </c>
      <c r="B1046" s="1" t="n">
        <v>44956.65920138889</v>
      </c>
      <c r="C1046" s="1" t="n">
        <v>46010</v>
      </c>
      <c r="D1046" t="inlineStr">
        <is>
          <t>STOCKHOLMS LÄN</t>
        </is>
      </c>
      <c r="E1046" t="inlineStr">
        <is>
          <t>NORRTÄLJE</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46010</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13171-2025</t>
        </is>
      </c>
      <c r="B1048" s="1" t="n">
        <v>45735.36594907408</v>
      </c>
      <c r="C1048" s="1" t="n">
        <v>46010</v>
      </c>
      <c r="D1048" t="inlineStr">
        <is>
          <t>STOCKHOLMS LÄN</t>
        </is>
      </c>
      <c r="E1048" t="inlineStr">
        <is>
          <t>NORRTÄLJE</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51978-2023</t>
        </is>
      </c>
      <c r="B1049" s="1" t="n">
        <v>45223</v>
      </c>
      <c r="C1049" s="1" t="n">
        <v>46010</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18092-2022</t>
        </is>
      </c>
      <c r="B1050" s="1" t="n">
        <v>44684</v>
      </c>
      <c r="C1050" s="1" t="n">
        <v>46010</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59310-2023</t>
        </is>
      </c>
      <c r="B1051" s="1" t="n">
        <v>45253.61146990741</v>
      </c>
      <c r="C1051" s="1" t="n">
        <v>46010</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9329-2023</t>
        </is>
      </c>
      <c r="B1052" s="1" t="n">
        <v>44980</v>
      </c>
      <c r="C1052" s="1" t="n">
        <v>46010</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59878-2024</t>
        </is>
      </c>
      <c r="B1053" s="1" t="n">
        <v>45640.60240740741</v>
      </c>
      <c r="C1053" s="1" t="n">
        <v>46010</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41335-2023</t>
        </is>
      </c>
      <c r="B1054" s="1" t="n">
        <v>45174.68702546296</v>
      </c>
      <c r="C1054" s="1" t="n">
        <v>46010</v>
      </c>
      <c r="D1054" t="inlineStr">
        <is>
          <t>STOCKHOLMS LÄN</t>
        </is>
      </c>
      <c r="E1054" t="inlineStr">
        <is>
          <t>NORRTÄLJE</t>
        </is>
      </c>
      <c r="F1054" t="inlineStr">
        <is>
          <t>Holmen skog AB</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33040-2021</t>
        </is>
      </c>
      <c r="B1055" s="1" t="n">
        <v>44376.50728009259</v>
      </c>
      <c r="C1055" s="1" t="n">
        <v>46010</v>
      </c>
      <c r="D1055" t="inlineStr">
        <is>
          <t>STOCKHOLMS LÄN</t>
        </is>
      </c>
      <c r="E1055" t="inlineStr">
        <is>
          <t>NORRTÄLJE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33053-2021</t>
        </is>
      </c>
      <c r="B1056" s="1" t="n">
        <v>44376</v>
      </c>
      <c r="C1056" s="1" t="n">
        <v>46010</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43150-2023</t>
        </is>
      </c>
      <c r="B1057" s="1" t="n">
        <v>45183</v>
      </c>
      <c r="C1057" s="1" t="n">
        <v>46010</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5950-2021</t>
        </is>
      </c>
      <c r="B1058" s="1" t="n">
        <v>44231</v>
      </c>
      <c r="C1058" s="1" t="n">
        <v>46010</v>
      </c>
      <c r="D1058" t="inlineStr">
        <is>
          <t>STOCKHOLMS LÄN</t>
        </is>
      </c>
      <c r="E1058" t="inlineStr">
        <is>
          <t>NORRTÄLJE</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54259-2023</t>
        </is>
      </c>
      <c r="B1059" s="1" t="n">
        <v>45232</v>
      </c>
      <c r="C1059" s="1" t="n">
        <v>46010</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60822-2023</t>
        </is>
      </c>
      <c r="B1060" s="1" t="n">
        <v>45259</v>
      </c>
      <c r="C1060" s="1" t="n">
        <v>46010</v>
      </c>
      <c r="D1060" t="inlineStr">
        <is>
          <t>STOCKHOLMS LÄN</t>
        </is>
      </c>
      <c r="E1060" t="inlineStr">
        <is>
          <t>NORRTÄLJE</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12031-2021</t>
        </is>
      </c>
      <c r="B1061" s="1" t="n">
        <v>44266</v>
      </c>
      <c r="C1061" s="1" t="n">
        <v>46010</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27381-2024</t>
        </is>
      </c>
      <c r="B1062" s="1" t="n">
        <v>45473.94501157408</v>
      </c>
      <c r="C1062" s="1" t="n">
        <v>46010</v>
      </c>
      <c r="D1062" t="inlineStr">
        <is>
          <t>STOCKHOLMS LÄN</t>
        </is>
      </c>
      <c r="E1062" t="inlineStr">
        <is>
          <t>NORRTÄLJE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23265-2023</t>
        </is>
      </c>
      <c r="B1063" s="1" t="n">
        <v>45075.90703703704</v>
      </c>
      <c r="C1063" s="1" t="n">
        <v>46010</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26117-2024</t>
        </is>
      </c>
      <c r="B1064" s="1" t="n">
        <v>45468.45877314815</v>
      </c>
      <c r="C1064" s="1" t="n">
        <v>46010</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20336-2024</t>
        </is>
      </c>
      <c r="B1065" s="1" t="n">
        <v>45435.43123842592</v>
      </c>
      <c r="C1065" s="1" t="n">
        <v>46010</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1847-2023</t>
        </is>
      </c>
      <c r="B1066" s="1" t="n">
        <v>44938</v>
      </c>
      <c r="C1066" s="1" t="n">
        <v>46010</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59721-2024</t>
        </is>
      </c>
      <c r="B1067" s="1" t="n">
        <v>45639.47385416667</v>
      </c>
      <c r="C1067" s="1" t="n">
        <v>46010</v>
      </c>
      <c r="D1067" t="inlineStr">
        <is>
          <t>STOCKHOLMS LÄN</t>
        </is>
      </c>
      <c r="E1067" t="inlineStr">
        <is>
          <t>NORRTÄLJE</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37010-2022</t>
        </is>
      </c>
      <c r="B1068" s="1" t="n">
        <v>44806.41576388889</v>
      </c>
      <c r="C1068" s="1" t="n">
        <v>46010</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951-2023</t>
        </is>
      </c>
      <c r="B1069" s="1" t="n">
        <v>44934</v>
      </c>
      <c r="C1069" s="1" t="n">
        <v>46010</v>
      </c>
      <c r="D1069" t="inlineStr">
        <is>
          <t>STOCKHOLMS LÄN</t>
        </is>
      </c>
      <c r="E1069" t="inlineStr">
        <is>
          <t>NORRTÄLJE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44959.74533564815</v>
      </c>
      <c r="C1070" s="1" t="n">
        <v>46010</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50182-2024</t>
        </is>
      </c>
      <c r="B1071" s="1" t="n">
        <v>45600.47275462963</v>
      </c>
      <c r="C1071" s="1" t="n">
        <v>46010</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12629-2024</t>
        </is>
      </c>
      <c r="B1072" s="1" t="n">
        <v>45383</v>
      </c>
      <c r="C1072" s="1" t="n">
        <v>46010</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35708-2022</t>
        </is>
      </c>
      <c r="B1073" s="1" t="n">
        <v>44799.65013888889</v>
      </c>
      <c r="C1073" s="1" t="n">
        <v>46010</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45220-2024</t>
        </is>
      </c>
      <c r="B1074" s="1" t="n">
        <v>45575</v>
      </c>
      <c r="C1074" s="1" t="n">
        <v>46010</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21731-2023</t>
        </is>
      </c>
      <c r="B1075" s="1" t="n">
        <v>45063</v>
      </c>
      <c r="C1075" s="1" t="n">
        <v>46010</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23266-2023</t>
        </is>
      </c>
      <c r="B1076" s="1" t="n">
        <v>45075.90817129629</v>
      </c>
      <c r="C1076" s="1" t="n">
        <v>46010</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47521-2024</t>
        </is>
      </c>
      <c r="B1077" s="1" t="n">
        <v>45587.62565972222</v>
      </c>
      <c r="C1077" s="1" t="n">
        <v>46010</v>
      </c>
      <c r="D1077" t="inlineStr">
        <is>
          <t>STOCKHOLMS LÄN</t>
        </is>
      </c>
      <c r="E1077" t="inlineStr">
        <is>
          <t>NORRTÄLJE</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58260-2023</t>
        </is>
      </c>
      <c r="B1078" s="1" t="n">
        <v>45245</v>
      </c>
      <c r="C1078" s="1" t="n">
        <v>46010</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58261-2023</t>
        </is>
      </c>
      <c r="B1079" s="1" t="n">
        <v>45245</v>
      </c>
      <c r="C1079" s="1" t="n">
        <v>46010</v>
      </c>
      <c r="D1079" t="inlineStr">
        <is>
          <t>STOCKHOLMS LÄN</t>
        </is>
      </c>
      <c r="E1079" t="inlineStr">
        <is>
          <t>NORRTÄLJE</t>
        </is>
      </c>
      <c r="G1079" t="n">
        <v>53.5</v>
      </c>
      <c r="H1079" t="n">
        <v>0</v>
      </c>
      <c r="I1079" t="n">
        <v>0</v>
      </c>
      <c r="J1079" t="n">
        <v>0</v>
      </c>
      <c r="K1079" t="n">
        <v>0</v>
      </c>
      <c r="L1079" t="n">
        <v>0</v>
      </c>
      <c r="M1079" t="n">
        <v>0</v>
      </c>
      <c r="N1079" t="n">
        <v>0</v>
      </c>
      <c r="O1079" t="n">
        <v>0</v>
      </c>
      <c r="P1079" t="n">
        <v>0</v>
      </c>
      <c r="Q1079" t="n">
        <v>0</v>
      </c>
      <c r="R1079" s="2" t="inlineStr"/>
    </row>
    <row r="1080" ht="15" customHeight="1">
      <c r="A1080" t="inlineStr">
        <is>
          <t>A 29266-2022</t>
        </is>
      </c>
      <c r="B1080" s="1" t="n">
        <v>44750.66068287037</v>
      </c>
      <c r="C1080" s="1" t="n">
        <v>46010</v>
      </c>
      <c r="D1080" t="inlineStr">
        <is>
          <t>STOCKHOLMS LÄN</t>
        </is>
      </c>
      <c r="E1080" t="inlineStr">
        <is>
          <t>NORRTÄLJE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29278-2022</t>
        </is>
      </c>
      <c r="B1081" s="1" t="n">
        <v>44750</v>
      </c>
      <c r="C1081" s="1" t="n">
        <v>46010</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37273-2024</t>
        </is>
      </c>
      <c r="B1082" s="1" t="n">
        <v>45540</v>
      </c>
      <c r="C1082" s="1" t="n">
        <v>46010</v>
      </c>
      <c r="D1082" t="inlineStr">
        <is>
          <t>STOCKHOLMS LÄN</t>
        </is>
      </c>
      <c r="E1082" t="inlineStr">
        <is>
          <t>NORRTÄLJE</t>
        </is>
      </c>
      <c r="F1082" t="inlineStr">
        <is>
          <t>Sveaskog</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12908-2025</t>
        </is>
      </c>
      <c r="B1083" s="1" t="n">
        <v>45733.82105324074</v>
      </c>
      <c r="C1083" s="1" t="n">
        <v>46010</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23060-2023</t>
        </is>
      </c>
      <c r="B1084" s="1" t="n">
        <v>45075</v>
      </c>
      <c r="C1084" s="1" t="n">
        <v>46010</v>
      </c>
      <c r="D1084" t="inlineStr">
        <is>
          <t>STOCKHOLMS LÄN</t>
        </is>
      </c>
      <c r="E1084" t="inlineStr">
        <is>
          <t>NORRTÄLJE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32103-2022</t>
        </is>
      </c>
      <c r="B1085" s="1" t="n">
        <v>44778</v>
      </c>
      <c r="C1085" s="1" t="n">
        <v>46010</v>
      </c>
      <c r="D1085" t="inlineStr">
        <is>
          <t>STOCKHOLMS LÄN</t>
        </is>
      </c>
      <c r="E1085" t="inlineStr">
        <is>
          <t>NORRTÄLJE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6401-2024</t>
        </is>
      </c>
      <c r="B1086" s="1" t="n">
        <v>45338</v>
      </c>
      <c r="C1086" s="1" t="n">
        <v>46010</v>
      </c>
      <c r="D1086" t="inlineStr">
        <is>
          <t>STOCKHOLMS LÄN</t>
        </is>
      </c>
      <c r="E1086" t="inlineStr">
        <is>
          <t>NORRTÄLJE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59504-2023</t>
        </is>
      </c>
      <c r="B1087" s="1" t="n">
        <v>45254</v>
      </c>
      <c r="C1087" s="1" t="n">
        <v>46010</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52321-2024</t>
        </is>
      </c>
      <c r="B1088" s="1" t="n">
        <v>45608</v>
      </c>
      <c r="C1088" s="1" t="n">
        <v>46010</v>
      </c>
      <c r="D1088" t="inlineStr">
        <is>
          <t>STOCKHOLMS LÄN</t>
        </is>
      </c>
      <c r="E1088" t="inlineStr">
        <is>
          <t>NORRTÄLJE</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48151-2024</t>
        </is>
      </c>
      <c r="B1089" s="1" t="n">
        <v>45589.68289351852</v>
      </c>
      <c r="C1089" s="1" t="n">
        <v>46010</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20370-2025</t>
        </is>
      </c>
      <c r="B1090" s="1" t="n">
        <v>45775.41451388889</v>
      </c>
      <c r="C1090" s="1" t="n">
        <v>46010</v>
      </c>
      <c r="D1090" t="inlineStr">
        <is>
          <t>STOCKHOLMS LÄN</t>
        </is>
      </c>
      <c r="E1090" t="inlineStr">
        <is>
          <t>NORRTÄLJE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19580-2022</t>
        </is>
      </c>
      <c r="B1091" s="1" t="n">
        <v>44693</v>
      </c>
      <c r="C1091" s="1" t="n">
        <v>46010</v>
      </c>
      <c r="D1091" t="inlineStr">
        <is>
          <t>STOCKHOLMS LÄN</t>
        </is>
      </c>
      <c r="E1091" t="inlineStr">
        <is>
          <t>NORRTÄLJE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30731-2023</t>
        </is>
      </c>
      <c r="B1092" s="1" t="n">
        <v>45112</v>
      </c>
      <c r="C1092" s="1" t="n">
        <v>46010</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4580-2025</t>
        </is>
      </c>
      <c r="B1093" s="1" t="n">
        <v>45687.5038425926</v>
      </c>
      <c r="C1093" s="1" t="n">
        <v>46010</v>
      </c>
      <c r="D1093" t="inlineStr">
        <is>
          <t>STOCKHOLMS LÄN</t>
        </is>
      </c>
      <c r="E1093" t="inlineStr">
        <is>
          <t>NORRTÄLJE</t>
        </is>
      </c>
      <c r="F1093" t="inlineStr">
        <is>
          <t>Holmen skog AB</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31057-2022</t>
        </is>
      </c>
      <c r="B1094" s="1" t="n">
        <v>44769</v>
      </c>
      <c r="C1094" s="1" t="n">
        <v>46010</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31140-2023</t>
        </is>
      </c>
      <c r="B1095" s="1" t="n">
        <v>45113</v>
      </c>
      <c r="C1095" s="1" t="n">
        <v>46010</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31149-2023</t>
        </is>
      </c>
      <c r="B1096" s="1" t="n">
        <v>45113</v>
      </c>
      <c r="C1096" s="1" t="n">
        <v>46010</v>
      </c>
      <c r="D1096" t="inlineStr">
        <is>
          <t>STOCKHOLMS LÄN</t>
        </is>
      </c>
      <c r="E1096" t="inlineStr">
        <is>
          <t>NORRTÄLJE</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4658-2024</t>
        </is>
      </c>
      <c r="B1097" s="1" t="n">
        <v>45328.46336805556</v>
      </c>
      <c r="C1097" s="1" t="n">
        <v>46010</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19131-2025</t>
        </is>
      </c>
      <c r="B1098" s="1" t="n">
        <v>45769</v>
      </c>
      <c r="C1098" s="1" t="n">
        <v>46010</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7571-2024</t>
        </is>
      </c>
      <c r="B1099" s="1" t="n">
        <v>45348.46300925926</v>
      </c>
      <c r="C1099" s="1" t="n">
        <v>46010</v>
      </c>
      <c r="D1099" t="inlineStr">
        <is>
          <t>STOCKHOLMS LÄN</t>
        </is>
      </c>
      <c r="E1099" t="inlineStr">
        <is>
          <t>NORRTÄLJE</t>
        </is>
      </c>
      <c r="F1099" t="inlineStr">
        <is>
          <t>Holmen skog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11849-2025</t>
        </is>
      </c>
      <c r="B1100" s="1" t="n">
        <v>45728.38409722222</v>
      </c>
      <c r="C1100" s="1" t="n">
        <v>46010</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40425-2021</t>
        </is>
      </c>
      <c r="B1101" s="1" t="n">
        <v>44419</v>
      </c>
      <c r="C1101" s="1" t="n">
        <v>46010</v>
      </c>
      <c r="D1101" t="inlineStr">
        <is>
          <t>STOCKHOLMS LÄN</t>
        </is>
      </c>
      <c r="E1101" t="inlineStr">
        <is>
          <t>NORRTÄLJE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58990-2021</t>
        </is>
      </c>
      <c r="B1102" s="1" t="n">
        <v>44490.03621527777</v>
      </c>
      <c r="C1102" s="1" t="n">
        <v>46010</v>
      </c>
      <c r="D1102" t="inlineStr">
        <is>
          <t>STOCKHOLMS LÄN</t>
        </is>
      </c>
      <c r="E1102" t="inlineStr">
        <is>
          <t>NORRTÄLJE</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20790-2025</t>
        </is>
      </c>
      <c r="B1103" s="1" t="n">
        <v>45776.62563657408</v>
      </c>
      <c r="C1103" s="1" t="n">
        <v>46010</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20699-2025</t>
        </is>
      </c>
      <c r="B1104" s="1" t="n">
        <v>45776.47346064815</v>
      </c>
      <c r="C1104" s="1" t="n">
        <v>46010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3152-2024</t>
        </is>
      </c>
      <c r="B1105" s="1" t="n">
        <v>45316.60306712963</v>
      </c>
      <c r="C1105" s="1" t="n">
        <v>46010</v>
      </c>
      <c r="D1105" t="inlineStr">
        <is>
          <t>STOCKHOLMS LÄN</t>
        </is>
      </c>
      <c r="E1105" t="inlineStr">
        <is>
          <t>NORRTÄLJE</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59326-2023</t>
        </is>
      </c>
      <c r="B1106" s="1" t="n">
        <v>45253.63089120371</v>
      </c>
      <c r="C1106" s="1" t="n">
        <v>46010</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44836-2023</t>
        </is>
      </c>
      <c r="B1107" s="1" t="n">
        <v>45190.55609953704</v>
      </c>
      <c r="C1107" s="1" t="n">
        <v>46010</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20779-2025</t>
        </is>
      </c>
      <c r="B1108" s="1" t="n">
        <v>45776.59871527777</v>
      </c>
      <c r="C1108" s="1" t="n">
        <v>46010</v>
      </c>
      <c r="D1108" t="inlineStr">
        <is>
          <t>STOCKHOLMS LÄN</t>
        </is>
      </c>
      <c r="E1108" t="inlineStr">
        <is>
          <t>NORRTÄLJE</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21771-2025</t>
        </is>
      </c>
      <c r="B1109" s="1" t="n">
        <v>45783</v>
      </c>
      <c r="C1109" s="1" t="n">
        <v>46010</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21778-2025</t>
        </is>
      </c>
      <c r="B1110" s="1" t="n">
        <v>45783.66429398148</v>
      </c>
      <c r="C1110" s="1" t="n">
        <v>46010</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22202-2025</t>
        </is>
      </c>
      <c r="B1111" s="1" t="n">
        <v>45785.65300925926</v>
      </c>
      <c r="C1111" s="1" t="n">
        <v>46010</v>
      </c>
      <c r="D1111" t="inlineStr">
        <is>
          <t>STOCKHOLMS LÄN</t>
        </is>
      </c>
      <c r="E1111" t="inlineStr">
        <is>
          <t>NORRTÄLJE</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16620-2024</t>
        </is>
      </c>
      <c r="B1112" s="1" t="n">
        <v>45408.57707175926</v>
      </c>
      <c r="C1112" s="1" t="n">
        <v>46010</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22416-2025</t>
        </is>
      </c>
      <c r="B1113" s="1" t="n">
        <v>45786.55645833333</v>
      </c>
      <c r="C1113" s="1" t="n">
        <v>46010</v>
      </c>
      <c r="D1113" t="inlineStr">
        <is>
          <t>STOCKHOLMS LÄN</t>
        </is>
      </c>
      <c r="E1113" t="inlineStr">
        <is>
          <t>NORRTÄLJE</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58785-2024</t>
        </is>
      </c>
      <c r="B1114" s="1" t="n">
        <v>45635.88849537037</v>
      </c>
      <c r="C1114" s="1" t="n">
        <v>46010</v>
      </c>
      <c r="D1114" t="inlineStr">
        <is>
          <t>STOCKHOLMS LÄN</t>
        </is>
      </c>
      <c r="E1114" t="inlineStr">
        <is>
          <t>NORRTÄLJE</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2182-2022</t>
        </is>
      </c>
      <c r="B1115" s="1" t="n">
        <v>44578</v>
      </c>
      <c r="C1115" s="1" t="n">
        <v>46010</v>
      </c>
      <c r="D1115" t="inlineStr">
        <is>
          <t>STOCKHOLMS LÄN</t>
        </is>
      </c>
      <c r="E1115" t="inlineStr">
        <is>
          <t>NORRTÄLJE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13268-2025</t>
        </is>
      </c>
      <c r="B1116" s="1" t="n">
        <v>45735</v>
      </c>
      <c r="C1116" s="1" t="n">
        <v>46010</v>
      </c>
      <c r="D1116" t="inlineStr">
        <is>
          <t>STOCKHOLMS LÄN</t>
        </is>
      </c>
      <c r="E1116" t="inlineStr">
        <is>
          <t>NORRTÄLJE</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8414-2025</t>
        </is>
      </c>
      <c r="B1117" s="1" t="n">
        <v>45709.39361111111</v>
      </c>
      <c r="C1117" s="1" t="n">
        <v>46010</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36625-2024</t>
        </is>
      </c>
      <c r="B1118" s="1" t="n">
        <v>45537</v>
      </c>
      <c r="C1118" s="1" t="n">
        <v>46010</v>
      </c>
      <c r="D1118" t="inlineStr">
        <is>
          <t>STOCKHOLMS LÄN</t>
        </is>
      </c>
      <c r="E1118" t="inlineStr">
        <is>
          <t>NORRTÄLJE</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44891-2023</t>
        </is>
      </c>
      <c r="B1119" s="1" t="n">
        <v>45187</v>
      </c>
      <c r="C1119" s="1" t="n">
        <v>46010</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12902-2024</t>
        </is>
      </c>
      <c r="B1120" s="1" t="n">
        <v>45385.38146990741</v>
      </c>
      <c r="C1120" s="1" t="n">
        <v>46010</v>
      </c>
      <c r="D1120" t="inlineStr">
        <is>
          <t>STOCKHOLMS LÄN</t>
        </is>
      </c>
      <c r="E1120" t="inlineStr">
        <is>
          <t>NORRTÄLJE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44032-2024</t>
        </is>
      </c>
      <c r="B1121" s="1" t="n">
        <v>45572.57828703704</v>
      </c>
      <c r="C1121" s="1" t="n">
        <v>46010</v>
      </c>
      <c r="D1121" t="inlineStr">
        <is>
          <t>STOCKHOLMS LÄN</t>
        </is>
      </c>
      <c r="E1121" t="inlineStr">
        <is>
          <t>NORRTÄLJE</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24563-2024</t>
        </is>
      </c>
      <c r="B1122" s="1" t="n">
        <v>45460.44347222222</v>
      </c>
      <c r="C1122" s="1" t="n">
        <v>46010</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39237-2024</t>
        </is>
      </c>
      <c r="B1123" s="1" t="n">
        <v>45549</v>
      </c>
      <c r="C1123" s="1" t="n">
        <v>46010</v>
      </c>
      <c r="D1123" t="inlineStr">
        <is>
          <t>STOCKHOLMS LÄN</t>
        </is>
      </c>
      <c r="E1123" t="inlineStr">
        <is>
          <t>NORRTÄLJE</t>
        </is>
      </c>
      <c r="G1123" t="n">
        <v>13.3</v>
      </c>
      <c r="H1123" t="n">
        <v>0</v>
      </c>
      <c r="I1123" t="n">
        <v>0</v>
      </c>
      <c r="J1123" t="n">
        <v>0</v>
      </c>
      <c r="K1123" t="n">
        <v>0</v>
      </c>
      <c r="L1123" t="n">
        <v>0</v>
      </c>
      <c r="M1123" t="n">
        <v>0</v>
      </c>
      <c r="N1123" t="n">
        <v>0</v>
      </c>
      <c r="O1123" t="n">
        <v>0</v>
      </c>
      <c r="P1123" t="n">
        <v>0</v>
      </c>
      <c r="Q1123" t="n">
        <v>0</v>
      </c>
      <c r="R1123" s="2" t="inlineStr"/>
    </row>
    <row r="1124" ht="15" customHeight="1">
      <c r="A1124" t="inlineStr">
        <is>
          <t>A 45746-2024</t>
        </is>
      </c>
      <c r="B1124" s="1" t="n">
        <v>45579</v>
      </c>
      <c r="C1124" s="1" t="n">
        <v>46010</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c r="A1125" t="inlineStr">
        <is>
          <t>A 8400-2024</t>
        </is>
      </c>
      <c r="B1125" s="1" t="n">
        <v>45352.74090277778</v>
      </c>
      <c r="C1125" s="1" t="n">
        <v>46010</v>
      </c>
      <c r="D1125" t="inlineStr">
        <is>
          <t>STOCKHOLMS LÄN</t>
        </is>
      </c>
      <c r="E1125" t="inlineStr">
        <is>
          <t>NORRTÄLJE</t>
        </is>
      </c>
      <c r="G1125" t="n">
        <v>4.7</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2025-12-19T10:38:42Z</dcterms:created>
  <dcterms:modified xmlns:dcterms="http://purl.org/dc/terms/" xmlns:xsi="http://www.w3.org/2001/XMLSchema-instance" xsi:type="dcterms:W3CDTF">2025-12-19T10:38:43Z</dcterms:modified>
</cp:coreProperties>
</file>