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46140</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46140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46140</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46140</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46140</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46140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46140</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46140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46140</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46140</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46140</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46140</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46140</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46140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46140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46140</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46140</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17645-2026</t>
        </is>
      </c>
      <c r="B19" s="1" t="n">
        <v>46121.51921296296</v>
      </c>
      <c r="C19" s="1" t="n">
        <v>46140</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46140</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46140</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46140</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46140</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46140</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46140</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46140</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46140</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46140</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46140</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46140</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46140</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46140</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46140</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46140</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46140</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46140</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10430-2026</t>
        </is>
      </c>
      <c r="B37" s="1" t="n">
        <v>46077</v>
      </c>
      <c r="C37" s="1" t="n">
        <v>46140</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46140</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46140</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46140</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46140</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46140</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46140</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46140</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15925-2026</t>
        </is>
      </c>
      <c r="B45" s="1" t="n">
        <v>46107.66046296297</v>
      </c>
      <c r="C45" s="1" t="n">
        <v>46140</v>
      </c>
      <c r="D45" t="inlineStr">
        <is>
          <t>STOCKHOLMS LÄN</t>
        </is>
      </c>
      <c r="E45" t="inlineStr">
        <is>
          <t>NORRTÄLJE</t>
        </is>
      </c>
      <c r="G45" t="n">
        <v>2.9</v>
      </c>
      <c r="H45" t="n">
        <v>3</v>
      </c>
      <c r="I45" t="n">
        <v>1</v>
      </c>
      <c r="J45" t="n">
        <v>2</v>
      </c>
      <c r="K45" t="n">
        <v>1</v>
      </c>
      <c r="L45" t="n">
        <v>0</v>
      </c>
      <c r="M45" t="n">
        <v>0</v>
      </c>
      <c r="N45" t="n">
        <v>0</v>
      </c>
      <c r="O45" t="n">
        <v>3</v>
      </c>
      <c r="P45" t="n">
        <v>1</v>
      </c>
      <c r="Q45" t="n">
        <v>5</v>
      </c>
      <c r="R45" s="2" t="inlineStr">
        <is>
          <t>Knärot
Spillkråka
Ullticka
Fjällig taggsvamp s.str.
Blåsippa</t>
        </is>
      </c>
      <c r="S45">
        <f>HYPERLINK("https://klasma.github.io/Logging_0188/artfynd/A 15925-2026 artfynd.xlsx", "A 15925-2026")</f>
        <v/>
      </c>
      <c r="T45">
        <f>HYPERLINK("https://klasma.github.io/Logging_0188/kartor/A 15925-2026 karta.png", "A 15925-2026")</f>
        <v/>
      </c>
      <c r="U45">
        <f>HYPERLINK("https://klasma.github.io/Logging_0188/knärot/A 15925-2026 karta knärot.png", "A 15925-2026")</f>
        <v/>
      </c>
      <c r="V45">
        <f>HYPERLINK("https://klasma.github.io/Logging_0188/klagomål/A 15925-2026 FSC-klagomål.docx", "A 15925-2026")</f>
        <v/>
      </c>
      <c r="W45">
        <f>HYPERLINK("https://klasma.github.io/Logging_0188/klagomålsmail/A 15925-2026 FSC-klagomål mail.docx", "A 15925-2026")</f>
        <v/>
      </c>
      <c r="X45">
        <f>HYPERLINK("https://klasma.github.io/Logging_0188/tillsyn/A 15925-2026 tillsynsbegäran.docx", "A 15925-2026")</f>
        <v/>
      </c>
      <c r="Y45">
        <f>HYPERLINK("https://klasma.github.io/Logging_0188/tillsynsmail/A 15925-2026 tillsynsbegäran mail.docx", "A 15925-2026")</f>
        <v/>
      </c>
      <c r="Z45">
        <f>HYPERLINK("https://klasma.github.io/Logging_0188/fåglar/A 15925-2026 prioriterade fågelarter.docx", "A 15925-2026")</f>
        <v/>
      </c>
    </row>
    <row r="46" ht="15" customHeight="1">
      <c r="A46" t="inlineStr">
        <is>
          <t>A 15913-2026</t>
        </is>
      </c>
      <c r="B46" s="1" t="n">
        <v>46107.6456712963</v>
      </c>
      <c r="C46" s="1" t="n">
        <v>46140</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72111-2021</t>
        </is>
      </c>
      <c r="B47" s="1" t="n">
        <v>44544</v>
      </c>
      <c r="C47" s="1" t="n">
        <v>46140</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46140</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46140</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46140</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46140</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46140</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46140</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46140</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46140</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46140</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46140</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45113-2022</t>
        </is>
      </c>
      <c r="B58" s="1" t="n">
        <v>44843</v>
      </c>
      <c r="C58" s="1" t="n">
        <v>46140</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46140</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2851-2023</t>
        </is>
      </c>
      <c r="B60" s="1" t="n">
        <v>44945</v>
      </c>
      <c r="C60" s="1" t="n">
        <v>46140</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20185-2022</t>
        </is>
      </c>
      <c r="B61" s="1" t="n">
        <v>44698</v>
      </c>
      <c r="C61" s="1" t="n">
        <v>46140</v>
      </c>
      <c r="D61" t="inlineStr">
        <is>
          <t>STOCKHOLMS LÄN</t>
        </is>
      </c>
      <c r="E61" t="inlineStr">
        <is>
          <t>NORRTÄLJE</t>
        </is>
      </c>
      <c r="G61" t="n">
        <v>8.4</v>
      </c>
      <c r="H61" t="n">
        <v>1</v>
      </c>
      <c r="I61" t="n">
        <v>2</v>
      </c>
      <c r="J61" t="n">
        <v>0</v>
      </c>
      <c r="K61" t="n">
        <v>1</v>
      </c>
      <c r="L61" t="n">
        <v>0</v>
      </c>
      <c r="M61" t="n">
        <v>0</v>
      </c>
      <c r="N61" t="n">
        <v>0</v>
      </c>
      <c r="O61" t="n">
        <v>1</v>
      </c>
      <c r="P61" t="n">
        <v>1</v>
      </c>
      <c r="Q61" t="n">
        <v>3</v>
      </c>
      <c r="R61" s="2" t="inlineStr">
        <is>
          <t>Tallbit
Gullgröppa
Vedticka</t>
        </is>
      </c>
      <c r="S61">
        <f>HYPERLINK("https://klasma.github.io/Logging_0188/artfynd/A 20185-2022 artfynd.xlsx", "A 20185-2022")</f>
        <v/>
      </c>
      <c r="T61">
        <f>HYPERLINK("https://klasma.github.io/Logging_0188/kartor/A 20185-2022 karta.png", "A 20185-2022")</f>
        <v/>
      </c>
      <c r="V61">
        <f>HYPERLINK("https://klasma.github.io/Logging_0188/klagomål/A 20185-2022 FSC-klagomål.docx", "A 20185-2022")</f>
        <v/>
      </c>
      <c r="W61">
        <f>HYPERLINK("https://klasma.github.io/Logging_0188/klagomålsmail/A 20185-2022 FSC-klagomål mail.docx", "A 20185-2022")</f>
        <v/>
      </c>
      <c r="X61">
        <f>HYPERLINK("https://klasma.github.io/Logging_0188/tillsyn/A 20185-2022 tillsynsbegäran.docx", "A 20185-2022")</f>
        <v/>
      </c>
      <c r="Y61">
        <f>HYPERLINK("https://klasma.github.io/Logging_0188/tillsynsmail/A 20185-2022 tillsynsbegäran mail.docx", "A 20185-2022")</f>
        <v/>
      </c>
      <c r="Z61">
        <f>HYPERLINK("https://klasma.github.io/Logging_0188/fåglar/A 20185-2022 prioriterade fågelarter.docx", "A 20185-2022")</f>
        <v/>
      </c>
    </row>
    <row r="62" ht="15" customHeight="1">
      <c r="A62" t="inlineStr">
        <is>
          <t>A 22190-2024</t>
        </is>
      </c>
      <c r="B62" s="1" t="n">
        <v>45446.35888888889</v>
      </c>
      <c r="C62" s="1" t="n">
        <v>46140</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52726-2025</t>
        </is>
      </c>
      <c r="B63" s="1" t="n">
        <v>45957.34722222222</v>
      </c>
      <c r="C63" s="1" t="n">
        <v>46140</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53065-2024</t>
        </is>
      </c>
      <c r="B64" s="1" t="n">
        <v>45611.47233796296</v>
      </c>
      <c r="C64" s="1" t="n">
        <v>46140</v>
      </c>
      <c r="D64" t="inlineStr">
        <is>
          <t>STOCKHOLMS LÄN</t>
        </is>
      </c>
      <c r="E64" t="inlineStr">
        <is>
          <t>NORRTÄLJE</t>
        </is>
      </c>
      <c r="G64" t="n">
        <v>12.3</v>
      </c>
      <c r="H64" t="n">
        <v>0</v>
      </c>
      <c r="I64" t="n">
        <v>1</v>
      </c>
      <c r="J64" t="n">
        <v>1</v>
      </c>
      <c r="K64" t="n">
        <v>1</v>
      </c>
      <c r="L64" t="n">
        <v>0</v>
      </c>
      <c r="M64" t="n">
        <v>0</v>
      </c>
      <c r="N64" t="n">
        <v>0</v>
      </c>
      <c r="O64" t="n">
        <v>2</v>
      </c>
      <c r="P64" t="n">
        <v>1</v>
      </c>
      <c r="Q64" t="n">
        <v>3</v>
      </c>
      <c r="R64" s="2" t="inlineStr">
        <is>
          <t>Aspsplintbock
Grön aspvedbock
Gulröd blankbock</t>
        </is>
      </c>
      <c r="S64">
        <f>HYPERLINK("https://klasma.github.io/Logging_0188/artfynd/A 53065-2024 artfynd.xlsx", "A 53065-2024")</f>
        <v/>
      </c>
      <c r="T64">
        <f>HYPERLINK("https://klasma.github.io/Logging_0188/kartor/A 53065-2024 karta.png", "A 53065-2024")</f>
        <v/>
      </c>
      <c r="V64">
        <f>HYPERLINK("https://klasma.github.io/Logging_0188/klagomål/A 53065-2024 FSC-klagomål.docx", "A 53065-2024")</f>
        <v/>
      </c>
      <c r="W64">
        <f>HYPERLINK("https://klasma.github.io/Logging_0188/klagomålsmail/A 53065-2024 FSC-klagomål mail.docx", "A 53065-2024")</f>
        <v/>
      </c>
      <c r="X64">
        <f>HYPERLINK("https://klasma.github.io/Logging_0188/tillsyn/A 53065-2024 tillsynsbegäran.docx", "A 53065-2024")</f>
        <v/>
      </c>
      <c r="Y64">
        <f>HYPERLINK("https://klasma.github.io/Logging_0188/tillsynsmail/A 53065-2024 tillsynsbegäran mail.docx", "A 53065-2024")</f>
        <v/>
      </c>
    </row>
    <row r="65" ht="15" customHeight="1">
      <c r="A65" t="inlineStr">
        <is>
          <t>A 50618-2022</t>
        </is>
      </c>
      <c r="B65" s="1" t="n">
        <v>44866</v>
      </c>
      <c r="C65" s="1" t="n">
        <v>46140</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27870-2022</t>
        </is>
      </c>
      <c r="B66" s="1" t="n">
        <v>44743.64592592593</v>
      </c>
      <c r="C66" s="1" t="n">
        <v>46140</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54110-2024</t>
        </is>
      </c>
      <c r="B67" s="1" t="n">
        <v>45616.54866898148</v>
      </c>
      <c r="C67" s="1" t="n">
        <v>46140</v>
      </c>
      <c r="D67" t="inlineStr">
        <is>
          <t>STOCKHOLMS LÄN</t>
        </is>
      </c>
      <c r="E67" t="inlineStr">
        <is>
          <t>NORRTÄLJE</t>
        </is>
      </c>
      <c r="G67" t="n">
        <v>6.7</v>
      </c>
      <c r="H67" t="n">
        <v>2</v>
      </c>
      <c r="I67" t="n">
        <v>0</v>
      </c>
      <c r="J67" t="n">
        <v>1</v>
      </c>
      <c r="K67" t="n">
        <v>0</v>
      </c>
      <c r="L67" t="n">
        <v>0</v>
      </c>
      <c r="M67" t="n">
        <v>0</v>
      </c>
      <c r="N67" t="n">
        <v>0</v>
      </c>
      <c r="O67" t="n">
        <v>1</v>
      </c>
      <c r="P67" t="n">
        <v>0</v>
      </c>
      <c r="Q67" t="n">
        <v>3</v>
      </c>
      <c r="R67" s="2" t="inlineStr">
        <is>
          <t>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25270-2025</t>
        </is>
      </c>
      <c r="B68" s="1" t="n">
        <v>45800</v>
      </c>
      <c r="C68" s="1" t="n">
        <v>46140</v>
      </c>
      <c r="D68" t="inlineStr">
        <is>
          <t>STOCKHOLMS LÄN</t>
        </is>
      </c>
      <c r="E68" t="inlineStr">
        <is>
          <t>NORRTÄLJE</t>
        </is>
      </c>
      <c r="F68" t="inlineStr">
        <is>
          <t>Övriga Aktiebolag</t>
        </is>
      </c>
      <c r="G68" t="n">
        <v>30</v>
      </c>
      <c r="H68" t="n">
        <v>0</v>
      </c>
      <c r="I68" t="n">
        <v>2</v>
      </c>
      <c r="J68" t="n">
        <v>1</v>
      </c>
      <c r="K68" t="n">
        <v>0</v>
      </c>
      <c r="L68" t="n">
        <v>0</v>
      </c>
      <c r="M68" t="n">
        <v>0</v>
      </c>
      <c r="N68" t="n">
        <v>0</v>
      </c>
      <c r="O68" t="n">
        <v>1</v>
      </c>
      <c r="P68" t="n">
        <v>0</v>
      </c>
      <c r="Q68" t="n">
        <v>3</v>
      </c>
      <c r="R68" s="2" t="inlineStr">
        <is>
          <t>Kandelabersvamp
Fjällig taggsvamp s.str.
Skarp dropptaggsvamp</t>
        </is>
      </c>
      <c r="S68">
        <f>HYPERLINK("https://klasma.github.io/Logging_0188/artfynd/A 25270-2025 artfynd.xlsx", "A 25270-2025")</f>
        <v/>
      </c>
      <c r="T68">
        <f>HYPERLINK("https://klasma.github.io/Logging_0188/kartor/A 25270-2025 karta.png", "A 25270-2025")</f>
        <v/>
      </c>
      <c r="V68">
        <f>HYPERLINK("https://klasma.github.io/Logging_0188/klagomål/A 25270-2025 FSC-klagomål.docx", "A 25270-2025")</f>
        <v/>
      </c>
      <c r="W68">
        <f>HYPERLINK("https://klasma.github.io/Logging_0188/klagomålsmail/A 25270-2025 FSC-klagomål mail.docx", "A 25270-2025")</f>
        <v/>
      </c>
      <c r="X68">
        <f>HYPERLINK("https://klasma.github.io/Logging_0188/tillsyn/A 25270-2025 tillsynsbegäran.docx", "A 25270-2025")</f>
        <v/>
      </c>
      <c r="Y68">
        <f>HYPERLINK("https://klasma.github.io/Logging_0188/tillsynsmail/A 25270-2025 tillsynsbegäran mail.docx", "A 25270-2025")</f>
        <v/>
      </c>
    </row>
    <row r="69" ht="15" customHeight="1">
      <c r="A69" t="inlineStr">
        <is>
          <t>A 29185-2025</t>
        </is>
      </c>
      <c r="B69" s="1" t="n">
        <v>45821</v>
      </c>
      <c r="C69" s="1" t="n">
        <v>46140</v>
      </c>
      <c r="D69" t="inlineStr">
        <is>
          <t>STOCKHOLMS LÄN</t>
        </is>
      </c>
      <c r="E69" t="inlineStr">
        <is>
          <t>NORRTÄLJE</t>
        </is>
      </c>
      <c r="F69" t="inlineStr">
        <is>
          <t>Övriga Aktiebolag</t>
        </is>
      </c>
      <c r="G69" t="n">
        <v>8.5</v>
      </c>
      <c r="H69" t="n">
        <v>2</v>
      </c>
      <c r="I69" t="n">
        <v>1</v>
      </c>
      <c r="J69" t="n">
        <v>0</v>
      </c>
      <c r="K69" t="n">
        <v>0</v>
      </c>
      <c r="L69" t="n">
        <v>0</v>
      </c>
      <c r="M69" t="n">
        <v>0</v>
      </c>
      <c r="N69" t="n">
        <v>0</v>
      </c>
      <c r="O69" t="n">
        <v>0</v>
      </c>
      <c r="P69" t="n">
        <v>0</v>
      </c>
      <c r="Q69" t="n">
        <v>3</v>
      </c>
      <c r="R69" s="2" t="inlineStr">
        <is>
          <t>Vårärt
Fläcknycklar
Blåsippa</t>
        </is>
      </c>
      <c r="S69">
        <f>HYPERLINK("https://klasma.github.io/Logging_0188/artfynd/A 29185-2025 artfynd.xlsx", "A 29185-2025")</f>
        <v/>
      </c>
      <c r="T69">
        <f>HYPERLINK("https://klasma.github.io/Logging_0188/kartor/A 29185-2025 karta.png", "A 29185-2025")</f>
        <v/>
      </c>
      <c r="V69">
        <f>HYPERLINK("https://klasma.github.io/Logging_0188/klagomål/A 29185-2025 FSC-klagomål.docx", "A 29185-2025")</f>
        <v/>
      </c>
      <c r="W69">
        <f>HYPERLINK("https://klasma.github.io/Logging_0188/klagomålsmail/A 29185-2025 FSC-klagomål mail.docx", "A 29185-2025")</f>
        <v/>
      </c>
      <c r="X69">
        <f>HYPERLINK("https://klasma.github.io/Logging_0188/tillsyn/A 29185-2025 tillsynsbegäran.docx", "A 29185-2025")</f>
        <v/>
      </c>
      <c r="Y69">
        <f>HYPERLINK("https://klasma.github.io/Logging_0188/tillsynsmail/A 29185-2025 tillsynsbegäran mail.docx", "A 29185-2025")</f>
        <v/>
      </c>
    </row>
    <row r="70" ht="15" customHeight="1">
      <c r="A70" t="inlineStr">
        <is>
          <t>A 34524-2025</t>
        </is>
      </c>
      <c r="B70" s="1" t="n">
        <v>45847.47685185185</v>
      </c>
      <c r="C70" s="1" t="n">
        <v>46140</v>
      </c>
      <c r="D70" t="inlineStr">
        <is>
          <t>STOCKHOLMS LÄN</t>
        </is>
      </c>
      <c r="E70" t="inlineStr">
        <is>
          <t>NORRTÄLJE</t>
        </is>
      </c>
      <c r="G70" t="n">
        <v>3.3</v>
      </c>
      <c r="H70" t="n">
        <v>0</v>
      </c>
      <c r="I70" t="n">
        <v>1</v>
      </c>
      <c r="J70" t="n">
        <v>2</v>
      </c>
      <c r="K70" t="n">
        <v>0</v>
      </c>
      <c r="L70" t="n">
        <v>0</v>
      </c>
      <c r="M70" t="n">
        <v>0</v>
      </c>
      <c r="N70" t="n">
        <v>0</v>
      </c>
      <c r="O70" t="n">
        <v>2</v>
      </c>
      <c r="P70" t="n">
        <v>0</v>
      </c>
      <c r="Q70" t="n">
        <v>3</v>
      </c>
      <c r="R70" s="2" t="inlineStr">
        <is>
          <t>Tallticka
Vedtrappmossa
Kornknutmossa</t>
        </is>
      </c>
      <c r="S70">
        <f>HYPERLINK("https://klasma.github.io/Logging_0188/artfynd/A 34524-2025 artfynd.xlsx", "A 34524-2025")</f>
        <v/>
      </c>
      <c r="T70">
        <f>HYPERLINK("https://klasma.github.io/Logging_0188/kartor/A 34524-2025 karta.png", "A 34524-2025")</f>
        <v/>
      </c>
      <c r="V70">
        <f>HYPERLINK("https://klasma.github.io/Logging_0188/klagomål/A 34524-2025 FSC-klagomål.docx", "A 34524-2025")</f>
        <v/>
      </c>
      <c r="W70">
        <f>HYPERLINK("https://klasma.github.io/Logging_0188/klagomålsmail/A 34524-2025 FSC-klagomål mail.docx", "A 34524-2025")</f>
        <v/>
      </c>
      <c r="X70">
        <f>HYPERLINK("https://klasma.github.io/Logging_0188/tillsyn/A 34524-2025 tillsynsbegäran.docx", "A 34524-2025")</f>
        <v/>
      </c>
      <c r="Y70">
        <f>HYPERLINK("https://klasma.github.io/Logging_0188/tillsynsmail/A 34524-2025 tillsynsbegäran mail.docx", "A 34524-2025")</f>
        <v/>
      </c>
    </row>
    <row r="71" ht="15" customHeight="1">
      <c r="A71" t="inlineStr">
        <is>
          <t>A 52133-2022</t>
        </is>
      </c>
      <c r="B71" s="1" t="n">
        <v>44868</v>
      </c>
      <c r="C71" s="1" t="n">
        <v>46140</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46140</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46140</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46140</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51220-2023</t>
        </is>
      </c>
      <c r="B75" s="1" t="n">
        <v>45219</v>
      </c>
      <c r="C75" s="1" t="n">
        <v>46140</v>
      </c>
      <c r="D75" t="inlineStr">
        <is>
          <t>STOCKHOLMS LÄN</t>
        </is>
      </c>
      <c r="E75" t="inlineStr">
        <is>
          <t>NORRTÄLJE</t>
        </is>
      </c>
      <c r="G75" t="n">
        <v>7.7</v>
      </c>
      <c r="H75" t="n">
        <v>1</v>
      </c>
      <c r="I75" t="n">
        <v>0</v>
      </c>
      <c r="J75" t="n">
        <v>1</v>
      </c>
      <c r="K75" t="n">
        <v>0</v>
      </c>
      <c r="L75" t="n">
        <v>0</v>
      </c>
      <c r="M75" t="n">
        <v>0</v>
      </c>
      <c r="N75" t="n">
        <v>0</v>
      </c>
      <c r="O75" t="n">
        <v>1</v>
      </c>
      <c r="P75" t="n">
        <v>0</v>
      </c>
      <c r="Q75" t="n">
        <v>2</v>
      </c>
      <c r="R75" s="2" t="inlineStr">
        <is>
          <t>Ullticka
Blåsippa</t>
        </is>
      </c>
      <c r="S75">
        <f>HYPERLINK("https://klasma.github.io/Logging_0188/artfynd/A 51220-2023 artfynd.xlsx", "A 51220-2023")</f>
        <v/>
      </c>
      <c r="T75">
        <f>HYPERLINK("https://klasma.github.io/Logging_0188/kartor/A 51220-2023 karta.png", "A 51220-2023")</f>
        <v/>
      </c>
      <c r="V75">
        <f>HYPERLINK("https://klasma.github.io/Logging_0188/klagomål/A 51220-2023 FSC-klagomål.docx", "A 51220-2023")</f>
        <v/>
      </c>
      <c r="W75">
        <f>HYPERLINK("https://klasma.github.io/Logging_0188/klagomålsmail/A 51220-2023 FSC-klagomål mail.docx", "A 51220-2023")</f>
        <v/>
      </c>
      <c r="X75">
        <f>HYPERLINK("https://klasma.github.io/Logging_0188/tillsyn/A 51220-2023 tillsynsbegäran.docx", "A 51220-2023")</f>
        <v/>
      </c>
      <c r="Y75">
        <f>HYPERLINK("https://klasma.github.io/Logging_0188/tillsynsmail/A 51220-2023 tillsynsbegäran mail.docx", "A 51220-2023")</f>
        <v/>
      </c>
    </row>
    <row r="76" ht="15" customHeight="1">
      <c r="A76" t="inlineStr">
        <is>
          <t>A 30693-2022</t>
        </is>
      </c>
      <c r="B76" s="1" t="n">
        <v>44763</v>
      </c>
      <c r="C76" s="1" t="n">
        <v>46140</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11031-2025</t>
        </is>
      </c>
      <c r="B77" s="1" t="n">
        <v>45723</v>
      </c>
      <c r="C77" s="1" t="n">
        <v>46140</v>
      </c>
      <c r="D77" t="inlineStr">
        <is>
          <t>STOCKHOLMS LÄN</t>
        </is>
      </c>
      <c r="E77" t="inlineStr">
        <is>
          <t>NORRTÄLJE</t>
        </is>
      </c>
      <c r="F77" t="inlineStr">
        <is>
          <t>Övriga Aktiebolag</t>
        </is>
      </c>
      <c r="G77" t="n">
        <v>13.2</v>
      </c>
      <c r="H77" t="n">
        <v>1</v>
      </c>
      <c r="I77" t="n">
        <v>0</v>
      </c>
      <c r="J77" t="n">
        <v>2</v>
      </c>
      <c r="K77" t="n">
        <v>0</v>
      </c>
      <c r="L77" t="n">
        <v>0</v>
      </c>
      <c r="M77" t="n">
        <v>0</v>
      </c>
      <c r="N77" t="n">
        <v>0</v>
      </c>
      <c r="O77" t="n">
        <v>2</v>
      </c>
      <c r="P77" t="n">
        <v>0</v>
      </c>
      <c r="Q77" t="n">
        <v>2</v>
      </c>
      <c r="R77" s="2" t="inlineStr">
        <is>
          <t>Järpe
Ullticka</t>
        </is>
      </c>
      <c r="S77">
        <f>HYPERLINK("https://klasma.github.io/Logging_0188/artfynd/A 11031-2025 artfynd.xlsx", "A 11031-2025")</f>
        <v/>
      </c>
      <c r="T77">
        <f>HYPERLINK("https://klasma.github.io/Logging_0188/kartor/A 11031-2025 karta.png", "A 11031-2025")</f>
        <v/>
      </c>
      <c r="V77">
        <f>HYPERLINK("https://klasma.github.io/Logging_0188/klagomål/A 11031-2025 FSC-klagomål.docx", "A 11031-2025")</f>
        <v/>
      </c>
      <c r="W77">
        <f>HYPERLINK("https://klasma.github.io/Logging_0188/klagomålsmail/A 11031-2025 FSC-klagomål mail.docx", "A 11031-2025")</f>
        <v/>
      </c>
      <c r="X77">
        <f>HYPERLINK("https://klasma.github.io/Logging_0188/tillsyn/A 11031-2025 tillsynsbegäran.docx", "A 11031-2025")</f>
        <v/>
      </c>
      <c r="Y77">
        <f>HYPERLINK("https://klasma.github.io/Logging_0188/tillsynsmail/A 11031-2025 tillsynsbegäran mail.docx", "A 11031-2025")</f>
        <v/>
      </c>
      <c r="Z77">
        <f>HYPERLINK("https://klasma.github.io/Logging_0188/fåglar/A 11031-2025 prioriterade fågelarter.docx", "A 11031-2025")</f>
        <v/>
      </c>
    </row>
    <row r="78" ht="15" customHeight="1">
      <c r="A78" t="inlineStr">
        <is>
          <t>A 16260-2022</t>
        </is>
      </c>
      <c r="B78" s="1" t="n">
        <v>44670</v>
      </c>
      <c r="C78" s="1" t="n">
        <v>46140</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17952-2022</t>
        </is>
      </c>
      <c r="B79" s="1" t="n">
        <v>44683</v>
      </c>
      <c r="C79" s="1" t="n">
        <v>46140</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50697-2025</t>
        </is>
      </c>
      <c r="B80" s="1" t="n">
        <v>45945.90854166666</v>
      </c>
      <c r="C80" s="1" t="n">
        <v>46140</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52360-2024</t>
        </is>
      </c>
      <c r="B81" s="1" t="n">
        <v>45609.37094907407</v>
      </c>
      <c r="C81" s="1" t="n">
        <v>46140</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52825-2023</t>
        </is>
      </c>
      <c r="B82" s="1" t="n">
        <v>45226</v>
      </c>
      <c r="C82" s="1" t="n">
        <v>46140</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52124-2022</t>
        </is>
      </c>
      <c r="B83" s="1" t="n">
        <v>44868</v>
      </c>
      <c r="C83" s="1" t="n">
        <v>46140</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53608-2025</t>
        </is>
      </c>
      <c r="B84" s="1" t="n">
        <v>45960</v>
      </c>
      <c r="C84" s="1" t="n">
        <v>46140</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51980-2022</t>
        </is>
      </c>
      <c r="B85" s="1" t="n">
        <v>44872</v>
      </c>
      <c r="C85" s="1" t="n">
        <v>46140</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33548-2025</t>
        </is>
      </c>
      <c r="B86" s="1" t="n">
        <v>45841.5721875</v>
      </c>
      <c r="C86" s="1" t="n">
        <v>46140</v>
      </c>
      <c r="D86" t="inlineStr">
        <is>
          <t>STOCKHOLMS LÄN</t>
        </is>
      </c>
      <c r="E86" t="inlineStr">
        <is>
          <t>NORRTÄLJE</t>
        </is>
      </c>
      <c r="G86" t="n">
        <v>12.2</v>
      </c>
      <c r="H86" t="n">
        <v>1</v>
      </c>
      <c r="I86" t="n">
        <v>0</v>
      </c>
      <c r="J86" t="n">
        <v>1</v>
      </c>
      <c r="K86" t="n">
        <v>0</v>
      </c>
      <c r="L86" t="n">
        <v>0</v>
      </c>
      <c r="M86" t="n">
        <v>0</v>
      </c>
      <c r="N86" t="n">
        <v>0</v>
      </c>
      <c r="O86" t="n">
        <v>1</v>
      </c>
      <c r="P86" t="n">
        <v>0</v>
      </c>
      <c r="Q86" t="n">
        <v>2</v>
      </c>
      <c r="R86" s="2" t="inlineStr">
        <is>
          <t>Dofttaggsvamp
Sparvuggla</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c r="Z86">
        <f>HYPERLINK("https://klasma.github.io/Logging_0188/fåglar/A 33548-2025 prioriterade fågelarter.docx", "A 33548-2025")</f>
        <v/>
      </c>
    </row>
    <row r="87" ht="15" customHeight="1">
      <c r="A87" t="inlineStr">
        <is>
          <t>A 1547-2022</t>
        </is>
      </c>
      <c r="B87" s="1" t="n">
        <v>44573</v>
      </c>
      <c r="C87" s="1" t="n">
        <v>46140</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46140</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46140</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46140</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46140</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46140</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46140</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46140</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4860-2022</t>
        </is>
      </c>
      <c r="B95" s="1" t="n">
        <v>44592</v>
      </c>
      <c r="C95" s="1" t="n">
        <v>46140</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13291-2025</t>
        </is>
      </c>
      <c r="B96" s="1" t="n">
        <v>45735</v>
      </c>
      <c r="C96" s="1" t="n">
        <v>46140</v>
      </c>
      <c r="D96" t="inlineStr">
        <is>
          <t>STOCKHOLMS LÄN</t>
        </is>
      </c>
      <c r="E96" t="inlineStr">
        <is>
          <t>NORRTÄLJE</t>
        </is>
      </c>
      <c r="G96" t="n">
        <v>3.8</v>
      </c>
      <c r="H96" t="n">
        <v>1</v>
      </c>
      <c r="I96" t="n">
        <v>0</v>
      </c>
      <c r="J96" t="n">
        <v>0</v>
      </c>
      <c r="K96" t="n">
        <v>0</v>
      </c>
      <c r="L96" t="n">
        <v>0</v>
      </c>
      <c r="M96" t="n">
        <v>0</v>
      </c>
      <c r="N96" t="n">
        <v>0</v>
      </c>
      <c r="O96" t="n">
        <v>0</v>
      </c>
      <c r="P96" t="n">
        <v>0</v>
      </c>
      <c r="Q96" t="n">
        <v>1</v>
      </c>
      <c r="R96" s="2" t="inlineStr">
        <is>
          <t>Blåsippa</t>
        </is>
      </c>
      <c r="S96">
        <f>HYPERLINK("https://klasma.github.io/Logging_0188/artfynd/A 13291-2025 artfynd.xlsx", "A 13291-2025")</f>
        <v/>
      </c>
      <c r="T96">
        <f>HYPERLINK("https://klasma.github.io/Logging_0188/kartor/A 13291-2025 karta.png", "A 13291-2025")</f>
        <v/>
      </c>
      <c r="V96">
        <f>HYPERLINK("https://klasma.github.io/Logging_0188/klagomål/A 13291-2025 FSC-klagomål.docx", "A 13291-2025")</f>
        <v/>
      </c>
      <c r="W96">
        <f>HYPERLINK("https://klasma.github.io/Logging_0188/klagomålsmail/A 13291-2025 FSC-klagomål mail.docx", "A 13291-2025")</f>
        <v/>
      </c>
      <c r="X96">
        <f>HYPERLINK("https://klasma.github.io/Logging_0188/tillsyn/A 13291-2025 tillsynsbegäran.docx", "A 13291-2025")</f>
        <v/>
      </c>
      <c r="Y96">
        <f>HYPERLINK("https://klasma.github.io/Logging_0188/tillsynsmail/A 13291-2025 tillsynsbegäran mail.docx", "A 13291-2025")</f>
        <v/>
      </c>
    </row>
    <row r="97" ht="15" customHeight="1">
      <c r="A97" t="inlineStr">
        <is>
          <t>A 58888-2021</t>
        </is>
      </c>
      <c r="B97" s="1" t="n">
        <v>44489</v>
      </c>
      <c r="C97" s="1" t="n">
        <v>46140</v>
      </c>
      <c r="D97" t="inlineStr">
        <is>
          <t>STOCKHOLMS LÄN</t>
        </is>
      </c>
      <c r="E97" t="inlineStr">
        <is>
          <t>NORRTÄLJE</t>
        </is>
      </c>
      <c r="F97" t="inlineStr">
        <is>
          <t>Holmen skog AB</t>
        </is>
      </c>
      <c r="G97" t="n">
        <v>2.5</v>
      </c>
      <c r="H97" t="n">
        <v>1</v>
      </c>
      <c r="I97" t="n">
        <v>0</v>
      </c>
      <c r="J97" t="n">
        <v>0</v>
      </c>
      <c r="K97" t="n">
        <v>0</v>
      </c>
      <c r="L97" t="n">
        <v>1</v>
      </c>
      <c r="M97" t="n">
        <v>0</v>
      </c>
      <c r="N97" t="n">
        <v>0</v>
      </c>
      <c r="O97" t="n">
        <v>1</v>
      </c>
      <c r="P97" t="n">
        <v>1</v>
      </c>
      <c r="Q97" t="n">
        <v>1</v>
      </c>
      <c r="R97" s="2" t="inlineStr">
        <is>
          <t>Asknätfjäril</t>
        </is>
      </c>
      <c r="S97">
        <f>HYPERLINK("https://klasma.github.io/Logging_0188/artfynd/A 58888-2021 artfynd.xlsx", "A 58888-2021")</f>
        <v/>
      </c>
      <c r="T97">
        <f>HYPERLINK("https://klasma.github.io/Logging_0188/kartor/A 58888-2021 karta.png", "A 58888-2021")</f>
        <v/>
      </c>
      <c r="V97">
        <f>HYPERLINK("https://klasma.github.io/Logging_0188/klagomål/A 58888-2021 FSC-klagomål.docx", "A 58888-2021")</f>
        <v/>
      </c>
      <c r="W97">
        <f>HYPERLINK("https://klasma.github.io/Logging_0188/klagomålsmail/A 58888-2021 FSC-klagomål mail.docx", "A 58888-2021")</f>
        <v/>
      </c>
      <c r="X97">
        <f>HYPERLINK("https://klasma.github.io/Logging_0188/tillsyn/A 58888-2021 tillsynsbegäran.docx", "A 58888-2021")</f>
        <v/>
      </c>
      <c r="Y97">
        <f>HYPERLINK("https://klasma.github.io/Logging_0188/tillsynsmail/A 58888-2021 tillsynsbegäran mail.docx", "A 58888-2021")</f>
        <v/>
      </c>
    </row>
    <row r="98" ht="15" customHeight="1">
      <c r="A98" t="inlineStr">
        <is>
          <t>A 8371-2025</t>
        </is>
      </c>
      <c r="B98" s="1" t="n">
        <v>45708</v>
      </c>
      <c r="C98" s="1" t="n">
        <v>46140</v>
      </c>
      <c r="D98" t="inlineStr">
        <is>
          <t>STOCKHOLMS LÄN</t>
        </is>
      </c>
      <c r="E98" t="inlineStr">
        <is>
          <t>NORRTÄLJE</t>
        </is>
      </c>
      <c r="F98" t="inlineStr">
        <is>
          <t>Övriga Aktiebolag</t>
        </is>
      </c>
      <c r="G98" t="n">
        <v>2.9</v>
      </c>
      <c r="H98" t="n">
        <v>1</v>
      </c>
      <c r="I98" t="n">
        <v>0</v>
      </c>
      <c r="J98" t="n">
        <v>1</v>
      </c>
      <c r="K98" t="n">
        <v>0</v>
      </c>
      <c r="L98" t="n">
        <v>0</v>
      </c>
      <c r="M98" t="n">
        <v>0</v>
      </c>
      <c r="N98" t="n">
        <v>0</v>
      </c>
      <c r="O98" t="n">
        <v>1</v>
      </c>
      <c r="P98" t="n">
        <v>0</v>
      </c>
      <c r="Q98" t="n">
        <v>1</v>
      </c>
      <c r="R98" s="2" t="inlineStr">
        <is>
          <t>Spillkråka</t>
        </is>
      </c>
      <c r="S98">
        <f>HYPERLINK("https://klasma.github.io/Logging_0188/artfynd/A 8371-2025 artfynd.xlsx", "A 8371-2025")</f>
        <v/>
      </c>
      <c r="T98">
        <f>HYPERLINK("https://klasma.github.io/Logging_0188/kartor/A 8371-2025 karta.png", "A 8371-2025")</f>
        <v/>
      </c>
      <c r="V98">
        <f>HYPERLINK("https://klasma.github.io/Logging_0188/klagomål/A 8371-2025 FSC-klagomål.docx", "A 8371-2025")</f>
        <v/>
      </c>
      <c r="W98">
        <f>HYPERLINK("https://klasma.github.io/Logging_0188/klagomålsmail/A 8371-2025 FSC-klagomål mail.docx", "A 8371-2025")</f>
        <v/>
      </c>
      <c r="X98">
        <f>HYPERLINK("https://klasma.github.io/Logging_0188/tillsyn/A 8371-2025 tillsynsbegäran.docx", "A 8371-2025")</f>
        <v/>
      </c>
      <c r="Y98">
        <f>HYPERLINK("https://klasma.github.io/Logging_0188/tillsynsmail/A 8371-2025 tillsynsbegäran mail.docx", "A 8371-2025")</f>
        <v/>
      </c>
      <c r="Z98">
        <f>HYPERLINK("https://klasma.github.io/Logging_0188/fåglar/A 8371-2025 prioriterade fågelarter.docx", "A 8371-2025")</f>
        <v/>
      </c>
    </row>
    <row r="99" ht="15" customHeight="1">
      <c r="A99" t="inlineStr">
        <is>
          <t>A 40861-2025</t>
        </is>
      </c>
      <c r="B99" s="1" t="n">
        <v>45897.56356481482</v>
      </c>
      <c r="C99" s="1" t="n">
        <v>46140</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13271-2025</t>
        </is>
      </c>
      <c r="B100" s="1" t="n">
        <v>45735.54510416667</v>
      </c>
      <c r="C100" s="1" t="n">
        <v>46140</v>
      </c>
      <c r="D100" t="inlineStr">
        <is>
          <t>STOCKHOLMS LÄN</t>
        </is>
      </c>
      <c r="E100" t="inlineStr">
        <is>
          <t>NORRTÄLJE</t>
        </is>
      </c>
      <c r="G100" t="n">
        <v>7.2</v>
      </c>
      <c r="H100" t="n">
        <v>1</v>
      </c>
      <c r="I100" t="n">
        <v>0</v>
      </c>
      <c r="J100" t="n">
        <v>0</v>
      </c>
      <c r="K100" t="n">
        <v>0</v>
      </c>
      <c r="L100" t="n">
        <v>1</v>
      </c>
      <c r="M100" t="n">
        <v>0</v>
      </c>
      <c r="N100" t="n">
        <v>0</v>
      </c>
      <c r="O100" t="n">
        <v>1</v>
      </c>
      <c r="P100" t="n">
        <v>1</v>
      </c>
      <c r="Q100" t="n">
        <v>1</v>
      </c>
      <c r="R100" s="2" t="inlineStr">
        <is>
          <t>Asknätfjäril</t>
        </is>
      </c>
      <c r="S100">
        <f>HYPERLINK("https://klasma.github.io/Logging_0188/artfynd/A 13271-2025 artfynd.xlsx", "A 13271-2025")</f>
        <v/>
      </c>
      <c r="T100">
        <f>HYPERLINK("https://klasma.github.io/Logging_0188/kartor/A 13271-2025 karta.png", "A 13271-2025")</f>
        <v/>
      </c>
      <c r="V100">
        <f>HYPERLINK("https://klasma.github.io/Logging_0188/klagomål/A 13271-2025 FSC-klagomål.docx", "A 13271-2025")</f>
        <v/>
      </c>
      <c r="W100">
        <f>HYPERLINK("https://klasma.github.io/Logging_0188/klagomålsmail/A 13271-2025 FSC-klagomål mail.docx", "A 13271-2025")</f>
        <v/>
      </c>
      <c r="X100">
        <f>HYPERLINK("https://klasma.github.io/Logging_0188/tillsyn/A 13271-2025 tillsynsbegäran.docx", "A 13271-2025")</f>
        <v/>
      </c>
      <c r="Y100">
        <f>HYPERLINK("https://klasma.github.io/Logging_0188/tillsynsmail/A 13271-2025 tillsynsbegäran mail.docx", "A 13271-2025")</f>
        <v/>
      </c>
    </row>
    <row r="101" ht="15" customHeight="1">
      <c r="A101" t="inlineStr">
        <is>
          <t>A 21744-2023</t>
        </is>
      </c>
      <c r="B101" s="1" t="n">
        <v>45065</v>
      </c>
      <c r="C101" s="1" t="n">
        <v>46140</v>
      </c>
      <c r="D101" t="inlineStr">
        <is>
          <t>STOCKHOLMS LÄN</t>
        </is>
      </c>
      <c r="E101" t="inlineStr">
        <is>
          <t>NORRTÄLJE</t>
        </is>
      </c>
      <c r="F101" t="inlineStr">
        <is>
          <t>Holmen skog AB</t>
        </is>
      </c>
      <c r="G101" t="n">
        <v>4.2</v>
      </c>
      <c r="H101" t="n">
        <v>0</v>
      </c>
      <c r="I101" t="n">
        <v>1</v>
      </c>
      <c r="J101" t="n">
        <v>0</v>
      </c>
      <c r="K101" t="n">
        <v>0</v>
      </c>
      <c r="L101" t="n">
        <v>0</v>
      </c>
      <c r="M101" t="n">
        <v>0</v>
      </c>
      <c r="N101" t="n">
        <v>0</v>
      </c>
      <c r="O101" t="n">
        <v>0</v>
      </c>
      <c r="P101" t="n">
        <v>0</v>
      </c>
      <c r="Q101" t="n">
        <v>1</v>
      </c>
      <c r="R101" s="2" t="inlineStr">
        <is>
          <t>Korallblylav</t>
        </is>
      </c>
      <c r="S101">
        <f>HYPERLINK("https://klasma.github.io/Logging_0188/artfynd/A 21744-2023 artfynd.xlsx", "A 21744-2023")</f>
        <v/>
      </c>
      <c r="T101">
        <f>HYPERLINK("https://klasma.github.io/Logging_0188/kartor/A 21744-2023 karta.png", "A 21744-2023")</f>
        <v/>
      </c>
      <c r="V101">
        <f>HYPERLINK("https://klasma.github.io/Logging_0188/klagomål/A 21744-2023 FSC-klagomål.docx", "A 21744-2023")</f>
        <v/>
      </c>
      <c r="W101">
        <f>HYPERLINK("https://klasma.github.io/Logging_0188/klagomålsmail/A 21744-2023 FSC-klagomål mail.docx", "A 21744-2023")</f>
        <v/>
      </c>
      <c r="X101">
        <f>HYPERLINK("https://klasma.github.io/Logging_0188/tillsyn/A 21744-2023 tillsynsbegäran.docx", "A 21744-2023")</f>
        <v/>
      </c>
      <c r="Y101">
        <f>HYPERLINK("https://klasma.github.io/Logging_0188/tillsynsmail/A 21744-2023 tillsynsbegäran mail.docx", "A 21744-2023")</f>
        <v/>
      </c>
    </row>
    <row r="102" ht="15" customHeight="1">
      <c r="A102" t="inlineStr">
        <is>
          <t>A 42313-2025</t>
        </is>
      </c>
      <c r="B102" s="1" t="n">
        <v>45904.6575</v>
      </c>
      <c r="C102" s="1" t="n">
        <v>46140</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23146-2024</t>
        </is>
      </c>
      <c r="B103" s="1" t="n">
        <v>45450.63958333333</v>
      </c>
      <c r="C103" s="1" t="n">
        <v>46140</v>
      </c>
      <c r="D103" t="inlineStr">
        <is>
          <t>STOCKHOLMS LÄN</t>
        </is>
      </c>
      <c r="E103" t="inlineStr">
        <is>
          <t>NORRTÄLJE</t>
        </is>
      </c>
      <c r="F103" t="inlineStr">
        <is>
          <t>Kommuner</t>
        </is>
      </c>
      <c r="G103" t="n">
        <v>6</v>
      </c>
      <c r="H103" t="n">
        <v>0</v>
      </c>
      <c r="I103" t="n">
        <v>0</v>
      </c>
      <c r="J103" t="n">
        <v>1</v>
      </c>
      <c r="K103" t="n">
        <v>0</v>
      </c>
      <c r="L103" t="n">
        <v>0</v>
      </c>
      <c r="M103" t="n">
        <v>0</v>
      </c>
      <c r="N103" t="n">
        <v>0</v>
      </c>
      <c r="O103" t="n">
        <v>1</v>
      </c>
      <c r="P103" t="n">
        <v>0</v>
      </c>
      <c r="Q103" t="n">
        <v>1</v>
      </c>
      <c r="R103" s="2" t="inlineStr">
        <is>
          <t>Motaggsvamp</t>
        </is>
      </c>
      <c r="S103">
        <f>HYPERLINK("https://klasma.github.io/Logging_0188/artfynd/A 23146-2024 artfynd.xlsx", "A 23146-2024")</f>
        <v/>
      </c>
      <c r="T103">
        <f>HYPERLINK("https://klasma.github.io/Logging_0188/kartor/A 23146-2024 karta.png", "A 23146-2024")</f>
        <v/>
      </c>
      <c r="V103">
        <f>HYPERLINK("https://klasma.github.io/Logging_0188/klagomål/A 23146-2024 FSC-klagomål.docx", "A 23146-2024")</f>
        <v/>
      </c>
      <c r="W103">
        <f>HYPERLINK("https://klasma.github.io/Logging_0188/klagomålsmail/A 23146-2024 FSC-klagomål mail.docx", "A 23146-2024")</f>
        <v/>
      </c>
      <c r="X103">
        <f>HYPERLINK("https://klasma.github.io/Logging_0188/tillsyn/A 23146-2024 tillsynsbegäran.docx", "A 23146-2024")</f>
        <v/>
      </c>
      <c r="Y103">
        <f>HYPERLINK("https://klasma.github.io/Logging_0188/tillsynsmail/A 23146-2024 tillsynsbegäran mail.docx", "A 23146-2024")</f>
        <v/>
      </c>
    </row>
    <row r="104" ht="15" customHeight="1">
      <c r="A104" t="inlineStr">
        <is>
          <t>A 27538-2024</t>
        </is>
      </c>
      <c r="B104" s="1" t="n">
        <v>45474</v>
      </c>
      <c r="C104" s="1" t="n">
        <v>46140</v>
      </c>
      <c r="D104" t="inlineStr">
        <is>
          <t>STOCKHOLMS LÄN</t>
        </is>
      </c>
      <c r="E104" t="inlineStr">
        <is>
          <t>NORRTÄLJE</t>
        </is>
      </c>
      <c r="G104" t="n">
        <v>1.5</v>
      </c>
      <c r="H104" t="n">
        <v>1</v>
      </c>
      <c r="I104" t="n">
        <v>1</v>
      </c>
      <c r="J104" t="n">
        <v>0</v>
      </c>
      <c r="K104" t="n">
        <v>0</v>
      </c>
      <c r="L104" t="n">
        <v>0</v>
      </c>
      <c r="M104" t="n">
        <v>0</v>
      </c>
      <c r="N104" t="n">
        <v>0</v>
      </c>
      <c r="O104" t="n">
        <v>0</v>
      </c>
      <c r="P104" t="n">
        <v>0</v>
      </c>
      <c r="Q104" t="n">
        <v>1</v>
      </c>
      <c r="R104" s="2" t="inlineStr">
        <is>
          <t>Skogsknipprot</t>
        </is>
      </c>
      <c r="S104">
        <f>HYPERLINK("https://klasma.github.io/Logging_0188/artfynd/A 27538-2024 artfynd.xlsx", "A 27538-2024")</f>
        <v/>
      </c>
      <c r="T104">
        <f>HYPERLINK("https://klasma.github.io/Logging_0188/kartor/A 27538-2024 karta.png", "A 27538-2024")</f>
        <v/>
      </c>
      <c r="V104">
        <f>HYPERLINK("https://klasma.github.io/Logging_0188/klagomål/A 27538-2024 FSC-klagomål.docx", "A 27538-2024")</f>
        <v/>
      </c>
      <c r="W104">
        <f>HYPERLINK("https://klasma.github.io/Logging_0188/klagomålsmail/A 27538-2024 FSC-klagomål mail.docx", "A 27538-2024")</f>
        <v/>
      </c>
      <c r="X104">
        <f>HYPERLINK("https://klasma.github.io/Logging_0188/tillsyn/A 27538-2024 tillsynsbegäran.docx", "A 27538-2024")</f>
        <v/>
      </c>
      <c r="Y104">
        <f>HYPERLINK("https://klasma.github.io/Logging_0188/tillsynsmail/A 27538-2024 tillsynsbegäran mail.docx", "A 27538-2024")</f>
        <v/>
      </c>
    </row>
    <row r="105" ht="15" customHeight="1">
      <c r="A105" t="inlineStr">
        <is>
          <t>A 4385-2023</t>
        </is>
      </c>
      <c r="B105" s="1" t="n">
        <v>44955.71322916666</v>
      </c>
      <c r="C105" s="1" t="n">
        <v>46140</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39158-2025</t>
        </is>
      </c>
      <c r="B106" s="1" t="n">
        <v>45888</v>
      </c>
      <c r="C106" s="1" t="n">
        <v>46140</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24330-2023</t>
        </is>
      </c>
      <c r="B107" s="1" t="n">
        <v>45081</v>
      </c>
      <c r="C107" s="1" t="n">
        <v>46140</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46140</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26635-2023</t>
        </is>
      </c>
      <c r="B109" s="1" t="n">
        <v>45092</v>
      </c>
      <c r="C109" s="1" t="n">
        <v>46140</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28816-2023</t>
        </is>
      </c>
      <c r="B110" s="1" t="n">
        <v>45104</v>
      </c>
      <c r="C110" s="1" t="n">
        <v>46140</v>
      </c>
      <c r="D110" t="inlineStr">
        <is>
          <t>STOCKHOLMS LÄN</t>
        </is>
      </c>
      <c r="E110" t="inlineStr">
        <is>
          <t>NORRTÄLJE</t>
        </is>
      </c>
      <c r="F110" t="inlineStr">
        <is>
          <t>Kommuner</t>
        </is>
      </c>
      <c r="G110" t="n">
        <v>0.5</v>
      </c>
      <c r="H110" t="n">
        <v>1</v>
      </c>
      <c r="I110" t="n">
        <v>0</v>
      </c>
      <c r="J110" t="n">
        <v>0</v>
      </c>
      <c r="K110" t="n">
        <v>0</v>
      </c>
      <c r="L110" t="n">
        <v>0</v>
      </c>
      <c r="M110" t="n">
        <v>0</v>
      </c>
      <c r="N110" t="n">
        <v>0</v>
      </c>
      <c r="O110" t="n">
        <v>0</v>
      </c>
      <c r="P110" t="n">
        <v>0</v>
      </c>
      <c r="Q110" t="n">
        <v>1</v>
      </c>
      <c r="R110" s="2" t="inlineStr">
        <is>
          <t>Kungsfågel</t>
        </is>
      </c>
      <c r="S110">
        <f>HYPERLINK("https://klasma.github.io/Logging_0188/artfynd/A 28816-2023 artfynd.xlsx", "A 28816-2023")</f>
        <v/>
      </c>
      <c r="T110">
        <f>HYPERLINK("https://klasma.github.io/Logging_0188/kartor/A 28816-2023 karta.png", "A 28816-2023")</f>
        <v/>
      </c>
      <c r="V110">
        <f>HYPERLINK("https://klasma.github.io/Logging_0188/klagomål/A 28816-2023 FSC-klagomål.docx", "A 28816-2023")</f>
        <v/>
      </c>
      <c r="W110">
        <f>HYPERLINK("https://klasma.github.io/Logging_0188/klagomålsmail/A 28816-2023 FSC-klagomål mail.docx", "A 28816-2023")</f>
        <v/>
      </c>
      <c r="X110">
        <f>HYPERLINK("https://klasma.github.io/Logging_0188/tillsyn/A 28816-2023 tillsynsbegäran.docx", "A 28816-2023")</f>
        <v/>
      </c>
      <c r="Y110">
        <f>HYPERLINK("https://klasma.github.io/Logging_0188/tillsynsmail/A 28816-2023 tillsynsbegäran mail.docx", "A 28816-2023")</f>
        <v/>
      </c>
      <c r="Z110">
        <f>HYPERLINK("https://klasma.github.io/Logging_0188/fåglar/A 28816-2023 prioriterade fågelarter.docx", "A 28816-2023")</f>
        <v/>
      </c>
    </row>
    <row r="111" ht="15" customHeight="1">
      <c r="A111" t="inlineStr">
        <is>
          <t>A 19829-2022</t>
        </is>
      </c>
      <c r="B111" s="1" t="n">
        <v>44695.43527777777</v>
      </c>
      <c r="C111" s="1" t="n">
        <v>46140</v>
      </c>
      <c r="D111" t="inlineStr">
        <is>
          <t>STOCKHOLMS LÄN</t>
        </is>
      </c>
      <c r="E111" t="inlineStr">
        <is>
          <t>NORRTÄLJE</t>
        </is>
      </c>
      <c r="G111" t="n">
        <v>2</v>
      </c>
      <c r="H111" t="n">
        <v>1</v>
      </c>
      <c r="I111" t="n">
        <v>1</v>
      </c>
      <c r="J111" t="n">
        <v>0</v>
      </c>
      <c r="K111" t="n">
        <v>0</v>
      </c>
      <c r="L111" t="n">
        <v>0</v>
      </c>
      <c r="M111" t="n">
        <v>0</v>
      </c>
      <c r="N111" t="n">
        <v>0</v>
      </c>
      <c r="O111" t="n">
        <v>0</v>
      </c>
      <c r="P111" t="n">
        <v>0</v>
      </c>
      <c r="Q111" t="n">
        <v>1</v>
      </c>
      <c r="R111" s="2" t="inlineStr">
        <is>
          <t>Guckusko</t>
        </is>
      </c>
      <c r="S111">
        <f>HYPERLINK("https://klasma.github.io/Logging_0188/artfynd/A 19829-2022 artfynd.xlsx", "A 19829-2022")</f>
        <v/>
      </c>
      <c r="T111">
        <f>HYPERLINK("https://klasma.github.io/Logging_0188/kartor/A 19829-2022 karta.png", "A 19829-2022")</f>
        <v/>
      </c>
      <c r="V111">
        <f>HYPERLINK("https://klasma.github.io/Logging_0188/klagomål/A 19829-2022 FSC-klagomål.docx", "A 19829-2022")</f>
        <v/>
      </c>
      <c r="W111">
        <f>HYPERLINK("https://klasma.github.io/Logging_0188/klagomålsmail/A 19829-2022 FSC-klagomål mail.docx", "A 19829-2022")</f>
        <v/>
      </c>
      <c r="X111">
        <f>HYPERLINK("https://klasma.github.io/Logging_0188/tillsyn/A 19829-2022 tillsynsbegäran.docx", "A 19829-2022")</f>
        <v/>
      </c>
      <c r="Y111">
        <f>HYPERLINK("https://klasma.github.io/Logging_0188/tillsynsmail/A 19829-2022 tillsynsbegäran mail.docx", "A 19829-2022")</f>
        <v/>
      </c>
    </row>
    <row r="112" ht="15" customHeight="1">
      <c r="A112" t="inlineStr">
        <is>
          <t>A 35691-2023</t>
        </is>
      </c>
      <c r="B112" s="1" t="n">
        <v>45147.65222222222</v>
      </c>
      <c r="C112" s="1" t="n">
        <v>46140</v>
      </c>
      <c r="D112" t="inlineStr">
        <is>
          <t>STOCKHOLMS LÄN</t>
        </is>
      </c>
      <c r="E112" t="inlineStr">
        <is>
          <t>NORRTÄLJE</t>
        </is>
      </c>
      <c r="G112" t="n">
        <v>2.3</v>
      </c>
      <c r="H112" t="n">
        <v>1</v>
      </c>
      <c r="I112" t="n">
        <v>0</v>
      </c>
      <c r="J112" t="n">
        <v>0</v>
      </c>
      <c r="K112" t="n">
        <v>0</v>
      </c>
      <c r="L112" t="n">
        <v>0</v>
      </c>
      <c r="M112" t="n">
        <v>0</v>
      </c>
      <c r="N112" t="n">
        <v>0</v>
      </c>
      <c r="O112" t="n">
        <v>0</v>
      </c>
      <c r="P112" t="n">
        <v>0</v>
      </c>
      <c r="Q112" t="n">
        <v>1</v>
      </c>
      <c r="R112" s="2" t="inlineStr">
        <is>
          <t>Kungsfågel</t>
        </is>
      </c>
      <c r="S112">
        <f>HYPERLINK("https://klasma.github.io/Logging_0188/artfynd/A 35691-2023 artfynd.xlsx", "A 35691-2023")</f>
        <v/>
      </c>
      <c r="T112">
        <f>HYPERLINK("https://klasma.github.io/Logging_0188/kartor/A 35691-2023 karta.png", "A 35691-2023")</f>
        <v/>
      </c>
      <c r="V112">
        <f>HYPERLINK("https://klasma.github.io/Logging_0188/klagomål/A 35691-2023 FSC-klagomål.docx", "A 35691-2023")</f>
        <v/>
      </c>
      <c r="W112">
        <f>HYPERLINK("https://klasma.github.io/Logging_0188/klagomålsmail/A 35691-2023 FSC-klagomål mail.docx", "A 35691-2023")</f>
        <v/>
      </c>
      <c r="X112">
        <f>HYPERLINK("https://klasma.github.io/Logging_0188/tillsyn/A 35691-2023 tillsynsbegäran.docx", "A 35691-2023")</f>
        <v/>
      </c>
      <c r="Y112">
        <f>HYPERLINK("https://klasma.github.io/Logging_0188/tillsynsmail/A 35691-2023 tillsynsbegäran mail.docx", "A 35691-2023")</f>
        <v/>
      </c>
      <c r="Z112">
        <f>HYPERLINK("https://klasma.github.io/Logging_0188/fåglar/A 35691-2023 prioriterade fågelarter.docx", "A 35691-2023")</f>
        <v/>
      </c>
    </row>
    <row r="113" ht="15" customHeight="1">
      <c r="A113" t="inlineStr">
        <is>
          <t>A 35693-2023</t>
        </is>
      </c>
      <c r="B113" s="1" t="n">
        <v>45147.65311342593</v>
      </c>
      <c r="C113" s="1" t="n">
        <v>46140</v>
      </c>
      <c r="D113" t="inlineStr">
        <is>
          <t>STOCKHOLMS LÄN</t>
        </is>
      </c>
      <c r="E113" t="inlineStr">
        <is>
          <t>NORRTÄLJE</t>
        </is>
      </c>
      <c r="G113" t="n">
        <v>2.2</v>
      </c>
      <c r="H113" t="n">
        <v>0</v>
      </c>
      <c r="I113" t="n">
        <v>0</v>
      </c>
      <c r="J113" t="n">
        <v>1</v>
      </c>
      <c r="K113" t="n">
        <v>0</v>
      </c>
      <c r="L113" t="n">
        <v>0</v>
      </c>
      <c r="M113" t="n">
        <v>0</v>
      </c>
      <c r="N113" t="n">
        <v>0</v>
      </c>
      <c r="O113" t="n">
        <v>1</v>
      </c>
      <c r="P113" t="n">
        <v>0</v>
      </c>
      <c r="Q113" t="n">
        <v>1</v>
      </c>
      <c r="R113" s="2" t="inlineStr">
        <is>
          <t>Motaggsvamp</t>
        </is>
      </c>
      <c r="S113">
        <f>HYPERLINK("https://klasma.github.io/Logging_0188/artfynd/A 35693-2023 artfynd.xlsx", "A 35693-2023")</f>
        <v/>
      </c>
      <c r="T113">
        <f>HYPERLINK("https://klasma.github.io/Logging_0188/kartor/A 35693-2023 karta.png", "A 35693-2023")</f>
        <v/>
      </c>
      <c r="V113">
        <f>HYPERLINK("https://klasma.github.io/Logging_0188/klagomål/A 35693-2023 FSC-klagomål.docx", "A 35693-2023")</f>
        <v/>
      </c>
      <c r="W113">
        <f>HYPERLINK("https://klasma.github.io/Logging_0188/klagomålsmail/A 35693-2023 FSC-klagomål mail.docx", "A 35693-2023")</f>
        <v/>
      </c>
      <c r="X113">
        <f>HYPERLINK("https://klasma.github.io/Logging_0188/tillsyn/A 35693-2023 tillsynsbegäran.docx", "A 35693-2023")</f>
        <v/>
      </c>
      <c r="Y113">
        <f>HYPERLINK("https://klasma.github.io/Logging_0188/tillsynsmail/A 35693-2023 tillsynsbegäran mail.docx", "A 35693-2023")</f>
        <v/>
      </c>
    </row>
    <row r="114" ht="15" customHeight="1">
      <c r="A114" t="inlineStr">
        <is>
          <t>A 52775-2025</t>
        </is>
      </c>
      <c r="B114" s="1" t="n">
        <v>45957.41608796296</v>
      </c>
      <c r="C114" s="1" t="n">
        <v>46140</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46140</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16870-2025</t>
        </is>
      </c>
      <c r="B116" s="1" t="n">
        <v>45754</v>
      </c>
      <c r="C116" s="1" t="n">
        <v>46140</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59682-2025</t>
        </is>
      </c>
      <c r="B117" s="1" t="n">
        <v>45992.47116898148</v>
      </c>
      <c r="C117" s="1" t="n">
        <v>46140</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4532-2025</t>
        </is>
      </c>
      <c r="B118" s="1" t="n">
        <v>45687.34177083334</v>
      </c>
      <c r="C118" s="1" t="n">
        <v>46140</v>
      </c>
      <c r="D118" t="inlineStr">
        <is>
          <t>STOCKHOLMS LÄN</t>
        </is>
      </c>
      <c r="E118" t="inlineStr">
        <is>
          <t>NORRTÄLJE</t>
        </is>
      </c>
      <c r="F118" t="inlineStr">
        <is>
          <t>Holmen skog AB</t>
        </is>
      </c>
      <c r="G118" t="n">
        <v>6.4</v>
      </c>
      <c r="H118" t="n">
        <v>1</v>
      </c>
      <c r="I118" t="n">
        <v>0</v>
      </c>
      <c r="J118" t="n">
        <v>0</v>
      </c>
      <c r="K118" t="n">
        <v>0</v>
      </c>
      <c r="L118" t="n">
        <v>1</v>
      </c>
      <c r="M118" t="n">
        <v>0</v>
      </c>
      <c r="N118" t="n">
        <v>0</v>
      </c>
      <c r="O118" t="n">
        <v>1</v>
      </c>
      <c r="P118" t="n">
        <v>1</v>
      </c>
      <c r="Q118" t="n">
        <v>1</v>
      </c>
      <c r="R118" s="2" t="inlineStr">
        <is>
          <t>Asknätfjäril</t>
        </is>
      </c>
      <c r="S118">
        <f>HYPERLINK("https://klasma.github.io/Logging_0188/artfynd/A 4532-2025 artfynd.xlsx", "A 4532-2025")</f>
        <v/>
      </c>
      <c r="T118">
        <f>HYPERLINK("https://klasma.github.io/Logging_0188/kartor/A 4532-2025 karta.png", "A 4532-2025")</f>
        <v/>
      </c>
      <c r="V118">
        <f>HYPERLINK("https://klasma.github.io/Logging_0188/klagomål/A 4532-2025 FSC-klagomål.docx", "A 4532-2025")</f>
        <v/>
      </c>
      <c r="W118">
        <f>HYPERLINK("https://klasma.github.io/Logging_0188/klagomålsmail/A 4532-2025 FSC-klagomål mail.docx", "A 4532-2025")</f>
        <v/>
      </c>
      <c r="X118">
        <f>HYPERLINK("https://klasma.github.io/Logging_0188/tillsyn/A 4532-2025 tillsynsbegäran.docx", "A 4532-2025")</f>
        <v/>
      </c>
      <c r="Y118">
        <f>HYPERLINK("https://klasma.github.io/Logging_0188/tillsynsmail/A 4532-2025 tillsynsbegäran mail.docx", "A 4532-2025")</f>
        <v/>
      </c>
    </row>
    <row r="119" ht="15" customHeight="1">
      <c r="A119" t="inlineStr">
        <is>
          <t>A 62715-2025</t>
        </is>
      </c>
      <c r="B119" s="1" t="n">
        <v>46008.52034722222</v>
      </c>
      <c r="C119" s="1" t="n">
        <v>46140</v>
      </c>
      <c r="D119" t="inlineStr">
        <is>
          <t>STOCKHOLMS LÄN</t>
        </is>
      </c>
      <c r="E119" t="inlineStr">
        <is>
          <t>NORRTÄLJE</t>
        </is>
      </c>
      <c r="G119" t="n">
        <v>0.8</v>
      </c>
      <c r="H119" t="n">
        <v>0</v>
      </c>
      <c r="I119" t="n">
        <v>1</v>
      </c>
      <c r="J119" t="n">
        <v>0</v>
      </c>
      <c r="K119" t="n">
        <v>0</v>
      </c>
      <c r="L119" t="n">
        <v>0</v>
      </c>
      <c r="M119" t="n">
        <v>0</v>
      </c>
      <c r="N119" t="n">
        <v>0</v>
      </c>
      <c r="O119" t="n">
        <v>0</v>
      </c>
      <c r="P119" t="n">
        <v>0</v>
      </c>
      <c r="Q119" t="n">
        <v>1</v>
      </c>
      <c r="R119" s="2" t="inlineStr">
        <is>
          <t>Granbarkgnagare</t>
        </is>
      </c>
      <c r="S119">
        <f>HYPERLINK("https://klasma.github.io/Logging_0188/artfynd/A 62715-2025 artfynd.xlsx", "A 62715-2025")</f>
        <v/>
      </c>
      <c r="T119">
        <f>HYPERLINK("https://klasma.github.io/Logging_0188/kartor/A 62715-2025 karta.png", "A 62715-2025")</f>
        <v/>
      </c>
      <c r="V119">
        <f>HYPERLINK("https://klasma.github.io/Logging_0188/klagomål/A 62715-2025 FSC-klagomål.docx", "A 62715-2025")</f>
        <v/>
      </c>
      <c r="W119">
        <f>HYPERLINK("https://klasma.github.io/Logging_0188/klagomålsmail/A 62715-2025 FSC-klagomål mail.docx", "A 62715-2025")</f>
        <v/>
      </c>
      <c r="X119">
        <f>HYPERLINK("https://klasma.github.io/Logging_0188/tillsyn/A 62715-2025 tillsynsbegäran.docx", "A 62715-2025")</f>
        <v/>
      </c>
      <c r="Y119">
        <f>HYPERLINK("https://klasma.github.io/Logging_0188/tillsynsmail/A 62715-2025 tillsynsbegäran mail.docx", "A 62715-2025")</f>
        <v/>
      </c>
    </row>
    <row r="120" ht="15" customHeight="1">
      <c r="A120" t="inlineStr">
        <is>
          <t>A 63292-2025</t>
        </is>
      </c>
      <c r="B120" s="1" t="n">
        <v>46010.59232638889</v>
      </c>
      <c r="C120" s="1" t="n">
        <v>46140</v>
      </c>
      <c r="D120" t="inlineStr">
        <is>
          <t>STOCKHOLMS LÄN</t>
        </is>
      </c>
      <c r="E120" t="inlineStr">
        <is>
          <t>NORRTÄLJE</t>
        </is>
      </c>
      <c r="G120" t="n">
        <v>11.1</v>
      </c>
      <c r="H120" t="n">
        <v>1</v>
      </c>
      <c r="I120" t="n">
        <v>1</v>
      </c>
      <c r="J120" t="n">
        <v>0</v>
      </c>
      <c r="K120" t="n">
        <v>0</v>
      </c>
      <c r="L120" t="n">
        <v>0</v>
      </c>
      <c r="M120" t="n">
        <v>0</v>
      </c>
      <c r="N120" t="n">
        <v>0</v>
      </c>
      <c r="O120" t="n">
        <v>0</v>
      </c>
      <c r="P120" t="n">
        <v>0</v>
      </c>
      <c r="Q120" t="n">
        <v>1</v>
      </c>
      <c r="R120" s="2" t="inlineStr">
        <is>
          <t>Nästrot</t>
        </is>
      </c>
      <c r="S120">
        <f>HYPERLINK("https://klasma.github.io/Logging_0188/artfynd/A 63292-2025 artfynd.xlsx", "A 63292-2025")</f>
        <v/>
      </c>
      <c r="T120">
        <f>HYPERLINK("https://klasma.github.io/Logging_0188/kartor/A 63292-2025 karta.png", "A 63292-2025")</f>
        <v/>
      </c>
      <c r="V120">
        <f>HYPERLINK("https://klasma.github.io/Logging_0188/klagomål/A 63292-2025 FSC-klagomål.docx", "A 63292-2025")</f>
        <v/>
      </c>
      <c r="W120">
        <f>HYPERLINK("https://klasma.github.io/Logging_0188/klagomålsmail/A 63292-2025 FSC-klagomål mail.docx", "A 63292-2025")</f>
        <v/>
      </c>
      <c r="X120">
        <f>HYPERLINK("https://klasma.github.io/Logging_0188/tillsyn/A 63292-2025 tillsynsbegäran.docx", "A 63292-2025")</f>
        <v/>
      </c>
      <c r="Y120">
        <f>HYPERLINK("https://klasma.github.io/Logging_0188/tillsynsmail/A 63292-2025 tillsynsbegäran mail.docx", "A 63292-2025")</f>
        <v/>
      </c>
    </row>
    <row r="121" ht="15" customHeight="1">
      <c r="A121" t="inlineStr">
        <is>
          <t>A 364-2026</t>
        </is>
      </c>
      <c r="B121" s="1" t="n">
        <v>46027.67134259259</v>
      </c>
      <c r="C121" s="1" t="n">
        <v>46140</v>
      </c>
      <c r="D121" t="inlineStr">
        <is>
          <t>STOCKHOLMS LÄN</t>
        </is>
      </c>
      <c r="E121" t="inlineStr">
        <is>
          <t>NORRTÄLJE</t>
        </is>
      </c>
      <c r="F121" t="inlineStr">
        <is>
          <t>Holmen skog AB</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364-2026 artfynd.xlsx", "A 364-2026")</f>
        <v/>
      </c>
      <c r="T121">
        <f>HYPERLINK("https://klasma.github.io/Logging_0188/kartor/A 364-2026 karta.png", "A 364-2026")</f>
        <v/>
      </c>
      <c r="V121">
        <f>HYPERLINK("https://klasma.github.io/Logging_0188/klagomål/A 364-2026 FSC-klagomål.docx", "A 364-2026")</f>
        <v/>
      </c>
      <c r="W121">
        <f>HYPERLINK("https://klasma.github.io/Logging_0188/klagomålsmail/A 364-2026 FSC-klagomål mail.docx", "A 364-2026")</f>
        <v/>
      </c>
      <c r="X121">
        <f>HYPERLINK("https://klasma.github.io/Logging_0188/tillsyn/A 364-2026 tillsynsbegäran.docx", "A 364-2026")</f>
        <v/>
      </c>
      <c r="Y121">
        <f>HYPERLINK("https://klasma.github.io/Logging_0188/tillsynsmail/A 364-2026 tillsynsbegäran mail.docx", "A 364-2026")</f>
        <v/>
      </c>
    </row>
    <row r="122" ht="15" customHeight="1">
      <c r="A122" t="inlineStr">
        <is>
          <t>A 14365-2025</t>
        </is>
      </c>
      <c r="B122" s="1" t="n">
        <v>45741.38688657407</v>
      </c>
      <c r="C122" s="1" t="n">
        <v>46140</v>
      </c>
      <c r="D122" t="inlineStr">
        <is>
          <t>STOCKHOLMS LÄN</t>
        </is>
      </c>
      <c r="E122" t="inlineStr">
        <is>
          <t>NORRTÄLJE</t>
        </is>
      </c>
      <c r="G122" t="n">
        <v>2.4</v>
      </c>
      <c r="H122" t="n">
        <v>0</v>
      </c>
      <c r="I122" t="n">
        <v>0</v>
      </c>
      <c r="J122" t="n">
        <v>1</v>
      </c>
      <c r="K122" t="n">
        <v>0</v>
      </c>
      <c r="L122" t="n">
        <v>0</v>
      </c>
      <c r="M122" t="n">
        <v>0</v>
      </c>
      <c r="N122" t="n">
        <v>0</v>
      </c>
      <c r="O122" t="n">
        <v>1</v>
      </c>
      <c r="P122" t="n">
        <v>0</v>
      </c>
      <c r="Q122" t="n">
        <v>1</v>
      </c>
      <c r="R122" s="2" t="inlineStr">
        <is>
          <t>Granticka</t>
        </is>
      </c>
      <c r="S122">
        <f>HYPERLINK("https://klasma.github.io/Logging_0188/artfynd/A 14365-2025 artfynd.xlsx", "A 14365-2025")</f>
        <v/>
      </c>
      <c r="T122">
        <f>HYPERLINK("https://klasma.github.io/Logging_0188/kartor/A 14365-2025 karta.png", "A 14365-2025")</f>
        <v/>
      </c>
      <c r="V122">
        <f>HYPERLINK("https://klasma.github.io/Logging_0188/klagomål/A 14365-2025 FSC-klagomål.docx", "A 14365-2025")</f>
        <v/>
      </c>
      <c r="W122">
        <f>HYPERLINK("https://klasma.github.io/Logging_0188/klagomålsmail/A 14365-2025 FSC-klagomål mail.docx", "A 14365-2025")</f>
        <v/>
      </c>
      <c r="X122">
        <f>HYPERLINK("https://klasma.github.io/Logging_0188/tillsyn/A 14365-2025 tillsynsbegäran.docx", "A 14365-2025")</f>
        <v/>
      </c>
      <c r="Y122">
        <f>HYPERLINK("https://klasma.github.io/Logging_0188/tillsynsmail/A 14365-2025 tillsynsbegäran mail.docx", "A 14365-2025")</f>
        <v/>
      </c>
    </row>
    <row r="123" ht="15" customHeight="1">
      <c r="A123" t="inlineStr">
        <is>
          <t>A 21150-2022</t>
        </is>
      </c>
      <c r="B123" s="1" t="n">
        <v>44704</v>
      </c>
      <c r="C123" s="1" t="n">
        <v>46140</v>
      </c>
      <c r="D123" t="inlineStr">
        <is>
          <t>STOCKHOLMS LÄN</t>
        </is>
      </c>
      <c r="E123" t="inlineStr">
        <is>
          <t>NORRTÄLJE</t>
        </is>
      </c>
      <c r="G123" t="n">
        <v>12.5</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21150-2022 artfynd.xlsx", "A 21150-2022")</f>
        <v/>
      </c>
      <c r="T123">
        <f>HYPERLINK("https://klasma.github.io/Logging_0188/kartor/A 21150-2022 karta.png", "A 21150-2022")</f>
        <v/>
      </c>
      <c r="V123">
        <f>HYPERLINK("https://klasma.github.io/Logging_0188/klagomål/A 21150-2022 FSC-klagomål.docx", "A 21150-2022")</f>
        <v/>
      </c>
      <c r="W123">
        <f>HYPERLINK("https://klasma.github.io/Logging_0188/klagomålsmail/A 21150-2022 FSC-klagomål mail.docx", "A 21150-2022")</f>
        <v/>
      </c>
      <c r="X123">
        <f>HYPERLINK("https://klasma.github.io/Logging_0188/tillsyn/A 21150-2022 tillsynsbegäran.docx", "A 21150-2022")</f>
        <v/>
      </c>
      <c r="Y123">
        <f>HYPERLINK("https://klasma.github.io/Logging_0188/tillsynsmail/A 21150-2022 tillsynsbegäran mail.docx", "A 21150-2022")</f>
        <v/>
      </c>
    </row>
    <row r="124" ht="15" customHeight="1">
      <c r="A124" t="inlineStr">
        <is>
          <t>A 26120-2024</t>
        </is>
      </c>
      <c r="B124" s="1" t="n">
        <v>45468.45995370371</v>
      </c>
      <c r="C124" s="1" t="n">
        <v>46140</v>
      </c>
      <c r="D124" t="inlineStr">
        <is>
          <t>STOCKHOLMS LÄN</t>
        </is>
      </c>
      <c r="E124" t="inlineStr">
        <is>
          <t>NORRTÄLJE</t>
        </is>
      </c>
      <c r="G124" t="n">
        <v>1.8</v>
      </c>
      <c r="H124" t="n">
        <v>0</v>
      </c>
      <c r="I124" t="n">
        <v>0</v>
      </c>
      <c r="J124" t="n">
        <v>1</v>
      </c>
      <c r="K124" t="n">
        <v>0</v>
      </c>
      <c r="L124" t="n">
        <v>0</v>
      </c>
      <c r="M124" t="n">
        <v>0</v>
      </c>
      <c r="N124" t="n">
        <v>0</v>
      </c>
      <c r="O124" t="n">
        <v>1</v>
      </c>
      <c r="P124" t="n">
        <v>0</v>
      </c>
      <c r="Q124" t="n">
        <v>1</v>
      </c>
      <c r="R124" s="2" t="inlineStr">
        <is>
          <t>Majviva</t>
        </is>
      </c>
      <c r="S124">
        <f>HYPERLINK("https://klasma.github.io/Logging_0188/artfynd/A 26120-2024 artfynd.xlsx", "A 26120-2024")</f>
        <v/>
      </c>
      <c r="T124">
        <f>HYPERLINK("https://klasma.github.io/Logging_0188/kartor/A 26120-2024 karta.png", "A 26120-2024")</f>
        <v/>
      </c>
      <c r="V124">
        <f>HYPERLINK("https://klasma.github.io/Logging_0188/klagomål/A 26120-2024 FSC-klagomål.docx", "A 26120-2024")</f>
        <v/>
      </c>
      <c r="W124">
        <f>HYPERLINK("https://klasma.github.io/Logging_0188/klagomålsmail/A 26120-2024 FSC-klagomål mail.docx", "A 26120-2024")</f>
        <v/>
      </c>
      <c r="X124">
        <f>HYPERLINK("https://klasma.github.io/Logging_0188/tillsyn/A 26120-2024 tillsynsbegäran.docx", "A 26120-2024")</f>
        <v/>
      </c>
      <c r="Y124">
        <f>HYPERLINK("https://klasma.github.io/Logging_0188/tillsynsmail/A 26120-2024 tillsynsbegäran mail.docx", "A 26120-2024")</f>
        <v/>
      </c>
    </row>
    <row r="125" ht="15" customHeight="1">
      <c r="A125" t="inlineStr">
        <is>
          <t>A 11429-2023</t>
        </is>
      </c>
      <c r="B125" s="1" t="n">
        <v>44993</v>
      </c>
      <c r="C125" s="1" t="n">
        <v>46140</v>
      </c>
      <c r="D125" t="inlineStr">
        <is>
          <t>STOCKHOLMS LÄN</t>
        </is>
      </c>
      <c r="E125" t="inlineStr">
        <is>
          <t>NORRTÄLJE</t>
        </is>
      </c>
      <c r="G125" t="n">
        <v>2</v>
      </c>
      <c r="H125" t="n">
        <v>0</v>
      </c>
      <c r="I125" t="n">
        <v>0</v>
      </c>
      <c r="J125" t="n">
        <v>1</v>
      </c>
      <c r="K125" t="n">
        <v>0</v>
      </c>
      <c r="L125" t="n">
        <v>0</v>
      </c>
      <c r="M125" t="n">
        <v>0</v>
      </c>
      <c r="N125" t="n">
        <v>0</v>
      </c>
      <c r="O125" t="n">
        <v>1</v>
      </c>
      <c r="P125" t="n">
        <v>0</v>
      </c>
      <c r="Q125" t="n">
        <v>1</v>
      </c>
      <c r="R125" s="2" t="inlineStr">
        <is>
          <t>Skogsklocka</t>
        </is>
      </c>
      <c r="S125">
        <f>HYPERLINK("https://klasma.github.io/Logging_0188/artfynd/A 11429-2023 artfynd.xlsx", "A 11429-2023")</f>
        <v/>
      </c>
      <c r="T125">
        <f>HYPERLINK("https://klasma.github.io/Logging_0188/kartor/A 11429-2023 karta.png", "A 11429-2023")</f>
        <v/>
      </c>
      <c r="V125">
        <f>HYPERLINK("https://klasma.github.io/Logging_0188/klagomål/A 11429-2023 FSC-klagomål.docx", "A 11429-2023")</f>
        <v/>
      </c>
      <c r="W125">
        <f>HYPERLINK("https://klasma.github.io/Logging_0188/klagomålsmail/A 11429-2023 FSC-klagomål mail.docx", "A 11429-2023")</f>
        <v/>
      </c>
      <c r="X125">
        <f>HYPERLINK("https://klasma.github.io/Logging_0188/tillsyn/A 11429-2023 tillsynsbegäran.docx", "A 11429-2023")</f>
        <v/>
      </c>
      <c r="Y125">
        <f>HYPERLINK("https://klasma.github.io/Logging_0188/tillsynsmail/A 11429-2023 tillsynsbegäran mail.docx", "A 11429-2023")</f>
        <v/>
      </c>
    </row>
    <row r="126" ht="15" customHeight="1">
      <c r="A126" t="inlineStr">
        <is>
          <t>A 50854-2022</t>
        </is>
      </c>
      <c r="B126" s="1" t="n">
        <v>44863</v>
      </c>
      <c r="C126" s="1" t="n">
        <v>46140</v>
      </c>
      <c r="D126" t="inlineStr">
        <is>
          <t>STOCKHOLMS LÄN</t>
        </is>
      </c>
      <c r="E126" t="inlineStr">
        <is>
          <t>NORRTÄLJE</t>
        </is>
      </c>
      <c r="G126" t="n">
        <v>2.9</v>
      </c>
      <c r="H126" t="n">
        <v>0</v>
      </c>
      <c r="I126" t="n">
        <v>1</v>
      </c>
      <c r="J126" t="n">
        <v>0</v>
      </c>
      <c r="K126" t="n">
        <v>0</v>
      </c>
      <c r="L126" t="n">
        <v>0</v>
      </c>
      <c r="M126" t="n">
        <v>0</v>
      </c>
      <c r="N126" t="n">
        <v>0</v>
      </c>
      <c r="O126" t="n">
        <v>0</v>
      </c>
      <c r="P126" t="n">
        <v>0</v>
      </c>
      <c r="Q126" t="n">
        <v>1</v>
      </c>
      <c r="R126" s="2" t="inlineStr">
        <is>
          <t>Tibast</t>
        </is>
      </c>
      <c r="S126">
        <f>HYPERLINK("https://klasma.github.io/Logging_0188/artfynd/A 50854-2022 artfynd.xlsx", "A 50854-2022")</f>
        <v/>
      </c>
      <c r="T126">
        <f>HYPERLINK("https://klasma.github.io/Logging_0188/kartor/A 50854-2022 karta.png", "A 50854-2022")</f>
        <v/>
      </c>
      <c r="V126">
        <f>HYPERLINK("https://klasma.github.io/Logging_0188/klagomål/A 50854-2022 FSC-klagomål.docx", "A 50854-2022")</f>
        <v/>
      </c>
      <c r="W126">
        <f>HYPERLINK("https://klasma.github.io/Logging_0188/klagomålsmail/A 50854-2022 FSC-klagomål mail.docx", "A 50854-2022")</f>
        <v/>
      </c>
      <c r="X126">
        <f>HYPERLINK("https://klasma.github.io/Logging_0188/tillsyn/A 50854-2022 tillsynsbegäran.docx", "A 50854-2022")</f>
        <v/>
      </c>
      <c r="Y126">
        <f>HYPERLINK("https://klasma.github.io/Logging_0188/tillsynsmail/A 50854-2022 tillsynsbegäran mail.docx", "A 50854-2022")</f>
        <v/>
      </c>
    </row>
    <row r="127" ht="15" customHeight="1">
      <c r="A127" t="inlineStr">
        <is>
          <t>A 7734-2026</t>
        </is>
      </c>
      <c r="B127" s="1" t="n">
        <v>46062.52902777777</v>
      </c>
      <c r="C127" s="1" t="n">
        <v>46140</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64456-2023</t>
        </is>
      </c>
      <c r="B128" s="1" t="n">
        <v>45280</v>
      </c>
      <c r="C128" s="1" t="n">
        <v>46140</v>
      </c>
      <c r="D128" t="inlineStr">
        <is>
          <t>STOCKHOLMS LÄN</t>
        </is>
      </c>
      <c r="E128" t="inlineStr">
        <is>
          <t>NORRTÄLJE</t>
        </is>
      </c>
      <c r="G128" t="n">
        <v>2.5</v>
      </c>
      <c r="H128" t="n">
        <v>0</v>
      </c>
      <c r="I128" t="n">
        <v>1</v>
      </c>
      <c r="J128" t="n">
        <v>0</v>
      </c>
      <c r="K128" t="n">
        <v>0</v>
      </c>
      <c r="L128" t="n">
        <v>0</v>
      </c>
      <c r="M128" t="n">
        <v>0</v>
      </c>
      <c r="N128" t="n">
        <v>0</v>
      </c>
      <c r="O128" t="n">
        <v>0</v>
      </c>
      <c r="P128" t="n">
        <v>0</v>
      </c>
      <c r="Q128" t="n">
        <v>1</v>
      </c>
      <c r="R128" s="2" t="inlineStr">
        <is>
          <t>Rödgul trumpetsvamp</t>
        </is>
      </c>
      <c r="S128">
        <f>HYPERLINK("https://klasma.github.io/Logging_0188/artfynd/A 64456-2023 artfynd.xlsx", "A 64456-2023")</f>
        <v/>
      </c>
      <c r="T128">
        <f>HYPERLINK("https://klasma.github.io/Logging_0188/kartor/A 64456-2023 karta.png", "A 64456-2023")</f>
        <v/>
      </c>
      <c r="V128">
        <f>HYPERLINK("https://klasma.github.io/Logging_0188/klagomål/A 64456-2023 FSC-klagomål.docx", "A 64456-2023")</f>
        <v/>
      </c>
      <c r="W128">
        <f>HYPERLINK("https://klasma.github.io/Logging_0188/klagomålsmail/A 64456-2023 FSC-klagomål mail.docx", "A 64456-2023")</f>
        <v/>
      </c>
      <c r="X128">
        <f>HYPERLINK("https://klasma.github.io/Logging_0188/tillsyn/A 64456-2023 tillsynsbegäran.docx", "A 64456-2023")</f>
        <v/>
      </c>
      <c r="Y128">
        <f>HYPERLINK("https://klasma.github.io/Logging_0188/tillsynsmail/A 64456-2023 tillsynsbegäran mail.docx", "A 64456-2023")</f>
        <v/>
      </c>
    </row>
    <row r="129" ht="15" customHeight="1">
      <c r="A129" t="inlineStr">
        <is>
          <t>A 31281-2022</t>
        </is>
      </c>
      <c r="B129" s="1" t="n">
        <v>44771</v>
      </c>
      <c r="C129" s="1" t="n">
        <v>46140</v>
      </c>
      <c r="D129" t="inlineStr">
        <is>
          <t>STOCKHOLMS LÄN</t>
        </is>
      </c>
      <c r="E129" t="inlineStr">
        <is>
          <t>NORRTÄLJE</t>
        </is>
      </c>
      <c r="F129" t="inlineStr">
        <is>
          <t>Holmen skog AB</t>
        </is>
      </c>
      <c r="G129" t="n">
        <v>5.2</v>
      </c>
      <c r="H129" t="n">
        <v>1</v>
      </c>
      <c r="I129" t="n">
        <v>0</v>
      </c>
      <c r="J129" t="n">
        <v>1</v>
      </c>
      <c r="K129" t="n">
        <v>0</v>
      </c>
      <c r="L129" t="n">
        <v>0</v>
      </c>
      <c r="M129" t="n">
        <v>0</v>
      </c>
      <c r="N129" t="n">
        <v>0</v>
      </c>
      <c r="O129" t="n">
        <v>1</v>
      </c>
      <c r="P129" t="n">
        <v>0</v>
      </c>
      <c r="Q129" t="n">
        <v>1</v>
      </c>
      <c r="R129" s="2" t="inlineStr">
        <is>
          <t>Kråka</t>
        </is>
      </c>
      <c r="S129">
        <f>HYPERLINK("https://klasma.github.io/Logging_0188/artfynd/A 31281-2022 artfynd.xlsx", "A 31281-2022")</f>
        <v/>
      </c>
      <c r="T129">
        <f>HYPERLINK("https://klasma.github.io/Logging_0188/kartor/A 31281-2022 karta.png", "A 31281-2022")</f>
        <v/>
      </c>
      <c r="V129">
        <f>HYPERLINK("https://klasma.github.io/Logging_0188/klagomål/A 31281-2022 FSC-klagomål.docx", "A 31281-2022")</f>
        <v/>
      </c>
      <c r="W129">
        <f>HYPERLINK("https://klasma.github.io/Logging_0188/klagomålsmail/A 31281-2022 FSC-klagomål mail.docx", "A 31281-2022")</f>
        <v/>
      </c>
      <c r="X129">
        <f>HYPERLINK("https://klasma.github.io/Logging_0188/tillsyn/A 31281-2022 tillsynsbegäran.docx", "A 31281-2022")</f>
        <v/>
      </c>
      <c r="Y129">
        <f>HYPERLINK("https://klasma.github.io/Logging_0188/tillsynsmail/A 31281-2022 tillsynsbegäran mail.docx", "A 31281-2022")</f>
        <v/>
      </c>
      <c r="Z129">
        <f>HYPERLINK("https://klasma.github.io/Logging_0188/fåglar/A 31281-2022 prioriterade fågelarter.docx", "A 31281-2022")</f>
        <v/>
      </c>
    </row>
    <row r="130" ht="15" customHeight="1">
      <c r="A130" t="inlineStr">
        <is>
          <t>A 15886-2026</t>
        </is>
      </c>
      <c r="B130" s="1" t="n">
        <v>46107</v>
      </c>
      <c r="C130" s="1" t="n">
        <v>46140</v>
      </c>
      <c r="D130" t="inlineStr">
        <is>
          <t>STOCKHOLMS LÄN</t>
        </is>
      </c>
      <c r="E130" t="inlineStr">
        <is>
          <t>NORRTÄLJE</t>
        </is>
      </c>
      <c r="G130" t="n">
        <v>1.3</v>
      </c>
      <c r="H130" t="n">
        <v>1</v>
      </c>
      <c r="I130" t="n">
        <v>0</v>
      </c>
      <c r="J130" t="n">
        <v>0</v>
      </c>
      <c r="K130" t="n">
        <v>0</v>
      </c>
      <c r="L130" t="n">
        <v>1</v>
      </c>
      <c r="M130" t="n">
        <v>0</v>
      </c>
      <c r="N130" t="n">
        <v>0</v>
      </c>
      <c r="O130" t="n">
        <v>1</v>
      </c>
      <c r="P130" t="n">
        <v>1</v>
      </c>
      <c r="Q130" t="n">
        <v>1</v>
      </c>
      <c r="R130" s="2" t="inlineStr">
        <is>
          <t>Grönfink</t>
        </is>
      </c>
      <c r="S130">
        <f>HYPERLINK("https://klasma.github.io/Logging_0188/artfynd/A 15886-2026 artfynd.xlsx", "A 15886-2026")</f>
        <v/>
      </c>
      <c r="T130">
        <f>HYPERLINK("https://klasma.github.io/Logging_0188/kartor/A 15886-2026 karta.png", "A 15886-2026")</f>
        <v/>
      </c>
      <c r="V130">
        <f>HYPERLINK("https://klasma.github.io/Logging_0188/klagomål/A 15886-2026 FSC-klagomål.docx", "A 15886-2026")</f>
        <v/>
      </c>
      <c r="W130">
        <f>HYPERLINK("https://klasma.github.io/Logging_0188/klagomålsmail/A 15886-2026 FSC-klagomål mail.docx", "A 15886-2026")</f>
        <v/>
      </c>
      <c r="X130">
        <f>HYPERLINK("https://klasma.github.io/Logging_0188/tillsyn/A 15886-2026 tillsynsbegäran.docx", "A 15886-2026")</f>
        <v/>
      </c>
      <c r="Y130">
        <f>HYPERLINK("https://klasma.github.io/Logging_0188/tillsynsmail/A 15886-2026 tillsynsbegäran mail.docx", "A 15886-2026")</f>
        <v/>
      </c>
      <c r="Z130">
        <f>HYPERLINK("https://klasma.github.io/Logging_0188/fåglar/A 15886-2026 prioriterade fågelarter.docx", "A 15886-2026")</f>
        <v/>
      </c>
    </row>
    <row r="131" ht="15" customHeight="1">
      <c r="A131" t="inlineStr">
        <is>
          <t>A 52611-2024</t>
        </is>
      </c>
      <c r="B131" s="1" t="n">
        <v>45609.83747685186</v>
      </c>
      <c r="C131" s="1" t="n">
        <v>46140</v>
      </c>
      <c r="D131" t="inlineStr">
        <is>
          <t>STOCKHOLMS LÄN</t>
        </is>
      </c>
      <c r="E131" t="inlineStr">
        <is>
          <t>NORRTÄLJE</t>
        </is>
      </c>
      <c r="G131" t="n">
        <v>10.6</v>
      </c>
      <c r="H131" t="n">
        <v>1</v>
      </c>
      <c r="I131" t="n">
        <v>0</v>
      </c>
      <c r="J131" t="n">
        <v>0</v>
      </c>
      <c r="K131" t="n">
        <v>0</v>
      </c>
      <c r="L131" t="n">
        <v>0</v>
      </c>
      <c r="M131" t="n">
        <v>0</v>
      </c>
      <c r="N131" t="n">
        <v>0</v>
      </c>
      <c r="O131" t="n">
        <v>0</v>
      </c>
      <c r="P131" t="n">
        <v>0</v>
      </c>
      <c r="Q131" t="n">
        <v>1</v>
      </c>
      <c r="R131" s="2" t="inlineStr">
        <is>
          <t>Blåsippa</t>
        </is>
      </c>
      <c r="S131">
        <f>HYPERLINK("https://klasma.github.io/Logging_0188/artfynd/A 52611-2024 artfynd.xlsx", "A 52611-2024")</f>
        <v/>
      </c>
      <c r="T131">
        <f>HYPERLINK("https://klasma.github.io/Logging_0188/kartor/A 52611-2024 karta.png", "A 52611-2024")</f>
        <v/>
      </c>
      <c r="V131">
        <f>HYPERLINK("https://klasma.github.io/Logging_0188/klagomål/A 52611-2024 FSC-klagomål.docx", "A 52611-2024")</f>
        <v/>
      </c>
      <c r="W131">
        <f>HYPERLINK("https://klasma.github.io/Logging_0188/klagomålsmail/A 52611-2024 FSC-klagomål mail.docx", "A 52611-2024")</f>
        <v/>
      </c>
      <c r="X131">
        <f>HYPERLINK("https://klasma.github.io/Logging_0188/tillsyn/A 52611-2024 tillsynsbegäran.docx", "A 52611-2024")</f>
        <v/>
      </c>
      <c r="Y131">
        <f>HYPERLINK("https://klasma.github.io/Logging_0188/tillsynsmail/A 52611-2024 tillsynsbegäran mail.docx", "A 52611-2024")</f>
        <v/>
      </c>
    </row>
    <row r="132" ht="15" customHeight="1">
      <c r="A132" t="inlineStr">
        <is>
          <t>A 52508-2023</t>
        </is>
      </c>
      <c r="B132" s="1" t="n">
        <v>45225</v>
      </c>
      <c r="C132" s="1" t="n">
        <v>46140</v>
      </c>
      <c r="D132" t="inlineStr">
        <is>
          <t>STOCKHOLMS LÄN</t>
        </is>
      </c>
      <c r="E132" t="inlineStr">
        <is>
          <t>NORRTÄLJE</t>
        </is>
      </c>
      <c r="G132" t="n">
        <v>19.7</v>
      </c>
      <c r="H132" t="n">
        <v>1</v>
      </c>
      <c r="I132" t="n">
        <v>0</v>
      </c>
      <c r="J132" t="n">
        <v>0</v>
      </c>
      <c r="K132" t="n">
        <v>1</v>
      </c>
      <c r="L132" t="n">
        <v>0</v>
      </c>
      <c r="M132" t="n">
        <v>0</v>
      </c>
      <c r="N132" t="n">
        <v>0</v>
      </c>
      <c r="O132" t="n">
        <v>1</v>
      </c>
      <c r="P132" t="n">
        <v>1</v>
      </c>
      <c r="Q132" t="n">
        <v>1</v>
      </c>
      <c r="R132" s="2" t="inlineStr">
        <is>
          <t>Svärta</t>
        </is>
      </c>
      <c r="S132">
        <f>HYPERLINK("https://klasma.github.io/Logging_0188/artfynd/A 52508-2023 artfynd.xlsx", "A 52508-2023")</f>
        <v/>
      </c>
      <c r="T132">
        <f>HYPERLINK("https://klasma.github.io/Logging_0188/kartor/A 52508-2023 karta.png", "A 52508-2023")</f>
        <v/>
      </c>
      <c r="V132">
        <f>HYPERLINK("https://klasma.github.io/Logging_0188/klagomål/A 52508-2023 FSC-klagomål.docx", "A 52508-2023")</f>
        <v/>
      </c>
      <c r="W132">
        <f>HYPERLINK("https://klasma.github.io/Logging_0188/klagomålsmail/A 52508-2023 FSC-klagomål mail.docx", "A 52508-2023")</f>
        <v/>
      </c>
      <c r="X132">
        <f>HYPERLINK("https://klasma.github.io/Logging_0188/tillsyn/A 52508-2023 tillsynsbegäran.docx", "A 52508-2023")</f>
        <v/>
      </c>
      <c r="Y132">
        <f>HYPERLINK("https://klasma.github.io/Logging_0188/tillsynsmail/A 52508-2023 tillsynsbegäran mail.docx", "A 52508-2023")</f>
        <v/>
      </c>
    </row>
    <row r="133" ht="15" customHeight="1">
      <c r="A133" t="inlineStr">
        <is>
          <t>A 19355-2026</t>
        </is>
      </c>
      <c r="B133" s="1" t="n">
        <v>46133.49074074074</v>
      </c>
      <c r="C133" s="1" t="n">
        <v>46140</v>
      </c>
      <c r="D133" t="inlineStr">
        <is>
          <t>STOCKHOLMS LÄN</t>
        </is>
      </c>
      <c r="E133" t="inlineStr">
        <is>
          <t>NORRTÄLJE</t>
        </is>
      </c>
      <c r="G133" t="n">
        <v>22.5</v>
      </c>
      <c r="H133" t="n">
        <v>0</v>
      </c>
      <c r="I133" t="n">
        <v>1</v>
      </c>
      <c r="J133" t="n">
        <v>0</v>
      </c>
      <c r="K133" t="n">
        <v>0</v>
      </c>
      <c r="L133" t="n">
        <v>0</v>
      </c>
      <c r="M133" t="n">
        <v>0</v>
      </c>
      <c r="N133" t="n">
        <v>0</v>
      </c>
      <c r="O133" t="n">
        <v>0</v>
      </c>
      <c r="P133" t="n">
        <v>0</v>
      </c>
      <c r="Q133" t="n">
        <v>1</v>
      </c>
      <c r="R133" s="2" t="inlineStr">
        <is>
          <t>Mönjevaxing</t>
        </is>
      </c>
      <c r="S133">
        <f>HYPERLINK("https://klasma.github.io/Logging_0188/artfynd/A 19355-2026 artfynd.xlsx", "A 19355-2026")</f>
        <v/>
      </c>
      <c r="T133">
        <f>HYPERLINK("https://klasma.github.io/Logging_0188/kartor/A 19355-2026 karta.png", "A 19355-2026")</f>
        <v/>
      </c>
      <c r="V133">
        <f>HYPERLINK("https://klasma.github.io/Logging_0188/klagomål/A 19355-2026 FSC-klagomål.docx", "A 19355-2026")</f>
        <v/>
      </c>
      <c r="W133">
        <f>HYPERLINK("https://klasma.github.io/Logging_0188/klagomålsmail/A 19355-2026 FSC-klagomål mail.docx", "A 19355-2026")</f>
        <v/>
      </c>
      <c r="X133">
        <f>HYPERLINK("https://klasma.github.io/Logging_0188/tillsyn/A 19355-2026 tillsynsbegäran.docx", "A 19355-2026")</f>
        <v/>
      </c>
      <c r="Y133">
        <f>HYPERLINK("https://klasma.github.io/Logging_0188/tillsynsmail/A 19355-2026 tillsynsbegäran mail.docx", "A 19355-2026")</f>
        <v/>
      </c>
    </row>
    <row r="134" ht="15" customHeight="1">
      <c r="A134" t="inlineStr">
        <is>
          <t>A 48131-2023</t>
        </is>
      </c>
      <c r="B134" s="1" t="n">
        <v>45205</v>
      </c>
      <c r="C134" s="1" t="n">
        <v>46140</v>
      </c>
      <c r="D134" t="inlineStr">
        <is>
          <t>STOCKHOLMS LÄN</t>
        </is>
      </c>
      <c r="E134" t="inlineStr">
        <is>
          <t>NORRTÄLJE</t>
        </is>
      </c>
      <c r="G134" t="n">
        <v>2.3</v>
      </c>
      <c r="H134" t="n">
        <v>0</v>
      </c>
      <c r="I134" t="n">
        <v>0</v>
      </c>
      <c r="J134" t="n">
        <v>1</v>
      </c>
      <c r="K134" t="n">
        <v>0</v>
      </c>
      <c r="L134" t="n">
        <v>0</v>
      </c>
      <c r="M134" t="n">
        <v>0</v>
      </c>
      <c r="N134" t="n">
        <v>0</v>
      </c>
      <c r="O134" t="n">
        <v>1</v>
      </c>
      <c r="P134" t="n">
        <v>0</v>
      </c>
      <c r="Q134" t="n">
        <v>1</v>
      </c>
      <c r="R134" s="2" t="inlineStr">
        <is>
          <t>Slåtterfibbla</t>
        </is>
      </c>
      <c r="S134">
        <f>HYPERLINK("https://klasma.github.io/Logging_0188/artfynd/A 48131-2023 artfynd.xlsx", "A 48131-2023")</f>
        <v/>
      </c>
      <c r="T134">
        <f>HYPERLINK("https://klasma.github.io/Logging_0188/kartor/A 48131-2023 karta.png", "A 48131-2023")</f>
        <v/>
      </c>
      <c r="V134">
        <f>HYPERLINK("https://klasma.github.io/Logging_0188/klagomål/A 48131-2023 FSC-klagomål.docx", "A 48131-2023")</f>
        <v/>
      </c>
      <c r="W134">
        <f>HYPERLINK("https://klasma.github.io/Logging_0188/klagomålsmail/A 48131-2023 FSC-klagomål mail.docx", "A 48131-2023")</f>
        <v/>
      </c>
      <c r="X134">
        <f>HYPERLINK("https://klasma.github.io/Logging_0188/tillsyn/A 48131-2023 tillsynsbegäran.docx", "A 48131-2023")</f>
        <v/>
      </c>
      <c r="Y134">
        <f>HYPERLINK("https://klasma.github.io/Logging_0188/tillsynsmail/A 48131-2023 tillsynsbegäran mail.docx", "A 48131-2023")</f>
        <v/>
      </c>
    </row>
    <row r="135" ht="15" customHeight="1">
      <c r="A135" t="inlineStr">
        <is>
          <t>A 27827-2022</t>
        </is>
      </c>
      <c r="B135" s="1" t="n">
        <v>44743.59504629629</v>
      </c>
      <c r="C135" s="1" t="n">
        <v>46140</v>
      </c>
      <c r="D135" t="inlineStr">
        <is>
          <t>STOCKHOLMS LÄN</t>
        </is>
      </c>
      <c r="E135" t="inlineStr">
        <is>
          <t>NORRTÄLJE</t>
        </is>
      </c>
      <c r="F135" t="inlineStr">
        <is>
          <t>Holmen skog AB</t>
        </is>
      </c>
      <c r="G135" t="n">
        <v>4.7</v>
      </c>
      <c r="H135" t="n">
        <v>1</v>
      </c>
      <c r="I135" t="n">
        <v>0</v>
      </c>
      <c r="J135" t="n">
        <v>1</v>
      </c>
      <c r="K135" t="n">
        <v>0</v>
      </c>
      <c r="L135" t="n">
        <v>0</v>
      </c>
      <c r="M135" t="n">
        <v>0</v>
      </c>
      <c r="N135" t="n">
        <v>0</v>
      </c>
      <c r="O135" t="n">
        <v>1</v>
      </c>
      <c r="P135" t="n">
        <v>0</v>
      </c>
      <c r="Q135" t="n">
        <v>1</v>
      </c>
      <c r="R135" s="2" t="inlineStr">
        <is>
          <t>Nordfladdermus</t>
        </is>
      </c>
      <c r="S135">
        <f>HYPERLINK("https://klasma.github.io/Logging_0188/artfynd/A 27827-2022 artfynd.xlsx", "A 27827-2022")</f>
        <v/>
      </c>
      <c r="T135">
        <f>HYPERLINK("https://klasma.github.io/Logging_0188/kartor/A 27827-2022 karta.png", "A 27827-2022")</f>
        <v/>
      </c>
      <c r="V135">
        <f>HYPERLINK("https://klasma.github.io/Logging_0188/klagomål/A 27827-2022 FSC-klagomål.docx", "A 27827-2022")</f>
        <v/>
      </c>
      <c r="W135">
        <f>HYPERLINK("https://klasma.github.io/Logging_0188/klagomålsmail/A 27827-2022 FSC-klagomål mail.docx", "A 27827-2022")</f>
        <v/>
      </c>
      <c r="X135">
        <f>HYPERLINK("https://klasma.github.io/Logging_0188/tillsyn/A 27827-2022 tillsynsbegäran.docx", "A 27827-2022")</f>
        <v/>
      </c>
      <c r="Y135">
        <f>HYPERLINK("https://klasma.github.io/Logging_0188/tillsynsmail/A 27827-2022 tillsynsbegäran mail.docx", "A 27827-2022")</f>
        <v/>
      </c>
    </row>
    <row r="136" ht="15" customHeight="1">
      <c r="A136" t="inlineStr">
        <is>
          <t>A 9955-2022</t>
        </is>
      </c>
      <c r="B136" s="1" t="n">
        <v>44620</v>
      </c>
      <c r="C136" s="1" t="n">
        <v>46140</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23905-2025</t>
        </is>
      </c>
      <c r="B137" s="1" t="n">
        <v>45794.63298611111</v>
      </c>
      <c r="C137" s="1" t="n">
        <v>46140</v>
      </c>
      <c r="D137" t="inlineStr">
        <is>
          <t>STOCKHOLMS LÄN</t>
        </is>
      </c>
      <c r="E137" t="inlineStr">
        <is>
          <t>NORRTÄLJE</t>
        </is>
      </c>
      <c r="G137" t="n">
        <v>8.4</v>
      </c>
      <c r="H137" t="n">
        <v>1</v>
      </c>
      <c r="I137" t="n">
        <v>0</v>
      </c>
      <c r="J137" t="n">
        <v>0</v>
      </c>
      <c r="K137" t="n">
        <v>0</v>
      </c>
      <c r="L137" t="n">
        <v>0</v>
      </c>
      <c r="M137" t="n">
        <v>0</v>
      </c>
      <c r="N137" t="n">
        <v>0</v>
      </c>
      <c r="O137" t="n">
        <v>0</v>
      </c>
      <c r="P137" t="n">
        <v>0</v>
      </c>
      <c r="Q137" t="n">
        <v>1</v>
      </c>
      <c r="R137" s="2" t="inlineStr">
        <is>
          <t>Blåsippa</t>
        </is>
      </c>
      <c r="S137">
        <f>HYPERLINK("https://klasma.github.io/Logging_0188/artfynd/A 23905-2025 artfynd.xlsx", "A 23905-2025")</f>
        <v/>
      </c>
      <c r="T137">
        <f>HYPERLINK("https://klasma.github.io/Logging_0188/kartor/A 23905-2025 karta.png", "A 23905-2025")</f>
        <v/>
      </c>
      <c r="V137">
        <f>HYPERLINK("https://klasma.github.io/Logging_0188/klagomål/A 23905-2025 FSC-klagomål.docx", "A 23905-2025")</f>
        <v/>
      </c>
      <c r="W137">
        <f>HYPERLINK("https://klasma.github.io/Logging_0188/klagomålsmail/A 23905-2025 FSC-klagomål mail.docx", "A 23905-2025")</f>
        <v/>
      </c>
      <c r="X137">
        <f>HYPERLINK("https://klasma.github.io/Logging_0188/tillsyn/A 23905-2025 tillsynsbegäran.docx", "A 23905-2025")</f>
        <v/>
      </c>
      <c r="Y137">
        <f>HYPERLINK("https://klasma.github.io/Logging_0188/tillsynsmail/A 23905-2025 tillsynsbegäran mail.docx", "A 23905-2025")</f>
        <v/>
      </c>
    </row>
    <row r="138" ht="15" customHeight="1">
      <c r="A138" t="inlineStr">
        <is>
          <t>A 25709-2025</t>
        </is>
      </c>
      <c r="B138" s="1" t="n">
        <v>45800</v>
      </c>
      <c r="C138" s="1" t="n">
        <v>46140</v>
      </c>
      <c r="D138" t="inlineStr">
        <is>
          <t>STOCKHOLMS LÄN</t>
        </is>
      </c>
      <c r="E138" t="inlineStr">
        <is>
          <t>NORRTÄLJE</t>
        </is>
      </c>
      <c r="G138" t="n">
        <v>4.6</v>
      </c>
      <c r="H138" t="n">
        <v>0</v>
      </c>
      <c r="I138" t="n">
        <v>0</v>
      </c>
      <c r="J138" t="n">
        <v>1</v>
      </c>
      <c r="K138" t="n">
        <v>0</v>
      </c>
      <c r="L138" t="n">
        <v>0</v>
      </c>
      <c r="M138" t="n">
        <v>0</v>
      </c>
      <c r="N138" t="n">
        <v>0</v>
      </c>
      <c r="O138" t="n">
        <v>1</v>
      </c>
      <c r="P138" t="n">
        <v>0</v>
      </c>
      <c r="Q138" t="n">
        <v>1</v>
      </c>
      <c r="R138" s="2" t="inlineStr">
        <is>
          <t>Ullticka</t>
        </is>
      </c>
      <c r="S138">
        <f>HYPERLINK("https://klasma.github.io/Logging_0188/artfynd/A 25709-2025 artfynd.xlsx", "A 25709-2025")</f>
        <v/>
      </c>
      <c r="T138">
        <f>HYPERLINK("https://klasma.github.io/Logging_0188/kartor/A 25709-2025 karta.png", "A 25709-2025")</f>
        <v/>
      </c>
      <c r="V138">
        <f>HYPERLINK("https://klasma.github.io/Logging_0188/klagomål/A 25709-2025 FSC-klagomål.docx", "A 25709-2025")</f>
        <v/>
      </c>
      <c r="W138">
        <f>HYPERLINK("https://klasma.github.io/Logging_0188/klagomålsmail/A 25709-2025 FSC-klagomål mail.docx", "A 25709-2025")</f>
        <v/>
      </c>
      <c r="X138">
        <f>HYPERLINK("https://klasma.github.io/Logging_0188/tillsyn/A 25709-2025 tillsynsbegäran.docx", "A 25709-2025")</f>
        <v/>
      </c>
      <c r="Y138">
        <f>HYPERLINK("https://klasma.github.io/Logging_0188/tillsynsmail/A 25709-2025 tillsynsbegäran mail.docx", "A 25709-2025")</f>
        <v/>
      </c>
    </row>
    <row r="139" ht="15" customHeight="1">
      <c r="A139" t="inlineStr">
        <is>
          <t>A 25725-2025</t>
        </is>
      </c>
      <c r="B139" s="1" t="n">
        <v>45800</v>
      </c>
      <c r="C139" s="1" t="n">
        <v>46140</v>
      </c>
      <c r="D139" t="inlineStr">
        <is>
          <t>STOCKHOLMS LÄN</t>
        </is>
      </c>
      <c r="E139" t="inlineStr">
        <is>
          <t>NORRTÄLJE</t>
        </is>
      </c>
      <c r="G139" t="n">
        <v>5.2</v>
      </c>
      <c r="H139" t="n">
        <v>0</v>
      </c>
      <c r="I139" t="n">
        <v>0</v>
      </c>
      <c r="J139" t="n">
        <v>1</v>
      </c>
      <c r="K139" t="n">
        <v>0</v>
      </c>
      <c r="L139" t="n">
        <v>0</v>
      </c>
      <c r="M139" t="n">
        <v>0</v>
      </c>
      <c r="N139" t="n">
        <v>0</v>
      </c>
      <c r="O139" t="n">
        <v>1</v>
      </c>
      <c r="P139" t="n">
        <v>0</v>
      </c>
      <c r="Q139" t="n">
        <v>1</v>
      </c>
      <c r="R139" s="2" t="inlineStr">
        <is>
          <t>Tallticka</t>
        </is>
      </c>
      <c r="S139">
        <f>HYPERLINK("https://klasma.github.io/Logging_0188/artfynd/A 25725-2025 artfynd.xlsx", "A 25725-2025")</f>
        <v/>
      </c>
      <c r="T139">
        <f>HYPERLINK("https://klasma.github.io/Logging_0188/kartor/A 25725-2025 karta.png", "A 25725-2025")</f>
        <v/>
      </c>
      <c r="V139">
        <f>HYPERLINK("https://klasma.github.io/Logging_0188/klagomål/A 25725-2025 FSC-klagomål.docx", "A 25725-2025")</f>
        <v/>
      </c>
      <c r="W139">
        <f>HYPERLINK("https://klasma.github.io/Logging_0188/klagomålsmail/A 25725-2025 FSC-klagomål mail.docx", "A 25725-2025")</f>
        <v/>
      </c>
      <c r="X139">
        <f>HYPERLINK("https://klasma.github.io/Logging_0188/tillsyn/A 25725-2025 tillsynsbegäran.docx", "A 25725-2025")</f>
        <v/>
      </c>
      <c r="Y139">
        <f>HYPERLINK("https://klasma.github.io/Logging_0188/tillsynsmail/A 25725-2025 tillsynsbegäran mail.docx", "A 25725-2025")</f>
        <v/>
      </c>
    </row>
    <row r="140" ht="15" customHeight="1">
      <c r="A140" t="inlineStr">
        <is>
          <t>A 35649-2023</t>
        </is>
      </c>
      <c r="B140" s="1" t="n">
        <v>45146</v>
      </c>
      <c r="C140" s="1" t="n">
        <v>46140</v>
      </c>
      <c r="D140" t="inlineStr">
        <is>
          <t>STOCKHOLMS LÄN</t>
        </is>
      </c>
      <c r="E140" t="inlineStr">
        <is>
          <t>NORRTÄLJE</t>
        </is>
      </c>
      <c r="G140" t="n">
        <v>25.1</v>
      </c>
      <c r="H140" t="n">
        <v>0</v>
      </c>
      <c r="I140" t="n">
        <v>0</v>
      </c>
      <c r="J140" t="n">
        <v>1</v>
      </c>
      <c r="K140" t="n">
        <v>0</v>
      </c>
      <c r="L140" t="n">
        <v>0</v>
      </c>
      <c r="M140" t="n">
        <v>0</v>
      </c>
      <c r="N140" t="n">
        <v>0</v>
      </c>
      <c r="O140" t="n">
        <v>1</v>
      </c>
      <c r="P140" t="n">
        <v>0</v>
      </c>
      <c r="Q140" t="n">
        <v>1</v>
      </c>
      <c r="R140" s="2" t="inlineStr">
        <is>
          <t>Månlåsbräken</t>
        </is>
      </c>
      <c r="S140">
        <f>HYPERLINK("https://klasma.github.io/Logging_0188/artfynd/A 35649-2023 artfynd.xlsx", "A 35649-2023")</f>
        <v/>
      </c>
      <c r="T140">
        <f>HYPERLINK("https://klasma.github.io/Logging_0188/kartor/A 35649-2023 karta.png", "A 35649-2023")</f>
        <v/>
      </c>
      <c r="V140">
        <f>HYPERLINK("https://klasma.github.io/Logging_0188/klagomål/A 35649-2023 FSC-klagomål.docx", "A 35649-2023")</f>
        <v/>
      </c>
      <c r="W140">
        <f>HYPERLINK("https://klasma.github.io/Logging_0188/klagomålsmail/A 35649-2023 FSC-klagomål mail.docx", "A 35649-2023")</f>
        <v/>
      </c>
      <c r="X140">
        <f>HYPERLINK("https://klasma.github.io/Logging_0188/tillsyn/A 35649-2023 tillsynsbegäran.docx", "A 35649-2023")</f>
        <v/>
      </c>
      <c r="Y140">
        <f>HYPERLINK("https://klasma.github.io/Logging_0188/tillsynsmail/A 35649-2023 tillsynsbegäran mail.docx", "A 35649-2023")</f>
        <v/>
      </c>
    </row>
    <row r="141" ht="15" customHeight="1">
      <c r="A141" t="inlineStr">
        <is>
          <t>A 35764-2024</t>
        </is>
      </c>
      <c r="B141" s="1" t="n">
        <v>45532</v>
      </c>
      <c r="C141" s="1" t="n">
        <v>46140</v>
      </c>
      <c r="D141" t="inlineStr">
        <is>
          <t>STOCKHOLMS LÄN</t>
        </is>
      </c>
      <c r="E141" t="inlineStr">
        <is>
          <t>NORRTÄLJE</t>
        </is>
      </c>
      <c r="G141" t="n">
        <v>14.2</v>
      </c>
      <c r="H141" t="n">
        <v>1</v>
      </c>
      <c r="I141" t="n">
        <v>0</v>
      </c>
      <c r="J141" t="n">
        <v>0</v>
      </c>
      <c r="K141" t="n">
        <v>1</v>
      </c>
      <c r="L141" t="n">
        <v>0</v>
      </c>
      <c r="M141" t="n">
        <v>0</v>
      </c>
      <c r="N141" t="n">
        <v>0</v>
      </c>
      <c r="O141" t="n">
        <v>1</v>
      </c>
      <c r="P141" t="n">
        <v>1</v>
      </c>
      <c r="Q141" t="n">
        <v>1</v>
      </c>
      <c r="R141" s="2" t="inlineStr">
        <is>
          <t>Knärot</t>
        </is>
      </c>
      <c r="S141">
        <f>HYPERLINK("https://klasma.github.io/Logging_0188/artfynd/A 35764-2024 artfynd.xlsx", "A 35764-2024")</f>
        <v/>
      </c>
      <c r="T141">
        <f>HYPERLINK("https://klasma.github.io/Logging_0188/kartor/A 35764-2024 karta.png", "A 35764-2024")</f>
        <v/>
      </c>
      <c r="U141">
        <f>HYPERLINK("https://klasma.github.io/Logging_0188/knärot/A 35764-2024 karta knärot.png", "A 35764-2024")</f>
        <v/>
      </c>
      <c r="V141">
        <f>HYPERLINK("https://klasma.github.io/Logging_0188/klagomål/A 35764-2024 FSC-klagomål.docx", "A 35764-2024")</f>
        <v/>
      </c>
      <c r="W141">
        <f>HYPERLINK("https://klasma.github.io/Logging_0188/klagomålsmail/A 35764-2024 FSC-klagomål mail.docx", "A 35764-2024")</f>
        <v/>
      </c>
      <c r="X141">
        <f>HYPERLINK("https://klasma.github.io/Logging_0188/tillsyn/A 35764-2024 tillsynsbegäran.docx", "A 35764-2024")</f>
        <v/>
      </c>
      <c r="Y141">
        <f>HYPERLINK("https://klasma.github.io/Logging_0188/tillsynsmail/A 35764-2024 tillsynsbegäran mail.docx", "A 35764-2024")</f>
        <v/>
      </c>
    </row>
    <row r="142" ht="15" customHeight="1">
      <c r="A142" t="inlineStr">
        <is>
          <t>A 25669-2025</t>
        </is>
      </c>
      <c r="B142" s="1" t="n">
        <v>45803.62766203703</v>
      </c>
      <c r="C142" s="1" t="n">
        <v>46140</v>
      </c>
      <c r="D142" t="inlineStr">
        <is>
          <t>STOCKHOLMS LÄN</t>
        </is>
      </c>
      <c r="E142" t="inlineStr">
        <is>
          <t>NORRTÄLJE</t>
        </is>
      </c>
      <c r="F142" t="inlineStr">
        <is>
          <t>Holmen skog AB</t>
        </is>
      </c>
      <c r="G142" t="n">
        <v>3.1</v>
      </c>
      <c r="H142" t="n">
        <v>1</v>
      </c>
      <c r="I142" t="n">
        <v>0</v>
      </c>
      <c r="J142" t="n">
        <v>0</v>
      </c>
      <c r="K142" t="n">
        <v>0</v>
      </c>
      <c r="L142" t="n">
        <v>0</v>
      </c>
      <c r="M142" t="n">
        <v>0</v>
      </c>
      <c r="N142" t="n">
        <v>0</v>
      </c>
      <c r="O142" t="n">
        <v>0</v>
      </c>
      <c r="P142" t="n">
        <v>0</v>
      </c>
      <c r="Q142" t="n">
        <v>1</v>
      </c>
      <c r="R142" s="2" t="inlineStr">
        <is>
          <t>Tjäder</t>
        </is>
      </c>
      <c r="S142">
        <f>HYPERLINK("https://klasma.github.io/Logging_0188/artfynd/A 25669-2025 artfynd.xlsx", "A 25669-2025")</f>
        <v/>
      </c>
      <c r="T142">
        <f>HYPERLINK("https://klasma.github.io/Logging_0188/kartor/A 25669-2025 karta.png", "A 25669-2025")</f>
        <v/>
      </c>
      <c r="V142">
        <f>HYPERLINK("https://klasma.github.io/Logging_0188/klagomål/A 25669-2025 FSC-klagomål.docx", "A 25669-2025")</f>
        <v/>
      </c>
      <c r="W142">
        <f>HYPERLINK("https://klasma.github.io/Logging_0188/klagomålsmail/A 25669-2025 FSC-klagomål mail.docx", "A 25669-2025")</f>
        <v/>
      </c>
      <c r="X142">
        <f>HYPERLINK("https://klasma.github.io/Logging_0188/tillsyn/A 25669-2025 tillsynsbegäran.docx", "A 25669-2025")</f>
        <v/>
      </c>
      <c r="Y142">
        <f>HYPERLINK("https://klasma.github.io/Logging_0188/tillsynsmail/A 25669-2025 tillsynsbegäran mail.docx", "A 25669-2025")</f>
        <v/>
      </c>
      <c r="Z142">
        <f>HYPERLINK("https://klasma.github.io/Logging_0188/fåglar/A 25669-2025 prioriterade fågelarter.docx", "A 25669-2025")</f>
        <v/>
      </c>
    </row>
    <row r="143" ht="15" customHeight="1">
      <c r="A143" t="inlineStr">
        <is>
          <t>A 6381-2023</t>
        </is>
      </c>
      <c r="B143" s="1" t="n">
        <v>44965</v>
      </c>
      <c r="C143" s="1" t="n">
        <v>46140</v>
      </c>
      <c r="D143" t="inlineStr">
        <is>
          <t>STOCKHOLMS LÄN</t>
        </is>
      </c>
      <c r="E143" t="inlineStr">
        <is>
          <t>NORRTÄLJE</t>
        </is>
      </c>
      <c r="G143" t="n">
        <v>3.5</v>
      </c>
      <c r="H143" t="n">
        <v>1</v>
      </c>
      <c r="I143" t="n">
        <v>1</v>
      </c>
      <c r="J143" t="n">
        <v>0</v>
      </c>
      <c r="K143" t="n">
        <v>0</v>
      </c>
      <c r="L143" t="n">
        <v>0</v>
      </c>
      <c r="M143" t="n">
        <v>0</v>
      </c>
      <c r="N143" t="n">
        <v>0</v>
      </c>
      <c r="O143" t="n">
        <v>0</v>
      </c>
      <c r="P143" t="n">
        <v>0</v>
      </c>
      <c r="Q143" t="n">
        <v>1</v>
      </c>
      <c r="R143" s="2" t="inlineStr">
        <is>
          <t>Guckusko</t>
        </is>
      </c>
      <c r="S143">
        <f>HYPERLINK("https://klasma.github.io/Logging_0188/artfynd/A 6381-2023 artfynd.xlsx", "A 6381-2023")</f>
        <v/>
      </c>
      <c r="T143">
        <f>HYPERLINK("https://klasma.github.io/Logging_0188/kartor/A 6381-2023 karta.png", "A 6381-2023")</f>
        <v/>
      </c>
      <c r="V143">
        <f>HYPERLINK("https://klasma.github.io/Logging_0188/klagomål/A 6381-2023 FSC-klagomål.docx", "A 6381-2023")</f>
        <v/>
      </c>
      <c r="W143">
        <f>HYPERLINK("https://klasma.github.io/Logging_0188/klagomålsmail/A 6381-2023 FSC-klagomål mail.docx", "A 6381-2023")</f>
        <v/>
      </c>
      <c r="X143">
        <f>HYPERLINK("https://klasma.github.io/Logging_0188/tillsyn/A 6381-2023 tillsynsbegäran.docx", "A 6381-2023")</f>
        <v/>
      </c>
      <c r="Y143">
        <f>HYPERLINK("https://klasma.github.io/Logging_0188/tillsynsmail/A 6381-2023 tillsynsbegäran mail.docx", "A 6381-2023")</f>
        <v/>
      </c>
    </row>
    <row r="144" ht="15" customHeight="1">
      <c r="A144" t="inlineStr">
        <is>
          <t>A 29946-2025</t>
        </is>
      </c>
      <c r="B144" s="1" t="n">
        <v>45826.46392361111</v>
      </c>
      <c r="C144" s="1" t="n">
        <v>46140</v>
      </c>
      <c r="D144" t="inlineStr">
        <is>
          <t>STOCKHOLMS LÄN</t>
        </is>
      </c>
      <c r="E144" t="inlineStr">
        <is>
          <t>NORRTÄLJE</t>
        </is>
      </c>
      <c r="F144" t="inlineStr">
        <is>
          <t>Holmen skog AB</t>
        </is>
      </c>
      <c r="G144" t="n">
        <v>3.6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29946-2025 artfynd.xlsx", "A 29946-2025")</f>
        <v/>
      </c>
      <c r="T144">
        <f>HYPERLINK("https://klasma.github.io/Logging_0188/kartor/A 29946-2025 karta.png", "A 29946-2025")</f>
        <v/>
      </c>
      <c r="V144">
        <f>HYPERLINK("https://klasma.github.io/Logging_0188/klagomål/A 29946-2025 FSC-klagomål.docx", "A 29946-2025")</f>
        <v/>
      </c>
      <c r="W144">
        <f>HYPERLINK("https://klasma.github.io/Logging_0188/klagomålsmail/A 29946-2025 FSC-klagomål mail.docx", "A 29946-2025")</f>
        <v/>
      </c>
      <c r="X144">
        <f>HYPERLINK("https://klasma.github.io/Logging_0188/tillsyn/A 29946-2025 tillsynsbegäran.docx", "A 29946-2025")</f>
        <v/>
      </c>
      <c r="Y144">
        <f>HYPERLINK("https://klasma.github.io/Logging_0188/tillsynsmail/A 29946-2025 tillsynsbegäran mail.docx", "A 29946-2025")</f>
        <v/>
      </c>
    </row>
    <row r="145" ht="15" customHeight="1">
      <c r="A145" t="inlineStr">
        <is>
          <t>A 33546-2025</t>
        </is>
      </c>
      <c r="B145" s="1" t="n">
        <v>45841.56996527778</v>
      </c>
      <c r="C145" s="1" t="n">
        <v>46140</v>
      </c>
      <c r="D145" t="inlineStr">
        <is>
          <t>STOCKHOLMS LÄN</t>
        </is>
      </c>
      <c r="E145" t="inlineStr">
        <is>
          <t>NORRTÄLJE</t>
        </is>
      </c>
      <c r="G145" t="n">
        <v>7.2</v>
      </c>
      <c r="H145" t="n">
        <v>1</v>
      </c>
      <c r="I145" t="n">
        <v>1</v>
      </c>
      <c r="J145" t="n">
        <v>0</v>
      </c>
      <c r="K145" t="n">
        <v>0</v>
      </c>
      <c r="L145" t="n">
        <v>0</v>
      </c>
      <c r="M145" t="n">
        <v>0</v>
      </c>
      <c r="N145" t="n">
        <v>0</v>
      </c>
      <c r="O145" t="n">
        <v>0</v>
      </c>
      <c r="P145" t="n">
        <v>0</v>
      </c>
      <c r="Q145" t="n">
        <v>1</v>
      </c>
      <c r="R145" s="2" t="inlineStr">
        <is>
          <t>Nästrot</t>
        </is>
      </c>
      <c r="S145">
        <f>HYPERLINK("https://klasma.github.io/Logging_0188/artfynd/A 33546-2025 artfynd.xlsx", "A 33546-2025")</f>
        <v/>
      </c>
      <c r="T145">
        <f>HYPERLINK("https://klasma.github.io/Logging_0188/kartor/A 33546-2025 karta.png", "A 33546-2025")</f>
        <v/>
      </c>
      <c r="V145">
        <f>HYPERLINK("https://klasma.github.io/Logging_0188/klagomål/A 33546-2025 FSC-klagomål.docx", "A 33546-2025")</f>
        <v/>
      </c>
      <c r="W145">
        <f>HYPERLINK("https://klasma.github.io/Logging_0188/klagomålsmail/A 33546-2025 FSC-klagomål mail.docx", "A 33546-2025")</f>
        <v/>
      </c>
      <c r="X145">
        <f>HYPERLINK("https://klasma.github.io/Logging_0188/tillsyn/A 33546-2025 tillsynsbegäran.docx", "A 33546-2025")</f>
        <v/>
      </c>
      <c r="Y145">
        <f>HYPERLINK("https://klasma.github.io/Logging_0188/tillsynsmail/A 33546-2025 tillsynsbegäran mail.docx", "A 33546-2025")</f>
        <v/>
      </c>
    </row>
    <row r="146" ht="15" customHeight="1">
      <c r="A146" t="inlineStr">
        <is>
          <t>A 12877-2022</t>
        </is>
      </c>
      <c r="B146" s="1" t="n">
        <v>44642</v>
      </c>
      <c r="C146" s="1" t="n">
        <v>46140</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46140</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46140</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46140</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46140</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46140</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46140</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46140</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46140</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46140</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46140</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46140</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46140</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46140</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46140</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46140</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46140</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46140</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46140</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46140</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46140</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46140</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46140</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46140</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48492-2022</t>
        </is>
      </c>
      <c r="B170" s="1" t="n">
        <v>44858</v>
      </c>
      <c r="C170" s="1" t="n">
        <v>46140</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10711-2022</t>
        </is>
      </c>
      <c r="B171" s="1" t="n">
        <v>44626</v>
      </c>
      <c r="C171" s="1" t="n">
        <v>46140</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46140</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46140</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46140</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46140</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46140</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46140</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46140</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46140</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46140</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46140</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46140</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46140</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46140</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46140</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46140</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46140</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46140</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46140</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46140</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46140</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46140</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46140</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23122-2021</t>
        </is>
      </c>
      <c r="B194" s="1" t="n">
        <v>44330</v>
      </c>
      <c r="C194" s="1" t="n">
        <v>46140</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46140</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23123-2021</t>
        </is>
      </c>
      <c r="B196" s="1" t="n">
        <v>44330</v>
      </c>
      <c r="C196" s="1" t="n">
        <v>46140</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46140</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64212-2021</t>
        </is>
      </c>
      <c r="B198" s="1" t="n">
        <v>44510</v>
      </c>
      <c r="C198" s="1" t="n">
        <v>46140</v>
      </c>
      <c r="D198" t="inlineStr">
        <is>
          <t>STOCKHOLMS LÄN</t>
        </is>
      </c>
      <c r="E198" t="inlineStr">
        <is>
          <t>NORRTÄLJE</t>
        </is>
      </c>
      <c r="G198" t="n">
        <v>28.7</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46140</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46140</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46140</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46140</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46140</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47349-2021</t>
        </is>
      </c>
      <c r="B204" s="1" t="n">
        <v>44447</v>
      </c>
      <c r="C204" s="1" t="n">
        <v>46140</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46140</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46140</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46140</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46140</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46140</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39497-2021</t>
        </is>
      </c>
      <c r="B210" s="1" t="n">
        <v>44414.81494212963</v>
      </c>
      <c r="C210" s="1" t="n">
        <v>46140</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34431-2021</t>
        </is>
      </c>
      <c r="B211" s="1" t="n">
        <v>44380</v>
      </c>
      <c r="C211" s="1" t="n">
        <v>46140</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5351-2022</t>
        </is>
      </c>
      <c r="B212" s="1" t="n">
        <v>44594.75950231482</v>
      </c>
      <c r="C212" s="1" t="n">
        <v>46140</v>
      </c>
      <c r="D212" t="inlineStr">
        <is>
          <t>STOCKHOLMS LÄN</t>
        </is>
      </c>
      <c r="E212" t="inlineStr">
        <is>
          <t>NORRTÄLJE</t>
        </is>
      </c>
      <c r="G212" t="n">
        <v>4</v>
      </c>
      <c r="H212" t="n">
        <v>0</v>
      </c>
      <c r="I212" t="n">
        <v>0</v>
      </c>
      <c r="J212" t="n">
        <v>0</v>
      </c>
      <c r="K212" t="n">
        <v>0</v>
      </c>
      <c r="L212" t="n">
        <v>0</v>
      </c>
      <c r="M212" t="n">
        <v>0</v>
      </c>
      <c r="N212" t="n">
        <v>0</v>
      </c>
      <c r="O212" t="n">
        <v>0</v>
      </c>
      <c r="P212" t="n">
        <v>0</v>
      </c>
      <c r="Q212" t="n">
        <v>0</v>
      </c>
      <c r="R212" s="2" t="inlineStr"/>
    </row>
    <row r="213" ht="15" customHeight="1">
      <c r="A213" t="inlineStr">
        <is>
          <t>A 30129-2021</t>
        </is>
      </c>
      <c r="B213" s="1" t="n">
        <v>44363.5784375</v>
      </c>
      <c r="C213" s="1" t="n">
        <v>46140</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22316-2022</t>
        </is>
      </c>
      <c r="B214" s="1" t="n">
        <v>44712.83118055556</v>
      </c>
      <c r="C214" s="1" t="n">
        <v>46140</v>
      </c>
      <c r="D214" t="inlineStr">
        <is>
          <t>STOCKHOLMS LÄN</t>
        </is>
      </c>
      <c r="E214" t="inlineStr">
        <is>
          <t>NORRTÄLJE</t>
        </is>
      </c>
      <c r="G214" t="n">
        <v>6.3</v>
      </c>
      <c r="H214" t="n">
        <v>0</v>
      </c>
      <c r="I214" t="n">
        <v>0</v>
      </c>
      <c r="J214" t="n">
        <v>0</v>
      </c>
      <c r="K214" t="n">
        <v>0</v>
      </c>
      <c r="L214" t="n">
        <v>0</v>
      </c>
      <c r="M214" t="n">
        <v>0</v>
      </c>
      <c r="N214" t="n">
        <v>0</v>
      </c>
      <c r="O214" t="n">
        <v>0</v>
      </c>
      <c r="P214" t="n">
        <v>0</v>
      </c>
      <c r="Q214" t="n">
        <v>0</v>
      </c>
      <c r="R214" s="2" t="inlineStr"/>
    </row>
    <row r="215" ht="15" customHeight="1">
      <c r="A215" t="inlineStr">
        <is>
          <t>A 31092-2022</t>
        </is>
      </c>
      <c r="B215" s="1" t="n">
        <v>44769.62320601852</v>
      </c>
      <c r="C215" s="1" t="n">
        <v>46140</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71871-2021</t>
        </is>
      </c>
      <c r="B216" s="1" t="n">
        <v>44543</v>
      </c>
      <c r="C216" s="1" t="n">
        <v>46140</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71873-2021</t>
        </is>
      </c>
      <c r="B217" s="1" t="n">
        <v>44543</v>
      </c>
      <c r="C217" s="1" t="n">
        <v>46140</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9988-2022</t>
        </is>
      </c>
      <c r="B218" s="1" t="n">
        <v>44621</v>
      </c>
      <c r="C218" s="1" t="n">
        <v>46140</v>
      </c>
      <c r="D218" t="inlineStr">
        <is>
          <t>STOCKHOLMS LÄN</t>
        </is>
      </c>
      <c r="E218" t="inlineStr">
        <is>
          <t>NORRTÄLJE</t>
        </is>
      </c>
      <c r="G218" t="n">
        <v>1.3</v>
      </c>
      <c r="H218" t="n">
        <v>0</v>
      </c>
      <c r="I218" t="n">
        <v>0</v>
      </c>
      <c r="J218" t="n">
        <v>0</v>
      </c>
      <c r="K218" t="n">
        <v>0</v>
      </c>
      <c r="L218" t="n">
        <v>0</v>
      </c>
      <c r="M218" t="n">
        <v>0</v>
      </c>
      <c r="N218" t="n">
        <v>0</v>
      </c>
      <c r="O218" t="n">
        <v>0</v>
      </c>
      <c r="P218" t="n">
        <v>0</v>
      </c>
      <c r="Q218" t="n">
        <v>0</v>
      </c>
      <c r="R218" s="2" t="inlineStr"/>
    </row>
    <row r="219" ht="15" customHeight="1">
      <c r="A219" t="inlineStr">
        <is>
          <t>A 60733-2021</t>
        </is>
      </c>
      <c r="B219" s="1" t="n">
        <v>44496.77542824074</v>
      </c>
      <c r="C219" s="1" t="n">
        <v>46140</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53884-2022</t>
        </is>
      </c>
      <c r="B220" s="1" t="n">
        <v>44880.68423611111</v>
      </c>
      <c r="C220" s="1" t="n">
        <v>46140</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12357-2022</t>
        </is>
      </c>
      <c r="B221" s="1" t="n">
        <v>44637</v>
      </c>
      <c r="C221" s="1" t="n">
        <v>46140</v>
      </c>
      <c r="D221" t="inlineStr">
        <is>
          <t>STOCKHOLMS LÄN</t>
        </is>
      </c>
      <c r="E221" t="inlineStr">
        <is>
          <t>NORRTÄLJE</t>
        </is>
      </c>
      <c r="G221" t="n">
        <v>1</v>
      </c>
      <c r="H221" t="n">
        <v>0</v>
      </c>
      <c r="I221" t="n">
        <v>0</v>
      </c>
      <c r="J221" t="n">
        <v>0</v>
      </c>
      <c r="K221" t="n">
        <v>0</v>
      </c>
      <c r="L221" t="n">
        <v>0</v>
      </c>
      <c r="M221" t="n">
        <v>0</v>
      </c>
      <c r="N221" t="n">
        <v>0</v>
      </c>
      <c r="O221" t="n">
        <v>0</v>
      </c>
      <c r="P221" t="n">
        <v>0</v>
      </c>
      <c r="Q221" t="n">
        <v>0</v>
      </c>
      <c r="R221" s="2" t="inlineStr"/>
    </row>
    <row r="222" ht="15" customHeight="1">
      <c r="A222" t="inlineStr">
        <is>
          <t>A 26335-2022</t>
        </is>
      </c>
      <c r="B222" s="1" t="n">
        <v>44735</v>
      </c>
      <c r="C222" s="1" t="n">
        <v>46140</v>
      </c>
      <c r="D222" t="inlineStr">
        <is>
          <t>STOCKHOLMS LÄN</t>
        </is>
      </c>
      <c r="E222" t="inlineStr">
        <is>
          <t>NORRTÄLJE</t>
        </is>
      </c>
      <c r="G222" t="n">
        <v>3.3</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46140</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46140</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30624-2022</t>
        </is>
      </c>
      <c r="B225" s="1" t="n">
        <v>44763.4182175926</v>
      </c>
      <c r="C225" s="1" t="n">
        <v>46140</v>
      </c>
      <c r="D225" t="inlineStr">
        <is>
          <t>STOCKHOLMS LÄN</t>
        </is>
      </c>
      <c r="E225" t="inlineStr">
        <is>
          <t>NORRTÄLJE</t>
        </is>
      </c>
      <c r="G225" t="n">
        <v>0.7</v>
      </c>
      <c r="H225" t="n">
        <v>0</v>
      </c>
      <c r="I225" t="n">
        <v>0</v>
      </c>
      <c r="J225" t="n">
        <v>0</v>
      </c>
      <c r="K225" t="n">
        <v>0</v>
      </c>
      <c r="L225" t="n">
        <v>0</v>
      </c>
      <c r="M225" t="n">
        <v>0</v>
      </c>
      <c r="N225" t="n">
        <v>0</v>
      </c>
      <c r="O225" t="n">
        <v>0</v>
      </c>
      <c r="P225" t="n">
        <v>0</v>
      </c>
      <c r="Q225" t="n">
        <v>0</v>
      </c>
      <c r="R225" s="2" t="inlineStr"/>
    </row>
    <row r="226" ht="15" customHeight="1">
      <c r="A226" t="inlineStr">
        <is>
          <t>A 52449-2021</t>
        </is>
      </c>
      <c r="B226" s="1" t="n">
        <v>44466.37496527778</v>
      </c>
      <c r="C226" s="1" t="n">
        <v>46140</v>
      </c>
      <c r="D226" t="inlineStr">
        <is>
          <t>STOCKHOLMS LÄN</t>
        </is>
      </c>
      <c r="E226" t="inlineStr">
        <is>
          <t>NORRTÄLJE</t>
        </is>
      </c>
      <c r="F226" t="inlineStr">
        <is>
          <t>Holmen skog AB</t>
        </is>
      </c>
      <c r="G226" t="n">
        <v>1.8</v>
      </c>
      <c r="H226" t="n">
        <v>0</v>
      </c>
      <c r="I226" t="n">
        <v>0</v>
      </c>
      <c r="J226" t="n">
        <v>0</v>
      </c>
      <c r="K226" t="n">
        <v>0</v>
      </c>
      <c r="L226" t="n">
        <v>0</v>
      </c>
      <c r="M226" t="n">
        <v>0</v>
      </c>
      <c r="N226" t="n">
        <v>0</v>
      </c>
      <c r="O226" t="n">
        <v>0</v>
      </c>
      <c r="P226" t="n">
        <v>0</v>
      </c>
      <c r="Q226" t="n">
        <v>0</v>
      </c>
      <c r="R226" s="2" t="inlineStr"/>
    </row>
    <row r="227" ht="15" customHeight="1">
      <c r="A227" t="inlineStr">
        <is>
          <t>A 33046-2021</t>
        </is>
      </c>
      <c r="B227" s="1" t="n">
        <v>44376</v>
      </c>
      <c r="C227" s="1" t="n">
        <v>46140</v>
      </c>
      <c r="D227" t="inlineStr">
        <is>
          <t>STOCKHOLMS LÄN</t>
        </is>
      </c>
      <c r="E227" t="inlineStr">
        <is>
          <t>NORRTÄLJE</t>
        </is>
      </c>
      <c r="G227" t="n">
        <v>2.1</v>
      </c>
      <c r="H227" t="n">
        <v>0</v>
      </c>
      <c r="I227" t="n">
        <v>0</v>
      </c>
      <c r="J227" t="n">
        <v>0</v>
      </c>
      <c r="K227" t="n">
        <v>0</v>
      </c>
      <c r="L227" t="n">
        <v>0</v>
      </c>
      <c r="M227" t="n">
        <v>0</v>
      </c>
      <c r="N227" t="n">
        <v>0</v>
      </c>
      <c r="O227" t="n">
        <v>0</v>
      </c>
      <c r="P227" t="n">
        <v>0</v>
      </c>
      <c r="Q227" t="n">
        <v>0</v>
      </c>
      <c r="R227" s="2" t="inlineStr"/>
    </row>
    <row r="228" ht="15" customHeight="1">
      <c r="A228" t="inlineStr">
        <is>
          <t>A 26328-2022</t>
        </is>
      </c>
      <c r="B228" s="1" t="n">
        <v>44735</v>
      </c>
      <c r="C228" s="1" t="n">
        <v>46140</v>
      </c>
      <c r="D228" t="inlineStr">
        <is>
          <t>STOCKHOLMS LÄN</t>
        </is>
      </c>
      <c r="E228" t="inlineStr">
        <is>
          <t>NORRTÄLJE</t>
        </is>
      </c>
      <c r="G228" t="n">
        <v>2.8</v>
      </c>
      <c r="H228" t="n">
        <v>0</v>
      </c>
      <c r="I228" t="n">
        <v>0</v>
      </c>
      <c r="J228" t="n">
        <v>0</v>
      </c>
      <c r="K228" t="n">
        <v>0</v>
      </c>
      <c r="L228" t="n">
        <v>0</v>
      </c>
      <c r="M228" t="n">
        <v>0</v>
      </c>
      <c r="N228" t="n">
        <v>0</v>
      </c>
      <c r="O228" t="n">
        <v>0</v>
      </c>
      <c r="P228" t="n">
        <v>0</v>
      </c>
      <c r="Q228" t="n">
        <v>0</v>
      </c>
      <c r="R228" s="2" t="inlineStr"/>
    </row>
    <row r="229" ht="15" customHeight="1">
      <c r="A229" t="inlineStr">
        <is>
          <t>A 67598-2021</t>
        </is>
      </c>
      <c r="B229" s="1" t="n">
        <v>44524</v>
      </c>
      <c r="C229" s="1" t="n">
        <v>46140</v>
      </c>
      <c r="D229" t="inlineStr">
        <is>
          <t>STOCKHOLMS LÄN</t>
        </is>
      </c>
      <c r="E229" t="inlineStr">
        <is>
          <t>NORRTÄLJE</t>
        </is>
      </c>
      <c r="G229" t="n">
        <v>1.2</v>
      </c>
      <c r="H229" t="n">
        <v>0</v>
      </c>
      <c r="I229" t="n">
        <v>0</v>
      </c>
      <c r="J229" t="n">
        <v>0</v>
      </c>
      <c r="K229" t="n">
        <v>0</v>
      </c>
      <c r="L229" t="n">
        <v>0</v>
      </c>
      <c r="M229" t="n">
        <v>0</v>
      </c>
      <c r="N229" t="n">
        <v>0</v>
      </c>
      <c r="O229" t="n">
        <v>0</v>
      </c>
      <c r="P229" t="n">
        <v>0</v>
      </c>
      <c r="Q229" t="n">
        <v>0</v>
      </c>
      <c r="R229" s="2" t="inlineStr"/>
    </row>
    <row r="230" ht="15" customHeight="1">
      <c r="A230" t="inlineStr">
        <is>
          <t>A 34520-2021</t>
        </is>
      </c>
      <c r="B230" s="1" t="n">
        <v>44379</v>
      </c>
      <c r="C230" s="1" t="n">
        <v>46140</v>
      </c>
      <c r="D230" t="inlineStr">
        <is>
          <t>STOCKHOLMS LÄN</t>
        </is>
      </c>
      <c r="E230" t="inlineStr">
        <is>
          <t>NORRTÄLJE</t>
        </is>
      </c>
      <c r="G230" t="n">
        <v>1.7</v>
      </c>
      <c r="H230" t="n">
        <v>0</v>
      </c>
      <c r="I230" t="n">
        <v>0</v>
      </c>
      <c r="J230" t="n">
        <v>0</v>
      </c>
      <c r="K230" t="n">
        <v>0</v>
      </c>
      <c r="L230" t="n">
        <v>0</v>
      </c>
      <c r="M230" t="n">
        <v>0</v>
      </c>
      <c r="N230" t="n">
        <v>0</v>
      </c>
      <c r="O230" t="n">
        <v>0</v>
      </c>
      <c r="P230" t="n">
        <v>0</v>
      </c>
      <c r="Q230" t="n">
        <v>0</v>
      </c>
      <c r="R230" s="2" t="inlineStr"/>
    </row>
    <row r="231" ht="15" customHeight="1">
      <c r="A231" t="inlineStr">
        <is>
          <t>A 1968-2022</t>
        </is>
      </c>
      <c r="B231" s="1" t="n">
        <v>44575.52831018518</v>
      </c>
      <c r="C231" s="1" t="n">
        <v>46140</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46140</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46140</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46140</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42396-2021</t>
        </is>
      </c>
      <c r="B235" s="1" t="n">
        <v>44427</v>
      </c>
      <c r="C235" s="1" t="n">
        <v>46140</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46140</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46140</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46140</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12270-2022</t>
        </is>
      </c>
      <c r="B239" s="1" t="n">
        <v>44637</v>
      </c>
      <c r="C239" s="1" t="n">
        <v>46140</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14543-2022</t>
        </is>
      </c>
      <c r="B240" s="1" t="n">
        <v>44655.45373842592</v>
      </c>
      <c r="C240" s="1" t="n">
        <v>46140</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5513-2022</t>
        </is>
      </c>
      <c r="B241" s="1" t="n">
        <v>44595</v>
      </c>
      <c r="C241" s="1" t="n">
        <v>46140</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28042-2022</t>
        </is>
      </c>
      <c r="B242" s="1" t="n">
        <v>44744</v>
      </c>
      <c r="C242" s="1" t="n">
        <v>46140</v>
      </c>
      <c r="D242" t="inlineStr">
        <is>
          <t>STOCKHOLMS LÄN</t>
        </is>
      </c>
      <c r="E242" t="inlineStr">
        <is>
          <t>NORRTÄLJE</t>
        </is>
      </c>
      <c r="G242" t="n">
        <v>0.2</v>
      </c>
      <c r="H242" t="n">
        <v>0</v>
      </c>
      <c r="I242" t="n">
        <v>0</v>
      </c>
      <c r="J242" t="n">
        <v>0</v>
      </c>
      <c r="K242" t="n">
        <v>0</v>
      </c>
      <c r="L242" t="n">
        <v>0</v>
      </c>
      <c r="M242" t="n">
        <v>0</v>
      </c>
      <c r="N242" t="n">
        <v>0</v>
      </c>
      <c r="O242" t="n">
        <v>0</v>
      </c>
      <c r="P242" t="n">
        <v>0</v>
      </c>
      <c r="Q242" t="n">
        <v>0</v>
      </c>
      <c r="R242" s="2" t="inlineStr"/>
    </row>
    <row r="243" ht="15" customHeight="1">
      <c r="A243" t="inlineStr">
        <is>
          <t>A 41398-2022</t>
        </is>
      </c>
      <c r="B243" s="1" t="n">
        <v>44826</v>
      </c>
      <c r="C243" s="1" t="n">
        <v>46140</v>
      </c>
      <c r="D243" t="inlineStr">
        <is>
          <t>STOCKHOLMS LÄN</t>
        </is>
      </c>
      <c r="E243" t="inlineStr">
        <is>
          <t>NORRTÄLJE</t>
        </is>
      </c>
      <c r="G243" t="n">
        <v>1.4</v>
      </c>
      <c r="H243" t="n">
        <v>0</v>
      </c>
      <c r="I243" t="n">
        <v>0</v>
      </c>
      <c r="J243" t="n">
        <v>0</v>
      </c>
      <c r="K243" t="n">
        <v>0</v>
      </c>
      <c r="L243" t="n">
        <v>0</v>
      </c>
      <c r="M243" t="n">
        <v>0</v>
      </c>
      <c r="N243" t="n">
        <v>0</v>
      </c>
      <c r="O243" t="n">
        <v>0</v>
      </c>
      <c r="P243" t="n">
        <v>0</v>
      </c>
      <c r="Q243" t="n">
        <v>0</v>
      </c>
      <c r="R243" s="2" t="inlineStr"/>
    </row>
    <row r="244" ht="15" customHeight="1">
      <c r="A244" t="inlineStr">
        <is>
          <t>A 22369-2021</t>
        </is>
      </c>
      <c r="B244" s="1" t="n">
        <v>44326</v>
      </c>
      <c r="C244" s="1" t="n">
        <v>46140</v>
      </c>
      <c r="D244" t="inlineStr">
        <is>
          <t>STOCKHOLMS LÄN</t>
        </is>
      </c>
      <c r="E244" t="inlineStr">
        <is>
          <t>NORRTÄLJE</t>
        </is>
      </c>
      <c r="F244" t="inlineStr">
        <is>
          <t>Holmen skog AB</t>
        </is>
      </c>
      <c r="G244" t="n">
        <v>3.4</v>
      </c>
      <c r="H244" t="n">
        <v>0</v>
      </c>
      <c r="I244" t="n">
        <v>0</v>
      </c>
      <c r="J244" t="n">
        <v>0</v>
      </c>
      <c r="K244" t="n">
        <v>0</v>
      </c>
      <c r="L244" t="n">
        <v>0</v>
      </c>
      <c r="M244" t="n">
        <v>0</v>
      </c>
      <c r="N244" t="n">
        <v>0</v>
      </c>
      <c r="O244" t="n">
        <v>0</v>
      </c>
      <c r="P244" t="n">
        <v>0</v>
      </c>
      <c r="Q244" t="n">
        <v>0</v>
      </c>
      <c r="R244" s="2" t="inlineStr"/>
    </row>
    <row r="245" ht="15" customHeight="1">
      <c r="A245" t="inlineStr">
        <is>
          <t>A 45541-2022</t>
        </is>
      </c>
      <c r="B245" s="1" t="n">
        <v>44845.47672453704</v>
      </c>
      <c r="C245" s="1" t="n">
        <v>46140</v>
      </c>
      <c r="D245" t="inlineStr">
        <is>
          <t>STOCKHOLMS LÄN</t>
        </is>
      </c>
      <c r="E245" t="inlineStr">
        <is>
          <t>NORRTÄLJE</t>
        </is>
      </c>
      <c r="G245" t="n">
        <v>0.4</v>
      </c>
      <c r="H245" t="n">
        <v>0</v>
      </c>
      <c r="I245" t="n">
        <v>0</v>
      </c>
      <c r="J245" t="n">
        <v>0</v>
      </c>
      <c r="K245" t="n">
        <v>0</v>
      </c>
      <c r="L245" t="n">
        <v>0</v>
      </c>
      <c r="M245" t="n">
        <v>0</v>
      </c>
      <c r="N245" t="n">
        <v>0</v>
      </c>
      <c r="O245" t="n">
        <v>0</v>
      </c>
      <c r="P245" t="n">
        <v>0</v>
      </c>
      <c r="Q245" t="n">
        <v>0</v>
      </c>
      <c r="R245" s="2" t="inlineStr"/>
    </row>
    <row r="246" ht="15" customHeight="1">
      <c r="A246" t="inlineStr">
        <is>
          <t>A 68273-2021</t>
        </is>
      </c>
      <c r="B246" s="1" t="n">
        <v>44526</v>
      </c>
      <c r="C246" s="1" t="n">
        <v>46140</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52139-2022</t>
        </is>
      </c>
      <c r="B247" s="1" t="n">
        <v>44868</v>
      </c>
      <c r="C247" s="1" t="n">
        <v>46140</v>
      </c>
      <c r="D247" t="inlineStr">
        <is>
          <t>STOCKHOLMS LÄN</t>
        </is>
      </c>
      <c r="E247" t="inlineStr">
        <is>
          <t>NORRTÄLJE</t>
        </is>
      </c>
      <c r="G247" t="n">
        <v>3.2</v>
      </c>
      <c r="H247" t="n">
        <v>0</v>
      </c>
      <c r="I247" t="n">
        <v>0</v>
      </c>
      <c r="J247" t="n">
        <v>0</v>
      </c>
      <c r="K247" t="n">
        <v>0</v>
      </c>
      <c r="L247" t="n">
        <v>0</v>
      </c>
      <c r="M247" t="n">
        <v>0</v>
      </c>
      <c r="N247" t="n">
        <v>0</v>
      </c>
      <c r="O247" t="n">
        <v>0</v>
      </c>
      <c r="P247" t="n">
        <v>0</v>
      </c>
      <c r="Q247" t="n">
        <v>0</v>
      </c>
      <c r="R247" s="2" t="inlineStr"/>
      <c r="U247">
        <f>HYPERLINK("https://klasma.github.io/Logging_0188/knärot/A 52139-2022 karta knärot.png", "A 52139-2022")</f>
        <v/>
      </c>
      <c r="V247">
        <f>HYPERLINK("https://klasma.github.io/Logging_0188/klagomål/A 52139-2022 FSC-klagomål.docx", "A 52139-2022")</f>
        <v/>
      </c>
      <c r="W247">
        <f>HYPERLINK("https://klasma.github.io/Logging_0188/klagomålsmail/A 52139-2022 FSC-klagomål mail.docx", "A 52139-2022")</f>
        <v/>
      </c>
      <c r="X247">
        <f>HYPERLINK("https://klasma.github.io/Logging_0188/tillsyn/A 52139-2022 tillsynsbegäran.docx", "A 52139-2022")</f>
        <v/>
      </c>
      <c r="Y247">
        <f>HYPERLINK("https://klasma.github.io/Logging_0188/tillsynsmail/A 52139-2022 tillsynsbegäran mail.docx", "A 52139-2022")</f>
        <v/>
      </c>
    </row>
    <row r="248" ht="15" customHeight="1">
      <c r="A248" t="inlineStr">
        <is>
          <t>A 27217-2021</t>
        </is>
      </c>
      <c r="B248" s="1" t="n">
        <v>44350</v>
      </c>
      <c r="C248" s="1" t="n">
        <v>46140</v>
      </c>
      <c r="D248" t="inlineStr">
        <is>
          <t>STOCKHOLMS LÄN</t>
        </is>
      </c>
      <c r="E248" t="inlineStr">
        <is>
          <t>NORRTÄLJE</t>
        </is>
      </c>
      <c r="G248" t="n">
        <v>5.5</v>
      </c>
      <c r="H248" t="n">
        <v>0</v>
      </c>
      <c r="I248" t="n">
        <v>0</v>
      </c>
      <c r="J248" t="n">
        <v>0</v>
      </c>
      <c r="K248" t="n">
        <v>0</v>
      </c>
      <c r="L248" t="n">
        <v>0</v>
      </c>
      <c r="M248" t="n">
        <v>0</v>
      </c>
      <c r="N248" t="n">
        <v>0</v>
      </c>
      <c r="O248" t="n">
        <v>0</v>
      </c>
      <c r="P248" t="n">
        <v>0</v>
      </c>
      <c r="Q248" t="n">
        <v>0</v>
      </c>
      <c r="R248" s="2" t="inlineStr"/>
    </row>
    <row r="249" ht="15" customHeight="1">
      <c r="A249" t="inlineStr">
        <is>
          <t>A 62030-2021</t>
        </is>
      </c>
      <c r="B249" s="1" t="n">
        <v>44502</v>
      </c>
      <c r="C249" s="1" t="n">
        <v>46140</v>
      </c>
      <c r="D249" t="inlineStr">
        <is>
          <t>STOCKHOLMS LÄN</t>
        </is>
      </c>
      <c r="E249" t="inlineStr">
        <is>
          <t>NORRTÄLJE</t>
        </is>
      </c>
      <c r="G249" t="n">
        <v>4.7</v>
      </c>
      <c r="H249" t="n">
        <v>0</v>
      </c>
      <c r="I249" t="n">
        <v>0</v>
      </c>
      <c r="J249" t="n">
        <v>0</v>
      </c>
      <c r="K249" t="n">
        <v>0</v>
      </c>
      <c r="L249" t="n">
        <v>0</v>
      </c>
      <c r="M249" t="n">
        <v>0</v>
      </c>
      <c r="N249" t="n">
        <v>0</v>
      </c>
      <c r="O249" t="n">
        <v>0</v>
      </c>
      <c r="P249" t="n">
        <v>0</v>
      </c>
      <c r="Q249" t="n">
        <v>0</v>
      </c>
      <c r="R249" s="2" t="inlineStr"/>
    </row>
    <row r="250" ht="15" customHeight="1">
      <c r="A250" t="inlineStr">
        <is>
          <t>A 12875-2022</t>
        </is>
      </c>
      <c r="B250" s="1" t="n">
        <v>44642.55565972222</v>
      </c>
      <c r="C250" s="1" t="n">
        <v>46140</v>
      </c>
      <c r="D250" t="inlineStr">
        <is>
          <t>STOCKHOLMS LÄN</t>
        </is>
      </c>
      <c r="E250" t="inlineStr">
        <is>
          <t>NORRTÄLJE</t>
        </is>
      </c>
      <c r="G250" t="n">
        <v>1.6</v>
      </c>
      <c r="H250" t="n">
        <v>0</v>
      </c>
      <c r="I250" t="n">
        <v>0</v>
      </c>
      <c r="J250" t="n">
        <v>0</v>
      </c>
      <c r="K250" t="n">
        <v>0</v>
      </c>
      <c r="L250" t="n">
        <v>0</v>
      </c>
      <c r="M250" t="n">
        <v>0</v>
      </c>
      <c r="N250" t="n">
        <v>0</v>
      </c>
      <c r="O250" t="n">
        <v>0</v>
      </c>
      <c r="P250" t="n">
        <v>0</v>
      </c>
      <c r="Q250" t="n">
        <v>0</v>
      </c>
      <c r="R250" s="2" t="inlineStr"/>
    </row>
    <row r="251" ht="15" customHeight="1">
      <c r="A251" t="inlineStr">
        <is>
          <t>A 23453-2021</t>
        </is>
      </c>
      <c r="B251" s="1" t="n">
        <v>44333</v>
      </c>
      <c r="C251" s="1" t="n">
        <v>46140</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27214-2021</t>
        </is>
      </c>
      <c r="B252" s="1" t="n">
        <v>44350</v>
      </c>
      <c r="C252" s="1" t="n">
        <v>46140</v>
      </c>
      <c r="D252" t="inlineStr">
        <is>
          <t>STOCKHOLMS LÄN</t>
        </is>
      </c>
      <c r="E252" t="inlineStr">
        <is>
          <t>NORRTÄLJE</t>
        </is>
      </c>
      <c r="G252" t="n">
        <v>1</v>
      </c>
      <c r="H252" t="n">
        <v>0</v>
      </c>
      <c r="I252" t="n">
        <v>0</v>
      </c>
      <c r="J252" t="n">
        <v>0</v>
      </c>
      <c r="K252" t="n">
        <v>0</v>
      </c>
      <c r="L252" t="n">
        <v>0</v>
      </c>
      <c r="M252" t="n">
        <v>0</v>
      </c>
      <c r="N252" t="n">
        <v>0</v>
      </c>
      <c r="O252" t="n">
        <v>0</v>
      </c>
      <c r="P252" t="n">
        <v>0</v>
      </c>
      <c r="Q252" t="n">
        <v>0</v>
      </c>
      <c r="R252" s="2" t="inlineStr"/>
    </row>
    <row r="253" ht="15" customHeight="1">
      <c r="A253" t="inlineStr">
        <is>
          <t>A 12355-2022</t>
        </is>
      </c>
      <c r="B253" s="1" t="n">
        <v>44637</v>
      </c>
      <c r="C253" s="1" t="n">
        <v>46140</v>
      </c>
      <c r="D253" t="inlineStr">
        <is>
          <t>STOCKHOLMS LÄN</t>
        </is>
      </c>
      <c r="E253" t="inlineStr">
        <is>
          <t>NORRTÄLJE</t>
        </is>
      </c>
      <c r="G253" t="n">
        <v>10.4</v>
      </c>
      <c r="H253" t="n">
        <v>0</v>
      </c>
      <c r="I253" t="n">
        <v>0</v>
      </c>
      <c r="J253" t="n">
        <v>0</v>
      </c>
      <c r="K253" t="n">
        <v>0</v>
      </c>
      <c r="L253" t="n">
        <v>0</v>
      </c>
      <c r="M253" t="n">
        <v>0</v>
      </c>
      <c r="N253" t="n">
        <v>0</v>
      </c>
      <c r="O253" t="n">
        <v>0</v>
      </c>
      <c r="P253" t="n">
        <v>0</v>
      </c>
      <c r="Q253" t="n">
        <v>0</v>
      </c>
      <c r="R253" s="2" t="inlineStr"/>
    </row>
    <row r="254" ht="15" customHeight="1">
      <c r="A254" t="inlineStr">
        <is>
          <t>A 7565-2022</t>
        </is>
      </c>
      <c r="B254" s="1" t="n">
        <v>44607</v>
      </c>
      <c r="C254" s="1" t="n">
        <v>46140</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41822-2021</t>
        </is>
      </c>
      <c r="B255" s="1" t="n">
        <v>44425</v>
      </c>
      <c r="C255" s="1" t="n">
        <v>46140</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41823-2021</t>
        </is>
      </c>
      <c r="B256" s="1" t="n">
        <v>44425</v>
      </c>
      <c r="C256" s="1" t="n">
        <v>46140</v>
      </c>
      <c r="D256" t="inlineStr">
        <is>
          <t>STOCKHOLMS LÄN</t>
        </is>
      </c>
      <c r="E256" t="inlineStr">
        <is>
          <t>NORRTÄLJE</t>
        </is>
      </c>
      <c r="G256" t="n">
        <v>2.4</v>
      </c>
      <c r="H256" t="n">
        <v>0</v>
      </c>
      <c r="I256" t="n">
        <v>0</v>
      </c>
      <c r="J256" t="n">
        <v>0</v>
      </c>
      <c r="K256" t="n">
        <v>0</v>
      </c>
      <c r="L256" t="n">
        <v>0</v>
      </c>
      <c r="M256" t="n">
        <v>0</v>
      </c>
      <c r="N256" t="n">
        <v>0</v>
      </c>
      <c r="O256" t="n">
        <v>0</v>
      </c>
      <c r="P256" t="n">
        <v>0</v>
      </c>
      <c r="Q256" t="n">
        <v>0</v>
      </c>
      <c r="R256" s="2" t="inlineStr"/>
    </row>
    <row r="257" ht="15" customHeight="1">
      <c r="A257" t="inlineStr">
        <is>
          <t>A 20295-2022</t>
        </is>
      </c>
      <c r="B257" s="1" t="n">
        <v>44698</v>
      </c>
      <c r="C257" s="1" t="n">
        <v>46140</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37415-2021</t>
        </is>
      </c>
      <c r="B258" s="1" t="n">
        <v>44397</v>
      </c>
      <c r="C258" s="1" t="n">
        <v>46140</v>
      </c>
      <c r="D258" t="inlineStr">
        <is>
          <t>STOCKHOLMS LÄN</t>
        </is>
      </c>
      <c r="E258" t="inlineStr">
        <is>
          <t>NORRTÄLJE</t>
        </is>
      </c>
      <c r="F258" t="inlineStr">
        <is>
          <t>Övriga Aktiebolag</t>
        </is>
      </c>
      <c r="G258" t="n">
        <v>3</v>
      </c>
      <c r="H258" t="n">
        <v>0</v>
      </c>
      <c r="I258" t="n">
        <v>0</v>
      </c>
      <c r="J258" t="n">
        <v>0</v>
      </c>
      <c r="K258" t="n">
        <v>0</v>
      </c>
      <c r="L258" t="n">
        <v>0</v>
      </c>
      <c r="M258" t="n">
        <v>0</v>
      </c>
      <c r="N258" t="n">
        <v>0</v>
      </c>
      <c r="O258" t="n">
        <v>0</v>
      </c>
      <c r="P258" t="n">
        <v>0</v>
      </c>
      <c r="Q258" t="n">
        <v>0</v>
      </c>
      <c r="R258" s="2" t="inlineStr"/>
    </row>
    <row r="259" ht="15" customHeight="1">
      <c r="A259" t="inlineStr">
        <is>
          <t>A 8160-2022</t>
        </is>
      </c>
      <c r="B259" s="1" t="n">
        <v>44609</v>
      </c>
      <c r="C259" s="1" t="n">
        <v>46140</v>
      </c>
      <c r="D259" t="inlineStr">
        <is>
          <t>STOCKHOLMS LÄN</t>
        </is>
      </c>
      <c r="E259" t="inlineStr">
        <is>
          <t>NORRTÄLJE</t>
        </is>
      </c>
      <c r="G259" t="n">
        <v>3.9</v>
      </c>
      <c r="H259" t="n">
        <v>0</v>
      </c>
      <c r="I259" t="n">
        <v>0</v>
      </c>
      <c r="J259" t="n">
        <v>0</v>
      </c>
      <c r="K259" t="n">
        <v>0</v>
      </c>
      <c r="L259" t="n">
        <v>0</v>
      </c>
      <c r="M259" t="n">
        <v>0</v>
      </c>
      <c r="N259" t="n">
        <v>0</v>
      </c>
      <c r="O259" t="n">
        <v>0</v>
      </c>
      <c r="P259" t="n">
        <v>0</v>
      </c>
      <c r="Q259" t="n">
        <v>0</v>
      </c>
      <c r="R259" s="2" t="inlineStr"/>
    </row>
    <row r="260" ht="15" customHeight="1">
      <c r="A260" t="inlineStr">
        <is>
          <t>A 30286-2022</t>
        </is>
      </c>
      <c r="B260" s="1" t="n">
        <v>44760</v>
      </c>
      <c r="C260" s="1" t="n">
        <v>46140</v>
      </c>
      <c r="D260" t="inlineStr">
        <is>
          <t>STOCKHOLMS LÄN</t>
        </is>
      </c>
      <c r="E260" t="inlineStr">
        <is>
          <t>NORRTÄLJE</t>
        </is>
      </c>
      <c r="G260" t="n">
        <v>0.3</v>
      </c>
      <c r="H260" t="n">
        <v>0</v>
      </c>
      <c r="I260" t="n">
        <v>0</v>
      </c>
      <c r="J260" t="n">
        <v>0</v>
      </c>
      <c r="K260" t="n">
        <v>0</v>
      </c>
      <c r="L260" t="n">
        <v>0</v>
      </c>
      <c r="M260" t="n">
        <v>0</v>
      </c>
      <c r="N260" t="n">
        <v>0</v>
      </c>
      <c r="O260" t="n">
        <v>0</v>
      </c>
      <c r="P260" t="n">
        <v>0</v>
      </c>
      <c r="Q260" t="n">
        <v>0</v>
      </c>
      <c r="R260" s="2" t="inlineStr"/>
    </row>
    <row r="261" ht="15" customHeight="1">
      <c r="A261" t="inlineStr">
        <is>
          <t>A 39319-2022</t>
        </is>
      </c>
      <c r="B261" s="1" t="n">
        <v>44817.70516203704</v>
      </c>
      <c r="C261" s="1" t="n">
        <v>46140</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56219-2021</t>
        </is>
      </c>
      <c r="B262" s="1" t="n">
        <v>44477</v>
      </c>
      <c r="C262" s="1" t="n">
        <v>46140</v>
      </c>
      <c r="D262" t="inlineStr">
        <is>
          <t>STOCKHOLMS LÄN</t>
        </is>
      </c>
      <c r="E262" t="inlineStr">
        <is>
          <t>NORRTÄLJE</t>
        </is>
      </c>
      <c r="F262" t="inlineStr">
        <is>
          <t>Kommuner</t>
        </is>
      </c>
      <c r="G262" t="n">
        <v>2.3</v>
      </c>
      <c r="H262" t="n">
        <v>0</v>
      </c>
      <c r="I262" t="n">
        <v>0</v>
      </c>
      <c r="J262" t="n">
        <v>0</v>
      </c>
      <c r="K262" t="n">
        <v>0</v>
      </c>
      <c r="L262" t="n">
        <v>0</v>
      </c>
      <c r="M262" t="n">
        <v>0</v>
      </c>
      <c r="N262" t="n">
        <v>0</v>
      </c>
      <c r="O262" t="n">
        <v>0</v>
      </c>
      <c r="P262" t="n">
        <v>0</v>
      </c>
      <c r="Q262" t="n">
        <v>0</v>
      </c>
      <c r="R262" s="2" t="inlineStr"/>
    </row>
    <row r="263" ht="15" customHeight="1">
      <c r="A263" t="inlineStr">
        <is>
          <t>A 15226-2022</t>
        </is>
      </c>
      <c r="B263" s="1" t="n">
        <v>44658</v>
      </c>
      <c r="C263" s="1" t="n">
        <v>46140</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row>
    <row r="264" ht="15" customHeight="1">
      <c r="A264" t="inlineStr">
        <is>
          <t>A 3300-2022</t>
        </is>
      </c>
      <c r="B264" s="1" t="n">
        <v>44584.91538194445</v>
      </c>
      <c r="C264" s="1" t="n">
        <v>46140</v>
      </c>
      <c r="D264" t="inlineStr">
        <is>
          <t>STOCKHOLMS LÄN</t>
        </is>
      </c>
      <c r="E264" t="inlineStr">
        <is>
          <t>NORRTÄLJE</t>
        </is>
      </c>
      <c r="G264" t="n">
        <v>0.4</v>
      </c>
      <c r="H264" t="n">
        <v>0</v>
      </c>
      <c r="I264" t="n">
        <v>0</v>
      </c>
      <c r="J264" t="n">
        <v>0</v>
      </c>
      <c r="K264" t="n">
        <v>0</v>
      </c>
      <c r="L264" t="n">
        <v>0</v>
      </c>
      <c r="M264" t="n">
        <v>0</v>
      </c>
      <c r="N264" t="n">
        <v>0</v>
      </c>
      <c r="O264" t="n">
        <v>0</v>
      </c>
      <c r="P264" t="n">
        <v>0</v>
      </c>
      <c r="Q264" t="n">
        <v>0</v>
      </c>
      <c r="R264" s="2" t="inlineStr"/>
    </row>
    <row r="265" ht="15" customHeight="1">
      <c r="A265" t="inlineStr">
        <is>
          <t>A 17388-2022</t>
        </is>
      </c>
      <c r="B265" s="1" t="n">
        <v>44678</v>
      </c>
      <c r="C265" s="1" t="n">
        <v>46140</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10521-2022</t>
        </is>
      </c>
      <c r="B266" s="1" t="n">
        <v>44623</v>
      </c>
      <c r="C266" s="1" t="n">
        <v>46140</v>
      </c>
      <c r="D266" t="inlineStr">
        <is>
          <t>STOCKHOLMS LÄN</t>
        </is>
      </c>
      <c r="E266" t="inlineStr">
        <is>
          <t>NORRTÄLJE</t>
        </is>
      </c>
      <c r="G266" t="n">
        <v>2.9</v>
      </c>
      <c r="H266" t="n">
        <v>0</v>
      </c>
      <c r="I266" t="n">
        <v>0</v>
      </c>
      <c r="J266" t="n">
        <v>0</v>
      </c>
      <c r="K266" t="n">
        <v>0</v>
      </c>
      <c r="L266" t="n">
        <v>0</v>
      </c>
      <c r="M266" t="n">
        <v>0</v>
      </c>
      <c r="N266" t="n">
        <v>0</v>
      </c>
      <c r="O266" t="n">
        <v>0</v>
      </c>
      <c r="P266" t="n">
        <v>0</v>
      </c>
      <c r="Q266" t="n">
        <v>0</v>
      </c>
      <c r="R266" s="2" t="inlineStr"/>
    </row>
    <row r="267" ht="15" customHeight="1">
      <c r="A267" t="inlineStr">
        <is>
          <t>A 17771-2022</t>
        </is>
      </c>
      <c r="B267" s="1" t="n">
        <v>44682.75924768519</v>
      </c>
      <c r="C267" s="1" t="n">
        <v>46140</v>
      </c>
      <c r="D267" t="inlineStr">
        <is>
          <t>STOCKHOLMS LÄN</t>
        </is>
      </c>
      <c r="E267" t="inlineStr">
        <is>
          <t>NORRTÄLJE</t>
        </is>
      </c>
      <c r="G267" t="n">
        <v>13.3</v>
      </c>
      <c r="H267" t="n">
        <v>0</v>
      </c>
      <c r="I267" t="n">
        <v>0</v>
      </c>
      <c r="J267" t="n">
        <v>0</v>
      </c>
      <c r="K267" t="n">
        <v>0</v>
      </c>
      <c r="L267" t="n">
        <v>0</v>
      </c>
      <c r="M267" t="n">
        <v>0</v>
      </c>
      <c r="N267" t="n">
        <v>0</v>
      </c>
      <c r="O267" t="n">
        <v>0</v>
      </c>
      <c r="P267" t="n">
        <v>0</v>
      </c>
      <c r="Q267" t="n">
        <v>0</v>
      </c>
      <c r="R267" s="2" t="inlineStr"/>
    </row>
    <row r="268" ht="15" customHeight="1">
      <c r="A268" t="inlineStr">
        <is>
          <t>A 17773-2022</t>
        </is>
      </c>
      <c r="B268" s="1" t="n">
        <v>44682.77616898148</v>
      </c>
      <c r="C268" s="1" t="n">
        <v>46140</v>
      </c>
      <c r="D268" t="inlineStr">
        <is>
          <t>STOCKHOLMS LÄN</t>
        </is>
      </c>
      <c r="E268" t="inlineStr">
        <is>
          <t>NORRTÄLJE</t>
        </is>
      </c>
      <c r="G268" t="n">
        <v>10.8</v>
      </c>
      <c r="H268" t="n">
        <v>0</v>
      </c>
      <c r="I268" t="n">
        <v>0</v>
      </c>
      <c r="J268" t="n">
        <v>0</v>
      </c>
      <c r="K268" t="n">
        <v>0</v>
      </c>
      <c r="L268" t="n">
        <v>0</v>
      </c>
      <c r="M268" t="n">
        <v>0</v>
      </c>
      <c r="N268" t="n">
        <v>0</v>
      </c>
      <c r="O268" t="n">
        <v>0</v>
      </c>
      <c r="P268" t="n">
        <v>0</v>
      </c>
      <c r="Q268" t="n">
        <v>0</v>
      </c>
      <c r="R268" s="2" t="inlineStr"/>
    </row>
    <row r="269" ht="15" customHeight="1">
      <c r="A269" t="inlineStr">
        <is>
          <t>A 70170-2021</t>
        </is>
      </c>
      <c r="B269" s="1" t="n">
        <v>44533</v>
      </c>
      <c r="C269" s="1" t="n">
        <v>46140</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16117-2022</t>
        </is>
      </c>
      <c r="B270" s="1" t="n">
        <v>44665.65474537037</v>
      </c>
      <c r="C270" s="1" t="n">
        <v>46140</v>
      </c>
      <c r="D270" t="inlineStr">
        <is>
          <t>STOCKHOLMS LÄN</t>
        </is>
      </c>
      <c r="E270" t="inlineStr">
        <is>
          <t>NORRTÄLJE</t>
        </is>
      </c>
      <c r="G270" t="n">
        <v>8.1</v>
      </c>
      <c r="H270" t="n">
        <v>0</v>
      </c>
      <c r="I270" t="n">
        <v>0</v>
      </c>
      <c r="J270" t="n">
        <v>0</v>
      </c>
      <c r="K270" t="n">
        <v>0</v>
      </c>
      <c r="L270" t="n">
        <v>0</v>
      </c>
      <c r="M270" t="n">
        <v>0</v>
      </c>
      <c r="N270" t="n">
        <v>0</v>
      </c>
      <c r="O270" t="n">
        <v>0</v>
      </c>
      <c r="P270" t="n">
        <v>0</v>
      </c>
      <c r="Q270" t="n">
        <v>0</v>
      </c>
      <c r="R270" s="2" t="inlineStr"/>
    </row>
    <row r="271" ht="15" customHeight="1">
      <c r="A271" t="inlineStr">
        <is>
          <t>A 16132-2022</t>
        </is>
      </c>
      <c r="B271" s="1" t="n">
        <v>44665.78351851852</v>
      </c>
      <c r="C271" s="1" t="n">
        <v>46140</v>
      </c>
      <c r="D271" t="inlineStr">
        <is>
          <t>STOCKHOLMS LÄN</t>
        </is>
      </c>
      <c r="E271" t="inlineStr">
        <is>
          <t>NORRTÄLJE</t>
        </is>
      </c>
      <c r="G271" t="n">
        <v>4.4</v>
      </c>
      <c r="H271" t="n">
        <v>0</v>
      </c>
      <c r="I271" t="n">
        <v>0</v>
      </c>
      <c r="J271" t="n">
        <v>0</v>
      </c>
      <c r="K271" t="n">
        <v>0</v>
      </c>
      <c r="L271" t="n">
        <v>0</v>
      </c>
      <c r="M271" t="n">
        <v>0</v>
      </c>
      <c r="N271" t="n">
        <v>0</v>
      </c>
      <c r="O271" t="n">
        <v>0</v>
      </c>
      <c r="P271" t="n">
        <v>0</v>
      </c>
      <c r="Q271" t="n">
        <v>0</v>
      </c>
      <c r="R271" s="2" t="inlineStr"/>
    </row>
    <row r="272" ht="15" customHeight="1">
      <c r="A272" t="inlineStr">
        <is>
          <t>A 25463-2021</t>
        </is>
      </c>
      <c r="B272" s="1" t="n">
        <v>44342</v>
      </c>
      <c r="C272" s="1" t="n">
        <v>46140</v>
      </c>
      <c r="D272" t="inlineStr">
        <is>
          <t>STOCKHOLMS LÄN</t>
        </is>
      </c>
      <c r="E272" t="inlineStr">
        <is>
          <t>NORRTÄLJE</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46140</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71880-2021</t>
        </is>
      </c>
      <c r="B274" s="1" t="n">
        <v>44543</v>
      </c>
      <c r="C274" s="1" t="n">
        <v>46140</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17772-2022</t>
        </is>
      </c>
      <c r="B275" s="1" t="n">
        <v>44682.76528935185</v>
      </c>
      <c r="C275" s="1" t="n">
        <v>46140</v>
      </c>
      <c r="D275" t="inlineStr">
        <is>
          <t>STOCKHOLMS LÄN</t>
        </is>
      </c>
      <c r="E275" t="inlineStr">
        <is>
          <t>NORRTÄLJE</t>
        </is>
      </c>
      <c r="G275" t="n">
        <v>4</v>
      </c>
      <c r="H275" t="n">
        <v>0</v>
      </c>
      <c r="I275" t="n">
        <v>0</v>
      </c>
      <c r="J275" t="n">
        <v>0</v>
      </c>
      <c r="K275" t="n">
        <v>0</v>
      </c>
      <c r="L275" t="n">
        <v>0</v>
      </c>
      <c r="M275" t="n">
        <v>0</v>
      </c>
      <c r="N275" t="n">
        <v>0</v>
      </c>
      <c r="O275" t="n">
        <v>0</v>
      </c>
      <c r="P275" t="n">
        <v>0</v>
      </c>
      <c r="Q275" t="n">
        <v>0</v>
      </c>
      <c r="R275" s="2" t="inlineStr"/>
    </row>
    <row r="276" ht="15" customHeight="1">
      <c r="A276" t="inlineStr">
        <is>
          <t>A 24101-2022</t>
        </is>
      </c>
      <c r="B276" s="1" t="n">
        <v>44725</v>
      </c>
      <c r="C276" s="1" t="n">
        <v>46140</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67285-2021</t>
        </is>
      </c>
      <c r="B277" s="1" t="n">
        <v>44523.61635416667</v>
      </c>
      <c r="C277" s="1" t="n">
        <v>46140</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5611-2022</t>
        </is>
      </c>
      <c r="B278" s="1" t="n">
        <v>44595</v>
      </c>
      <c r="C278" s="1" t="n">
        <v>46140</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32055-2021</t>
        </is>
      </c>
      <c r="B279" s="1" t="n">
        <v>44370.72197916666</v>
      </c>
      <c r="C279" s="1" t="n">
        <v>46140</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38721-2022</t>
        </is>
      </c>
      <c r="B280" s="1" t="n">
        <v>44815</v>
      </c>
      <c r="C280" s="1" t="n">
        <v>46140</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60184-2021</t>
        </is>
      </c>
      <c r="B281" s="1" t="n">
        <v>44495</v>
      </c>
      <c r="C281" s="1" t="n">
        <v>46140</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12348-2025</t>
        </is>
      </c>
      <c r="B282" s="1" t="n">
        <v>45730.35026620371</v>
      </c>
      <c r="C282" s="1" t="n">
        <v>46140</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55012-2024</t>
        </is>
      </c>
      <c r="B283" s="1" t="n">
        <v>45621.34813657407</v>
      </c>
      <c r="C283" s="1" t="n">
        <v>46140</v>
      </c>
      <c r="D283" t="inlineStr">
        <is>
          <t>STOCKHOLMS LÄN</t>
        </is>
      </c>
      <c r="E283" t="inlineStr">
        <is>
          <t>NORRTÄLJE</t>
        </is>
      </c>
      <c r="F283" t="inlineStr">
        <is>
          <t>Sveaskog</t>
        </is>
      </c>
      <c r="G283" t="n">
        <v>5.2</v>
      </c>
      <c r="H283" t="n">
        <v>0</v>
      </c>
      <c r="I283" t="n">
        <v>0</v>
      </c>
      <c r="J283" t="n">
        <v>0</v>
      </c>
      <c r="K283" t="n">
        <v>0</v>
      </c>
      <c r="L283" t="n">
        <v>0</v>
      </c>
      <c r="M283" t="n">
        <v>0</v>
      </c>
      <c r="N283" t="n">
        <v>0</v>
      </c>
      <c r="O283" t="n">
        <v>0</v>
      </c>
      <c r="P283" t="n">
        <v>0</v>
      </c>
      <c r="Q283" t="n">
        <v>0</v>
      </c>
      <c r="R283" s="2" t="inlineStr"/>
    </row>
    <row r="284" ht="15" customHeight="1">
      <c r="A284" t="inlineStr">
        <is>
          <t>A 33053-2021</t>
        </is>
      </c>
      <c r="B284" s="1" t="n">
        <v>44376</v>
      </c>
      <c r="C284" s="1" t="n">
        <v>46140</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27715-2022</t>
        </is>
      </c>
      <c r="B285" s="1" t="n">
        <v>44743.47407407407</v>
      </c>
      <c r="C285" s="1" t="n">
        <v>46140</v>
      </c>
      <c r="D285" t="inlineStr">
        <is>
          <t>STOCKHOLMS LÄN</t>
        </is>
      </c>
      <c r="E285" t="inlineStr">
        <is>
          <t>NORRTÄLJE</t>
        </is>
      </c>
      <c r="G285" t="n">
        <v>2.2</v>
      </c>
      <c r="H285" t="n">
        <v>0</v>
      </c>
      <c r="I285" t="n">
        <v>0</v>
      </c>
      <c r="J285" t="n">
        <v>0</v>
      </c>
      <c r="K285" t="n">
        <v>0</v>
      </c>
      <c r="L285" t="n">
        <v>0</v>
      </c>
      <c r="M285" t="n">
        <v>0</v>
      </c>
      <c r="N285" t="n">
        <v>0</v>
      </c>
      <c r="O285" t="n">
        <v>0</v>
      </c>
      <c r="P285" t="n">
        <v>0</v>
      </c>
      <c r="Q285" t="n">
        <v>0</v>
      </c>
      <c r="R285" s="2" t="inlineStr"/>
    </row>
    <row r="286" ht="15" customHeight="1">
      <c r="A286" t="inlineStr">
        <is>
          <t>A 20013-2025</t>
        </is>
      </c>
      <c r="B286" s="1" t="n">
        <v>45772.30436342592</v>
      </c>
      <c r="C286" s="1" t="n">
        <v>46140</v>
      </c>
      <c r="D286" t="inlineStr">
        <is>
          <t>STOCKHOLMS LÄN</t>
        </is>
      </c>
      <c r="E286" t="inlineStr">
        <is>
          <t>NORRTÄLJE</t>
        </is>
      </c>
      <c r="G286" t="n">
        <v>2.3</v>
      </c>
      <c r="H286" t="n">
        <v>0</v>
      </c>
      <c r="I286" t="n">
        <v>0</v>
      </c>
      <c r="J286" t="n">
        <v>0</v>
      </c>
      <c r="K286" t="n">
        <v>0</v>
      </c>
      <c r="L286" t="n">
        <v>0</v>
      </c>
      <c r="M286" t="n">
        <v>0</v>
      </c>
      <c r="N286" t="n">
        <v>0</v>
      </c>
      <c r="O286" t="n">
        <v>0</v>
      </c>
      <c r="P286" t="n">
        <v>0</v>
      </c>
      <c r="Q286" t="n">
        <v>0</v>
      </c>
      <c r="R286" s="2" t="inlineStr"/>
    </row>
    <row r="287" ht="15" customHeight="1">
      <c r="A287" t="inlineStr">
        <is>
          <t>A 23271-2023</t>
        </is>
      </c>
      <c r="B287" s="1" t="n">
        <v>45075.91362268518</v>
      </c>
      <c r="C287" s="1" t="n">
        <v>46140</v>
      </c>
      <c r="D287" t="inlineStr">
        <is>
          <t>STOCKHOLMS LÄN</t>
        </is>
      </c>
      <c r="E287" t="inlineStr">
        <is>
          <t>NORRTÄLJE</t>
        </is>
      </c>
      <c r="G287" t="n">
        <v>5.1</v>
      </c>
      <c r="H287" t="n">
        <v>0</v>
      </c>
      <c r="I287" t="n">
        <v>0</v>
      </c>
      <c r="J287" t="n">
        <v>0</v>
      </c>
      <c r="K287" t="n">
        <v>0</v>
      </c>
      <c r="L287" t="n">
        <v>0</v>
      </c>
      <c r="M287" t="n">
        <v>0</v>
      </c>
      <c r="N287" t="n">
        <v>0</v>
      </c>
      <c r="O287" t="n">
        <v>0</v>
      </c>
      <c r="P287" t="n">
        <v>0</v>
      </c>
      <c r="Q287" t="n">
        <v>0</v>
      </c>
      <c r="R287" s="2" t="inlineStr"/>
    </row>
    <row r="288" ht="15" customHeight="1">
      <c r="A288" t="inlineStr">
        <is>
          <t>A 23273-2023</t>
        </is>
      </c>
      <c r="B288" s="1" t="n">
        <v>45075.91971064815</v>
      </c>
      <c r="C288" s="1" t="n">
        <v>46140</v>
      </c>
      <c r="D288" t="inlineStr">
        <is>
          <t>STOCKHOLMS LÄN</t>
        </is>
      </c>
      <c r="E288" t="inlineStr">
        <is>
          <t>NORRTÄLJE</t>
        </is>
      </c>
      <c r="G288" t="n">
        <v>7.5</v>
      </c>
      <c r="H288" t="n">
        <v>0</v>
      </c>
      <c r="I288" t="n">
        <v>0</v>
      </c>
      <c r="J288" t="n">
        <v>0</v>
      </c>
      <c r="K288" t="n">
        <v>0</v>
      </c>
      <c r="L288" t="n">
        <v>0</v>
      </c>
      <c r="M288" t="n">
        <v>0</v>
      </c>
      <c r="N288" t="n">
        <v>0</v>
      </c>
      <c r="O288" t="n">
        <v>0</v>
      </c>
      <c r="P288" t="n">
        <v>0</v>
      </c>
      <c r="Q288" t="n">
        <v>0</v>
      </c>
      <c r="R288" s="2" t="inlineStr"/>
    </row>
    <row r="289" ht="15" customHeight="1">
      <c r="A289" t="inlineStr">
        <is>
          <t>A 30802-2022</t>
        </is>
      </c>
      <c r="B289" s="1" t="n">
        <v>44764</v>
      </c>
      <c r="C289" s="1" t="n">
        <v>46140</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19706-2023</t>
        </is>
      </c>
      <c r="B290" s="1" t="n">
        <v>45051.455</v>
      </c>
      <c r="C290" s="1" t="n">
        <v>46140</v>
      </c>
      <c r="D290" t="inlineStr">
        <is>
          <t>STOCKHOLMS LÄN</t>
        </is>
      </c>
      <c r="E290" t="inlineStr">
        <is>
          <t>NORRTÄLJE</t>
        </is>
      </c>
      <c r="G290" t="n">
        <v>0.2</v>
      </c>
      <c r="H290" t="n">
        <v>0</v>
      </c>
      <c r="I290" t="n">
        <v>0</v>
      </c>
      <c r="J290" t="n">
        <v>0</v>
      </c>
      <c r="K290" t="n">
        <v>0</v>
      </c>
      <c r="L290" t="n">
        <v>0</v>
      </c>
      <c r="M290" t="n">
        <v>0</v>
      </c>
      <c r="N290" t="n">
        <v>0</v>
      </c>
      <c r="O290" t="n">
        <v>0</v>
      </c>
      <c r="P290" t="n">
        <v>0</v>
      </c>
      <c r="Q290" t="n">
        <v>0</v>
      </c>
      <c r="R290" s="2" t="inlineStr"/>
    </row>
    <row r="291" ht="15" customHeight="1">
      <c r="A291" t="inlineStr">
        <is>
          <t>A 16008-2025</t>
        </is>
      </c>
      <c r="B291" s="1" t="n">
        <v>45749</v>
      </c>
      <c r="C291" s="1" t="n">
        <v>46140</v>
      </c>
      <c r="D291" t="inlineStr">
        <is>
          <t>STOCKHOLMS LÄN</t>
        </is>
      </c>
      <c r="E291" t="inlineStr">
        <is>
          <t>NORRTÄLJE</t>
        </is>
      </c>
      <c r="F291" t="inlineStr">
        <is>
          <t>Holmen skog AB</t>
        </is>
      </c>
      <c r="G291" t="n">
        <v>0.9</v>
      </c>
      <c r="H291" t="n">
        <v>0</v>
      </c>
      <c r="I291" t="n">
        <v>0</v>
      </c>
      <c r="J291" t="n">
        <v>0</v>
      </c>
      <c r="K291" t="n">
        <v>0</v>
      </c>
      <c r="L291" t="n">
        <v>0</v>
      </c>
      <c r="M291" t="n">
        <v>0</v>
      </c>
      <c r="N291" t="n">
        <v>0</v>
      </c>
      <c r="O291" t="n">
        <v>0</v>
      </c>
      <c r="P291" t="n">
        <v>0</v>
      </c>
      <c r="Q291" t="n">
        <v>0</v>
      </c>
      <c r="R291" s="2" t="inlineStr"/>
    </row>
    <row r="292" ht="15" customHeight="1">
      <c r="A292" t="inlineStr">
        <is>
          <t>A 9765-2024</t>
        </is>
      </c>
      <c r="B292" s="1" t="n">
        <v>45362.62811342593</v>
      </c>
      <c r="C292" s="1" t="n">
        <v>46140</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63161-2023</t>
        </is>
      </c>
      <c r="B293" s="1" t="n">
        <v>45273</v>
      </c>
      <c r="C293" s="1" t="n">
        <v>46140</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40425-2021</t>
        </is>
      </c>
      <c r="B294" s="1" t="n">
        <v>44419</v>
      </c>
      <c r="C294" s="1" t="n">
        <v>46140</v>
      </c>
      <c r="D294" t="inlineStr">
        <is>
          <t>STOCKHOLMS LÄN</t>
        </is>
      </c>
      <c r="E294" t="inlineStr">
        <is>
          <t>NORRTÄLJE</t>
        </is>
      </c>
      <c r="G294" t="n">
        <v>5</v>
      </c>
      <c r="H294" t="n">
        <v>0</v>
      </c>
      <c r="I294" t="n">
        <v>0</v>
      </c>
      <c r="J294" t="n">
        <v>0</v>
      </c>
      <c r="K294" t="n">
        <v>0</v>
      </c>
      <c r="L294" t="n">
        <v>0</v>
      </c>
      <c r="M294" t="n">
        <v>0</v>
      </c>
      <c r="N294" t="n">
        <v>0</v>
      </c>
      <c r="O294" t="n">
        <v>0</v>
      </c>
      <c r="P294" t="n">
        <v>0</v>
      </c>
      <c r="Q294" t="n">
        <v>0</v>
      </c>
      <c r="R294" s="2" t="inlineStr"/>
    </row>
    <row r="295" ht="15" customHeight="1">
      <c r="A295" t="inlineStr">
        <is>
          <t>A 20014-2025</t>
        </is>
      </c>
      <c r="B295" s="1" t="n">
        <v>45772.3078125</v>
      </c>
      <c r="C295" s="1" t="n">
        <v>46140</v>
      </c>
      <c r="D295" t="inlineStr">
        <is>
          <t>STOCKHOLMS LÄN</t>
        </is>
      </c>
      <c r="E295" t="inlineStr">
        <is>
          <t>NORRTÄLJE</t>
        </is>
      </c>
      <c r="G295" t="n">
        <v>4.4</v>
      </c>
      <c r="H295" t="n">
        <v>0</v>
      </c>
      <c r="I295" t="n">
        <v>0</v>
      </c>
      <c r="J295" t="n">
        <v>0</v>
      </c>
      <c r="K295" t="n">
        <v>0</v>
      </c>
      <c r="L295" t="n">
        <v>0</v>
      </c>
      <c r="M295" t="n">
        <v>0</v>
      </c>
      <c r="N295" t="n">
        <v>0</v>
      </c>
      <c r="O295" t="n">
        <v>0</v>
      </c>
      <c r="P295" t="n">
        <v>0</v>
      </c>
      <c r="Q295" t="n">
        <v>0</v>
      </c>
      <c r="R295" s="2" t="inlineStr"/>
    </row>
    <row r="296" ht="15" customHeight="1">
      <c r="A296" t="inlineStr">
        <is>
          <t>A 42955-2022</t>
        </is>
      </c>
      <c r="B296" s="1" t="n">
        <v>44833.40876157407</v>
      </c>
      <c r="C296" s="1" t="n">
        <v>46140</v>
      </c>
      <c r="D296" t="inlineStr">
        <is>
          <t>STOCKHOLMS LÄN</t>
        </is>
      </c>
      <c r="E296" t="inlineStr">
        <is>
          <t>NORRTÄLJE</t>
        </is>
      </c>
      <c r="G296" t="n">
        <v>13.1</v>
      </c>
      <c r="H296" t="n">
        <v>0</v>
      </c>
      <c r="I296" t="n">
        <v>0</v>
      </c>
      <c r="J296" t="n">
        <v>0</v>
      </c>
      <c r="K296" t="n">
        <v>0</v>
      </c>
      <c r="L296" t="n">
        <v>0</v>
      </c>
      <c r="M296" t="n">
        <v>0</v>
      </c>
      <c r="N296" t="n">
        <v>0</v>
      </c>
      <c r="O296" t="n">
        <v>0</v>
      </c>
      <c r="P296" t="n">
        <v>0</v>
      </c>
      <c r="Q296" t="n">
        <v>0</v>
      </c>
      <c r="R296" s="2" t="inlineStr"/>
    </row>
    <row r="297" ht="15" customHeight="1">
      <c r="A297" t="inlineStr">
        <is>
          <t>A 56631-2024</t>
        </is>
      </c>
      <c r="B297" s="1" t="n">
        <v>45625</v>
      </c>
      <c r="C297" s="1" t="n">
        <v>46140</v>
      </c>
      <c r="D297" t="inlineStr">
        <is>
          <t>STOCKHOLMS LÄN</t>
        </is>
      </c>
      <c r="E297" t="inlineStr">
        <is>
          <t>NORRTÄLJE</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48587-2023</t>
        </is>
      </c>
      <c r="B298" s="1" t="n">
        <v>45208</v>
      </c>
      <c r="C298" s="1" t="n">
        <v>46140</v>
      </c>
      <c r="D298" t="inlineStr">
        <is>
          <t>STOCKHOLMS LÄN</t>
        </is>
      </c>
      <c r="E298" t="inlineStr">
        <is>
          <t>NORRTÄLJE</t>
        </is>
      </c>
      <c r="G298" t="n">
        <v>7</v>
      </c>
      <c r="H298" t="n">
        <v>0</v>
      </c>
      <c r="I298" t="n">
        <v>0</v>
      </c>
      <c r="J298" t="n">
        <v>0</v>
      </c>
      <c r="K298" t="n">
        <v>0</v>
      </c>
      <c r="L298" t="n">
        <v>0</v>
      </c>
      <c r="M298" t="n">
        <v>0</v>
      </c>
      <c r="N298" t="n">
        <v>0</v>
      </c>
      <c r="O298" t="n">
        <v>0</v>
      </c>
      <c r="P298" t="n">
        <v>0</v>
      </c>
      <c r="Q298" t="n">
        <v>0</v>
      </c>
      <c r="R298" s="2" t="inlineStr"/>
    </row>
    <row r="299" ht="15" customHeight="1">
      <c r="A299" t="inlineStr">
        <is>
          <t>A 20136-2025</t>
        </is>
      </c>
      <c r="B299" s="1" t="n">
        <v>45772.51127314815</v>
      </c>
      <c r="C299" s="1" t="n">
        <v>46140</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53600-2022</t>
        </is>
      </c>
      <c r="B300" s="1" t="n">
        <v>44879.70518518519</v>
      </c>
      <c r="C300" s="1" t="n">
        <v>46140</v>
      </c>
      <c r="D300" t="inlineStr">
        <is>
          <t>STOCKHOLMS LÄN</t>
        </is>
      </c>
      <c r="E300" t="inlineStr">
        <is>
          <t>NORRTÄLJE</t>
        </is>
      </c>
      <c r="G300" t="n">
        <v>4.3</v>
      </c>
      <c r="H300" t="n">
        <v>0</v>
      </c>
      <c r="I300" t="n">
        <v>0</v>
      </c>
      <c r="J300" t="n">
        <v>0</v>
      </c>
      <c r="K300" t="n">
        <v>0</v>
      </c>
      <c r="L300" t="n">
        <v>0</v>
      </c>
      <c r="M300" t="n">
        <v>0</v>
      </c>
      <c r="N300" t="n">
        <v>0</v>
      </c>
      <c r="O300" t="n">
        <v>0</v>
      </c>
      <c r="P300" t="n">
        <v>0</v>
      </c>
      <c r="Q300" t="n">
        <v>0</v>
      </c>
      <c r="R300" s="2" t="inlineStr"/>
    </row>
    <row r="301" ht="15" customHeight="1">
      <c r="A301" t="inlineStr">
        <is>
          <t>A 15978-2024</t>
        </is>
      </c>
      <c r="B301" s="1" t="n">
        <v>45405.57927083333</v>
      </c>
      <c r="C301" s="1" t="n">
        <v>46140</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20473-2021</t>
        </is>
      </c>
      <c r="B302" s="1" t="n">
        <v>44315</v>
      </c>
      <c r="C302" s="1" t="n">
        <v>46140</v>
      </c>
      <c r="D302" t="inlineStr">
        <is>
          <t>STOCKHOLMS LÄN</t>
        </is>
      </c>
      <c r="E302" t="inlineStr">
        <is>
          <t>NORRTÄLJE</t>
        </is>
      </c>
      <c r="F302" t="inlineStr">
        <is>
          <t>Övriga Aktiebolag</t>
        </is>
      </c>
      <c r="G302" t="n">
        <v>3.6</v>
      </c>
      <c r="H302" t="n">
        <v>0</v>
      </c>
      <c r="I302" t="n">
        <v>0</v>
      </c>
      <c r="J302" t="n">
        <v>0</v>
      </c>
      <c r="K302" t="n">
        <v>0</v>
      </c>
      <c r="L302" t="n">
        <v>0</v>
      </c>
      <c r="M302" t="n">
        <v>0</v>
      </c>
      <c r="N302" t="n">
        <v>0</v>
      </c>
      <c r="O302" t="n">
        <v>0</v>
      </c>
      <c r="P302" t="n">
        <v>0</v>
      </c>
      <c r="Q302" t="n">
        <v>0</v>
      </c>
      <c r="R302" s="2" t="inlineStr"/>
    </row>
    <row r="303" ht="15" customHeight="1">
      <c r="A303" t="inlineStr">
        <is>
          <t>A 7603-2025</t>
        </is>
      </c>
      <c r="B303" s="1" t="n">
        <v>45705.66126157407</v>
      </c>
      <c r="C303" s="1" t="n">
        <v>46140</v>
      </c>
      <c r="D303" t="inlineStr">
        <is>
          <t>STOCKHOLMS LÄN</t>
        </is>
      </c>
      <c r="E303" t="inlineStr">
        <is>
          <t>NORRTÄLJE</t>
        </is>
      </c>
      <c r="F303" t="inlineStr">
        <is>
          <t>Holmen skog AB</t>
        </is>
      </c>
      <c r="G303" t="n">
        <v>2.4</v>
      </c>
      <c r="H303" t="n">
        <v>0</v>
      </c>
      <c r="I303" t="n">
        <v>0</v>
      </c>
      <c r="J303" t="n">
        <v>0</v>
      </c>
      <c r="K303" t="n">
        <v>0</v>
      </c>
      <c r="L303" t="n">
        <v>0</v>
      </c>
      <c r="M303" t="n">
        <v>0</v>
      </c>
      <c r="N303" t="n">
        <v>0</v>
      </c>
      <c r="O303" t="n">
        <v>0</v>
      </c>
      <c r="P303" t="n">
        <v>0</v>
      </c>
      <c r="Q303" t="n">
        <v>0</v>
      </c>
      <c r="R303" s="2" t="inlineStr"/>
    </row>
    <row r="304" ht="15" customHeight="1">
      <c r="A304" t="inlineStr">
        <is>
          <t>A 47694-2023</t>
        </is>
      </c>
      <c r="B304" s="1" t="n">
        <v>45203.63303240741</v>
      </c>
      <c r="C304" s="1" t="n">
        <v>46140</v>
      </c>
      <c r="D304" t="inlineStr">
        <is>
          <t>STOCKHOLMS LÄN</t>
        </is>
      </c>
      <c r="E304" t="inlineStr">
        <is>
          <t>NORRTÄLJE</t>
        </is>
      </c>
      <c r="G304" t="n">
        <v>5.2</v>
      </c>
      <c r="H304" t="n">
        <v>0</v>
      </c>
      <c r="I304" t="n">
        <v>0</v>
      </c>
      <c r="J304" t="n">
        <v>0</v>
      </c>
      <c r="K304" t="n">
        <v>0</v>
      </c>
      <c r="L304" t="n">
        <v>0</v>
      </c>
      <c r="M304" t="n">
        <v>0</v>
      </c>
      <c r="N304" t="n">
        <v>0</v>
      </c>
      <c r="O304" t="n">
        <v>0</v>
      </c>
      <c r="P304" t="n">
        <v>0</v>
      </c>
      <c r="Q304" t="n">
        <v>0</v>
      </c>
      <c r="R304" s="2" t="inlineStr"/>
    </row>
    <row r="305" ht="15" customHeight="1">
      <c r="A305" t="inlineStr">
        <is>
          <t>A 5158-2024</t>
        </is>
      </c>
      <c r="B305" s="1" t="n">
        <v>45330.50098379629</v>
      </c>
      <c r="C305" s="1" t="n">
        <v>46140</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8736-2024</t>
        </is>
      </c>
      <c r="B306" s="1" t="n">
        <v>45356.4722800926</v>
      </c>
      <c r="C306" s="1" t="n">
        <v>46140</v>
      </c>
      <c r="D306" t="inlineStr">
        <is>
          <t>STOCKHOLMS LÄN</t>
        </is>
      </c>
      <c r="E306" t="inlineStr">
        <is>
          <t>NORRTÄLJE</t>
        </is>
      </c>
      <c r="G306" t="n">
        <v>8.9</v>
      </c>
      <c r="H306" t="n">
        <v>0</v>
      </c>
      <c r="I306" t="n">
        <v>0</v>
      </c>
      <c r="J306" t="n">
        <v>0</v>
      </c>
      <c r="K306" t="n">
        <v>0</v>
      </c>
      <c r="L306" t="n">
        <v>0</v>
      </c>
      <c r="M306" t="n">
        <v>0</v>
      </c>
      <c r="N306" t="n">
        <v>0</v>
      </c>
      <c r="O306" t="n">
        <v>0</v>
      </c>
      <c r="P306" t="n">
        <v>0</v>
      </c>
      <c r="Q306" t="n">
        <v>0</v>
      </c>
      <c r="R306" s="2" t="inlineStr"/>
    </row>
    <row r="307" ht="15" customHeight="1">
      <c r="A307" t="inlineStr">
        <is>
          <t>A 51046-2023</t>
        </is>
      </c>
      <c r="B307" s="1" t="n">
        <v>45218</v>
      </c>
      <c r="C307" s="1" t="n">
        <v>46140</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40656-2022</t>
        </is>
      </c>
      <c r="B308" s="1" t="n">
        <v>44824.36069444445</v>
      </c>
      <c r="C308" s="1" t="n">
        <v>46140</v>
      </c>
      <c r="D308" t="inlineStr">
        <is>
          <t>STOCKHOLMS LÄN</t>
        </is>
      </c>
      <c r="E308" t="inlineStr">
        <is>
          <t>NORRTÄLJE</t>
        </is>
      </c>
      <c r="G308" t="n">
        <v>2.7</v>
      </c>
      <c r="H308" t="n">
        <v>0</v>
      </c>
      <c r="I308" t="n">
        <v>0</v>
      </c>
      <c r="J308" t="n">
        <v>0</v>
      </c>
      <c r="K308" t="n">
        <v>0</v>
      </c>
      <c r="L308" t="n">
        <v>0</v>
      </c>
      <c r="M308" t="n">
        <v>0</v>
      </c>
      <c r="N308" t="n">
        <v>0</v>
      </c>
      <c r="O308" t="n">
        <v>0</v>
      </c>
      <c r="P308" t="n">
        <v>0</v>
      </c>
      <c r="Q308" t="n">
        <v>0</v>
      </c>
      <c r="R308" s="2" t="inlineStr"/>
    </row>
    <row r="309" ht="15" customHeight="1">
      <c r="A309" t="inlineStr">
        <is>
          <t>A 45255-2022</t>
        </is>
      </c>
      <c r="B309" s="1" t="n">
        <v>44840</v>
      </c>
      <c r="C309" s="1" t="n">
        <v>46140</v>
      </c>
      <c r="D309" t="inlineStr">
        <is>
          <t>STOCKHOLMS LÄN</t>
        </is>
      </c>
      <c r="E309" t="inlineStr">
        <is>
          <t>NORRTÄLJE</t>
        </is>
      </c>
      <c r="G309" t="n">
        <v>4.1</v>
      </c>
      <c r="H309" t="n">
        <v>0</v>
      </c>
      <c r="I309" t="n">
        <v>0</v>
      </c>
      <c r="J309" t="n">
        <v>0</v>
      </c>
      <c r="K309" t="n">
        <v>0</v>
      </c>
      <c r="L309" t="n">
        <v>0</v>
      </c>
      <c r="M309" t="n">
        <v>0</v>
      </c>
      <c r="N309" t="n">
        <v>0</v>
      </c>
      <c r="O309" t="n">
        <v>0</v>
      </c>
      <c r="P309" t="n">
        <v>0</v>
      </c>
      <c r="Q309" t="n">
        <v>0</v>
      </c>
      <c r="R309" s="2" t="inlineStr"/>
    </row>
    <row r="310" ht="15" customHeight="1">
      <c r="A310" t="inlineStr">
        <is>
          <t>A 19915-2024</t>
        </is>
      </c>
      <c r="B310" s="1" t="n">
        <v>45433.58431712963</v>
      </c>
      <c r="C310" s="1" t="n">
        <v>46140</v>
      </c>
      <c r="D310" t="inlineStr">
        <is>
          <t>STOCKHOLMS LÄN</t>
        </is>
      </c>
      <c r="E310" t="inlineStr">
        <is>
          <t>NORRTÄLJE</t>
        </is>
      </c>
      <c r="G310" t="n">
        <v>2</v>
      </c>
      <c r="H310" t="n">
        <v>0</v>
      </c>
      <c r="I310" t="n">
        <v>0</v>
      </c>
      <c r="J310" t="n">
        <v>0</v>
      </c>
      <c r="K310" t="n">
        <v>0</v>
      </c>
      <c r="L310" t="n">
        <v>0</v>
      </c>
      <c r="M310" t="n">
        <v>0</v>
      </c>
      <c r="N310" t="n">
        <v>0</v>
      </c>
      <c r="O310" t="n">
        <v>0</v>
      </c>
      <c r="P310" t="n">
        <v>0</v>
      </c>
      <c r="Q310" t="n">
        <v>0</v>
      </c>
      <c r="R310" s="2" t="inlineStr"/>
    </row>
    <row r="311" ht="15" customHeight="1">
      <c r="A311" t="inlineStr">
        <is>
          <t>A 12629-2024</t>
        </is>
      </c>
      <c r="B311" s="1" t="n">
        <v>45383</v>
      </c>
      <c r="C311" s="1" t="n">
        <v>46140</v>
      </c>
      <c r="D311" t="inlineStr">
        <is>
          <t>STOCKHOLMS LÄN</t>
        </is>
      </c>
      <c r="E311" t="inlineStr">
        <is>
          <t>NORRTÄLJE</t>
        </is>
      </c>
      <c r="G311" t="n">
        <v>2.6</v>
      </c>
      <c r="H311" t="n">
        <v>0</v>
      </c>
      <c r="I311" t="n">
        <v>0</v>
      </c>
      <c r="J311" t="n">
        <v>0</v>
      </c>
      <c r="K311" t="n">
        <v>0</v>
      </c>
      <c r="L311" t="n">
        <v>0</v>
      </c>
      <c r="M311" t="n">
        <v>0</v>
      </c>
      <c r="N311" t="n">
        <v>0</v>
      </c>
      <c r="O311" t="n">
        <v>0</v>
      </c>
      <c r="P311" t="n">
        <v>0</v>
      </c>
      <c r="Q311" t="n">
        <v>0</v>
      </c>
      <c r="R311" s="2" t="inlineStr"/>
    </row>
    <row r="312" ht="15" customHeight="1">
      <c r="A312" t="inlineStr">
        <is>
          <t>A 14762-2024</t>
        </is>
      </c>
      <c r="B312" s="1" t="n">
        <v>45397</v>
      </c>
      <c r="C312" s="1" t="n">
        <v>46140</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20428-2024</t>
        </is>
      </c>
      <c r="B313" s="1" t="n">
        <v>45435</v>
      </c>
      <c r="C313" s="1" t="n">
        <v>46140</v>
      </c>
      <c r="D313" t="inlineStr">
        <is>
          <t>STOCKHOLMS LÄN</t>
        </is>
      </c>
      <c r="E313" t="inlineStr">
        <is>
          <t>NORRTÄLJE</t>
        </is>
      </c>
      <c r="G313" t="n">
        <v>3.7</v>
      </c>
      <c r="H313" t="n">
        <v>0</v>
      </c>
      <c r="I313" t="n">
        <v>0</v>
      </c>
      <c r="J313" t="n">
        <v>0</v>
      </c>
      <c r="K313" t="n">
        <v>0</v>
      </c>
      <c r="L313" t="n">
        <v>0</v>
      </c>
      <c r="M313" t="n">
        <v>0</v>
      </c>
      <c r="N313" t="n">
        <v>0</v>
      </c>
      <c r="O313" t="n">
        <v>0</v>
      </c>
      <c r="P313" t="n">
        <v>0</v>
      </c>
      <c r="Q313" t="n">
        <v>0</v>
      </c>
      <c r="R313" s="2" t="inlineStr"/>
    </row>
    <row r="314" ht="15" customHeight="1">
      <c r="A314" t="inlineStr">
        <is>
          <t>A 55755-2023</t>
        </is>
      </c>
      <c r="B314" s="1" t="n">
        <v>45239</v>
      </c>
      <c r="C314" s="1" t="n">
        <v>46140</v>
      </c>
      <c r="D314" t="inlineStr">
        <is>
          <t>STOCKHOLMS LÄN</t>
        </is>
      </c>
      <c r="E314" t="inlineStr">
        <is>
          <t>NORRTÄLJE</t>
        </is>
      </c>
      <c r="G314" t="n">
        <v>0.6</v>
      </c>
      <c r="H314" t="n">
        <v>0</v>
      </c>
      <c r="I314" t="n">
        <v>0</v>
      </c>
      <c r="J314" t="n">
        <v>0</v>
      </c>
      <c r="K314" t="n">
        <v>0</v>
      </c>
      <c r="L314" t="n">
        <v>0</v>
      </c>
      <c r="M314" t="n">
        <v>0</v>
      </c>
      <c r="N314" t="n">
        <v>0</v>
      </c>
      <c r="O314" t="n">
        <v>0</v>
      </c>
      <c r="P314" t="n">
        <v>0</v>
      </c>
      <c r="Q314" t="n">
        <v>0</v>
      </c>
      <c r="R314" s="2" t="inlineStr"/>
    </row>
    <row r="315" ht="15" customHeight="1">
      <c r="A315" t="inlineStr">
        <is>
          <t>A 57037-2022</t>
        </is>
      </c>
      <c r="B315" s="1" t="n">
        <v>44895</v>
      </c>
      <c r="C315" s="1" t="n">
        <v>46140</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45549-2022</t>
        </is>
      </c>
      <c r="B316" s="1" t="n">
        <v>44845.48064814815</v>
      </c>
      <c r="C316" s="1" t="n">
        <v>46140</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40761-2024</t>
        </is>
      </c>
      <c r="B317" s="1" t="n">
        <v>45558.46283564815</v>
      </c>
      <c r="C317" s="1" t="n">
        <v>46140</v>
      </c>
      <c r="D317" t="inlineStr">
        <is>
          <t>STOCKHOLMS LÄN</t>
        </is>
      </c>
      <c r="E317" t="inlineStr">
        <is>
          <t>NORRTÄLJE</t>
        </is>
      </c>
      <c r="G317" t="n">
        <v>1.2</v>
      </c>
      <c r="H317" t="n">
        <v>0</v>
      </c>
      <c r="I317" t="n">
        <v>0</v>
      </c>
      <c r="J317" t="n">
        <v>0</v>
      </c>
      <c r="K317" t="n">
        <v>0</v>
      </c>
      <c r="L317" t="n">
        <v>0</v>
      </c>
      <c r="M317" t="n">
        <v>0</v>
      </c>
      <c r="N317" t="n">
        <v>0</v>
      </c>
      <c r="O317" t="n">
        <v>0</v>
      </c>
      <c r="P317" t="n">
        <v>0</v>
      </c>
      <c r="Q317" t="n">
        <v>0</v>
      </c>
      <c r="R317" s="2" t="inlineStr"/>
    </row>
    <row r="318" ht="15" customHeight="1">
      <c r="A318" t="inlineStr">
        <is>
          <t>A 47431-2023</t>
        </is>
      </c>
      <c r="B318" s="1" t="n">
        <v>45202</v>
      </c>
      <c r="C318" s="1" t="n">
        <v>46140</v>
      </c>
      <c r="D318" t="inlineStr">
        <is>
          <t>STOCKHOLMS LÄN</t>
        </is>
      </c>
      <c r="E318" t="inlineStr">
        <is>
          <t>NORRTÄLJE</t>
        </is>
      </c>
      <c r="F318" t="inlineStr">
        <is>
          <t>Naturvårdsverket</t>
        </is>
      </c>
      <c r="G318" t="n">
        <v>1.2</v>
      </c>
      <c r="H318" t="n">
        <v>0</v>
      </c>
      <c r="I318" t="n">
        <v>0</v>
      </c>
      <c r="J318" t="n">
        <v>0</v>
      </c>
      <c r="K318" t="n">
        <v>0</v>
      </c>
      <c r="L318" t="n">
        <v>0</v>
      </c>
      <c r="M318" t="n">
        <v>0</v>
      </c>
      <c r="N318" t="n">
        <v>0</v>
      </c>
      <c r="O318" t="n">
        <v>0</v>
      </c>
      <c r="P318" t="n">
        <v>0</v>
      </c>
      <c r="Q318" t="n">
        <v>0</v>
      </c>
      <c r="R318" s="2" t="inlineStr"/>
    </row>
    <row r="319" ht="15" customHeight="1">
      <c r="A319" t="inlineStr">
        <is>
          <t>A 23692-2024</t>
        </is>
      </c>
      <c r="B319" s="1" t="n">
        <v>45454.65774305556</v>
      </c>
      <c r="C319" s="1" t="n">
        <v>46140</v>
      </c>
      <c r="D319" t="inlineStr">
        <is>
          <t>STOCKHOLMS LÄN</t>
        </is>
      </c>
      <c r="E319" t="inlineStr">
        <is>
          <t>NORRTÄLJE</t>
        </is>
      </c>
      <c r="G319" t="n">
        <v>3.7</v>
      </c>
      <c r="H319" t="n">
        <v>0</v>
      </c>
      <c r="I319" t="n">
        <v>0</v>
      </c>
      <c r="J319" t="n">
        <v>0</v>
      </c>
      <c r="K319" t="n">
        <v>0</v>
      </c>
      <c r="L319" t="n">
        <v>0</v>
      </c>
      <c r="M319" t="n">
        <v>0</v>
      </c>
      <c r="N319" t="n">
        <v>0</v>
      </c>
      <c r="O319" t="n">
        <v>0</v>
      </c>
      <c r="P319" t="n">
        <v>0</v>
      </c>
      <c r="Q319" t="n">
        <v>0</v>
      </c>
      <c r="R319" s="2" t="inlineStr"/>
    </row>
    <row r="320" ht="15" customHeight="1">
      <c r="A320" t="inlineStr">
        <is>
          <t>A 23262-2023</t>
        </is>
      </c>
      <c r="B320" s="1" t="n">
        <v>45075.90270833333</v>
      </c>
      <c r="C320" s="1" t="n">
        <v>46140</v>
      </c>
      <c r="D320" t="inlineStr">
        <is>
          <t>STOCKHOLMS LÄN</t>
        </is>
      </c>
      <c r="E320" t="inlineStr">
        <is>
          <t>NORRTÄLJE</t>
        </is>
      </c>
      <c r="F320" t="inlineStr">
        <is>
          <t>Kommuner</t>
        </is>
      </c>
      <c r="G320" t="n">
        <v>1.9</v>
      </c>
      <c r="H320" t="n">
        <v>0</v>
      </c>
      <c r="I320" t="n">
        <v>0</v>
      </c>
      <c r="J320" t="n">
        <v>0</v>
      </c>
      <c r="K320" t="n">
        <v>0</v>
      </c>
      <c r="L320" t="n">
        <v>0</v>
      </c>
      <c r="M320" t="n">
        <v>0</v>
      </c>
      <c r="N320" t="n">
        <v>0</v>
      </c>
      <c r="O320" t="n">
        <v>0</v>
      </c>
      <c r="P320" t="n">
        <v>0</v>
      </c>
      <c r="Q320" t="n">
        <v>0</v>
      </c>
      <c r="R320" s="2" t="inlineStr"/>
    </row>
    <row r="321" ht="15" customHeight="1">
      <c r="A321" t="inlineStr">
        <is>
          <t>A 23268-2023</t>
        </is>
      </c>
      <c r="B321" s="1" t="n">
        <v>45075.91042824074</v>
      </c>
      <c r="C321" s="1" t="n">
        <v>46140</v>
      </c>
      <c r="D321" t="inlineStr">
        <is>
          <t>STOCKHOLMS LÄN</t>
        </is>
      </c>
      <c r="E321" t="inlineStr">
        <is>
          <t>NORRTÄLJE</t>
        </is>
      </c>
      <c r="G321" t="n">
        <v>3.3</v>
      </c>
      <c r="H321" t="n">
        <v>0</v>
      </c>
      <c r="I321" t="n">
        <v>0</v>
      </c>
      <c r="J321" t="n">
        <v>0</v>
      </c>
      <c r="K321" t="n">
        <v>0</v>
      </c>
      <c r="L321" t="n">
        <v>0</v>
      </c>
      <c r="M321" t="n">
        <v>0</v>
      </c>
      <c r="N321" t="n">
        <v>0</v>
      </c>
      <c r="O321" t="n">
        <v>0</v>
      </c>
      <c r="P321" t="n">
        <v>0</v>
      </c>
      <c r="Q321" t="n">
        <v>0</v>
      </c>
      <c r="R321" s="2" t="inlineStr"/>
    </row>
    <row r="322" ht="15" customHeight="1">
      <c r="A322" t="inlineStr">
        <is>
          <t>A 23270-2023</t>
        </is>
      </c>
      <c r="B322" s="1" t="n">
        <v>45075.91265046296</v>
      </c>
      <c r="C322" s="1" t="n">
        <v>46140</v>
      </c>
      <c r="D322" t="inlineStr">
        <is>
          <t>STOCKHOLMS LÄN</t>
        </is>
      </c>
      <c r="E322" t="inlineStr">
        <is>
          <t>NORRTÄLJE</t>
        </is>
      </c>
      <c r="G322" t="n">
        <v>12.3</v>
      </c>
      <c r="H322" t="n">
        <v>0</v>
      </c>
      <c r="I322" t="n">
        <v>0</v>
      </c>
      <c r="J322" t="n">
        <v>0</v>
      </c>
      <c r="K322" t="n">
        <v>0</v>
      </c>
      <c r="L322" t="n">
        <v>0</v>
      </c>
      <c r="M322" t="n">
        <v>0</v>
      </c>
      <c r="N322" t="n">
        <v>0</v>
      </c>
      <c r="O322" t="n">
        <v>0</v>
      </c>
      <c r="P322" t="n">
        <v>0</v>
      </c>
      <c r="Q322" t="n">
        <v>0</v>
      </c>
      <c r="R322" s="2" t="inlineStr"/>
    </row>
    <row r="323" ht="15" customHeight="1">
      <c r="A323" t="inlineStr">
        <is>
          <t>A 23274-2023</t>
        </is>
      </c>
      <c r="B323" s="1" t="n">
        <v>45075.92153935185</v>
      </c>
      <c r="C323" s="1" t="n">
        <v>46140</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37550-2022</t>
        </is>
      </c>
      <c r="B324" s="1" t="n">
        <v>44809</v>
      </c>
      <c r="C324" s="1" t="n">
        <v>46140</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50569-2022</t>
        </is>
      </c>
      <c r="B325" s="1" t="n">
        <v>44866.63775462963</v>
      </c>
      <c r="C325" s="1" t="n">
        <v>46140</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5732-2023</t>
        </is>
      </c>
      <c r="B326" s="1" t="n">
        <v>44962</v>
      </c>
      <c r="C326" s="1" t="n">
        <v>46140</v>
      </c>
      <c r="D326" t="inlineStr">
        <is>
          <t>STOCKHOLMS LÄN</t>
        </is>
      </c>
      <c r="E326" t="inlineStr">
        <is>
          <t>NORRTÄLJE</t>
        </is>
      </c>
      <c r="G326" t="n">
        <v>0.5</v>
      </c>
      <c r="H326" t="n">
        <v>0</v>
      </c>
      <c r="I326" t="n">
        <v>0</v>
      </c>
      <c r="J326" t="n">
        <v>0</v>
      </c>
      <c r="K326" t="n">
        <v>0</v>
      </c>
      <c r="L326" t="n">
        <v>0</v>
      </c>
      <c r="M326" t="n">
        <v>0</v>
      </c>
      <c r="N326" t="n">
        <v>0</v>
      </c>
      <c r="O326" t="n">
        <v>0</v>
      </c>
      <c r="P326" t="n">
        <v>0</v>
      </c>
      <c r="Q326" t="n">
        <v>0</v>
      </c>
      <c r="R326" s="2" t="inlineStr"/>
    </row>
    <row r="327" ht="15" customHeight="1">
      <c r="A327" t="inlineStr">
        <is>
          <t>A 25609-2023</t>
        </is>
      </c>
      <c r="B327" s="1" t="n">
        <v>45089</v>
      </c>
      <c r="C327" s="1" t="n">
        <v>46140</v>
      </c>
      <c r="D327" t="inlineStr">
        <is>
          <t>STOCKHOLMS LÄN</t>
        </is>
      </c>
      <c r="E327" t="inlineStr">
        <is>
          <t>NORRTÄLJE</t>
        </is>
      </c>
      <c r="G327" t="n">
        <v>2.5</v>
      </c>
      <c r="H327" t="n">
        <v>0</v>
      </c>
      <c r="I327" t="n">
        <v>0</v>
      </c>
      <c r="J327" t="n">
        <v>0</v>
      </c>
      <c r="K327" t="n">
        <v>0</v>
      </c>
      <c r="L327" t="n">
        <v>0</v>
      </c>
      <c r="M327" t="n">
        <v>0</v>
      </c>
      <c r="N327" t="n">
        <v>0</v>
      </c>
      <c r="O327" t="n">
        <v>0</v>
      </c>
      <c r="P327" t="n">
        <v>0</v>
      </c>
      <c r="Q327" t="n">
        <v>0</v>
      </c>
      <c r="R327" s="2" t="inlineStr"/>
    </row>
    <row r="328" ht="15" customHeight="1">
      <c r="A328" t="inlineStr">
        <is>
          <t>A 60224-2023</t>
        </is>
      </c>
      <c r="B328" s="1" t="n">
        <v>45257</v>
      </c>
      <c r="C328" s="1" t="n">
        <v>46140</v>
      </c>
      <c r="D328" t="inlineStr">
        <is>
          <t>STOCKHOLMS LÄN</t>
        </is>
      </c>
      <c r="E328" t="inlineStr">
        <is>
          <t>NORRTÄLJE</t>
        </is>
      </c>
      <c r="G328" t="n">
        <v>8.1</v>
      </c>
      <c r="H328" t="n">
        <v>0</v>
      </c>
      <c r="I328" t="n">
        <v>0</v>
      </c>
      <c r="J328" t="n">
        <v>0</v>
      </c>
      <c r="K328" t="n">
        <v>0</v>
      </c>
      <c r="L328" t="n">
        <v>0</v>
      </c>
      <c r="M328" t="n">
        <v>0</v>
      </c>
      <c r="N328" t="n">
        <v>0</v>
      </c>
      <c r="O328" t="n">
        <v>0</v>
      </c>
      <c r="P328" t="n">
        <v>0</v>
      </c>
      <c r="Q328" t="n">
        <v>0</v>
      </c>
      <c r="R328" s="2" t="inlineStr"/>
    </row>
    <row r="329" ht="15" customHeight="1">
      <c r="A329" t="inlineStr">
        <is>
          <t>A 33569-2023</t>
        </is>
      </c>
      <c r="B329" s="1" t="n">
        <v>45131.666875</v>
      </c>
      <c r="C329" s="1" t="n">
        <v>46140</v>
      </c>
      <c r="D329" t="inlineStr">
        <is>
          <t>STOCKHOLMS LÄN</t>
        </is>
      </c>
      <c r="E329" t="inlineStr">
        <is>
          <t>NORRTÄLJE</t>
        </is>
      </c>
      <c r="G329" t="n">
        <v>2.3</v>
      </c>
      <c r="H329" t="n">
        <v>0</v>
      </c>
      <c r="I329" t="n">
        <v>0</v>
      </c>
      <c r="J329" t="n">
        <v>0</v>
      </c>
      <c r="K329" t="n">
        <v>0</v>
      </c>
      <c r="L329" t="n">
        <v>0</v>
      </c>
      <c r="M329" t="n">
        <v>0</v>
      </c>
      <c r="N329" t="n">
        <v>0</v>
      </c>
      <c r="O329" t="n">
        <v>0</v>
      </c>
      <c r="P329" t="n">
        <v>0</v>
      </c>
      <c r="Q329" t="n">
        <v>0</v>
      </c>
      <c r="R329" s="2" t="inlineStr"/>
    </row>
    <row r="330" ht="15" customHeight="1">
      <c r="A330" t="inlineStr">
        <is>
          <t>A 17785-2024</t>
        </is>
      </c>
      <c r="B330" s="1" t="n">
        <v>45418.6968287037</v>
      </c>
      <c r="C330" s="1" t="n">
        <v>46140</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29684-2021</t>
        </is>
      </c>
      <c r="B331" s="1" t="n">
        <v>44362.37172453704</v>
      </c>
      <c r="C331" s="1" t="n">
        <v>46140</v>
      </c>
      <c r="D331" t="inlineStr">
        <is>
          <t>STOCKHOLMS LÄN</t>
        </is>
      </c>
      <c r="E331" t="inlineStr">
        <is>
          <t>NORRTÄLJE</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22833-2024</t>
        </is>
      </c>
      <c r="B332" s="1" t="n">
        <v>45448.56746527777</v>
      </c>
      <c r="C332" s="1" t="n">
        <v>46140</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26115-2024</t>
        </is>
      </c>
      <c r="B333" s="1" t="n">
        <v>45468.45628472222</v>
      </c>
      <c r="C333" s="1" t="n">
        <v>46140</v>
      </c>
      <c r="D333" t="inlineStr">
        <is>
          <t>STOCKHOLMS LÄN</t>
        </is>
      </c>
      <c r="E333" t="inlineStr">
        <is>
          <t>NORRTÄLJE</t>
        </is>
      </c>
      <c r="G333" t="n">
        <v>0.3</v>
      </c>
      <c r="H333" t="n">
        <v>0</v>
      </c>
      <c r="I333" t="n">
        <v>0</v>
      </c>
      <c r="J333" t="n">
        <v>0</v>
      </c>
      <c r="K333" t="n">
        <v>0</v>
      </c>
      <c r="L333" t="n">
        <v>0</v>
      </c>
      <c r="M333" t="n">
        <v>0</v>
      </c>
      <c r="N333" t="n">
        <v>0</v>
      </c>
      <c r="O333" t="n">
        <v>0</v>
      </c>
      <c r="P333" t="n">
        <v>0</v>
      </c>
      <c r="Q333" t="n">
        <v>0</v>
      </c>
      <c r="R333" s="2" t="inlineStr"/>
    </row>
    <row r="334" ht="15" customHeight="1">
      <c r="A334" t="inlineStr">
        <is>
          <t>A 32071-2023</t>
        </is>
      </c>
      <c r="B334" s="1" t="n">
        <v>45119.57728009259</v>
      </c>
      <c r="C334" s="1" t="n">
        <v>46140</v>
      </c>
      <c r="D334" t="inlineStr">
        <is>
          <t>STOCKHOLMS LÄN</t>
        </is>
      </c>
      <c r="E334" t="inlineStr">
        <is>
          <t>NORRTÄLJE</t>
        </is>
      </c>
      <c r="G334" t="n">
        <v>6.5</v>
      </c>
      <c r="H334" t="n">
        <v>0</v>
      </c>
      <c r="I334" t="n">
        <v>0</v>
      </c>
      <c r="J334" t="n">
        <v>0</v>
      </c>
      <c r="K334" t="n">
        <v>0</v>
      </c>
      <c r="L334" t="n">
        <v>0</v>
      </c>
      <c r="M334" t="n">
        <v>0</v>
      </c>
      <c r="N334" t="n">
        <v>0</v>
      </c>
      <c r="O334" t="n">
        <v>0</v>
      </c>
      <c r="P334" t="n">
        <v>0</v>
      </c>
      <c r="Q334" t="n">
        <v>0</v>
      </c>
      <c r="R334" s="2" t="inlineStr"/>
    </row>
    <row r="335" ht="15" customHeight="1">
      <c r="A335" t="inlineStr">
        <is>
          <t>A 21386-2023</t>
        </is>
      </c>
      <c r="B335" s="1" t="n">
        <v>45063.35880787037</v>
      </c>
      <c r="C335" s="1" t="n">
        <v>46140</v>
      </c>
      <c r="D335" t="inlineStr">
        <is>
          <t>STOCKHOLMS LÄN</t>
        </is>
      </c>
      <c r="E335" t="inlineStr">
        <is>
          <t>NORRTÄLJE</t>
        </is>
      </c>
      <c r="G335" t="n">
        <v>1.8</v>
      </c>
      <c r="H335" t="n">
        <v>0</v>
      </c>
      <c r="I335" t="n">
        <v>0</v>
      </c>
      <c r="J335" t="n">
        <v>0</v>
      </c>
      <c r="K335" t="n">
        <v>0</v>
      </c>
      <c r="L335" t="n">
        <v>0</v>
      </c>
      <c r="M335" t="n">
        <v>0</v>
      </c>
      <c r="N335" t="n">
        <v>0</v>
      </c>
      <c r="O335" t="n">
        <v>0</v>
      </c>
      <c r="P335" t="n">
        <v>0</v>
      </c>
      <c r="Q335" t="n">
        <v>0</v>
      </c>
      <c r="R335" s="2" t="inlineStr"/>
    </row>
    <row r="336" ht="15" customHeight="1">
      <c r="A336" t="inlineStr">
        <is>
          <t>A 23149-2024</t>
        </is>
      </c>
      <c r="B336" s="1" t="n">
        <v>45450.64208333333</v>
      </c>
      <c r="C336" s="1" t="n">
        <v>46140</v>
      </c>
      <c r="D336" t="inlineStr">
        <is>
          <t>STOCKHOLMS LÄN</t>
        </is>
      </c>
      <c r="E336" t="inlineStr">
        <is>
          <t>NORRTÄLJE</t>
        </is>
      </c>
      <c r="F336" t="inlineStr">
        <is>
          <t>Kommuner</t>
        </is>
      </c>
      <c r="G336" t="n">
        <v>1.3</v>
      </c>
      <c r="H336" t="n">
        <v>0</v>
      </c>
      <c r="I336" t="n">
        <v>0</v>
      </c>
      <c r="J336" t="n">
        <v>0</v>
      </c>
      <c r="K336" t="n">
        <v>0</v>
      </c>
      <c r="L336" t="n">
        <v>0</v>
      </c>
      <c r="M336" t="n">
        <v>0</v>
      </c>
      <c r="N336" t="n">
        <v>0</v>
      </c>
      <c r="O336" t="n">
        <v>0</v>
      </c>
      <c r="P336" t="n">
        <v>0</v>
      </c>
      <c r="Q336" t="n">
        <v>0</v>
      </c>
      <c r="R336" s="2" t="inlineStr"/>
    </row>
    <row r="337" ht="15" customHeight="1">
      <c r="A337" t="inlineStr">
        <is>
          <t>A 23151-2024</t>
        </is>
      </c>
      <c r="B337" s="1" t="n">
        <v>45450</v>
      </c>
      <c r="C337" s="1" t="n">
        <v>46140</v>
      </c>
      <c r="D337" t="inlineStr">
        <is>
          <t>STOCKHOLMS LÄN</t>
        </is>
      </c>
      <c r="E337" t="inlineStr">
        <is>
          <t>NORRTÄLJE</t>
        </is>
      </c>
      <c r="F337" t="inlineStr">
        <is>
          <t>Kommuner</t>
        </is>
      </c>
      <c r="G337" t="n">
        <v>1.2</v>
      </c>
      <c r="H337" t="n">
        <v>0</v>
      </c>
      <c r="I337" t="n">
        <v>0</v>
      </c>
      <c r="J337" t="n">
        <v>0</v>
      </c>
      <c r="K337" t="n">
        <v>0</v>
      </c>
      <c r="L337" t="n">
        <v>0</v>
      </c>
      <c r="M337" t="n">
        <v>0</v>
      </c>
      <c r="N337" t="n">
        <v>0</v>
      </c>
      <c r="O337" t="n">
        <v>0</v>
      </c>
      <c r="P337" t="n">
        <v>0</v>
      </c>
      <c r="Q337" t="n">
        <v>0</v>
      </c>
      <c r="R337" s="2" t="inlineStr"/>
    </row>
    <row r="338" ht="15" customHeight="1">
      <c r="A338" t="inlineStr">
        <is>
          <t>A 4593-2023</t>
        </is>
      </c>
      <c r="B338" s="1" t="n">
        <v>44956</v>
      </c>
      <c r="C338" s="1" t="n">
        <v>46140</v>
      </c>
      <c r="D338" t="inlineStr">
        <is>
          <t>STOCKHOLMS LÄN</t>
        </is>
      </c>
      <c r="E338" t="inlineStr">
        <is>
          <t>NORRTÄLJE</t>
        </is>
      </c>
      <c r="G338" t="n">
        <v>0.4</v>
      </c>
      <c r="H338" t="n">
        <v>0</v>
      </c>
      <c r="I338" t="n">
        <v>0</v>
      </c>
      <c r="J338" t="n">
        <v>0</v>
      </c>
      <c r="K338" t="n">
        <v>0</v>
      </c>
      <c r="L338" t="n">
        <v>0</v>
      </c>
      <c r="M338" t="n">
        <v>0</v>
      </c>
      <c r="N338" t="n">
        <v>0</v>
      </c>
      <c r="O338" t="n">
        <v>0</v>
      </c>
      <c r="P338" t="n">
        <v>0</v>
      </c>
      <c r="Q338" t="n">
        <v>0</v>
      </c>
      <c r="R338" s="2" t="inlineStr"/>
    </row>
    <row r="339" ht="15" customHeight="1">
      <c r="A339" t="inlineStr">
        <is>
          <t>A 25681-2024</t>
        </is>
      </c>
      <c r="B339" s="1" t="n">
        <v>45463.80486111111</v>
      </c>
      <c r="C339" s="1" t="n">
        <v>46140</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54396-2021</t>
        </is>
      </c>
      <c r="B340" s="1" t="n">
        <v>44472</v>
      </c>
      <c r="C340" s="1" t="n">
        <v>46140</v>
      </c>
      <c r="D340" t="inlineStr">
        <is>
          <t>STOCKHOLMS LÄN</t>
        </is>
      </c>
      <c r="E340" t="inlineStr">
        <is>
          <t>NORRTÄLJE</t>
        </is>
      </c>
      <c r="G340" t="n">
        <v>2.6</v>
      </c>
      <c r="H340" t="n">
        <v>0</v>
      </c>
      <c r="I340" t="n">
        <v>0</v>
      </c>
      <c r="J340" t="n">
        <v>0</v>
      </c>
      <c r="K340" t="n">
        <v>0</v>
      </c>
      <c r="L340" t="n">
        <v>0</v>
      </c>
      <c r="M340" t="n">
        <v>0</v>
      </c>
      <c r="N340" t="n">
        <v>0</v>
      </c>
      <c r="O340" t="n">
        <v>0</v>
      </c>
      <c r="P340" t="n">
        <v>0</v>
      </c>
      <c r="Q340" t="n">
        <v>0</v>
      </c>
      <c r="R340" s="2" t="inlineStr"/>
    </row>
    <row r="341" ht="15" customHeight="1">
      <c r="A341" t="inlineStr">
        <is>
          <t>A 24245-2024</t>
        </is>
      </c>
      <c r="B341" s="1" t="n">
        <v>45457</v>
      </c>
      <c r="C341" s="1" t="n">
        <v>46140</v>
      </c>
      <c r="D341" t="inlineStr">
        <is>
          <t>STOCKHOLMS LÄN</t>
        </is>
      </c>
      <c r="E341" t="inlineStr">
        <is>
          <t>NORRTÄLJE</t>
        </is>
      </c>
      <c r="F341" t="inlineStr">
        <is>
          <t>Holmen skog AB</t>
        </is>
      </c>
      <c r="G341" t="n">
        <v>3.4</v>
      </c>
      <c r="H341" t="n">
        <v>0</v>
      </c>
      <c r="I341" t="n">
        <v>0</v>
      </c>
      <c r="J341" t="n">
        <v>0</v>
      </c>
      <c r="K341" t="n">
        <v>0</v>
      </c>
      <c r="L341" t="n">
        <v>0</v>
      </c>
      <c r="M341" t="n">
        <v>0</v>
      </c>
      <c r="N341" t="n">
        <v>0</v>
      </c>
      <c r="O341" t="n">
        <v>0</v>
      </c>
      <c r="P341" t="n">
        <v>0</v>
      </c>
      <c r="Q341" t="n">
        <v>0</v>
      </c>
      <c r="R341" s="2" t="inlineStr"/>
    </row>
    <row r="342" ht="15" customHeight="1">
      <c r="A342" t="inlineStr">
        <is>
          <t>A 54273-2021</t>
        </is>
      </c>
      <c r="B342" s="1" t="n">
        <v>44470.72987268519</v>
      </c>
      <c r="C342" s="1" t="n">
        <v>46140</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43212-2022</t>
        </is>
      </c>
      <c r="B343" s="1" t="n">
        <v>44834.38636574074</v>
      </c>
      <c r="C343" s="1" t="n">
        <v>46140</v>
      </c>
      <c r="D343" t="inlineStr">
        <is>
          <t>STOCKHOLMS LÄN</t>
        </is>
      </c>
      <c r="E343" t="inlineStr">
        <is>
          <t>NORRTÄLJE</t>
        </is>
      </c>
      <c r="G343" t="n">
        <v>1.3</v>
      </c>
      <c r="H343" t="n">
        <v>0</v>
      </c>
      <c r="I343" t="n">
        <v>0</v>
      </c>
      <c r="J343" t="n">
        <v>0</v>
      </c>
      <c r="K343" t="n">
        <v>0</v>
      </c>
      <c r="L343" t="n">
        <v>0</v>
      </c>
      <c r="M343" t="n">
        <v>0</v>
      </c>
      <c r="N343" t="n">
        <v>0</v>
      </c>
      <c r="O343" t="n">
        <v>0</v>
      </c>
      <c r="P343" t="n">
        <v>0</v>
      </c>
      <c r="Q343" t="n">
        <v>0</v>
      </c>
      <c r="R343" s="2" t="inlineStr"/>
    </row>
    <row r="344" ht="15" customHeight="1">
      <c r="A344" t="inlineStr">
        <is>
          <t>A 6537-2024</t>
        </is>
      </c>
      <c r="B344" s="1" t="n">
        <v>45341.39853009259</v>
      </c>
      <c r="C344" s="1" t="n">
        <v>46140</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52260-2022</t>
        </is>
      </c>
      <c r="B345" s="1" t="n">
        <v>44869</v>
      </c>
      <c r="C345" s="1" t="n">
        <v>46140</v>
      </c>
      <c r="D345" t="inlineStr">
        <is>
          <t>STOCKHOLMS LÄN</t>
        </is>
      </c>
      <c r="E345" t="inlineStr">
        <is>
          <t>NORRTÄLJE</t>
        </is>
      </c>
      <c r="G345" t="n">
        <v>3.1</v>
      </c>
      <c r="H345" t="n">
        <v>0</v>
      </c>
      <c r="I345" t="n">
        <v>0</v>
      </c>
      <c r="J345" t="n">
        <v>0</v>
      </c>
      <c r="K345" t="n">
        <v>0</v>
      </c>
      <c r="L345" t="n">
        <v>0</v>
      </c>
      <c r="M345" t="n">
        <v>0</v>
      </c>
      <c r="N345" t="n">
        <v>0</v>
      </c>
      <c r="O345" t="n">
        <v>0</v>
      </c>
      <c r="P345" t="n">
        <v>0</v>
      </c>
      <c r="Q345" t="n">
        <v>0</v>
      </c>
      <c r="R345" s="2" t="inlineStr"/>
    </row>
    <row r="346" ht="15" customHeight="1">
      <c r="A346" t="inlineStr">
        <is>
          <t>A 34295-2024</t>
        </is>
      </c>
      <c r="B346" s="1" t="n">
        <v>45524</v>
      </c>
      <c r="C346" s="1" t="n">
        <v>46140</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16913-2025</t>
        </is>
      </c>
      <c r="B347" s="1" t="n">
        <v>45755.36583333334</v>
      </c>
      <c r="C347" s="1" t="n">
        <v>46140</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4035-2023</t>
        </is>
      </c>
      <c r="B348" s="1" t="n">
        <v>44952.57989583333</v>
      </c>
      <c r="C348" s="1" t="n">
        <v>46140</v>
      </c>
      <c r="D348" t="inlineStr">
        <is>
          <t>STOCKHOLMS LÄN</t>
        </is>
      </c>
      <c r="E348" t="inlineStr">
        <is>
          <t>NORRTÄLJE</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55058-2021</t>
        </is>
      </c>
      <c r="B349" s="1" t="n">
        <v>44474.62141203704</v>
      </c>
      <c r="C349" s="1" t="n">
        <v>46140</v>
      </c>
      <c r="D349" t="inlineStr">
        <is>
          <t>STOCKHOLMS LÄN</t>
        </is>
      </c>
      <c r="E349" t="inlineStr">
        <is>
          <t>NORRTÄLJE</t>
        </is>
      </c>
      <c r="G349" t="n">
        <v>1.9</v>
      </c>
      <c r="H349" t="n">
        <v>0</v>
      </c>
      <c r="I349" t="n">
        <v>0</v>
      </c>
      <c r="J349" t="n">
        <v>0</v>
      </c>
      <c r="K349" t="n">
        <v>0</v>
      </c>
      <c r="L349" t="n">
        <v>0</v>
      </c>
      <c r="M349" t="n">
        <v>0</v>
      </c>
      <c r="N349" t="n">
        <v>0</v>
      </c>
      <c r="O349" t="n">
        <v>0</v>
      </c>
      <c r="P349" t="n">
        <v>0</v>
      </c>
      <c r="Q349" t="n">
        <v>0</v>
      </c>
      <c r="R349" s="2" t="inlineStr"/>
    </row>
    <row r="350" ht="15" customHeight="1">
      <c r="A350" t="inlineStr">
        <is>
          <t>A 40192-2023</t>
        </is>
      </c>
      <c r="B350" s="1" t="n">
        <v>45169</v>
      </c>
      <c r="C350" s="1" t="n">
        <v>46140</v>
      </c>
      <c r="D350" t="inlineStr">
        <is>
          <t>STOCKHOLMS LÄN</t>
        </is>
      </c>
      <c r="E350" t="inlineStr">
        <is>
          <t>NORRTÄLJE</t>
        </is>
      </c>
      <c r="F350" t="inlineStr">
        <is>
          <t>Kyrkan</t>
        </is>
      </c>
      <c r="G350" t="n">
        <v>0.7</v>
      </c>
      <c r="H350" t="n">
        <v>0</v>
      </c>
      <c r="I350" t="n">
        <v>0</v>
      </c>
      <c r="J350" t="n">
        <v>0</v>
      </c>
      <c r="K350" t="n">
        <v>0</v>
      </c>
      <c r="L350" t="n">
        <v>0</v>
      </c>
      <c r="M350" t="n">
        <v>0</v>
      </c>
      <c r="N350" t="n">
        <v>0</v>
      </c>
      <c r="O350" t="n">
        <v>0</v>
      </c>
      <c r="P350" t="n">
        <v>0</v>
      </c>
      <c r="Q350" t="n">
        <v>0</v>
      </c>
      <c r="R350" s="2" t="inlineStr"/>
    </row>
    <row r="351" ht="15" customHeight="1">
      <c r="A351" t="inlineStr">
        <is>
          <t>A 26644-2024</t>
        </is>
      </c>
      <c r="B351" s="1" t="n">
        <v>45469</v>
      </c>
      <c r="C351" s="1" t="n">
        <v>46140</v>
      </c>
      <c r="D351" t="inlineStr">
        <is>
          <t>STOCKHOLMS LÄN</t>
        </is>
      </c>
      <c r="E351" t="inlineStr">
        <is>
          <t>NORRTÄLJE</t>
        </is>
      </c>
      <c r="G351" t="n">
        <v>4.3</v>
      </c>
      <c r="H351" t="n">
        <v>0</v>
      </c>
      <c r="I351" t="n">
        <v>0</v>
      </c>
      <c r="J351" t="n">
        <v>0</v>
      </c>
      <c r="K351" t="n">
        <v>0</v>
      </c>
      <c r="L351" t="n">
        <v>0</v>
      </c>
      <c r="M351" t="n">
        <v>0</v>
      </c>
      <c r="N351" t="n">
        <v>0</v>
      </c>
      <c r="O351" t="n">
        <v>0</v>
      </c>
      <c r="P351" t="n">
        <v>0</v>
      </c>
      <c r="Q351" t="n">
        <v>0</v>
      </c>
      <c r="R351" s="2" t="inlineStr"/>
    </row>
    <row r="352" ht="15" customHeight="1">
      <c r="A352" t="inlineStr">
        <is>
          <t>A 26668-2024</t>
        </is>
      </c>
      <c r="B352" s="1" t="n">
        <v>45469</v>
      </c>
      <c r="C352" s="1" t="n">
        <v>46140</v>
      </c>
      <c r="D352" t="inlineStr">
        <is>
          <t>STOCKHOLMS LÄN</t>
        </is>
      </c>
      <c r="E352" t="inlineStr">
        <is>
          <t>NORRTÄLJE</t>
        </is>
      </c>
      <c r="G352" t="n">
        <v>4.8</v>
      </c>
      <c r="H352" t="n">
        <v>0</v>
      </c>
      <c r="I352" t="n">
        <v>0</v>
      </c>
      <c r="J352" t="n">
        <v>0</v>
      </c>
      <c r="K352" t="n">
        <v>0</v>
      </c>
      <c r="L352" t="n">
        <v>0</v>
      </c>
      <c r="M352" t="n">
        <v>0</v>
      </c>
      <c r="N352" t="n">
        <v>0</v>
      </c>
      <c r="O352" t="n">
        <v>0</v>
      </c>
      <c r="P352" t="n">
        <v>0</v>
      </c>
      <c r="Q352" t="n">
        <v>0</v>
      </c>
      <c r="R352" s="2" t="inlineStr"/>
    </row>
    <row r="353" ht="15" customHeight="1">
      <c r="A353" t="inlineStr">
        <is>
          <t>A 46988-2024</t>
        </is>
      </c>
      <c r="B353" s="1" t="n">
        <v>45586</v>
      </c>
      <c r="C353" s="1" t="n">
        <v>46140</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51978-2023</t>
        </is>
      </c>
      <c r="B354" s="1" t="n">
        <v>45223</v>
      </c>
      <c r="C354" s="1" t="n">
        <v>46140</v>
      </c>
      <c r="D354" t="inlineStr">
        <is>
          <t>STOCKHOLMS LÄN</t>
        </is>
      </c>
      <c r="E354" t="inlineStr">
        <is>
          <t>NORRTÄLJE</t>
        </is>
      </c>
      <c r="G354" t="n">
        <v>1.9</v>
      </c>
      <c r="H354" t="n">
        <v>0</v>
      </c>
      <c r="I354" t="n">
        <v>0</v>
      </c>
      <c r="J354" t="n">
        <v>0</v>
      </c>
      <c r="K354" t="n">
        <v>0</v>
      </c>
      <c r="L354" t="n">
        <v>0</v>
      </c>
      <c r="M354" t="n">
        <v>0</v>
      </c>
      <c r="N354" t="n">
        <v>0</v>
      </c>
      <c r="O354" t="n">
        <v>0</v>
      </c>
      <c r="P354" t="n">
        <v>0</v>
      </c>
      <c r="Q354" t="n">
        <v>0</v>
      </c>
      <c r="R354" s="2" t="inlineStr"/>
    </row>
    <row r="355" ht="15" customHeight="1">
      <c r="A355" t="inlineStr">
        <is>
          <t>A 37085-2021</t>
        </is>
      </c>
      <c r="B355" s="1" t="n">
        <v>44395</v>
      </c>
      <c r="C355" s="1" t="n">
        <v>46140</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71552-2021</t>
        </is>
      </c>
      <c r="B356" s="1" t="n">
        <v>44540</v>
      </c>
      <c r="C356" s="1" t="n">
        <v>46140</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23060-2023</t>
        </is>
      </c>
      <c r="B357" s="1" t="n">
        <v>45075</v>
      </c>
      <c r="C357" s="1" t="n">
        <v>46140</v>
      </c>
      <c r="D357" t="inlineStr">
        <is>
          <t>STOCKHOLMS LÄN</t>
        </is>
      </c>
      <c r="E357" t="inlineStr">
        <is>
          <t>NORRTÄLJE</t>
        </is>
      </c>
      <c r="G357" t="n">
        <v>0.5</v>
      </c>
      <c r="H357" t="n">
        <v>0</v>
      </c>
      <c r="I357" t="n">
        <v>0</v>
      </c>
      <c r="J357" t="n">
        <v>0</v>
      </c>
      <c r="K357" t="n">
        <v>0</v>
      </c>
      <c r="L357" t="n">
        <v>0</v>
      </c>
      <c r="M357" t="n">
        <v>0</v>
      </c>
      <c r="N357" t="n">
        <v>0</v>
      </c>
      <c r="O357" t="n">
        <v>0</v>
      </c>
      <c r="P357" t="n">
        <v>0</v>
      </c>
      <c r="Q357" t="n">
        <v>0</v>
      </c>
      <c r="R357" s="2" t="inlineStr"/>
    </row>
    <row r="358" ht="15" customHeight="1">
      <c r="A358" t="inlineStr">
        <is>
          <t>A 17382-2024</t>
        </is>
      </c>
      <c r="B358" s="1" t="n">
        <v>45414.65855324074</v>
      </c>
      <c r="C358" s="1" t="n">
        <v>46140</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25557-2023</t>
        </is>
      </c>
      <c r="B359" s="1" t="n">
        <v>45089</v>
      </c>
      <c r="C359" s="1" t="n">
        <v>46140</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23269-2023</t>
        </is>
      </c>
      <c r="B360" s="1" t="n">
        <v>45075.91148148148</v>
      </c>
      <c r="C360" s="1" t="n">
        <v>46140</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9914-2023</t>
        </is>
      </c>
      <c r="B361" s="1" t="n">
        <v>44985</v>
      </c>
      <c r="C361" s="1" t="n">
        <v>46140</v>
      </c>
      <c r="D361" t="inlineStr">
        <is>
          <t>STOCKHOLMS LÄN</t>
        </is>
      </c>
      <c r="E361" t="inlineStr">
        <is>
          <t>NORRTÄLJE</t>
        </is>
      </c>
      <c r="G361" t="n">
        <v>4.2</v>
      </c>
      <c r="H361" t="n">
        <v>0</v>
      </c>
      <c r="I361" t="n">
        <v>0</v>
      </c>
      <c r="J361" t="n">
        <v>0</v>
      </c>
      <c r="K361" t="n">
        <v>0</v>
      </c>
      <c r="L361" t="n">
        <v>0</v>
      </c>
      <c r="M361" t="n">
        <v>0</v>
      </c>
      <c r="N361" t="n">
        <v>0</v>
      </c>
      <c r="O361" t="n">
        <v>0</v>
      </c>
      <c r="P361" t="n">
        <v>0</v>
      </c>
      <c r="Q361" t="n">
        <v>0</v>
      </c>
      <c r="R361" s="2" t="inlineStr"/>
    </row>
    <row r="362" ht="15" customHeight="1">
      <c r="A362" t="inlineStr">
        <is>
          <t>A 8586-2023</t>
        </is>
      </c>
      <c r="B362" s="1" t="n">
        <v>44977</v>
      </c>
      <c r="C362" s="1" t="n">
        <v>46140</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52743-2024</t>
        </is>
      </c>
      <c r="B363" s="1" t="n">
        <v>45610.47414351852</v>
      </c>
      <c r="C363" s="1" t="n">
        <v>46140</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60525-2022</t>
        </is>
      </c>
      <c r="B364" s="1" t="n">
        <v>44904</v>
      </c>
      <c r="C364" s="1" t="n">
        <v>46140</v>
      </c>
      <c r="D364" t="inlineStr">
        <is>
          <t>STOCKHOLMS LÄN</t>
        </is>
      </c>
      <c r="E364" t="inlineStr">
        <is>
          <t>NORRTÄLJE</t>
        </is>
      </c>
      <c r="G364" t="n">
        <v>13.4</v>
      </c>
      <c r="H364" t="n">
        <v>0</v>
      </c>
      <c r="I364" t="n">
        <v>0</v>
      </c>
      <c r="J364" t="n">
        <v>0</v>
      </c>
      <c r="K364" t="n">
        <v>0</v>
      </c>
      <c r="L364" t="n">
        <v>0</v>
      </c>
      <c r="M364" t="n">
        <v>0</v>
      </c>
      <c r="N364" t="n">
        <v>0</v>
      </c>
      <c r="O364" t="n">
        <v>0</v>
      </c>
      <c r="P364" t="n">
        <v>0</v>
      </c>
      <c r="Q364" t="n">
        <v>0</v>
      </c>
      <c r="R364" s="2" t="inlineStr"/>
    </row>
    <row r="365" ht="15" customHeight="1">
      <c r="A365" t="inlineStr">
        <is>
          <t>A 67990-2021</t>
        </is>
      </c>
      <c r="B365" s="1" t="n">
        <v>44525</v>
      </c>
      <c r="C365" s="1" t="n">
        <v>46140</v>
      </c>
      <c r="D365" t="inlineStr">
        <is>
          <t>STOCKHOLMS LÄN</t>
        </is>
      </c>
      <c r="E365" t="inlineStr">
        <is>
          <t>NORRTÄLJE</t>
        </is>
      </c>
      <c r="F365" t="inlineStr">
        <is>
          <t>Sveaskog</t>
        </is>
      </c>
      <c r="G365" t="n">
        <v>7.8</v>
      </c>
      <c r="H365" t="n">
        <v>0</v>
      </c>
      <c r="I365" t="n">
        <v>0</v>
      </c>
      <c r="J365" t="n">
        <v>0</v>
      </c>
      <c r="K365" t="n">
        <v>0</v>
      </c>
      <c r="L365" t="n">
        <v>0</v>
      </c>
      <c r="M365" t="n">
        <v>0</v>
      </c>
      <c r="N365" t="n">
        <v>0</v>
      </c>
      <c r="O365" t="n">
        <v>0</v>
      </c>
      <c r="P365" t="n">
        <v>0</v>
      </c>
      <c r="Q365" t="n">
        <v>0</v>
      </c>
      <c r="R365" s="2" t="inlineStr"/>
    </row>
    <row r="366" ht="15" customHeight="1">
      <c r="A366" t="inlineStr">
        <is>
          <t>A 11499-2023</t>
        </is>
      </c>
      <c r="B366" s="1" t="n">
        <v>44993.66707175926</v>
      </c>
      <c r="C366" s="1" t="n">
        <v>46140</v>
      </c>
      <c r="D366" t="inlineStr">
        <is>
          <t>STOCKHOLMS LÄN</t>
        </is>
      </c>
      <c r="E366" t="inlineStr">
        <is>
          <t>NORRTÄLJE</t>
        </is>
      </c>
      <c r="F366" t="inlineStr">
        <is>
          <t>Holmen skog AB</t>
        </is>
      </c>
      <c r="G366" t="n">
        <v>2.8</v>
      </c>
      <c r="H366" t="n">
        <v>0</v>
      </c>
      <c r="I366" t="n">
        <v>0</v>
      </c>
      <c r="J366" t="n">
        <v>0</v>
      </c>
      <c r="K366" t="n">
        <v>0</v>
      </c>
      <c r="L366" t="n">
        <v>0</v>
      </c>
      <c r="M366" t="n">
        <v>0</v>
      </c>
      <c r="N366" t="n">
        <v>0</v>
      </c>
      <c r="O366" t="n">
        <v>0</v>
      </c>
      <c r="P366" t="n">
        <v>0</v>
      </c>
      <c r="Q366" t="n">
        <v>0</v>
      </c>
      <c r="R366" s="2" t="inlineStr"/>
    </row>
    <row r="367" ht="15" customHeight="1">
      <c r="A367" t="inlineStr">
        <is>
          <t>A 64600-2021</t>
        </is>
      </c>
      <c r="B367" s="1" t="n">
        <v>44511.70518518519</v>
      </c>
      <c r="C367" s="1" t="n">
        <v>46140</v>
      </c>
      <c r="D367" t="inlineStr">
        <is>
          <t>STOCKHOLMS LÄN</t>
        </is>
      </c>
      <c r="E367" t="inlineStr">
        <is>
          <t>NORRTÄLJE</t>
        </is>
      </c>
      <c r="G367" t="n">
        <v>6.2</v>
      </c>
      <c r="H367" t="n">
        <v>0</v>
      </c>
      <c r="I367" t="n">
        <v>0</v>
      </c>
      <c r="J367" t="n">
        <v>0</v>
      </c>
      <c r="K367" t="n">
        <v>0</v>
      </c>
      <c r="L367" t="n">
        <v>0</v>
      </c>
      <c r="M367" t="n">
        <v>0</v>
      </c>
      <c r="N367" t="n">
        <v>0</v>
      </c>
      <c r="O367" t="n">
        <v>0</v>
      </c>
      <c r="P367" t="n">
        <v>0</v>
      </c>
      <c r="Q367" t="n">
        <v>0</v>
      </c>
      <c r="R367" s="2" t="inlineStr"/>
    </row>
    <row r="368" ht="15" customHeight="1">
      <c r="A368" t="inlineStr">
        <is>
          <t>A 35640-2024</t>
        </is>
      </c>
      <c r="B368" s="1" t="n">
        <v>45531</v>
      </c>
      <c r="C368" s="1" t="n">
        <v>46140</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21696-2024</t>
        </is>
      </c>
      <c r="B369" s="1" t="n">
        <v>45442.45686342593</v>
      </c>
      <c r="C369" s="1" t="n">
        <v>46140</v>
      </c>
      <c r="D369" t="inlineStr">
        <is>
          <t>STOCKHOLMS LÄN</t>
        </is>
      </c>
      <c r="E369" t="inlineStr">
        <is>
          <t>NORRTÄLJE</t>
        </is>
      </c>
      <c r="G369" t="n">
        <v>2.9</v>
      </c>
      <c r="H369" t="n">
        <v>0</v>
      </c>
      <c r="I369" t="n">
        <v>0</v>
      </c>
      <c r="J369" t="n">
        <v>0</v>
      </c>
      <c r="K369" t="n">
        <v>0</v>
      </c>
      <c r="L369" t="n">
        <v>0</v>
      </c>
      <c r="M369" t="n">
        <v>0</v>
      </c>
      <c r="N369" t="n">
        <v>0</v>
      </c>
      <c r="O369" t="n">
        <v>0</v>
      </c>
      <c r="P369" t="n">
        <v>0</v>
      </c>
      <c r="Q369" t="n">
        <v>0</v>
      </c>
      <c r="R369" s="2" t="inlineStr"/>
    </row>
    <row r="370" ht="15" customHeight="1">
      <c r="A370" t="inlineStr">
        <is>
          <t>A 37136-2023</t>
        </is>
      </c>
      <c r="B370" s="1" t="n">
        <v>45155</v>
      </c>
      <c r="C370" s="1" t="n">
        <v>46140</v>
      </c>
      <c r="D370" t="inlineStr">
        <is>
          <t>STOCKHOLMS LÄN</t>
        </is>
      </c>
      <c r="E370" t="inlineStr">
        <is>
          <t>NORRTÄLJE</t>
        </is>
      </c>
      <c r="G370" t="n">
        <v>2.5</v>
      </c>
      <c r="H370" t="n">
        <v>0</v>
      </c>
      <c r="I370" t="n">
        <v>0</v>
      </c>
      <c r="J370" t="n">
        <v>0</v>
      </c>
      <c r="K370" t="n">
        <v>0</v>
      </c>
      <c r="L370" t="n">
        <v>0</v>
      </c>
      <c r="M370" t="n">
        <v>0</v>
      </c>
      <c r="N370" t="n">
        <v>0</v>
      </c>
      <c r="O370" t="n">
        <v>0</v>
      </c>
      <c r="P370" t="n">
        <v>0</v>
      </c>
      <c r="Q370" t="n">
        <v>0</v>
      </c>
      <c r="R370" s="2" t="inlineStr"/>
    </row>
    <row r="371" ht="15" customHeight="1">
      <c r="A371" t="inlineStr">
        <is>
          <t>A 1740-2023</t>
        </is>
      </c>
      <c r="B371" s="1" t="n">
        <v>44938</v>
      </c>
      <c r="C371" s="1" t="n">
        <v>46140</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5423-2023</t>
        </is>
      </c>
      <c r="B372" s="1" t="n">
        <v>44959.74533564815</v>
      </c>
      <c r="C372" s="1" t="n">
        <v>46140</v>
      </c>
      <c r="D372" t="inlineStr">
        <is>
          <t>STOCKHOLMS LÄN</t>
        </is>
      </c>
      <c r="E372" t="inlineStr">
        <is>
          <t>NORRTÄLJE</t>
        </is>
      </c>
      <c r="G372" t="n">
        <v>2</v>
      </c>
      <c r="H372" t="n">
        <v>0</v>
      </c>
      <c r="I372" t="n">
        <v>0</v>
      </c>
      <c r="J372" t="n">
        <v>0</v>
      </c>
      <c r="K372" t="n">
        <v>0</v>
      </c>
      <c r="L372" t="n">
        <v>0</v>
      </c>
      <c r="M372" t="n">
        <v>0</v>
      </c>
      <c r="N372" t="n">
        <v>0</v>
      </c>
      <c r="O372" t="n">
        <v>0</v>
      </c>
      <c r="P372" t="n">
        <v>0</v>
      </c>
      <c r="Q372" t="n">
        <v>0</v>
      </c>
      <c r="R372" s="2" t="inlineStr"/>
    </row>
    <row r="373" ht="15" customHeight="1">
      <c r="A373" t="inlineStr">
        <is>
          <t>A 58492-2022</t>
        </is>
      </c>
      <c r="B373" s="1" t="n">
        <v>44902</v>
      </c>
      <c r="C373" s="1" t="n">
        <v>46140</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58302-2022</t>
        </is>
      </c>
      <c r="B374" s="1" t="n">
        <v>44901</v>
      </c>
      <c r="C374" s="1" t="n">
        <v>46140</v>
      </c>
      <c r="D374" t="inlineStr">
        <is>
          <t>STOCKHOLMS LÄN</t>
        </is>
      </c>
      <c r="E374" t="inlineStr">
        <is>
          <t>NORRTÄLJE</t>
        </is>
      </c>
      <c r="G374" t="n">
        <v>3.9</v>
      </c>
      <c r="H374" t="n">
        <v>0</v>
      </c>
      <c r="I374" t="n">
        <v>0</v>
      </c>
      <c r="J374" t="n">
        <v>0</v>
      </c>
      <c r="K374" t="n">
        <v>0</v>
      </c>
      <c r="L374" t="n">
        <v>0</v>
      </c>
      <c r="M374" t="n">
        <v>0</v>
      </c>
      <c r="N374" t="n">
        <v>0</v>
      </c>
      <c r="O374" t="n">
        <v>0</v>
      </c>
      <c r="P374" t="n">
        <v>0</v>
      </c>
      <c r="Q374" t="n">
        <v>0</v>
      </c>
      <c r="R374" s="2" t="inlineStr"/>
    </row>
    <row r="375" ht="15" customHeight="1">
      <c r="A375" t="inlineStr">
        <is>
          <t>A 4581-2025</t>
        </is>
      </c>
      <c r="B375" s="1" t="n">
        <v>45687</v>
      </c>
      <c r="C375" s="1" t="n">
        <v>46140</v>
      </c>
      <c r="D375" t="inlineStr">
        <is>
          <t>STOCKHOLMS LÄN</t>
        </is>
      </c>
      <c r="E375" t="inlineStr">
        <is>
          <t>NORRTÄLJE</t>
        </is>
      </c>
      <c r="F375" t="inlineStr">
        <is>
          <t>Holmen skog AB</t>
        </is>
      </c>
      <c r="G375" t="n">
        <v>2.8</v>
      </c>
      <c r="H375" t="n">
        <v>0</v>
      </c>
      <c r="I375" t="n">
        <v>0</v>
      </c>
      <c r="J375" t="n">
        <v>0</v>
      </c>
      <c r="K375" t="n">
        <v>0</v>
      </c>
      <c r="L375" t="n">
        <v>0</v>
      </c>
      <c r="M375" t="n">
        <v>0</v>
      </c>
      <c r="N375" t="n">
        <v>0</v>
      </c>
      <c r="O375" t="n">
        <v>0</v>
      </c>
      <c r="P375" t="n">
        <v>0</v>
      </c>
      <c r="Q375" t="n">
        <v>0</v>
      </c>
      <c r="R375" s="2" t="inlineStr"/>
    </row>
    <row r="376" ht="15" customHeight="1">
      <c r="A376" t="inlineStr">
        <is>
          <t>A 36157-2024</t>
        </is>
      </c>
      <c r="B376" s="1" t="n">
        <v>45534.38240740741</v>
      </c>
      <c r="C376" s="1" t="n">
        <v>46140</v>
      </c>
      <c r="D376" t="inlineStr">
        <is>
          <t>STOCKHOLMS LÄN</t>
        </is>
      </c>
      <c r="E376" t="inlineStr">
        <is>
          <t>NORRTÄLJE</t>
        </is>
      </c>
      <c r="F376" t="inlineStr">
        <is>
          <t>Övriga Aktiebolag</t>
        </is>
      </c>
      <c r="G376" t="n">
        <v>1.1</v>
      </c>
      <c r="H376" t="n">
        <v>0</v>
      </c>
      <c r="I376" t="n">
        <v>0</v>
      </c>
      <c r="J376" t="n">
        <v>0</v>
      </c>
      <c r="K376" t="n">
        <v>0</v>
      </c>
      <c r="L376" t="n">
        <v>0</v>
      </c>
      <c r="M376" t="n">
        <v>0</v>
      </c>
      <c r="N376" t="n">
        <v>0</v>
      </c>
      <c r="O376" t="n">
        <v>0</v>
      </c>
      <c r="P376" t="n">
        <v>0</v>
      </c>
      <c r="Q376" t="n">
        <v>0</v>
      </c>
      <c r="R376" s="2" t="inlineStr"/>
    </row>
    <row r="377" ht="15" customHeight="1">
      <c r="A377" t="inlineStr">
        <is>
          <t>A 62398-2022</t>
        </is>
      </c>
      <c r="B377" s="1" t="n">
        <v>44923.90159722222</v>
      </c>
      <c r="C377" s="1" t="n">
        <v>46140</v>
      </c>
      <c r="D377" t="inlineStr">
        <is>
          <t>STOCKHOLMS LÄN</t>
        </is>
      </c>
      <c r="E377" t="inlineStr">
        <is>
          <t>NORRTÄLJE</t>
        </is>
      </c>
      <c r="G377" t="n">
        <v>4</v>
      </c>
      <c r="H377" t="n">
        <v>0</v>
      </c>
      <c r="I377" t="n">
        <v>0</v>
      </c>
      <c r="J377" t="n">
        <v>0</v>
      </c>
      <c r="K377" t="n">
        <v>0</v>
      </c>
      <c r="L377" t="n">
        <v>0</v>
      </c>
      <c r="M377" t="n">
        <v>0</v>
      </c>
      <c r="N377" t="n">
        <v>0</v>
      </c>
      <c r="O377" t="n">
        <v>0</v>
      </c>
      <c r="P377" t="n">
        <v>0</v>
      </c>
      <c r="Q377" t="n">
        <v>0</v>
      </c>
      <c r="R377" s="2" t="inlineStr"/>
    </row>
    <row r="378" ht="15" customHeight="1">
      <c r="A378" t="inlineStr">
        <is>
          <t>A 17039-2024</t>
        </is>
      </c>
      <c r="B378" s="1" t="n">
        <v>45412.4104050926</v>
      </c>
      <c r="C378" s="1" t="n">
        <v>46140</v>
      </c>
      <c r="D378" t="inlineStr">
        <is>
          <t>STOCKHOLMS LÄN</t>
        </is>
      </c>
      <c r="E378" t="inlineStr">
        <is>
          <t>NORRTÄLJE</t>
        </is>
      </c>
      <c r="G378" t="n">
        <v>5.9</v>
      </c>
      <c r="H378" t="n">
        <v>0</v>
      </c>
      <c r="I378" t="n">
        <v>0</v>
      </c>
      <c r="J378" t="n">
        <v>0</v>
      </c>
      <c r="K378" t="n">
        <v>0</v>
      </c>
      <c r="L378" t="n">
        <v>0</v>
      </c>
      <c r="M378" t="n">
        <v>0</v>
      </c>
      <c r="N378" t="n">
        <v>0</v>
      </c>
      <c r="O378" t="n">
        <v>0</v>
      </c>
      <c r="P378" t="n">
        <v>0</v>
      </c>
      <c r="Q378" t="n">
        <v>0</v>
      </c>
      <c r="R378" s="2" t="inlineStr"/>
    </row>
    <row r="379" ht="15" customHeight="1">
      <c r="A379" t="inlineStr">
        <is>
          <t>A 2982-2023</t>
        </is>
      </c>
      <c r="B379" s="1" t="n">
        <v>44945.67409722223</v>
      </c>
      <c r="C379" s="1" t="n">
        <v>46140</v>
      </c>
      <c r="D379" t="inlineStr">
        <is>
          <t>STOCKHOLMS LÄN</t>
        </is>
      </c>
      <c r="E379" t="inlineStr">
        <is>
          <t>NORRTÄLJE</t>
        </is>
      </c>
      <c r="G379" t="n">
        <v>3.3</v>
      </c>
      <c r="H379" t="n">
        <v>0</v>
      </c>
      <c r="I379" t="n">
        <v>0</v>
      </c>
      <c r="J379" t="n">
        <v>0</v>
      </c>
      <c r="K379" t="n">
        <v>0</v>
      </c>
      <c r="L379" t="n">
        <v>0</v>
      </c>
      <c r="M379" t="n">
        <v>0</v>
      </c>
      <c r="N379" t="n">
        <v>0</v>
      </c>
      <c r="O379" t="n">
        <v>0</v>
      </c>
      <c r="P379" t="n">
        <v>0</v>
      </c>
      <c r="Q379" t="n">
        <v>0</v>
      </c>
      <c r="R379" s="2" t="inlineStr"/>
    </row>
    <row r="380" ht="15" customHeight="1">
      <c r="A380" t="inlineStr">
        <is>
          <t>A 1448-2023</t>
        </is>
      </c>
      <c r="B380" s="1" t="n">
        <v>44937</v>
      </c>
      <c r="C380" s="1" t="n">
        <v>46140</v>
      </c>
      <c r="D380" t="inlineStr">
        <is>
          <t>STOCKHOLMS LÄN</t>
        </is>
      </c>
      <c r="E380" t="inlineStr">
        <is>
          <t>NORRTÄLJE</t>
        </is>
      </c>
      <c r="G380" t="n">
        <v>1.9</v>
      </c>
      <c r="H380" t="n">
        <v>0</v>
      </c>
      <c r="I380" t="n">
        <v>0</v>
      </c>
      <c r="J380" t="n">
        <v>0</v>
      </c>
      <c r="K380" t="n">
        <v>0</v>
      </c>
      <c r="L380" t="n">
        <v>0</v>
      </c>
      <c r="M380" t="n">
        <v>0</v>
      </c>
      <c r="N380" t="n">
        <v>0</v>
      </c>
      <c r="O380" t="n">
        <v>0</v>
      </c>
      <c r="P380" t="n">
        <v>0</v>
      </c>
      <c r="Q380" t="n">
        <v>0</v>
      </c>
      <c r="R380" s="2" t="inlineStr"/>
    </row>
    <row r="381" ht="15" customHeight="1">
      <c r="A381" t="inlineStr">
        <is>
          <t>A 7697-2025</t>
        </is>
      </c>
      <c r="B381" s="1" t="n">
        <v>45706.40086805556</v>
      </c>
      <c r="C381" s="1" t="n">
        <v>46140</v>
      </c>
      <c r="D381" t="inlineStr">
        <is>
          <t>STOCKHOLMS LÄN</t>
        </is>
      </c>
      <c r="E381" t="inlineStr">
        <is>
          <t>NORRTÄLJE</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3509-2022</t>
        </is>
      </c>
      <c r="B382" s="1" t="n">
        <v>44585</v>
      </c>
      <c r="C382" s="1" t="n">
        <v>46140</v>
      </c>
      <c r="D382" t="inlineStr">
        <is>
          <t>STOCKHOLMS LÄN</t>
        </is>
      </c>
      <c r="E382" t="inlineStr">
        <is>
          <t>NORRTÄLJE</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35127-2023</t>
        </is>
      </c>
      <c r="B383" s="1" t="n">
        <v>45145.51</v>
      </c>
      <c r="C383" s="1" t="n">
        <v>46140</v>
      </c>
      <c r="D383" t="inlineStr">
        <is>
          <t>STOCKHOLMS LÄN</t>
        </is>
      </c>
      <c r="E383" t="inlineStr">
        <is>
          <t>NORRTÄLJE</t>
        </is>
      </c>
      <c r="G383" t="n">
        <v>4.7</v>
      </c>
      <c r="H383" t="n">
        <v>0</v>
      </c>
      <c r="I383" t="n">
        <v>0</v>
      </c>
      <c r="J383" t="n">
        <v>0</v>
      </c>
      <c r="K383" t="n">
        <v>0</v>
      </c>
      <c r="L383" t="n">
        <v>0</v>
      </c>
      <c r="M383" t="n">
        <v>0</v>
      </c>
      <c r="N383" t="n">
        <v>0</v>
      </c>
      <c r="O383" t="n">
        <v>0</v>
      </c>
      <c r="P383" t="n">
        <v>0</v>
      </c>
      <c r="Q383" t="n">
        <v>0</v>
      </c>
      <c r="R383" s="2" t="inlineStr"/>
    </row>
    <row r="384" ht="15" customHeight="1">
      <c r="A384" t="inlineStr">
        <is>
          <t>A 39669-2024</t>
        </is>
      </c>
      <c r="B384" s="1" t="n">
        <v>45552.52827546297</v>
      </c>
      <c r="C384" s="1" t="n">
        <v>46140</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50136-2023</t>
        </is>
      </c>
      <c r="B385" s="1" t="n">
        <v>45215</v>
      </c>
      <c r="C385" s="1" t="n">
        <v>46140</v>
      </c>
      <c r="D385" t="inlineStr">
        <is>
          <t>STOCKHOLMS LÄN</t>
        </is>
      </c>
      <c r="E385" t="inlineStr">
        <is>
          <t>NORRTÄLJE</t>
        </is>
      </c>
      <c r="G385" t="n">
        <v>5.2</v>
      </c>
      <c r="H385" t="n">
        <v>0</v>
      </c>
      <c r="I385" t="n">
        <v>0</v>
      </c>
      <c r="J385" t="n">
        <v>0</v>
      </c>
      <c r="K385" t="n">
        <v>0</v>
      </c>
      <c r="L385" t="n">
        <v>0</v>
      </c>
      <c r="M385" t="n">
        <v>0</v>
      </c>
      <c r="N385" t="n">
        <v>0</v>
      </c>
      <c r="O385" t="n">
        <v>0</v>
      </c>
      <c r="P385" t="n">
        <v>0</v>
      </c>
      <c r="Q385" t="n">
        <v>0</v>
      </c>
      <c r="R385" s="2" t="inlineStr"/>
    </row>
    <row r="386" ht="15" customHeight="1">
      <c r="A386" t="inlineStr">
        <is>
          <t>A 11229-2022</t>
        </is>
      </c>
      <c r="B386" s="1" t="n">
        <v>44629</v>
      </c>
      <c r="C386" s="1" t="n">
        <v>46140</v>
      </c>
      <c r="D386" t="inlineStr">
        <is>
          <t>STOCKHOLMS LÄN</t>
        </is>
      </c>
      <c r="E386" t="inlineStr">
        <is>
          <t>NORRTÄLJE</t>
        </is>
      </c>
      <c r="F386" t="inlineStr">
        <is>
          <t>Övriga Aktiebolag</t>
        </is>
      </c>
      <c r="G386" t="n">
        <v>4.1</v>
      </c>
      <c r="H386" t="n">
        <v>0</v>
      </c>
      <c r="I386" t="n">
        <v>0</v>
      </c>
      <c r="J386" t="n">
        <v>0</v>
      </c>
      <c r="K386" t="n">
        <v>0</v>
      </c>
      <c r="L386" t="n">
        <v>0</v>
      </c>
      <c r="M386" t="n">
        <v>0</v>
      </c>
      <c r="N386" t="n">
        <v>0</v>
      </c>
      <c r="O386" t="n">
        <v>0</v>
      </c>
      <c r="P386" t="n">
        <v>0</v>
      </c>
      <c r="Q386" t="n">
        <v>0</v>
      </c>
      <c r="R386" s="2" t="inlineStr"/>
    </row>
    <row r="387" ht="15" customHeight="1">
      <c r="A387" t="inlineStr">
        <is>
          <t>A 9654-2022</t>
        </is>
      </c>
      <c r="B387" s="1" t="n">
        <v>44617</v>
      </c>
      <c r="C387" s="1" t="n">
        <v>46140</v>
      </c>
      <c r="D387" t="inlineStr">
        <is>
          <t>STOCKHOLMS LÄN</t>
        </is>
      </c>
      <c r="E387" t="inlineStr">
        <is>
          <t>NORRTÄLJE</t>
        </is>
      </c>
      <c r="G387" t="n">
        <v>6.4</v>
      </c>
      <c r="H387" t="n">
        <v>0</v>
      </c>
      <c r="I387" t="n">
        <v>0</v>
      </c>
      <c r="J387" t="n">
        <v>0</v>
      </c>
      <c r="K387" t="n">
        <v>0</v>
      </c>
      <c r="L387" t="n">
        <v>0</v>
      </c>
      <c r="M387" t="n">
        <v>0</v>
      </c>
      <c r="N387" t="n">
        <v>0</v>
      </c>
      <c r="O387" t="n">
        <v>0</v>
      </c>
      <c r="P387" t="n">
        <v>0</v>
      </c>
      <c r="Q387" t="n">
        <v>0</v>
      </c>
      <c r="R387" s="2" t="inlineStr"/>
    </row>
    <row r="388" ht="15" customHeight="1">
      <c r="A388" t="inlineStr">
        <is>
          <t>A 5389-2025</t>
        </is>
      </c>
      <c r="B388" s="1" t="n">
        <v>45692</v>
      </c>
      <c r="C388" s="1" t="n">
        <v>46140</v>
      </c>
      <c r="D388" t="inlineStr">
        <is>
          <t>STOCKHOLMS LÄN</t>
        </is>
      </c>
      <c r="E388" t="inlineStr">
        <is>
          <t>NORRTÄLJE</t>
        </is>
      </c>
      <c r="G388" t="n">
        <v>0.8</v>
      </c>
      <c r="H388" t="n">
        <v>0</v>
      </c>
      <c r="I388" t="n">
        <v>0</v>
      </c>
      <c r="J388" t="n">
        <v>0</v>
      </c>
      <c r="K388" t="n">
        <v>0</v>
      </c>
      <c r="L388" t="n">
        <v>0</v>
      </c>
      <c r="M388" t="n">
        <v>0</v>
      </c>
      <c r="N388" t="n">
        <v>0</v>
      </c>
      <c r="O388" t="n">
        <v>0</v>
      </c>
      <c r="P388" t="n">
        <v>0</v>
      </c>
      <c r="Q388" t="n">
        <v>0</v>
      </c>
      <c r="R388" s="2" t="inlineStr"/>
    </row>
    <row r="389" ht="15" customHeight="1">
      <c r="A389" t="inlineStr">
        <is>
          <t>A 55696-2022</t>
        </is>
      </c>
      <c r="B389" s="1" t="n">
        <v>44888</v>
      </c>
      <c r="C389" s="1" t="n">
        <v>46140</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50907-2022</t>
        </is>
      </c>
      <c r="B390" s="1" t="n">
        <v>44867.62090277778</v>
      </c>
      <c r="C390" s="1" t="n">
        <v>46140</v>
      </c>
      <c r="D390" t="inlineStr">
        <is>
          <t>STOCKHOLMS LÄN</t>
        </is>
      </c>
      <c r="E390" t="inlineStr">
        <is>
          <t>NORRTÄLJE</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6919-2025</t>
        </is>
      </c>
      <c r="B391" s="1" t="n">
        <v>45701.44372685185</v>
      </c>
      <c r="C391" s="1" t="n">
        <v>46140</v>
      </c>
      <c r="D391" t="inlineStr">
        <is>
          <t>STOCKHOLMS LÄN</t>
        </is>
      </c>
      <c r="E391" t="inlineStr">
        <is>
          <t>NORRTÄLJE</t>
        </is>
      </c>
      <c r="G391" t="n">
        <v>3.5</v>
      </c>
      <c r="H391" t="n">
        <v>0</v>
      </c>
      <c r="I391" t="n">
        <v>0</v>
      </c>
      <c r="J391" t="n">
        <v>0</v>
      </c>
      <c r="K391" t="n">
        <v>0</v>
      </c>
      <c r="L391" t="n">
        <v>0</v>
      </c>
      <c r="M391" t="n">
        <v>0</v>
      </c>
      <c r="N391" t="n">
        <v>0</v>
      </c>
      <c r="O391" t="n">
        <v>0</v>
      </c>
      <c r="P391" t="n">
        <v>0</v>
      </c>
      <c r="Q391" t="n">
        <v>0</v>
      </c>
      <c r="R391" s="2" t="inlineStr"/>
    </row>
    <row r="392" ht="15" customHeight="1">
      <c r="A392" t="inlineStr">
        <is>
          <t>A 53362-2023</t>
        </is>
      </c>
      <c r="B392" s="1" t="n">
        <v>45223</v>
      </c>
      <c r="C392" s="1" t="n">
        <v>46140</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48180-2023</t>
        </is>
      </c>
      <c r="B393" s="1" t="n">
        <v>45205</v>
      </c>
      <c r="C393" s="1" t="n">
        <v>46140</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8433-2022</t>
        </is>
      </c>
      <c r="B394" s="1" t="n">
        <v>44611</v>
      </c>
      <c r="C394" s="1" t="n">
        <v>46140</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57353-2024</t>
        </is>
      </c>
      <c r="B395" s="1" t="n">
        <v>45629.65143518519</v>
      </c>
      <c r="C395" s="1" t="n">
        <v>46140</v>
      </c>
      <c r="D395" t="inlineStr">
        <is>
          <t>STOCKHOLMS LÄN</t>
        </is>
      </c>
      <c r="E395" t="inlineStr">
        <is>
          <t>NORRTÄLJE</t>
        </is>
      </c>
      <c r="F395" t="inlineStr">
        <is>
          <t>Holmen skog AB</t>
        </is>
      </c>
      <c r="G395" t="n">
        <v>0.9</v>
      </c>
      <c r="H395" t="n">
        <v>0</v>
      </c>
      <c r="I395" t="n">
        <v>0</v>
      </c>
      <c r="J395" t="n">
        <v>0</v>
      </c>
      <c r="K395" t="n">
        <v>0</v>
      </c>
      <c r="L395" t="n">
        <v>0</v>
      </c>
      <c r="M395" t="n">
        <v>0</v>
      </c>
      <c r="N395" t="n">
        <v>0</v>
      </c>
      <c r="O395" t="n">
        <v>0</v>
      </c>
      <c r="P395" t="n">
        <v>0</v>
      </c>
      <c r="Q395" t="n">
        <v>0</v>
      </c>
      <c r="R395" s="2" t="inlineStr"/>
    </row>
    <row r="396" ht="15" customHeight="1">
      <c r="A396" t="inlineStr">
        <is>
          <t>A 10215-2023</t>
        </is>
      </c>
      <c r="B396" s="1" t="n">
        <v>44986.5887962963</v>
      </c>
      <c r="C396" s="1" t="n">
        <v>46140</v>
      </c>
      <c r="D396" t="inlineStr">
        <is>
          <t>STOCKHOLMS LÄN</t>
        </is>
      </c>
      <c r="E396" t="inlineStr">
        <is>
          <t>NORRTÄLJE</t>
        </is>
      </c>
      <c r="G396" t="n">
        <v>6.5</v>
      </c>
      <c r="H396" t="n">
        <v>0</v>
      </c>
      <c r="I396" t="n">
        <v>0</v>
      </c>
      <c r="J396" t="n">
        <v>0</v>
      </c>
      <c r="K396" t="n">
        <v>0</v>
      </c>
      <c r="L396" t="n">
        <v>0</v>
      </c>
      <c r="M396" t="n">
        <v>0</v>
      </c>
      <c r="N396" t="n">
        <v>0</v>
      </c>
      <c r="O396" t="n">
        <v>0</v>
      </c>
      <c r="P396" t="n">
        <v>0</v>
      </c>
      <c r="Q396" t="n">
        <v>0</v>
      </c>
      <c r="R396" s="2" t="inlineStr"/>
    </row>
    <row r="397" ht="15" customHeight="1">
      <c r="A397" t="inlineStr">
        <is>
          <t>A 37147-2023</t>
        </is>
      </c>
      <c r="B397" s="1" t="n">
        <v>45155</v>
      </c>
      <c r="C397" s="1" t="n">
        <v>46140</v>
      </c>
      <c r="D397" t="inlineStr">
        <is>
          <t>STOCKHOLMS LÄN</t>
        </is>
      </c>
      <c r="E397" t="inlineStr">
        <is>
          <t>NORRTÄLJE</t>
        </is>
      </c>
      <c r="G397" t="n">
        <v>8</v>
      </c>
      <c r="H397" t="n">
        <v>0</v>
      </c>
      <c r="I397" t="n">
        <v>0</v>
      </c>
      <c r="J397" t="n">
        <v>0</v>
      </c>
      <c r="K397" t="n">
        <v>0</v>
      </c>
      <c r="L397" t="n">
        <v>0</v>
      </c>
      <c r="M397" t="n">
        <v>0</v>
      </c>
      <c r="N397" t="n">
        <v>0</v>
      </c>
      <c r="O397" t="n">
        <v>0</v>
      </c>
      <c r="P397" t="n">
        <v>0</v>
      </c>
      <c r="Q397" t="n">
        <v>0</v>
      </c>
      <c r="R397" s="2" t="inlineStr"/>
    </row>
    <row r="398" ht="15" customHeight="1">
      <c r="A398" t="inlineStr">
        <is>
          <t>A 52001-2023</t>
        </is>
      </c>
      <c r="B398" s="1" t="n">
        <v>45223</v>
      </c>
      <c r="C398" s="1" t="n">
        <v>46140</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59499-2023</t>
        </is>
      </c>
      <c r="B399" s="1" t="n">
        <v>45254</v>
      </c>
      <c r="C399" s="1" t="n">
        <v>46140</v>
      </c>
      <c r="D399" t="inlineStr">
        <is>
          <t>STOCKHOLMS LÄN</t>
        </is>
      </c>
      <c r="E399" t="inlineStr">
        <is>
          <t>NORRTÄLJE</t>
        </is>
      </c>
      <c r="G399" t="n">
        <v>0.6</v>
      </c>
      <c r="H399" t="n">
        <v>0</v>
      </c>
      <c r="I399" t="n">
        <v>0</v>
      </c>
      <c r="J399" t="n">
        <v>0</v>
      </c>
      <c r="K399" t="n">
        <v>0</v>
      </c>
      <c r="L399" t="n">
        <v>0</v>
      </c>
      <c r="M399" t="n">
        <v>0</v>
      </c>
      <c r="N399" t="n">
        <v>0</v>
      </c>
      <c r="O399" t="n">
        <v>0</v>
      </c>
      <c r="P399" t="n">
        <v>0</v>
      </c>
      <c r="Q399" t="n">
        <v>0</v>
      </c>
      <c r="R399" s="2" t="inlineStr"/>
    </row>
    <row r="400" ht="15" customHeight="1">
      <c r="A400" t="inlineStr">
        <is>
          <t>A 60654-2023</t>
        </is>
      </c>
      <c r="B400" s="1" t="n">
        <v>45260.43225694444</v>
      </c>
      <c r="C400" s="1" t="n">
        <v>46140</v>
      </c>
      <c r="D400" t="inlineStr">
        <is>
          <t>STOCKHOLMS LÄN</t>
        </is>
      </c>
      <c r="E400" t="inlineStr">
        <is>
          <t>NORRTÄLJE</t>
        </is>
      </c>
      <c r="G400" t="n">
        <v>2.1</v>
      </c>
      <c r="H400" t="n">
        <v>0</v>
      </c>
      <c r="I400" t="n">
        <v>0</v>
      </c>
      <c r="J400" t="n">
        <v>0</v>
      </c>
      <c r="K400" t="n">
        <v>0</v>
      </c>
      <c r="L400" t="n">
        <v>0</v>
      </c>
      <c r="M400" t="n">
        <v>0</v>
      </c>
      <c r="N400" t="n">
        <v>0</v>
      </c>
      <c r="O400" t="n">
        <v>0</v>
      </c>
      <c r="P400" t="n">
        <v>0</v>
      </c>
      <c r="Q400" t="n">
        <v>0</v>
      </c>
      <c r="R400" s="2" t="inlineStr"/>
    </row>
    <row r="401" ht="15" customHeight="1">
      <c r="A401" t="inlineStr">
        <is>
          <t>A 60656-2023</t>
        </is>
      </c>
      <c r="B401" s="1" t="n">
        <v>45260.4333449074</v>
      </c>
      <c r="C401" s="1" t="n">
        <v>46140</v>
      </c>
      <c r="D401" t="inlineStr">
        <is>
          <t>STOCKHOLMS LÄN</t>
        </is>
      </c>
      <c r="E401" t="inlineStr">
        <is>
          <t>NORRTÄLJE</t>
        </is>
      </c>
      <c r="G401" t="n">
        <v>4.8</v>
      </c>
      <c r="H401" t="n">
        <v>0</v>
      </c>
      <c r="I401" t="n">
        <v>0</v>
      </c>
      <c r="J401" t="n">
        <v>0</v>
      </c>
      <c r="K401" t="n">
        <v>0</v>
      </c>
      <c r="L401" t="n">
        <v>0</v>
      </c>
      <c r="M401" t="n">
        <v>0</v>
      </c>
      <c r="N401" t="n">
        <v>0</v>
      </c>
      <c r="O401" t="n">
        <v>0</v>
      </c>
      <c r="P401" t="n">
        <v>0</v>
      </c>
      <c r="Q401" t="n">
        <v>0</v>
      </c>
      <c r="R401" s="2" t="inlineStr"/>
    </row>
    <row r="402" ht="15" customHeight="1">
      <c r="A402" t="inlineStr">
        <is>
          <t>A 22456-2023</t>
        </is>
      </c>
      <c r="B402" s="1" t="n">
        <v>45070</v>
      </c>
      <c r="C402" s="1" t="n">
        <v>46140</v>
      </c>
      <c r="D402" t="inlineStr">
        <is>
          <t>STOCKHOLMS LÄN</t>
        </is>
      </c>
      <c r="E402" t="inlineStr">
        <is>
          <t>NORRTÄLJE</t>
        </is>
      </c>
      <c r="G402" t="n">
        <v>3.1</v>
      </c>
      <c r="H402" t="n">
        <v>0</v>
      </c>
      <c r="I402" t="n">
        <v>0</v>
      </c>
      <c r="J402" t="n">
        <v>0</v>
      </c>
      <c r="K402" t="n">
        <v>0</v>
      </c>
      <c r="L402" t="n">
        <v>0</v>
      </c>
      <c r="M402" t="n">
        <v>0</v>
      </c>
      <c r="N402" t="n">
        <v>0</v>
      </c>
      <c r="O402" t="n">
        <v>0</v>
      </c>
      <c r="P402" t="n">
        <v>0</v>
      </c>
      <c r="Q402" t="n">
        <v>0</v>
      </c>
      <c r="R402" s="2" t="inlineStr"/>
    </row>
    <row r="403" ht="15" customHeight="1">
      <c r="A403" t="inlineStr">
        <is>
          <t>A 14127-2025</t>
        </is>
      </c>
      <c r="B403" s="1" t="n">
        <v>45740.47055555556</v>
      </c>
      <c r="C403" s="1" t="n">
        <v>46140</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22697-2022</t>
        </is>
      </c>
      <c r="B404" s="1" t="n">
        <v>44714.56040509259</v>
      </c>
      <c r="C404" s="1" t="n">
        <v>46140</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31559-2022</t>
        </is>
      </c>
      <c r="B405" s="1" t="n">
        <v>44775</v>
      </c>
      <c r="C405" s="1" t="n">
        <v>46140</v>
      </c>
      <c r="D405" t="inlineStr">
        <is>
          <t>STOCKHOLMS LÄN</t>
        </is>
      </c>
      <c r="E405" t="inlineStr">
        <is>
          <t>NORRTÄLJE</t>
        </is>
      </c>
      <c r="G405" t="n">
        <v>5.6</v>
      </c>
      <c r="H405" t="n">
        <v>0</v>
      </c>
      <c r="I405" t="n">
        <v>0</v>
      </c>
      <c r="J405" t="n">
        <v>0</v>
      </c>
      <c r="K405" t="n">
        <v>0</v>
      </c>
      <c r="L405" t="n">
        <v>0</v>
      </c>
      <c r="M405" t="n">
        <v>0</v>
      </c>
      <c r="N405" t="n">
        <v>0</v>
      </c>
      <c r="O405" t="n">
        <v>0</v>
      </c>
      <c r="P405" t="n">
        <v>0</v>
      </c>
      <c r="Q405" t="n">
        <v>0</v>
      </c>
      <c r="R405" s="2" t="inlineStr"/>
    </row>
    <row r="406" ht="15" customHeight="1">
      <c r="A406" t="inlineStr">
        <is>
          <t>A 19580-2022</t>
        </is>
      </c>
      <c r="B406" s="1" t="n">
        <v>44693</v>
      </c>
      <c r="C406" s="1" t="n">
        <v>46140</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65499-2021</t>
        </is>
      </c>
      <c r="B407" s="1" t="n">
        <v>44516</v>
      </c>
      <c r="C407" s="1" t="n">
        <v>46140</v>
      </c>
      <c r="D407" t="inlineStr">
        <is>
          <t>STOCKHOLMS LÄN</t>
        </is>
      </c>
      <c r="E407" t="inlineStr">
        <is>
          <t>NORRTÄLJE</t>
        </is>
      </c>
      <c r="F407" t="inlineStr">
        <is>
          <t>Kommuner</t>
        </is>
      </c>
      <c r="G407" t="n">
        <v>5.2</v>
      </c>
      <c r="H407" t="n">
        <v>0</v>
      </c>
      <c r="I407" t="n">
        <v>0</v>
      </c>
      <c r="J407" t="n">
        <v>0</v>
      </c>
      <c r="K407" t="n">
        <v>0</v>
      </c>
      <c r="L407" t="n">
        <v>0</v>
      </c>
      <c r="M407" t="n">
        <v>0</v>
      </c>
      <c r="N407" t="n">
        <v>0</v>
      </c>
      <c r="O407" t="n">
        <v>0</v>
      </c>
      <c r="P407" t="n">
        <v>0</v>
      </c>
      <c r="Q407" t="n">
        <v>0</v>
      </c>
      <c r="R407" s="2" t="inlineStr"/>
    </row>
    <row r="408" ht="15" customHeight="1">
      <c r="A408" t="inlineStr">
        <is>
          <t>A 5823-2023</t>
        </is>
      </c>
      <c r="B408" s="1" t="n">
        <v>44963</v>
      </c>
      <c r="C408" s="1" t="n">
        <v>46140</v>
      </c>
      <c r="D408" t="inlineStr">
        <is>
          <t>STOCKHOLMS LÄN</t>
        </is>
      </c>
      <c r="E408" t="inlineStr">
        <is>
          <t>NORRTÄLJE</t>
        </is>
      </c>
      <c r="G408" t="n">
        <v>0.7</v>
      </c>
      <c r="H408" t="n">
        <v>0</v>
      </c>
      <c r="I408" t="n">
        <v>0</v>
      </c>
      <c r="J408" t="n">
        <v>0</v>
      </c>
      <c r="K408" t="n">
        <v>0</v>
      </c>
      <c r="L408" t="n">
        <v>0</v>
      </c>
      <c r="M408" t="n">
        <v>0</v>
      </c>
      <c r="N408" t="n">
        <v>0</v>
      </c>
      <c r="O408" t="n">
        <v>0</v>
      </c>
      <c r="P408" t="n">
        <v>0</v>
      </c>
      <c r="Q408" t="n">
        <v>0</v>
      </c>
      <c r="R408" s="2" t="inlineStr"/>
    </row>
    <row r="409" ht="15" customHeight="1">
      <c r="A409" t="inlineStr">
        <is>
          <t>A 30731-2023</t>
        </is>
      </c>
      <c r="B409" s="1" t="n">
        <v>45112</v>
      </c>
      <c r="C409" s="1" t="n">
        <v>46140</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51653-2022</t>
        </is>
      </c>
      <c r="B410" s="1" t="n">
        <v>44867</v>
      </c>
      <c r="C410" s="1" t="n">
        <v>46140</v>
      </c>
      <c r="D410" t="inlineStr">
        <is>
          <t>STOCKHOLMS LÄN</t>
        </is>
      </c>
      <c r="E410" t="inlineStr">
        <is>
          <t>NORRTÄLJE</t>
        </is>
      </c>
      <c r="G410" t="n">
        <v>6.6</v>
      </c>
      <c r="H410" t="n">
        <v>0</v>
      </c>
      <c r="I410" t="n">
        <v>0</v>
      </c>
      <c r="J410" t="n">
        <v>0</v>
      </c>
      <c r="K410" t="n">
        <v>0</v>
      </c>
      <c r="L410" t="n">
        <v>0</v>
      </c>
      <c r="M410" t="n">
        <v>0</v>
      </c>
      <c r="N410" t="n">
        <v>0</v>
      </c>
      <c r="O410" t="n">
        <v>0</v>
      </c>
      <c r="P410" t="n">
        <v>0</v>
      </c>
      <c r="Q410" t="n">
        <v>0</v>
      </c>
      <c r="R410" s="2" t="inlineStr"/>
    </row>
    <row r="411" ht="15" customHeight="1">
      <c r="A411" t="inlineStr">
        <is>
          <t>A 32103-2022</t>
        </is>
      </c>
      <c r="B411" s="1" t="n">
        <v>44778</v>
      </c>
      <c r="C411" s="1" t="n">
        <v>46140</v>
      </c>
      <c r="D411" t="inlineStr">
        <is>
          <t>STOCKHOLMS LÄN</t>
        </is>
      </c>
      <c r="E411" t="inlineStr">
        <is>
          <t>NORRTÄLJE</t>
        </is>
      </c>
      <c r="G411" t="n">
        <v>3.4</v>
      </c>
      <c r="H411" t="n">
        <v>0</v>
      </c>
      <c r="I411" t="n">
        <v>0</v>
      </c>
      <c r="J411" t="n">
        <v>0</v>
      </c>
      <c r="K411" t="n">
        <v>0</v>
      </c>
      <c r="L411" t="n">
        <v>0</v>
      </c>
      <c r="M411" t="n">
        <v>0</v>
      </c>
      <c r="N411" t="n">
        <v>0</v>
      </c>
      <c r="O411" t="n">
        <v>0</v>
      </c>
      <c r="P411" t="n">
        <v>0</v>
      </c>
      <c r="Q411" t="n">
        <v>0</v>
      </c>
      <c r="R411" s="2" t="inlineStr"/>
    </row>
    <row r="412" ht="15" customHeight="1">
      <c r="A412" t="inlineStr">
        <is>
          <t>A 55952-2024</t>
        </is>
      </c>
      <c r="B412" s="1" t="n">
        <v>45623.62563657408</v>
      </c>
      <c r="C412" s="1" t="n">
        <v>46140</v>
      </c>
      <c r="D412" t="inlineStr">
        <is>
          <t>STOCKHOLMS LÄN</t>
        </is>
      </c>
      <c r="E412" t="inlineStr">
        <is>
          <t>NORRTÄLJE</t>
        </is>
      </c>
      <c r="F412" t="inlineStr">
        <is>
          <t>Holmen skog AB</t>
        </is>
      </c>
      <c r="G412" t="n">
        <v>2.8</v>
      </c>
      <c r="H412" t="n">
        <v>0</v>
      </c>
      <c r="I412" t="n">
        <v>0</v>
      </c>
      <c r="J412" t="n">
        <v>0</v>
      </c>
      <c r="K412" t="n">
        <v>0</v>
      </c>
      <c r="L412" t="n">
        <v>0</v>
      </c>
      <c r="M412" t="n">
        <v>0</v>
      </c>
      <c r="N412" t="n">
        <v>0</v>
      </c>
      <c r="O412" t="n">
        <v>0</v>
      </c>
      <c r="P412" t="n">
        <v>0</v>
      </c>
      <c r="Q412" t="n">
        <v>0</v>
      </c>
      <c r="R412" s="2" t="inlineStr"/>
    </row>
    <row r="413" ht="15" customHeight="1">
      <c r="A413" t="inlineStr">
        <is>
          <t>A 23070-2023</t>
        </is>
      </c>
      <c r="B413" s="1" t="n">
        <v>45075</v>
      </c>
      <c r="C413" s="1" t="n">
        <v>46140</v>
      </c>
      <c r="D413" t="inlineStr">
        <is>
          <t>STOCKHOLMS LÄN</t>
        </is>
      </c>
      <c r="E413" t="inlineStr">
        <is>
          <t>NORRTÄLJE</t>
        </is>
      </c>
      <c r="G413" t="n">
        <v>1.5</v>
      </c>
      <c r="H413" t="n">
        <v>0</v>
      </c>
      <c r="I413" t="n">
        <v>0</v>
      </c>
      <c r="J413" t="n">
        <v>0</v>
      </c>
      <c r="K413" t="n">
        <v>0</v>
      </c>
      <c r="L413" t="n">
        <v>0</v>
      </c>
      <c r="M413" t="n">
        <v>0</v>
      </c>
      <c r="N413" t="n">
        <v>0</v>
      </c>
      <c r="O413" t="n">
        <v>0</v>
      </c>
      <c r="P413" t="n">
        <v>0</v>
      </c>
      <c r="Q413" t="n">
        <v>0</v>
      </c>
      <c r="R413" s="2" t="inlineStr"/>
    </row>
    <row r="414" ht="15" customHeight="1">
      <c r="A414" t="inlineStr">
        <is>
          <t>A 8792-2025</t>
        </is>
      </c>
      <c r="B414" s="1" t="n">
        <v>45712</v>
      </c>
      <c r="C414" s="1" t="n">
        <v>46140</v>
      </c>
      <c r="D414" t="inlineStr">
        <is>
          <t>STOCKHOLMS LÄN</t>
        </is>
      </c>
      <c r="E414" t="inlineStr">
        <is>
          <t>NORRTÄLJE</t>
        </is>
      </c>
      <c r="F414" t="inlineStr">
        <is>
          <t>Övriga Aktiebolag</t>
        </is>
      </c>
      <c r="G414" t="n">
        <v>6.6</v>
      </c>
      <c r="H414" t="n">
        <v>0</v>
      </c>
      <c r="I414" t="n">
        <v>0</v>
      </c>
      <c r="J414" t="n">
        <v>0</v>
      </c>
      <c r="K414" t="n">
        <v>0</v>
      </c>
      <c r="L414" t="n">
        <v>0</v>
      </c>
      <c r="M414" t="n">
        <v>0</v>
      </c>
      <c r="N414" t="n">
        <v>0</v>
      </c>
      <c r="O414" t="n">
        <v>0</v>
      </c>
      <c r="P414" t="n">
        <v>0</v>
      </c>
      <c r="Q414" t="n">
        <v>0</v>
      </c>
      <c r="R414" s="2" t="inlineStr"/>
    </row>
    <row r="415" ht="15" customHeight="1">
      <c r="A415" t="inlineStr">
        <is>
          <t>A 7571-2024</t>
        </is>
      </c>
      <c r="B415" s="1" t="n">
        <v>45348.46300925926</v>
      </c>
      <c r="C415" s="1" t="n">
        <v>46140</v>
      </c>
      <c r="D415" t="inlineStr">
        <is>
          <t>STOCKHOLMS LÄN</t>
        </is>
      </c>
      <c r="E415" t="inlineStr">
        <is>
          <t>NORRTÄLJE</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37261-2025</t>
        </is>
      </c>
      <c r="B416" s="1" t="n">
        <v>45876.45253472222</v>
      </c>
      <c r="C416" s="1" t="n">
        <v>46140</v>
      </c>
      <c r="D416" t="inlineStr">
        <is>
          <t>STOCKHOLMS LÄN</t>
        </is>
      </c>
      <c r="E416" t="inlineStr">
        <is>
          <t>NORRTÄLJE</t>
        </is>
      </c>
      <c r="F416" t="inlineStr">
        <is>
          <t>Kommuner</t>
        </is>
      </c>
      <c r="G416" t="n">
        <v>2.2</v>
      </c>
      <c r="H416" t="n">
        <v>0</v>
      </c>
      <c r="I416" t="n">
        <v>0</v>
      </c>
      <c r="J416" t="n">
        <v>0</v>
      </c>
      <c r="K416" t="n">
        <v>0</v>
      </c>
      <c r="L416" t="n">
        <v>0</v>
      </c>
      <c r="M416" t="n">
        <v>0</v>
      </c>
      <c r="N416" t="n">
        <v>0</v>
      </c>
      <c r="O416" t="n">
        <v>0</v>
      </c>
      <c r="P416" t="n">
        <v>0</v>
      </c>
      <c r="Q416" t="n">
        <v>0</v>
      </c>
      <c r="R416" s="2" t="inlineStr"/>
    </row>
    <row r="417" ht="15" customHeight="1">
      <c r="A417" t="inlineStr">
        <is>
          <t>A 36269-2022</t>
        </is>
      </c>
      <c r="B417" s="1" t="n">
        <v>44803</v>
      </c>
      <c r="C417" s="1" t="n">
        <v>46140</v>
      </c>
      <c r="D417" t="inlineStr">
        <is>
          <t>STOCKHOLMS LÄN</t>
        </is>
      </c>
      <c r="E417" t="inlineStr">
        <is>
          <t>NORRTÄLJE</t>
        </is>
      </c>
      <c r="G417" t="n">
        <v>2.3</v>
      </c>
      <c r="H417" t="n">
        <v>0</v>
      </c>
      <c r="I417" t="n">
        <v>0</v>
      </c>
      <c r="J417" t="n">
        <v>0</v>
      </c>
      <c r="K417" t="n">
        <v>0</v>
      </c>
      <c r="L417" t="n">
        <v>0</v>
      </c>
      <c r="M417" t="n">
        <v>0</v>
      </c>
      <c r="N417" t="n">
        <v>0</v>
      </c>
      <c r="O417" t="n">
        <v>0</v>
      </c>
      <c r="P417" t="n">
        <v>0</v>
      </c>
      <c r="Q417" t="n">
        <v>0</v>
      </c>
      <c r="R417" s="2" t="inlineStr"/>
    </row>
    <row r="418" ht="15" customHeight="1">
      <c r="A418" t="inlineStr">
        <is>
          <t>A 20692-2025</t>
        </is>
      </c>
      <c r="B418" s="1" t="n">
        <v>45776.46369212963</v>
      </c>
      <c r="C418" s="1" t="n">
        <v>46140</v>
      </c>
      <c r="D418" t="inlineStr">
        <is>
          <t>STOCKHOLMS LÄN</t>
        </is>
      </c>
      <c r="E418" t="inlineStr">
        <is>
          <t>NORRTÄLJE</t>
        </is>
      </c>
      <c r="G418" t="n">
        <v>2.1</v>
      </c>
      <c r="H418" t="n">
        <v>0</v>
      </c>
      <c r="I418" t="n">
        <v>0</v>
      </c>
      <c r="J418" t="n">
        <v>0</v>
      </c>
      <c r="K418" t="n">
        <v>0</v>
      </c>
      <c r="L418" t="n">
        <v>0</v>
      </c>
      <c r="M418" t="n">
        <v>0</v>
      </c>
      <c r="N418" t="n">
        <v>0</v>
      </c>
      <c r="O418" t="n">
        <v>0</v>
      </c>
      <c r="P418" t="n">
        <v>0</v>
      </c>
      <c r="Q418" t="n">
        <v>0</v>
      </c>
      <c r="R418" s="2" t="inlineStr"/>
    </row>
    <row r="419" ht="15" customHeight="1">
      <c r="A419" t="inlineStr">
        <is>
          <t>A 39149-2025</t>
        </is>
      </c>
      <c r="B419" s="1" t="n">
        <v>45888.60714120371</v>
      </c>
      <c r="C419" s="1" t="n">
        <v>46140</v>
      </c>
      <c r="D419" t="inlineStr">
        <is>
          <t>STOCKHOLMS LÄN</t>
        </is>
      </c>
      <c r="E419" t="inlineStr">
        <is>
          <t>NORRTÄLJE</t>
        </is>
      </c>
      <c r="G419" t="n">
        <v>3.5</v>
      </c>
      <c r="H419" t="n">
        <v>0</v>
      </c>
      <c r="I419" t="n">
        <v>0</v>
      </c>
      <c r="J419" t="n">
        <v>0</v>
      </c>
      <c r="K419" t="n">
        <v>0</v>
      </c>
      <c r="L419" t="n">
        <v>0</v>
      </c>
      <c r="M419" t="n">
        <v>0</v>
      </c>
      <c r="N419" t="n">
        <v>0</v>
      </c>
      <c r="O419" t="n">
        <v>0</v>
      </c>
      <c r="P419" t="n">
        <v>0</v>
      </c>
      <c r="Q419" t="n">
        <v>0</v>
      </c>
      <c r="R419" s="2" t="inlineStr"/>
    </row>
    <row r="420" ht="15" customHeight="1">
      <c r="A420" t="inlineStr">
        <is>
          <t>A 38720-2025</t>
        </is>
      </c>
      <c r="B420" s="1" t="n">
        <v>45886</v>
      </c>
      <c r="C420" s="1" t="n">
        <v>46140</v>
      </c>
      <c r="D420" t="inlineStr">
        <is>
          <t>STOCKHOLMS LÄN</t>
        </is>
      </c>
      <c r="E420" t="inlineStr">
        <is>
          <t>NORRTÄLJE</t>
        </is>
      </c>
      <c r="G420" t="n">
        <v>1.6</v>
      </c>
      <c r="H420" t="n">
        <v>0</v>
      </c>
      <c r="I420" t="n">
        <v>0</v>
      </c>
      <c r="J420" t="n">
        <v>0</v>
      </c>
      <c r="K420" t="n">
        <v>0</v>
      </c>
      <c r="L420" t="n">
        <v>0</v>
      </c>
      <c r="M420" t="n">
        <v>0</v>
      </c>
      <c r="N420" t="n">
        <v>0</v>
      </c>
      <c r="O420" t="n">
        <v>0</v>
      </c>
      <c r="P420" t="n">
        <v>0</v>
      </c>
      <c r="Q420" t="n">
        <v>0</v>
      </c>
      <c r="R420" s="2" t="inlineStr"/>
    </row>
    <row r="421" ht="15" customHeight="1">
      <c r="A421" t="inlineStr">
        <is>
          <t>A 5665-2025</t>
        </is>
      </c>
      <c r="B421" s="1" t="n">
        <v>45693</v>
      </c>
      <c r="C421" s="1" t="n">
        <v>46140</v>
      </c>
      <c r="D421" t="inlineStr">
        <is>
          <t>STOCKHOLMS LÄN</t>
        </is>
      </c>
      <c r="E421" t="inlineStr">
        <is>
          <t>NORRTÄLJE</t>
        </is>
      </c>
      <c r="G421" t="n">
        <v>4</v>
      </c>
      <c r="H421" t="n">
        <v>0</v>
      </c>
      <c r="I421" t="n">
        <v>0</v>
      </c>
      <c r="J421" t="n">
        <v>0</v>
      </c>
      <c r="K421" t="n">
        <v>0</v>
      </c>
      <c r="L421" t="n">
        <v>0</v>
      </c>
      <c r="M421" t="n">
        <v>0</v>
      </c>
      <c r="N421" t="n">
        <v>0</v>
      </c>
      <c r="O421" t="n">
        <v>0</v>
      </c>
      <c r="P421" t="n">
        <v>0</v>
      </c>
      <c r="Q421" t="n">
        <v>0</v>
      </c>
      <c r="R421" s="2" t="inlineStr"/>
    </row>
    <row r="422" ht="15" customHeight="1">
      <c r="A422" t="inlineStr">
        <is>
          <t>A 12407-2025</t>
        </is>
      </c>
      <c r="B422" s="1" t="n">
        <v>45730.42851851852</v>
      </c>
      <c r="C422" s="1" t="n">
        <v>46140</v>
      </c>
      <c r="D422" t="inlineStr">
        <is>
          <t>STOCKHOLMS LÄN</t>
        </is>
      </c>
      <c r="E422" t="inlineStr">
        <is>
          <t>NORRTÄLJE</t>
        </is>
      </c>
      <c r="F422" t="inlineStr">
        <is>
          <t>Holmen skog AB</t>
        </is>
      </c>
      <c r="G422" t="n">
        <v>2.6</v>
      </c>
      <c r="H422" t="n">
        <v>0</v>
      </c>
      <c r="I422" t="n">
        <v>0</v>
      </c>
      <c r="J422" t="n">
        <v>0</v>
      </c>
      <c r="K422" t="n">
        <v>0</v>
      </c>
      <c r="L422" t="n">
        <v>0</v>
      </c>
      <c r="M422" t="n">
        <v>0</v>
      </c>
      <c r="N422" t="n">
        <v>0</v>
      </c>
      <c r="O422" t="n">
        <v>0</v>
      </c>
      <c r="P422" t="n">
        <v>0</v>
      </c>
      <c r="Q422" t="n">
        <v>0</v>
      </c>
      <c r="R422" s="2" t="inlineStr"/>
    </row>
    <row r="423" ht="15" customHeight="1">
      <c r="A423" t="inlineStr">
        <is>
          <t>A 46071-2024</t>
        </is>
      </c>
      <c r="B423" s="1" t="n">
        <v>45581</v>
      </c>
      <c r="C423" s="1" t="n">
        <v>46140</v>
      </c>
      <c r="D423" t="inlineStr">
        <is>
          <t>STOCKHOLMS LÄN</t>
        </is>
      </c>
      <c r="E423" t="inlineStr">
        <is>
          <t>NORRTÄLJE</t>
        </is>
      </c>
      <c r="G423" t="n">
        <v>2.3</v>
      </c>
      <c r="H423" t="n">
        <v>0</v>
      </c>
      <c r="I423" t="n">
        <v>0</v>
      </c>
      <c r="J423" t="n">
        <v>0</v>
      </c>
      <c r="K423" t="n">
        <v>0</v>
      </c>
      <c r="L423" t="n">
        <v>0</v>
      </c>
      <c r="M423" t="n">
        <v>0</v>
      </c>
      <c r="N423" t="n">
        <v>0</v>
      </c>
      <c r="O423" t="n">
        <v>0</v>
      </c>
      <c r="P423" t="n">
        <v>0</v>
      </c>
      <c r="Q423" t="n">
        <v>0</v>
      </c>
      <c r="R423" s="2" t="inlineStr"/>
    </row>
    <row r="424" ht="15" customHeight="1">
      <c r="A424" t="inlineStr">
        <is>
          <t>A 26636-2023</t>
        </is>
      </c>
      <c r="B424" s="1" t="n">
        <v>45092</v>
      </c>
      <c r="C424" s="1" t="n">
        <v>46140</v>
      </c>
      <c r="D424" t="inlineStr">
        <is>
          <t>STOCKHOLMS LÄN</t>
        </is>
      </c>
      <c r="E424" t="inlineStr">
        <is>
          <t>NORRTÄLJE</t>
        </is>
      </c>
      <c r="G424" t="n">
        <v>1.7</v>
      </c>
      <c r="H424" t="n">
        <v>0</v>
      </c>
      <c r="I424" t="n">
        <v>0</v>
      </c>
      <c r="J424" t="n">
        <v>0</v>
      </c>
      <c r="K424" t="n">
        <v>0</v>
      </c>
      <c r="L424" t="n">
        <v>0</v>
      </c>
      <c r="M424" t="n">
        <v>0</v>
      </c>
      <c r="N424" t="n">
        <v>0</v>
      </c>
      <c r="O424" t="n">
        <v>0</v>
      </c>
      <c r="P424" t="n">
        <v>0</v>
      </c>
      <c r="Q424" t="n">
        <v>0</v>
      </c>
      <c r="R424" s="2" t="inlineStr"/>
    </row>
    <row r="425" ht="15" customHeight="1">
      <c r="A425" t="inlineStr">
        <is>
          <t>A 26637-2023</t>
        </is>
      </c>
      <c r="B425" s="1" t="n">
        <v>45092</v>
      </c>
      <c r="C425" s="1" t="n">
        <v>46140</v>
      </c>
      <c r="D425" t="inlineStr">
        <is>
          <t>STOCKHOLMS LÄN</t>
        </is>
      </c>
      <c r="E425" t="inlineStr">
        <is>
          <t>NORRTÄLJE</t>
        </is>
      </c>
      <c r="G425" t="n">
        <v>1.3</v>
      </c>
      <c r="H425" t="n">
        <v>0</v>
      </c>
      <c r="I425" t="n">
        <v>0</v>
      </c>
      <c r="J425" t="n">
        <v>0</v>
      </c>
      <c r="K425" t="n">
        <v>0</v>
      </c>
      <c r="L425" t="n">
        <v>0</v>
      </c>
      <c r="M425" t="n">
        <v>0</v>
      </c>
      <c r="N425" t="n">
        <v>0</v>
      </c>
      <c r="O425" t="n">
        <v>0</v>
      </c>
      <c r="P425" t="n">
        <v>0</v>
      </c>
      <c r="Q425" t="n">
        <v>0</v>
      </c>
      <c r="R425" s="2" t="inlineStr"/>
    </row>
    <row r="426" ht="15" customHeight="1">
      <c r="A426" t="inlineStr">
        <is>
          <t>A 29369-2024</t>
        </is>
      </c>
      <c r="B426" s="1" t="n">
        <v>45483.57244212963</v>
      </c>
      <c r="C426" s="1" t="n">
        <v>46140</v>
      </c>
      <c r="D426" t="inlineStr">
        <is>
          <t>STOCKHOLMS LÄN</t>
        </is>
      </c>
      <c r="E426" t="inlineStr">
        <is>
          <t>NORRTÄLJE</t>
        </is>
      </c>
      <c r="G426" t="n">
        <v>15.9</v>
      </c>
      <c r="H426" t="n">
        <v>0</v>
      </c>
      <c r="I426" t="n">
        <v>0</v>
      </c>
      <c r="J426" t="n">
        <v>0</v>
      </c>
      <c r="K426" t="n">
        <v>0</v>
      </c>
      <c r="L426" t="n">
        <v>0</v>
      </c>
      <c r="M426" t="n">
        <v>0</v>
      </c>
      <c r="N426" t="n">
        <v>0</v>
      </c>
      <c r="O426" t="n">
        <v>0</v>
      </c>
      <c r="P426" t="n">
        <v>0</v>
      </c>
      <c r="Q426" t="n">
        <v>0</v>
      </c>
      <c r="R426" s="2" t="inlineStr"/>
    </row>
    <row r="427" ht="15" customHeight="1">
      <c r="A427" t="inlineStr">
        <is>
          <t>A 37630-2025</t>
        </is>
      </c>
      <c r="B427" s="1" t="n">
        <v>45880.46372685185</v>
      </c>
      <c r="C427" s="1" t="n">
        <v>46140</v>
      </c>
      <c r="D427" t="inlineStr">
        <is>
          <t>STOCKHOLMS LÄN</t>
        </is>
      </c>
      <c r="E427" t="inlineStr">
        <is>
          <t>NORRTÄLJE</t>
        </is>
      </c>
      <c r="F427" t="inlineStr">
        <is>
          <t>Sveaskog</t>
        </is>
      </c>
      <c r="G427" t="n">
        <v>12.9</v>
      </c>
      <c r="H427" t="n">
        <v>0</v>
      </c>
      <c r="I427" t="n">
        <v>0</v>
      </c>
      <c r="J427" t="n">
        <v>0</v>
      </c>
      <c r="K427" t="n">
        <v>0</v>
      </c>
      <c r="L427" t="n">
        <v>0</v>
      </c>
      <c r="M427" t="n">
        <v>0</v>
      </c>
      <c r="N427" t="n">
        <v>0</v>
      </c>
      <c r="O427" t="n">
        <v>0</v>
      </c>
      <c r="P427" t="n">
        <v>0</v>
      </c>
      <c r="Q427" t="n">
        <v>0</v>
      </c>
      <c r="R427" s="2" t="inlineStr"/>
    </row>
    <row r="428" ht="15" customHeight="1">
      <c r="A428" t="inlineStr">
        <is>
          <t>A 37632-2025</t>
        </is>
      </c>
      <c r="B428" s="1" t="n">
        <v>45880.46524305556</v>
      </c>
      <c r="C428" s="1" t="n">
        <v>46140</v>
      </c>
      <c r="D428" t="inlineStr">
        <is>
          <t>STOCKHOLMS LÄN</t>
        </is>
      </c>
      <c r="E428" t="inlineStr">
        <is>
          <t>NORRTÄLJE</t>
        </is>
      </c>
      <c r="F428" t="inlineStr">
        <is>
          <t>Sveaskog</t>
        </is>
      </c>
      <c r="G428" t="n">
        <v>6.4</v>
      </c>
      <c r="H428" t="n">
        <v>0</v>
      </c>
      <c r="I428" t="n">
        <v>0</v>
      </c>
      <c r="J428" t="n">
        <v>0</v>
      </c>
      <c r="K428" t="n">
        <v>0</v>
      </c>
      <c r="L428" t="n">
        <v>0</v>
      </c>
      <c r="M428" t="n">
        <v>0</v>
      </c>
      <c r="N428" t="n">
        <v>0</v>
      </c>
      <c r="O428" t="n">
        <v>0</v>
      </c>
      <c r="P428" t="n">
        <v>0</v>
      </c>
      <c r="Q428" t="n">
        <v>0</v>
      </c>
      <c r="R428" s="2" t="inlineStr"/>
    </row>
    <row r="429" ht="15" customHeight="1">
      <c r="A429" t="inlineStr">
        <is>
          <t>A 29841-2024</t>
        </is>
      </c>
      <c r="B429" s="1" t="n">
        <v>45485.60261574074</v>
      </c>
      <c r="C429" s="1" t="n">
        <v>46140</v>
      </c>
      <c r="D429" t="inlineStr">
        <is>
          <t>STOCKHOLMS LÄN</t>
        </is>
      </c>
      <c r="E429" t="inlineStr">
        <is>
          <t>NORRTÄLJE</t>
        </is>
      </c>
      <c r="G429" t="n">
        <v>15.9</v>
      </c>
      <c r="H429" t="n">
        <v>0</v>
      </c>
      <c r="I429" t="n">
        <v>0</v>
      </c>
      <c r="J429" t="n">
        <v>0</v>
      </c>
      <c r="K429" t="n">
        <v>0</v>
      </c>
      <c r="L429" t="n">
        <v>0</v>
      </c>
      <c r="M429" t="n">
        <v>0</v>
      </c>
      <c r="N429" t="n">
        <v>0</v>
      </c>
      <c r="O429" t="n">
        <v>0</v>
      </c>
      <c r="P429" t="n">
        <v>0</v>
      </c>
      <c r="Q429" t="n">
        <v>0</v>
      </c>
      <c r="R429" s="2" t="inlineStr"/>
    </row>
    <row r="430" ht="15" customHeight="1">
      <c r="A430" t="inlineStr">
        <is>
          <t>A 39152-2025</t>
        </is>
      </c>
      <c r="B430" s="1" t="n">
        <v>45888</v>
      </c>
      <c r="C430" s="1" t="n">
        <v>46140</v>
      </c>
      <c r="D430" t="inlineStr">
        <is>
          <t>STOCKHOLMS LÄN</t>
        </is>
      </c>
      <c r="E430" t="inlineStr">
        <is>
          <t>NORRTÄLJE</t>
        </is>
      </c>
      <c r="G430" t="n">
        <v>4.6</v>
      </c>
      <c r="H430" t="n">
        <v>0</v>
      </c>
      <c r="I430" t="n">
        <v>0</v>
      </c>
      <c r="J430" t="n">
        <v>0</v>
      </c>
      <c r="K430" t="n">
        <v>0</v>
      </c>
      <c r="L430" t="n">
        <v>0</v>
      </c>
      <c r="M430" t="n">
        <v>0</v>
      </c>
      <c r="N430" t="n">
        <v>0</v>
      </c>
      <c r="O430" t="n">
        <v>0</v>
      </c>
      <c r="P430" t="n">
        <v>0</v>
      </c>
      <c r="Q430" t="n">
        <v>0</v>
      </c>
      <c r="R430" s="2" t="inlineStr"/>
    </row>
    <row r="431" ht="15" customHeight="1">
      <c r="A431" t="inlineStr">
        <is>
          <t>A 23266-2023</t>
        </is>
      </c>
      <c r="B431" s="1" t="n">
        <v>45075.90817129629</v>
      </c>
      <c r="C431" s="1" t="n">
        <v>46140</v>
      </c>
      <c r="D431" t="inlineStr">
        <is>
          <t>STOCKHOLMS LÄN</t>
        </is>
      </c>
      <c r="E431" t="inlineStr">
        <is>
          <t>NORRTÄLJE</t>
        </is>
      </c>
      <c r="G431" t="n">
        <v>0.6</v>
      </c>
      <c r="H431" t="n">
        <v>0</v>
      </c>
      <c r="I431" t="n">
        <v>0</v>
      </c>
      <c r="J431" t="n">
        <v>0</v>
      </c>
      <c r="K431" t="n">
        <v>0</v>
      </c>
      <c r="L431" t="n">
        <v>0</v>
      </c>
      <c r="M431" t="n">
        <v>0</v>
      </c>
      <c r="N431" t="n">
        <v>0</v>
      </c>
      <c r="O431" t="n">
        <v>0</v>
      </c>
      <c r="P431" t="n">
        <v>0</v>
      </c>
      <c r="Q431" t="n">
        <v>0</v>
      </c>
      <c r="R431" s="2" t="inlineStr"/>
    </row>
    <row r="432" ht="15" customHeight="1">
      <c r="A432" t="inlineStr">
        <is>
          <t>A 37628-2025</t>
        </is>
      </c>
      <c r="B432" s="1" t="n">
        <v>45880.46189814815</v>
      </c>
      <c r="C432" s="1" t="n">
        <v>46140</v>
      </c>
      <c r="D432" t="inlineStr">
        <is>
          <t>STOCKHOLMS LÄN</t>
        </is>
      </c>
      <c r="E432" t="inlineStr">
        <is>
          <t>NORRTÄLJE</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35161-2022</t>
        </is>
      </c>
      <c r="B433" s="1" t="n">
        <v>44797</v>
      </c>
      <c r="C433" s="1" t="n">
        <v>46140</v>
      </c>
      <c r="D433" t="inlineStr">
        <is>
          <t>STOCKHOLMS LÄN</t>
        </is>
      </c>
      <c r="E433" t="inlineStr">
        <is>
          <t>NORRTÄLJE</t>
        </is>
      </c>
      <c r="G433" t="n">
        <v>6</v>
      </c>
      <c r="H433" t="n">
        <v>0</v>
      </c>
      <c r="I433" t="n">
        <v>0</v>
      </c>
      <c r="J433" t="n">
        <v>0</v>
      </c>
      <c r="K433" t="n">
        <v>0</v>
      </c>
      <c r="L433" t="n">
        <v>0</v>
      </c>
      <c r="M433" t="n">
        <v>0</v>
      </c>
      <c r="N433" t="n">
        <v>0</v>
      </c>
      <c r="O433" t="n">
        <v>0</v>
      </c>
      <c r="P433" t="n">
        <v>0</v>
      </c>
      <c r="Q433" t="n">
        <v>0</v>
      </c>
      <c r="R433" s="2" t="inlineStr"/>
    </row>
    <row r="434" ht="15" customHeight="1">
      <c r="A434" t="inlineStr">
        <is>
          <t>A 24350-2025</t>
        </is>
      </c>
      <c r="B434" s="1" t="n">
        <v>45797.58350694444</v>
      </c>
      <c r="C434" s="1" t="n">
        <v>46140</v>
      </c>
      <c r="D434" t="inlineStr">
        <is>
          <t>STOCKHOLMS LÄN</t>
        </is>
      </c>
      <c r="E434" t="inlineStr">
        <is>
          <t>NORRTÄLJE</t>
        </is>
      </c>
      <c r="G434" t="n">
        <v>4.5</v>
      </c>
      <c r="H434" t="n">
        <v>0</v>
      </c>
      <c r="I434" t="n">
        <v>0</v>
      </c>
      <c r="J434" t="n">
        <v>0</v>
      </c>
      <c r="K434" t="n">
        <v>0</v>
      </c>
      <c r="L434" t="n">
        <v>0</v>
      </c>
      <c r="M434" t="n">
        <v>0</v>
      </c>
      <c r="N434" t="n">
        <v>0</v>
      </c>
      <c r="O434" t="n">
        <v>0</v>
      </c>
      <c r="P434" t="n">
        <v>0</v>
      </c>
      <c r="Q434" t="n">
        <v>0</v>
      </c>
      <c r="R434" s="2" t="inlineStr"/>
    </row>
    <row r="435" ht="15" customHeight="1">
      <c r="A435" t="inlineStr">
        <is>
          <t>A 26703-2025</t>
        </is>
      </c>
      <c r="B435" s="1" t="n">
        <v>45810.45263888889</v>
      </c>
      <c r="C435" s="1" t="n">
        <v>46140</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13137-2024</t>
        </is>
      </c>
      <c r="B436" s="1" t="n">
        <v>45386.34175925926</v>
      </c>
      <c r="C436" s="1" t="n">
        <v>46140</v>
      </c>
      <c r="D436" t="inlineStr">
        <is>
          <t>STOCKHOLMS LÄN</t>
        </is>
      </c>
      <c r="E436" t="inlineStr">
        <is>
          <t>NORRTÄLJE</t>
        </is>
      </c>
      <c r="G436" t="n">
        <v>5</v>
      </c>
      <c r="H436" t="n">
        <v>0</v>
      </c>
      <c r="I436" t="n">
        <v>0</v>
      </c>
      <c r="J436" t="n">
        <v>0</v>
      </c>
      <c r="K436" t="n">
        <v>0</v>
      </c>
      <c r="L436" t="n">
        <v>0</v>
      </c>
      <c r="M436" t="n">
        <v>0</v>
      </c>
      <c r="N436" t="n">
        <v>0</v>
      </c>
      <c r="O436" t="n">
        <v>0</v>
      </c>
      <c r="P436" t="n">
        <v>0</v>
      </c>
      <c r="Q436" t="n">
        <v>0</v>
      </c>
      <c r="R436" s="2" t="inlineStr"/>
    </row>
    <row r="437" ht="15" customHeight="1">
      <c r="A437" t="inlineStr">
        <is>
          <t>A 38153-2025</t>
        </is>
      </c>
      <c r="B437" s="1" t="n">
        <v>45882.59722222222</v>
      </c>
      <c r="C437" s="1" t="n">
        <v>46140</v>
      </c>
      <c r="D437" t="inlineStr">
        <is>
          <t>STOCKHOLMS LÄN</t>
        </is>
      </c>
      <c r="E437" t="inlineStr">
        <is>
          <t>NORRTÄLJE</t>
        </is>
      </c>
      <c r="G437" t="n">
        <v>1.7</v>
      </c>
      <c r="H437" t="n">
        <v>0</v>
      </c>
      <c r="I437" t="n">
        <v>0</v>
      </c>
      <c r="J437" t="n">
        <v>0</v>
      </c>
      <c r="K437" t="n">
        <v>0</v>
      </c>
      <c r="L437" t="n">
        <v>0</v>
      </c>
      <c r="M437" t="n">
        <v>0</v>
      </c>
      <c r="N437" t="n">
        <v>0</v>
      </c>
      <c r="O437" t="n">
        <v>0</v>
      </c>
      <c r="P437" t="n">
        <v>0</v>
      </c>
      <c r="Q437" t="n">
        <v>0</v>
      </c>
      <c r="R437" s="2" t="inlineStr"/>
    </row>
    <row r="438" ht="15" customHeight="1">
      <c r="A438" t="inlineStr">
        <is>
          <t>A 58863-2024</t>
        </is>
      </c>
      <c r="B438" s="1" t="n">
        <v>45636.41572916666</v>
      </c>
      <c r="C438" s="1" t="n">
        <v>46140</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39692-2025</t>
        </is>
      </c>
      <c r="B439" s="1" t="n">
        <v>45890.68083333333</v>
      </c>
      <c r="C439" s="1" t="n">
        <v>46140</v>
      </c>
      <c r="D439" t="inlineStr">
        <is>
          <t>STOCKHOLMS LÄN</t>
        </is>
      </c>
      <c r="E439" t="inlineStr">
        <is>
          <t>NORRTÄLJE</t>
        </is>
      </c>
      <c r="G439" t="n">
        <v>10.5</v>
      </c>
      <c r="H439" t="n">
        <v>0</v>
      </c>
      <c r="I439" t="n">
        <v>0</v>
      </c>
      <c r="J439" t="n">
        <v>0</v>
      </c>
      <c r="K439" t="n">
        <v>0</v>
      </c>
      <c r="L439" t="n">
        <v>0</v>
      </c>
      <c r="M439" t="n">
        <v>0</v>
      </c>
      <c r="N439" t="n">
        <v>0</v>
      </c>
      <c r="O439" t="n">
        <v>0</v>
      </c>
      <c r="P439" t="n">
        <v>0</v>
      </c>
      <c r="Q439" t="n">
        <v>0</v>
      </c>
      <c r="R439" s="2" t="inlineStr"/>
    </row>
    <row r="440" ht="15" customHeight="1">
      <c r="A440" t="inlineStr">
        <is>
          <t>A 15447-2023</t>
        </is>
      </c>
      <c r="B440" s="1" t="n">
        <v>45020</v>
      </c>
      <c r="C440" s="1" t="n">
        <v>46140</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34391-2023</t>
        </is>
      </c>
      <c r="B441" s="1" t="n">
        <v>45139.51457175926</v>
      </c>
      <c r="C441" s="1" t="n">
        <v>46140</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27677-2025</t>
        </is>
      </c>
      <c r="B442" s="1" t="n">
        <v>45813.63650462963</v>
      </c>
      <c r="C442" s="1" t="n">
        <v>46140</v>
      </c>
      <c r="D442" t="inlineStr">
        <is>
          <t>STOCKHOLMS LÄN</t>
        </is>
      </c>
      <c r="E442" t="inlineStr">
        <is>
          <t>NORRTÄLJE</t>
        </is>
      </c>
      <c r="G442" t="n">
        <v>2</v>
      </c>
      <c r="H442" t="n">
        <v>0</v>
      </c>
      <c r="I442" t="n">
        <v>0</v>
      </c>
      <c r="J442" t="n">
        <v>0</v>
      </c>
      <c r="K442" t="n">
        <v>0</v>
      </c>
      <c r="L442" t="n">
        <v>0</v>
      </c>
      <c r="M442" t="n">
        <v>0</v>
      </c>
      <c r="N442" t="n">
        <v>0</v>
      </c>
      <c r="O442" t="n">
        <v>0</v>
      </c>
      <c r="P442" t="n">
        <v>0</v>
      </c>
      <c r="Q442" t="n">
        <v>0</v>
      </c>
      <c r="R442" s="2" t="inlineStr"/>
    </row>
    <row r="443" ht="15" customHeight="1">
      <c r="A443" t="inlineStr">
        <is>
          <t>A 53312-2024</t>
        </is>
      </c>
      <c r="B443" s="1" t="n">
        <v>45614.39627314815</v>
      </c>
      <c r="C443" s="1" t="n">
        <v>46140</v>
      </c>
      <c r="D443" t="inlineStr">
        <is>
          <t>STOCKHOLMS LÄN</t>
        </is>
      </c>
      <c r="E443" t="inlineStr">
        <is>
          <t>NORRTÄLJE</t>
        </is>
      </c>
      <c r="G443" t="n">
        <v>0.6</v>
      </c>
      <c r="H443" t="n">
        <v>0</v>
      </c>
      <c r="I443" t="n">
        <v>0</v>
      </c>
      <c r="J443" t="n">
        <v>0</v>
      </c>
      <c r="K443" t="n">
        <v>0</v>
      </c>
      <c r="L443" t="n">
        <v>0</v>
      </c>
      <c r="M443" t="n">
        <v>0</v>
      </c>
      <c r="N443" t="n">
        <v>0</v>
      </c>
      <c r="O443" t="n">
        <v>0</v>
      </c>
      <c r="P443" t="n">
        <v>0</v>
      </c>
      <c r="Q443" t="n">
        <v>0</v>
      </c>
      <c r="R443" s="2" t="inlineStr"/>
    </row>
    <row r="444" ht="15" customHeight="1">
      <c r="A444" t="inlineStr">
        <is>
          <t>A 21158-2022</t>
        </is>
      </c>
      <c r="B444" s="1" t="n">
        <v>44704</v>
      </c>
      <c r="C444" s="1" t="n">
        <v>46140</v>
      </c>
      <c r="D444" t="inlineStr">
        <is>
          <t>STOCKHOLMS LÄN</t>
        </is>
      </c>
      <c r="E444" t="inlineStr">
        <is>
          <t>NORRTÄLJE</t>
        </is>
      </c>
      <c r="G444" t="n">
        <v>17.8</v>
      </c>
      <c r="H444" t="n">
        <v>0</v>
      </c>
      <c r="I444" t="n">
        <v>0</v>
      </c>
      <c r="J444" t="n">
        <v>0</v>
      </c>
      <c r="K444" t="n">
        <v>0</v>
      </c>
      <c r="L444" t="n">
        <v>0</v>
      </c>
      <c r="M444" t="n">
        <v>0</v>
      </c>
      <c r="N444" t="n">
        <v>0</v>
      </c>
      <c r="O444" t="n">
        <v>0</v>
      </c>
      <c r="P444" t="n">
        <v>0</v>
      </c>
      <c r="Q444" t="n">
        <v>0</v>
      </c>
      <c r="R444" s="2" t="inlineStr"/>
    </row>
    <row r="445" ht="15" customHeight="1">
      <c r="A445" t="inlineStr">
        <is>
          <t>A 38593-2025</t>
        </is>
      </c>
      <c r="B445" s="1" t="n">
        <v>45884.48696759259</v>
      </c>
      <c r="C445" s="1" t="n">
        <v>46140</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15915-2023</t>
        </is>
      </c>
      <c r="B446" s="1" t="n">
        <v>45022</v>
      </c>
      <c r="C446" s="1" t="n">
        <v>46140</v>
      </c>
      <c r="D446" t="inlineStr">
        <is>
          <t>STOCKHOLMS LÄN</t>
        </is>
      </c>
      <c r="E446" t="inlineStr">
        <is>
          <t>NORRTÄLJE</t>
        </is>
      </c>
      <c r="G446" t="n">
        <v>2.9</v>
      </c>
      <c r="H446" t="n">
        <v>0</v>
      </c>
      <c r="I446" t="n">
        <v>0</v>
      </c>
      <c r="J446" t="n">
        <v>0</v>
      </c>
      <c r="K446" t="n">
        <v>0</v>
      </c>
      <c r="L446" t="n">
        <v>0</v>
      </c>
      <c r="M446" t="n">
        <v>0</v>
      </c>
      <c r="N446" t="n">
        <v>0</v>
      </c>
      <c r="O446" t="n">
        <v>0</v>
      </c>
      <c r="P446" t="n">
        <v>0</v>
      </c>
      <c r="Q446" t="n">
        <v>0</v>
      </c>
      <c r="R446" s="2" t="inlineStr"/>
    </row>
    <row r="447" ht="15" customHeight="1">
      <c r="A447" t="inlineStr">
        <is>
          <t>A 58993-2022</t>
        </is>
      </c>
      <c r="B447" s="1" t="n">
        <v>44903</v>
      </c>
      <c r="C447" s="1" t="n">
        <v>46140</v>
      </c>
      <c r="D447" t="inlineStr">
        <is>
          <t>STOCKHOLMS LÄN</t>
        </is>
      </c>
      <c r="E447" t="inlineStr">
        <is>
          <t>NORRTÄLJE</t>
        </is>
      </c>
      <c r="G447" t="n">
        <v>2.3</v>
      </c>
      <c r="H447" t="n">
        <v>0</v>
      </c>
      <c r="I447" t="n">
        <v>0</v>
      </c>
      <c r="J447" t="n">
        <v>0</v>
      </c>
      <c r="K447" t="n">
        <v>0</v>
      </c>
      <c r="L447" t="n">
        <v>0</v>
      </c>
      <c r="M447" t="n">
        <v>0</v>
      </c>
      <c r="N447" t="n">
        <v>0</v>
      </c>
      <c r="O447" t="n">
        <v>0</v>
      </c>
      <c r="P447" t="n">
        <v>0</v>
      </c>
      <c r="Q447" t="n">
        <v>0</v>
      </c>
      <c r="R447" s="2" t="inlineStr"/>
    </row>
    <row r="448" ht="15" customHeight="1">
      <c r="A448" t="inlineStr">
        <is>
          <t>A 40230-2025</t>
        </is>
      </c>
      <c r="B448" s="1" t="n">
        <v>45894.71101851852</v>
      </c>
      <c r="C448" s="1" t="n">
        <v>46140</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39905-2023</t>
        </is>
      </c>
      <c r="B449" s="1" t="n">
        <v>45168.44489583333</v>
      </c>
      <c r="C449" s="1" t="n">
        <v>46140</v>
      </c>
      <c r="D449" t="inlineStr">
        <is>
          <t>STOCKHOLMS LÄN</t>
        </is>
      </c>
      <c r="E449" t="inlineStr">
        <is>
          <t>NORRTÄLJE</t>
        </is>
      </c>
      <c r="F449" t="inlineStr">
        <is>
          <t>Holmen skog AB</t>
        </is>
      </c>
      <c r="G449" t="n">
        <v>1.5</v>
      </c>
      <c r="H449" t="n">
        <v>0</v>
      </c>
      <c r="I449" t="n">
        <v>0</v>
      </c>
      <c r="J449" t="n">
        <v>0</v>
      </c>
      <c r="K449" t="n">
        <v>0</v>
      </c>
      <c r="L449" t="n">
        <v>0</v>
      </c>
      <c r="M449" t="n">
        <v>0</v>
      </c>
      <c r="N449" t="n">
        <v>0</v>
      </c>
      <c r="O449" t="n">
        <v>0</v>
      </c>
      <c r="P449" t="n">
        <v>0</v>
      </c>
      <c r="Q449" t="n">
        <v>0</v>
      </c>
      <c r="R449" s="2" t="inlineStr"/>
    </row>
    <row r="450" ht="15" customHeight="1">
      <c r="A450" t="inlineStr">
        <is>
          <t>A 40228-2025</t>
        </is>
      </c>
      <c r="B450" s="1" t="n">
        <v>45894.70854166667</v>
      </c>
      <c r="C450" s="1" t="n">
        <v>46140</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35636-2025</t>
        </is>
      </c>
      <c r="B451" s="1" t="n">
        <v>45859</v>
      </c>
      <c r="C451" s="1" t="n">
        <v>46140</v>
      </c>
      <c r="D451" t="inlineStr">
        <is>
          <t>STOCKHOLMS LÄN</t>
        </is>
      </c>
      <c r="E451" t="inlineStr">
        <is>
          <t>NORRTÄLJE</t>
        </is>
      </c>
      <c r="G451" t="n">
        <v>1</v>
      </c>
      <c r="H451" t="n">
        <v>0</v>
      </c>
      <c r="I451" t="n">
        <v>0</v>
      </c>
      <c r="J451" t="n">
        <v>0</v>
      </c>
      <c r="K451" t="n">
        <v>0</v>
      </c>
      <c r="L451" t="n">
        <v>0</v>
      </c>
      <c r="M451" t="n">
        <v>0</v>
      </c>
      <c r="N451" t="n">
        <v>0</v>
      </c>
      <c r="O451" t="n">
        <v>0</v>
      </c>
      <c r="P451" t="n">
        <v>0</v>
      </c>
      <c r="Q451" t="n">
        <v>0</v>
      </c>
      <c r="R451" s="2" t="inlineStr"/>
    </row>
    <row r="452" ht="15" customHeight="1">
      <c r="A452" t="inlineStr">
        <is>
          <t>A 40172-2025</t>
        </is>
      </c>
      <c r="B452" s="1" t="n">
        <v>45894.6353125</v>
      </c>
      <c r="C452" s="1" t="n">
        <v>46140</v>
      </c>
      <c r="D452" t="inlineStr">
        <is>
          <t>STOCKHOLMS LÄN</t>
        </is>
      </c>
      <c r="E452" t="inlineStr">
        <is>
          <t>NORRTÄLJE</t>
        </is>
      </c>
      <c r="G452" t="n">
        <v>6</v>
      </c>
      <c r="H452" t="n">
        <v>0</v>
      </c>
      <c r="I452" t="n">
        <v>0</v>
      </c>
      <c r="J452" t="n">
        <v>0</v>
      </c>
      <c r="K452" t="n">
        <v>0</v>
      </c>
      <c r="L452" t="n">
        <v>0</v>
      </c>
      <c r="M452" t="n">
        <v>0</v>
      </c>
      <c r="N452" t="n">
        <v>0</v>
      </c>
      <c r="O452" t="n">
        <v>0</v>
      </c>
      <c r="P452" t="n">
        <v>0</v>
      </c>
      <c r="Q452" t="n">
        <v>0</v>
      </c>
      <c r="R452" s="2" t="inlineStr"/>
    </row>
    <row r="453" ht="15" customHeight="1">
      <c r="A453" t="inlineStr">
        <is>
          <t>A 33793-2022</t>
        </is>
      </c>
      <c r="B453" s="1" t="n">
        <v>44790</v>
      </c>
      <c r="C453" s="1" t="n">
        <v>46140</v>
      </c>
      <c r="D453" t="inlineStr">
        <is>
          <t>STOCKHOLMS LÄN</t>
        </is>
      </c>
      <c r="E453" t="inlineStr">
        <is>
          <t>NORRTÄLJE</t>
        </is>
      </c>
      <c r="G453" t="n">
        <v>1.5</v>
      </c>
      <c r="H453" t="n">
        <v>0</v>
      </c>
      <c r="I453" t="n">
        <v>0</v>
      </c>
      <c r="J453" t="n">
        <v>0</v>
      </c>
      <c r="K453" t="n">
        <v>0</v>
      </c>
      <c r="L453" t="n">
        <v>0</v>
      </c>
      <c r="M453" t="n">
        <v>0</v>
      </c>
      <c r="N453" t="n">
        <v>0</v>
      </c>
      <c r="O453" t="n">
        <v>0</v>
      </c>
      <c r="P453" t="n">
        <v>0</v>
      </c>
      <c r="Q453" t="n">
        <v>0</v>
      </c>
      <c r="R453" s="2" t="inlineStr"/>
    </row>
    <row r="454" ht="15" customHeight="1">
      <c r="A454" t="inlineStr">
        <is>
          <t>A 40033-2025</t>
        </is>
      </c>
      <c r="B454" s="1" t="n">
        <v>45893</v>
      </c>
      <c r="C454" s="1" t="n">
        <v>46140</v>
      </c>
      <c r="D454" t="inlineStr">
        <is>
          <t>STOCKHOLMS LÄN</t>
        </is>
      </c>
      <c r="E454" t="inlineStr">
        <is>
          <t>NORRTÄLJE</t>
        </is>
      </c>
      <c r="G454" t="n">
        <v>1.7</v>
      </c>
      <c r="H454" t="n">
        <v>0</v>
      </c>
      <c r="I454" t="n">
        <v>0</v>
      </c>
      <c r="J454" t="n">
        <v>0</v>
      </c>
      <c r="K454" t="n">
        <v>0</v>
      </c>
      <c r="L454" t="n">
        <v>0</v>
      </c>
      <c r="M454" t="n">
        <v>0</v>
      </c>
      <c r="N454" t="n">
        <v>0</v>
      </c>
      <c r="O454" t="n">
        <v>0</v>
      </c>
      <c r="P454" t="n">
        <v>0</v>
      </c>
      <c r="Q454" t="n">
        <v>0</v>
      </c>
      <c r="R454" s="2" t="inlineStr"/>
    </row>
    <row r="455" ht="15" customHeight="1">
      <c r="A455" t="inlineStr">
        <is>
          <t>A 67921-2021</t>
        </is>
      </c>
      <c r="B455" s="1" t="n">
        <v>44525</v>
      </c>
      <c r="C455" s="1" t="n">
        <v>46140</v>
      </c>
      <c r="D455" t="inlineStr">
        <is>
          <t>STOCKHOLMS LÄN</t>
        </is>
      </c>
      <c r="E455" t="inlineStr">
        <is>
          <t>NORRTÄLJE</t>
        </is>
      </c>
      <c r="G455" t="n">
        <v>6.3</v>
      </c>
      <c r="H455" t="n">
        <v>0</v>
      </c>
      <c r="I455" t="n">
        <v>0</v>
      </c>
      <c r="J455" t="n">
        <v>0</v>
      </c>
      <c r="K455" t="n">
        <v>0</v>
      </c>
      <c r="L455" t="n">
        <v>0</v>
      </c>
      <c r="M455" t="n">
        <v>0</v>
      </c>
      <c r="N455" t="n">
        <v>0</v>
      </c>
      <c r="O455" t="n">
        <v>0</v>
      </c>
      <c r="P455" t="n">
        <v>0</v>
      </c>
      <c r="Q455" t="n">
        <v>0</v>
      </c>
      <c r="R455" s="2" t="inlineStr"/>
    </row>
    <row r="456" ht="15" customHeight="1">
      <c r="A456" t="inlineStr">
        <is>
          <t>A 40217-2025</t>
        </is>
      </c>
      <c r="B456" s="1" t="n">
        <v>45894.68864583333</v>
      </c>
      <c r="C456" s="1" t="n">
        <v>46140</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35639-2025</t>
        </is>
      </c>
      <c r="B457" s="1" t="n">
        <v>45859</v>
      </c>
      <c r="C457" s="1" t="n">
        <v>46140</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40032-2025</t>
        </is>
      </c>
      <c r="B458" s="1" t="n">
        <v>45893</v>
      </c>
      <c r="C458" s="1" t="n">
        <v>46140</v>
      </c>
      <c r="D458" t="inlineStr">
        <is>
          <t>STOCKHOLMS LÄN</t>
        </is>
      </c>
      <c r="E458" t="inlineStr">
        <is>
          <t>NORRTÄLJE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17304-2024</t>
        </is>
      </c>
      <c r="B459" s="1" t="n">
        <v>45414</v>
      </c>
      <c r="C459" s="1" t="n">
        <v>46140</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40097-2025</t>
        </is>
      </c>
      <c r="B460" s="1" t="n">
        <v>45894.48322916667</v>
      </c>
      <c r="C460" s="1" t="n">
        <v>46140</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16852-2024</t>
        </is>
      </c>
      <c r="B461" s="1" t="n">
        <v>45411.54768518519</v>
      </c>
      <c r="C461" s="1" t="n">
        <v>46140</v>
      </c>
      <c r="D461" t="inlineStr">
        <is>
          <t>STOCKHOLMS LÄN</t>
        </is>
      </c>
      <c r="E461" t="inlineStr">
        <is>
          <t>NORRTÄLJE</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4326-2023</t>
        </is>
      </c>
      <c r="B462" s="1" t="n">
        <v>44953.70481481482</v>
      </c>
      <c r="C462" s="1" t="n">
        <v>46140</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40529-2025</t>
        </is>
      </c>
      <c r="B463" s="1" t="n">
        <v>45896.38466435186</v>
      </c>
      <c r="C463" s="1" t="n">
        <v>46140</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33385-2024</t>
        </is>
      </c>
      <c r="B464" s="1" t="n">
        <v>45519</v>
      </c>
      <c r="C464" s="1" t="n">
        <v>46140</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29714-2023</t>
        </is>
      </c>
      <c r="B465" s="1" t="n">
        <v>45107.42538194444</v>
      </c>
      <c r="C465" s="1" t="n">
        <v>46140</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30508-2023</t>
        </is>
      </c>
      <c r="B466" s="1" t="n">
        <v>45111</v>
      </c>
      <c r="C466" s="1" t="n">
        <v>46140</v>
      </c>
      <c r="D466" t="inlineStr">
        <is>
          <t>STOCKHOLMS LÄN</t>
        </is>
      </c>
      <c r="E466" t="inlineStr">
        <is>
          <t>NORRTÄLJE</t>
        </is>
      </c>
      <c r="G466" t="n">
        <v>2.1</v>
      </c>
      <c r="H466" t="n">
        <v>0</v>
      </c>
      <c r="I466" t="n">
        <v>0</v>
      </c>
      <c r="J466" t="n">
        <v>0</v>
      </c>
      <c r="K466" t="n">
        <v>0</v>
      </c>
      <c r="L466" t="n">
        <v>0</v>
      </c>
      <c r="M466" t="n">
        <v>0</v>
      </c>
      <c r="N466" t="n">
        <v>0</v>
      </c>
      <c r="O466" t="n">
        <v>0</v>
      </c>
      <c r="P466" t="n">
        <v>0</v>
      </c>
      <c r="Q466" t="n">
        <v>0</v>
      </c>
      <c r="R466" s="2" t="inlineStr"/>
    </row>
    <row r="467" ht="15" customHeight="1">
      <c r="A467" t="inlineStr">
        <is>
          <t>A 40292-2025</t>
        </is>
      </c>
      <c r="B467" s="1" t="n">
        <v>45895.3867824074</v>
      </c>
      <c r="C467" s="1" t="n">
        <v>46140</v>
      </c>
      <c r="D467" t="inlineStr">
        <is>
          <t>STOCKHOLMS LÄN</t>
        </is>
      </c>
      <c r="E467" t="inlineStr">
        <is>
          <t>NORRTÄLJE</t>
        </is>
      </c>
      <c r="G467" t="n">
        <v>3.5</v>
      </c>
      <c r="H467" t="n">
        <v>0</v>
      </c>
      <c r="I467" t="n">
        <v>0</v>
      </c>
      <c r="J467" t="n">
        <v>0</v>
      </c>
      <c r="K467" t="n">
        <v>0</v>
      </c>
      <c r="L467" t="n">
        <v>0</v>
      </c>
      <c r="M467" t="n">
        <v>0</v>
      </c>
      <c r="N467" t="n">
        <v>0</v>
      </c>
      <c r="O467" t="n">
        <v>0</v>
      </c>
      <c r="P467" t="n">
        <v>0</v>
      </c>
      <c r="Q467" t="n">
        <v>0</v>
      </c>
      <c r="R467" s="2" t="inlineStr"/>
    </row>
    <row r="468" ht="15" customHeight="1">
      <c r="A468" t="inlineStr">
        <is>
          <t>A 40294-2025</t>
        </is>
      </c>
      <c r="B468" s="1" t="n">
        <v>45895.38778935185</v>
      </c>
      <c r="C468" s="1" t="n">
        <v>46140</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41275-2025</t>
        </is>
      </c>
      <c r="B469" s="1" t="n">
        <v>45898.62625</v>
      </c>
      <c r="C469" s="1" t="n">
        <v>46140</v>
      </c>
      <c r="D469" t="inlineStr">
        <is>
          <t>STOCKHOLMS LÄN</t>
        </is>
      </c>
      <c r="E469" t="inlineStr">
        <is>
          <t>NORRTÄLJE</t>
        </is>
      </c>
      <c r="G469" t="n">
        <v>1</v>
      </c>
      <c r="H469" t="n">
        <v>0</v>
      </c>
      <c r="I469" t="n">
        <v>0</v>
      </c>
      <c r="J469" t="n">
        <v>0</v>
      </c>
      <c r="K469" t="n">
        <v>0</v>
      </c>
      <c r="L469" t="n">
        <v>0</v>
      </c>
      <c r="M469" t="n">
        <v>0</v>
      </c>
      <c r="N469" t="n">
        <v>0</v>
      </c>
      <c r="O469" t="n">
        <v>0</v>
      </c>
      <c r="P469" t="n">
        <v>0</v>
      </c>
      <c r="Q469" t="n">
        <v>0</v>
      </c>
      <c r="R469" s="2" t="inlineStr"/>
    </row>
    <row r="470" ht="15" customHeight="1">
      <c r="A470" t="inlineStr">
        <is>
          <t>A 40837-2025</t>
        </is>
      </c>
      <c r="B470" s="1" t="n">
        <v>45897.51328703704</v>
      </c>
      <c r="C470" s="1" t="n">
        <v>46140</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41030-2025</t>
        </is>
      </c>
      <c r="B471" s="1" t="n">
        <v>45898.37636574074</v>
      </c>
      <c r="C471" s="1" t="n">
        <v>46140</v>
      </c>
      <c r="D471" t="inlineStr">
        <is>
          <t>STOCKHOLMS LÄN</t>
        </is>
      </c>
      <c r="E471" t="inlineStr">
        <is>
          <t>NORRTÄLJE</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41158-2025</t>
        </is>
      </c>
      <c r="B472" s="1" t="n">
        <v>45898.5315625</v>
      </c>
      <c r="C472" s="1" t="n">
        <v>46140</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41301-2025</t>
        </is>
      </c>
      <c r="B473" s="1" t="n">
        <v>45898.68826388889</v>
      </c>
      <c r="C473" s="1" t="n">
        <v>46140</v>
      </c>
      <c r="D473" t="inlineStr">
        <is>
          <t>STOCKHOLMS LÄN</t>
        </is>
      </c>
      <c r="E473" t="inlineStr">
        <is>
          <t>NORRTÄLJE</t>
        </is>
      </c>
      <c r="G473" t="n">
        <v>1</v>
      </c>
      <c r="H473" t="n">
        <v>0</v>
      </c>
      <c r="I473" t="n">
        <v>0</v>
      </c>
      <c r="J473" t="n">
        <v>0</v>
      </c>
      <c r="K473" t="n">
        <v>0</v>
      </c>
      <c r="L473" t="n">
        <v>0</v>
      </c>
      <c r="M473" t="n">
        <v>0</v>
      </c>
      <c r="N473" t="n">
        <v>0</v>
      </c>
      <c r="O473" t="n">
        <v>0</v>
      </c>
      <c r="P473" t="n">
        <v>0</v>
      </c>
      <c r="Q473" t="n">
        <v>0</v>
      </c>
      <c r="R473" s="2" t="inlineStr"/>
    </row>
    <row r="474" ht="15" customHeight="1">
      <c r="A474" t="inlineStr">
        <is>
          <t>A 41106-2025</t>
        </is>
      </c>
      <c r="B474" s="1" t="n">
        <v>45898.45636574074</v>
      </c>
      <c r="C474" s="1" t="n">
        <v>46140</v>
      </c>
      <c r="D474" t="inlineStr">
        <is>
          <t>STOCKHOLMS LÄN</t>
        </is>
      </c>
      <c r="E474" t="inlineStr">
        <is>
          <t>NORRTÄLJE</t>
        </is>
      </c>
      <c r="G474" t="n">
        <v>2.6</v>
      </c>
      <c r="H474" t="n">
        <v>0</v>
      </c>
      <c r="I474" t="n">
        <v>0</v>
      </c>
      <c r="J474" t="n">
        <v>0</v>
      </c>
      <c r="K474" t="n">
        <v>0</v>
      </c>
      <c r="L474" t="n">
        <v>0</v>
      </c>
      <c r="M474" t="n">
        <v>0</v>
      </c>
      <c r="N474" t="n">
        <v>0</v>
      </c>
      <c r="O474" t="n">
        <v>0</v>
      </c>
      <c r="P474" t="n">
        <v>0</v>
      </c>
      <c r="Q474" t="n">
        <v>0</v>
      </c>
      <c r="R474" s="2" t="inlineStr"/>
    </row>
    <row r="475" ht="15" customHeight="1">
      <c r="A475" t="inlineStr">
        <is>
          <t>A 41174-2025</t>
        </is>
      </c>
      <c r="B475" s="1" t="n">
        <v>45898.54921296296</v>
      </c>
      <c r="C475" s="1" t="n">
        <v>46140</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41110-2025</t>
        </is>
      </c>
      <c r="B476" s="1" t="n">
        <v>45898.45976851852</v>
      </c>
      <c r="C476" s="1" t="n">
        <v>46140</v>
      </c>
      <c r="D476" t="inlineStr">
        <is>
          <t>STOCKHOLMS LÄN</t>
        </is>
      </c>
      <c r="E476" t="inlineStr">
        <is>
          <t>NORRTÄLJE</t>
        </is>
      </c>
      <c r="F476" t="inlineStr">
        <is>
          <t>Holmen skog AB</t>
        </is>
      </c>
      <c r="G476" t="n">
        <v>6.7</v>
      </c>
      <c r="H476" t="n">
        <v>0</v>
      </c>
      <c r="I476" t="n">
        <v>0</v>
      </c>
      <c r="J476" t="n">
        <v>0</v>
      </c>
      <c r="K476" t="n">
        <v>0</v>
      </c>
      <c r="L476" t="n">
        <v>0</v>
      </c>
      <c r="M476" t="n">
        <v>0</v>
      </c>
      <c r="N476" t="n">
        <v>0</v>
      </c>
      <c r="O476" t="n">
        <v>0</v>
      </c>
      <c r="P476" t="n">
        <v>0</v>
      </c>
      <c r="Q476" t="n">
        <v>0</v>
      </c>
      <c r="R476" s="2" t="inlineStr"/>
    </row>
    <row r="477" ht="15" customHeight="1">
      <c r="A477" t="inlineStr">
        <is>
          <t>A 41259-2025</t>
        </is>
      </c>
      <c r="B477" s="1" t="n">
        <v>45898.61054398148</v>
      </c>
      <c r="C477" s="1" t="n">
        <v>46140</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8296-2023</t>
        </is>
      </c>
      <c r="B478" s="1" t="n">
        <v>44974</v>
      </c>
      <c r="C478" s="1" t="n">
        <v>46140</v>
      </c>
      <c r="D478" t="inlineStr">
        <is>
          <t>STOCKHOLMS LÄN</t>
        </is>
      </c>
      <c r="E478" t="inlineStr">
        <is>
          <t>NORRTÄLJE</t>
        </is>
      </c>
      <c r="G478" t="n">
        <v>3.8</v>
      </c>
      <c r="H478" t="n">
        <v>0</v>
      </c>
      <c r="I478" t="n">
        <v>0</v>
      </c>
      <c r="J478" t="n">
        <v>0</v>
      </c>
      <c r="K478" t="n">
        <v>0</v>
      </c>
      <c r="L478" t="n">
        <v>0</v>
      </c>
      <c r="M478" t="n">
        <v>0</v>
      </c>
      <c r="N478" t="n">
        <v>0</v>
      </c>
      <c r="O478" t="n">
        <v>0</v>
      </c>
      <c r="P478" t="n">
        <v>0</v>
      </c>
      <c r="Q478" t="n">
        <v>0</v>
      </c>
      <c r="R478" s="2" t="inlineStr"/>
    </row>
    <row r="479" ht="15" customHeight="1">
      <c r="A479" t="inlineStr">
        <is>
          <t>A 41053-2025</t>
        </is>
      </c>
      <c r="B479" s="1" t="n">
        <v>45898.40480324074</v>
      </c>
      <c r="C479" s="1" t="n">
        <v>46140</v>
      </c>
      <c r="D479" t="inlineStr">
        <is>
          <t>STOCKHOLMS LÄN</t>
        </is>
      </c>
      <c r="E479" t="inlineStr">
        <is>
          <t>NORRTÄLJE</t>
        </is>
      </c>
      <c r="F479" t="inlineStr">
        <is>
          <t>Holmen skog AB</t>
        </is>
      </c>
      <c r="G479" t="n">
        <v>2.5</v>
      </c>
      <c r="H479" t="n">
        <v>0</v>
      </c>
      <c r="I479" t="n">
        <v>0</v>
      </c>
      <c r="J479" t="n">
        <v>0</v>
      </c>
      <c r="K479" t="n">
        <v>0</v>
      </c>
      <c r="L479" t="n">
        <v>0</v>
      </c>
      <c r="M479" t="n">
        <v>0</v>
      </c>
      <c r="N479" t="n">
        <v>0</v>
      </c>
      <c r="O479" t="n">
        <v>0</v>
      </c>
      <c r="P479" t="n">
        <v>0</v>
      </c>
      <c r="Q479" t="n">
        <v>0</v>
      </c>
      <c r="R479" s="2" t="inlineStr"/>
    </row>
    <row r="480" ht="15" customHeight="1">
      <c r="A480" t="inlineStr">
        <is>
          <t>A 40829-2025</t>
        </is>
      </c>
      <c r="B480" s="1" t="n">
        <v>45897.50802083333</v>
      </c>
      <c r="C480" s="1" t="n">
        <v>46140</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40831-2025</t>
        </is>
      </c>
      <c r="B481" s="1" t="n">
        <v>45897.51077546296</v>
      </c>
      <c r="C481" s="1" t="n">
        <v>46140</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41272-2025</t>
        </is>
      </c>
      <c r="B482" s="1" t="n">
        <v>45898.62373842593</v>
      </c>
      <c r="C482" s="1" t="n">
        <v>46140</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31236-2022</t>
        </is>
      </c>
      <c r="B483" s="1" t="n">
        <v>44771</v>
      </c>
      <c r="C483" s="1" t="n">
        <v>46140</v>
      </c>
      <c r="D483" t="inlineStr">
        <is>
          <t>STOCKHOLMS LÄN</t>
        </is>
      </c>
      <c r="E483" t="inlineStr">
        <is>
          <t>NORRTÄLJE</t>
        </is>
      </c>
      <c r="G483" t="n">
        <v>1.7</v>
      </c>
      <c r="H483" t="n">
        <v>0</v>
      </c>
      <c r="I483" t="n">
        <v>0</v>
      </c>
      <c r="J483" t="n">
        <v>0</v>
      </c>
      <c r="K483" t="n">
        <v>0</v>
      </c>
      <c r="L483" t="n">
        <v>0</v>
      </c>
      <c r="M483" t="n">
        <v>0</v>
      </c>
      <c r="N483" t="n">
        <v>0</v>
      </c>
      <c r="O483" t="n">
        <v>0</v>
      </c>
      <c r="P483" t="n">
        <v>0</v>
      </c>
      <c r="Q483" t="n">
        <v>0</v>
      </c>
      <c r="R483" s="2" t="inlineStr"/>
    </row>
    <row r="484" ht="15" customHeight="1">
      <c r="A484" t="inlineStr">
        <is>
          <t>A 41036-2025</t>
        </is>
      </c>
      <c r="B484" s="1" t="n">
        <v>45898.38552083333</v>
      </c>
      <c r="C484" s="1" t="n">
        <v>46140</v>
      </c>
      <c r="D484" t="inlineStr">
        <is>
          <t>STOCKHOLMS LÄN</t>
        </is>
      </c>
      <c r="E484" t="inlineStr">
        <is>
          <t>NORRTÄLJE</t>
        </is>
      </c>
      <c r="F484" t="inlineStr">
        <is>
          <t>Holmen skog AB</t>
        </is>
      </c>
      <c r="G484" t="n">
        <v>2.7</v>
      </c>
      <c r="H484" t="n">
        <v>0</v>
      </c>
      <c r="I484" t="n">
        <v>0</v>
      </c>
      <c r="J484" t="n">
        <v>0</v>
      </c>
      <c r="K484" t="n">
        <v>0</v>
      </c>
      <c r="L484" t="n">
        <v>0</v>
      </c>
      <c r="M484" t="n">
        <v>0</v>
      </c>
      <c r="N484" t="n">
        <v>0</v>
      </c>
      <c r="O484" t="n">
        <v>0</v>
      </c>
      <c r="P484" t="n">
        <v>0</v>
      </c>
      <c r="Q484" t="n">
        <v>0</v>
      </c>
      <c r="R484" s="2" t="inlineStr"/>
    </row>
    <row r="485" ht="15" customHeight="1">
      <c r="A485" t="inlineStr">
        <is>
          <t>A 19058-2024</t>
        </is>
      </c>
      <c r="B485" s="1" t="n">
        <v>45427.89121527778</v>
      </c>
      <c r="C485" s="1" t="n">
        <v>46140</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52593-2024</t>
        </is>
      </c>
      <c r="B486" s="1" t="n">
        <v>45609.70778935185</v>
      </c>
      <c r="C486" s="1" t="n">
        <v>46140</v>
      </c>
      <c r="D486" t="inlineStr">
        <is>
          <t>STOCKHOLMS LÄN</t>
        </is>
      </c>
      <c r="E486" t="inlineStr">
        <is>
          <t>NORRTÄLJE</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52617-2024</t>
        </is>
      </c>
      <c r="B487" s="1" t="n">
        <v>45609.85146990741</v>
      </c>
      <c r="C487" s="1" t="n">
        <v>46140</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27824-2022</t>
        </is>
      </c>
      <c r="B488" s="1" t="n">
        <v>44743.59331018518</v>
      </c>
      <c r="C488" s="1" t="n">
        <v>46140</v>
      </c>
      <c r="D488" t="inlineStr">
        <is>
          <t>STOCKHOLMS LÄN</t>
        </is>
      </c>
      <c r="E488" t="inlineStr">
        <is>
          <t>NORRTÄLJE</t>
        </is>
      </c>
      <c r="F488" t="inlineStr">
        <is>
          <t>Kommuner</t>
        </is>
      </c>
      <c r="G488" t="n">
        <v>3.1</v>
      </c>
      <c r="H488" t="n">
        <v>0</v>
      </c>
      <c r="I488" t="n">
        <v>0</v>
      </c>
      <c r="J488" t="n">
        <v>0</v>
      </c>
      <c r="K488" t="n">
        <v>0</v>
      </c>
      <c r="L488" t="n">
        <v>0</v>
      </c>
      <c r="M488" t="n">
        <v>0</v>
      </c>
      <c r="N488" t="n">
        <v>0</v>
      </c>
      <c r="O488" t="n">
        <v>0</v>
      </c>
      <c r="P488" t="n">
        <v>0</v>
      </c>
      <c r="Q488" t="n">
        <v>0</v>
      </c>
      <c r="R488" s="2" t="inlineStr"/>
    </row>
    <row r="489" ht="15" customHeight="1">
      <c r="A489" t="inlineStr">
        <is>
          <t>A 22816-2021</t>
        </is>
      </c>
      <c r="B489" s="1" t="n">
        <v>44325</v>
      </c>
      <c r="C489" s="1" t="n">
        <v>46140</v>
      </c>
      <c r="D489" t="inlineStr">
        <is>
          <t>STOCKHOLMS LÄN</t>
        </is>
      </c>
      <c r="E489" t="inlineStr">
        <is>
          <t>NORRTÄLJE</t>
        </is>
      </c>
      <c r="G489" t="n">
        <v>4.5</v>
      </c>
      <c r="H489" t="n">
        <v>0</v>
      </c>
      <c r="I489" t="n">
        <v>0</v>
      </c>
      <c r="J489" t="n">
        <v>0</v>
      </c>
      <c r="K489" t="n">
        <v>0</v>
      </c>
      <c r="L489" t="n">
        <v>0</v>
      </c>
      <c r="M489" t="n">
        <v>0</v>
      </c>
      <c r="N489" t="n">
        <v>0</v>
      </c>
      <c r="O489" t="n">
        <v>0</v>
      </c>
      <c r="P489" t="n">
        <v>0</v>
      </c>
      <c r="Q489" t="n">
        <v>0</v>
      </c>
      <c r="R489" s="2" t="inlineStr"/>
    </row>
    <row r="490" ht="15" customHeight="1">
      <c r="A490" t="inlineStr">
        <is>
          <t>A 19057-2024</t>
        </is>
      </c>
      <c r="B490" s="1" t="n">
        <v>45427.88731481481</v>
      </c>
      <c r="C490" s="1" t="n">
        <v>46140</v>
      </c>
      <c r="D490" t="inlineStr">
        <is>
          <t>STOCKHOLMS LÄN</t>
        </is>
      </c>
      <c r="E490" t="inlineStr">
        <is>
          <t>NORRTÄLJE</t>
        </is>
      </c>
      <c r="G490" t="n">
        <v>3</v>
      </c>
      <c r="H490" t="n">
        <v>0</v>
      </c>
      <c r="I490" t="n">
        <v>0</v>
      </c>
      <c r="J490" t="n">
        <v>0</v>
      </c>
      <c r="K490" t="n">
        <v>0</v>
      </c>
      <c r="L490" t="n">
        <v>0</v>
      </c>
      <c r="M490" t="n">
        <v>0</v>
      </c>
      <c r="N490" t="n">
        <v>0</v>
      </c>
      <c r="O490" t="n">
        <v>0</v>
      </c>
      <c r="P490" t="n">
        <v>0</v>
      </c>
      <c r="Q490" t="n">
        <v>0</v>
      </c>
      <c r="R490" s="2" t="inlineStr"/>
    </row>
    <row r="491" ht="15" customHeight="1">
      <c r="A491" t="inlineStr">
        <is>
          <t>A 47521-2024</t>
        </is>
      </c>
      <c r="B491" s="1" t="n">
        <v>45587.62565972222</v>
      </c>
      <c r="C491" s="1" t="n">
        <v>46140</v>
      </c>
      <c r="D491" t="inlineStr">
        <is>
          <t>STOCKHOLMS LÄN</t>
        </is>
      </c>
      <c r="E491" t="inlineStr">
        <is>
          <t>NORRTÄLJE</t>
        </is>
      </c>
      <c r="G491" t="n">
        <v>4.7</v>
      </c>
      <c r="H491" t="n">
        <v>0</v>
      </c>
      <c r="I491" t="n">
        <v>0</v>
      </c>
      <c r="J491" t="n">
        <v>0</v>
      </c>
      <c r="K491" t="n">
        <v>0</v>
      </c>
      <c r="L491" t="n">
        <v>0</v>
      </c>
      <c r="M491" t="n">
        <v>0</v>
      </c>
      <c r="N491" t="n">
        <v>0</v>
      </c>
      <c r="O491" t="n">
        <v>0</v>
      </c>
      <c r="P491" t="n">
        <v>0</v>
      </c>
      <c r="Q491" t="n">
        <v>0</v>
      </c>
      <c r="R491" s="2" t="inlineStr"/>
    </row>
    <row r="492" ht="15" customHeight="1">
      <c r="A492" t="inlineStr">
        <is>
          <t>A 15733-2025</t>
        </is>
      </c>
      <c r="B492" s="1" t="n">
        <v>45748</v>
      </c>
      <c r="C492" s="1" t="n">
        <v>46140</v>
      </c>
      <c r="D492" t="inlineStr">
        <is>
          <t>STOCKHOLMS LÄN</t>
        </is>
      </c>
      <c r="E492" t="inlineStr">
        <is>
          <t>NORRTÄLJE</t>
        </is>
      </c>
      <c r="G492" t="n">
        <v>13.3</v>
      </c>
      <c r="H492" t="n">
        <v>0</v>
      </c>
      <c r="I492" t="n">
        <v>0</v>
      </c>
      <c r="J492" t="n">
        <v>0</v>
      </c>
      <c r="K492" t="n">
        <v>0</v>
      </c>
      <c r="L492" t="n">
        <v>0</v>
      </c>
      <c r="M492" t="n">
        <v>0</v>
      </c>
      <c r="N492" t="n">
        <v>0</v>
      </c>
      <c r="O492" t="n">
        <v>0</v>
      </c>
      <c r="P492" t="n">
        <v>0</v>
      </c>
      <c r="Q492" t="n">
        <v>0</v>
      </c>
      <c r="R492" s="2" t="inlineStr"/>
    </row>
    <row r="493" ht="15" customHeight="1">
      <c r="A493" t="inlineStr">
        <is>
          <t>A 10511-2025</t>
        </is>
      </c>
      <c r="B493" s="1" t="n">
        <v>45721.40780092592</v>
      </c>
      <c r="C493" s="1" t="n">
        <v>46140</v>
      </c>
      <c r="D493" t="inlineStr">
        <is>
          <t>STOCKHOLMS LÄN</t>
        </is>
      </c>
      <c r="E493" t="inlineStr">
        <is>
          <t>NORRTÄLJE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50534-2024</t>
        </is>
      </c>
      <c r="B494" s="1" t="n">
        <v>45601.56726851852</v>
      </c>
      <c r="C494" s="1" t="n">
        <v>46140</v>
      </c>
      <c r="D494" t="inlineStr">
        <is>
          <t>STOCKHOLMS LÄN</t>
        </is>
      </c>
      <c r="E494" t="inlineStr">
        <is>
          <t>NORRTÄLJE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42038-2025</t>
        </is>
      </c>
      <c r="B495" s="1" t="n">
        <v>45903.61431712963</v>
      </c>
      <c r="C495" s="1" t="n">
        <v>46140</v>
      </c>
      <c r="D495" t="inlineStr">
        <is>
          <t>STOCKHOLMS LÄN</t>
        </is>
      </c>
      <c r="E495" t="inlineStr">
        <is>
          <t>NORRTÄLJE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42094-2023</t>
        </is>
      </c>
      <c r="B496" s="1" t="n">
        <v>45177.61498842593</v>
      </c>
      <c r="C496" s="1" t="n">
        <v>46140</v>
      </c>
      <c r="D496" t="inlineStr">
        <is>
          <t>STOCKHOLMS LÄN</t>
        </is>
      </c>
      <c r="E496" t="inlineStr">
        <is>
          <t>NORRTÄLJE</t>
        </is>
      </c>
      <c r="G496" t="n">
        <v>0.3</v>
      </c>
      <c r="H496" t="n">
        <v>0</v>
      </c>
      <c r="I496" t="n">
        <v>0</v>
      </c>
      <c r="J496" t="n">
        <v>0</v>
      </c>
      <c r="K496" t="n">
        <v>0</v>
      </c>
      <c r="L496" t="n">
        <v>0</v>
      </c>
      <c r="M496" t="n">
        <v>0</v>
      </c>
      <c r="N496" t="n">
        <v>0</v>
      </c>
      <c r="O496" t="n">
        <v>0</v>
      </c>
      <c r="P496" t="n">
        <v>0</v>
      </c>
      <c r="Q496" t="n">
        <v>0</v>
      </c>
      <c r="R496" s="2" t="inlineStr"/>
    </row>
    <row r="497" ht="15" customHeight="1">
      <c r="A497" t="inlineStr">
        <is>
          <t>A 58530-2024</t>
        </is>
      </c>
      <c r="B497" s="1" t="n">
        <v>45635.44788194444</v>
      </c>
      <c r="C497" s="1" t="n">
        <v>46140</v>
      </c>
      <c r="D497" t="inlineStr">
        <is>
          <t>STOCKHOLMS LÄN</t>
        </is>
      </c>
      <c r="E497" t="inlineStr">
        <is>
          <t>NORRTÄLJE</t>
        </is>
      </c>
      <c r="G497" t="n">
        <v>4.5</v>
      </c>
      <c r="H497" t="n">
        <v>0</v>
      </c>
      <c r="I497" t="n">
        <v>0</v>
      </c>
      <c r="J497" t="n">
        <v>0</v>
      </c>
      <c r="K497" t="n">
        <v>0</v>
      </c>
      <c r="L497" t="n">
        <v>0</v>
      </c>
      <c r="M497" t="n">
        <v>0</v>
      </c>
      <c r="N497" t="n">
        <v>0</v>
      </c>
      <c r="O497" t="n">
        <v>0</v>
      </c>
      <c r="P497" t="n">
        <v>0</v>
      </c>
      <c r="Q497" t="n">
        <v>0</v>
      </c>
      <c r="R497" s="2" t="inlineStr"/>
    </row>
    <row r="498" ht="15" customHeight="1">
      <c r="A498" t="inlineStr">
        <is>
          <t>A 30620-2022</t>
        </is>
      </c>
      <c r="B498" s="1" t="n">
        <v>44763.40914351852</v>
      </c>
      <c r="C498" s="1" t="n">
        <v>46140</v>
      </c>
      <c r="D498" t="inlineStr">
        <is>
          <t>STOCKHOLMS LÄN</t>
        </is>
      </c>
      <c r="E498" t="inlineStr">
        <is>
          <t>NORRTÄLJE</t>
        </is>
      </c>
      <c r="G498" t="n">
        <v>1.8</v>
      </c>
      <c r="H498" t="n">
        <v>0</v>
      </c>
      <c r="I498" t="n">
        <v>0</v>
      </c>
      <c r="J498" t="n">
        <v>0</v>
      </c>
      <c r="K498" t="n">
        <v>0</v>
      </c>
      <c r="L498" t="n">
        <v>0</v>
      </c>
      <c r="M498" t="n">
        <v>0</v>
      </c>
      <c r="N498" t="n">
        <v>0</v>
      </c>
      <c r="O498" t="n">
        <v>0</v>
      </c>
      <c r="P498" t="n">
        <v>0</v>
      </c>
      <c r="Q498" t="n">
        <v>0</v>
      </c>
      <c r="R498" s="2" t="inlineStr"/>
    </row>
    <row r="499" ht="15" customHeight="1">
      <c r="A499" t="inlineStr">
        <is>
          <t>A 41964-2025</t>
        </is>
      </c>
      <c r="B499" s="1" t="n">
        <v>45903.47270833333</v>
      </c>
      <c r="C499" s="1" t="n">
        <v>46140</v>
      </c>
      <c r="D499" t="inlineStr">
        <is>
          <t>STOCKHOLMS LÄN</t>
        </is>
      </c>
      <c r="E499" t="inlineStr">
        <is>
          <t>NORRTÄLJE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41966-2025</t>
        </is>
      </c>
      <c r="B500" s="1" t="n">
        <v>45903.47456018518</v>
      </c>
      <c r="C500" s="1" t="n">
        <v>46140</v>
      </c>
      <c r="D500" t="inlineStr">
        <is>
          <t>STOCKHOLMS LÄN</t>
        </is>
      </c>
      <c r="E500" t="inlineStr">
        <is>
          <t>NORRTÄLJE</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57602-2024</t>
        </is>
      </c>
      <c r="B501" s="1" t="n">
        <v>45630.52866898148</v>
      </c>
      <c r="C501" s="1" t="n">
        <v>46140</v>
      </c>
      <c r="D501" t="inlineStr">
        <is>
          <t>STOCKHOLMS LÄN</t>
        </is>
      </c>
      <c r="E501" t="inlineStr">
        <is>
          <t>NORRTÄLJE</t>
        </is>
      </c>
      <c r="G501" t="n">
        <v>1.8</v>
      </c>
      <c r="H501" t="n">
        <v>0</v>
      </c>
      <c r="I501" t="n">
        <v>0</v>
      </c>
      <c r="J501" t="n">
        <v>0</v>
      </c>
      <c r="K501" t="n">
        <v>0</v>
      </c>
      <c r="L501" t="n">
        <v>0</v>
      </c>
      <c r="M501" t="n">
        <v>0</v>
      </c>
      <c r="N501" t="n">
        <v>0</v>
      </c>
      <c r="O501" t="n">
        <v>0</v>
      </c>
      <c r="P501" t="n">
        <v>0</v>
      </c>
      <c r="Q501" t="n">
        <v>0</v>
      </c>
      <c r="R501" s="2" t="inlineStr"/>
    </row>
    <row r="502" ht="15" customHeight="1">
      <c r="A502" t="inlineStr">
        <is>
          <t>A 11854-2025</t>
        </is>
      </c>
      <c r="B502" s="1" t="n">
        <v>45728.38924768518</v>
      </c>
      <c r="C502" s="1" t="n">
        <v>46140</v>
      </c>
      <c r="D502" t="inlineStr">
        <is>
          <t>STOCKHOLMS LÄN</t>
        </is>
      </c>
      <c r="E502" t="inlineStr">
        <is>
          <t>NORRTÄLJE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1283-2025</t>
        </is>
      </c>
      <c r="B503" s="1" t="n">
        <v>45667.49878472222</v>
      </c>
      <c r="C503" s="1" t="n">
        <v>46140</v>
      </c>
      <c r="D503" t="inlineStr">
        <is>
          <t>STOCKHOLMS LÄN</t>
        </is>
      </c>
      <c r="E503" t="inlineStr">
        <is>
          <t>NORRTÄLJE</t>
        </is>
      </c>
      <c r="G503" t="n">
        <v>1</v>
      </c>
      <c r="H503" t="n">
        <v>0</v>
      </c>
      <c r="I503" t="n">
        <v>0</v>
      </c>
      <c r="J503" t="n">
        <v>0</v>
      </c>
      <c r="K503" t="n">
        <v>0</v>
      </c>
      <c r="L503" t="n">
        <v>0</v>
      </c>
      <c r="M503" t="n">
        <v>0</v>
      </c>
      <c r="N503" t="n">
        <v>0</v>
      </c>
      <c r="O503" t="n">
        <v>0</v>
      </c>
      <c r="P503" t="n">
        <v>0</v>
      </c>
      <c r="Q503" t="n">
        <v>0</v>
      </c>
      <c r="R503" s="2" t="inlineStr"/>
    </row>
    <row r="504" ht="15" customHeight="1">
      <c r="A504" t="inlineStr">
        <is>
          <t>A 30699-2025</t>
        </is>
      </c>
      <c r="B504" s="1" t="n">
        <v>45831.54618055555</v>
      </c>
      <c r="C504" s="1" t="n">
        <v>46140</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60217-2021</t>
        </is>
      </c>
      <c r="B505" s="1" t="n">
        <v>44495.5893287037</v>
      </c>
      <c r="C505" s="1" t="n">
        <v>46140</v>
      </c>
      <c r="D505" t="inlineStr">
        <is>
          <t>STOCKHOLMS LÄN</t>
        </is>
      </c>
      <c r="E505" t="inlineStr">
        <is>
          <t>NORRTÄLJE</t>
        </is>
      </c>
      <c r="G505" t="n">
        <v>4.3</v>
      </c>
      <c r="H505" t="n">
        <v>0</v>
      </c>
      <c r="I505" t="n">
        <v>0</v>
      </c>
      <c r="J505" t="n">
        <v>0</v>
      </c>
      <c r="K505" t="n">
        <v>0</v>
      </c>
      <c r="L505" t="n">
        <v>0</v>
      </c>
      <c r="M505" t="n">
        <v>0</v>
      </c>
      <c r="N505" t="n">
        <v>0</v>
      </c>
      <c r="O505" t="n">
        <v>0</v>
      </c>
      <c r="P505" t="n">
        <v>0</v>
      </c>
      <c r="Q505" t="n">
        <v>0</v>
      </c>
      <c r="R505" s="2" t="inlineStr"/>
    </row>
    <row r="506" ht="15" customHeight="1">
      <c r="A506" t="inlineStr">
        <is>
          <t>A 28900-2022</t>
        </is>
      </c>
      <c r="B506" s="1" t="n">
        <v>44749.55258101852</v>
      </c>
      <c r="C506" s="1" t="n">
        <v>46140</v>
      </c>
      <c r="D506" t="inlineStr">
        <is>
          <t>STOCKHOLMS LÄN</t>
        </is>
      </c>
      <c r="E506" t="inlineStr">
        <is>
          <t>NORRTÄLJE</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32514-2022</t>
        </is>
      </c>
      <c r="B507" s="1" t="n">
        <v>44782</v>
      </c>
      <c r="C507" s="1" t="n">
        <v>46140</v>
      </c>
      <c r="D507" t="inlineStr">
        <is>
          <t>STOCKHOLMS LÄN</t>
        </is>
      </c>
      <c r="E507" t="inlineStr">
        <is>
          <t>NORRTÄLJE</t>
        </is>
      </c>
      <c r="G507" t="n">
        <v>5.1</v>
      </c>
      <c r="H507" t="n">
        <v>0</v>
      </c>
      <c r="I507" t="n">
        <v>0</v>
      </c>
      <c r="J507" t="n">
        <v>0</v>
      </c>
      <c r="K507" t="n">
        <v>0</v>
      </c>
      <c r="L507" t="n">
        <v>0</v>
      </c>
      <c r="M507" t="n">
        <v>0</v>
      </c>
      <c r="N507" t="n">
        <v>0</v>
      </c>
      <c r="O507" t="n">
        <v>0</v>
      </c>
      <c r="P507" t="n">
        <v>0</v>
      </c>
      <c r="Q507" t="n">
        <v>0</v>
      </c>
      <c r="R507" s="2" t="inlineStr"/>
    </row>
    <row r="508" ht="15" customHeight="1">
      <c r="A508" t="inlineStr">
        <is>
          <t>A 42856-2025</t>
        </is>
      </c>
      <c r="B508" s="1" t="n">
        <v>45908</v>
      </c>
      <c r="C508" s="1" t="n">
        <v>46140</v>
      </c>
      <c r="D508" t="inlineStr">
        <is>
          <t>STOCKHOLMS LÄN</t>
        </is>
      </c>
      <c r="E508" t="inlineStr">
        <is>
          <t>NORRTÄLJE</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20011-2025</t>
        </is>
      </c>
      <c r="B509" s="1" t="n">
        <v>45772.29622685185</v>
      </c>
      <c r="C509" s="1" t="n">
        <v>46140</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23125-2022</t>
        </is>
      </c>
      <c r="B510" s="1" t="n">
        <v>44719</v>
      </c>
      <c r="C510" s="1" t="n">
        <v>46140</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9329-2023</t>
        </is>
      </c>
      <c r="B511" s="1" t="n">
        <v>44980</v>
      </c>
      <c r="C511" s="1" t="n">
        <v>46140</v>
      </c>
      <c r="D511" t="inlineStr">
        <is>
          <t>STOCKHOLMS LÄN</t>
        </is>
      </c>
      <c r="E511" t="inlineStr">
        <is>
          <t>NORRTÄLJE</t>
        </is>
      </c>
      <c r="G511" t="n">
        <v>1.3</v>
      </c>
      <c r="H511" t="n">
        <v>0</v>
      </c>
      <c r="I511" t="n">
        <v>0</v>
      </c>
      <c r="J511" t="n">
        <v>0</v>
      </c>
      <c r="K511" t="n">
        <v>0</v>
      </c>
      <c r="L511" t="n">
        <v>0</v>
      </c>
      <c r="M511" t="n">
        <v>0</v>
      </c>
      <c r="N511" t="n">
        <v>0</v>
      </c>
      <c r="O511" t="n">
        <v>0</v>
      </c>
      <c r="P511" t="n">
        <v>0</v>
      </c>
      <c r="Q511" t="n">
        <v>0</v>
      </c>
      <c r="R511" s="2" t="inlineStr"/>
    </row>
    <row r="512" ht="15" customHeight="1">
      <c r="A512" t="inlineStr">
        <is>
          <t>A 6855-2025</t>
        </is>
      </c>
      <c r="B512" s="1" t="n">
        <v>45700</v>
      </c>
      <c r="C512" s="1" t="n">
        <v>46140</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24835-2025</t>
        </is>
      </c>
      <c r="B513" s="1" t="n">
        <v>45799</v>
      </c>
      <c r="C513" s="1" t="n">
        <v>46140</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14873-2025</t>
        </is>
      </c>
      <c r="B514" s="1" t="n">
        <v>45743.44953703704</v>
      </c>
      <c r="C514" s="1" t="n">
        <v>46140</v>
      </c>
      <c r="D514" t="inlineStr">
        <is>
          <t>STOCKHOLMS LÄN</t>
        </is>
      </c>
      <c r="E514" t="inlineStr">
        <is>
          <t>NORRTÄLJE</t>
        </is>
      </c>
      <c r="G514" t="n">
        <v>10.2</v>
      </c>
      <c r="H514" t="n">
        <v>0</v>
      </c>
      <c r="I514" t="n">
        <v>0</v>
      </c>
      <c r="J514" t="n">
        <v>0</v>
      </c>
      <c r="K514" t="n">
        <v>0</v>
      </c>
      <c r="L514" t="n">
        <v>0</v>
      </c>
      <c r="M514" t="n">
        <v>0</v>
      </c>
      <c r="N514" t="n">
        <v>0</v>
      </c>
      <c r="O514" t="n">
        <v>0</v>
      </c>
      <c r="P514" t="n">
        <v>0</v>
      </c>
      <c r="Q514" t="n">
        <v>0</v>
      </c>
      <c r="R514" s="2" t="inlineStr"/>
    </row>
    <row r="515" ht="15" customHeight="1">
      <c r="A515" t="inlineStr">
        <is>
          <t>A 43169-2025</t>
        </is>
      </c>
      <c r="B515" s="1" t="n">
        <v>45910</v>
      </c>
      <c r="C515" s="1" t="n">
        <v>46140</v>
      </c>
      <c r="D515" t="inlineStr">
        <is>
          <t>STOCKHOLMS LÄN</t>
        </is>
      </c>
      <c r="E515" t="inlineStr">
        <is>
          <t>NORRTÄLJE</t>
        </is>
      </c>
      <c r="G515" t="n">
        <v>6.9</v>
      </c>
      <c r="H515" t="n">
        <v>0</v>
      </c>
      <c r="I515" t="n">
        <v>0</v>
      </c>
      <c r="J515" t="n">
        <v>0</v>
      </c>
      <c r="K515" t="n">
        <v>0</v>
      </c>
      <c r="L515" t="n">
        <v>0</v>
      </c>
      <c r="M515" t="n">
        <v>0</v>
      </c>
      <c r="N515" t="n">
        <v>0</v>
      </c>
      <c r="O515" t="n">
        <v>0</v>
      </c>
      <c r="P515" t="n">
        <v>0</v>
      </c>
      <c r="Q515" t="n">
        <v>0</v>
      </c>
      <c r="R515" s="2" t="inlineStr"/>
    </row>
    <row r="516" ht="15" customHeight="1">
      <c r="A516" t="inlineStr">
        <is>
          <t>A 43269-2025</t>
        </is>
      </c>
      <c r="B516" s="1" t="n">
        <v>45910.5819212963</v>
      </c>
      <c r="C516" s="1" t="n">
        <v>46140</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8135-2025</t>
        </is>
      </c>
      <c r="B517" s="1" t="n">
        <v>45707.84997685185</v>
      </c>
      <c r="C517" s="1" t="n">
        <v>46140</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31936-2022</t>
        </is>
      </c>
      <c r="B518" s="1" t="n">
        <v>44777</v>
      </c>
      <c r="C518" s="1" t="n">
        <v>46140</v>
      </c>
      <c r="D518" t="inlineStr">
        <is>
          <t>STOCKHOLMS LÄN</t>
        </is>
      </c>
      <c r="E518" t="inlineStr">
        <is>
          <t>NORRTÄLJE</t>
        </is>
      </c>
      <c r="G518" t="n">
        <v>5.2</v>
      </c>
      <c r="H518" t="n">
        <v>0</v>
      </c>
      <c r="I518" t="n">
        <v>0</v>
      </c>
      <c r="J518" t="n">
        <v>0</v>
      </c>
      <c r="K518" t="n">
        <v>0</v>
      </c>
      <c r="L518" t="n">
        <v>0</v>
      </c>
      <c r="M518" t="n">
        <v>0</v>
      </c>
      <c r="N518" t="n">
        <v>0</v>
      </c>
      <c r="O518" t="n">
        <v>0</v>
      </c>
      <c r="P518" t="n">
        <v>0</v>
      </c>
      <c r="Q518" t="n">
        <v>0</v>
      </c>
      <c r="R518" s="2" t="inlineStr"/>
    </row>
    <row r="519" ht="15" customHeight="1">
      <c r="A519" t="inlineStr">
        <is>
          <t>A 24887-2023</t>
        </is>
      </c>
      <c r="B519" s="1" t="n">
        <v>45085</v>
      </c>
      <c r="C519" s="1" t="n">
        <v>46140</v>
      </c>
      <c r="D519" t="inlineStr">
        <is>
          <t>STOCKHOLMS LÄN</t>
        </is>
      </c>
      <c r="E519" t="inlineStr">
        <is>
          <t>NORRTÄLJE</t>
        </is>
      </c>
      <c r="G519" t="n">
        <v>13.9</v>
      </c>
      <c r="H519" t="n">
        <v>0</v>
      </c>
      <c r="I519" t="n">
        <v>0</v>
      </c>
      <c r="J519" t="n">
        <v>0</v>
      </c>
      <c r="K519" t="n">
        <v>0</v>
      </c>
      <c r="L519" t="n">
        <v>0</v>
      </c>
      <c r="M519" t="n">
        <v>0</v>
      </c>
      <c r="N519" t="n">
        <v>0</v>
      </c>
      <c r="O519" t="n">
        <v>0</v>
      </c>
      <c r="P519" t="n">
        <v>0</v>
      </c>
      <c r="Q519" t="n">
        <v>0</v>
      </c>
      <c r="R519" s="2" t="inlineStr"/>
    </row>
    <row r="520" ht="15" customHeight="1">
      <c r="A520" t="inlineStr">
        <is>
          <t>A 56428-2023</t>
        </is>
      </c>
      <c r="B520" s="1" t="n">
        <v>45243.45289351852</v>
      </c>
      <c r="C520" s="1" t="n">
        <v>46140</v>
      </c>
      <c r="D520" t="inlineStr">
        <is>
          <t>STOCKHOLMS LÄN</t>
        </is>
      </c>
      <c r="E520" t="inlineStr">
        <is>
          <t>NORRTÄLJE</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30338-2022</t>
        </is>
      </c>
      <c r="B521" s="1" t="n">
        <v>44760</v>
      </c>
      <c r="C521" s="1" t="n">
        <v>46140</v>
      </c>
      <c r="D521" t="inlineStr">
        <is>
          <t>STOCKHOLMS LÄN</t>
        </is>
      </c>
      <c r="E521" t="inlineStr">
        <is>
          <t>NORRTÄLJE</t>
        </is>
      </c>
      <c r="G521" t="n">
        <v>0.3</v>
      </c>
      <c r="H521" t="n">
        <v>0</v>
      </c>
      <c r="I521" t="n">
        <v>0</v>
      </c>
      <c r="J521" t="n">
        <v>0</v>
      </c>
      <c r="K521" t="n">
        <v>0</v>
      </c>
      <c r="L521" t="n">
        <v>0</v>
      </c>
      <c r="M521" t="n">
        <v>0</v>
      </c>
      <c r="N521" t="n">
        <v>0</v>
      </c>
      <c r="O521" t="n">
        <v>0</v>
      </c>
      <c r="P521" t="n">
        <v>0</v>
      </c>
      <c r="Q521" t="n">
        <v>0</v>
      </c>
      <c r="R521" s="2" t="inlineStr"/>
    </row>
    <row r="522" ht="15" customHeight="1">
      <c r="A522" t="inlineStr">
        <is>
          <t>A 30719-2025</t>
        </is>
      </c>
      <c r="B522" s="1" t="n">
        <v>45831</v>
      </c>
      <c r="C522" s="1" t="n">
        <v>46140</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18541-2023</t>
        </is>
      </c>
      <c r="B523" s="1" t="n">
        <v>45042.74291666667</v>
      </c>
      <c r="C523" s="1" t="n">
        <v>46140</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32857-2021</t>
        </is>
      </c>
      <c r="B524" s="1" t="n">
        <v>44375</v>
      </c>
      <c r="C524" s="1" t="n">
        <v>46140</v>
      </c>
      <c r="D524" t="inlineStr">
        <is>
          <t>STOCKHOLMS LÄN</t>
        </is>
      </c>
      <c r="E524" t="inlineStr">
        <is>
          <t>NORRTÄLJE</t>
        </is>
      </c>
      <c r="G524" t="n">
        <v>2.9</v>
      </c>
      <c r="H524" t="n">
        <v>0</v>
      </c>
      <c r="I524" t="n">
        <v>0</v>
      </c>
      <c r="J524" t="n">
        <v>0</v>
      </c>
      <c r="K524" t="n">
        <v>0</v>
      </c>
      <c r="L524" t="n">
        <v>0</v>
      </c>
      <c r="M524" t="n">
        <v>0</v>
      </c>
      <c r="N524" t="n">
        <v>0</v>
      </c>
      <c r="O524" t="n">
        <v>0</v>
      </c>
      <c r="P524" t="n">
        <v>0</v>
      </c>
      <c r="Q524" t="n">
        <v>0</v>
      </c>
      <c r="R524" s="2" t="inlineStr"/>
    </row>
    <row r="525" ht="15" customHeight="1">
      <c r="A525" t="inlineStr">
        <is>
          <t>A 51325-2023</t>
        </is>
      </c>
      <c r="B525" s="1" t="n">
        <v>45219</v>
      </c>
      <c r="C525" s="1" t="n">
        <v>46140</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21729-2024</t>
        </is>
      </c>
      <c r="B526" s="1" t="n">
        <v>45442</v>
      </c>
      <c r="C526" s="1" t="n">
        <v>46140</v>
      </c>
      <c r="D526" t="inlineStr">
        <is>
          <t>STOCKHOLMS LÄN</t>
        </is>
      </c>
      <c r="E526" t="inlineStr">
        <is>
          <t>NORRTÄLJE</t>
        </is>
      </c>
      <c r="G526" t="n">
        <v>2.2</v>
      </c>
      <c r="H526" t="n">
        <v>0</v>
      </c>
      <c r="I526" t="n">
        <v>0</v>
      </c>
      <c r="J526" t="n">
        <v>0</v>
      </c>
      <c r="K526" t="n">
        <v>0</v>
      </c>
      <c r="L526" t="n">
        <v>0</v>
      </c>
      <c r="M526" t="n">
        <v>0</v>
      </c>
      <c r="N526" t="n">
        <v>0</v>
      </c>
      <c r="O526" t="n">
        <v>0</v>
      </c>
      <c r="P526" t="n">
        <v>0</v>
      </c>
      <c r="Q526" t="n">
        <v>0</v>
      </c>
      <c r="R526" s="2" t="inlineStr"/>
    </row>
    <row r="527" ht="15" customHeight="1">
      <c r="A527" t="inlineStr">
        <is>
          <t>A 44343-2025</t>
        </is>
      </c>
      <c r="B527" s="1" t="n">
        <v>45916.43378472222</v>
      </c>
      <c r="C527" s="1" t="n">
        <v>46140</v>
      </c>
      <c r="D527" t="inlineStr">
        <is>
          <t>STOCKHOLMS LÄN</t>
        </is>
      </c>
      <c r="E527" t="inlineStr">
        <is>
          <t>NORRTÄLJE</t>
        </is>
      </c>
      <c r="G527" t="n">
        <v>1.6</v>
      </c>
      <c r="H527" t="n">
        <v>0</v>
      </c>
      <c r="I527" t="n">
        <v>0</v>
      </c>
      <c r="J527" t="n">
        <v>0</v>
      </c>
      <c r="K527" t="n">
        <v>0</v>
      </c>
      <c r="L527" t="n">
        <v>0</v>
      </c>
      <c r="M527" t="n">
        <v>0</v>
      </c>
      <c r="N527" t="n">
        <v>0</v>
      </c>
      <c r="O527" t="n">
        <v>0</v>
      </c>
      <c r="P527" t="n">
        <v>0</v>
      </c>
      <c r="Q527" t="n">
        <v>0</v>
      </c>
      <c r="R527" s="2" t="inlineStr"/>
    </row>
    <row r="528" ht="15" customHeight="1">
      <c r="A528" t="inlineStr">
        <is>
          <t>A 21894-2023</t>
        </is>
      </c>
      <c r="B528" s="1" t="n">
        <v>45068.51783564815</v>
      </c>
      <c r="C528" s="1" t="n">
        <v>46140</v>
      </c>
      <c r="D528" t="inlineStr">
        <is>
          <t>STOCKHOLMS LÄN</t>
        </is>
      </c>
      <c r="E528" t="inlineStr">
        <is>
          <t>NORRTÄLJE</t>
        </is>
      </c>
      <c r="G528" t="n">
        <v>2.5</v>
      </c>
      <c r="H528" t="n">
        <v>0</v>
      </c>
      <c r="I528" t="n">
        <v>0</v>
      </c>
      <c r="J528" t="n">
        <v>0</v>
      </c>
      <c r="K528" t="n">
        <v>0</v>
      </c>
      <c r="L528" t="n">
        <v>0</v>
      </c>
      <c r="M528" t="n">
        <v>0</v>
      </c>
      <c r="N528" t="n">
        <v>0</v>
      </c>
      <c r="O528" t="n">
        <v>0</v>
      </c>
      <c r="P528" t="n">
        <v>0</v>
      </c>
      <c r="Q528" t="n">
        <v>0</v>
      </c>
      <c r="R528" s="2" t="inlineStr"/>
    </row>
    <row r="529" ht="15" customHeight="1">
      <c r="A529" t="inlineStr">
        <is>
          <t>A 43916-2025</t>
        </is>
      </c>
      <c r="B529" s="1" t="n">
        <v>45914.78884259259</v>
      </c>
      <c r="C529" s="1" t="n">
        <v>46140</v>
      </c>
      <c r="D529" t="inlineStr">
        <is>
          <t>STOCKHOLMS LÄN</t>
        </is>
      </c>
      <c r="E529" t="inlineStr">
        <is>
          <t>NORRTÄLJE</t>
        </is>
      </c>
      <c r="G529" t="n">
        <v>1.5</v>
      </c>
      <c r="H529" t="n">
        <v>0</v>
      </c>
      <c r="I529" t="n">
        <v>0</v>
      </c>
      <c r="J529" t="n">
        <v>0</v>
      </c>
      <c r="K529" t="n">
        <v>0</v>
      </c>
      <c r="L529" t="n">
        <v>0</v>
      </c>
      <c r="M529" t="n">
        <v>0</v>
      </c>
      <c r="N529" t="n">
        <v>0</v>
      </c>
      <c r="O529" t="n">
        <v>0</v>
      </c>
      <c r="P529" t="n">
        <v>0</v>
      </c>
      <c r="Q529" t="n">
        <v>0</v>
      </c>
      <c r="R529" s="2" t="inlineStr"/>
    </row>
    <row r="530" ht="15" customHeight="1">
      <c r="A530" t="inlineStr">
        <is>
          <t>A 44311-2025</t>
        </is>
      </c>
      <c r="B530" s="1" t="n">
        <v>45916.38394675926</v>
      </c>
      <c r="C530" s="1" t="n">
        <v>46140</v>
      </c>
      <c r="D530" t="inlineStr">
        <is>
          <t>STOCKHOLMS LÄN</t>
        </is>
      </c>
      <c r="E530" t="inlineStr">
        <is>
          <t>NORRTÄLJE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44349-2025</t>
        </is>
      </c>
      <c r="B531" s="1" t="n">
        <v>45916.43929398148</v>
      </c>
      <c r="C531" s="1" t="n">
        <v>46140</v>
      </c>
      <c r="D531" t="inlineStr">
        <is>
          <t>STOCKHOLMS LÄN</t>
        </is>
      </c>
      <c r="E531" t="inlineStr">
        <is>
          <t>NORRTÄLJE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44354-2025</t>
        </is>
      </c>
      <c r="B532" s="1" t="n">
        <v>45916.44655092592</v>
      </c>
      <c r="C532" s="1" t="n">
        <v>46140</v>
      </c>
      <c r="D532" t="inlineStr">
        <is>
          <t>STOCKHOLMS LÄN</t>
        </is>
      </c>
      <c r="E532" t="inlineStr">
        <is>
          <t>NORRTÄLJE</t>
        </is>
      </c>
      <c r="G532" t="n">
        <v>2.3</v>
      </c>
      <c r="H532" t="n">
        <v>0</v>
      </c>
      <c r="I532" t="n">
        <v>0</v>
      </c>
      <c r="J532" t="n">
        <v>0</v>
      </c>
      <c r="K532" t="n">
        <v>0</v>
      </c>
      <c r="L532" t="n">
        <v>0</v>
      </c>
      <c r="M532" t="n">
        <v>0</v>
      </c>
      <c r="N532" t="n">
        <v>0</v>
      </c>
      <c r="O532" t="n">
        <v>0</v>
      </c>
      <c r="P532" t="n">
        <v>0</v>
      </c>
      <c r="Q532" t="n">
        <v>0</v>
      </c>
      <c r="R532" s="2" t="inlineStr"/>
    </row>
    <row r="533" ht="15" customHeight="1">
      <c r="A533" t="inlineStr">
        <is>
          <t>A 21732-2023</t>
        </is>
      </c>
      <c r="B533" s="1" t="n">
        <v>45063</v>
      </c>
      <c r="C533" s="1" t="n">
        <v>46140</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44333-2025</t>
        </is>
      </c>
      <c r="B534" s="1" t="n">
        <v>45916.42293981482</v>
      </c>
      <c r="C534" s="1" t="n">
        <v>46140</v>
      </c>
      <c r="D534" t="inlineStr">
        <is>
          <t>STOCKHOLMS LÄN</t>
        </is>
      </c>
      <c r="E534" t="inlineStr">
        <is>
          <t>NORRTÄLJE</t>
        </is>
      </c>
      <c r="G534" t="n">
        <v>1.5</v>
      </c>
      <c r="H534" t="n">
        <v>0</v>
      </c>
      <c r="I534" t="n">
        <v>0</v>
      </c>
      <c r="J534" t="n">
        <v>0</v>
      </c>
      <c r="K534" t="n">
        <v>0</v>
      </c>
      <c r="L534" t="n">
        <v>0</v>
      </c>
      <c r="M534" t="n">
        <v>0</v>
      </c>
      <c r="N534" t="n">
        <v>0</v>
      </c>
      <c r="O534" t="n">
        <v>0</v>
      </c>
      <c r="P534" t="n">
        <v>0</v>
      </c>
      <c r="Q534" t="n">
        <v>0</v>
      </c>
      <c r="R534" s="2" t="inlineStr"/>
    </row>
    <row r="535" ht="15" customHeight="1">
      <c r="A535" t="inlineStr">
        <is>
          <t>A 44306-2025</t>
        </is>
      </c>
      <c r="B535" s="1" t="n">
        <v>45916.37736111111</v>
      </c>
      <c r="C535" s="1" t="n">
        <v>46140</v>
      </c>
      <c r="D535" t="inlineStr">
        <is>
          <t>STOCKHOLMS LÄN</t>
        </is>
      </c>
      <c r="E535" t="inlineStr">
        <is>
          <t>NORRTÄLJE</t>
        </is>
      </c>
      <c r="G535" t="n">
        <v>2.8</v>
      </c>
      <c r="H535" t="n">
        <v>0</v>
      </c>
      <c r="I535" t="n">
        <v>0</v>
      </c>
      <c r="J535" t="n">
        <v>0</v>
      </c>
      <c r="K535" t="n">
        <v>0</v>
      </c>
      <c r="L535" t="n">
        <v>0</v>
      </c>
      <c r="M535" t="n">
        <v>0</v>
      </c>
      <c r="N535" t="n">
        <v>0</v>
      </c>
      <c r="O535" t="n">
        <v>0</v>
      </c>
      <c r="P535" t="n">
        <v>0</v>
      </c>
      <c r="Q535" t="n">
        <v>0</v>
      </c>
      <c r="R535" s="2" t="inlineStr"/>
    </row>
    <row r="536" ht="15" customHeight="1">
      <c r="A536" t="inlineStr">
        <is>
          <t>A 7806-2025</t>
        </is>
      </c>
      <c r="B536" s="1" t="n">
        <v>45706.61178240741</v>
      </c>
      <c r="C536" s="1" t="n">
        <v>46140</v>
      </c>
      <c r="D536" t="inlineStr">
        <is>
          <t>STOCKHOLMS LÄN</t>
        </is>
      </c>
      <c r="E536" t="inlineStr">
        <is>
          <t>NORRTÄLJE</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37444-2021</t>
        </is>
      </c>
      <c r="B537" s="1" t="n">
        <v>44398</v>
      </c>
      <c r="C537" s="1" t="n">
        <v>46140</v>
      </c>
      <c r="D537" t="inlineStr">
        <is>
          <t>STOCKHOLMS LÄN</t>
        </is>
      </c>
      <c r="E537" t="inlineStr">
        <is>
          <t>NORRTÄLJE</t>
        </is>
      </c>
      <c r="F537" t="inlineStr">
        <is>
          <t>Holmen skog AB</t>
        </is>
      </c>
      <c r="G537" t="n">
        <v>3.2</v>
      </c>
      <c r="H537" t="n">
        <v>0</v>
      </c>
      <c r="I537" t="n">
        <v>0</v>
      </c>
      <c r="J537" t="n">
        <v>0</v>
      </c>
      <c r="K537" t="n">
        <v>0</v>
      </c>
      <c r="L537" t="n">
        <v>0</v>
      </c>
      <c r="M537" t="n">
        <v>0</v>
      </c>
      <c r="N537" t="n">
        <v>0</v>
      </c>
      <c r="O537" t="n">
        <v>0</v>
      </c>
      <c r="P537" t="n">
        <v>0</v>
      </c>
      <c r="Q537" t="n">
        <v>0</v>
      </c>
      <c r="R537" s="2" t="inlineStr"/>
    </row>
    <row r="538" ht="15" customHeight="1">
      <c r="A538" t="inlineStr">
        <is>
          <t>A 44937-2025</t>
        </is>
      </c>
      <c r="B538" s="1" t="n">
        <v>45918</v>
      </c>
      <c r="C538" s="1" t="n">
        <v>46140</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45173-2023</t>
        </is>
      </c>
      <c r="B539" s="1" t="n">
        <v>45191</v>
      </c>
      <c r="C539" s="1" t="n">
        <v>46140</v>
      </c>
      <c r="D539" t="inlineStr">
        <is>
          <t>STOCKHOLMS LÄN</t>
        </is>
      </c>
      <c r="E539" t="inlineStr">
        <is>
          <t>NORRTÄLJE</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22359-2025</t>
        </is>
      </c>
      <c r="B540" s="1" t="n">
        <v>45786</v>
      </c>
      <c r="C540" s="1" t="n">
        <v>46140</v>
      </c>
      <c r="D540" t="inlineStr">
        <is>
          <t>STOCKHOLMS LÄN</t>
        </is>
      </c>
      <c r="E540" t="inlineStr">
        <is>
          <t>NORRTÄLJE</t>
        </is>
      </c>
      <c r="G540" t="n">
        <v>5</v>
      </c>
      <c r="H540" t="n">
        <v>0</v>
      </c>
      <c r="I540" t="n">
        <v>0</v>
      </c>
      <c r="J540" t="n">
        <v>0</v>
      </c>
      <c r="K540" t="n">
        <v>0</v>
      </c>
      <c r="L540" t="n">
        <v>0</v>
      </c>
      <c r="M540" t="n">
        <v>0</v>
      </c>
      <c r="N540" t="n">
        <v>0</v>
      </c>
      <c r="O540" t="n">
        <v>0</v>
      </c>
      <c r="P540" t="n">
        <v>0</v>
      </c>
      <c r="Q540" t="n">
        <v>0</v>
      </c>
      <c r="R540" s="2" t="inlineStr"/>
    </row>
    <row r="541" ht="15" customHeight="1">
      <c r="A541" t="inlineStr">
        <is>
          <t>A 64137-2021</t>
        </is>
      </c>
      <c r="B541" s="1" t="n">
        <v>44510.51422453704</v>
      </c>
      <c r="C541" s="1" t="n">
        <v>46140</v>
      </c>
      <c r="D541" t="inlineStr">
        <is>
          <t>STOCKHOLMS LÄN</t>
        </is>
      </c>
      <c r="E541" t="inlineStr">
        <is>
          <t>NORRTÄLJE</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38720-2022</t>
        </is>
      </c>
      <c r="B542" s="1" t="n">
        <v>44815.74539351852</v>
      </c>
      <c r="C542" s="1" t="n">
        <v>46140</v>
      </c>
      <c r="D542" t="inlineStr">
        <is>
          <t>STOCKHOLMS LÄN</t>
        </is>
      </c>
      <c r="E542" t="inlineStr">
        <is>
          <t>NORRTÄLJE</t>
        </is>
      </c>
      <c r="G542" t="n">
        <v>2.5</v>
      </c>
      <c r="H542" t="n">
        <v>0</v>
      </c>
      <c r="I542" t="n">
        <v>0</v>
      </c>
      <c r="J542" t="n">
        <v>0</v>
      </c>
      <c r="K542" t="n">
        <v>0</v>
      </c>
      <c r="L542" t="n">
        <v>0</v>
      </c>
      <c r="M542" t="n">
        <v>0</v>
      </c>
      <c r="N542" t="n">
        <v>0</v>
      </c>
      <c r="O542" t="n">
        <v>0</v>
      </c>
      <c r="P542" t="n">
        <v>0</v>
      </c>
      <c r="Q542" t="n">
        <v>0</v>
      </c>
      <c r="R542" s="2" t="inlineStr"/>
    </row>
    <row r="543" ht="15" customHeight="1">
      <c r="A543" t="inlineStr">
        <is>
          <t>A 34432-2021</t>
        </is>
      </c>
      <c r="B543" s="1" t="n">
        <v>44380.77346064815</v>
      </c>
      <c r="C543" s="1" t="n">
        <v>46140</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19911-2025</t>
        </is>
      </c>
      <c r="B544" s="1" t="n">
        <v>45771</v>
      </c>
      <c r="C544" s="1" t="n">
        <v>46140</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14130-2025</t>
        </is>
      </c>
      <c r="B545" s="1" t="n">
        <v>45740.47288194444</v>
      </c>
      <c r="C545" s="1" t="n">
        <v>46140</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12532-2025</t>
        </is>
      </c>
      <c r="B546" s="1" t="n">
        <v>45730.69143518519</v>
      </c>
      <c r="C546" s="1" t="n">
        <v>46140</v>
      </c>
      <c r="D546" t="inlineStr">
        <is>
          <t>STOCKHOLMS LÄN</t>
        </is>
      </c>
      <c r="E546" t="inlineStr">
        <is>
          <t>NORRTÄLJE</t>
        </is>
      </c>
      <c r="G546" t="n">
        <v>1</v>
      </c>
      <c r="H546" t="n">
        <v>0</v>
      </c>
      <c r="I546" t="n">
        <v>0</v>
      </c>
      <c r="J546" t="n">
        <v>0</v>
      </c>
      <c r="K546" t="n">
        <v>0</v>
      </c>
      <c r="L546" t="n">
        <v>0</v>
      </c>
      <c r="M546" t="n">
        <v>0</v>
      </c>
      <c r="N546" t="n">
        <v>0</v>
      </c>
      <c r="O546" t="n">
        <v>0</v>
      </c>
      <c r="P546" t="n">
        <v>0</v>
      </c>
      <c r="Q546" t="n">
        <v>0</v>
      </c>
      <c r="R546" s="2" t="inlineStr"/>
    </row>
    <row r="547" ht="15" customHeight="1">
      <c r="A547" t="inlineStr">
        <is>
          <t>A 40175-2024</t>
        </is>
      </c>
      <c r="B547" s="1" t="n">
        <v>45554.55707175926</v>
      </c>
      <c r="C547" s="1" t="n">
        <v>46140</v>
      </c>
      <c r="D547" t="inlineStr">
        <is>
          <t>STOCKHOLMS LÄN</t>
        </is>
      </c>
      <c r="E547" t="inlineStr">
        <is>
          <t>NORRTÄLJE</t>
        </is>
      </c>
      <c r="G547" t="n">
        <v>7.7</v>
      </c>
      <c r="H547" t="n">
        <v>0</v>
      </c>
      <c r="I547" t="n">
        <v>0</v>
      </c>
      <c r="J547" t="n">
        <v>0</v>
      </c>
      <c r="K547" t="n">
        <v>0</v>
      </c>
      <c r="L547" t="n">
        <v>0</v>
      </c>
      <c r="M547" t="n">
        <v>0</v>
      </c>
      <c r="N547" t="n">
        <v>0</v>
      </c>
      <c r="O547" t="n">
        <v>0</v>
      </c>
      <c r="P547" t="n">
        <v>0</v>
      </c>
      <c r="Q547" t="n">
        <v>0</v>
      </c>
      <c r="R547" s="2" t="inlineStr"/>
    </row>
    <row r="548" ht="15" customHeight="1">
      <c r="A548" t="inlineStr">
        <is>
          <t>A 16229-2022</t>
        </is>
      </c>
      <c r="B548" s="1" t="n">
        <v>44670.4190162037</v>
      </c>
      <c r="C548" s="1" t="n">
        <v>46140</v>
      </c>
      <c r="D548" t="inlineStr">
        <is>
          <t>STOCKHOLMS LÄN</t>
        </is>
      </c>
      <c r="E548" t="inlineStr">
        <is>
          <t>NORRTÄLJE</t>
        </is>
      </c>
      <c r="G548" t="n">
        <v>7.4</v>
      </c>
      <c r="H548" t="n">
        <v>0</v>
      </c>
      <c r="I548" t="n">
        <v>0</v>
      </c>
      <c r="J548" t="n">
        <v>0</v>
      </c>
      <c r="K548" t="n">
        <v>0</v>
      </c>
      <c r="L548" t="n">
        <v>0</v>
      </c>
      <c r="M548" t="n">
        <v>0</v>
      </c>
      <c r="N548" t="n">
        <v>0</v>
      </c>
      <c r="O548" t="n">
        <v>0</v>
      </c>
      <c r="P548" t="n">
        <v>0</v>
      </c>
      <c r="Q548" t="n">
        <v>0</v>
      </c>
      <c r="R548" s="2" t="inlineStr"/>
    </row>
    <row r="549" ht="15" customHeight="1">
      <c r="A549" t="inlineStr">
        <is>
          <t>A 45697-2025</t>
        </is>
      </c>
      <c r="B549" s="1" t="n">
        <v>45923.39877314815</v>
      </c>
      <c r="C549" s="1" t="n">
        <v>46140</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35256-2025</t>
        </is>
      </c>
      <c r="B550" s="1" t="n">
        <v>45853</v>
      </c>
      <c r="C550" s="1" t="n">
        <v>46140</v>
      </c>
      <c r="D550" t="inlineStr">
        <is>
          <t>STOCKHOLMS LÄN</t>
        </is>
      </c>
      <c r="E550" t="inlineStr">
        <is>
          <t>NORRTÄLJE</t>
        </is>
      </c>
      <c r="G550" t="n">
        <v>6.4</v>
      </c>
      <c r="H550" t="n">
        <v>0</v>
      </c>
      <c r="I550" t="n">
        <v>0</v>
      </c>
      <c r="J550" t="n">
        <v>0</v>
      </c>
      <c r="K550" t="n">
        <v>0</v>
      </c>
      <c r="L550" t="n">
        <v>0</v>
      </c>
      <c r="M550" t="n">
        <v>0</v>
      </c>
      <c r="N550" t="n">
        <v>0</v>
      </c>
      <c r="O550" t="n">
        <v>0</v>
      </c>
      <c r="P550" t="n">
        <v>0</v>
      </c>
      <c r="Q550" t="n">
        <v>0</v>
      </c>
      <c r="R550" s="2" t="inlineStr"/>
    </row>
    <row r="551" ht="15" customHeight="1">
      <c r="A551" t="inlineStr">
        <is>
          <t>A 46914-2022</t>
        </is>
      </c>
      <c r="B551" s="1" t="n">
        <v>44851</v>
      </c>
      <c r="C551" s="1" t="n">
        <v>46140</v>
      </c>
      <c r="D551" t="inlineStr">
        <is>
          <t>STOCKHOLMS LÄN</t>
        </is>
      </c>
      <c r="E551" t="inlineStr">
        <is>
          <t>NORRTÄLJE</t>
        </is>
      </c>
      <c r="G551" t="n">
        <v>2.4</v>
      </c>
      <c r="H551" t="n">
        <v>0</v>
      </c>
      <c r="I551" t="n">
        <v>0</v>
      </c>
      <c r="J551" t="n">
        <v>0</v>
      </c>
      <c r="K551" t="n">
        <v>0</v>
      </c>
      <c r="L551" t="n">
        <v>0</v>
      </c>
      <c r="M551" t="n">
        <v>0</v>
      </c>
      <c r="N551" t="n">
        <v>0</v>
      </c>
      <c r="O551" t="n">
        <v>0</v>
      </c>
      <c r="P551" t="n">
        <v>0</v>
      </c>
      <c r="Q551" t="n">
        <v>0</v>
      </c>
      <c r="R551" s="2" t="inlineStr"/>
    </row>
    <row r="552" ht="15" customHeight="1">
      <c r="A552" t="inlineStr">
        <is>
          <t>A 20244-2025</t>
        </is>
      </c>
      <c r="B552" s="1" t="n">
        <v>45772.71221064815</v>
      </c>
      <c r="C552" s="1" t="n">
        <v>46140</v>
      </c>
      <c r="D552" t="inlineStr">
        <is>
          <t>STOCKHOLMS LÄN</t>
        </is>
      </c>
      <c r="E552" t="inlineStr">
        <is>
          <t>NORRTÄLJE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50143-2023</t>
        </is>
      </c>
      <c r="B553" s="1" t="n">
        <v>45215</v>
      </c>
      <c r="C553" s="1" t="n">
        <v>46140</v>
      </c>
      <c r="D553" t="inlineStr">
        <is>
          <t>STOCKHOLMS LÄN</t>
        </is>
      </c>
      <c r="E553" t="inlineStr">
        <is>
          <t>NORRTÄLJE</t>
        </is>
      </c>
      <c r="G553" t="n">
        <v>10.3</v>
      </c>
      <c r="H553" t="n">
        <v>0</v>
      </c>
      <c r="I553" t="n">
        <v>0</v>
      </c>
      <c r="J553" t="n">
        <v>0</v>
      </c>
      <c r="K553" t="n">
        <v>0</v>
      </c>
      <c r="L553" t="n">
        <v>0</v>
      </c>
      <c r="M553" t="n">
        <v>0</v>
      </c>
      <c r="N553" t="n">
        <v>0</v>
      </c>
      <c r="O553" t="n">
        <v>0</v>
      </c>
      <c r="P553" t="n">
        <v>0</v>
      </c>
      <c r="Q553" t="n">
        <v>0</v>
      </c>
      <c r="R553" s="2" t="inlineStr"/>
    </row>
    <row r="554" ht="15" customHeight="1">
      <c r="A554" t="inlineStr">
        <is>
          <t>A 46415-2025</t>
        </is>
      </c>
      <c r="B554" s="1" t="n">
        <v>45925.58636574074</v>
      </c>
      <c r="C554" s="1" t="n">
        <v>46140</v>
      </c>
      <c r="D554" t="inlineStr">
        <is>
          <t>STOCKHOLMS LÄN</t>
        </is>
      </c>
      <c r="E554" t="inlineStr">
        <is>
          <t>NORRTÄLJE</t>
        </is>
      </c>
      <c r="G554" t="n">
        <v>3.8</v>
      </c>
      <c r="H554" t="n">
        <v>0</v>
      </c>
      <c r="I554" t="n">
        <v>0</v>
      </c>
      <c r="J554" t="n">
        <v>0</v>
      </c>
      <c r="K554" t="n">
        <v>0</v>
      </c>
      <c r="L554" t="n">
        <v>0</v>
      </c>
      <c r="M554" t="n">
        <v>0</v>
      </c>
      <c r="N554" t="n">
        <v>0</v>
      </c>
      <c r="O554" t="n">
        <v>0</v>
      </c>
      <c r="P554" t="n">
        <v>0</v>
      </c>
      <c r="Q554" t="n">
        <v>0</v>
      </c>
      <c r="R554" s="2" t="inlineStr"/>
    </row>
    <row r="555" ht="15" customHeight="1">
      <c r="A555" t="inlineStr">
        <is>
          <t>A 20015-2023</t>
        </is>
      </c>
      <c r="B555" s="1" t="n">
        <v>45054</v>
      </c>
      <c r="C555" s="1" t="n">
        <v>46140</v>
      </c>
      <c r="D555" t="inlineStr">
        <is>
          <t>STOCKHOLMS LÄN</t>
        </is>
      </c>
      <c r="E555" t="inlineStr">
        <is>
          <t>NORRTÄLJE</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5027-2025</t>
        </is>
      </c>
      <c r="B556" s="1" t="n">
        <v>45691.41101851852</v>
      </c>
      <c r="C556" s="1" t="n">
        <v>46140</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8315-2025</t>
        </is>
      </c>
      <c r="B557" s="1" t="n">
        <v>45708.61761574074</v>
      </c>
      <c r="C557" s="1" t="n">
        <v>46140</v>
      </c>
      <c r="D557" t="inlineStr">
        <is>
          <t>STOCKHOLMS LÄN</t>
        </is>
      </c>
      <c r="E557" t="inlineStr">
        <is>
          <t>NORRTÄLJE</t>
        </is>
      </c>
      <c r="G557" t="n">
        <v>3.9</v>
      </c>
      <c r="H557" t="n">
        <v>0</v>
      </c>
      <c r="I557" t="n">
        <v>0</v>
      </c>
      <c r="J557" t="n">
        <v>0</v>
      </c>
      <c r="K557" t="n">
        <v>0</v>
      </c>
      <c r="L557" t="n">
        <v>0</v>
      </c>
      <c r="M557" t="n">
        <v>0</v>
      </c>
      <c r="N557" t="n">
        <v>0</v>
      </c>
      <c r="O557" t="n">
        <v>0</v>
      </c>
      <c r="P557" t="n">
        <v>0</v>
      </c>
      <c r="Q557" t="n">
        <v>0</v>
      </c>
      <c r="R557" s="2" t="inlineStr"/>
    </row>
    <row r="558" ht="15" customHeight="1">
      <c r="A558" t="inlineStr">
        <is>
          <t>A 47460-2025</t>
        </is>
      </c>
      <c r="B558" s="1" t="n">
        <v>45930.66012731481</v>
      </c>
      <c r="C558" s="1" t="n">
        <v>46140</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12251-2025</t>
        </is>
      </c>
      <c r="B559" s="1" t="n">
        <v>45729.60859953704</v>
      </c>
      <c r="C559" s="1" t="n">
        <v>46140</v>
      </c>
      <c r="D559" t="inlineStr">
        <is>
          <t>STOCKHOLMS LÄN</t>
        </is>
      </c>
      <c r="E559" t="inlineStr">
        <is>
          <t>NORRTÄLJE</t>
        </is>
      </c>
      <c r="F559" t="inlineStr">
        <is>
          <t>Holmen skog AB</t>
        </is>
      </c>
      <c r="G559" t="n">
        <v>5.9</v>
      </c>
      <c r="H559" t="n">
        <v>0</v>
      </c>
      <c r="I559" t="n">
        <v>0</v>
      </c>
      <c r="J559" t="n">
        <v>0</v>
      </c>
      <c r="K559" t="n">
        <v>0</v>
      </c>
      <c r="L559" t="n">
        <v>0</v>
      </c>
      <c r="M559" t="n">
        <v>0</v>
      </c>
      <c r="N559" t="n">
        <v>0</v>
      </c>
      <c r="O559" t="n">
        <v>0</v>
      </c>
      <c r="P559" t="n">
        <v>0</v>
      </c>
      <c r="Q559" t="n">
        <v>0</v>
      </c>
      <c r="R559" s="2" t="inlineStr"/>
    </row>
    <row r="560" ht="15" customHeight="1">
      <c r="A560" t="inlineStr">
        <is>
          <t>A 46900-2025</t>
        </is>
      </c>
      <c r="B560" s="1" t="n">
        <v>45929.38712962963</v>
      </c>
      <c r="C560" s="1" t="n">
        <v>46140</v>
      </c>
      <c r="D560" t="inlineStr">
        <is>
          <t>STOCKHOLMS LÄN</t>
        </is>
      </c>
      <c r="E560" t="inlineStr">
        <is>
          <t>NORRTÄLJE</t>
        </is>
      </c>
      <c r="F560" t="inlineStr">
        <is>
          <t>Holmen skog AB</t>
        </is>
      </c>
      <c r="G560" t="n">
        <v>6.2</v>
      </c>
      <c r="H560" t="n">
        <v>0</v>
      </c>
      <c r="I560" t="n">
        <v>0</v>
      </c>
      <c r="J560" t="n">
        <v>0</v>
      </c>
      <c r="K560" t="n">
        <v>0</v>
      </c>
      <c r="L560" t="n">
        <v>0</v>
      </c>
      <c r="M560" t="n">
        <v>0</v>
      </c>
      <c r="N560" t="n">
        <v>0</v>
      </c>
      <c r="O560" t="n">
        <v>0</v>
      </c>
      <c r="P560" t="n">
        <v>0</v>
      </c>
      <c r="Q560" t="n">
        <v>0</v>
      </c>
      <c r="R560" s="2" t="inlineStr"/>
    </row>
    <row r="561" ht="15" customHeight="1">
      <c r="A561" t="inlineStr">
        <is>
          <t>A 54776-2023</t>
        </is>
      </c>
      <c r="B561" s="1" t="n">
        <v>45236.46369212963</v>
      </c>
      <c r="C561" s="1" t="n">
        <v>46140</v>
      </c>
      <c r="D561" t="inlineStr">
        <is>
          <t>STOCKHOLMS LÄN</t>
        </is>
      </c>
      <c r="E561" t="inlineStr">
        <is>
          <t>NORRTÄLJE</t>
        </is>
      </c>
      <c r="G561" t="n">
        <v>0.3</v>
      </c>
      <c r="H561" t="n">
        <v>0</v>
      </c>
      <c r="I561" t="n">
        <v>0</v>
      </c>
      <c r="J561" t="n">
        <v>0</v>
      </c>
      <c r="K561" t="n">
        <v>0</v>
      </c>
      <c r="L561" t="n">
        <v>0</v>
      </c>
      <c r="M561" t="n">
        <v>0</v>
      </c>
      <c r="N561" t="n">
        <v>0</v>
      </c>
      <c r="O561" t="n">
        <v>0</v>
      </c>
      <c r="P561" t="n">
        <v>0</v>
      </c>
      <c r="Q561" t="n">
        <v>0</v>
      </c>
      <c r="R561" s="2" t="inlineStr"/>
    </row>
    <row r="562" ht="15" customHeight="1">
      <c r="A562" t="inlineStr">
        <is>
          <t>A 20144-2023</t>
        </is>
      </c>
      <c r="B562" s="1" t="n">
        <v>45055.43509259259</v>
      </c>
      <c r="C562" s="1" t="n">
        <v>46140</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47498-2025</t>
        </is>
      </c>
      <c r="B563" s="1" t="n">
        <v>45930.8134375</v>
      </c>
      <c r="C563" s="1" t="n">
        <v>46140</v>
      </c>
      <c r="D563" t="inlineStr">
        <is>
          <t>STOCKHOLMS LÄN</t>
        </is>
      </c>
      <c r="E563" t="inlineStr">
        <is>
          <t>NORRTÄLJE</t>
        </is>
      </c>
      <c r="F563" t="inlineStr">
        <is>
          <t>Holmen skog AB</t>
        </is>
      </c>
      <c r="G563" t="n">
        <v>1.7</v>
      </c>
      <c r="H563" t="n">
        <v>0</v>
      </c>
      <c r="I563" t="n">
        <v>0</v>
      </c>
      <c r="J563" t="n">
        <v>0</v>
      </c>
      <c r="K563" t="n">
        <v>0</v>
      </c>
      <c r="L563" t="n">
        <v>0</v>
      </c>
      <c r="M563" t="n">
        <v>0</v>
      </c>
      <c r="N563" t="n">
        <v>0</v>
      </c>
      <c r="O563" t="n">
        <v>0</v>
      </c>
      <c r="P563" t="n">
        <v>0</v>
      </c>
      <c r="Q563" t="n">
        <v>0</v>
      </c>
      <c r="R563" s="2" t="inlineStr"/>
    </row>
    <row r="564" ht="15" customHeight="1">
      <c r="A564" t="inlineStr">
        <is>
          <t>A 13314-2025</t>
        </is>
      </c>
      <c r="B564" s="1" t="n">
        <v>45735.59287037037</v>
      </c>
      <c r="C564" s="1" t="n">
        <v>46140</v>
      </c>
      <c r="D564" t="inlineStr">
        <is>
          <t>STOCKHOLMS LÄN</t>
        </is>
      </c>
      <c r="E564" t="inlineStr">
        <is>
          <t>NORRTÄLJE</t>
        </is>
      </c>
      <c r="G564" t="n">
        <v>2.4</v>
      </c>
      <c r="H564" t="n">
        <v>0</v>
      </c>
      <c r="I564" t="n">
        <v>0</v>
      </c>
      <c r="J564" t="n">
        <v>0</v>
      </c>
      <c r="K564" t="n">
        <v>0</v>
      </c>
      <c r="L564" t="n">
        <v>0</v>
      </c>
      <c r="M564" t="n">
        <v>0</v>
      </c>
      <c r="N564" t="n">
        <v>0</v>
      </c>
      <c r="O564" t="n">
        <v>0</v>
      </c>
      <c r="P564" t="n">
        <v>0</v>
      </c>
      <c r="Q564" t="n">
        <v>0</v>
      </c>
      <c r="R564" s="2" t="inlineStr"/>
    </row>
    <row r="565" ht="15" customHeight="1">
      <c r="A565" t="inlineStr">
        <is>
          <t>A 47496-2025</t>
        </is>
      </c>
      <c r="B565" s="1" t="n">
        <v>45930.79252314815</v>
      </c>
      <c r="C565" s="1" t="n">
        <v>46140</v>
      </c>
      <c r="D565" t="inlineStr">
        <is>
          <t>STOCKHOLMS LÄN</t>
        </is>
      </c>
      <c r="E565" t="inlineStr">
        <is>
          <t>NORRTÄLJE</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47497-2025</t>
        </is>
      </c>
      <c r="B566" s="1" t="n">
        <v>45930.80217592593</v>
      </c>
      <c r="C566" s="1" t="n">
        <v>46140</v>
      </c>
      <c r="D566" t="inlineStr">
        <is>
          <t>STOCKHOLMS LÄN</t>
        </is>
      </c>
      <c r="E566" t="inlineStr">
        <is>
          <t>NORRTÄLJE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23056-2023</t>
        </is>
      </c>
      <c r="B567" s="1" t="n">
        <v>45075</v>
      </c>
      <c r="C567" s="1" t="n">
        <v>46140</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13172-2025</t>
        </is>
      </c>
      <c r="B568" s="1" t="n">
        <v>45735.36873842592</v>
      </c>
      <c r="C568" s="1" t="n">
        <v>46140</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48718-2025</t>
        </is>
      </c>
      <c r="B569" s="1" t="n">
        <v>45936</v>
      </c>
      <c r="C569" s="1" t="n">
        <v>46140</v>
      </c>
      <c r="D569" t="inlineStr">
        <is>
          <t>STOCKHOLMS LÄN</t>
        </is>
      </c>
      <c r="E569" t="inlineStr">
        <is>
          <t>NORRTÄLJE</t>
        </is>
      </c>
      <c r="G569" t="n">
        <v>2.1</v>
      </c>
      <c r="H569" t="n">
        <v>0</v>
      </c>
      <c r="I569" t="n">
        <v>0</v>
      </c>
      <c r="J569" t="n">
        <v>0</v>
      </c>
      <c r="K569" t="n">
        <v>0</v>
      </c>
      <c r="L569" t="n">
        <v>0</v>
      </c>
      <c r="M569" t="n">
        <v>0</v>
      </c>
      <c r="N569" t="n">
        <v>0</v>
      </c>
      <c r="O569" t="n">
        <v>0</v>
      </c>
      <c r="P569" t="n">
        <v>0</v>
      </c>
      <c r="Q569" t="n">
        <v>0</v>
      </c>
      <c r="R569" s="2" t="inlineStr"/>
    </row>
    <row r="570" ht="15" customHeight="1">
      <c r="A570" t="inlineStr">
        <is>
          <t>A 48360-2025</t>
        </is>
      </c>
      <c r="B570" s="1" t="n">
        <v>45933.66253472222</v>
      </c>
      <c r="C570" s="1" t="n">
        <v>46140</v>
      </c>
      <c r="D570" t="inlineStr">
        <is>
          <t>STOCKHOLMS LÄN</t>
        </is>
      </c>
      <c r="E570" t="inlineStr">
        <is>
          <t>NORRTÄLJE</t>
        </is>
      </c>
      <c r="G570" t="n">
        <v>4.1</v>
      </c>
      <c r="H570" t="n">
        <v>0</v>
      </c>
      <c r="I570" t="n">
        <v>0</v>
      </c>
      <c r="J570" t="n">
        <v>0</v>
      </c>
      <c r="K570" t="n">
        <v>0</v>
      </c>
      <c r="L570" t="n">
        <v>0</v>
      </c>
      <c r="M570" t="n">
        <v>0</v>
      </c>
      <c r="N570" t="n">
        <v>0</v>
      </c>
      <c r="O570" t="n">
        <v>0</v>
      </c>
      <c r="P570" t="n">
        <v>0</v>
      </c>
      <c r="Q570" t="n">
        <v>0</v>
      </c>
      <c r="R570" s="2" t="inlineStr"/>
    </row>
    <row r="571" ht="15" customHeight="1">
      <c r="A571" t="inlineStr">
        <is>
          <t>A 48370-2025</t>
        </is>
      </c>
      <c r="B571" s="1" t="n">
        <v>45933.67854166667</v>
      </c>
      <c r="C571" s="1" t="n">
        <v>46140</v>
      </c>
      <c r="D571" t="inlineStr">
        <is>
          <t>STOCKHOLMS LÄN</t>
        </is>
      </c>
      <c r="E571" t="inlineStr">
        <is>
          <t>NORRTÄLJE</t>
        </is>
      </c>
      <c r="G571" t="n">
        <v>4.5</v>
      </c>
      <c r="H571" t="n">
        <v>0</v>
      </c>
      <c r="I571" t="n">
        <v>0</v>
      </c>
      <c r="J571" t="n">
        <v>0</v>
      </c>
      <c r="K571" t="n">
        <v>0</v>
      </c>
      <c r="L571" t="n">
        <v>0</v>
      </c>
      <c r="M571" t="n">
        <v>0</v>
      </c>
      <c r="N571" t="n">
        <v>0</v>
      </c>
      <c r="O571" t="n">
        <v>0</v>
      </c>
      <c r="P571" t="n">
        <v>0</v>
      </c>
      <c r="Q571" t="n">
        <v>0</v>
      </c>
      <c r="R571" s="2" t="inlineStr"/>
    </row>
    <row r="572" ht="15" customHeight="1">
      <c r="A572" t="inlineStr">
        <is>
          <t>A 19025-2025</t>
        </is>
      </c>
      <c r="B572" s="1" t="n">
        <v>45764.6359837963</v>
      </c>
      <c r="C572" s="1" t="n">
        <v>46140</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48443-2025</t>
        </is>
      </c>
      <c r="B573" s="1" t="n">
        <v>45935.55326388889</v>
      </c>
      <c r="C573" s="1" t="n">
        <v>46140</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5867-2022</t>
        </is>
      </c>
      <c r="B574" s="1" t="n">
        <v>44596.66335648148</v>
      </c>
      <c r="C574" s="1" t="n">
        <v>46140</v>
      </c>
      <c r="D574" t="inlineStr">
        <is>
          <t>STOCKHOLMS LÄN</t>
        </is>
      </c>
      <c r="E574" t="inlineStr">
        <is>
          <t>NORRTÄLJE</t>
        </is>
      </c>
      <c r="F574" t="inlineStr">
        <is>
          <t>Naturvårdsverket</t>
        </is>
      </c>
      <c r="G574" t="n">
        <v>1.6</v>
      </c>
      <c r="H574" t="n">
        <v>0</v>
      </c>
      <c r="I574" t="n">
        <v>0</v>
      </c>
      <c r="J574" t="n">
        <v>0</v>
      </c>
      <c r="K574" t="n">
        <v>0</v>
      </c>
      <c r="L574" t="n">
        <v>0</v>
      </c>
      <c r="M574" t="n">
        <v>0</v>
      </c>
      <c r="N574" t="n">
        <v>0</v>
      </c>
      <c r="O574" t="n">
        <v>0</v>
      </c>
      <c r="P574" t="n">
        <v>0</v>
      </c>
      <c r="Q574" t="n">
        <v>0</v>
      </c>
      <c r="R574" s="2" t="inlineStr"/>
    </row>
    <row r="575" ht="15" customHeight="1">
      <c r="A575" t="inlineStr">
        <is>
          <t>A 48127-2025</t>
        </is>
      </c>
      <c r="B575" s="1" t="n">
        <v>45933.36621527778</v>
      </c>
      <c r="C575" s="1" t="n">
        <v>46140</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48364-2025</t>
        </is>
      </c>
      <c r="B576" s="1" t="n">
        <v>45933.66796296297</v>
      </c>
      <c r="C576" s="1" t="n">
        <v>46140</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48179-2025</t>
        </is>
      </c>
      <c r="B577" s="1" t="n">
        <v>45933.44907407407</v>
      </c>
      <c r="C577" s="1" t="n">
        <v>46140</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73307-2021</t>
        </is>
      </c>
      <c r="B578" s="1" t="n">
        <v>44549</v>
      </c>
      <c r="C578" s="1" t="n">
        <v>46140</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row>
    <row r="579" ht="15" customHeight="1">
      <c r="A579" t="inlineStr">
        <is>
          <t>A 21731-2023</t>
        </is>
      </c>
      <c r="B579" s="1" t="n">
        <v>45063</v>
      </c>
      <c r="C579" s="1" t="n">
        <v>46140</v>
      </c>
      <c r="D579" t="inlineStr">
        <is>
          <t>STOCKHOLMS LÄN</t>
        </is>
      </c>
      <c r="E579" t="inlineStr">
        <is>
          <t>NORRTÄLJE</t>
        </is>
      </c>
      <c r="G579" t="n">
        <v>2.3</v>
      </c>
      <c r="H579" t="n">
        <v>0</v>
      </c>
      <c r="I579" t="n">
        <v>0</v>
      </c>
      <c r="J579" t="n">
        <v>0</v>
      </c>
      <c r="K579" t="n">
        <v>0</v>
      </c>
      <c r="L579" t="n">
        <v>0</v>
      </c>
      <c r="M579" t="n">
        <v>0</v>
      </c>
      <c r="N579" t="n">
        <v>0</v>
      </c>
      <c r="O579" t="n">
        <v>0</v>
      </c>
      <c r="P579" t="n">
        <v>0</v>
      </c>
      <c r="Q579" t="n">
        <v>0</v>
      </c>
      <c r="R579" s="2" t="inlineStr"/>
    </row>
    <row r="580" ht="15" customHeight="1">
      <c r="A580" t="inlineStr">
        <is>
          <t>A 21745-2023</t>
        </is>
      </c>
      <c r="B580" s="1" t="n">
        <v>45065.55917824074</v>
      </c>
      <c r="C580" s="1" t="n">
        <v>46140</v>
      </c>
      <c r="D580" t="inlineStr">
        <is>
          <t>STOCKHOLMS LÄN</t>
        </is>
      </c>
      <c r="E580" t="inlineStr">
        <is>
          <t>NORRTÄLJE</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48174-2025</t>
        </is>
      </c>
      <c r="B581" s="1" t="n">
        <v>45933.44230324074</v>
      </c>
      <c r="C581" s="1" t="n">
        <v>46140</v>
      </c>
      <c r="D581" t="inlineStr">
        <is>
          <t>STOCKHOLMS LÄN</t>
        </is>
      </c>
      <c r="E581" t="inlineStr">
        <is>
          <t>NORRTÄLJE</t>
        </is>
      </c>
      <c r="G581" t="n">
        <v>2.6</v>
      </c>
      <c r="H581" t="n">
        <v>0</v>
      </c>
      <c r="I581" t="n">
        <v>0</v>
      </c>
      <c r="J581" t="n">
        <v>0</v>
      </c>
      <c r="K581" t="n">
        <v>0</v>
      </c>
      <c r="L581" t="n">
        <v>0</v>
      </c>
      <c r="M581" t="n">
        <v>0</v>
      </c>
      <c r="N581" t="n">
        <v>0</v>
      </c>
      <c r="O581" t="n">
        <v>0</v>
      </c>
      <c r="P581" t="n">
        <v>0</v>
      </c>
      <c r="Q581" t="n">
        <v>0</v>
      </c>
      <c r="R581" s="2" t="inlineStr"/>
    </row>
    <row r="582" ht="15" customHeight="1">
      <c r="A582" t="inlineStr">
        <is>
          <t>A 48593-2025</t>
        </is>
      </c>
      <c r="B582" s="1" t="n">
        <v>45936.4627662037</v>
      </c>
      <c r="C582" s="1" t="n">
        <v>46140</v>
      </c>
      <c r="D582" t="inlineStr">
        <is>
          <t>STOCKHOLMS LÄN</t>
        </is>
      </c>
      <c r="E582" t="inlineStr">
        <is>
          <t>NORRTÄLJE</t>
        </is>
      </c>
      <c r="G582" t="n">
        <v>4.2</v>
      </c>
      <c r="H582" t="n">
        <v>0</v>
      </c>
      <c r="I582" t="n">
        <v>0</v>
      </c>
      <c r="J582" t="n">
        <v>0</v>
      </c>
      <c r="K582" t="n">
        <v>0</v>
      </c>
      <c r="L582" t="n">
        <v>0</v>
      </c>
      <c r="M582" t="n">
        <v>0</v>
      </c>
      <c r="N582" t="n">
        <v>0</v>
      </c>
      <c r="O582" t="n">
        <v>0</v>
      </c>
      <c r="P582" t="n">
        <v>0</v>
      </c>
      <c r="Q582" t="n">
        <v>0</v>
      </c>
      <c r="R582" s="2" t="inlineStr"/>
    </row>
    <row r="583" ht="15" customHeight="1">
      <c r="A583" t="inlineStr">
        <is>
          <t>A 30221-2024</t>
        </is>
      </c>
      <c r="B583" s="1" t="n">
        <v>45490.45342592592</v>
      </c>
      <c r="C583" s="1" t="n">
        <v>46140</v>
      </c>
      <c r="D583" t="inlineStr">
        <is>
          <t>STOCKHOLMS LÄN</t>
        </is>
      </c>
      <c r="E583" t="inlineStr">
        <is>
          <t>NORRTÄLJE</t>
        </is>
      </c>
      <c r="F583" t="inlineStr">
        <is>
          <t>Holmen skog AB</t>
        </is>
      </c>
      <c r="G583" t="n">
        <v>1.7</v>
      </c>
      <c r="H583" t="n">
        <v>0</v>
      </c>
      <c r="I583" t="n">
        <v>0</v>
      </c>
      <c r="J583" t="n">
        <v>0</v>
      </c>
      <c r="K583" t="n">
        <v>0</v>
      </c>
      <c r="L583" t="n">
        <v>0</v>
      </c>
      <c r="M583" t="n">
        <v>0</v>
      </c>
      <c r="N583" t="n">
        <v>0</v>
      </c>
      <c r="O583" t="n">
        <v>0</v>
      </c>
      <c r="P583" t="n">
        <v>0</v>
      </c>
      <c r="Q583" t="n">
        <v>0</v>
      </c>
      <c r="R583" s="2" t="inlineStr"/>
    </row>
    <row r="584" ht="15" customHeight="1">
      <c r="A584" t="inlineStr">
        <is>
          <t>A 26365-2024</t>
        </is>
      </c>
      <c r="B584" s="1" t="n">
        <v>45469</v>
      </c>
      <c r="C584" s="1" t="n">
        <v>46140</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50602-2021</t>
        </is>
      </c>
      <c r="B585" s="1" t="n">
        <v>44459</v>
      </c>
      <c r="C585" s="1" t="n">
        <v>46140</v>
      </c>
      <c r="D585" t="inlineStr">
        <is>
          <t>STOCKHOLMS LÄN</t>
        </is>
      </c>
      <c r="E585" t="inlineStr">
        <is>
          <t>NORRTÄLJE</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49129-2025</t>
        </is>
      </c>
      <c r="B586" s="1" t="n">
        <v>45937.89517361111</v>
      </c>
      <c r="C586" s="1" t="n">
        <v>46140</v>
      </c>
      <c r="D586" t="inlineStr">
        <is>
          <t>STOCKHOLMS LÄN</t>
        </is>
      </c>
      <c r="E586" t="inlineStr">
        <is>
          <t>NORRTÄLJE</t>
        </is>
      </c>
      <c r="G586" t="n">
        <v>0.5</v>
      </c>
      <c r="H586" t="n">
        <v>0</v>
      </c>
      <c r="I586" t="n">
        <v>0</v>
      </c>
      <c r="J586" t="n">
        <v>0</v>
      </c>
      <c r="K586" t="n">
        <v>0</v>
      </c>
      <c r="L586" t="n">
        <v>0</v>
      </c>
      <c r="M586" t="n">
        <v>0</v>
      </c>
      <c r="N586" t="n">
        <v>0</v>
      </c>
      <c r="O586" t="n">
        <v>0</v>
      </c>
      <c r="P586" t="n">
        <v>0</v>
      </c>
      <c r="Q586" t="n">
        <v>0</v>
      </c>
      <c r="R586" s="2" t="inlineStr"/>
    </row>
    <row r="587" ht="15" customHeight="1">
      <c r="A587" t="inlineStr">
        <is>
          <t>A 48798-2021</t>
        </is>
      </c>
      <c r="B587" s="1" t="n">
        <v>44452</v>
      </c>
      <c r="C587" s="1" t="n">
        <v>46140</v>
      </c>
      <c r="D587" t="inlineStr">
        <is>
          <t>STOCKHOLMS LÄN</t>
        </is>
      </c>
      <c r="E587" t="inlineStr">
        <is>
          <t>NORRTÄLJE</t>
        </is>
      </c>
      <c r="G587" t="n">
        <v>2</v>
      </c>
      <c r="H587" t="n">
        <v>0</v>
      </c>
      <c r="I587" t="n">
        <v>0</v>
      </c>
      <c r="J587" t="n">
        <v>0</v>
      </c>
      <c r="K587" t="n">
        <v>0</v>
      </c>
      <c r="L587" t="n">
        <v>0</v>
      </c>
      <c r="M587" t="n">
        <v>0</v>
      </c>
      <c r="N587" t="n">
        <v>0</v>
      </c>
      <c r="O587" t="n">
        <v>0</v>
      </c>
      <c r="P587" t="n">
        <v>0</v>
      </c>
      <c r="Q587" t="n">
        <v>0</v>
      </c>
      <c r="R587" s="2" t="inlineStr"/>
    </row>
    <row r="588" ht="15" customHeight="1">
      <c r="A588" t="inlineStr">
        <is>
          <t>A 48780-2025</t>
        </is>
      </c>
      <c r="B588" s="1" t="n">
        <v>45937.30377314815</v>
      </c>
      <c r="C588" s="1" t="n">
        <v>46140</v>
      </c>
      <c r="D588" t="inlineStr">
        <is>
          <t>STOCKHOLMS LÄN</t>
        </is>
      </c>
      <c r="E588" t="inlineStr">
        <is>
          <t>NORRTÄLJE</t>
        </is>
      </c>
      <c r="G588" t="n">
        <v>7.7</v>
      </c>
      <c r="H588" t="n">
        <v>0</v>
      </c>
      <c r="I588" t="n">
        <v>0</v>
      </c>
      <c r="J588" t="n">
        <v>0</v>
      </c>
      <c r="K588" t="n">
        <v>0</v>
      </c>
      <c r="L588" t="n">
        <v>0</v>
      </c>
      <c r="M588" t="n">
        <v>0</v>
      </c>
      <c r="N588" t="n">
        <v>0</v>
      </c>
      <c r="O588" t="n">
        <v>0</v>
      </c>
      <c r="P588" t="n">
        <v>0</v>
      </c>
      <c r="Q588" t="n">
        <v>0</v>
      </c>
      <c r="R588" s="2" t="inlineStr"/>
    </row>
    <row r="589" ht="15" customHeight="1">
      <c r="A589" t="inlineStr">
        <is>
          <t>A 30283-2022</t>
        </is>
      </c>
      <c r="B589" s="1" t="n">
        <v>44760</v>
      </c>
      <c r="C589" s="1" t="n">
        <v>46140</v>
      </c>
      <c r="D589" t="inlineStr">
        <is>
          <t>STOCKHOLMS LÄN</t>
        </is>
      </c>
      <c r="E589" t="inlineStr">
        <is>
          <t>NORRTÄLJE</t>
        </is>
      </c>
      <c r="G589" t="n">
        <v>6.2</v>
      </c>
      <c r="H589" t="n">
        <v>0</v>
      </c>
      <c r="I589" t="n">
        <v>0</v>
      </c>
      <c r="J589" t="n">
        <v>0</v>
      </c>
      <c r="K589" t="n">
        <v>0</v>
      </c>
      <c r="L589" t="n">
        <v>0</v>
      </c>
      <c r="M589" t="n">
        <v>0</v>
      </c>
      <c r="N589" t="n">
        <v>0</v>
      </c>
      <c r="O589" t="n">
        <v>0</v>
      </c>
      <c r="P589" t="n">
        <v>0</v>
      </c>
      <c r="Q589" t="n">
        <v>0</v>
      </c>
      <c r="R589" s="2" t="inlineStr"/>
    </row>
    <row r="590" ht="15" customHeight="1">
      <c r="A590" t="inlineStr">
        <is>
          <t>A 30290-2022</t>
        </is>
      </c>
      <c r="B590" s="1" t="n">
        <v>44760</v>
      </c>
      <c r="C590" s="1" t="n">
        <v>46140</v>
      </c>
      <c r="D590" t="inlineStr">
        <is>
          <t>STOCKHOLMS LÄN</t>
        </is>
      </c>
      <c r="E590" t="inlineStr">
        <is>
          <t>NORRTÄLJE</t>
        </is>
      </c>
      <c r="G590" t="n">
        <v>4.8</v>
      </c>
      <c r="H590" t="n">
        <v>0</v>
      </c>
      <c r="I590" t="n">
        <v>0</v>
      </c>
      <c r="J590" t="n">
        <v>0</v>
      </c>
      <c r="K590" t="n">
        <v>0</v>
      </c>
      <c r="L590" t="n">
        <v>0</v>
      </c>
      <c r="M590" t="n">
        <v>0</v>
      </c>
      <c r="N590" t="n">
        <v>0</v>
      </c>
      <c r="O590" t="n">
        <v>0</v>
      </c>
      <c r="P590" t="n">
        <v>0</v>
      </c>
      <c r="Q590" t="n">
        <v>0</v>
      </c>
      <c r="R590" s="2" t="inlineStr"/>
    </row>
    <row r="591" ht="15" customHeight="1">
      <c r="A591" t="inlineStr">
        <is>
          <t>A 38985-2022</t>
        </is>
      </c>
      <c r="B591" s="1" t="n">
        <v>44816</v>
      </c>
      <c r="C591" s="1" t="n">
        <v>46140</v>
      </c>
      <c r="D591" t="inlineStr">
        <is>
          <t>STOCKHOLMS LÄN</t>
        </is>
      </c>
      <c r="E591" t="inlineStr">
        <is>
          <t>NORRTÄLJE</t>
        </is>
      </c>
      <c r="G591" t="n">
        <v>10.1</v>
      </c>
      <c r="H591" t="n">
        <v>0</v>
      </c>
      <c r="I591" t="n">
        <v>0</v>
      </c>
      <c r="J591" t="n">
        <v>0</v>
      </c>
      <c r="K591" t="n">
        <v>0</v>
      </c>
      <c r="L591" t="n">
        <v>0</v>
      </c>
      <c r="M591" t="n">
        <v>0</v>
      </c>
      <c r="N591" t="n">
        <v>0</v>
      </c>
      <c r="O591" t="n">
        <v>0</v>
      </c>
      <c r="P591" t="n">
        <v>0</v>
      </c>
      <c r="Q591" t="n">
        <v>0</v>
      </c>
      <c r="R591" s="2" t="inlineStr"/>
    </row>
    <row r="592" ht="15" customHeight="1">
      <c r="A592" t="inlineStr">
        <is>
          <t>A 49836-2025</t>
        </is>
      </c>
      <c r="B592" s="1" t="n">
        <v>45940.46862268518</v>
      </c>
      <c r="C592" s="1" t="n">
        <v>46140</v>
      </c>
      <c r="D592" t="inlineStr">
        <is>
          <t>STOCKHOLMS LÄN</t>
        </is>
      </c>
      <c r="E592" t="inlineStr">
        <is>
          <t>NORRTÄLJE</t>
        </is>
      </c>
      <c r="G592" t="n">
        <v>3.5</v>
      </c>
      <c r="H592" t="n">
        <v>0</v>
      </c>
      <c r="I592" t="n">
        <v>0</v>
      </c>
      <c r="J592" t="n">
        <v>0</v>
      </c>
      <c r="K592" t="n">
        <v>0</v>
      </c>
      <c r="L592" t="n">
        <v>0</v>
      </c>
      <c r="M592" t="n">
        <v>0</v>
      </c>
      <c r="N592" t="n">
        <v>0</v>
      </c>
      <c r="O592" t="n">
        <v>0</v>
      </c>
      <c r="P592" t="n">
        <v>0</v>
      </c>
      <c r="Q592" t="n">
        <v>0</v>
      </c>
      <c r="R592" s="2" t="inlineStr"/>
    </row>
    <row r="593" ht="15" customHeight="1">
      <c r="A593" t="inlineStr">
        <is>
          <t>A 25625-2023</t>
        </is>
      </c>
      <c r="B593" s="1" t="n">
        <v>45089</v>
      </c>
      <c r="C593" s="1" t="n">
        <v>46140</v>
      </c>
      <c r="D593" t="inlineStr">
        <is>
          <t>STOCKHOLMS LÄN</t>
        </is>
      </c>
      <c r="E593" t="inlineStr">
        <is>
          <t>NORRTÄLJE</t>
        </is>
      </c>
      <c r="G593" t="n">
        <v>5.5</v>
      </c>
      <c r="H593" t="n">
        <v>0</v>
      </c>
      <c r="I593" t="n">
        <v>0</v>
      </c>
      <c r="J593" t="n">
        <v>0</v>
      </c>
      <c r="K593" t="n">
        <v>0</v>
      </c>
      <c r="L593" t="n">
        <v>0</v>
      </c>
      <c r="M593" t="n">
        <v>0</v>
      </c>
      <c r="N593" t="n">
        <v>0</v>
      </c>
      <c r="O593" t="n">
        <v>0</v>
      </c>
      <c r="P593" t="n">
        <v>0</v>
      </c>
      <c r="Q593" t="n">
        <v>0</v>
      </c>
      <c r="R593" s="2" t="inlineStr"/>
    </row>
    <row r="594" ht="15" customHeight="1">
      <c r="A594" t="inlineStr">
        <is>
          <t>A 50097-2025</t>
        </is>
      </c>
      <c r="B594" s="1" t="n">
        <v>45943.50207175926</v>
      </c>
      <c r="C594" s="1" t="n">
        <v>46140</v>
      </c>
      <c r="D594" t="inlineStr">
        <is>
          <t>STOCKHOLMS LÄN</t>
        </is>
      </c>
      <c r="E594" t="inlineStr">
        <is>
          <t>NORRTÄLJE</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14132-2025</t>
        </is>
      </c>
      <c r="B595" s="1" t="n">
        <v>45740.47550925926</v>
      </c>
      <c r="C595" s="1" t="n">
        <v>46140</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14133-2025</t>
        </is>
      </c>
      <c r="B596" s="1" t="n">
        <v>45740.47724537037</v>
      </c>
      <c r="C596" s="1" t="n">
        <v>46140</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7186-2024</t>
        </is>
      </c>
      <c r="B597" s="1" t="n">
        <v>45344</v>
      </c>
      <c r="C597" s="1" t="n">
        <v>46140</v>
      </c>
      <c r="D597" t="inlineStr">
        <is>
          <t>STOCKHOLMS LÄN</t>
        </is>
      </c>
      <c r="E597" t="inlineStr">
        <is>
          <t>NORRTÄLJE</t>
        </is>
      </c>
      <c r="G597" t="n">
        <v>4.9</v>
      </c>
      <c r="H597" t="n">
        <v>0</v>
      </c>
      <c r="I597" t="n">
        <v>0</v>
      </c>
      <c r="J597" t="n">
        <v>0</v>
      </c>
      <c r="K597" t="n">
        <v>0</v>
      </c>
      <c r="L597" t="n">
        <v>0</v>
      </c>
      <c r="M597" t="n">
        <v>0</v>
      </c>
      <c r="N597" t="n">
        <v>0</v>
      </c>
      <c r="O597" t="n">
        <v>0</v>
      </c>
      <c r="P597" t="n">
        <v>0</v>
      </c>
      <c r="Q597" t="n">
        <v>0</v>
      </c>
      <c r="R597" s="2" t="inlineStr"/>
    </row>
    <row r="598" ht="15" customHeight="1">
      <c r="A598" t="inlineStr">
        <is>
          <t>A 50333-2025</t>
        </is>
      </c>
      <c r="B598" s="1" t="n">
        <v>45944.47178240741</v>
      </c>
      <c r="C598" s="1" t="n">
        <v>46140</v>
      </c>
      <c r="D598" t="inlineStr">
        <is>
          <t>STOCKHOLMS LÄN</t>
        </is>
      </c>
      <c r="E598" t="inlineStr">
        <is>
          <t>NORRTÄLJE</t>
        </is>
      </c>
      <c r="G598" t="n">
        <v>4.2</v>
      </c>
      <c r="H598" t="n">
        <v>0</v>
      </c>
      <c r="I598" t="n">
        <v>0</v>
      </c>
      <c r="J598" t="n">
        <v>0</v>
      </c>
      <c r="K598" t="n">
        <v>0</v>
      </c>
      <c r="L598" t="n">
        <v>0</v>
      </c>
      <c r="M598" t="n">
        <v>0</v>
      </c>
      <c r="N598" t="n">
        <v>0</v>
      </c>
      <c r="O598" t="n">
        <v>0</v>
      </c>
      <c r="P598" t="n">
        <v>0</v>
      </c>
      <c r="Q598" t="n">
        <v>0</v>
      </c>
      <c r="R598" s="2" t="inlineStr"/>
    </row>
    <row r="599" ht="15" customHeight="1">
      <c r="A599" t="inlineStr">
        <is>
          <t>A 39202-2024</t>
        </is>
      </c>
      <c r="B599" s="1" t="n">
        <v>45548.72306712963</v>
      </c>
      <c r="C599" s="1" t="n">
        <v>46140</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50563-2025</t>
        </is>
      </c>
      <c r="B600" s="1" t="n">
        <v>45944</v>
      </c>
      <c r="C600" s="1" t="n">
        <v>46140</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50327-2025</t>
        </is>
      </c>
      <c r="B601" s="1" t="n">
        <v>45944.46387731482</v>
      </c>
      <c r="C601" s="1" t="n">
        <v>46140</v>
      </c>
      <c r="D601" t="inlineStr">
        <is>
          <t>STOCKHOLMS LÄN</t>
        </is>
      </c>
      <c r="E601" t="inlineStr">
        <is>
          <t>NORRTÄLJE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53792-2023</t>
        </is>
      </c>
      <c r="B602" s="1" t="n">
        <v>45231.34144675926</v>
      </c>
      <c r="C602" s="1" t="n">
        <v>46140</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11280-2023</t>
        </is>
      </c>
      <c r="B603" s="1" t="n">
        <v>44992</v>
      </c>
      <c r="C603" s="1" t="n">
        <v>46140</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57442-2021</t>
        </is>
      </c>
      <c r="B604" s="1" t="n">
        <v>44483</v>
      </c>
      <c r="C604" s="1" t="n">
        <v>46140</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19952-2023</t>
        </is>
      </c>
      <c r="B605" s="1" t="n">
        <v>45054.54091435186</v>
      </c>
      <c r="C605" s="1" t="n">
        <v>46140</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19994-2023</t>
        </is>
      </c>
      <c r="B606" s="1" t="n">
        <v>45054</v>
      </c>
      <c r="C606" s="1" t="n">
        <v>46140</v>
      </c>
      <c r="D606" t="inlineStr">
        <is>
          <t>STOCKHOLMS LÄN</t>
        </is>
      </c>
      <c r="E606" t="inlineStr">
        <is>
          <t>NORRTÄLJE</t>
        </is>
      </c>
      <c r="G606" t="n">
        <v>4.3</v>
      </c>
      <c r="H606" t="n">
        <v>0</v>
      </c>
      <c r="I606" t="n">
        <v>0</v>
      </c>
      <c r="J606" t="n">
        <v>0</v>
      </c>
      <c r="K606" t="n">
        <v>0</v>
      </c>
      <c r="L606" t="n">
        <v>0</v>
      </c>
      <c r="M606" t="n">
        <v>0</v>
      </c>
      <c r="N606" t="n">
        <v>0</v>
      </c>
      <c r="O606" t="n">
        <v>0</v>
      </c>
      <c r="P606" t="n">
        <v>0</v>
      </c>
      <c r="Q606" t="n">
        <v>0</v>
      </c>
      <c r="R606" s="2" t="inlineStr"/>
    </row>
    <row r="607" ht="15" customHeight="1">
      <c r="A607" t="inlineStr">
        <is>
          <t>A 29003-2023</t>
        </is>
      </c>
      <c r="B607" s="1" t="n">
        <v>45104</v>
      </c>
      <c r="C607" s="1" t="n">
        <v>46140</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51240-2025</t>
        </is>
      </c>
      <c r="B608" s="1" t="n">
        <v>45947.70420138889</v>
      </c>
      <c r="C608" s="1" t="n">
        <v>46140</v>
      </c>
      <c r="D608" t="inlineStr">
        <is>
          <t>STOCKHOLMS LÄN</t>
        </is>
      </c>
      <c r="E608" t="inlineStr">
        <is>
          <t>NORRTÄLJE</t>
        </is>
      </c>
      <c r="F608" t="inlineStr">
        <is>
          <t>Naturvårdsverket</t>
        </is>
      </c>
      <c r="G608" t="n">
        <v>3</v>
      </c>
      <c r="H608" t="n">
        <v>0</v>
      </c>
      <c r="I608" t="n">
        <v>0</v>
      </c>
      <c r="J608" t="n">
        <v>0</v>
      </c>
      <c r="K608" t="n">
        <v>0</v>
      </c>
      <c r="L608" t="n">
        <v>0</v>
      </c>
      <c r="M608" t="n">
        <v>0</v>
      </c>
      <c r="N608" t="n">
        <v>0</v>
      </c>
      <c r="O608" t="n">
        <v>0</v>
      </c>
      <c r="P608" t="n">
        <v>0</v>
      </c>
      <c r="Q608" t="n">
        <v>0</v>
      </c>
      <c r="R608" s="2" t="inlineStr"/>
    </row>
    <row r="609" ht="15" customHeight="1">
      <c r="A609" t="inlineStr">
        <is>
          <t>A 15956-2023</t>
        </is>
      </c>
      <c r="B609" s="1" t="n">
        <v>45022.61003472222</v>
      </c>
      <c r="C609" s="1" t="n">
        <v>46140</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51121-2025</t>
        </is>
      </c>
      <c r="B610" s="1" t="n">
        <v>45947.53293981482</v>
      </c>
      <c r="C610" s="1" t="n">
        <v>46140</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51532-2025</t>
        </is>
      </c>
      <c r="B611" s="1" t="n">
        <v>45950.68297453703</v>
      </c>
      <c r="C611" s="1" t="n">
        <v>46140</v>
      </c>
      <c r="D611" t="inlineStr">
        <is>
          <t>STOCKHOLMS LÄN</t>
        </is>
      </c>
      <c r="E611" t="inlineStr">
        <is>
          <t>NORRTÄLJE</t>
        </is>
      </c>
      <c r="F611" t="inlineStr">
        <is>
          <t>Naturvårdsverket</t>
        </is>
      </c>
      <c r="G611" t="n">
        <v>17.3</v>
      </c>
      <c r="H611" t="n">
        <v>0</v>
      </c>
      <c r="I611" t="n">
        <v>0</v>
      </c>
      <c r="J611" t="n">
        <v>0</v>
      </c>
      <c r="K611" t="n">
        <v>0</v>
      </c>
      <c r="L611" t="n">
        <v>0</v>
      </c>
      <c r="M611" t="n">
        <v>0</v>
      </c>
      <c r="N611" t="n">
        <v>0</v>
      </c>
      <c r="O611" t="n">
        <v>0</v>
      </c>
      <c r="P611" t="n">
        <v>0</v>
      </c>
      <c r="Q611" t="n">
        <v>0</v>
      </c>
      <c r="R611" s="2" t="inlineStr"/>
    </row>
    <row r="612" ht="15" customHeight="1">
      <c r="A612" t="inlineStr">
        <is>
          <t>A 13053-2022</t>
        </is>
      </c>
      <c r="B612" s="1" t="n">
        <v>44643</v>
      </c>
      <c r="C612" s="1" t="n">
        <v>46140</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3383-2023</t>
        </is>
      </c>
      <c r="B613" s="1" t="n">
        <v>44949</v>
      </c>
      <c r="C613" s="1" t="n">
        <v>46140</v>
      </c>
      <c r="D613" t="inlineStr">
        <is>
          <t>STOCKHOLMS LÄN</t>
        </is>
      </c>
      <c r="E613" t="inlineStr">
        <is>
          <t>NORRTÄLJE</t>
        </is>
      </c>
      <c r="G613" t="n">
        <v>14.6</v>
      </c>
      <c r="H613" t="n">
        <v>0</v>
      </c>
      <c r="I613" t="n">
        <v>0</v>
      </c>
      <c r="J613" t="n">
        <v>0</v>
      </c>
      <c r="K613" t="n">
        <v>0</v>
      </c>
      <c r="L613" t="n">
        <v>0</v>
      </c>
      <c r="M613" t="n">
        <v>0</v>
      </c>
      <c r="N613" t="n">
        <v>0</v>
      </c>
      <c r="O613" t="n">
        <v>0</v>
      </c>
      <c r="P613" t="n">
        <v>0</v>
      </c>
      <c r="Q613" t="n">
        <v>0</v>
      </c>
      <c r="R613" s="2" t="inlineStr"/>
    </row>
    <row r="614" ht="15" customHeight="1">
      <c r="A614" t="inlineStr">
        <is>
          <t>A 51233-2025</t>
        </is>
      </c>
      <c r="B614" s="1" t="n">
        <v>45947.68232638889</v>
      </c>
      <c r="C614" s="1" t="n">
        <v>46140</v>
      </c>
      <c r="D614" t="inlineStr">
        <is>
          <t>STOCKHOLMS LÄN</t>
        </is>
      </c>
      <c r="E614" t="inlineStr">
        <is>
          <t>NORRTÄLJE</t>
        </is>
      </c>
      <c r="F614" t="inlineStr">
        <is>
          <t>Naturvårdsverket</t>
        </is>
      </c>
      <c r="G614" t="n">
        <v>8.1</v>
      </c>
      <c r="H614" t="n">
        <v>0</v>
      </c>
      <c r="I614" t="n">
        <v>0</v>
      </c>
      <c r="J614" t="n">
        <v>0</v>
      </c>
      <c r="K614" t="n">
        <v>0</v>
      </c>
      <c r="L614" t="n">
        <v>0</v>
      </c>
      <c r="M614" t="n">
        <v>0</v>
      </c>
      <c r="N614" t="n">
        <v>0</v>
      </c>
      <c r="O614" t="n">
        <v>0</v>
      </c>
      <c r="P614" t="n">
        <v>0</v>
      </c>
      <c r="Q614" t="n">
        <v>0</v>
      </c>
      <c r="R614" s="2" t="inlineStr"/>
    </row>
    <row r="615" ht="15" customHeight="1">
      <c r="A615" t="inlineStr">
        <is>
          <t>A 51236-2025</t>
        </is>
      </c>
      <c r="B615" s="1" t="n">
        <v>45947.69078703703</v>
      </c>
      <c r="C615" s="1" t="n">
        <v>46140</v>
      </c>
      <c r="D615" t="inlineStr">
        <is>
          <t>STOCKHOLMS LÄN</t>
        </is>
      </c>
      <c r="E615" t="inlineStr">
        <is>
          <t>NORRTÄLJE</t>
        </is>
      </c>
      <c r="F615" t="inlineStr">
        <is>
          <t>Naturvårdsverket</t>
        </is>
      </c>
      <c r="G615" t="n">
        <v>6.3</v>
      </c>
      <c r="H615" t="n">
        <v>0</v>
      </c>
      <c r="I615" t="n">
        <v>0</v>
      </c>
      <c r="J615" t="n">
        <v>0</v>
      </c>
      <c r="K615" t="n">
        <v>0</v>
      </c>
      <c r="L615" t="n">
        <v>0</v>
      </c>
      <c r="M615" t="n">
        <v>0</v>
      </c>
      <c r="N615" t="n">
        <v>0</v>
      </c>
      <c r="O615" t="n">
        <v>0</v>
      </c>
      <c r="P615" t="n">
        <v>0</v>
      </c>
      <c r="Q615" t="n">
        <v>0</v>
      </c>
      <c r="R615" s="2" t="inlineStr"/>
    </row>
    <row r="616" ht="15" customHeight="1">
      <c r="A616" t="inlineStr">
        <is>
          <t>A 51241-2025</t>
        </is>
      </c>
      <c r="B616" s="1" t="n">
        <v>45947.71726851852</v>
      </c>
      <c r="C616" s="1" t="n">
        <v>46140</v>
      </c>
      <c r="D616" t="inlineStr">
        <is>
          <t>STOCKHOLMS LÄN</t>
        </is>
      </c>
      <c r="E616" t="inlineStr">
        <is>
          <t>NORRTÄLJE</t>
        </is>
      </c>
      <c r="F616" t="inlineStr">
        <is>
          <t>Naturvårdsverket</t>
        </is>
      </c>
      <c r="G616" t="n">
        <v>6.4</v>
      </c>
      <c r="H616" t="n">
        <v>0</v>
      </c>
      <c r="I616" t="n">
        <v>0</v>
      </c>
      <c r="J616" t="n">
        <v>0</v>
      </c>
      <c r="K616" t="n">
        <v>0</v>
      </c>
      <c r="L616" t="n">
        <v>0</v>
      </c>
      <c r="M616" t="n">
        <v>0</v>
      </c>
      <c r="N616" t="n">
        <v>0</v>
      </c>
      <c r="O616" t="n">
        <v>0</v>
      </c>
      <c r="P616" t="n">
        <v>0</v>
      </c>
      <c r="Q616" t="n">
        <v>0</v>
      </c>
      <c r="R616" s="2" t="inlineStr"/>
    </row>
    <row r="617" ht="15" customHeight="1">
      <c r="A617" t="inlineStr">
        <is>
          <t>A 4316-2023</t>
        </is>
      </c>
      <c r="B617" s="1" t="n">
        <v>44953.67443287037</v>
      </c>
      <c r="C617" s="1" t="n">
        <v>46140</v>
      </c>
      <c r="D617" t="inlineStr">
        <is>
          <t>STOCKHOLMS LÄN</t>
        </is>
      </c>
      <c r="E617" t="inlineStr">
        <is>
          <t>NORRTÄLJE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51122-2025</t>
        </is>
      </c>
      <c r="B618" s="1" t="n">
        <v>45947.53693287037</v>
      </c>
      <c r="C618" s="1" t="n">
        <v>46140</v>
      </c>
      <c r="D618" t="inlineStr">
        <is>
          <t>STOCKHOLMS LÄN</t>
        </is>
      </c>
      <c r="E618" t="inlineStr">
        <is>
          <t>NORRTÄLJE</t>
        </is>
      </c>
      <c r="G618" t="n">
        <v>3.8</v>
      </c>
      <c r="H618" t="n">
        <v>0</v>
      </c>
      <c r="I618" t="n">
        <v>0</v>
      </c>
      <c r="J618" t="n">
        <v>0</v>
      </c>
      <c r="K618" t="n">
        <v>0</v>
      </c>
      <c r="L618" t="n">
        <v>0</v>
      </c>
      <c r="M618" t="n">
        <v>0</v>
      </c>
      <c r="N618" t="n">
        <v>0</v>
      </c>
      <c r="O618" t="n">
        <v>0</v>
      </c>
      <c r="P618" t="n">
        <v>0</v>
      </c>
      <c r="Q618" t="n">
        <v>0</v>
      </c>
      <c r="R618" s="2" t="inlineStr"/>
    </row>
    <row r="619" ht="15" customHeight="1">
      <c r="A619" t="inlineStr">
        <is>
          <t>A 5839-2023</t>
        </is>
      </c>
      <c r="B619" s="1" t="n">
        <v>44963</v>
      </c>
      <c r="C619" s="1" t="n">
        <v>46140</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5804-2025</t>
        </is>
      </c>
      <c r="B620" s="1" t="n">
        <v>45694.68207175926</v>
      </c>
      <c r="C620" s="1" t="n">
        <v>46140</v>
      </c>
      <c r="D620" t="inlineStr">
        <is>
          <t>STOCKHOLMS LÄN</t>
        </is>
      </c>
      <c r="E620" t="inlineStr">
        <is>
          <t>NORRTÄLJE</t>
        </is>
      </c>
      <c r="F620" t="inlineStr">
        <is>
          <t>Holmen skog AB</t>
        </is>
      </c>
      <c r="G620" t="n">
        <v>2.6</v>
      </c>
      <c r="H620" t="n">
        <v>0</v>
      </c>
      <c r="I620" t="n">
        <v>0</v>
      </c>
      <c r="J620" t="n">
        <v>0</v>
      </c>
      <c r="K620" t="n">
        <v>0</v>
      </c>
      <c r="L620" t="n">
        <v>0</v>
      </c>
      <c r="M620" t="n">
        <v>0</v>
      </c>
      <c r="N620" t="n">
        <v>0</v>
      </c>
      <c r="O620" t="n">
        <v>0</v>
      </c>
      <c r="P620" t="n">
        <v>0</v>
      </c>
      <c r="Q620" t="n">
        <v>0</v>
      </c>
      <c r="R620" s="2" t="inlineStr"/>
    </row>
    <row r="621" ht="15" customHeight="1">
      <c r="A621" t="inlineStr">
        <is>
          <t>A 51945-2025</t>
        </is>
      </c>
      <c r="B621" s="1" t="n">
        <v>45952.52679398148</v>
      </c>
      <c r="C621" s="1" t="n">
        <v>46140</v>
      </c>
      <c r="D621" t="inlineStr">
        <is>
          <t>STOCKHOLMS LÄN</t>
        </is>
      </c>
      <c r="E621" t="inlineStr">
        <is>
          <t>NORRTÄLJE</t>
        </is>
      </c>
      <c r="G621" t="n">
        <v>7</v>
      </c>
      <c r="H621" t="n">
        <v>0</v>
      </c>
      <c r="I621" t="n">
        <v>0</v>
      </c>
      <c r="J621" t="n">
        <v>0</v>
      </c>
      <c r="K621" t="n">
        <v>0</v>
      </c>
      <c r="L621" t="n">
        <v>0</v>
      </c>
      <c r="M621" t="n">
        <v>0</v>
      </c>
      <c r="N621" t="n">
        <v>0</v>
      </c>
      <c r="O621" t="n">
        <v>0</v>
      </c>
      <c r="P621" t="n">
        <v>0</v>
      </c>
      <c r="Q621" t="n">
        <v>0</v>
      </c>
      <c r="R621" s="2" t="inlineStr"/>
    </row>
    <row r="622" ht="15" customHeight="1">
      <c r="A622" t="inlineStr">
        <is>
          <t>A 24705-2023</t>
        </is>
      </c>
      <c r="B622" s="1" t="n">
        <v>45084.54459490741</v>
      </c>
      <c r="C622" s="1" t="n">
        <v>46140</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51941-2025</t>
        </is>
      </c>
      <c r="B623" s="1" t="n">
        <v>45952.52261574074</v>
      </c>
      <c r="C623" s="1" t="n">
        <v>46140</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52061-2025</t>
        </is>
      </c>
      <c r="B624" s="1" t="n">
        <v>45952.63679398148</v>
      </c>
      <c r="C624" s="1" t="n">
        <v>46140</v>
      </c>
      <c r="D624" t="inlineStr">
        <is>
          <t>STOCKHOLMS LÄN</t>
        </is>
      </c>
      <c r="E624" t="inlineStr">
        <is>
          <t>NORRTÄLJE</t>
        </is>
      </c>
      <c r="G624" t="n">
        <v>9.5</v>
      </c>
      <c r="H624" t="n">
        <v>0</v>
      </c>
      <c r="I624" t="n">
        <v>0</v>
      </c>
      <c r="J624" t="n">
        <v>0</v>
      </c>
      <c r="K624" t="n">
        <v>0</v>
      </c>
      <c r="L624" t="n">
        <v>0</v>
      </c>
      <c r="M624" t="n">
        <v>0</v>
      </c>
      <c r="N624" t="n">
        <v>0</v>
      </c>
      <c r="O624" t="n">
        <v>0</v>
      </c>
      <c r="P624" t="n">
        <v>0</v>
      </c>
      <c r="Q624" t="n">
        <v>0</v>
      </c>
      <c r="R624" s="2" t="inlineStr"/>
    </row>
    <row r="625" ht="15" customHeight="1">
      <c r="A625" t="inlineStr">
        <is>
          <t>A 51960-2025</t>
        </is>
      </c>
      <c r="B625" s="1" t="n">
        <v>45952.54755787037</v>
      </c>
      <c r="C625" s="1" t="n">
        <v>46140</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51789-2025</t>
        </is>
      </c>
      <c r="B626" s="1" t="n">
        <v>45951.68046296296</v>
      </c>
      <c r="C626" s="1" t="n">
        <v>46140</v>
      </c>
      <c r="D626" t="inlineStr">
        <is>
          <t>STOCKHOLMS LÄN</t>
        </is>
      </c>
      <c r="E626" t="inlineStr">
        <is>
          <t>NORRTÄLJE</t>
        </is>
      </c>
      <c r="F626" t="inlineStr">
        <is>
          <t>Naturvårdsverket</t>
        </is>
      </c>
      <c r="G626" t="n">
        <v>8.9</v>
      </c>
      <c r="H626" t="n">
        <v>0</v>
      </c>
      <c r="I626" t="n">
        <v>0</v>
      </c>
      <c r="J626" t="n">
        <v>0</v>
      </c>
      <c r="K626" t="n">
        <v>0</v>
      </c>
      <c r="L626" t="n">
        <v>0</v>
      </c>
      <c r="M626" t="n">
        <v>0</v>
      </c>
      <c r="N626" t="n">
        <v>0</v>
      </c>
      <c r="O626" t="n">
        <v>0</v>
      </c>
      <c r="P626" t="n">
        <v>0</v>
      </c>
      <c r="Q626" t="n">
        <v>0</v>
      </c>
      <c r="R626" s="2" t="inlineStr"/>
    </row>
    <row r="627" ht="15" customHeight="1">
      <c r="A627" t="inlineStr">
        <is>
          <t>A 54358-2022</t>
        </is>
      </c>
      <c r="B627" s="1" t="n">
        <v>44882</v>
      </c>
      <c r="C627" s="1" t="n">
        <v>46140</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52529-2025</t>
        </is>
      </c>
      <c r="B628" s="1" t="n">
        <v>45954.53229166667</v>
      </c>
      <c r="C628" s="1" t="n">
        <v>46140</v>
      </c>
      <c r="D628" t="inlineStr">
        <is>
          <t>STOCKHOLMS LÄN</t>
        </is>
      </c>
      <c r="E628" t="inlineStr">
        <is>
          <t>NORRTÄLJE</t>
        </is>
      </c>
      <c r="F628" t="inlineStr">
        <is>
          <t>Sveaskog</t>
        </is>
      </c>
      <c r="G628" t="n">
        <v>7.8</v>
      </c>
      <c r="H628" t="n">
        <v>0</v>
      </c>
      <c r="I628" t="n">
        <v>0</v>
      </c>
      <c r="J628" t="n">
        <v>0</v>
      </c>
      <c r="K628" t="n">
        <v>0</v>
      </c>
      <c r="L628" t="n">
        <v>0</v>
      </c>
      <c r="M628" t="n">
        <v>0</v>
      </c>
      <c r="N628" t="n">
        <v>0</v>
      </c>
      <c r="O628" t="n">
        <v>0</v>
      </c>
      <c r="P628" t="n">
        <v>0</v>
      </c>
      <c r="Q628" t="n">
        <v>0</v>
      </c>
      <c r="R628" s="2" t="inlineStr"/>
    </row>
    <row r="629" ht="15" customHeight="1">
      <c r="A629" t="inlineStr">
        <is>
          <t>A 52251-2025</t>
        </is>
      </c>
      <c r="B629" s="1" t="n">
        <v>45953.49185185185</v>
      </c>
      <c r="C629" s="1" t="n">
        <v>46140</v>
      </c>
      <c r="D629" t="inlineStr">
        <is>
          <t>STOCKHOLMS LÄN</t>
        </is>
      </c>
      <c r="E629" t="inlineStr">
        <is>
          <t>NORRTÄLJE</t>
        </is>
      </c>
      <c r="G629" t="n">
        <v>6.2</v>
      </c>
      <c r="H629" t="n">
        <v>0</v>
      </c>
      <c r="I629" t="n">
        <v>0</v>
      </c>
      <c r="J629" t="n">
        <v>0</v>
      </c>
      <c r="K629" t="n">
        <v>0</v>
      </c>
      <c r="L629" t="n">
        <v>0</v>
      </c>
      <c r="M629" t="n">
        <v>0</v>
      </c>
      <c r="N629" t="n">
        <v>0</v>
      </c>
      <c r="O629" t="n">
        <v>0</v>
      </c>
      <c r="P629" t="n">
        <v>0</v>
      </c>
      <c r="Q629" t="n">
        <v>0</v>
      </c>
      <c r="R629" s="2" t="inlineStr"/>
    </row>
    <row r="630" ht="15" customHeight="1">
      <c r="A630" t="inlineStr">
        <is>
          <t>A 52254-2025</t>
        </is>
      </c>
      <c r="B630" s="1" t="n">
        <v>45953.49519675926</v>
      </c>
      <c r="C630" s="1" t="n">
        <v>46140</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52526-2025</t>
        </is>
      </c>
      <c r="B631" s="1" t="n">
        <v>45954.53061342592</v>
      </c>
      <c r="C631" s="1" t="n">
        <v>46140</v>
      </c>
      <c r="D631" t="inlineStr">
        <is>
          <t>STOCKHOLMS LÄN</t>
        </is>
      </c>
      <c r="E631" t="inlineStr">
        <is>
          <t>NORRTÄLJE</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23749-2024</t>
        </is>
      </c>
      <c r="B632" s="1" t="n">
        <v>45455.33037037037</v>
      </c>
      <c r="C632" s="1" t="n">
        <v>46140</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35698-2023</t>
        </is>
      </c>
      <c r="B633" s="1" t="n">
        <v>45147</v>
      </c>
      <c r="C633" s="1" t="n">
        <v>46140</v>
      </c>
      <c r="D633" t="inlineStr">
        <is>
          <t>STOCKHOLMS LÄN</t>
        </is>
      </c>
      <c r="E633" t="inlineStr">
        <is>
          <t>NORRTÄLJE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73992-2021</t>
        </is>
      </c>
      <c r="B634" s="1" t="n">
        <v>44556</v>
      </c>
      <c r="C634" s="1" t="n">
        <v>46140</v>
      </c>
      <c r="D634" t="inlineStr">
        <is>
          <t>STOCKHOLMS LÄN</t>
        </is>
      </c>
      <c r="E634" t="inlineStr">
        <is>
          <t>NORRTÄLJE</t>
        </is>
      </c>
      <c r="G634" t="n">
        <v>12.5</v>
      </c>
      <c r="H634" t="n">
        <v>0</v>
      </c>
      <c r="I634" t="n">
        <v>0</v>
      </c>
      <c r="J634" t="n">
        <v>0</v>
      </c>
      <c r="K634" t="n">
        <v>0</v>
      </c>
      <c r="L634" t="n">
        <v>0</v>
      </c>
      <c r="M634" t="n">
        <v>0</v>
      </c>
      <c r="N634" t="n">
        <v>0</v>
      </c>
      <c r="O634" t="n">
        <v>0</v>
      </c>
      <c r="P634" t="n">
        <v>0</v>
      </c>
      <c r="Q634" t="n">
        <v>0</v>
      </c>
      <c r="R634" s="2" t="inlineStr"/>
    </row>
    <row r="635" ht="15" customHeight="1">
      <c r="A635" t="inlineStr">
        <is>
          <t>A 21329-2022</t>
        </is>
      </c>
      <c r="B635" s="1" t="n">
        <v>44705.60626157407</v>
      </c>
      <c r="C635" s="1" t="n">
        <v>46140</v>
      </c>
      <c r="D635" t="inlineStr">
        <is>
          <t>STOCKHOLMS LÄN</t>
        </is>
      </c>
      <c r="E635" t="inlineStr">
        <is>
          <t>NORRTÄLJE</t>
        </is>
      </c>
      <c r="G635" t="n">
        <v>4.1</v>
      </c>
      <c r="H635" t="n">
        <v>0</v>
      </c>
      <c r="I635" t="n">
        <v>0</v>
      </c>
      <c r="J635" t="n">
        <v>0</v>
      </c>
      <c r="K635" t="n">
        <v>0</v>
      </c>
      <c r="L635" t="n">
        <v>0</v>
      </c>
      <c r="M635" t="n">
        <v>0</v>
      </c>
      <c r="N635" t="n">
        <v>0</v>
      </c>
      <c r="O635" t="n">
        <v>0</v>
      </c>
      <c r="P635" t="n">
        <v>0</v>
      </c>
      <c r="Q635" t="n">
        <v>0</v>
      </c>
      <c r="R635" s="2" t="inlineStr"/>
    </row>
    <row r="636" ht="15" customHeight="1">
      <c r="A636" t="inlineStr">
        <is>
          <t>A 54276-2021</t>
        </is>
      </c>
      <c r="B636" s="1" t="n">
        <v>44470</v>
      </c>
      <c r="C636" s="1" t="n">
        <v>46140</v>
      </c>
      <c r="D636" t="inlineStr">
        <is>
          <t>STOCKHOLMS LÄN</t>
        </is>
      </c>
      <c r="E636" t="inlineStr">
        <is>
          <t>NORRTÄLJE</t>
        </is>
      </c>
      <c r="G636" t="n">
        <v>7.3</v>
      </c>
      <c r="H636" t="n">
        <v>0</v>
      </c>
      <c r="I636" t="n">
        <v>0</v>
      </c>
      <c r="J636" t="n">
        <v>0</v>
      </c>
      <c r="K636" t="n">
        <v>0</v>
      </c>
      <c r="L636" t="n">
        <v>0</v>
      </c>
      <c r="M636" t="n">
        <v>0</v>
      </c>
      <c r="N636" t="n">
        <v>0</v>
      </c>
      <c r="O636" t="n">
        <v>0</v>
      </c>
      <c r="P636" t="n">
        <v>0</v>
      </c>
      <c r="Q636" t="n">
        <v>0</v>
      </c>
      <c r="R636" s="2" t="inlineStr"/>
    </row>
    <row r="637" ht="15" customHeight="1">
      <c r="A637" t="inlineStr">
        <is>
          <t>A 52729-2025</t>
        </is>
      </c>
      <c r="B637" s="1" t="n">
        <v>45957.3636574074</v>
      </c>
      <c r="C637" s="1" t="n">
        <v>46140</v>
      </c>
      <c r="D637" t="inlineStr">
        <is>
          <t>STOCKHOLMS LÄN</t>
        </is>
      </c>
      <c r="E637" t="inlineStr">
        <is>
          <t>NORRTÄLJE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52777-2025</t>
        </is>
      </c>
      <c r="B638" s="1" t="n">
        <v>45957.41832175926</v>
      </c>
      <c r="C638" s="1" t="n">
        <v>46140</v>
      </c>
      <c r="D638" t="inlineStr">
        <is>
          <t>STOCKHOLMS LÄN</t>
        </is>
      </c>
      <c r="E638" t="inlineStr">
        <is>
          <t>NORRTÄLJE</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52553-2025</t>
        </is>
      </c>
      <c r="B639" s="1" t="n">
        <v>45954.5624537037</v>
      </c>
      <c r="C639" s="1" t="n">
        <v>46140</v>
      </c>
      <c r="D639" t="inlineStr">
        <is>
          <t>STOCKHOLMS LÄN</t>
        </is>
      </c>
      <c r="E639" t="inlineStr">
        <is>
          <t>NORRTÄLJE</t>
        </is>
      </c>
      <c r="G639" t="n">
        <v>4.4</v>
      </c>
      <c r="H639" t="n">
        <v>0</v>
      </c>
      <c r="I639" t="n">
        <v>0</v>
      </c>
      <c r="J639" t="n">
        <v>0</v>
      </c>
      <c r="K639" t="n">
        <v>0</v>
      </c>
      <c r="L639" t="n">
        <v>0</v>
      </c>
      <c r="M639" t="n">
        <v>0</v>
      </c>
      <c r="N639" t="n">
        <v>0</v>
      </c>
      <c r="O639" t="n">
        <v>0</v>
      </c>
      <c r="P639" t="n">
        <v>0</v>
      </c>
      <c r="Q639" t="n">
        <v>0</v>
      </c>
      <c r="R639" s="2" t="inlineStr"/>
    </row>
    <row r="640" ht="15" customHeight="1">
      <c r="A640" t="inlineStr">
        <is>
          <t>A 53087-2025</t>
        </is>
      </c>
      <c r="B640" s="1" t="n">
        <v>45958.41065972222</v>
      </c>
      <c r="C640" s="1" t="n">
        <v>46140</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10090-2022</t>
        </is>
      </c>
      <c r="B641" s="1" t="n">
        <v>44621</v>
      </c>
      <c r="C641" s="1" t="n">
        <v>46140</v>
      </c>
      <c r="D641" t="inlineStr">
        <is>
          <t>STOCKHOLMS LÄN</t>
        </is>
      </c>
      <c r="E641" t="inlineStr">
        <is>
          <t>NORRTÄLJE</t>
        </is>
      </c>
      <c r="G641" t="n">
        <v>5.2</v>
      </c>
      <c r="H641" t="n">
        <v>0</v>
      </c>
      <c r="I641" t="n">
        <v>0</v>
      </c>
      <c r="J641" t="n">
        <v>0</v>
      </c>
      <c r="K641" t="n">
        <v>0</v>
      </c>
      <c r="L641" t="n">
        <v>0</v>
      </c>
      <c r="M641" t="n">
        <v>0</v>
      </c>
      <c r="N641" t="n">
        <v>0</v>
      </c>
      <c r="O641" t="n">
        <v>0</v>
      </c>
      <c r="P641" t="n">
        <v>0</v>
      </c>
      <c r="Q641" t="n">
        <v>0</v>
      </c>
      <c r="R641" s="2" t="inlineStr"/>
    </row>
    <row r="642" ht="15" customHeight="1">
      <c r="A642" t="inlineStr">
        <is>
          <t>A 13785-2024</t>
        </is>
      </c>
      <c r="B642" s="1" t="n">
        <v>45391.3395949074</v>
      </c>
      <c r="C642" s="1" t="n">
        <v>46140</v>
      </c>
      <c r="D642" t="inlineStr">
        <is>
          <t>STOCKHOLMS LÄN</t>
        </is>
      </c>
      <c r="E642" t="inlineStr">
        <is>
          <t>NORRTÄLJE</t>
        </is>
      </c>
      <c r="G642" t="n">
        <v>5</v>
      </c>
      <c r="H642" t="n">
        <v>0</v>
      </c>
      <c r="I642" t="n">
        <v>0</v>
      </c>
      <c r="J642" t="n">
        <v>0</v>
      </c>
      <c r="K642" t="n">
        <v>0</v>
      </c>
      <c r="L642" t="n">
        <v>0</v>
      </c>
      <c r="M642" t="n">
        <v>0</v>
      </c>
      <c r="N642" t="n">
        <v>0</v>
      </c>
      <c r="O642" t="n">
        <v>0</v>
      </c>
      <c r="P642" t="n">
        <v>0</v>
      </c>
      <c r="Q642" t="n">
        <v>0</v>
      </c>
      <c r="R642" s="2" t="inlineStr"/>
    </row>
    <row r="643" ht="15" customHeight="1">
      <c r="A643" t="inlineStr">
        <is>
          <t>A 52704-2025</t>
        </is>
      </c>
      <c r="B643" s="1" t="n">
        <v>45956.89097222222</v>
      </c>
      <c r="C643" s="1" t="n">
        <v>46140</v>
      </c>
      <c r="D643" t="inlineStr">
        <is>
          <t>STOCKHOLMS LÄN</t>
        </is>
      </c>
      <c r="E643" t="inlineStr">
        <is>
          <t>NORRTÄLJE</t>
        </is>
      </c>
      <c r="G643" t="n">
        <v>2.3</v>
      </c>
      <c r="H643" t="n">
        <v>0</v>
      </c>
      <c r="I643" t="n">
        <v>0</v>
      </c>
      <c r="J643" t="n">
        <v>0</v>
      </c>
      <c r="K643" t="n">
        <v>0</v>
      </c>
      <c r="L643" t="n">
        <v>0</v>
      </c>
      <c r="M643" t="n">
        <v>0</v>
      </c>
      <c r="N643" t="n">
        <v>0</v>
      </c>
      <c r="O643" t="n">
        <v>0</v>
      </c>
      <c r="P643" t="n">
        <v>0</v>
      </c>
      <c r="Q643" t="n">
        <v>0</v>
      </c>
      <c r="R643" s="2" t="inlineStr"/>
    </row>
    <row r="644" ht="15" customHeight="1">
      <c r="A644" t="inlineStr">
        <is>
          <t>A 52734-2025</t>
        </is>
      </c>
      <c r="B644" s="1" t="n">
        <v>45957.3710300926</v>
      </c>
      <c r="C644" s="1" t="n">
        <v>46140</v>
      </c>
      <c r="D644" t="inlineStr">
        <is>
          <t>STOCKHOLMS LÄN</t>
        </is>
      </c>
      <c r="E644" t="inlineStr">
        <is>
          <t>NORRTÄLJE</t>
        </is>
      </c>
      <c r="G644" t="n">
        <v>0.5</v>
      </c>
      <c r="H644" t="n">
        <v>0</v>
      </c>
      <c r="I644" t="n">
        <v>0</v>
      </c>
      <c r="J644" t="n">
        <v>0</v>
      </c>
      <c r="K644" t="n">
        <v>0</v>
      </c>
      <c r="L644" t="n">
        <v>0</v>
      </c>
      <c r="M644" t="n">
        <v>0</v>
      </c>
      <c r="N644" t="n">
        <v>0</v>
      </c>
      <c r="O644" t="n">
        <v>0</v>
      </c>
      <c r="P644" t="n">
        <v>0</v>
      </c>
      <c r="Q644" t="n">
        <v>0</v>
      </c>
      <c r="R644" s="2" t="inlineStr"/>
    </row>
    <row r="645" ht="15" customHeight="1">
      <c r="A645" t="inlineStr">
        <is>
          <t>A 51116-2022</t>
        </is>
      </c>
      <c r="B645" s="1" t="n">
        <v>44868.45741898148</v>
      </c>
      <c r="C645" s="1" t="n">
        <v>46140</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52773-2025</t>
        </is>
      </c>
      <c r="B646" s="1" t="n">
        <v>45957.41457175926</v>
      </c>
      <c r="C646" s="1" t="n">
        <v>46140</v>
      </c>
      <c r="D646" t="inlineStr">
        <is>
          <t>STOCKHOLMS LÄN</t>
        </is>
      </c>
      <c r="E646" t="inlineStr">
        <is>
          <t>NORRTÄLJE</t>
        </is>
      </c>
      <c r="F646" t="inlineStr">
        <is>
          <t>Sveaskog</t>
        </is>
      </c>
      <c r="G646" t="n">
        <v>10.5</v>
      </c>
      <c r="H646" t="n">
        <v>0</v>
      </c>
      <c r="I646" t="n">
        <v>0</v>
      </c>
      <c r="J646" t="n">
        <v>0</v>
      </c>
      <c r="K646" t="n">
        <v>0</v>
      </c>
      <c r="L646" t="n">
        <v>0</v>
      </c>
      <c r="M646" t="n">
        <v>0</v>
      </c>
      <c r="N646" t="n">
        <v>0</v>
      </c>
      <c r="O646" t="n">
        <v>0</v>
      </c>
      <c r="P646" t="n">
        <v>0</v>
      </c>
      <c r="Q646" t="n">
        <v>0</v>
      </c>
      <c r="R646" s="2" t="inlineStr"/>
    </row>
    <row r="647" ht="15" customHeight="1">
      <c r="A647" t="inlineStr">
        <is>
          <t>A 52776-2025</t>
        </is>
      </c>
      <c r="B647" s="1" t="n">
        <v>45957.41724537037</v>
      </c>
      <c r="C647" s="1" t="n">
        <v>46140</v>
      </c>
      <c r="D647" t="inlineStr">
        <is>
          <t>STOCKHOLMS LÄN</t>
        </is>
      </c>
      <c r="E647" t="inlineStr">
        <is>
          <t>NORRTÄLJE</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52703-2025</t>
        </is>
      </c>
      <c r="B648" s="1" t="n">
        <v>45956.88643518519</v>
      </c>
      <c r="C648" s="1" t="n">
        <v>46140</v>
      </c>
      <c r="D648" t="inlineStr">
        <is>
          <t>STOCKHOLMS LÄN</t>
        </is>
      </c>
      <c r="E648" t="inlineStr">
        <is>
          <t>NORRTÄLJE</t>
        </is>
      </c>
      <c r="G648" t="n">
        <v>4.7</v>
      </c>
      <c r="H648" t="n">
        <v>0</v>
      </c>
      <c r="I648" t="n">
        <v>0</v>
      </c>
      <c r="J648" t="n">
        <v>0</v>
      </c>
      <c r="K648" t="n">
        <v>0</v>
      </c>
      <c r="L648" t="n">
        <v>0</v>
      </c>
      <c r="M648" t="n">
        <v>0</v>
      </c>
      <c r="N648" t="n">
        <v>0</v>
      </c>
      <c r="O648" t="n">
        <v>0</v>
      </c>
      <c r="P648" t="n">
        <v>0</v>
      </c>
      <c r="Q648" t="n">
        <v>0</v>
      </c>
      <c r="R648" s="2" t="inlineStr"/>
    </row>
    <row r="649" ht="15" customHeight="1">
      <c r="A649" t="inlineStr">
        <is>
          <t>A 29972-2024</t>
        </is>
      </c>
      <c r="B649" s="1" t="n">
        <v>45485</v>
      </c>
      <c r="C649" s="1" t="n">
        <v>46140</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28809-2023</t>
        </is>
      </c>
      <c r="B650" s="1" t="n">
        <v>45104</v>
      </c>
      <c r="C650" s="1" t="n">
        <v>46140</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28813-2023</t>
        </is>
      </c>
      <c r="B651" s="1" t="n">
        <v>45104</v>
      </c>
      <c r="C651" s="1" t="n">
        <v>46140</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19131-2025</t>
        </is>
      </c>
      <c r="B652" s="1" t="n">
        <v>45769</v>
      </c>
      <c r="C652" s="1" t="n">
        <v>46140</v>
      </c>
      <c r="D652" t="inlineStr">
        <is>
          <t>STOCKHOLMS LÄN</t>
        </is>
      </c>
      <c r="E652" t="inlineStr">
        <is>
          <t>NORRTÄLJE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11929-2024</t>
        </is>
      </c>
      <c r="B653" s="1" t="n">
        <v>45376.64532407407</v>
      </c>
      <c r="C653" s="1" t="n">
        <v>46140</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64145-2021</t>
        </is>
      </c>
      <c r="B654" s="1" t="n">
        <v>44510</v>
      </c>
      <c r="C654" s="1" t="n">
        <v>46140</v>
      </c>
      <c r="D654" t="inlineStr">
        <is>
          <t>STOCKHOLMS LÄN</t>
        </is>
      </c>
      <c r="E654" t="inlineStr">
        <is>
          <t>NORRTÄLJE</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45451-2024</t>
        </is>
      </c>
      <c r="B655" s="1" t="n">
        <v>45576</v>
      </c>
      <c r="C655" s="1" t="n">
        <v>46140</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53000-2025</t>
        </is>
      </c>
      <c r="B656" s="1" t="n">
        <v>45957.74357638889</v>
      </c>
      <c r="C656" s="1" t="n">
        <v>46140</v>
      </c>
      <c r="D656" t="inlineStr">
        <is>
          <t>STOCKHOLMS LÄN</t>
        </is>
      </c>
      <c r="E656" t="inlineStr">
        <is>
          <t>NORRTÄLJE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53115-2025</t>
        </is>
      </c>
      <c r="B657" s="1" t="n">
        <v>45958.44614583333</v>
      </c>
      <c r="C657" s="1" t="n">
        <v>46140</v>
      </c>
      <c r="D657" t="inlineStr">
        <is>
          <t>STOCKHOLMS LÄN</t>
        </is>
      </c>
      <c r="E657" t="inlineStr">
        <is>
          <t>NORRTÄLJE</t>
        </is>
      </c>
      <c r="F657" t="inlineStr">
        <is>
          <t>Kyrkan</t>
        </is>
      </c>
      <c r="G657" t="n">
        <v>2.5</v>
      </c>
      <c r="H657" t="n">
        <v>0</v>
      </c>
      <c r="I657" t="n">
        <v>0</v>
      </c>
      <c r="J657" t="n">
        <v>0</v>
      </c>
      <c r="K657" t="n">
        <v>0</v>
      </c>
      <c r="L657" t="n">
        <v>0</v>
      </c>
      <c r="M657" t="n">
        <v>0</v>
      </c>
      <c r="N657" t="n">
        <v>0</v>
      </c>
      <c r="O657" t="n">
        <v>0</v>
      </c>
      <c r="P657" t="n">
        <v>0</v>
      </c>
      <c r="Q657" t="n">
        <v>0</v>
      </c>
      <c r="R657" s="2" t="inlineStr"/>
    </row>
    <row r="658" ht="15" customHeight="1">
      <c r="A658" t="inlineStr">
        <is>
          <t>A 53629-2025</t>
        </is>
      </c>
      <c r="B658" s="1" t="n">
        <v>45960.49570601852</v>
      </c>
      <c r="C658" s="1" t="n">
        <v>46140</v>
      </c>
      <c r="D658" t="inlineStr">
        <is>
          <t>STOCKHOLMS LÄN</t>
        </is>
      </c>
      <c r="E658" t="inlineStr">
        <is>
          <t>NORRTÄLJE</t>
        </is>
      </c>
      <c r="F658" t="inlineStr">
        <is>
          <t>Naturvårdsverket</t>
        </is>
      </c>
      <c r="G658" t="n">
        <v>7.9</v>
      </c>
      <c r="H658" t="n">
        <v>0</v>
      </c>
      <c r="I658" t="n">
        <v>0</v>
      </c>
      <c r="J658" t="n">
        <v>0</v>
      </c>
      <c r="K658" t="n">
        <v>0</v>
      </c>
      <c r="L658" t="n">
        <v>0</v>
      </c>
      <c r="M658" t="n">
        <v>0</v>
      </c>
      <c r="N658" t="n">
        <v>0</v>
      </c>
      <c r="O658" t="n">
        <v>0</v>
      </c>
      <c r="P658" t="n">
        <v>0</v>
      </c>
      <c r="Q658" t="n">
        <v>0</v>
      </c>
      <c r="R658" s="2" t="inlineStr"/>
    </row>
    <row r="659" ht="15" customHeight="1">
      <c r="A659" t="inlineStr">
        <is>
          <t>A 53747-2025</t>
        </is>
      </c>
      <c r="B659" s="1" t="n">
        <v>45960.65415509259</v>
      </c>
      <c r="C659" s="1" t="n">
        <v>46140</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53299-2025</t>
        </is>
      </c>
      <c r="B660" s="1" t="n">
        <v>45959.31901620371</v>
      </c>
      <c r="C660" s="1" t="n">
        <v>46140</v>
      </c>
      <c r="D660" t="inlineStr">
        <is>
          <t>STOCKHOLMS LÄN</t>
        </is>
      </c>
      <c r="E660" t="inlineStr">
        <is>
          <t>NORRTÄLJE</t>
        </is>
      </c>
      <c r="G660" t="n">
        <v>4.8</v>
      </c>
      <c r="H660" t="n">
        <v>0</v>
      </c>
      <c r="I660" t="n">
        <v>0</v>
      </c>
      <c r="J660" t="n">
        <v>0</v>
      </c>
      <c r="K660" t="n">
        <v>0</v>
      </c>
      <c r="L660" t="n">
        <v>0</v>
      </c>
      <c r="M660" t="n">
        <v>0</v>
      </c>
      <c r="N660" t="n">
        <v>0</v>
      </c>
      <c r="O660" t="n">
        <v>0</v>
      </c>
      <c r="P660" t="n">
        <v>0</v>
      </c>
      <c r="Q660" t="n">
        <v>0</v>
      </c>
      <c r="R660" s="2" t="inlineStr"/>
    </row>
    <row r="661" ht="15" customHeight="1">
      <c r="A661" t="inlineStr">
        <is>
          <t>A 17843-2024</t>
        </is>
      </c>
      <c r="B661" s="1" t="n">
        <v>45418</v>
      </c>
      <c r="C661" s="1" t="n">
        <v>46140</v>
      </c>
      <c r="D661" t="inlineStr">
        <is>
          <t>STOCKHOLMS LÄN</t>
        </is>
      </c>
      <c r="E661" t="inlineStr">
        <is>
          <t>NORRTÄLJE</t>
        </is>
      </c>
      <c r="G661" t="n">
        <v>5.4</v>
      </c>
      <c r="H661" t="n">
        <v>0</v>
      </c>
      <c r="I661" t="n">
        <v>0</v>
      </c>
      <c r="J661" t="n">
        <v>0</v>
      </c>
      <c r="K661" t="n">
        <v>0</v>
      </c>
      <c r="L661" t="n">
        <v>0</v>
      </c>
      <c r="M661" t="n">
        <v>0</v>
      </c>
      <c r="N661" t="n">
        <v>0</v>
      </c>
      <c r="O661" t="n">
        <v>0</v>
      </c>
      <c r="P661" t="n">
        <v>0</v>
      </c>
      <c r="Q661" t="n">
        <v>0</v>
      </c>
      <c r="R661" s="2" t="inlineStr"/>
    </row>
    <row r="662" ht="15" customHeight="1">
      <c r="A662" t="inlineStr">
        <is>
          <t>A 12890-2024</t>
        </is>
      </c>
      <c r="B662" s="1" t="n">
        <v>45385.36243055556</v>
      </c>
      <c r="C662" s="1" t="n">
        <v>46140</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36430-2024</t>
        </is>
      </c>
      <c r="B663" s="1" t="n">
        <v>45536</v>
      </c>
      <c r="C663" s="1" t="n">
        <v>46140</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41172-2023</t>
        </is>
      </c>
      <c r="B664" s="1" t="n">
        <v>45170</v>
      </c>
      <c r="C664" s="1" t="n">
        <v>46140</v>
      </c>
      <c r="D664" t="inlineStr">
        <is>
          <t>STOCKHOLMS LÄN</t>
        </is>
      </c>
      <c r="E664" t="inlineStr">
        <is>
          <t>NORRTÄLJE</t>
        </is>
      </c>
      <c r="G664" t="n">
        <v>1.6</v>
      </c>
      <c r="H664" t="n">
        <v>0</v>
      </c>
      <c r="I664" t="n">
        <v>0</v>
      </c>
      <c r="J664" t="n">
        <v>0</v>
      </c>
      <c r="K664" t="n">
        <v>0</v>
      </c>
      <c r="L664" t="n">
        <v>0</v>
      </c>
      <c r="M664" t="n">
        <v>0</v>
      </c>
      <c r="N664" t="n">
        <v>0</v>
      </c>
      <c r="O664" t="n">
        <v>0</v>
      </c>
      <c r="P664" t="n">
        <v>0</v>
      </c>
      <c r="Q664" t="n">
        <v>0</v>
      </c>
      <c r="R664" s="2" t="inlineStr"/>
    </row>
    <row r="665" ht="15" customHeight="1">
      <c r="A665" t="inlineStr">
        <is>
          <t>A 67921-2021</t>
        </is>
      </c>
      <c r="B665" s="1" t="n">
        <v>44525</v>
      </c>
      <c r="C665" s="1" t="n">
        <v>46140</v>
      </c>
      <c r="D665" t="inlineStr">
        <is>
          <t>STOCKHOLMS LÄN</t>
        </is>
      </c>
      <c r="E665" t="inlineStr">
        <is>
          <t>NORRTÄLJE</t>
        </is>
      </c>
      <c r="G665" t="n">
        <v>6.3</v>
      </c>
      <c r="H665" t="n">
        <v>0</v>
      </c>
      <c r="I665" t="n">
        <v>0</v>
      </c>
      <c r="J665" t="n">
        <v>0</v>
      </c>
      <c r="K665" t="n">
        <v>0</v>
      </c>
      <c r="L665" t="n">
        <v>0</v>
      </c>
      <c r="M665" t="n">
        <v>0</v>
      </c>
      <c r="N665" t="n">
        <v>0</v>
      </c>
      <c r="O665" t="n">
        <v>0</v>
      </c>
      <c r="P665" t="n">
        <v>0</v>
      </c>
      <c r="Q665" t="n">
        <v>0</v>
      </c>
      <c r="R665" s="2" t="inlineStr"/>
    </row>
    <row r="666" ht="15" customHeight="1">
      <c r="A666" t="inlineStr">
        <is>
          <t>A 72704-2021</t>
        </is>
      </c>
      <c r="B666" s="1" t="n">
        <v>44546</v>
      </c>
      <c r="C666" s="1" t="n">
        <v>46140</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65499-2021</t>
        </is>
      </c>
      <c r="B667" s="1" t="n">
        <v>44516</v>
      </c>
      <c r="C667" s="1" t="n">
        <v>46140</v>
      </c>
      <c r="D667" t="inlineStr">
        <is>
          <t>STOCKHOLMS LÄN</t>
        </is>
      </c>
      <c r="E667" t="inlineStr">
        <is>
          <t>NORRTÄLJE</t>
        </is>
      </c>
      <c r="F667" t="inlineStr">
        <is>
          <t>Kommuner</t>
        </is>
      </c>
      <c r="G667" t="n">
        <v>5.2</v>
      </c>
      <c r="H667" t="n">
        <v>0</v>
      </c>
      <c r="I667" t="n">
        <v>0</v>
      </c>
      <c r="J667" t="n">
        <v>0</v>
      </c>
      <c r="K667" t="n">
        <v>0</v>
      </c>
      <c r="L667" t="n">
        <v>0</v>
      </c>
      <c r="M667" t="n">
        <v>0</v>
      </c>
      <c r="N667" t="n">
        <v>0</v>
      </c>
      <c r="O667" t="n">
        <v>0</v>
      </c>
      <c r="P667" t="n">
        <v>0</v>
      </c>
      <c r="Q667" t="n">
        <v>0</v>
      </c>
      <c r="R667" s="2" t="inlineStr"/>
    </row>
    <row r="668" ht="15" customHeight="1">
      <c r="A668" t="inlineStr">
        <is>
          <t>A 65511-2021</t>
        </is>
      </c>
      <c r="B668" s="1" t="n">
        <v>44516.40674768519</v>
      </c>
      <c r="C668" s="1" t="n">
        <v>46140</v>
      </c>
      <c r="D668" t="inlineStr">
        <is>
          <t>STOCKHOLMS LÄN</t>
        </is>
      </c>
      <c r="E668" t="inlineStr">
        <is>
          <t>NORRTÄLJE</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26113-2024</t>
        </is>
      </c>
      <c r="B669" s="1" t="n">
        <v>45468.45541666666</v>
      </c>
      <c r="C669" s="1" t="n">
        <v>46140</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26116-2024</t>
        </is>
      </c>
      <c r="B670" s="1" t="n">
        <v>45468.45747685185</v>
      </c>
      <c r="C670" s="1" t="n">
        <v>46140</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52686-2024</t>
        </is>
      </c>
      <c r="B671" s="1" t="n">
        <v>45610.39271990741</v>
      </c>
      <c r="C671" s="1" t="n">
        <v>46140</v>
      </c>
      <c r="D671" t="inlineStr">
        <is>
          <t>STOCKHOLMS LÄN</t>
        </is>
      </c>
      <c r="E671" t="inlineStr">
        <is>
          <t>NORRTÄLJE</t>
        </is>
      </c>
      <c r="G671" t="n">
        <v>5.7</v>
      </c>
      <c r="H671" t="n">
        <v>0</v>
      </c>
      <c r="I671" t="n">
        <v>0</v>
      </c>
      <c r="J671" t="n">
        <v>0</v>
      </c>
      <c r="K671" t="n">
        <v>0</v>
      </c>
      <c r="L671" t="n">
        <v>0</v>
      </c>
      <c r="M671" t="n">
        <v>0</v>
      </c>
      <c r="N671" t="n">
        <v>0</v>
      </c>
      <c r="O671" t="n">
        <v>0</v>
      </c>
      <c r="P671" t="n">
        <v>0</v>
      </c>
      <c r="Q671" t="n">
        <v>0</v>
      </c>
      <c r="R671" s="2" t="inlineStr"/>
    </row>
    <row r="672" ht="15" customHeight="1">
      <c r="A672" t="inlineStr">
        <is>
          <t>A 31105-2022</t>
        </is>
      </c>
      <c r="B672" s="1" t="n">
        <v>44769.66039351852</v>
      </c>
      <c r="C672" s="1" t="n">
        <v>46140</v>
      </c>
      <c r="D672" t="inlineStr">
        <is>
          <t>STOCKHOLMS LÄN</t>
        </is>
      </c>
      <c r="E672" t="inlineStr">
        <is>
          <t>NORRTÄLJE</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62644-2023</t>
        </is>
      </c>
      <c r="B673" s="1" t="n">
        <v>45271</v>
      </c>
      <c r="C673" s="1" t="n">
        <v>46140</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60185-2024</t>
        </is>
      </c>
      <c r="B674" s="1" t="n">
        <v>45642.64634259259</v>
      </c>
      <c r="C674" s="1" t="n">
        <v>46140</v>
      </c>
      <c r="D674" t="inlineStr">
        <is>
          <t>STOCKHOLMS LÄN</t>
        </is>
      </c>
      <c r="E674" t="inlineStr">
        <is>
          <t>NORRTÄLJE</t>
        </is>
      </c>
      <c r="G674" t="n">
        <v>0.3</v>
      </c>
      <c r="H674" t="n">
        <v>0</v>
      </c>
      <c r="I674" t="n">
        <v>0</v>
      </c>
      <c r="J674" t="n">
        <v>0</v>
      </c>
      <c r="K674" t="n">
        <v>0</v>
      </c>
      <c r="L674" t="n">
        <v>0</v>
      </c>
      <c r="M674" t="n">
        <v>0</v>
      </c>
      <c r="N674" t="n">
        <v>0</v>
      </c>
      <c r="O674" t="n">
        <v>0</v>
      </c>
      <c r="P674" t="n">
        <v>0</v>
      </c>
      <c r="Q674" t="n">
        <v>0</v>
      </c>
      <c r="R674" s="2" t="inlineStr"/>
    </row>
    <row r="675" ht="15" customHeight="1">
      <c r="A675" t="inlineStr">
        <is>
          <t>A 60765-2023</t>
        </is>
      </c>
      <c r="B675" s="1" t="n">
        <v>45260</v>
      </c>
      <c r="C675" s="1" t="n">
        <v>46140</v>
      </c>
      <c r="D675" t="inlineStr">
        <is>
          <t>STOCKHOLMS LÄN</t>
        </is>
      </c>
      <c r="E675" t="inlineStr">
        <is>
          <t>NORRTÄLJE</t>
        </is>
      </c>
      <c r="G675" t="n">
        <v>3.7</v>
      </c>
      <c r="H675" t="n">
        <v>0</v>
      </c>
      <c r="I675" t="n">
        <v>0</v>
      </c>
      <c r="J675" t="n">
        <v>0</v>
      </c>
      <c r="K675" t="n">
        <v>0</v>
      </c>
      <c r="L675" t="n">
        <v>0</v>
      </c>
      <c r="M675" t="n">
        <v>0</v>
      </c>
      <c r="N675" t="n">
        <v>0</v>
      </c>
      <c r="O675" t="n">
        <v>0</v>
      </c>
      <c r="P675" t="n">
        <v>0</v>
      </c>
      <c r="Q675" t="n">
        <v>0</v>
      </c>
      <c r="R675" s="2" t="inlineStr"/>
    </row>
    <row r="676" ht="15" customHeight="1">
      <c r="A676" t="inlineStr">
        <is>
          <t>A 12268-2022</t>
        </is>
      </c>
      <c r="B676" s="1" t="n">
        <v>44637</v>
      </c>
      <c r="C676" s="1" t="n">
        <v>46140</v>
      </c>
      <c r="D676" t="inlineStr">
        <is>
          <t>STOCKHOLMS LÄN</t>
        </is>
      </c>
      <c r="E676" t="inlineStr">
        <is>
          <t>NORRTÄLJE</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22832-2021</t>
        </is>
      </c>
      <c r="B677" s="1" t="n">
        <v>44325</v>
      </c>
      <c r="C677" s="1" t="n">
        <v>46140</v>
      </c>
      <c r="D677" t="inlineStr">
        <is>
          <t>STOCKHOLMS LÄN</t>
        </is>
      </c>
      <c r="E677" t="inlineStr">
        <is>
          <t>NORRTÄLJE</t>
        </is>
      </c>
      <c r="G677" t="n">
        <v>6.8</v>
      </c>
      <c r="H677" t="n">
        <v>0</v>
      </c>
      <c r="I677" t="n">
        <v>0</v>
      </c>
      <c r="J677" t="n">
        <v>0</v>
      </c>
      <c r="K677" t="n">
        <v>0</v>
      </c>
      <c r="L677" t="n">
        <v>0</v>
      </c>
      <c r="M677" t="n">
        <v>0</v>
      </c>
      <c r="N677" t="n">
        <v>0</v>
      </c>
      <c r="O677" t="n">
        <v>0</v>
      </c>
      <c r="P677" t="n">
        <v>0</v>
      </c>
      <c r="Q677" t="n">
        <v>0</v>
      </c>
      <c r="R677" s="2" t="inlineStr"/>
    </row>
    <row r="678" ht="15" customHeight="1">
      <c r="A678" t="inlineStr">
        <is>
          <t>A 51315-2021</t>
        </is>
      </c>
      <c r="B678" s="1" t="n">
        <v>44461</v>
      </c>
      <c r="C678" s="1" t="n">
        <v>46140</v>
      </c>
      <c r="D678" t="inlineStr">
        <is>
          <t>STOCKHOLMS LÄN</t>
        </is>
      </c>
      <c r="E678" t="inlineStr">
        <is>
          <t>NORRTÄLJE</t>
        </is>
      </c>
      <c r="F678" t="inlineStr">
        <is>
          <t>Holmen skog AB</t>
        </is>
      </c>
      <c r="G678" t="n">
        <v>2.2</v>
      </c>
      <c r="H678" t="n">
        <v>0</v>
      </c>
      <c r="I678" t="n">
        <v>0</v>
      </c>
      <c r="J678" t="n">
        <v>0</v>
      </c>
      <c r="K678" t="n">
        <v>0</v>
      </c>
      <c r="L678" t="n">
        <v>0</v>
      </c>
      <c r="M678" t="n">
        <v>0</v>
      </c>
      <c r="N678" t="n">
        <v>0</v>
      </c>
      <c r="O678" t="n">
        <v>0</v>
      </c>
      <c r="P678" t="n">
        <v>0</v>
      </c>
      <c r="Q678" t="n">
        <v>0</v>
      </c>
      <c r="R678" s="2" t="inlineStr"/>
    </row>
    <row r="679" ht="15" customHeight="1">
      <c r="A679" t="inlineStr">
        <is>
          <t>A 54907-2025</t>
        </is>
      </c>
      <c r="B679" s="1" t="n">
        <v>45967.37137731481</v>
      </c>
      <c r="C679" s="1" t="n">
        <v>46140</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22008-2024</t>
        </is>
      </c>
      <c r="B680" s="1" t="n">
        <v>45443</v>
      </c>
      <c r="C680" s="1" t="n">
        <v>46140</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58277-2023</t>
        </is>
      </c>
      <c r="B681" s="1" t="n">
        <v>45245</v>
      </c>
      <c r="C681" s="1" t="n">
        <v>46140</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55503-2025</t>
        </is>
      </c>
      <c r="B682" s="1" t="n">
        <v>45971</v>
      </c>
      <c r="C682" s="1" t="n">
        <v>46140</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9480-2025</t>
        </is>
      </c>
      <c r="B683" s="1" t="n">
        <v>45715</v>
      </c>
      <c r="C683" s="1" t="n">
        <v>46140</v>
      </c>
      <c r="D683" t="inlineStr">
        <is>
          <t>STOCKHOLMS LÄN</t>
        </is>
      </c>
      <c r="E683" t="inlineStr">
        <is>
          <t>NORRTÄLJE</t>
        </is>
      </c>
      <c r="F683" t="inlineStr">
        <is>
          <t>Övriga Aktiebolag</t>
        </is>
      </c>
      <c r="G683" t="n">
        <v>3.9</v>
      </c>
      <c r="H683" t="n">
        <v>0</v>
      </c>
      <c r="I683" t="n">
        <v>0</v>
      </c>
      <c r="J683" t="n">
        <v>0</v>
      </c>
      <c r="K683" t="n">
        <v>0</v>
      </c>
      <c r="L683" t="n">
        <v>0</v>
      </c>
      <c r="M683" t="n">
        <v>0</v>
      </c>
      <c r="N683" t="n">
        <v>0</v>
      </c>
      <c r="O683" t="n">
        <v>0</v>
      </c>
      <c r="P683" t="n">
        <v>0</v>
      </c>
      <c r="Q683" t="n">
        <v>0</v>
      </c>
      <c r="R683" s="2" t="inlineStr"/>
    </row>
    <row r="684" ht="15" customHeight="1">
      <c r="A684" t="inlineStr">
        <is>
          <t>A 55599-2025</t>
        </is>
      </c>
      <c r="B684" s="1" t="n">
        <v>45971.76810185185</v>
      </c>
      <c r="C684" s="1" t="n">
        <v>46140</v>
      </c>
      <c r="D684" t="inlineStr">
        <is>
          <t>STOCKHOLMS LÄN</t>
        </is>
      </c>
      <c r="E684" t="inlineStr">
        <is>
          <t>NORRTÄLJE</t>
        </is>
      </c>
      <c r="F684" t="inlineStr">
        <is>
          <t>Holmen skog AB</t>
        </is>
      </c>
      <c r="G684" t="n">
        <v>6.4</v>
      </c>
      <c r="H684" t="n">
        <v>0</v>
      </c>
      <c r="I684" t="n">
        <v>0</v>
      </c>
      <c r="J684" t="n">
        <v>0</v>
      </c>
      <c r="K684" t="n">
        <v>0</v>
      </c>
      <c r="L684" t="n">
        <v>0</v>
      </c>
      <c r="M684" t="n">
        <v>0</v>
      </c>
      <c r="N684" t="n">
        <v>0</v>
      </c>
      <c r="O684" t="n">
        <v>0</v>
      </c>
      <c r="P684" t="n">
        <v>0</v>
      </c>
      <c r="Q684" t="n">
        <v>0</v>
      </c>
      <c r="R684" s="2" t="inlineStr"/>
    </row>
    <row r="685" ht="15" customHeight="1">
      <c r="A685" t="inlineStr">
        <is>
          <t>A 4322-2023</t>
        </is>
      </c>
      <c r="B685" s="1" t="n">
        <v>44953.69298611111</v>
      </c>
      <c r="C685" s="1" t="n">
        <v>46140</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56207-2025</t>
        </is>
      </c>
      <c r="B686" s="1" t="n">
        <v>45974.47329861111</v>
      </c>
      <c r="C686" s="1" t="n">
        <v>46140</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row>
    <row r="687" ht="15" customHeight="1">
      <c r="A687" t="inlineStr">
        <is>
          <t>A 35916-2024</t>
        </is>
      </c>
      <c r="B687" s="1" t="n">
        <v>45533</v>
      </c>
      <c r="C687" s="1" t="n">
        <v>46140</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38889-2024</t>
        </is>
      </c>
      <c r="B688" s="1" t="n">
        <v>45547</v>
      </c>
      <c r="C688" s="1" t="n">
        <v>46140</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56114-2025</t>
        </is>
      </c>
      <c r="B689" s="1" t="n">
        <v>45973.74474537037</v>
      </c>
      <c r="C689" s="1" t="n">
        <v>46140</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3299-2022</t>
        </is>
      </c>
      <c r="B690" s="1" t="n">
        <v>44584.91001157407</v>
      </c>
      <c r="C690" s="1" t="n">
        <v>46140</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42075-2023</t>
        </is>
      </c>
      <c r="B691" s="1" t="n">
        <v>45177</v>
      </c>
      <c r="C691" s="1" t="n">
        <v>46140</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10676-2025</t>
        </is>
      </c>
      <c r="B692" s="1" t="n">
        <v>45721.88684027778</v>
      </c>
      <c r="C692" s="1" t="n">
        <v>46140</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50154-2024</t>
        </is>
      </c>
      <c r="B693" s="1" t="n">
        <v>45600.4558912037</v>
      </c>
      <c r="C693" s="1" t="n">
        <v>46140</v>
      </c>
      <c r="D693" t="inlineStr">
        <is>
          <t>STOCKHOLMS LÄN</t>
        </is>
      </c>
      <c r="E693" t="inlineStr">
        <is>
          <t>NORRTÄLJE</t>
        </is>
      </c>
      <c r="G693" t="n">
        <v>2.5</v>
      </c>
      <c r="H693" t="n">
        <v>0</v>
      </c>
      <c r="I693" t="n">
        <v>0</v>
      </c>
      <c r="J693" t="n">
        <v>0</v>
      </c>
      <c r="K693" t="n">
        <v>0</v>
      </c>
      <c r="L693" t="n">
        <v>0</v>
      </c>
      <c r="M693" t="n">
        <v>0</v>
      </c>
      <c r="N693" t="n">
        <v>0</v>
      </c>
      <c r="O693" t="n">
        <v>0</v>
      </c>
      <c r="P693" t="n">
        <v>0</v>
      </c>
      <c r="Q693" t="n">
        <v>0</v>
      </c>
      <c r="R693" s="2" t="inlineStr"/>
    </row>
    <row r="694" ht="15" customHeight="1">
      <c r="A694" t="inlineStr">
        <is>
          <t>A 37273-2024</t>
        </is>
      </c>
      <c r="B694" s="1" t="n">
        <v>45540</v>
      </c>
      <c r="C694" s="1" t="n">
        <v>46140</v>
      </c>
      <c r="D694" t="inlineStr">
        <is>
          <t>STOCKHOLMS LÄN</t>
        </is>
      </c>
      <c r="E694" t="inlineStr">
        <is>
          <t>NORRTÄLJE</t>
        </is>
      </c>
      <c r="F694" t="inlineStr">
        <is>
          <t>Sveaskog</t>
        </is>
      </c>
      <c r="G694" t="n">
        <v>12.5</v>
      </c>
      <c r="H694" t="n">
        <v>0</v>
      </c>
      <c r="I694" t="n">
        <v>0</v>
      </c>
      <c r="J694" t="n">
        <v>0</v>
      </c>
      <c r="K694" t="n">
        <v>0</v>
      </c>
      <c r="L694" t="n">
        <v>0</v>
      </c>
      <c r="M694" t="n">
        <v>0</v>
      </c>
      <c r="N694" t="n">
        <v>0</v>
      </c>
      <c r="O694" t="n">
        <v>0</v>
      </c>
      <c r="P694" t="n">
        <v>0</v>
      </c>
      <c r="Q694" t="n">
        <v>0</v>
      </c>
      <c r="R694" s="2" t="inlineStr"/>
    </row>
    <row r="695" ht="15" customHeight="1">
      <c r="A695" t="inlineStr">
        <is>
          <t>A 34773-2022</t>
        </is>
      </c>
      <c r="B695" s="1" t="n">
        <v>44795</v>
      </c>
      <c r="C695" s="1" t="n">
        <v>46140</v>
      </c>
      <c r="D695" t="inlineStr">
        <is>
          <t>STOCKHOLMS LÄN</t>
        </is>
      </c>
      <c r="E695" t="inlineStr">
        <is>
          <t>NORRTÄLJE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23263-2023</t>
        </is>
      </c>
      <c r="B696" s="1" t="n">
        <v>45075</v>
      </c>
      <c r="C696" s="1" t="n">
        <v>46140</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23264-2023</t>
        </is>
      </c>
      <c r="B697" s="1" t="n">
        <v>45075</v>
      </c>
      <c r="C697" s="1" t="n">
        <v>46140</v>
      </c>
      <c r="D697" t="inlineStr">
        <is>
          <t>STOCKHOLMS LÄN</t>
        </is>
      </c>
      <c r="E697" t="inlineStr">
        <is>
          <t>NORRTÄLJE</t>
        </is>
      </c>
      <c r="G697" t="n">
        <v>2.9</v>
      </c>
      <c r="H697" t="n">
        <v>0</v>
      </c>
      <c r="I697" t="n">
        <v>0</v>
      </c>
      <c r="J697" t="n">
        <v>0</v>
      </c>
      <c r="K697" t="n">
        <v>0</v>
      </c>
      <c r="L697" t="n">
        <v>0</v>
      </c>
      <c r="M697" t="n">
        <v>0</v>
      </c>
      <c r="N697" t="n">
        <v>0</v>
      </c>
      <c r="O697" t="n">
        <v>0</v>
      </c>
      <c r="P697" t="n">
        <v>0</v>
      </c>
      <c r="Q697" t="n">
        <v>0</v>
      </c>
      <c r="R697" s="2" t="inlineStr"/>
    </row>
    <row r="698" ht="15" customHeight="1">
      <c r="A698" t="inlineStr">
        <is>
          <t>A 23267-2023</t>
        </is>
      </c>
      <c r="B698" s="1" t="n">
        <v>45075.90934027778</v>
      </c>
      <c r="C698" s="1" t="n">
        <v>46140</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25654-2023</t>
        </is>
      </c>
      <c r="B699" s="1" t="n">
        <v>45089</v>
      </c>
      <c r="C699" s="1" t="n">
        <v>46140</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47758-2023</t>
        </is>
      </c>
      <c r="B700" s="1" t="n">
        <v>45203.83891203703</v>
      </c>
      <c r="C700" s="1" t="n">
        <v>46140</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48151-2024</t>
        </is>
      </c>
      <c r="B701" s="1" t="n">
        <v>45589.68289351852</v>
      </c>
      <c r="C701" s="1" t="n">
        <v>46140</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58142-2025</t>
        </is>
      </c>
      <c r="B702" s="1" t="n">
        <v>45982.63791666667</v>
      </c>
      <c r="C702" s="1" t="n">
        <v>46140</v>
      </c>
      <c r="D702" t="inlineStr">
        <is>
          <t>STOCKHOLMS LÄN</t>
        </is>
      </c>
      <c r="E702" t="inlineStr">
        <is>
          <t>NORRTÄLJE</t>
        </is>
      </c>
      <c r="G702" t="n">
        <v>3.3</v>
      </c>
      <c r="H702" t="n">
        <v>0</v>
      </c>
      <c r="I702" t="n">
        <v>0</v>
      </c>
      <c r="J702" t="n">
        <v>0</v>
      </c>
      <c r="K702" t="n">
        <v>0</v>
      </c>
      <c r="L702" t="n">
        <v>0</v>
      </c>
      <c r="M702" t="n">
        <v>0</v>
      </c>
      <c r="N702" t="n">
        <v>0</v>
      </c>
      <c r="O702" t="n">
        <v>0</v>
      </c>
      <c r="P702" t="n">
        <v>0</v>
      </c>
      <c r="Q702" t="n">
        <v>0</v>
      </c>
      <c r="R702" s="2" t="inlineStr"/>
    </row>
    <row r="703" ht="15" customHeight="1">
      <c r="A703" t="inlineStr">
        <is>
          <t>A 57953-2025</t>
        </is>
      </c>
      <c r="B703" s="1" t="n">
        <v>45982.35016203704</v>
      </c>
      <c r="C703" s="1" t="n">
        <v>46140</v>
      </c>
      <c r="D703" t="inlineStr">
        <is>
          <t>STOCKHOLMS LÄN</t>
        </is>
      </c>
      <c r="E703" t="inlineStr">
        <is>
          <t>NORRTÄLJE</t>
        </is>
      </c>
      <c r="F703" t="inlineStr">
        <is>
          <t>Sveaskog</t>
        </is>
      </c>
      <c r="G703" t="n">
        <v>3</v>
      </c>
      <c r="H703" t="n">
        <v>0</v>
      </c>
      <c r="I703" t="n">
        <v>0</v>
      </c>
      <c r="J703" t="n">
        <v>0</v>
      </c>
      <c r="K703" t="n">
        <v>0</v>
      </c>
      <c r="L703" t="n">
        <v>0</v>
      </c>
      <c r="M703" t="n">
        <v>0</v>
      </c>
      <c r="N703" t="n">
        <v>0</v>
      </c>
      <c r="O703" t="n">
        <v>0</v>
      </c>
      <c r="P703" t="n">
        <v>0</v>
      </c>
      <c r="Q703" t="n">
        <v>0</v>
      </c>
      <c r="R703" s="2" t="inlineStr"/>
    </row>
    <row r="704" ht="15" customHeight="1">
      <c r="A704" t="inlineStr">
        <is>
          <t>A 5831-2022</t>
        </is>
      </c>
      <c r="B704" s="1" t="n">
        <v>44596</v>
      </c>
      <c r="C704" s="1" t="n">
        <v>46140</v>
      </c>
      <c r="D704" t="inlineStr">
        <is>
          <t>STOCKHOLMS LÄN</t>
        </is>
      </c>
      <c r="E704" t="inlineStr">
        <is>
          <t>NORRTÄLJE</t>
        </is>
      </c>
      <c r="G704" t="n">
        <v>4.8</v>
      </c>
      <c r="H704" t="n">
        <v>0</v>
      </c>
      <c r="I704" t="n">
        <v>0</v>
      </c>
      <c r="J704" t="n">
        <v>0</v>
      </c>
      <c r="K704" t="n">
        <v>0</v>
      </c>
      <c r="L704" t="n">
        <v>0</v>
      </c>
      <c r="M704" t="n">
        <v>0</v>
      </c>
      <c r="N704" t="n">
        <v>0</v>
      </c>
      <c r="O704" t="n">
        <v>0</v>
      </c>
      <c r="P704" t="n">
        <v>0</v>
      </c>
      <c r="Q704" t="n">
        <v>0</v>
      </c>
      <c r="R704" s="2" t="inlineStr"/>
    </row>
    <row r="705" ht="15" customHeight="1">
      <c r="A705" t="inlineStr">
        <is>
          <t>A 58853-2024</t>
        </is>
      </c>
      <c r="B705" s="1" t="n">
        <v>45636.38974537037</v>
      </c>
      <c r="C705" s="1" t="n">
        <v>46140</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59712-2024</t>
        </is>
      </c>
      <c r="B706" s="1" t="n">
        <v>45639.45166666667</v>
      </c>
      <c r="C706" s="1" t="n">
        <v>46140</v>
      </c>
      <c r="D706" t="inlineStr">
        <is>
          <t>STOCKHOLMS LÄN</t>
        </is>
      </c>
      <c r="E706" t="inlineStr">
        <is>
          <t>NORRTÄLJE</t>
        </is>
      </c>
      <c r="G706" t="n">
        <v>4.4</v>
      </c>
      <c r="H706" t="n">
        <v>0</v>
      </c>
      <c r="I706" t="n">
        <v>0</v>
      </c>
      <c r="J706" t="n">
        <v>0</v>
      </c>
      <c r="K706" t="n">
        <v>0</v>
      </c>
      <c r="L706" t="n">
        <v>0</v>
      </c>
      <c r="M706" t="n">
        <v>0</v>
      </c>
      <c r="N706" t="n">
        <v>0</v>
      </c>
      <c r="O706" t="n">
        <v>0</v>
      </c>
      <c r="P706" t="n">
        <v>0</v>
      </c>
      <c r="Q706" t="n">
        <v>0</v>
      </c>
      <c r="R706" s="2" t="inlineStr"/>
    </row>
    <row r="707" ht="15" customHeight="1">
      <c r="A707" t="inlineStr">
        <is>
          <t>A 58403-2025</t>
        </is>
      </c>
      <c r="B707" s="1" t="n">
        <v>45985.56777777777</v>
      </c>
      <c r="C707" s="1" t="n">
        <v>46140</v>
      </c>
      <c r="D707" t="inlineStr">
        <is>
          <t>STOCKHOLMS LÄN</t>
        </is>
      </c>
      <c r="E707" t="inlineStr">
        <is>
          <t>NORRTÄLJE</t>
        </is>
      </c>
      <c r="F707" t="inlineStr">
        <is>
          <t>Naturvårdsverket</t>
        </is>
      </c>
      <c r="G707" t="n">
        <v>13.5</v>
      </c>
      <c r="H707" t="n">
        <v>0</v>
      </c>
      <c r="I707" t="n">
        <v>0</v>
      </c>
      <c r="J707" t="n">
        <v>0</v>
      </c>
      <c r="K707" t="n">
        <v>0</v>
      </c>
      <c r="L707" t="n">
        <v>0</v>
      </c>
      <c r="M707" t="n">
        <v>0</v>
      </c>
      <c r="N707" t="n">
        <v>0</v>
      </c>
      <c r="O707" t="n">
        <v>0</v>
      </c>
      <c r="P707" t="n">
        <v>0</v>
      </c>
      <c r="Q707" t="n">
        <v>0</v>
      </c>
      <c r="R707" s="2" t="inlineStr"/>
    </row>
    <row r="708" ht="15" customHeight="1">
      <c r="A708" t="inlineStr">
        <is>
          <t>A 59721-2024</t>
        </is>
      </c>
      <c r="B708" s="1" t="n">
        <v>45639.47385416667</v>
      </c>
      <c r="C708" s="1" t="n">
        <v>46140</v>
      </c>
      <c r="D708" t="inlineStr">
        <is>
          <t>STOCKHOLMS LÄN</t>
        </is>
      </c>
      <c r="E708" t="inlineStr">
        <is>
          <t>NORRTÄLJE</t>
        </is>
      </c>
      <c r="G708" t="n">
        <v>4.6</v>
      </c>
      <c r="H708" t="n">
        <v>0</v>
      </c>
      <c r="I708" t="n">
        <v>0</v>
      </c>
      <c r="J708" t="n">
        <v>0</v>
      </c>
      <c r="K708" t="n">
        <v>0</v>
      </c>
      <c r="L708" t="n">
        <v>0</v>
      </c>
      <c r="M708" t="n">
        <v>0</v>
      </c>
      <c r="N708" t="n">
        <v>0</v>
      </c>
      <c r="O708" t="n">
        <v>0</v>
      </c>
      <c r="P708" t="n">
        <v>0</v>
      </c>
      <c r="Q708" t="n">
        <v>0</v>
      </c>
      <c r="R708" s="2" t="inlineStr"/>
    </row>
    <row r="709" ht="15" customHeight="1">
      <c r="A709" t="inlineStr">
        <is>
          <t>A 60884-2024</t>
        </is>
      </c>
      <c r="B709" s="1" t="n">
        <v>45644.90815972222</v>
      </c>
      <c r="C709" s="1" t="n">
        <v>46140</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23150-2024</t>
        </is>
      </c>
      <c r="B710" s="1" t="n">
        <v>45450.64643518518</v>
      </c>
      <c r="C710" s="1" t="n">
        <v>46140</v>
      </c>
      <c r="D710" t="inlineStr">
        <is>
          <t>STOCKHOLMS LÄN</t>
        </is>
      </c>
      <c r="E710" t="inlineStr">
        <is>
          <t>NORRTÄLJE</t>
        </is>
      </c>
      <c r="F710" t="inlineStr">
        <is>
          <t>Kommuner</t>
        </is>
      </c>
      <c r="G710" t="n">
        <v>2.7</v>
      </c>
      <c r="H710" t="n">
        <v>0</v>
      </c>
      <c r="I710" t="n">
        <v>0</v>
      </c>
      <c r="J710" t="n">
        <v>0</v>
      </c>
      <c r="K710" t="n">
        <v>0</v>
      </c>
      <c r="L710" t="n">
        <v>0</v>
      </c>
      <c r="M710" t="n">
        <v>0</v>
      </c>
      <c r="N710" t="n">
        <v>0</v>
      </c>
      <c r="O710" t="n">
        <v>0</v>
      </c>
      <c r="P710" t="n">
        <v>0</v>
      </c>
      <c r="Q710" t="n">
        <v>0</v>
      </c>
      <c r="R710" s="2" t="inlineStr"/>
    </row>
    <row r="711" ht="15" customHeight="1">
      <c r="A711" t="inlineStr">
        <is>
          <t>A 59878-2024</t>
        </is>
      </c>
      <c r="B711" s="1" t="n">
        <v>45640.60240740741</v>
      </c>
      <c r="C711" s="1" t="n">
        <v>46140</v>
      </c>
      <c r="D711" t="inlineStr">
        <is>
          <t>STOCKHOLMS LÄN</t>
        </is>
      </c>
      <c r="E711" t="inlineStr">
        <is>
          <t>NORRTÄLJE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50182-2024</t>
        </is>
      </c>
      <c r="B712" s="1" t="n">
        <v>45600.47275462963</v>
      </c>
      <c r="C712" s="1" t="n">
        <v>46140</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2549-2022</t>
        </is>
      </c>
      <c r="B713" s="1" t="n">
        <v>44580</v>
      </c>
      <c r="C713" s="1" t="n">
        <v>46140</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58939-2025</t>
        </is>
      </c>
      <c r="B714" s="1" t="n">
        <v>45987.5681712963</v>
      </c>
      <c r="C714" s="1" t="n">
        <v>46140</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31140-2023</t>
        </is>
      </c>
      <c r="B715" s="1" t="n">
        <v>45113</v>
      </c>
      <c r="C715" s="1" t="n">
        <v>46140</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31149-2023</t>
        </is>
      </c>
      <c r="B716" s="1" t="n">
        <v>45113</v>
      </c>
      <c r="C716" s="1" t="n">
        <v>46140</v>
      </c>
      <c r="D716" t="inlineStr">
        <is>
          <t>STOCKHOLMS LÄN</t>
        </is>
      </c>
      <c r="E716" t="inlineStr">
        <is>
          <t>NORRTÄLJE</t>
        </is>
      </c>
      <c r="G716" t="n">
        <v>7.1</v>
      </c>
      <c r="H716" t="n">
        <v>0</v>
      </c>
      <c r="I716" t="n">
        <v>0</v>
      </c>
      <c r="J716" t="n">
        <v>0</v>
      </c>
      <c r="K716" t="n">
        <v>0</v>
      </c>
      <c r="L716" t="n">
        <v>0</v>
      </c>
      <c r="M716" t="n">
        <v>0</v>
      </c>
      <c r="N716" t="n">
        <v>0</v>
      </c>
      <c r="O716" t="n">
        <v>0</v>
      </c>
      <c r="P716" t="n">
        <v>0</v>
      </c>
      <c r="Q716" t="n">
        <v>0</v>
      </c>
      <c r="R716" s="2" t="inlineStr"/>
    </row>
    <row r="717" ht="15" customHeight="1">
      <c r="A717" t="inlineStr">
        <is>
          <t>A 16835-2022</t>
        </is>
      </c>
      <c r="B717" s="1" t="n">
        <v>44673</v>
      </c>
      <c r="C717" s="1" t="n">
        <v>46140</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13701-2022</t>
        </is>
      </c>
      <c r="B718" s="1" t="n">
        <v>44648</v>
      </c>
      <c r="C718" s="1" t="n">
        <v>46140</v>
      </c>
      <c r="D718" t="inlineStr">
        <is>
          <t>STOCKHOLMS LÄN</t>
        </is>
      </c>
      <c r="E718" t="inlineStr">
        <is>
          <t>NORRTÄLJE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13089-2022</t>
        </is>
      </c>
      <c r="B719" s="1" t="n">
        <v>44643</v>
      </c>
      <c r="C719" s="1" t="n">
        <v>46140</v>
      </c>
      <c r="D719" t="inlineStr">
        <is>
          <t>STOCKHOLMS LÄN</t>
        </is>
      </c>
      <c r="E719" t="inlineStr">
        <is>
          <t>NORRTÄLJE</t>
        </is>
      </c>
      <c r="G719" t="n">
        <v>4.5</v>
      </c>
      <c r="H719" t="n">
        <v>0</v>
      </c>
      <c r="I719" t="n">
        <v>0</v>
      </c>
      <c r="J719" t="n">
        <v>0</v>
      </c>
      <c r="K719" t="n">
        <v>0</v>
      </c>
      <c r="L719" t="n">
        <v>0</v>
      </c>
      <c r="M719" t="n">
        <v>0</v>
      </c>
      <c r="N719" t="n">
        <v>0</v>
      </c>
      <c r="O719" t="n">
        <v>0</v>
      </c>
      <c r="P719" t="n">
        <v>0</v>
      </c>
      <c r="Q719" t="n">
        <v>0</v>
      </c>
      <c r="R719" s="2" t="inlineStr"/>
    </row>
    <row r="720" ht="15" customHeight="1">
      <c r="A720" t="inlineStr">
        <is>
          <t>A 57788-2025</t>
        </is>
      </c>
      <c r="B720" s="1" t="n">
        <v>45981.5778125</v>
      </c>
      <c r="C720" s="1" t="n">
        <v>46140</v>
      </c>
      <c r="D720" t="inlineStr">
        <is>
          <t>STOCKHOLMS LÄN</t>
        </is>
      </c>
      <c r="E720" t="inlineStr">
        <is>
          <t>NORRTÄLJE</t>
        </is>
      </c>
      <c r="G720" t="n">
        <v>1.6</v>
      </c>
      <c r="H720" t="n">
        <v>0</v>
      </c>
      <c r="I720" t="n">
        <v>0</v>
      </c>
      <c r="J720" t="n">
        <v>0</v>
      </c>
      <c r="K720" t="n">
        <v>0</v>
      </c>
      <c r="L720" t="n">
        <v>0</v>
      </c>
      <c r="M720" t="n">
        <v>0</v>
      </c>
      <c r="N720" t="n">
        <v>0</v>
      </c>
      <c r="O720" t="n">
        <v>0</v>
      </c>
      <c r="P720" t="n">
        <v>0</v>
      </c>
      <c r="Q720" t="n">
        <v>0</v>
      </c>
      <c r="R720" s="2" t="inlineStr"/>
    </row>
    <row r="721" ht="15" customHeight="1">
      <c r="A721" t="inlineStr">
        <is>
          <t>A 59672-2025</t>
        </is>
      </c>
      <c r="B721" s="1" t="n">
        <v>45992.45884259259</v>
      </c>
      <c r="C721" s="1" t="n">
        <v>46140</v>
      </c>
      <c r="D721" t="inlineStr">
        <is>
          <t>STOCKHOLMS LÄN</t>
        </is>
      </c>
      <c r="E721" t="inlineStr">
        <is>
          <t>NORRTÄLJE</t>
        </is>
      </c>
      <c r="G721" t="n">
        <v>4</v>
      </c>
      <c r="H721" t="n">
        <v>0</v>
      </c>
      <c r="I721" t="n">
        <v>0</v>
      </c>
      <c r="J721" t="n">
        <v>0</v>
      </c>
      <c r="K721" t="n">
        <v>0</v>
      </c>
      <c r="L721" t="n">
        <v>0</v>
      </c>
      <c r="M721" t="n">
        <v>0</v>
      </c>
      <c r="N721" t="n">
        <v>0</v>
      </c>
      <c r="O721" t="n">
        <v>0</v>
      </c>
      <c r="P721" t="n">
        <v>0</v>
      </c>
      <c r="Q721" t="n">
        <v>0</v>
      </c>
      <c r="R721" s="2" t="inlineStr"/>
    </row>
    <row r="722" ht="15" customHeight="1">
      <c r="A722" t="inlineStr">
        <is>
          <t>A 38759-2022</t>
        </is>
      </c>
      <c r="B722" s="1" t="n">
        <v>44816</v>
      </c>
      <c r="C722" s="1" t="n">
        <v>46140</v>
      </c>
      <c r="D722" t="inlineStr">
        <is>
          <t>STOCKHOLMS LÄN</t>
        </is>
      </c>
      <c r="E722" t="inlineStr">
        <is>
          <t>NORRTÄLJE</t>
        </is>
      </c>
      <c r="G722" t="n">
        <v>2.8</v>
      </c>
      <c r="H722" t="n">
        <v>0</v>
      </c>
      <c r="I722" t="n">
        <v>0</v>
      </c>
      <c r="J722" t="n">
        <v>0</v>
      </c>
      <c r="K722" t="n">
        <v>0</v>
      </c>
      <c r="L722" t="n">
        <v>0</v>
      </c>
      <c r="M722" t="n">
        <v>0</v>
      </c>
      <c r="N722" t="n">
        <v>0</v>
      </c>
      <c r="O722" t="n">
        <v>0</v>
      </c>
      <c r="P722" t="n">
        <v>0</v>
      </c>
      <c r="Q722" t="n">
        <v>0</v>
      </c>
      <c r="R722" s="2" t="inlineStr"/>
    </row>
    <row r="723" ht="15" customHeight="1">
      <c r="A723" t="inlineStr">
        <is>
          <t>A 23998-2024</t>
        </is>
      </c>
      <c r="B723" s="1" t="n">
        <v>45456</v>
      </c>
      <c r="C723" s="1" t="n">
        <v>46140</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60223-2025</t>
        </is>
      </c>
      <c r="B724" s="1" t="n">
        <v>45994.54497685185</v>
      </c>
      <c r="C724" s="1" t="n">
        <v>46140</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54504-2024</t>
        </is>
      </c>
      <c r="B725" s="1" t="n">
        <v>45617.58453703704</v>
      </c>
      <c r="C725" s="1" t="n">
        <v>46140</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59914-2025</t>
        </is>
      </c>
      <c r="B726" s="1" t="n">
        <v>45993.37056712963</v>
      </c>
      <c r="C726" s="1" t="n">
        <v>46140</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59041-2025</t>
        </is>
      </c>
      <c r="B727" s="1" t="n">
        <v>45988</v>
      </c>
      <c r="C727" s="1" t="n">
        <v>46140</v>
      </c>
      <c r="D727" t="inlineStr">
        <is>
          <t>STOCKHOLMS LÄN</t>
        </is>
      </c>
      <c r="E727" t="inlineStr">
        <is>
          <t>NORRTÄLJE</t>
        </is>
      </c>
      <c r="G727" t="n">
        <v>6.6</v>
      </c>
      <c r="H727" t="n">
        <v>0</v>
      </c>
      <c r="I727" t="n">
        <v>0</v>
      </c>
      <c r="J727" t="n">
        <v>0</v>
      </c>
      <c r="K727" t="n">
        <v>0</v>
      </c>
      <c r="L727" t="n">
        <v>0</v>
      </c>
      <c r="M727" t="n">
        <v>0</v>
      </c>
      <c r="N727" t="n">
        <v>0</v>
      </c>
      <c r="O727" t="n">
        <v>0</v>
      </c>
      <c r="P727" t="n">
        <v>0</v>
      </c>
      <c r="Q727" t="n">
        <v>0</v>
      </c>
      <c r="R727" s="2" t="inlineStr"/>
    </row>
    <row r="728" ht="15" customHeight="1">
      <c r="A728" t="inlineStr">
        <is>
          <t>A 32595-2023</t>
        </is>
      </c>
      <c r="B728" s="1" t="n">
        <v>45121</v>
      </c>
      <c r="C728" s="1" t="n">
        <v>46140</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11332-2025</t>
        </is>
      </c>
      <c r="B729" s="1" t="n">
        <v>45726.48152777777</v>
      </c>
      <c r="C729" s="1" t="n">
        <v>46140</v>
      </c>
      <c r="D729" t="inlineStr">
        <is>
          <t>STOCKHOLMS LÄN</t>
        </is>
      </c>
      <c r="E729" t="inlineStr">
        <is>
          <t>NORRTÄLJE</t>
        </is>
      </c>
      <c r="G729" t="n">
        <v>4.6</v>
      </c>
      <c r="H729" t="n">
        <v>0</v>
      </c>
      <c r="I729" t="n">
        <v>0</v>
      </c>
      <c r="J729" t="n">
        <v>0</v>
      </c>
      <c r="K729" t="n">
        <v>0</v>
      </c>
      <c r="L729" t="n">
        <v>0</v>
      </c>
      <c r="M729" t="n">
        <v>0</v>
      </c>
      <c r="N729" t="n">
        <v>0</v>
      </c>
      <c r="O729" t="n">
        <v>0</v>
      </c>
      <c r="P729" t="n">
        <v>0</v>
      </c>
      <c r="Q729" t="n">
        <v>0</v>
      </c>
      <c r="R729" s="2" t="inlineStr"/>
    </row>
    <row r="730" ht="15" customHeight="1">
      <c r="A730" t="inlineStr">
        <is>
          <t>A 60214-2025</t>
        </is>
      </c>
      <c r="B730" s="1" t="n">
        <v>45994.53761574074</v>
      </c>
      <c r="C730" s="1" t="n">
        <v>46140</v>
      </c>
      <c r="D730" t="inlineStr">
        <is>
          <t>STOCKHOLMS LÄN</t>
        </is>
      </c>
      <c r="E730" t="inlineStr">
        <is>
          <t>NORRTÄLJE</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60253-2025</t>
        </is>
      </c>
      <c r="B731" s="1" t="n">
        <v>45994.59827546297</v>
      </c>
      <c r="C731" s="1" t="n">
        <v>46140</v>
      </c>
      <c r="D731" t="inlineStr">
        <is>
          <t>STOCKHOLMS LÄN</t>
        </is>
      </c>
      <c r="E731" t="inlineStr">
        <is>
          <t>NORRTÄLJE</t>
        </is>
      </c>
      <c r="F731" t="inlineStr">
        <is>
          <t>Holmen skog AB</t>
        </is>
      </c>
      <c r="G731" t="n">
        <v>3.6</v>
      </c>
      <c r="H731" t="n">
        <v>0</v>
      </c>
      <c r="I731" t="n">
        <v>0</v>
      </c>
      <c r="J731" t="n">
        <v>0</v>
      </c>
      <c r="K731" t="n">
        <v>0</v>
      </c>
      <c r="L731" t="n">
        <v>0</v>
      </c>
      <c r="M731" t="n">
        <v>0</v>
      </c>
      <c r="N731" t="n">
        <v>0</v>
      </c>
      <c r="O731" t="n">
        <v>0</v>
      </c>
      <c r="P731" t="n">
        <v>0</v>
      </c>
      <c r="Q731" t="n">
        <v>0</v>
      </c>
      <c r="R731" s="2" t="inlineStr"/>
    </row>
    <row r="732" ht="15" customHeight="1">
      <c r="A732" t="inlineStr">
        <is>
          <t>A 59907-2025</t>
        </is>
      </c>
      <c r="B732" s="1" t="n">
        <v>45993.35350694445</v>
      </c>
      <c r="C732" s="1" t="n">
        <v>46140</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59924-2025</t>
        </is>
      </c>
      <c r="B733" s="1" t="n">
        <v>45993.38928240741</v>
      </c>
      <c r="C733" s="1" t="n">
        <v>46140</v>
      </c>
      <c r="D733" t="inlineStr">
        <is>
          <t>STOCKHOLMS LÄN</t>
        </is>
      </c>
      <c r="E733" t="inlineStr">
        <is>
          <t>NORRTÄLJE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13718-2022</t>
        </is>
      </c>
      <c r="B734" s="1" t="n">
        <v>44649</v>
      </c>
      <c r="C734" s="1" t="n">
        <v>46140</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60649-2025</t>
        </is>
      </c>
      <c r="B735" s="1" t="n">
        <v>45996.4560300926</v>
      </c>
      <c r="C735" s="1" t="n">
        <v>46140</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54259-2023</t>
        </is>
      </c>
      <c r="B736" s="1" t="n">
        <v>45232</v>
      </c>
      <c r="C736" s="1" t="n">
        <v>46140</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13171-2025</t>
        </is>
      </c>
      <c r="B737" s="1" t="n">
        <v>45735.36594907408</v>
      </c>
      <c r="C737" s="1" t="n">
        <v>46140</v>
      </c>
      <c r="D737" t="inlineStr">
        <is>
          <t>STOCKHOLMS LÄN</t>
        </is>
      </c>
      <c r="E737" t="inlineStr">
        <is>
          <t>NORRTÄLJE</t>
        </is>
      </c>
      <c r="G737" t="n">
        <v>5.1</v>
      </c>
      <c r="H737" t="n">
        <v>0</v>
      </c>
      <c r="I737" t="n">
        <v>0</v>
      </c>
      <c r="J737" t="n">
        <v>0</v>
      </c>
      <c r="K737" t="n">
        <v>0</v>
      </c>
      <c r="L737" t="n">
        <v>0</v>
      </c>
      <c r="M737" t="n">
        <v>0</v>
      </c>
      <c r="N737" t="n">
        <v>0</v>
      </c>
      <c r="O737" t="n">
        <v>0</v>
      </c>
      <c r="P737" t="n">
        <v>0</v>
      </c>
      <c r="Q737" t="n">
        <v>0</v>
      </c>
      <c r="R737" s="2" t="inlineStr"/>
    </row>
    <row r="738" ht="15" customHeight="1">
      <c r="A738" t="inlineStr">
        <is>
          <t>A 60745-2025</t>
        </is>
      </c>
      <c r="B738" s="1" t="n">
        <v>45999.37753472223</v>
      </c>
      <c r="C738" s="1" t="n">
        <v>46140</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12299-2025</t>
        </is>
      </c>
      <c r="B739" s="1" t="n">
        <v>45729.71065972222</v>
      </c>
      <c r="C739" s="1" t="n">
        <v>46140</v>
      </c>
      <c r="D739" t="inlineStr">
        <is>
          <t>STOCKHOLMS LÄN</t>
        </is>
      </c>
      <c r="E739" t="inlineStr">
        <is>
          <t>NORRTÄLJE</t>
        </is>
      </c>
      <c r="F739" t="inlineStr">
        <is>
          <t>Holmen skog AB</t>
        </is>
      </c>
      <c r="G739" t="n">
        <v>6.9</v>
      </c>
      <c r="H739" t="n">
        <v>0</v>
      </c>
      <c r="I739" t="n">
        <v>0</v>
      </c>
      <c r="J739" t="n">
        <v>0</v>
      </c>
      <c r="K739" t="n">
        <v>0</v>
      </c>
      <c r="L739" t="n">
        <v>0</v>
      </c>
      <c r="M739" t="n">
        <v>0</v>
      </c>
      <c r="N739" t="n">
        <v>0</v>
      </c>
      <c r="O739" t="n">
        <v>0</v>
      </c>
      <c r="P739" t="n">
        <v>0</v>
      </c>
      <c r="Q739" t="n">
        <v>0</v>
      </c>
      <c r="R739" s="2" t="inlineStr"/>
    </row>
    <row r="740" ht="15" customHeight="1">
      <c r="A740" t="inlineStr">
        <is>
          <t>A 11900-2024</t>
        </is>
      </c>
      <c r="B740" s="1" t="n">
        <v>45376.55484953704</v>
      </c>
      <c r="C740" s="1" t="n">
        <v>46140</v>
      </c>
      <c r="D740" t="inlineStr">
        <is>
          <t>STOCKHOLMS LÄN</t>
        </is>
      </c>
      <c r="E740" t="inlineStr">
        <is>
          <t>NORRTÄLJE</t>
        </is>
      </c>
      <c r="G740" t="n">
        <v>4.2</v>
      </c>
      <c r="H740" t="n">
        <v>0</v>
      </c>
      <c r="I740" t="n">
        <v>0</v>
      </c>
      <c r="J740" t="n">
        <v>0</v>
      </c>
      <c r="K740" t="n">
        <v>0</v>
      </c>
      <c r="L740" t="n">
        <v>0</v>
      </c>
      <c r="M740" t="n">
        <v>0</v>
      </c>
      <c r="N740" t="n">
        <v>0</v>
      </c>
      <c r="O740" t="n">
        <v>0</v>
      </c>
      <c r="P740" t="n">
        <v>0</v>
      </c>
      <c r="Q740" t="n">
        <v>0</v>
      </c>
      <c r="R740" s="2" t="inlineStr"/>
    </row>
    <row r="741" ht="15" customHeight="1">
      <c r="A741" t="inlineStr">
        <is>
          <t>A 60928-2025</t>
        </is>
      </c>
      <c r="B741" s="1" t="n">
        <v>45999.633125</v>
      </c>
      <c r="C741" s="1" t="n">
        <v>46140</v>
      </c>
      <c r="D741" t="inlineStr">
        <is>
          <t>STOCKHOLMS LÄN</t>
        </is>
      </c>
      <c r="E741" t="inlineStr">
        <is>
          <t>NORRTÄLJE</t>
        </is>
      </c>
      <c r="G741" t="n">
        <v>0.9</v>
      </c>
      <c r="H741" t="n">
        <v>0</v>
      </c>
      <c r="I741" t="n">
        <v>0</v>
      </c>
      <c r="J741" t="n">
        <v>0</v>
      </c>
      <c r="K741" t="n">
        <v>0</v>
      </c>
      <c r="L741" t="n">
        <v>0</v>
      </c>
      <c r="M741" t="n">
        <v>0</v>
      </c>
      <c r="N741" t="n">
        <v>0</v>
      </c>
      <c r="O741" t="n">
        <v>0</v>
      </c>
      <c r="P741" t="n">
        <v>0</v>
      </c>
      <c r="Q741" t="n">
        <v>0</v>
      </c>
      <c r="R741" s="2" t="inlineStr"/>
    </row>
    <row r="742" ht="15" customHeight="1">
      <c r="A742" t="inlineStr">
        <is>
          <t>A 60948-2025</t>
        </is>
      </c>
      <c r="B742" s="1" t="n">
        <v>45999.650625</v>
      </c>
      <c r="C742" s="1" t="n">
        <v>46140</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43300-2023</t>
        </is>
      </c>
      <c r="B743" s="1" t="n">
        <v>45183</v>
      </c>
      <c r="C743" s="1" t="n">
        <v>46140</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61160-2025</t>
        </is>
      </c>
      <c r="B744" s="1" t="n">
        <v>46000.55262731481</v>
      </c>
      <c r="C744" s="1" t="n">
        <v>46140</v>
      </c>
      <c r="D744" t="inlineStr">
        <is>
          <t>STOCKHOLMS LÄN</t>
        </is>
      </c>
      <c r="E744" t="inlineStr">
        <is>
          <t>NORRTÄLJE</t>
        </is>
      </c>
      <c r="G744" t="n">
        <v>5.3</v>
      </c>
      <c r="H744" t="n">
        <v>0</v>
      </c>
      <c r="I744" t="n">
        <v>0</v>
      </c>
      <c r="J744" t="n">
        <v>0</v>
      </c>
      <c r="K744" t="n">
        <v>0</v>
      </c>
      <c r="L744" t="n">
        <v>0</v>
      </c>
      <c r="M744" t="n">
        <v>0</v>
      </c>
      <c r="N744" t="n">
        <v>0</v>
      </c>
      <c r="O744" t="n">
        <v>0</v>
      </c>
      <c r="P744" t="n">
        <v>0</v>
      </c>
      <c r="Q744" t="n">
        <v>0</v>
      </c>
      <c r="R744" s="2" t="inlineStr"/>
    </row>
    <row r="745" ht="15" customHeight="1">
      <c r="A745" t="inlineStr">
        <is>
          <t>A 13276-2022</t>
        </is>
      </c>
      <c r="B745" s="1" t="n">
        <v>44644</v>
      </c>
      <c r="C745" s="1" t="n">
        <v>46140</v>
      </c>
      <c r="D745" t="inlineStr">
        <is>
          <t>STOCKHOLMS LÄN</t>
        </is>
      </c>
      <c r="E745" t="inlineStr">
        <is>
          <t>NORRTÄLJE</t>
        </is>
      </c>
      <c r="G745" t="n">
        <v>0.7</v>
      </c>
      <c r="H745" t="n">
        <v>0</v>
      </c>
      <c r="I745" t="n">
        <v>0</v>
      </c>
      <c r="J745" t="n">
        <v>0</v>
      </c>
      <c r="K745" t="n">
        <v>0</v>
      </c>
      <c r="L745" t="n">
        <v>0</v>
      </c>
      <c r="M745" t="n">
        <v>0</v>
      </c>
      <c r="N745" t="n">
        <v>0</v>
      </c>
      <c r="O745" t="n">
        <v>0</v>
      </c>
      <c r="P745" t="n">
        <v>0</v>
      </c>
      <c r="Q745" t="n">
        <v>0</v>
      </c>
      <c r="R745" s="2" t="inlineStr"/>
    </row>
    <row r="746" ht="15" customHeight="1">
      <c r="A746" t="inlineStr">
        <is>
          <t>A 11900-2022</t>
        </is>
      </c>
      <c r="B746" s="1" t="n">
        <v>44635</v>
      </c>
      <c r="C746" s="1" t="n">
        <v>46140</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14724-2022</t>
        </is>
      </c>
      <c r="B747" s="1" t="n">
        <v>44656</v>
      </c>
      <c r="C747" s="1" t="n">
        <v>46140</v>
      </c>
      <c r="D747" t="inlineStr">
        <is>
          <t>STOCKHOLMS LÄN</t>
        </is>
      </c>
      <c r="E747" t="inlineStr">
        <is>
          <t>NORRTÄLJE</t>
        </is>
      </c>
      <c r="F747" t="inlineStr">
        <is>
          <t>Sveaskog</t>
        </is>
      </c>
      <c r="G747" t="n">
        <v>9</v>
      </c>
      <c r="H747" t="n">
        <v>0</v>
      </c>
      <c r="I747" t="n">
        <v>0</v>
      </c>
      <c r="J747" t="n">
        <v>0</v>
      </c>
      <c r="K747" t="n">
        <v>0</v>
      </c>
      <c r="L747" t="n">
        <v>0</v>
      </c>
      <c r="M747" t="n">
        <v>0</v>
      </c>
      <c r="N747" t="n">
        <v>0</v>
      </c>
      <c r="O747" t="n">
        <v>0</v>
      </c>
      <c r="P747" t="n">
        <v>0</v>
      </c>
      <c r="Q747" t="n">
        <v>0</v>
      </c>
      <c r="R747" s="2" t="inlineStr"/>
    </row>
    <row r="748" ht="15" customHeight="1">
      <c r="A748" t="inlineStr">
        <is>
          <t>A 4580-2025</t>
        </is>
      </c>
      <c r="B748" s="1" t="n">
        <v>45687.5038425926</v>
      </c>
      <c r="C748" s="1" t="n">
        <v>46140</v>
      </c>
      <c r="D748" t="inlineStr">
        <is>
          <t>STOCKHOLMS LÄN</t>
        </is>
      </c>
      <c r="E748" t="inlineStr">
        <is>
          <t>NORRTÄLJE</t>
        </is>
      </c>
      <c r="F748" t="inlineStr">
        <is>
          <t>Holmen skog AB</t>
        </is>
      </c>
      <c r="G748" t="n">
        <v>4.8</v>
      </c>
      <c r="H748" t="n">
        <v>0</v>
      </c>
      <c r="I748" t="n">
        <v>0</v>
      </c>
      <c r="J748" t="n">
        <v>0</v>
      </c>
      <c r="K748" t="n">
        <v>0</v>
      </c>
      <c r="L748" t="n">
        <v>0</v>
      </c>
      <c r="M748" t="n">
        <v>0</v>
      </c>
      <c r="N748" t="n">
        <v>0</v>
      </c>
      <c r="O748" t="n">
        <v>0</v>
      </c>
      <c r="P748" t="n">
        <v>0</v>
      </c>
      <c r="Q748" t="n">
        <v>0</v>
      </c>
      <c r="R748" s="2" t="inlineStr"/>
    </row>
    <row r="749" ht="15" customHeight="1">
      <c r="A749" t="inlineStr">
        <is>
          <t>A 16202-2022</t>
        </is>
      </c>
      <c r="B749" s="1" t="n">
        <v>44670</v>
      </c>
      <c r="C749" s="1" t="n">
        <v>46140</v>
      </c>
      <c r="D749" t="inlineStr">
        <is>
          <t>STOCKHOLMS LÄN</t>
        </is>
      </c>
      <c r="E749" t="inlineStr">
        <is>
          <t>NORRTÄLJE</t>
        </is>
      </c>
      <c r="G749" t="n">
        <v>1.5</v>
      </c>
      <c r="H749" t="n">
        <v>0</v>
      </c>
      <c r="I749" t="n">
        <v>0</v>
      </c>
      <c r="J749" t="n">
        <v>0</v>
      </c>
      <c r="K749" t="n">
        <v>0</v>
      </c>
      <c r="L749" t="n">
        <v>0</v>
      </c>
      <c r="M749" t="n">
        <v>0</v>
      </c>
      <c r="N749" t="n">
        <v>0</v>
      </c>
      <c r="O749" t="n">
        <v>0</v>
      </c>
      <c r="P749" t="n">
        <v>0</v>
      </c>
      <c r="Q749" t="n">
        <v>0</v>
      </c>
      <c r="R749" s="2" t="inlineStr"/>
    </row>
    <row r="750" ht="15" customHeight="1">
      <c r="A750" t="inlineStr">
        <is>
          <t>A 61769-2025</t>
        </is>
      </c>
      <c r="B750" s="1" t="n">
        <v>46002.64556712963</v>
      </c>
      <c r="C750" s="1" t="n">
        <v>46140</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6003-2025</t>
        </is>
      </c>
      <c r="B751" s="1" t="n">
        <v>45695.57881944445</v>
      </c>
      <c r="C751" s="1" t="n">
        <v>46140</v>
      </c>
      <c r="D751" t="inlineStr">
        <is>
          <t>STOCKHOLMS LÄN</t>
        </is>
      </c>
      <c r="E751" t="inlineStr">
        <is>
          <t>NORRTÄLJE</t>
        </is>
      </c>
      <c r="F751" t="inlineStr">
        <is>
          <t>Holmen skog AB</t>
        </is>
      </c>
      <c r="G751" t="n">
        <v>2.3</v>
      </c>
      <c r="H751" t="n">
        <v>0</v>
      </c>
      <c r="I751" t="n">
        <v>0</v>
      </c>
      <c r="J751" t="n">
        <v>0</v>
      </c>
      <c r="K751" t="n">
        <v>0</v>
      </c>
      <c r="L751" t="n">
        <v>0</v>
      </c>
      <c r="M751" t="n">
        <v>0</v>
      </c>
      <c r="N751" t="n">
        <v>0</v>
      </c>
      <c r="O751" t="n">
        <v>0</v>
      </c>
      <c r="P751" t="n">
        <v>0</v>
      </c>
      <c r="Q751" t="n">
        <v>0</v>
      </c>
      <c r="R751" s="2" t="inlineStr"/>
    </row>
    <row r="752" ht="15" customHeight="1">
      <c r="A752" t="inlineStr">
        <is>
          <t>A 52321-2024</t>
        </is>
      </c>
      <c r="B752" s="1" t="n">
        <v>45608</v>
      </c>
      <c r="C752" s="1" t="n">
        <v>46140</v>
      </c>
      <c r="D752" t="inlineStr">
        <is>
          <t>STOCKHOLMS LÄN</t>
        </is>
      </c>
      <c r="E752" t="inlineStr">
        <is>
          <t>NORRTÄLJE</t>
        </is>
      </c>
      <c r="G752" t="n">
        <v>18.1</v>
      </c>
      <c r="H752" t="n">
        <v>0</v>
      </c>
      <c r="I752" t="n">
        <v>0</v>
      </c>
      <c r="J752" t="n">
        <v>0</v>
      </c>
      <c r="K752" t="n">
        <v>0</v>
      </c>
      <c r="L752" t="n">
        <v>0</v>
      </c>
      <c r="M752" t="n">
        <v>0</v>
      </c>
      <c r="N752" t="n">
        <v>0</v>
      </c>
      <c r="O752" t="n">
        <v>0</v>
      </c>
      <c r="P752" t="n">
        <v>0</v>
      </c>
      <c r="Q752" t="n">
        <v>0</v>
      </c>
      <c r="R752" s="2" t="inlineStr"/>
    </row>
    <row r="753" ht="15" customHeight="1">
      <c r="A753" t="inlineStr">
        <is>
          <t>A 54558-2024</t>
        </is>
      </c>
      <c r="B753" s="1" t="n">
        <v>45617.62358796296</v>
      </c>
      <c r="C753" s="1" t="n">
        <v>46140</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61764-2025</t>
        </is>
      </c>
      <c r="B754" s="1" t="n">
        <v>46002.62763888889</v>
      </c>
      <c r="C754" s="1" t="n">
        <v>46140</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22157-2023</t>
        </is>
      </c>
      <c r="B755" s="1" t="n">
        <v>45069</v>
      </c>
      <c r="C755" s="1" t="n">
        <v>46140</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c r="U755">
        <f>HYPERLINK("https://klasma.github.io/Logging_0188/knärot/A 22157-2023 karta knärot.png", "A 22157-2023")</f>
        <v/>
      </c>
      <c r="V755">
        <f>HYPERLINK("https://klasma.github.io/Logging_0188/klagomål/A 22157-2023 FSC-klagomål.docx", "A 22157-2023")</f>
        <v/>
      </c>
      <c r="W755">
        <f>HYPERLINK("https://klasma.github.io/Logging_0188/klagomålsmail/A 22157-2023 FSC-klagomål mail.docx", "A 22157-2023")</f>
        <v/>
      </c>
      <c r="X755">
        <f>HYPERLINK("https://klasma.github.io/Logging_0188/tillsyn/A 22157-2023 tillsynsbegäran.docx", "A 22157-2023")</f>
        <v/>
      </c>
      <c r="Y755">
        <f>HYPERLINK("https://klasma.github.io/Logging_0188/tillsynsmail/A 22157-2023 tillsynsbegäran mail.docx", "A 22157-2023")</f>
        <v/>
      </c>
    </row>
    <row r="756" ht="15" customHeight="1">
      <c r="A756" t="inlineStr">
        <is>
          <t>A 61289-2025</t>
        </is>
      </c>
      <c r="B756" s="1" t="n">
        <v>46000.73659722223</v>
      </c>
      <c r="C756" s="1" t="n">
        <v>46140</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61419-2025</t>
        </is>
      </c>
      <c r="B757" s="1" t="n">
        <v>46001.54137731482</v>
      </c>
      <c r="C757" s="1" t="n">
        <v>46140</v>
      </c>
      <c r="D757" t="inlineStr">
        <is>
          <t>STOCKHOLMS LÄN</t>
        </is>
      </c>
      <c r="E757" t="inlineStr">
        <is>
          <t>NORRTÄLJE</t>
        </is>
      </c>
      <c r="G757" t="n">
        <v>5.2</v>
      </c>
      <c r="H757" t="n">
        <v>0</v>
      </c>
      <c r="I757" t="n">
        <v>0</v>
      </c>
      <c r="J757" t="n">
        <v>0</v>
      </c>
      <c r="K757" t="n">
        <v>0</v>
      </c>
      <c r="L757" t="n">
        <v>0</v>
      </c>
      <c r="M757" t="n">
        <v>0</v>
      </c>
      <c r="N757" t="n">
        <v>0</v>
      </c>
      <c r="O757" t="n">
        <v>0</v>
      </c>
      <c r="P757" t="n">
        <v>0</v>
      </c>
      <c r="Q757" t="n">
        <v>0</v>
      </c>
      <c r="R757" s="2" t="inlineStr"/>
    </row>
    <row r="758" ht="15" customHeight="1">
      <c r="A758" t="inlineStr">
        <is>
          <t>A 61430-2025</t>
        </is>
      </c>
      <c r="B758" s="1" t="n">
        <v>46001.55583333333</v>
      </c>
      <c r="C758" s="1" t="n">
        <v>46140</v>
      </c>
      <c r="D758" t="inlineStr">
        <is>
          <t>STOCKHOLMS LÄN</t>
        </is>
      </c>
      <c r="E758" t="inlineStr">
        <is>
          <t>NORRTÄLJE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61452-2025</t>
        </is>
      </c>
      <c r="B759" s="1" t="n">
        <v>46001.58043981482</v>
      </c>
      <c r="C759" s="1" t="n">
        <v>46140</v>
      </c>
      <c r="D759" t="inlineStr">
        <is>
          <t>STOCKHOLMS LÄN</t>
        </is>
      </c>
      <c r="E759" t="inlineStr">
        <is>
          <t>NORRTÄLJE</t>
        </is>
      </c>
      <c r="F759" t="inlineStr">
        <is>
          <t>Holmen skog AB</t>
        </is>
      </c>
      <c r="G759" t="n">
        <v>3.7</v>
      </c>
      <c r="H759" t="n">
        <v>0</v>
      </c>
      <c r="I759" t="n">
        <v>0</v>
      </c>
      <c r="J759" t="n">
        <v>0</v>
      </c>
      <c r="K759" t="n">
        <v>0</v>
      </c>
      <c r="L759" t="n">
        <v>0</v>
      </c>
      <c r="M759" t="n">
        <v>0</v>
      </c>
      <c r="N759" t="n">
        <v>0</v>
      </c>
      <c r="O759" t="n">
        <v>0</v>
      </c>
      <c r="P759" t="n">
        <v>0</v>
      </c>
      <c r="Q759" t="n">
        <v>0</v>
      </c>
      <c r="R759" s="2" t="inlineStr"/>
    </row>
    <row r="760" ht="15" customHeight="1">
      <c r="A760" t="inlineStr">
        <is>
          <t>A 48633-2023</t>
        </is>
      </c>
      <c r="B760" s="1" t="n">
        <v>45208.58004629629</v>
      </c>
      <c r="C760" s="1" t="n">
        <v>46140</v>
      </c>
      <c r="D760" t="inlineStr">
        <is>
          <t>STOCKHOLMS LÄN</t>
        </is>
      </c>
      <c r="E760" t="inlineStr">
        <is>
          <t>NORRTÄLJE</t>
        </is>
      </c>
      <c r="G760" t="n">
        <v>3.3</v>
      </c>
      <c r="H760" t="n">
        <v>0</v>
      </c>
      <c r="I760" t="n">
        <v>0</v>
      </c>
      <c r="J760" t="n">
        <v>0</v>
      </c>
      <c r="K760" t="n">
        <v>0</v>
      </c>
      <c r="L760" t="n">
        <v>0</v>
      </c>
      <c r="M760" t="n">
        <v>0</v>
      </c>
      <c r="N760" t="n">
        <v>0</v>
      </c>
      <c r="O760" t="n">
        <v>0</v>
      </c>
      <c r="P760" t="n">
        <v>0</v>
      </c>
      <c r="Q760" t="n">
        <v>0</v>
      </c>
      <c r="R760" s="2" t="inlineStr"/>
    </row>
    <row r="761" ht="15" customHeight="1">
      <c r="A761" t="inlineStr">
        <is>
          <t>A 47419-2023</t>
        </is>
      </c>
      <c r="B761" s="1" t="n">
        <v>45202.65660879629</v>
      </c>
      <c r="C761" s="1" t="n">
        <v>46140</v>
      </c>
      <c r="D761" t="inlineStr">
        <is>
          <t>STOCKHOLMS LÄN</t>
        </is>
      </c>
      <c r="E761" t="inlineStr">
        <is>
          <t>NORRTÄLJE</t>
        </is>
      </c>
      <c r="G761" t="n">
        <v>11.4</v>
      </c>
      <c r="H761" t="n">
        <v>0</v>
      </c>
      <c r="I761" t="n">
        <v>0</v>
      </c>
      <c r="J761" t="n">
        <v>0</v>
      </c>
      <c r="K761" t="n">
        <v>0</v>
      </c>
      <c r="L761" t="n">
        <v>0</v>
      </c>
      <c r="M761" t="n">
        <v>0</v>
      </c>
      <c r="N761" t="n">
        <v>0</v>
      </c>
      <c r="O761" t="n">
        <v>0</v>
      </c>
      <c r="P761" t="n">
        <v>0</v>
      </c>
      <c r="Q761" t="n">
        <v>0</v>
      </c>
      <c r="R761" s="2" t="inlineStr"/>
    </row>
    <row r="762" ht="15" customHeight="1">
      <c r="A762" t="inlineStr">
        <is>
          <t>A 652-2025</t>
        </is>
      </c>
      <c r="B762" s="1" t="n">
        <v>45664</v>
      </c>
      <c r="C762" s="1" t="n">
        <v>46140</v>
      </c>
      <c r="D762" t="inlineStr">
        <is>
          <t>STOCKHOLMS LÄN</t>
        </is>
      </c>
      <c r="E762" t="inlineStr">
        <is>
          <t>NORRTÄLJE</t>
        </is>
      </c>
      <c r="G762" t="n">
        <v>2.5</v>
      </c>
      <c r="H762" t="n">
        <v>0</v>
      </c>
      <c r="I762" t="n">
        <v>0</v>
      </c>
      <c r="J762" t="n">
        <v>0</v>
      </c>
      <c r="K762" t="n">
        <v>0</v>
      </c>
      <c r="L762" t="n">
        <v>0</v>
      </c>
      <c r="M762" t="n">
        <v>0</v>
      </c>
      <c r="N762" t="n">
        <v>0</v>
      </c>
      <c r="O762" t="n">
        <v>0</v>
      </c>
      <c r="P762" t="n">
        <v>0</v>
      </c>
      <c r="Q762" t="n">
        <v>0</v>
      </c>
      <c r="R762" s="2" t="inlineStr"/>
    </row>
    <row r="763" ht="15" customHeight="1">
      <c r="A763" t="inlineStr">
        <is>
          <t>A 53499-2025</t>
        </is>
      </c>
      <c r="B763" s="1" t="n">
        <v>45960</v>
      </c>
      <c r="C763" s="1" t="n">
        <v>46140</v>
      </c>
      <c r="D763" t="inlineStr">
        <is>
          <t>STOCKHOLMS LÄN</t>
        </is>
      </c>
      <c r="E763" t="inlineStr">
        <is>
          <t>NORRTÄLJE</t>
        </is>
      </c>
      <c r="G763" t="n">
        <v>23.8</v>
      </c>
      <c r="H763" t="n">
        <v>0</v>
      </c>
      <c r="I763" t="n">
        <v>0</v>
      </c>
      <c r="J763" t="n">
        <v>0</v>
      </c>
      <c r="K763" t="n">
        <v>0</v>
      </c>
      <c r="L763" t="n">
        <v>0</v>
      </c>
      <c r="M763" t="n">
        <v>0</v>
      </c>
      <c r="N763" t="n">
        <v>0</v>
      </c>
      <c r="O763" t="n">
        <v>0</v>
      </c>
      <c r="P763" t="n">
        <v>0</v>
      </c>
      <c r="Q763" t="n">
        <v>0</v>
      </c>
      <c r="R763" s="2" t="inlineStr"/>
    </row>
    <row r="764" ht="15" customHeight="1">
      <c r="A764" t="inlineStr">
        <is>
          <t>A 10653-2022</t>
        </is>
      </c>
      <c r="B764" s="1" t="n">
        <v>44624.59434027778</v>
      </c>
      <c r="C764" s="1" t="n">
        <v>46140</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62708-2025</t>
        </is>
      </c>
      <c r="B765" s="1" t="n">
        <v>46008.50986111111</v>
      </c>
      <c r="C765" s="1" t="n">
        <v>46140</v>
      </c>
      <c r="D765" t="inlineStr">
        <is>
          <t>STOCKHOLMS LÄN</t>
        </is>
      </c>
      <c r="E765" t="inlineStr">
        <is>
          <t>NORRTÄLJE</t>
        </is>
      </c>
      <c r="G765" t="n">
        <v>1.2</v>
      </c>
      <c r="H765" t="n">
        <v>0</v>
      </c>
      <c r="I765" t="n">
        <v>0</v>
      </c>
      <c r="J765" t="n">
        <v>0</v>
      </c>
      <c r="K765" t="n">
        <v>0</v>
      </c>
      <c r="L765" t="n">
        <v>0</v>
      </c>
      <c r="M765" t="n">
        <v>0</v>
      </c>
      <c r="N765" t="n">
        <v>0</v>
      </c>
      <c r="O765" t="n">
        <v>0</v>
      </c>
      <c r="P765" t="n">
        <v>0</v>
      </c>
      <c r="Q765" t="n">
        <v>0</v>
      </c>
      <c r="R765" s="2" t="inlineStr"/>
    </row>
    <row r="766" ht="15" customHeight="1">
      <c r="A766" t="inlineStr">
        <is>
          <t>A 62689-2025</t>
        </is>
      </c>
      <c r="B766" s="1" t="n">
        <v>46008.47171296296</v>
      </c>
      <c r="C766" s="1" t="n">
        <v>46140</v>
      </c>
      <c r="D766" t="inlineStr">
        <is>
          <t>STOCKHOLMS LÄN</t>
        </is>
      </c>
      <c r="E766" t="inlineStr">
        <is>
          <t>NORRTÄLJE</t>
        </is>
      </c>
      <c r="F766" t="inlineStr">
        <is>
          <t>Kyrkan</t>
        </is>
      </c>
      <c r="G766" t="n">
        <v>0.7</v>
      </c>
      <c r="H766" t="n">
        <v>0</v>
      </c>
      <c r="I766" t="n">
        <v>0</v>
      </c>
      <c r="J766" t="n">
        <v>0</v>
      </c>
      <c r="K766" t="n">
        <v>0</v>
      </c>
      <c r="L766" t="n">
        <v>0</v>
      </c>
      <c r="M766" t="n">
        <v>0</v>
      </c>
      <c r="N766" t="n">
        <v>0</v>
      </c>
      <c r="O766" t="n">
        <v>0</v>
      </c>
      <c r="P766" t="n">
        <v>0</v>
      </c>
      <c r="Q766" t="n">
        <v>0</v>
      </c>
      <c r="R766" s="2" t="inlineStr"/>
    </row>
    <row r="767" ht="15" customHeight="1">
      <c r="A767" t="inlineStr">
        <is>
          <t>A 35695-2023</t>
        </is>
      </c>
      <c r="B767" s="1" t="n">
        <v>45147.65407407407</v>
      </c>
      <c r="C767" s="1" t="n">
        <v>46140</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18665-2022</t>
        </is>
      </c>
      <c r="B768" s="1" t="n">
        <v>44687</v>
      </c>
      <c r="C768" s="1" t="n">
        <v>46140</v>
      </c>
      <c r="D768" t="inlineStr">
        <is>
          <t>STOCKHOLMS LÄN</t>
        </is>
      </c>
      <c r="E768" t="inlineStr">
        <is>
          <t>NORRTÄLJE</t>
        </is>
      </c>
      <c r="F768" t="inlineStr">
        <is>
          <t>Kyrkan</t>
        </is>
      </c>
      <c r="G768" t="n">
        <v>1.1</v>
      </c>
      <c r="H768" t="n">
        <v>0</v>
      </c>
      <c r="I768" t="n">
        <v>0</v>
      </c>
      <c r="J768" t="n">
        <v>0</v>
      </c>
      <c r="K768" t="n">
        <v>0</v>
      </c>
      <c r="L768" t="n">
        <v>0</v>
      </c>
      <c r="M768" t="n">
        <v>0</v>
      </c>
      <c r="N768" t="n">
        <v>0</v>
      </c>
      <c r="O768" t="n">
        <v>0</v>
      </c>
      <c r="P768" t="n">
        <v>0</v>
      </c>
      <c r="Q768" t="n">
        <v>0</v>
      </c>
      <c r="R768" s="2" t="inlineStr"/>
    </row>
    <row r="769" ht="15" customHeight="1">
      <c r="A769" t="inlineStr">
        <is>
          <t>A 33279-2025</t>
        </is>
      </c>
      <c r="B769" s="1" t="n">
        <v>45840</v>
      </c>
      <c r="C769" s="1" t="n">
        <v>46140</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17574-2025</t>
        </is>
      </c>
      <c r="B770" s="1" t="n">
        <v>45757.65178240741</v>
      </c>
      <c r="C770" s="1" t="n">
        <v>46140</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20370-2025</t>
        </is>
      </c>
      <c r="B771" s="1" t="n">
        <v>45775.41451388889</v>
      </c>
      <c r="C771" s="1" t="n">
        <v>46140</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19982-2022</t>
        </is>
      </c>
      <c r="B772" s="1" t="n">
        <v>44697</v>
      </c>
      <c r="C772" s="1" t="n">
        <v>46140</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62681-2025</t>
        </is>
      </c>
      <c r="B773" s="1" t="n">
        <v>46008.45534722223</v>
      </c>
      <c r="C773" s="1" t="n">
        <v>46140</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35438-2023</t>
        </is>
      </c>
      <c r="B774" s="1" t="n">
        <v>45146</v>
      </c>
      <c r="C774" s="1" t="n">
        <v>46140</v>
      </c>
      <c r="D774" t="inlineStr">
        <is>
          <t>STOCKHOLMS LÄN</t>
        </is>
      </c>
      <c r="E774" t="inlineStr">
        <is>
          <t>NORRTÄLJE</t>
        </is>
      </c>
      <c r="F774" t="inlineStr">
        <is>
          <t>Kommuner</t>
        </is>
      </c>
      <c r="G774" t="n">
        <v>1.9</v>
      </c>
      <c r="H774" t="n">
        <v>0</v>
      </c>
      <c r="I774" t="n">
        <v>0</v>
      </c>
      <c r="J774" t="n">
        <v>0</v>
      </c>
      <c r="K774" t="n">
        <v>0</v>
      </c>
      <c r="L774" t="n">
        <v>0</v>
      </c>
      <c r="M774" t="n">
        <v>0</v>
      </c>
      <c r="N774" t="n">
        <v>0</v>
      </c>
      <c r="O774" t="n">
        <v>0</v>
      </c>
      <c r="P774" t="n">
        <v>0</v>
      </c>
      <c r="Q774" t="n">
        <v>0</v>
      </c>
      <c r="R774" s="2" t="inlineStr"/>
    </row>
    <row r="775" ht="15" customHeight="1">
      <c r="A775" t="inlineStr">
        <is>
          <t>A 34478-2025</t>
        </is>
      </c>
      <c r="B775" s="1" t="n">
        <v>45847</v>
      </c>
      <c r="C775" s="1" t="n">
        <v>46140</v>
      </c>
      <c r="D775" t="inlineStr">
        <is>
          <t>STOCKHOLMS LÄN</t>
        </is>
      </c>
      <c r="E775" t="inlineStr">
        <is>
          <t>NORRTÄLJE</t>
        </is>
      </c>
      <c r="F775" t="inlineStr">
        <is>
          <t>Övriga Aktiebolag</t>
        </is>
      </c>
      <c r="G775" t="n">
        <v>10.8</v>
      </c>
      <c r="H775" t="n">
        <v>0</v>
      </c>
      <c r="I775" t="n">
        <v>0</v>
      </c>
      <c r="J775" t="n">
        <v>0</v>
      </c>
      <c r="K775" t="n">
        <v>0</v>
      </c>
      <c r="L775" t="n">
        <v>0</v>
      </c>
      <c r="M775" t="n">
        <v>0</v>
      </c>
      <c r="N775" t="n">
        <v>0</v>
      </c>
      <c r="O775" t="n">
        <v>0</v>
      </c>
      <c r="P775" t="n">
        <v>0</v>
      </c>
      <c r="Q775" t="n">
        <v>0</v>
      </c>
      <c r="R775" s="2" t="inlineStr"/>
    </row>
    <row r="776" ht="15" customHeight="1">
      <c r="A776" t="inlineStr">
        <is>
          <t>A 33878-2024</t>
        </is>
      </c>
      <c r="B776" s="1" t="n">
        <v>45522.44414351852</v>
      </c>
      <c r="C776" s="1" t="n">
        <v>46140</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4183-2025</t>
        </is>
      </c>
      <c r="B777" s="1" t="n">
        <v>45685.44592592592</v>
      </c>
      <c r="C777" s="1" t="n">
        <v>46140</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62922-2025</t>
        </is>
      </c>
      <c r="B778" s="1" t="n">
        <v>46009.38064814815</v>
      </c>
      <c r="C778" s="1" t="n">
        <v>46140</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17556-2025</t>
        </is>
      </c>
      <c r="B779" s="1" t="n">
        <v>45757.62482638889</v>
      </c>
      <c r="C779" s="1" t="n">
        <v>46140</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41335-2023</t>
        </is>
      </c>
      <c r="B780" s="1" t="n">
        <v>45174.68702546296</v>
      </c>
      <c r="C780" s="1" t="n">
        <v>46140</v>
      </c>
      <c r="D780" t="inlineStr">
        <is>
          <t>STOCKHOLMS LÄN</t>
        </is>
      </c>
      <c r="E780" t="inlineStr">
        <is>
          <t>NORRTÄLJE</t>
        </is>
      </c>
      <c r="F780" t="inlineStr">
        <is>
          <t>Holmen skog AB</t>
        </is>
      </c>
      <c r="G780" t="n">
        <v>4.4</v>
      </c>
      <c r="H780" t="n">
        <v>0</v>
      </c>
      <c r="I780" t="n">
        <v>0</v>
      </c>
      <c r="J780" t="n">
        <v>0</v>
      </c>
      <c r="K780" t="n">
        <v>0</v>
      </c>
      <c r="L780" t="n">
        <v>0</v>
      </c>
      <c r="M780" t="n">
        <v>0</v>
      </c>
      <c r="N780" t="n">
        <v>0</v>
      </c>
      <c r="O780" t="n">
        <v>0</v>
      </c>
      <c r="P780" t="n">
        <v>0</v>
      </c>
      <c r="Q780" t="n">
        <v>0</v>
      </c>
      <c r="R780" s="2" t="inlineStr"/>
    </row>
    <row r="781" ht="15" customHeight="1">
      <c r="A781" t="inlineStr">
        <is>
          <t>A 4484-2025</t>
        </is>
      </c>
      <c r="B781" s="1" t="n">
        <v>45686.65545138889</v>
      </c>
      <c r="C781" s="1" t="n">
        <v>46140</v>
      </c>
      <c r="D781" t="inlineStr">
        <is>
          <t>STOCKHOLMS LÄN</t>
        </is>
      </c>
      <c r="E781" t="inlineStr">
        <is>
          <t>NORRTÄLJE</t>
        </is>
      </c>
      <c r="G781" t="n">
        <v>1.9</v>
      </c>
      <c r="H781" t="n">
        <v>0</v>
      </c>
      <c r="I781" t="n">
        <v>0</v>
      </c>
      <c r="J781" t="n">
        <v>0</v>
      </c>
      <c r="K781" t="n">
        <v>0</v>
      </c>
      <c r="L781" t="n">
        <v>0</v>
      </c>
      <c r="M781" t="n">
        <v>0</v>
      </c>
      <c r="N781" t="n">
        <v>0</v>
      </c>
      <c r="O781" t="n">
        <v>0</v>
      </c>
      <c r="P781" t="n">
        <v>0</v>
      </c>
      <c r="Q781" t="n">
        <v>0</v>
      </c>
      <c r="R781" s="2" t="inlineStr"/>
    </row>
    <row r="782" ht="15" customHeight="1">
      <c r="A782" t="inlineStr">
        <is>
          <t>A 8419-2025</t>
        </is>
      </c>
      <c r="B782" s="1" t="n">
        <v>45709.40231481481</v>
      </c>
      <c r="C782" s="1" t="n">
        <v>46140</v>
      </c>
      <c r="D782" t="inlineStr">
        <is>
          <t>STOCKHOLMS LÄN</t>
        </is>
      </c>
      <c r="E782" t="inlineStr">
        <is>
          <t>NORRTÄLJE</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21480-2022</t>
        </is>
      </c>
      <c r="B783" s="1" t="n">
        <v>44704</v>
      </c>
      <c r="C783" s="1" t="n">
        <v>46140</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1654-2025</t>
        </is>
      </c>
      <c r="B784" s="1" t="n">
        <v>45670.65921296296</v>
      </c>
      <c r="C784" s="1" t="n">
        <v>46140</v>
      </c>
      <c r="D784" t="inlineStr">
        <is>
          <t>STOCKHOLMS LÄN</t>
        </is>
      </c>
      <c r="E784" t="inlineStr">
        <is>
          <t>NORRTÄLJE</t>
        </is>
      </c>
      <c r="G784" t="n">
        <v>2.5</v>
      </c>
      <c r="H784" t="n">
        <v>0</v>
      </c>
      <c r="I784" t="n">
        <v>0</v>
      </c>
      <c r="J784" t="n">
        <v>0</v>
      </c>
      <c r="K784" t="n">
        <v>0</v>
      </c>
      <c r="L784" t="n">
        <v>0</v>
      </c>
      <c r="M784" t="n">
        <v>0</v>
      </c>
      <c r="N784" t="n">
        <v>0</v>
      </c>
      <c r="O784" t="n">
        <v>0</v>
      </c>
      <c r="P784" t="n">
        <v>0</v>
      </c>
      <c r="Q784" t="n">
        <v>0</v>
      </c>
      <c r="R784" s="2" t="inlineStr"/>
    </row>
    <row r="785" ht="15" customHeight="1">
      <c r="A785" t="inlineStr">
        <is>
          <t>A 48686-2023</t>
        </is>
      </c>
      <c r="B785" s="1" t="n">
        <v>45208</v>
      </c>
      <c r="C785" s="1" t="n">
        <v>46140</v>
      </c>
      <c r="D785" t="inlineStr">
        <is>
          <t>STOCKHOLMS LÄN</t>
        </is>
      </c>
      <c r="E785" t="inlineStr">
        <is>
          <t>NORRTÄLJE</t>
        </is>
      </c>
      <c r="G785" t="n">
        <v>6</v>
      </c>
      <c r="H785" t="n">
        <v>0</v>
      </c>
      <c r="I785" t="n">
        <v>0</v>
      </c>
      <c r="J785" t="n">
        <v>0</v>
      </c>
      <c r="K785" t="n">
        <v>0</v>
      </c>
      <c r="L785" t="n">
        <v>0</v>
      </c>
      <c r="M785" t="n">
        <v>0</v>
      </c>
      <c r="N785" t="n">
        <v>0</v>
      </c>
      <c r="O785" t="n">
        <v>0</v>
      </c>
      <c r="P785" t="n">
        <v>0</v>
      </c>
      <c r="Q785" t="n">
        <v>0</v>
      </c>
      <c r="R785" s="2" t="inlineStr"/>
    </row>
    <row r="786" ht="15" customHeight="1">
      <c r="A786" t="inlineStr">
        <is>
          <t>A 48691-2023</t>
        </is>
      </c>
      <c r="B786" s="1" t="n">
        <v>45208</v>
      </c>
      <c r="C786" s="1" t="n">
        <v>46140</v>
      </c>
      <c r="D786" t="inlineStr">
        <is>
          <t>STOCKHOLMS LÄN</t>
        </is>
      </c>
      <c r="E786" t="inlineStr">
        <is>
          <t>NORRTÄLJE</t>
        </is>
      </c>
      <c r="G786" t="n">
        <v>5.8</v>
      </c>
      <c r="H786" t="n">
        <v>0</v>
      </c>
      <c r="I786" t="n">
        <v>0</v>
      </c>
      <c r="J786" t="n">
        <v>0</v>
      </c>
      <c r="K786" t="n">
        <v>0</v>
      </c>
      <c r="L786" t="n">
        <v>0</v>
      </c>
      <c r="M786" t="n">
        <v>0</v>
      </c>
      <c r="N786" t="n">
        <v>0</v>
      </c>
      <c r="O786" t="n">
        <v>0</v>
      </c>
      <c r="P786" t="n">
        <v>0</v>
      </c>
      <c r="Q786" t="n">
        <v>0</v>
      </c>
      <c r="R786" s="2" t="inlineStr"/>
    </row>
    <row r="787" ht="15" customHeight="1">
      <c r="A787" t="inlineStr">
        <is>
          <t>A 55243-2023</t>
        </is>
      </c>
      <c r="B787" s="1" t="n">
        <v>45237</v>
      </c>
      <c r="C787" s="1" t="n">
        <v>46140</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35210-2023</t>
        </is>
      </c>
      <c r="B788" s="1" t="n">
        <v>45145.63584490741</v>
      </c>
      <c r="C788" s="1" t="n">
        <v>46140</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6678-2025</t>
        </is>
      </c>
      <c r="B789" s="1" t="n">
        <v>45700</v>
      </c>
      <c r="C789" s="1" t="n">
        <v>46140</v>
      </c>
      <c r="D789" t="inlineStr">
        <is>
          <t>STOCKHOLMS LÄN</t>
        </is>
      </c>
      <c r="E789" t="inlineStr">
        <is>
          <t>NORRTÄLJE</t>
        </is>
      </c>
      <c r="F789" t="inlineStr">
        <is>
          <t>Övriga Aktiebolag</t>
        </is>
      </c>
      <c r="G789" t="n">
        <v>6.6</v>
      </c>
      <c r="H789" t="n">
        <v>0</v>
      </c>
      <c r="I789" t="n">
        <v>0</v>
      </c>
      <c r="J789" t="n">
        <v>0</v>
      </c>
      <c r="K789" t="n">
        <v>0</v>
      </c>
      <c r="L789" t="n">
        <v>0</v>
      </c>
      <c r="M789" t="n">
        <v>0</v>
      </c>
      <c r="N789" t="n">
        <v>0</v>
      </c>
      <c r="O789" t="n">
        <v>0</v>
      </c>
      <c r="P789" t="n">
        <v>0</v>
      </c>
      <c r="Q789" t="n">
        <v>0</v>
      </c>
      <c r="R789" s="2" t="inlineStr"/>
    </row>
    <row r="790" ht="15" customHeight="1">
      <c r="A790" t="inlineStr">
        <is>
          <t>A 17612-2022</t>
        </is>
      </c>
      <c r="B790" s="1" t="n">
        <v>44680</v>
      </c>
      <c r="C790" s="1" t="n">
        <v>46140</v>
      </c>
      <c r="D790" t="inlineStr">
        <is>
          <t>STOCKHOLMS LÄN</t>
        </is>
      </c>
      <c r="E790" t="inlineStr">
        <is>
          <t>NORRTÄLJE</t>
        </is>
      </c>
      <c r="G790" t="n">
        <v>2.6</v>
      </c>
      <c r="H790" t="n">
        <v>0</v>
      </c>
      <c r="I790" t="n">
        <v>0</v>
      </c>
      <c r="J790" t="n">
        <v>0</v>
      </c>
      <c r="K790" t="n">
        <v>0</v>
      </c>
      <c r="L790" t="n">
        <v>0</v>
      </c>
      <c r="M790" t="n">
        <v>0</v>
      </c>
      <c r="N790" t="n">
        <v>0</v>
      </c>
      <c r="O790" t="n">
        <v>0</v>
      </c>
      <c r="P790" t="n">
        <v>0</v>
      </c>
      <c r="Q790" t="n">
        <v>0</v>
      </c>
      <c r="R790" s="2" t="inlineStr"/>
    </row>
    <row r="791" ht="15" customHeight="1">
      <c r="A791" t="inlineStr">
        <is>
          <t>A 58297-2023</t>
        </is>
      </c>
      <c r="B791" s="1" t="n">
        <v>45245</v>
      </c>
      <c r="C791" s="1" t="n">
        <v>46140</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21726-2022</t>
        </is>
      </c>
      <c r="B792" s="1" t="n">
        <v>44708</v>
      </c>
      <c r="C792" s="1" t="n">
        <v>46140</v>
      </c>
      <c r="D792" t="inlineStr">
        <is>
          <t>STOCKHOLMS LÄN</t>
        </is>
      </c>
      <c r="E792" t="inlineStr">
        <is>
          <t>NORRTÄLJE</t>
        </is>
      </c>
      <c r="G792" t="n">
        <v>0.2</v>
      </c>
      <c r="H792" t="n">
        <v>0</v>
      </c>
      <c r="I792" t="n">
        <v>0</v>
      </c>
      <c r="J792" t="n">
        <v>0</v>
      </c>
      <c r="K792" t="n">
        <v>0</v>
      </c>
      <c r="L792" t="n">
        <v>0</v>
      </c>
      <c r="M792" t="n">
        <v>0</v>
      </c>
      <c r="N792" t="n">
        <v>0</v>
      </c>
      <c r="O792" t="n">
        <v>0</v>
      </c>
      <c r="P792" t="n">
        <v>0</v>
      </c>
      <c r="Q792" t="n">
        <v>0</v>
      </c>
      <c r="R792" s="2" t="inlineStr"/>
    </row>
    <row r="793" ht="15" customHeight="1">
      <c r="A793" t="inlineStr">
        <is>
          <t>A 21739-2022</t>
        </is>
      </c>
      <c r="B793" s="1" t="n">
        <v>44708.36708333333</v>
      </c>
      <c r="C793" s="1" t="n">
        <v>46140</v>
      </c>
      <c r="D793" t="inlineStr">
        <is>
          <t>STOCKHOLMS LÄN</t>
        </is>
      </c>
      <c r="E793" t="inlineStr">
        <is>
          <t>NORRTÄLJE</t>
        </is>
      </c>
      <c r="F793" t="inlineStr">
        <is>
          <t>Holmen skog AB</t>
        </is>
      </c>
      <c r="G793" t="n">
        <v>1.1</v>
      </c>
      <c r="H793" t="n">
        <v>0</v>
      </c>
      <c r="I793" t="n">
        <v>0</v>
      </c>
      <c r="J793" t="n">
        <v>0</v>
      </c>
      <c r="K793" t="n">
        <v>0</v>
      </c>
      <c r="L793" t="n">
        <v>0</v>
      </c>
      <c r="M793" t="n">
        <v>0</v>
      </c>
      <c r="N793" t="n">
        <v>0</v>
      </c>
      <c r="O793" t="n">
        <v>0</v>
      </c>
      <c r="P793" t="n">
        <v>0</v>
      </c>
      <c r="Q793" t="n">
        <v>0</v>
      </c>
      <c r="R793" s="2" t="inlineStr"/>
    </row>
    <row r="794" ht="15" customHeight="1">
      <c r="A794" t="inlineStr">
        <is>
          <t>A 28182-2022</t>
        </is>
      </c>
      <c r="B794" s="1" t="n">
        <v>44746.58530092592</v>
      </c>
      <c r="C794" s="1" t="n">
        <v>46140</v>
      </c>
      <c r="D794" t="inlineStr">
        <is>
          <t>STOCKHOLMS LÄN</t>
        </is>
      </c>
      <c r="E794" t="inlineStr">
        <is>
          <t>NORRTÄLJE</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3283-2025</t>
        </is>
      </c>
      <c r="B795" s="1" t="n">
        <v>45679</v>
      </c>
      <c r="C795" s="1" t="n">
        <v>46140</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124-2026</t>
        </is>
      </c>
      <c r="B796" s="1" t="n">
        <v>46024.58378472222</v>
      </c>
      <c r="C796" s="1" t="n">
        <v>46140</v>
      </c>
      <c r="D796" t="inlineStr">
        <is>
          <t>STOCKHOLMS LÄN</t>
        </is>
      </c>
      <c r="E796" t="inlineStr">
        <is>
          <t>NORRTÄLJE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46140</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33295-2023</t>
        </is>
      </c>
      <c r="B798" s="1" t="n">
        <v>45127.69371527778</v>
      </c>
      <c r="C798" s="1" t="n">
        <v>46140</v>
      </c>
      <c r="D798" t="inlineStr">
        <is>
          <t>STOCKHOLMS LÄN</t>
        </is>
      </c>
      <c r="E798" t="inlineStr">
        <is>
          <t>NORRTÄLJE</t>
        </is>
      </c>
      <c r="F798" t="inlineStr">
        <is>
          <t>Holmen skog AB</t>
        </is>
      </c>
      <c r="G798" t="n">
        <v>2</v>
      </c>
      <c r="H798" t="n">
        <v>0</v>
      </c>
      <c r="I798" t="n">
        <v>0</v>
      </c>
      <c r="J798" t="n">
        <v>0</v>
      </c>
      <c r="K798" t="n">
        <v>0</v>
      </c>
      <c r="L798" t="n">
        <v>0</v>
      </c>
      <c r="M798" t="n">
        <v>0</v>
      </c>
      <c r="N798" t="n">
        <v>0</v>
      </c>
      <c r="O798" t="n">
        <v>0</v>
      </c>
      <c r="P798" t="n">
        <v>0</v>
      </c>
      <c r="Q798" t="n">
        <v>0</v>
      </c>
      <c r="R798" s="2" t="inlineStr"/>
    </row>
    <row r="799" ht="15" customHeight="1">
      <c r="A799" t="inlineStr">
        <is>
          <t>A 58404-2023</t>
        </is>
      </c>
      <c r="B799" s="1" t="n">
        <v>45245</v>
      </c>
      <c r="C799" s="1" t="n">
        <v>46140</v>
      </c>
      <c r="D799" t="inlineStr">
        <is>
          <t>STOCKHOLMS LÄN</t>
        </is>
      </c>
      <c r="E799" t="inlineStr">
        <is>
          <t>NORRTÄLJE</t>
        </is>
      </c>
      <c r="G799" t="n">
        <v>53.5</v>
      </c>
      <c r="H799" t="n">
        <v>0</v>
      </c>
      <c r="I799" t="n">
        <v>0</v>
      </c>
      <c r="J799" t="n">
        <v>0</v>
      </c>
      <c r="K799" t="n">
        <v>0</v>
      </c>
      <c r="L799" t="n">
        <v>0</v>
      </c>
      <c r="M799" t="n">
        <v>0</v>
      </c>
      <c r="N799" t="n">
        <v>0</v>
      </c>
      <c r="O799" t="n">
        <v>0</v>
      </c>
      <c r="P799" t="n">
        <v>0</v>
      </c>
      <c r="Q799" t="n">
        <v>0</v>
      </c>
      <c r="R799" s="2" t="inlineStr"/>
    </row>
    <row r="800" ht="15" customHeight="1">
      <c r="A800" t="inlineStr">
        <is>
          <t>A 197-2026</t>
        </is>
      </c>
      <c r="B800" s="1" t="n">
        <v>46026</v>
      </c>
      <c r="C800" s="1" t="n">
        <v>46140</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27885-2022</t>
        </is>
      </c>
      <c r="B801" s="1" t="n">
        <v>44743.67418981482</v>
      </c>
      <c r="C801" s="1" t="n">
        <v>46140</v>
      </c>
      <c r="D801" t="inlineStr">
        <is>
          <t>STOCKHOLMS LÄN</t>
        </is>
      </c>
      <c r="E801" t="inlineStr">
        <is>
          <t>NORRTÄLJE</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718-2026</t>
        </is>
      </c>
      <c r="B802" s="1" t="n">
        <v>46029.63174768518</v>
      </c>
      <c r="C802" s="1" t="n">
        <v>46140</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25525-2022</t>
        </is>
      </c>
      <c r="B803" s="1" t="n">
        <v>44732</v>
      </c>
      <c r="C803" s="1" t="n">
        <v>46140</v>
      </c>
      <c r="D803" t="inlineStr">
        <is>
          <t>STOCKHOLMS LÄN</t>
        </is>
      </c>
      <c r="E803" t="inlineStr">
        <is>
          <t>NORRTÄLJE</t>
        </is>
      </c>
      <c r="G803" t="n">
        <v>2.2</v>
      </c>
      <c r="H803" t="n">
        <v>0</v>
      </c>
      <c r="I803" t="n">
        <v>0</v>
      </c>
      <c r="J803" t="n">
        <v>0</v>
      </c>
      <c r="K803" t="n">
        <v>0</v>
      </c>
      <c r="L803" t="n">
        <v>0</v>
      </c>
      <c r="M803" t="n">
        <v>0</v>
      </c>
      <c r="N803" t="n">
        <v>0</v>
      </c>
      <c r="O803" t="n">
        <v>0</v>
      </c>
      <c r="P803" t="n">
        <v>0</v>
      </c>
      <c r="Q803" t="n">
        <v>0</v>
      </c>
      <c r="R803" s="2" t="inlineStr"/>
    </row>
    <row r="804" ht="15" customHeight="1">
      <c r="A804" t="inlineStr">
        <is>
          <t>A 694-2026</t>
        </is>
      </c>
      <c r="B804" s="1" t="n">
        <v>46029.61375</v>
      </c>
      <c r="C804" s="1" t="n">
        <v>46140</v>
      </c>
      <c r="D804" t="inlineStr">
        <is>
          <t>STOCKHOLMS LÄN</t>
        </is>
      </c>
      <c r="E804" t="inlineStr">
        <is>
          <t>NORRTÄLJE</t>
        </is>
      </c>
      <c r="G804" t="n">
        <v>9.6</v>
      </c>
      <c r="H804" t="n">
        <v>0</v>
      </c>
      <c r="I804" t="n">
        <v>0</v>
      </c>
      <c r="J804" t="n">
        <v>0</v>
      </c>
      <c r="K804" t="n">
        <v>0</v>
      </c>
      <c r="L804" t="n">
        <v>0</v>
      </c>
      <c r="M804" t="n">
        <v>0</v>
      </c>
      <c r="N804" t="n">
        <v>0</v>
      </c>
      <c r="O804" t="n">
        <v>0</v>
      </c>
      <c r="P804" t="n">
        <v>0</v>
      </c>
      <c r="Q804" t="n">
        <v>0</v>
      </c>
      <c r="R804" s="2" t="inlineStr"/>
    </row>
    <row r="805" ht="15" customHeight="1">
      <c r="A805" t="inlineStr">
        <is>
          <t>A 48722-2023</t>
        </is>
      </c>
      <c r="B805" s="1" t="n">
        <v>45208.70996527778</v>
      </c>
      <c r="C805" s="1" t="n">
        <v>46140</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693-2026</t>
        </is>
      </c>
      <c r="B806" s="1" t="n">
        <v>46029.6133449074</v>
      </c>
      <c r="C806" s="1" t="n">
        <v>46140</v>
      </c>
      <c r="D806" t="inlineStr">
        <is>
          <t>STOCKHOLMS LÄN</t>
        </is>
      </c>
      <c r="E806" t="inlineStr">
        <is>
          <t>NORRTÄLJE</t>
        </is>
      </c>
      <c r="G806" t="n">
        <v>9.6</v>
      </c>
      <c r="H806" t="n">
        <v>0</v>
      </c>
      <c r="I806" t="n">
        <v>0</v>
      </c>
      <c r="J806" t="n">
        <v>0</v>
      </c>
      <c r="K806" t="n">
        <v>0</v>
      </c>
      <c r="L806" t="n">
        <v>0</v>
      </c>
      <c r="M806" t="n">
        <v>0</v>
      </c>
      <c r="N806" t="n">
        <v>0</v>
      </c>
      <c r="O806" t="n">
        <v>0</v>
      </c>
      <c r="P806" t="n">
        <v>0</v>
      </c>
      <c r="Q806" t="n">
        <v>0</v>
      </c>
      <c r="R806" s="2" t="inlineStr"/>
    </row>
    <row r="807" ht="15" customHeight="1">
      <c r="A807" t="inlineStr">
        <is>
          <t>A 812-2026</t>
        </is>
      </c>
      <c r="B807" s="1" t="n">
        <v>46030.33358796296</v>
      </c>
      <c r="C807" s="1" t="n">
        <v>46140</v>
      </c>
      <c r="D807" t="inlineStr">
        <is>
          <t>STOCKHOLMS LÄN</t>
        </is>
      </c>
      <c r="E807" t="inlineStr">
        <is>
          <t>NORRTÄLJE</t>
        </is>
      </c>
      <c r="G807" t="n">
        <v>2.4</v>
      </c>
      <c r="H807" t="n">
        <v>0</v>
      </c>
      <c r="I807" t="n">
        <v>0</v>
      </c>
      <c r="J807" t="n">
        <v>0</v>
      </c>
      <c r="K807" t="n">
        <v>0</v>
      </c>
      <c r="L807" t="n">
        <v>0</v>
      </c>
      <c r="M807" t="n">
        <v>0</v>
      </c>
      <c r="N807" t="n">
        <v>0</v>
      </c>
      <c r="O807" t="n">
        <v>0</v>
      </c>
      <c r="P807" t="n">
        <v>0</v>
      </c>
      <c r="Q807" t="n">
        <v>0</v>
      </c>
      <c r="R807" s="2" t="inlineStr"/>
    </row>
    <row r="808" ht="15" customHeight="1">
      <c r="A808" t="inlineStr">
        <is>
          <t>A 717-2026</t>
        </is>
      </c>
      <c r="B808" s="1" t="n">
        <v>46029.63028935185</v>
      </c>
      <c r="C808" s="1" t="n">
        <v>46140</v>
      </c>
      <c r="D808" t="inlineStr">
        <is>
          <t>STOCKHOLMS LÄN</t>
        </is>
      </c>
      <c r="E808" t="inlineStr">
        <is>
          <t>NORRTÄLJE</t>
        </is>
      </c>
      <c r="G808" t="n">
        <v>2.4</v>
      </c>
      <c r="H808" t="n">
        <v>0</v>
      </c>
      <c r="I808" t="n">
        <v>0</v>
      </c>
      <c r="J808" t="n">
        <v>0</v>
      </c>
      <c r="K808" t="n">
        <v>0</v>
      </c>
      <c r="L808" t="n">
        <v>0</v>
      </c>
      <c r="M808" t="n">
        <v>0</v>
      </c>
      <c r="N808" t="n">
        <v>0</v>
      </c>
      <c r="O808" t="n">
        <v>0</v>
      </c>
      <c r="P808" t="n">
        <v>0</v>
      </c>
      <c r="Q808" t="n">
        <v>0</v>
      </c>
      <c r="R808" s="2" t="inlineStr"/>
    </row>
    <row r="809" ht="15" customHeight="1">
      <c r="A809" t="inlineStr">
        <is>
          <t>A 475-2026</t>
        </is>
      </c>
      <c r="B809" s="1" t="n">
        <v>46029.39351851852</v>
      </c>
      <c r="C809" s="1" t="n">
        <v>46140</v>
      </c>
      <c r="D809" t="inlineStr">
        <is>
          <t>STOCKHOLMS LÄN</t>
        </is>
      </c>
      <c r="E809" t="inlineStr">
        <is>
          <t>NORRTÄLJE</t>
        </is>
      </c>
      <c r="G809" t="n">
        <v>4.6</v>
      </c>
      <c r="H809" t="n">
        <v>0</v>
      </c>
      <c r="I809" t="n">
        <v>0</v>
      </c>
      <c r="J809" t="n">
        <v>0</v>
      </c>
      <c r="K809" t="n">
        <v>0</v>
      </c>
      <c r="L809" t="n">
        <v>0</v>
      </c>
      <c r="M809" t="n">
        <v>0</v>
      </c>
      <c r="N809" t="n">
        <v>0</v>
      </c>
      <c r="O809" t="n">
        <v>0</v>
      </c>
      <c r="P809" t="n">
        <v>0</v>
      </c>
      <c r="Q809" t="n">
        <v>0</v>
      </c>
      <c r="R809" s="2" t="inlineStr"/>
    </row>
    <row r="810" ht="15" customHeight="1">
      <c r="A810" t="inlineStr">
        <is>
          <t>A 23801-2022</t>
        </is>
      </c>
      <c r="B810" s="1" t="n">
        <v>44722</v>
      </c>
      <c r="C810" s="1" t="n">
        <v>46140</v>
      </c>
      <c r="D810" t="inlineStr">
        <is>
          <t>STOCKHOLMS LÄN</t>
        </is>
      </c>
      <c r="E810" t="inlineStr">
        <is>
          <t>NORRTÄLJE</t>
        </is>
      </c>
      <c r="G810" t="n">
        <v>6.8</v>
      </c>
      <c r="H810" t="n">
        <v>0</v>
      </c>
      <c r="I810" t="n">
        <v>0</v>
      </c>
      <c r="J810" t="n">
        <v>0</v>
      </c>
      <c r="K810" t="n">
        <v>0</v>
      </c>
      <c r="L810" t="n">
        <v>0</v>
      </c>
      <c r="M810" t="n">
        <v>0</v>
      </c>
      <c r="N810" t="n">
        <v>0</v>
      </c>
      <c r="O810" t="n">
        <v>0</v>
      </c>
      <c r="P810" t="n">
        <v>0</v>
      </c>
      <c r="Q810" t="n">
        <v>0</v>
      </c>
      <c r="R810" s="2" t="inlineStr"/>
    </row>
    <row r="811" ht="15" customHeight="1">
      <c r="A811" t="inlineStr">
        <is>
          <t>A 33353-2023</t>
        </is>
      </c>
      <c r="B811" s="1" t="n">
        <v>45128</v>
      </c>
      <c r="C811" s="1" t="n">
        <v>46140</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1789-2026</t>
        </is>
      </c>
      <c r="B812" s="1" t="n">
        <v>46034</v>
      </c>
      <c r="C812" s="1" t="n">
        <v>46140</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1755-2026</t>
        </is>
      </c>
      <c r="B813" s="1" t="n">
        <v>46034.66230324074</v>
      </c>
      <c r="C813" s="1" t="n">
        <v>46140</v>
      </c>
      <c r="D813" t="inlineStr">
        <is>
          <t>STOCKHOLMS LÄN</t>
        </is>
      </c>
      <c r="E813" t="inlineStr">
        <is>
          <t>NORRTÄLJE</t>
        </is>
      </c>
      <c r="F813" t="inlineStr">
        <is>
          <t>Holmen skog AB</t>
        </is>
      </c>
      <c r="G813" t="n">
        <v>3.5</v>
      </c>
      <c r="H813" t="n">
        <v>0</v>
      </c>
      <c r="I813" t="n">
        <v>0</v>
      </c>
      <c r="J813" t="n">
        <v>0</v>
      </c>
      <c r="K813" t="n">
        <v>0</v>
      </c>
      <c r="L813" t="n">
        <v>0</v>
      </c>
      <c r="M813" t="n">
        <v>0</v>
      </c>
      <c r="N813" t="n">
        <v>0</v>
      </c>
      <c r="O813" t="n">
        <v>0</v>
      </c>
      <c r="P813" t="n">
        <v>0</v>
      </c>
      <c r="Q813" t="n">
        <v>0</v>
      </c>
      <c r="R813" s="2" t="inlineStr"/>
    </row>
    <row r="814" ht="15" customHeight="1">
      <c r="A814" t="inlineStr">
        <is>
          <t>A 2088-2026</t>
        </is>
      </c>
      <c r="B814" s="1" t="n">
        <v>46036.35909722222</v>
      </c>
      <c r="C814" s="1" t="n">
        <v>46140</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2116-2026</t>
        </is>
      </c>
      <c r="B815" s="1" t="n">
        <v>46036.38108796296</v>
      </c>
      <c r="C815" s="1" t="n">
        <v>46140</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35708-2022</t>
        </is>
      </c>
      <c r="B816" s="1" t="n">
        <v>44799.65013888889</v>
      </c>
      <c r="C816" s="1" t="n">
        <v>46140</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3426-2025</t>
        </is>
      </c>
      <c r="B817" s="1" t="n">
        <v>45680.42665509259</v>
      </c>
      <c r="C817" s="1" t="n">
        <v>46140</v>
      </c>
      <c r="D817" t="inlineStr">
        <is>
          <t>STOCKHOLMS LÄN</t>
        </is>
      </c>
      <c r="E817" t="inlineStr">
        <is>
          <t>NORRTÄLJE</t>
        </is>
      </c>
      <c r="G817" t="n">
        <v>3.2</v>
      </c>
      <c r="H817" t="n">
        <v>0</v>
      </c>
      <c r="I817" t="n">
        <v>0</v>
      </c>
      <c r="J817" t="n">
        <v>0</v>
      </c>
      <c r="K817" t="n">
        <v>0</v>
      </c>
      <c r="L817" t="n">
        <v>0</v>
      </c>
      <c r="M817" t="n">
        <v>0</v>
      </c>
      <c r="N817" t="n">
        <v>0</v>
      </c>
      <c r="O817" t="n">
        <v>0</v>
      </c>
      <c r="P817" t="n">
        <v>0</v>
      </c>
      <c r="Q817" t="n">
        <v>0</v>
      </c>
      <c r="R817" s="2" t="inlineStr"/>
    </row>
    <row r="818" ht="15" customHeight="1">
      <c r="A818" t="inlineStr">
        <is>
          <t>A 9-2024</t>
        </is>
      </c>
      <c r="B818" s="1" t="n">
        <v>45293</v>
      </c>
      <c r="C818" s="1" t="n">
        <v>46140</v>
      </c>
      <c r="D818" t="inlineStr">
        <is>
          <t>STOCKHOLMS LÄN</t>
        </is>
      </c>
      <c r="E818" t="inlineStr">
        <is>
          <t>NORRTÄLJE</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51312-2023</t>
        </is>
      </c>
      <c r="B819" s="1" t="n">
        <v>45219.56697916667</v>
      </c>
      <c r="C819" s="1" t="n">
        <v>46140</v>
      </c>
      <c r="D819" t="inlineStr">
        <is>
          <t>STOCKHOLMS LÄN</t>
        </is>
      </c>
      <c r="E819" t="inlineStr">
        <is>
          <t>NORRTÄLJE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11849-2025</t>
        </is>
      </c>
      <c r="B820" s="1" t="n">
        <v>45728.38409722222</v>
      </c>
      <c r="C820" s="1" t="n">
        <v>46140</v>
      </c>
      <c r="D820" t="inlineStr">
        <is>
          <t>STOCKHOLMS LÄN</t>
        </is>
      </c>
      <c r="E820" t="inlineStr">
        <is>
          <t>NORRTÄLJE</t>
        </is>
      </c>
      <c r="G820" t="n">
        <v>1.7</v>
      </c>
      <c r="H820" t="n">
        <v>0</v>
      </c>
      <c r="I820" t="n">
        <v>0</v>
      </c>
      <c r="J820" t="n">
        <v>0</v>
      </c>
      <c r="K820" t="n">
        <v>0</v>
      </c>
      <c r="L820" t="n">
        <v>0</v>
      </c>
      <c r="M820" t="n">
        <v>0</v>
      </c>
      <c r="N820" t="n">
        <v>0</v>
      </c>
      <c r="O820" t="n">
        <v>0</v>
      </c>
      <c r="P820" t="n">
        <v>0</v>
      </c>
      <c r="Q820" t="n">
        <v>0</v>
      </c>
      <c r="R820" s="2" t="inlineStr"/>
    </row>
    <row r="821" ht="15" customHeight="1">
      <c r="A821" t="inlineStr">
        <is>
          <t>A 38610-2022</t>
        </is>
      </c>
      <c r="B821" s="1" t="n">
        <v>44813.59915509259</v>
      </c>
      <c r="C821" s="1" t="n">
        <v>46140</v>
      </c>
      <c r="D821" t="inlineStr">
        <is>
          <t>STOCKHOLMS LÄN</t>
        </is>
      </c>
      <c r="E821" t="inlineStr">
        <is>
          <t>NORRTÄLJE</t>
        </is>
      </c>
      <c r="G821" t="n">
        <v>1.9</v>
      </c>
      <c r="H821" t="n">
        <v>0</v>
      </c>
      <c r="I821" t="n">
        <v>0</v>
      </c>
      <c r="J821" t="n">
        <v>0</v>
      </c>
      <c r="K821" t="n">
        <v>0</v>
      </c>
      <c r="L821" t="n">
        <v>0</v>
      </c>
      <c r="M821" t="n">
        <v>0</v>
      </c>
      <c r="N821" t="n">
        <v>0</v>
      </c>
      <c r="O821" t="n">
        <v>0</v>
      </c>
      <c r="P821" t="n">
        <v>0</v>
      </c>
      <c r="Q821" t="n">
        <v>0</v>
      </c>
      <c r="R821" s="2" t="inlineStr"/>
    </row>
    <row r="822" ht="15" customHeight="1">
      <c r="A822" t="inlineStr">
        <is>
          <t>A 22816-2021</t>
        </is>
      </c>
      <c r="B822" s="1" t="n">
        <v>44325</v>
      </c>
      <c r="C822" s="1" t="n">
        <v>46140</v>
      </c>
      <c r="D822" t="inlineStr">
        <is>
          <t>STOCKHOLMS LÄN</t>
        </is>
      </c>
      <c r="E822" t="inlineStr">
        <is>
          <t>NORRTÄLJE</t>
        </is>
      </c>
      <c r="G822" t="n">
        <v>4.5</v>
      </c>
      <c r="H822" t="n">
        <v>0</v>
      </c>
      <c r="I822" t="n">
        <v>0</v>
      </c>
      <c r="J822" t="n">
        <v>0</v>
      </c>
      <c r="K822" t="n">
        <v>0</v>
      </c>
      <c r="L822" t="n">
        <v>0</v>
      </c>
      <c r="M822" t="n">
        <v>0</v>
      </c>
      <c r="N822" t="n">
        <v>0</v>
      </c>
      <c r="O822" t="n">
        <v>0</v>
      </c>
      <c r="P822" t="n">
        <v>0</v>
      </c>
      <c r="Q822" t="n">
        <v>0</v>
      </c>
      <c r="R822" s="2" t="inlineStr"/>
    </row>
    <row r="823" ht="15" customHeight="1">
      <c r="A823" t="inlineStr">
        <is>
          <t>A 3549-2026</t>
        </is>
      </c>
      <c r="B823" s="1" t="n">
        <v>46042</v>
      </c>
      <c r="C823" s="1" t="n">
        <v>46140</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59468-2023</t>
        </is>
      </c>
      <c r="B824" s="1" t="n">
        <v>45254.41509259259</v>
      </c>
      <c r="C824" s="1" t="n">
        <v>46140</v>
      </c>
      <c r="D824" t="inlineStr">
        <is>
          <t>STOCKHOLMS LÄN</t>
        </is>
      </c>
      <c r="E824" t="inlineStr">
        <is>
          <t>NORRTÄLJE</t>
        </is>
      </c>
      <c r="G824" t="n">
        <v>1.7</v>
      </c>
      <c r="H824" t="n">
        <v>0</v>
      </c>
      <c r="I824" t="n">
        <v>0</v>
      </c>
      <c r="J824" t="n">
        <v>0</v>
      </c>
      <c r="K824" t="n">
        <v>0</v>
      </c>
      <c r="L824" t="n">
        <v>0</v>
      </c>
      <c r="M824" t="n">
        <v>0</v>
      </c>
      <c r="N824" t="n">
        <v>0</v>
      </c>
      <c r="O824" t="n">
        <v>0</v>
      </c>
      <c r="P824" t="n">
        <v>0</v>
      </c>
      <c r="Q824" t="n">
        <v>0</v>
      </c>
      <c r="R824" s="2" t="inlineStr"/>
    </row>
    <row r="825" ht="15" customHeight="1">
      <c r="A825" t="inlineStr">
        <is>
          <t>A 18846-2022</t>
        </is>
      </c>
      <c r="B825" s="1" t="n">
        <v>44690</v>
      </c>
      <c r="C825" s="1" t="n">
        <v>46140</v>
      </c>
      <c r="D825" t="inlineStr">
        <is>
          <t>STOCKHOLMS LÄN</t>
        </is>
      </c>
      <c r="E825" t="inlineStr">
        <is>
          <t>NORRTÄLJE</t>
        </is>
      </c>
      <c r="G825" t="n">
        <v>7</v>
      </c>
      <c r="H825" t="n">
        <v>0</v>
      </c>
      <c r="I825" t="n">
        <v>0</v>
      </c>
      <c r="J825" t="n">
        <v>0</v>
      </c>
      <c r="K825" t="n">
        <v>0</v>
      </c>
      <c r="L825" t="n">
        <v>0</v>
      </c>
      <c r="M825" t="n">
        <v>0</v>
      </c>
      <c r="N825" t="n">
        <v>0</v>
      </c>
      <c r="O825" t="n">
        <v>0</v>
      </c>
      <c r="P825" t="n">
        <v>0</v>
      </c>
      <c r="Q825" t="n">
        <v>0</v>
      </c>
      <c r="R825" s="2" t="inlineStr"/>
    </row>
    <row r="826" ht="15" customHeight="1">
      <c r="A826" t="inlineStr">
        <is>
          <t>A 4231-2026</t>
        </is>
      </c>
      <c r="B826" s="1" t="n">
        <v>46044</v>
      </c>
      <c r="C826" s="1" t="n">
        <v>46140</v>
      </c>
      <c r="D826" t="inlineStr">
        <is>
          <t>STOCKHOLMS LÄN</t>
        </is>
      </c>
      <c r="E826" t="inlineStr">
        <is>
          <t>NORRTÄLJE</t>
        </is>
      </c>
      <c r="G826" t="n">
        <v>2.9</v>
      </c>
      <c r="H826" t="n">
        <v>0</v>
      </c>
      <c r="I826" t="n">
        <v>0</v>
      </c>
      <c r="J826" t="n">
        <v>0</v>
      </c>
      <c r="K826" t="n">
        <v>0</v>
      </c>
      <c r="L826" t="n">
        <v>0</v>
      </c>
      <c r="M826" t="n">
        <v>0</v>
      </c>
      <c r="N826" t="n">
        <v>0</v>
      </c>
      <c r="O826" t="n">
        <v>0</v>
      </c>
      <c r="P826" t="n">
        <v>0</v>
      </c>
      <c r="Q826" t="n">
        <v>0</v>
      </c>
      <c r="R826" s="2" t="inlineStr"/>
    </row>
    <row r="827" ht="15" customHeight="1">
      <c r="A827" t="inlineStr">
        <is>
          <t>A 4235-2026</t>
        </is>
      </c>
      <c r="B827" s="1" t="n">
        <v>46044</v>
      </c>
      <c r="C827" s="1" t="n">
        <v>46140</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12535-2025</t>
        </is>
      </c>
      <c r="B828" s="1" t="n">
        <v>45730.69502314815</v>
      </c>
      <c r="C828" s="1" t="n">
        <v>46140</v>
      </c>
      <c r="D828" t="inlineStr">
        <is>
          <t>STOCKHOLMS LÄN</t>
        </is>
      </c>
      <c r="E828" t="inlineStr">
        <is>
          <t>NORRTÄLJE</t>
        </is>
      </c>
      <c r="G828" t="n">
        <v>7.1</v>
      </c>
      <c r="H828" t="n">
        <v>0</v>
      </c>
      <c r="I828" t="n">
        <v>0</v>
      </c>
      <c r="J828" t="n">
        <v>0</v>
      </c>
      <c r="K828" t="n">
        <v>0</v>
      </c>
      <c r="L828" t="n">
        <v>0</v>
      </c>
      <c r="M828" t="n">
        <v>0</v>
      </c>
      <c r="N828" t="n">
        <v>0</v>
      </c>
      <c r="O828" t="n">
        <v>0</v>
      </c>
      <c r="P828" t="n">
        <v>0</v>
      </c>
      <c r="Q828" t="n">
        <v>0</v>
      </c>
      <c r="R828" s="2" t="inlineStr"/>
    </row>
    <row r="829" ht="15" customHeight="1">
      <c r="A829" t="inlineStr">
        <is>
          <t>A 4227-2026</t>
        </is>
      </c>
      <c r="B829" s="1" t="n">
        <v>46044</v>
      </c>
      <c r="C829" s="1" t="n">
        <v>46140</v>
      </c>
      <c r="D829" t="inlineStr">
        <is>
          <t>STOCKHOLMS LÄN</t>
        </is>
      </c>
      <c r="E829" t="inlineStr">
        <is>
          <t>NORRTÄLJE</t>
        </is>
      </c>
      <c r="G829" t="n">
        <v>3.6</v>
      </c>
      <c r="H829" t="n">
        <v>0</v>
      </c>
      <c r="I829" t="n">
        <v>0</v>
      </c>
      <c r="J829" t="n">
        <v>0</v>
      </c>
      <c r="K829" t="n">
        <v>0</v>
      </c>
      <c r="L829" t="n">
        <v>0</v>
      </c>
      <c r="M829" t="n">
        <v>0</v>
      </c>
      <c r="N829" t="n">
        <v>0</v>
      </c>
      <c r="O829" t="n">
        <v>0</v>
      </c>
      <c r="P829" t="n">
        <v>0</v>
      </c>
      <c r="Q829" t="n">
        <v>0</v>
      </c>
      <c r="R829" s="2" t="inlineStr"/>
    </row>
    <row r="830" ht="15" customHeight="1">
      <c r="A830" t="inlineStr">
        <is>
          <t>A 574-2023</t>
        </is>
      </c>
      <c r="B830" s="1" t="n">
        <v>44925</v>
      </c>
      <c r="C830" s="1" t="n">
        <v>46140</v>
      </c>
      <c r="D830" t="inlineStr">
        <is>
          <t>STOCKHOLMS LÄN</t>
        </is>
      </c>
      <c r="E830" t="inlineStr">
        <is>
          <t>NORRTÄLJE</t>
        </is>
      </c>
      <c r="G830" t="n">
        <v>5</v>
      </c>
      <c r="H830" t="n">
        <v>0</v>
      </c>
      <c r="I830" t="n">
        <v>0</v>
      </c>
      <c r="J830" t="n">
        <v>0</v>
      </c>
      <c r="K830" t="n">
        <v>0</v>
      </c>
      <c r="L830" t="n">
        <v>0</v>
      </c>
      <c r="M830" t="n">
        <v>0</v>
      </c>
      <c r="N830" t="n">
        <v>0</v>
      </c>
      <c r="O830" t="n">
        <v>0</v>
      </c>
      <c r="P830" t="n">
        <v>0</v>
      </c>
      <c r="Q830" t="n">
        <v>0</v>
      </c>
      <c r="R830" s="2" t="inlineStr"/>
    </row>
    <row r="831" ht="15" customHeight="1">
      <c r="A831" t="inlineStr">
        <is>
          <t>A 3933-2026</t>
        </is>
      </c>
      <c r="B831" s="1" t="n">
        <v>46043.79916666666</v>
      </c>
      <c r="C831" s="1" t="n">
        <v>46140</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4549-2026</t>
        </is>
      </c>
      <c r="B832" s="1" t="n">
        <v>46047</v>
      </c>
      <c r="C832" s="1" t="n">
        <v>46140</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37010-2022</t>
        </is>
      </c>
      <c r="B833" s="1" t="n">
        <v>44806.41576388889</v>
      </c>
      <c r="C833" s="1" t="n">
        <v>46140</v>
      </c>
      <c r="D833" t="inlineStr">
        <is>
          <t>STOCKHOLMS LÄN</t>
        </is>
      </c>
      <c r="E833" t="inlineStr">
        <is>
          <t>NORRTÄLJE</t>
        </is>
      </c>
      <c r="G833" t="n">
        <v>2.7</v>
      </c>
      <c r="H833" t="n">
        <v>0</v>
      </c>
      <c r="I833" t="n">
        <v>0</v>
      </c>
      <c r="J833" t="n">
        <v>0</v>
      </c>
      <c r="K833" t="n">
        <v>0</v>
      </c>
      <c r="L833" t="n">
        <v>0</v>
      </c>
      <c r="M833" t="n">
        <v>0</v>
      </c>
      <c r="N833" t="n">
        <v>0</v>
      </c>
      <c r="O833" t="n">
        <v>0</v>
      </c>
      <c r="P833" t="n">
        <v>0</v>
      </c>
      <c r="Q833" t="n">
        <v>0</v>
      </c>
      <c r="R833" s="2" t="inlineStr"/>
    </row>
    <row r="834" ht="15" customHeight="1">
      <c r="A834" t="inlineStr">
        <is>
          <t>A 4886-2026</t>
        </is>
      </c>
      <c r="B834" s="1" t="n">
        <v>46048.66328703704</v>
      </c>
      <c r="C834" s="1" t="n">
        <v>46140</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4230-2026</t>
        </is>
      </c>
      <c r="B835" s="1" t="n">
        <v>46044.89366898148</v>
      </c>
      <c r="C835" s="1" t="n">
        <v>46140</v>
      </c>
      <c r="D835" t="inlineStr">
        <is>
          <t>STOCKHOLMS LÄN</t>
        </is>
      </c>
      <c r="E835" t="inlineStr">
        <is>
          <t>NORRTÄLJE</t>
        </is>
      </c>
      <c r="G835" t="n">
        <v>10.8</v>
      </c>
      <c r="H835" t="n">
        <v>0</v>
      </c>
      <c r="I835" t="n">
        <v>0</v>
      </c>
      <c r="J835" t="n">
        <v>0</v>
      </c>
      <c r="K835" t="n">
        <v>0</v>
      </c>
      <c r="L835" t="n">
        <v>0</v>
      </c>
      <c r="M835" t="n">
        <v>0</v>
      </c>
      <c r="N835" t="n">
        <v>0</v>
      </c>
      <c r="O835" t="n">
        <v>0</v>
      </c>
      <c r="P835" t="n">
        <v>0</v>
      </c>
      <c r="Q835" t="n">
        <v>0</v>
      </c>
      <c r="R835" s="2" t="inlineStr"/>
    </row>
    <row r="836" ht="15" customHeight="1">
      <c r="A836" t="inlineStr">
        <is>
          <t>A 4232-2026</t>
        </is>
      </c>
      <c r="B836" s="1" t="n">
        <v>46044.89594907407</v>
      </c>
      <c r="C836" s="1" t="n">
        <v>46140</v>
      </c>
      <c r="D836" t="inlineStr">
        <is>
          <t>STOCKHOLMS LÄN</t>
        </is>
      </c>
      <c r="E836" t="inlineStr">
        <is>
          <t>NORRTÄLJE</t>
        </is>
      </c>
      <c r="G836" t="n">
        <v>3.8</v>
      </c>
      <c r="H836" t="n">
        <v>0</v>
      </c>
      <c r="I836" t="n">
        <v>0</v>
      </c>
      <c r="J836" t="n">
        <v>0</v>
      </c>
      <c r="K836" t="n">
        <v>0</v>
      </c>
      <c r="L836" t="n">
        <v>0</v>
      </c>
      <c r="M836" t="n">
        <v>0</v>
      </c>
      <c r="N836" t="n">
        <v>0</v>
      </c>
      <c r="O836" t="n">
        <v>0</v>
      </c>
      <c r="P836" t="n">
        <v>0</v>
      </c>
      <c r="Q836" t="n">
        <v>0</v>
      </c>
      <c r="R836" s="2" t="inlineStr"/>
    </row>
    <row r="837" ht="15" customHeight="1">
      <c r="A837" t="inlineStr">
        <is>
          <t>A 32705-2022</t>
        </is>
      </c>
      <c r="B837" s="1" t="n">
        <v>44783</v>
      </c>
      <c r="C837" s="1" t="n">
        <v>46140</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33149-2022</t>
        </is>
      </c>
      <c r="B838" s="1" t="n">
        <v>44785</v>
      </c>
      <c r="C838" s="1" t="n">
        <v>46140</v>
      </c>
      <c r="D838" t="inlineStr">
        <is>
          <t>STOCKHOLMS LÄN</t>
        </is>
      </c>
      <c r="E838" t="inlineStr">
        <is>
          <t>NORRTÄLJE</t>
        </is>
      </c>
      <c r="F838" t="inlineStr">
        <is>
          <t>Holmen skog AB</t>
        </is>
      </c>
      <c r="G838" t="n">
        <v>4.4</v>
      </c>
      <c r="H838" t="n">
        <v>0</v>
      </c>
      <c r="I838" t="n">
        <v>0</v>
      </c>
      <c r="J838" t="n">
        <v>0</v>
      </c>
      <c r="K838" t="n">
        <v>0</v>
      </c>
      <c r="L838" t="n">
        <v>0</v>
      </c>
      <c r="M838" t="n">
        <v>0</v>
      </c>
      <c r="N838" t="n">
        <v>0</v>
      </c>
      <c r="O838" t="n">
        <v>0</v>
      </c>
      <c r="P838" t="n">
        <v>0</v>
      </c>
      <c r="Q838" t="n">
        <v>0</v>
      </c>
      <c r="R838" s="2" t="inlineStr"/>
    </row>
    <row r="839" ht="15" customHeight="1">
      <c r="A839" t="inlineStr">
        <is>
          <t>A 14559-2024</t>
        </is>
      </c>
      <c r="B839" s="1" t="n">
        <v>45394.72869212963</v>
      </c>
      <c r="C839" s="1" t="n">
        <v>46140</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5241-2026</t>
        </is>
      </c>
      <c r="B840" s="1" t="n">
        <v>46049.86471064815</v>
      </c>
      <c r="C840" s="1" t="n">
        <v>46140</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5224-2026</t>
        </is>
      </c>
      <c r="B841" s="1" t="n">
        <v>46049.79521990741</v>
      </c>
      <c r="C841" s="1" t="n">
        <v>46140</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5227-2026</t>
        </is>
      </c>
      <c r="B842" s="1" t="n">
        <v>46049.80460648148</v>
      </c>
      <c r="C842" s="1" t="n">
        <v>46140</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5226-2026</t>
        </is>
      </c>
      <c r="B843" s="1" t="n">
        <v>46049.79961805556</v>
      </c>
      <c r="C843" s="1" t="n">
        <v>46140</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11-2024</t>
        </is>
      </c>
      <c r="B844" s="1" t="n">
        <v>45293</v>
      </c>
      <c r="C844" s="1" t="n">
        <v>46140</v>
      </c>
      <c r="D844" t="inlineStr">
        <is>
          <t>STOCKHOLMS LÄN</t>
        </is>
      </c>
      <c r="E844" t="inlineStr">
        <is>
          <t>NORRTÄLJE</t>
        </is>
      </c>
      <c r="F844" t="inlineStr">
        <is>
          <t>Sveaskog</t>
        </is>
      </c>
      <c r="G844" t="n">
        <v>3.2</v>
      </c>
      <c r="H844" t="n">
        <v>0</v>
      </c>
      <c r="I844" t="n">
        <v>0</v>
      </c>
      <c r="J844" t="n">
        <v>0</v>
      </c>
      <c r="K844" t="n">
        <v>0</v>
      </c>
      <c r="L844" t="n">
        <v>0</v>
      </c>
      <c r="M844" t="n">
        <v>0</v>
      </c>
      <c r="N844" t="n">
        <v>0</v>
      </c>
      <c r="O844" t="n">
        <v>0</v>
      </c>
      <c r="P844" t="n">
        <v>0</v>
      </c>
      <c r="Q844" t="n">
        <v>0</v>
      </c>
      <c r="R844" s="2" t="inlineStr"/>
    </row>
    <row r="845" ht="15" customHeight="1">
      <c r="A845" t="inlineStr">
        <is>
          <t>A 15256-2023</t>
        </is>
      </c>
      <c r="B845" s="1" t="n">
        <v>45019.3959837963</v>
      </c>
      <c r="C845" s="1" t="n">
        <v>46140</v>
      </c>
      <c r="D845" t="inlineStr">
        <is>
          <t>STOCKHOLMS LÄN</t>
        </is>
      </c>
      <c r="E845" t="inlineStr">
        <is>
          <t>NORRTÄLJE</t>
        </is>
      </c>
      <c r="G845" t="n">
        <v>2.4</v>
      </c>
      <c r="H845" t="n">
        <v>0</v>
      </c>
      <c r="I845" t="n">
        <v>0</v>
      </c>
      <c r="J845" t="n">
        <v>0</v>
      </c>
      <c r="K845" t="n">
        <v>0</v>
      </c>
      <c r="L845" t="n">
        <v>0</v>
      </c>
      <c r="M845" t="n">
        <v>0</v>
      </c>
      <c r="N845" t="n">
        <v>0</v>
      </c>
      <c r="O845" t="n">
        <v>0</v>
      </c>
      <c r="P845" t="n">
        <v>0</v>
      </c>
      <c r="Q845" t="n">
        <v>0</v>
      </c>
      <c r="R845" s="2" t="inlineStr"/>
    </row>
    <row r="846" ht="15" customHeight="1">
      <c r="A846" t="inlineStr">
        <is>
          <t>A 7413-2024</t>
        </is>
      </c>
      <c r="B846" s="1" t="n">
        <v>45345.6059837963</v>
      </c>
      <c r="C846" s="1" t="n">
        <v>46140</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58040-2024</t>
        </is>
      </c>
      <c r="B847" s="1" t="n">
        <v>45631.73952546297</v>
      </c>
      <c r="C847" s="1" t="n">
        <v>46140</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58041-2024</t>
        </is>
      </c>
      <c r="B848" s="1" t="n">
        <v>45631.74673611111</v>
      </c>
      <c r="C848" s="1" t="n">
        <v>46140</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31057-2022</t>
        </is>
      </c>
      <c r="B849" s="1" t="n">
        <v>44769</v>
      </c>
      <c r="C849" s="1" t="n">
        <v>46140</v>
      </c>
      <c r="D849" t="inlineStr">
        <is>
          <t>STOCKHOLMS LÄN</t>
        </is>
      </c>
      <c r="E849" t="inlineStr">
        <is>
          <t>NORRTÄLJE</t>
        </is>
      </c>
      <c r="G849" t="n">
        <v>6.5</v>
      </c>
      <c r="H849" t="n">
        <v>0</v>
      </c>
      <c r="I849" t="n">
        <v>0</v>
      </c>
      <c r="J849" t="n">
        <v>0</v>
      </c>
      <c r="K849" t="n">
        <v>0</v>
      </c>
      <c r="L849" t="n">
        <v>0</v>
      </c>
      <c r="M849" t="n">
        <v>0</v>
      </c>
      <c r="N849" t="n">
        <v>0</v>
      </c>
      <c r="O849" t="n">
        <v>0</v>
      </c>
      <c r="P849" t="n">
        <v>0</v>
      </c>
      <c r="Q849" t="n">
        <v>0</v>
      </c>
      <c r="R849" s="2" t="inlineStr"/>
    </row>
    <row r="850" ht="15" customHeight="1">
      <c r="A850" t="inlineStr">
        <is>
          <t>A 5934-2026</t>
        </is>
      </c>
      <c r="B850" s="1" t="n">
        <v>46052.47082175926</v>
      </c>
      <c r="C850" s="1" t="n">
        <v>46140</v>
      </c>
      <c r="D850" t="inlineStr">
        <is>
          <t>STOCKHOLMS LÄN</t>
        </is>
      </c>
      <c r="E850" t="inlineStr">
        <is>
          <t>NORRTÄLJE</t>
        </is>
      </c>
      <c r="F850" t="inlineStr">
        <is>
          <t>Holmen skog AB</t>
        </is>
      </c>
      <c r="G850" t="n">
        <v>5.5</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46140</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15422-2024</t>
        </is>
      </c>
      <c r="B852" s="1" t="n">
        <v>45401.3653125</v>
      </c>
      <c r="C852" s="1" t="n">
        <v>46140</v>
      </c>
      <c r="D852" t="inlineStr">
        <is>
          <t>STOCKHOLMS LÄN</t>
        </is>
      </c>
      <c r="E852" t="inlineStr">
        <is>
          <t>NORRTÄLJE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48716-2023</t>
        </is>
      </c>
      <c r="B853" s="1" t="n">
        <v>45208.69671296296</v>
      </c>
      <c r="C853" s="1" t="n">
        <v>46140</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55369-2023</t>
        </is>
      </c>
      <c r="B854" s="1" t="n">
        <v>45238</v>
      </c>
      <c r="C854" s="1" t="n">
        <v>46140</v>
      </c>
      <c r="D854" t="inlineStr">
        <is>
          <t>STOCKHOLMS LÄN</t>
        </is>
      </c>
      <c r="E854" t="inlineStr">
        <is>
          <t>NORRTÄLJE</t>
        </is>
      </c>
      <c r="G854" t="n">
        <v>0.4</v>
      </c>
      <c r="H854" t="n">
        <v>0</v>
      </c>
      <c r="I854" t="n">
        <v>0</v>
      </c>
      <c r="J854" t="n">
        <v>0</v>
      </c>
      <c r="K854" t="n">
        <v>0</v>
      </c>
      <c r="L854" t="n">
        <v>0</v>
      </c>
      <c r="M854" t="n">
        <v>0</v>
      </c>
      <c r="N854" t="n">
        <v>0</v>
      </c>
      <c r="O854" t="n">
        <v>0</v>
      </c>
      <c r="P854" t="n">
        <v>0</v>
      </c>
      <c r="Q854" t="n">
        <v>0</v>
      </c>
      <c r="R854" s="2" t="inlineStr"/>
    </row>
    <row r="855" ht="15" customHeight="1">
      <c r="A855" t="inlineStr">
        <is>
          <t>A 20121-2022</t>
        </is>
      </c>
      <c r="B855" s="1" t="n">
        <v>44698</v>
      </c>
      <c r="C855" s="1" t="n">
        <v>46140</v>
      </c>
      <c r="D855" t="inlineStr">
        <is>
          <t>STOCKHOLMS LÄN</t>
        </is>
      </c>
      <c r="E855" t="inlineStr">
        <is>
          <t>NORRTÄLJE</t>
        </is>
      </c>
      <c r="G855" t="n">
        <v>4.2</v>
      </c>
      <c r="H855" t="n">
        <v>0</v>
      </c>
      <c r="I855" t="n">
        <v>0</v>
      </c>
      <c r="J855" t="n">
        <v>0</v>
      </c>
      <c r="K855" t="n">
        <v>0</v>
      </c>
      <c r="L855" t="n">
        <v>0</v>
      </c>
      <c r="M855" t="n">
        <v>0</v>
      </c>
      <c r="N855" t="n">
        <v>0</v>
      </c>
      <c r="O855" t="n">
        <v>0</v>
      </c>
      <c r="P855" t="n">
        <v>0</v>
      </c>
      <c r="Q855" t="n">
        <v>0</v>
      </c>
      <c r="R855" s="2" t="inlineStr"/>
    </row>
    <row r="856" ht="15" customHeight="1">
      <c r="A856" t="inlineStr">
        <is>
          <t>A 39610-2025</t>
        </is>
      </c>
      <c r="B856" s="1" t="n">
        <v>45890</v>
      </c>
      <c r="C856" s="1" t="n">
        <v>46140</v>
      </c>
      <c r="D856" t="inlineStr">
        <is>
          <t>STOCKHOLMS LÄN</t>
        </is>
      </c>
      <c r="E856" t="inlineStr">
        <is>
          <t>NORRTÄLJE</t>
        </is>
      </c>
      <c r="G856" t="n">
        <v>28.6</v>
      </c>
      <c r="H856" t="n">
        <v>0</v>
      </c>
      <c r="I856" t="n">
        <v>0</v>
      </c>
      <c r="J856" t="n">
        <v>0</v>
      </c>
      <c r="K856" t="n">
        <v>0</v>
      </c>
      <c r="L856" t="n">
        <v>0</v>
      </c>
      <c r="M856" t="n">
        <v>0</v>
      </c>
      <c r="N856" t="n">
        <v>0</v>
      </c>
      <c r="O856" t="n">
        <v>0</v>
      </c>
      <c r="P856" t="n">
        <v>0</v>
      </c>
      <c r="Q856" t="n">
        <v>0</v>
      </c>
      <c r="R856" s="2" t="inlineStr"/>
    </row>
    <row r="857" ht="15" customHeight="1">
      <c r="A857" t="inlineStr">
        <is>
          <t>A 26407-2024</t>
        </is>
      </c>
      <c r="B857" s="1" t="n">
        <v>45469</v>
      </c>
      <c r="C857" s="1" t="n">
        <v>46140</v>
      </c>
      <c r="D857" t="inlineStr">
        <is>
          <t>STOCKHOLMS LÄN</t>
        </is>
      </c>
      <c r="E857" t="inlineStr">
        <is>
          <t>NORRTÄLJE</t>
        </is>
      </c>
      <c r="G857" t="n">
        <v>3.5</v>
      </c>
      <c r="H857" t="n">
        <v>0</v>
      </c>
      <c r="I857" t="n">
        <v>0</v>
      </c>
      <c r="J857" t="n">
        <v>0</v>
      </c>
      <c r="K857" t="n">
        <v>0</v>
      </c>
      <c r="L857" t="n">
        <v>0</v>
      </c>
      <c r="M857" t="n">
        <v>0</v>
      </c>
      <c r="N857" t="n">
        <v>0</v>
      </c>
      <c r="O857" t="n">
        <v>0</v>
      </c>
      <c r="P857" t="n">
        <v>0</v>
      </c>
      <c r="Q857" t="n">
        <v>0</v>
      </c>
      <c r="R857" s="2" t="inlineStr"/>
    </row>
    <row r="858" ht="15" customHeight="1">
      <c r="A858" t="inlineStr">
        <is>
          <t>A 6701-2026</t>
        </is>
      </c>
      <c r="B858" s="1" t="n">
        <v>46056</v>
      </c>
      <c r="C858" s="1" t="n">
        <v>46140</v>
      </c>
      <c r="D858" t="inlineStr">
        <is>
          <t>STOCKHOLMS LÄN</t>
        </is>
      </c>
      <c r="E858" t="inlineStr">
        <is>
          <t>NORRTÄLJE</t>
        </is>
      </c>
      <c r="G858" t="n">
        <v>0.8</v>
      </c>
      <c r="H858" t="n">
        <v>0</v>
      </c>
      <c r="I858" t="n">
        <v>0</v>
      </c>
      <c r="J858" t="n">
        <v>0</v>
      </c>
      <c r="K858" t="n">
        <v>0</v>
      </c>
      <c r="L858" t="n">
        <v>0</v>
      </c>
      <c r="M858" t="n">
        <v>0</v>
      </c>
      <c r="N858" t="n">
        <v>0</v>
      </c>
      <c r="O858" t="n">
        <v>0</v>
      </c>
      <c r="P858" t="n">
        <v>0</v>
      </c>
      <c r="Q858" t="n">
        <v>0</v>
      </c>
      <c r="R858" s="2" t="inlineStr"/>
    </row>
    <row r="859" ht="15" customHeight="1">
      <c r="A859" t="inlineStr">
        <is>
          <t>A 10098-2022</t>
        </is>
      </c>
      <c r="B859" s="1" t="n">
        <v>44621</v>
      </c>
      <c r="C859" s="1" t="n">
        <v>46140</v>
      </c>
      <c r="D859" t="inlineStr">
        <is>
          <t>STOCKHOLMS LÄN</t>
        </is>
      </c>
      <c r="E859" t="inlineStr">
        <is>
          <t>NORRTÄLJE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49700-2023</t>
        </is>
      </c>
      <c r="B860" s="1" t="n">
        <v>45212</v>
      </c>
      <c r="C860" s="1" t="n">
        <v>46140</v>
      </c>
      <c r="D860" t="inlineStr">
        <is>
          <t>STOCKHOLMS LÄN</t>
        </is>
      </c>
      <c r="E860" t="inlineStr">
        <is>
          <t>NORRTÄLJE</t>
        </is>
      </c>
      <c r="G860" t="n">
        <v>1.4</v>
      </c>
      <c r="H860" t="n">
        <v>0</v>
      </c>
      <c r="I860" t="n">
        <v>0</v>
      </c>
      <c r="J860" t="n">
        <v>0</v>
      </c>
      <c r="K860" t="n">
        <v>0</v>
      </c>
      <c r="L860" t="n">
        <v>0</v>
      </c>
      <c r="M860" t="n">
        <v>0</v>
      </c>
      <c r="N860" t="n">
        <v>0</v>
      </c>
      <c r="O860" t="n">
        <v>0</v>
      </c>
      <c r="P860" t="n">
        <v>0</v>
      </c>
      <c r="Q860" t="n">
        <v>0</v>
      </c>
      <c r="R860" s="2" t="inlineStr"/>
    </row>
    <row r="861" ht="15" customHeight="1">
      <c r="A861" t="inlineStr">
        <is>
          <t>A 6724-2026</t>
        </is>
      </c>
      <c r="B861" s="1" t="n">
        <v>46056.67717592593</v>
      </c>
      <c r="C861" s="1" t="n">
        <v>46140</v>
      </c>
      <c r="D861" t="inlineStr">
        <is>
          <t>STOCKHOLMS LÄN</t>
        </is>
      </c>
      <c r="E861" t="inlineStr">
        <is>
          <t>NORRTÄLJE</t>
        </is>
      </c>
      <c r="F861" t="inlineStr">
        <is>
          <t>Holmen skog AB</t>
        </is>
      </c>
      <c r="G861" t="n">
        <v>16.2</v>
      </c>
      <c r="H861" t="n">
        <v>0</v>
      </c>
      <c r="I861" t="n">
        <v>0</v>
      </c>
      <c r="J861" t="n">
        <v>0</v>
      </c>
      <c r="K861" t="n">
        <v>0</v>
      </c>
      <c r="L861" t="n">
        <v>0</v>
      </c>
      <c r="M861" t="n">
        <v>0</v>
      </c>
      <c r="N861" t="n">
        <v>0</v>
      </c>
      <c r="O861" t="n">
        <v>0</v>
      </c>
      <c r="P861" t="n">
        <v>0</v>
      </c>
      <c r="Q861" t="n">
        <v>0</v>
      </c>
      <c r="R861" s="2" t="inlineStr"/>
    </row>
    <row r="862" ht="15" customHeight="1">
      <c r="A862" t="inlineStr">
        <is>
          <t>A 59875-2024</t>
        </is>
      </c>
      <c r="B862" s="1" t="n">
        <v>45640.58716435185</v>
      </c>
      <c r="C862" s="1" t="n">
        <v>46140</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45220-2024</t>
        </is>
      </c>
      <c r="B863" s="1" t="n">
        <v>45575</v>
      </c>
      <c r="C863" s="1" t="n">
        <v>46140</v>
      </c>
      <c r="D863" t="inlineStr">
        <is>
          <t>STOCKHOLMS LÄN</t>
        </is>
      </c>
      <c r="E863" t="inlineStr">
        <is>
          <t>NORRTÄLJE</t>
        </is>
      </c>
      <c r="G863" t="n">
        <v>4.3</v>
      </c>
      <c r="H863" t="n">
        <v>0</v>
      </c>
      <c r="I863" t="n">
        <v>0</v>
      </c>
      <c r="J863" t="n">
        <v>0</v>
      </c>
      <c r="K863" t="n">
        <v>0</v>
      </c>
      <c r="L863" t="n">
        <v>0</v>
      </c>
      <c r="M863" t="n">
        <v>0</v>
      </c>
      <c r="N863" t="n">
        <v>0</v>
      </c>
      <c r="O863" t="n">
        <v>0</v>
      </c>
      <c r="P863" t="n">
        <v>0</v>
      </c>
      <c r="Q863" t="n">
        <v>0</v>
      </c>
      <c r="R863" s="2" t="inlineStr"/>
    </row>
    <row r="864" ht="15" customHeight="1">
      <c r="A864" t="inlineStr">
        <is>
          <t>A 6532-2026</t>
        </is>
      </c>
      <c r="B864" s="1" t="n">
        <v>46056.41300925926</v>
      </c>
      <c r="C864" s="1" t="n">
        <v>46140</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4658-2024</t>
        </is>
      </c>
      <c r="B865" s="1" t="n">
        <v>45328.46336805556</v>
      </c>
      <c r="C865" s="1" t="n">
        <v>46140</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48145-2024</t>
        </is>
      </c>
      <c r="B866" s="1" t="n">
        <v>45589.6756712963</v>
      </c>
      <c r="C866" s="1" t="n">
        <v>46140</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7308-2026</t>
        </is>
      </c>
      <c r="B867" s="1" t="n">
        <v>46058.66025462963</v>
      </c>
      <c r="C867" s="1" t="n">
        <v>46140</v>
      </c>
      <c r="D867" t="inlineStr">
        <is>
          <t>STOCKHOLMS LÄN</t>
        </is>
      </c>
      <c r="E867" t="inlineStr">
        <is>
          <t>NORRTÄLJE</t>
        </is>
      </c>
      <c r="F867" t="inlineStr">
        <is>
          <t>Holmen skog AB</t>
        </is>
      </c>
      <c r="G867" t="n">
        <v>1.7</v>
      </c>
      <c r="H867" t="n">
        <v>0</v>
      </c>
      <c r="I867" t="n">
        <v>0</v>
      </c>
      <c r="J867" t="n">
        <v>0</v>
      </c>
      <c r="K867" t="n">
        <v>0</v>
      </c>
      <c r="L867" t="n">
        <v>0</v>
      </c>
      <c r="M867" t="n">
        <v>0</v>
      </c>
      <c r="N867" t="n">
        <v>0</v>
      </c>
      <c r="O867" t="n">
        <v>0</v>
      </c>
      <c r="P867" t="n">
        <v>0</v>
      </c>
      <c r="Q867" t="n">
        <v>0</v>
      </c>
      <c r="R867" s="2" t="inlineStr"/>
    </row>
    <row r="868" ht="15" customHeight="1">
      <c r="A868" t="inlineStr">
        <is>
          <t>A 10642-2025</t>
        </is>
      </c>
      <c r="B868" s="1" t="n">
        <v>45721.65858796296</v>
      </c>
      <c r="C868" s="1" t="n">
        <v>46140</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14348-2026</t>
        </is>
      </c>
      <c r="B869" s="1" t="n">
        <v>46100.34112268518</v>
      </c>
      <c r="C869" s="1" t="n">
        <v>46140</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6838-2026</t>
        </is>
      </c>
      <c r="B870" s="1" t="n">
        <v>46057.41151620371</v>
      </c>
      <c r="C870" s="1" t="n">
        <v>46140</v>
      </c>
      <c r="D870" t="inlineStr">
        <is>
          <t>STOCKHOLMS LÄN</t>
        </is>
      </c>
      <c r="E870" t="inlineStr">
        <is>
          <t>NORRTÄLJE</t>
        </is>
      </c>
      <c r="F870" t="inlineStr">
        <is>
          <t>Holmen skog AB</t>
        </is>
      </c>
      <c r="G870" t="n">
        <v>1.7</v>
      </c>
      <c r="H870" t="n">
        <v>0</v>
      </c>
      <c r="I870" t="n">
        <v>0</v>
      </c>
      <c r="J870" t="n">
        <v>0</v>
      </c>
      <c r="K870" t="n">
        <v>0</v>
      </c>
      <c r="L870" t="n">
        <v>0</v>
      </c>
      <c r="M870" t="n">
        <v>0</v>
      </c>
      <c r="N870" t="n">
        <v>0</v>
      </c>
      <c r="O870" t="n">
        <v>0</v>
      </c>
      <c r="P870" t="n">
        <v>0</v>
      </c>
      <c r="Q870" t="n">
        <v>0</v>
      </c>
      <c r="R870" s="2" t="inlineStr"/>
    </row>
    <row r="871" ht="15" customHeight="1">
      <c r="A871" t="inlineStr">
        <is>
          <t>A 24024-2024</t>
        </is>
      </c>
      <c r="B871" s="1" t="n">
        <v>45456</v>
      </c>
      <c r="C871" s="1" t="n">
        <v>46140</v>
      </c>
      <c r="D871" t="inlineStr">
        <is>
          <t>STOCKHOLMS LÄN</t>
        </is>
      </c>
      <c r="E871" t="inlineStr">
        <is>
          <t>NORRTÄLJE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14475-2026</t>
        </is>
      </c>
      <c r="B872" s="1" t="n">
        <v>46100.57251157407</v>
      </c>
      <c r="C872" s="1" t="n">
        <v>46140</v>
      </c>
      <c r="D872" t="inlineStr">
        <is>
          <t>STOCKHOLMS LÄN</t>
        </is>
      </c>
      <c r="E872" t="inlineStr">
        <is>
          <t>NORRTÄLJE</t>
        </is>
      </c>
      <c r="G872" t="n">
        <v>12.3</v>
      </c>
      <c r="H872" t="n">
        <v>0</v>
      </c>
      <c r="I872" t="n">
        <v>0</v>
      </c>
      <c r="J872" t="n">
        <v>0</v>
      </c>
      <c r="K872" t="n">
        <v>0</v>
      </c>
      <c r="L872" t="n">
        <v>0</v>
      </c>
      <c r="M872" t="n">
        <v>0</v>
      </c>
      <c r="N872" t="n">
        <v>0</v>
      </c>
      <c r="O872" t="n">
        <v>0</v>
      </c>
      <c r="P872" t="n">
        <v>0</v>
      </c>
      <c r="Q872" t="n">
        <v>0</v>
      </c>
      <c r="R872" s="2" t="inlineStr"/>
    </row>
    <row r="873" ht="15" customHeight="1">
      <c r="A873" t="inlineStr">
        <is>
          <t>A 6874-2026</t>
        </is>
      </c>
      <c r="B873" s="1" t="n">
        <v>46057.45295138889</v>
      </c>
      <c r="C873" s="1" t="n">
        <v>46140</v>
      </c>
      <c r="D873" t="inlineStr">
        <is>
          <t>STOCKHOLMS LÄN</t>
        </is>
      </c>
      <c r="E873" t="inlineStr">
        <is>
          <t>NORRTÄLJE</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35532-2024</t>
        </is>
      </c>
      <c r="B874" s="1" t="n">
        <v>45531</v>
      </c>
      <c r="C874" s="1" t="n">
        <v>46140</v>
      </c>
      <c r="D874" t="inlineStr">
        <is>
          <t>STOCKHOLMS LÄN</t>
        </is>
      </c>
      <c r="E874" t="inlineStr">
        <is>
          <t>NORRTÄLJE</t>
        </is>
      </c>
      <c r="G874" t="n">
        <v>2.3</v>
      </c>
      <c r="H874" t="n">
        <v>0</v>
      </c>
      <c r="I874" t="n">
        <v>0</v>
      </c>
      <c r="J874" t="n">
        <v>0</v>
      </c>
      <c r="K874" t="n">
        <v>0</v>
      </c>
      <c r="L874" t="n">
        <v>0</v>
      </c>
      <c r="M874" t="n">
        <v>0</v>
      </c>
      <c r="N874" t="n">
        <v>0</v>
      </c>
      <c r="O874" t="n">
        <v>0</v>
      </c>
      <c r="P874" t="n">
        <v>0</v>
      </c>
      <c r="Q874" t="n">
        <v>0</v>
      </c>
      <c r="R874" s="2" t="inlineStr"/>
    </row>
    <row r="875" ht="15" customHeight="1">
      <c r="A875" t="inlineStr">
        <is>
          <t>A 21291-2021</t>
        </is>
      </c>
      <c r="B875" s="1" t="n">
        <v>44319</v>
      </c>
      <c r="C875" s="1" t="n">
        <v>46140</v>
      </c>
      <c r="D875" t="inlineStr">
        <is>
          <t>STOCKHOLMS LÄN</t>
        </is>
      </c>
      <c r="E875" t="inlineStr">
        <is>
          <t>NORRTÄLJE</t>
        </is>
      </c>
      <c r="G875" t="n">
        <v>12.7</v>
      </c>
      <c r="H875" t="n">
        <v>0</v>
      </c>
      <c r="I875" t="n">
        <v>0</v>
      </c>
      <c r="J875" t="n">
        <v>0</v>
      </c>
      <c r="K875" t="n">
        <v>0</v>
      </c>
      <c r="L875" t="n">
        <v>0</v>
      </c>
      <c r="M875" t="n">
        <v>0</v>
      </c>
      <c r="N875" t="n">
        <v>0</v>
      </c>
      <c r="O875" t="n">
        <v>0</v>
      </c>
      <c r="P875" t="n">
        <v>0</v>
      </c>
      <c r="Q875" t="n">
        <v>0</v>
      </c>
      <c r="R875" s="2" t="inlineStr"/>
    </row>
    <row r="876" ht="15" customHeight="1">
      <c r="A876" t="inlineStr">
        <is>
          <t>A 19118-2022</t>
        </is>
      </c>
      <c r="B876" s="1" t="n">
        <v>44691.5652662037</v>
      </c>
      <c r="C876" s="1" t="n">
        <v>46140</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22421-2021</t>
        </is>
      </c>
      <c r="B877" s="1" t="n">
        <v>44326</v>
      </c>
      <c r="C877" s="1" t="n">
        <v>46140</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59893-2022</t>
        </is>
      </c>
      <c r="B878" s="1" t="n">
        <v>44908.77368055555</v>
      </c>
      <c r="C878" s="1" t="n">
        <v>46140</v>
      </c>
      <c r="D878" t="inlineStr">
        <is>
          <t>STOCKHOLMS LÄN</t>
        </is>
      </c>
      <c r="E878" t="inlineStr">
        <is>
          <t>NORRTÄLJE</t>
        </is>
      </c>
      <c r="G878" t="n">
        <v>3</v>
      </c>
      <c r="H878" t="n">
        <v>0</v>
      </c>
      <c r="I878" t="n">
        <v>0</v>
      </c>
      <c r="J878" t="n">
        <v>0</v>
      </c>
      <c r="K878" t="n">
        <v>0</v>
      </c>
      <c r="L878" t="n">
        <v>0</v>
      </c>
      <c r="M878" t="n">
        <v>0</v>
      </c>
      <c r="N878" t="n">
        <v>0</v>
      </c>
      <c r="O878" t="n">
        <v>0</v>
      </c>
      <c r="P878" t="n">
        <v>0</v>
      </c>
      <c r="Q878" t="n">
        <v>0</v>
      </c>
      <c r="R878" s="2" t="inlineStr"/>
    </row>
    <row r="879" ht="15" customHeight="1">
      <c r="A879" t="inlineStr">
        <is>
          <t>A 6828-2026</t>
        </is>
      </c>
      <c r="B879" s="1" t="n">
        <v>46057</v>
      </c>
      <c r="C879" s="1" t="n">
        <v>46140</v>
      </c>
      <c r="D879" t="inlineStr">
        <is>
          <t>STOCKHOLMS LÄN</t>
        </is>
      </c>
      <c r="E879" t="inlineStr">
        <is>
          <t>NORRTÄLJE</t>
        </is>
      </c>
      <c r="F879" t="inlineStr">
        <is>
          <t>Holmen skog AB</t>
        </is>
      </c>
      <c r="G879" t="n">
        <v>2.8</v>
      </c>
      <c r="H879" t="n">
        <v>0</v>
      </c>
      <c r="I879" t="n">
        <v>0</v>
      </c>
      <c r="J879" t="n">
        <v>0</v>
      </c>
      <c r="K879" t="n">
        <v>0</v>
      </c>
      <c r="L879" t="n">
        <v>0</v>
      </c>
      <c r="M879" t="n">
        <v>0</v>
      </c>
      <c r="N879" t="n">
        <v>0</v>
      </c>
      <c r="O879" t="n">
        <v>0</v>
      </c>
      <c r="P879" t="n">
        <v>0</v>
      </c>
      <c r="Q879" t="n">
        <v>0</v>
      </c>
      <c r="R879" s="2" t="inlineStr"/>
    </row>
    <row r="880" ht="15" customHeight="1">
      <c r="A880" t="inlineStr">
        <is>
          <t>A 33226-2024</t>
        </is>
      </c>
      <c r="B880" s="1" t="n">
        <v>45518</v>
      </c>
      <c r="C880" s="1" t="n">
        <v>46140</v>
      </c>
      <c r="D880" t="inlineStr">
        <is>
          <t>STOCKHOLMS LÄN</t>
        </is>
      </c>
      <c r="E880" t="inlineStr">
        <is>
          <t>NORRTÄLJE</t>
        </is>
      </c>
      <c r="G880" t="n">
        <v>13.8</v>
      </c>
      <c r="H880" t="n">
        <v>0</v>
      </c>
      <c r="I880" t="n">
        <v>0</v>
      </c>
      <c r="J880" t="n">
        <v>0</v>
      </c>
      <c r="K880" t="n">
        <v>0</v>
      </c>
      <c r="L880" t="n">
        <v>0</v>
      </c>
      <c r="M880" t="n">
        <v>0</v>
      </c>
      <c r="N880" t="n">
        <v>0</v>
      </c>
      <c r="O880" t="n">
        <v>0</v>
      </c>
      <c r="P880" t="n">
        <v>0</v>
      </c>
      <c r="Q880" t="n">
        <v>0</v>
      </c>
      <c r="R880" s="2" t="inlineStr"/>
    </row>
    <row r="881" ht="15" customHeight="1">
      <c r="A881" t="inlineStr">
        <is>
          <t>A 7532-2026</t>
        </is>
      </c>
      <c r="B881" s="1" t="n">
        <v>46059</v>
      </c>
      <c r="C881" s="1" t="n">
        <v>46140</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16980-2023</t>
        </is>
      </c>
      <c r="B882" s="1" t="n">
        <v>45033</v>
      </c>
      <c r="C882" s="1" t="n">
        <v>46140</v>
      </c>
      <c r="D882" t="inlineStr">
        <is>
          <t>STOCKHOLMS LÄN</t>
        </is>
      </c>
      <c r="E882" t="inlineStr">
        <is>
          <t>NORRTÄLJE</t>
        </is>
      </c>
      <c r="G882" t="n">
        <v>2.3</v>
      </c>
      <c r="H882" t="n">
        <v>0</v>
      </c>
      <c r="I882" t="n">
        <v>0</v>
      </c>
      <c r="J882" t="n">
        <v>0</v>
      </c>
      <c r="K882" t="n">
        <v>0</v>
      </c>
      <c r="L882" t="n">
        <v>0</v>
      </c>
      <c r="M882" t="n">
        <v>0</v>
      </c>
      <c r="N882" t="n">
        <v>0</v>
      </c>
      <c r="O882" t="n">
        <v>0</v>
      </c>
      <c r="P882" t="n">
        <v>0</v>
      </c>
      <c r="Q882" t="n">
        <v>0</v>
      </c>
      <c r="R882" s="2" t="inlineStr"/>
    </row>
    <row r="883" ht="15" customHeight="1">
      <c r="A883" t="inlineStr">
        <is>
          <t>A 7723-2026</t>
        </is>
      </c>
      <c r="B883" s="1" t="n">
        <v>46062.49905092592</v>
      </c>
      <c r="C883" s="1" t="n">
        <v>46140</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7729-2026</t>
        </is>
      </c>
      <c r="B884" s="1" t="n">
        <v>46062.51100694444</v>
      </c>
      <c r="C884" s="1" t="n">
        <v>46140</v>
      </c>
      <c r="D884" t="inlineStr">
        <is>
          <t>STOCKHOLMS LÄN</t>
        </is>
      </c>
      <c r="E884" t="inlineStr">
        <is>
          <t>NORRTÄLJE</t>
        </is>
      </c>
      <c r="G884" t="n">
        <v>6.6</v>
      </c>
      <c r="H884" t="n">
        <v>0</v>
      </c>
      <c r="I884" t="n">
        <v>0</v>
      </c>
      <c r="J884" t="n">
        <v>0</v>
      </c>
      <c r="K884" t="n">
        <v>0</v>
      </c>
      <c r="L884" t="n">
        <v>0</v>
      </c>
      <c r="M884" t="n">
        <v>0</v>
      </c>
      <c r="N884" t="n">
        <v>0</v>
      </c>
      <c r="O884" t="n">
        <v>0</v>
      </c>
      <c r="P884" t="n">
        <v>0</v>
      </c>
      <c r="Q884" t="n">
        <v>0</v>
      </c>
      <c r="R884" s="2" t="inlineStr"/>
    </row>
    <row r="885" ht="15" customHeight="1">
      <c r="A885" t="inlineStr">
        <is>
          <t>A 31107-2022</t>
        </is>
      </c>
      <c r="B885" s="1" t="n">
        <v>44769.66864583334</v>
      </c>
      <c r="C885" s="1" t="n">
        <v>46140</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43170-2023</t>
        </is>
      </c>
      <c r="B886" s="1" t="n">
        <v>45183</v>
      </c>
      <c r="C886" s="1" t="n">
        <v>46140</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7582-2026</t>
        </is>
      </c>
      <c r="B887" s="1" t="n">
        <v>46061</v>
      </c>
      <c r="C887" s="1" t="n">
        <v>46140</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7793-2026</t>
        </is>
      </c>
      <c r="B888" s="1" t="n">
        <v>46062.59496527778</v>
      </c>
      <c r="C888" s="1" t="n">
        <v>46140</v>
      </c>
      <c r="D888" t="inlineStr">
        <is>
          <t>STOCKHOLMS LÄN</t>
        </is>
      </c>
      <c r="E888" t="inlineStr">
        <is>
          <t>NORRTÄLJE</t>
        </is>
      </c>
      <c r="F888" t="inlineStr">
        <is>
          <t>Holmen skog AB</t>
        </is>
      </c>
      <c r="G888" t="n">
        <v>3.8</v>
      </c>
      <c r="H888" t="n">
        <v>0</v>
      </c>
      <c r="I888" t="n">
        <v>0</v>
      </c>
      <c r="J888" t="n">
        <v>0</v>
      </c>
      <c r="K888" t="n">
        <v>0</v>
      </c>
      <c r="L888" t="n">
        <v>0</v>
      </c>
      <c r="M888" t="n">
        <v>0</v>
      </c>
      <c r="N888" t="n">
        <v>0</v>
      </c>
      <c r="O888" t="n">
        <v>0</v>
      </c>
      <c r="P888" t="n">
        <v>0</v>
      </c>
      <c r="Q888" t="n">
        <v>0</v>
      </c>
      <c r="R888" s="2" t="inlineStr"/>
    </row>
    <row r="889" ht="15" customHeight="1">
      <c r="A889" t="inlineStr">
        <is>
          <t>A 47626-2022</t>
        </is>
      </c>
      <c r="B889" s="1" t="n">
        <v>44854</v>
      </c>
      <c r="C889" s="1" t="n">
        <v>46140</v>
      </c>
      <c r="D889" t="inlineStr">
        <is>
          <t>STOCKHOLMS LÄN</t>
        </is>
      </c>
      <c r="E889" t="inlineStr">
        <is>
          <t>NORRTÄLJE</t>
        </is>
      </c>
      <c r="G889" t="n">
        <v>2</v>
      </c>
      <c r="H889" t="n">
        <v>0</v>
      </c>
      <c r="I889" t="n">
        <v>0</v>
      </c>
      <c r="J889" t="n">
        <v>0</v>
      </c>
      <c r="K889" t="n">
        <v>0</v>
      </c>
      <c r="L889" t="n">
        <v>0</v>
      </c>
      <c r="M889" t="n">
        <v>0</v>
      </c>
      <c r="N889" t="n">
        <v>0</v>
      </c>
      <c r="O889" t="n">
        <v>0</v>
      </c>
      <c r="P889" t="n">
        <v>0</v>
      </c>
      <c r="Q889" t="n">
        <v>0</v>
      </c>
      <c r="R889" s="2" t="inlineStr"/>
    </row>
    <row r="890" ht="15" customHeight="1">
      <c r="A890" t="inlineStr">
        <is>
          <t>A 32101-2022</t>
        </is>
      </c>
      <c r="B890" s="1" t="n">
        <v>44778.69210648148</v>
      </c>
      <c r="C890" s="1" t="n">
        <v>46140</v>
      </c>
      <c r="D890" t="inlineStr">
        <is>
          <t>STOCKHOLMS LÄN</t>
        </is>
      </c>
      <c r="E890" t="inlineStr">
        <is>
          <t>NORRTÄLJE</t>
        </is>
      </c>
      <c r="G890" t="n">
        <v>4.4</v>
      </c>
      <c r="H890" t="n">
        <v>0</v>
      </c>
      <c r="I890" t="n">
        <v>0</v>
      </c>
      <c r="J890" t="n">
        <v>0</v>
      </c>
      <c r="K890" t="n">
        <v>0</v>
      </c>
      <c r="L890" t="n">
        <v>0</v>
      </c>
      <c r="M890" t="n">
        <v>0</v>
      </c>
      <c r="N890" t="n">
        <v>0</v>
      </c>
      <c r="O890" t="n">
        <v>0</v>
      </c>
      <c r="P890" t="n">
        <v>0</v>
      </c>
      <c r="Q890" t="n">
        <v>0</v>
      </c>
      <c r="R890" s="2" t="inlineStr"/>
    </row>
    <row r="891" ht="15" customHeight="1">
      <c r="A891" t="inlineStr">
        <is>
          <t>A 28365-2022</t>
        </is>
      </c>
      <c r="B891" s="1" t="n">
        <v>44747</v>
      </c>
      <c r="C891" s="1" t="n">
        <v>46140</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42867-2022</t>
        </is>
      </c>
      <c r="B892" s="1" t="n">
        <v>44832</v>
      </c>
      <c r="C892" s="1" t="n">
        <v>46140</v>
      </c>
      <c r="D892" t="inlineStr">
        <is>
          <t>STOCKHOLMS LÄN</t>
        </is>
      </c>
      <c r="E892" t="inlineStr">
        <is>
          <t>NORRTÄLJE</t>
        </is>
      </c>
      <c r="G892" t="n">
        <v>6.4</v>
      </c>
      <c r="H892" t="n">
        <v>0</v>
      </c>
      <c r="I892" t="n">
        <v>0</v>
      </c>
      <c r="J892" t="n">
        <v>0</v>
      </c>
      <c r="K892" t="n">
        <v>0</v>
      </c>
      <c r="L892" t="n">
        <v>0</v>
      </c>
      <c r="M892" t="n">
        <v>0</v>
      </c>
      <c r="N892" t="n">
        <v>0</v>
      </c>
      <c r="O892" t="n">
        <v>0</v>
      </c>
      <c r="P892" t="n">
        <v>0</v>
      </c>
      <c r="Q892" t="n">
        <v>0</v>
      </c>
      <c r="R892" s="2" t="inlineStr"/>
    </row>
    <row r="893" ht="15" customHeight="1">
      <c r="A893" t="inlineStr">
        <is>
          <t>A 5645-2023</t>
        </is>
      </c>
      <c r="B893" s="1" t="n">
        <v>44960.60469907407</v>
      </c>
      <c r="C893" s="1" t="n">
        <v>46140</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8091-2026</t>
        </is>
      </c>
      <c r="B894" s="1" t="n">
        <v>46063.70944444444</v>
      </c>
      <c r="C894" s="1" t="n">
        <v>46140</v>
      </c>
      <c r="D894" t="inlineStr">
        <is>
          <t>STOCKHOLMS LÄN</t>
        </is>
      </c>
      <c r="E894" t="inlineStr">
        <is>
          <t>NORRTÄLJE</t>
        </is>
      </c>
      <c r="G894" t="n">
        <v>4.7</v>
      </c>
      <c r="H894" t="n">
        <v>0</v>
      </c>
      <c r="I894" t="n">
        <v>0</v>
      </c>
      <c r="J894" t="n">
        <v>0</v>
      </c>
      <c r="K894" t="n">
        <v>0</v>
      </c>
      <c r="L894" t="n">
        <v>0</v>
      </c>
      <c r="M894" t="n">
        <v>0</v>
      </c>
      <c r="N894" t="n">
        <v>0</v>
      </c>
      <c r="O894" t="n">
        <v>0</v>
      </c>
      <c r="P894" t="n">
        <v>0</v>
      </c>
      <c r="Q894" t="n">
        <v>0</v>
      </c>
      <c r="R894" s="2" t="inlineStr"/>
    </row>
    <row r="895" ht="15" customHeight="1">
      <c r="A895" t="inlineStr">
        <is>
          <t>A 17775-2022</t>
        </is>
      </c>
      <c r="B895" s="1" t="n">
        <v>44682.78430555556</v>
      </c>
      <c r="C895" s="1" t="n">
        <v>46140</v>
      </c>
      <c r="D895" t="inlineStr">
        <is>
          <t>STOCKHOLMS LÄN</t>
        </is>
      </c>
      <c r="E895" t="inlineStr">
        <is>
          <t>NORRTÄLJE</t>
        </is>
      </c>
      <c r="G895" t="n">
        <v>4.7</v>
      </c>
      <c r="H895" t="n">
        <v>0</v>
      </c>
      <c r="I895" t="n">
        <v>0</v>
      </c>
      <c r="J895" t="n">
        <v>0</v>
      </c>
      <c r="K895" t="n">
        <v>0</v>
      </c>
      <c r="L895" t="n">
        <v>0</v>
      </c>
      <c r="M895" t="n">
        <v>0</v>
      </c>
      <c r="N895" t="n">
        <v>0</v>
      </c>
      <c r="O895" t="n">
        <v>0</v>
      </c>
      <c r="P895" t="n">
        <v>0</v>
      </c>
      <c r="Q895" t="n">
        <v>0</v>
      </c>
      <c r="R895" s="2" t="inlineStr"/>
    </row>
    <row r="896" ht="15" customHeight="1">
      <c r="A896" t="inlineStr">
        <is>
          <t>A 8096-2026</t>
        </is>
      </c>
      <c r="B896" s="1" t="n">
        <v>46063.714375</v>
      </c>
      <c r="C896" s="1" t="n">
        <v>46140</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47481-2024</t>
        </is>
      </c>
      <c r="B897" s="1" t="n">
        <v>45587</v>
      </c>
      <c r="C897" s="1" t="n">
        <v>46140</v>
      </c>
      <c r="D897" t="inlineStr">
        <is>
          <t>STOCKHOLMS LÄN</t>
        </is>
      </c>
      <c r="E897" t="inlineStr">
        <is>
          <t>NORRTÄLJE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24933-2023</t>
        </is>
      </c>
      <c r="B898" s="1" t="n">
        <v>45085.5309375</v>
      </c>
      <c r="C898" s="1" t="n">
        <v>46140</v>
      </c>
      <c r="D898" t="inlineStr">
        <is>
          <t>STOCKHOLMS LÄN</t>
        </is>
      </c>
      <c r="E898" t="inlineStr">
        <is>
          <t>NORRTÄLJE</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8055-2026</t>
        </is>
      </c>
      <c r="B899" s="1" t="n">
        <v>46063.62002314815</v>
      </c>
      <c r="C899" s="1" t="n">
        <v>46140</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11062-2024</t>
        </is>
      </c>
      <c r="B900" s="1" t="n">
        <v>45370</v>
      </c>
      <c r="C900" s="1" t="n">
        <v>46140</v>
      </c>
      <c r="D900" t="inlineStr">
        <is>
          <t>STOCKHOLMS LÄN</t>
        </is>
      </c>
      <c r="E900" t="inlineStr">
        <is>
          <t>NORRTÄLJE</t>
        </is>
      </c>
      <c r="G900" t="n">
        <v>3.2</v>
      </c>
      <c r="H900" t="n">
        <v>0</v>
      </c>
      <c r="I900" t="n">
        <v>0</v>
      </c>
      <c r="J900" t="n">
        <v>0</v>
      </c>
      <c r="K900" t="n">
        <v>0</v>
      </c>
      <c r="L900" t="n">
        <v>0</v>
      </c>
      <c r="M900" t="n">
        <v>0</v>
      </c>
      <c r="N900" t="n">
        <v>0</v>
      </c>
      <c r="O900" t="n">
        <v>0</v>
      </c>
      <c r="P900" t="n">
        <v>0</v>
      </c>
      <c r="Q900" t="n">
        <v>0</v>
      </c>
      <c r="R900" s="2" t="inlineStr"/>
    </row>
    <row r="901" ht="15" customHeight="1">
      <c r="A901" t="inlineStr">
        <is>
          <t>A 576-2023</t>
        </is>
      </c>
      <c r="B901" s="1" t="n">
        <v>44925</v>
      </c>
      <c r="C901" s="1" t="n">
        <v>46140</v>
      </c>
      <c r="D901" t="inlineStr">
        <is>
          <t>STOCKHOLMS LÄN</t>
        </is>
      </c>
      <c r="E901" t="inlineStr">
        <is>
          <t>NORRTÄLJE</t>
        </is>
      </c>
      <c r="G901" t="n">
        <v>7.2</v>
      </c>
      <c r="H901" t="n">
        <v>0</v>
      </c>
      <c r="I901" t="n">
        <v>0</v>
      </c>
      <c r="J901" t="n">
        <v>0</v>
      </c>
      <c r="K901" t="n">
        <v>0</v>
      </c>
      <c r="L901" t="n">
        <v>0</v>
      </c>
      <c r="M901" t="n">
        <v>0</v>
      </c>
      <c r="N901" t="n">
        <v>0</v>
      </c>
      <c r="O901" t="n">
        <v>0</v>
      </c>
      <c r="P901" t="n">
        <v>0</v>
      </c>
      <c r="Q901" t="n">
        <v>0</v>
      </c>
      <c r="R901" s="2" t="inlineStr"/>
    </row>
    <row r="902" ht="15" customHeight="1">
      <c r="A902" t="inlineStr">
        <is>
          <t>A 15836-2026</t>
        </is>
      </c>
      <c r="B902" s="1" t="n">
        <v>46107.56134259259</v>
      </c>
      <c r="C902" s="1" t="n">
        <v>46140</v>
      </c>
      <c r="D902" t="inlineStr">
        <is>
          <t>STOCKHOLMS LÄN</t>
        </is>
      </c>
      <c r="E902" t="inlineStr">
        <is>
          <t>NORRTÄLJE</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8454-2026</t>
        </is>
      </c>
      <c r="B903" s="1" t="n">
        <v>46065.42506944444</v>
      </c>
      <c r="C903" s="1" t="n">
        <v>46140</v>
      </c>
      <c r="D903" t="inlineStr">
        <is>
          <t>STOCKHOLMS LÄN</t>
        </is>
      </c>
      <c r="E903" t="inlineStr">
        <is>
          <t>NORRTÄLJE</t>
        </is>
      </c>
      <c r="G903" t="n">
        <v>3.2</v>
      </c>
      <c r="H903" t="n">
        <v>0</v>
      </c>
      <c r="I903" t="n">
        <v>0</v>
      </c>
      <c r="J903" t="n">
        <v>0</v>
      </c>
      <c r="K903" t="n">
        <v>0</v>
      </c>
      <c r="L903" t="n">
        <v>0</v>
      </c>
      <c r="M903" t="n">
        <v>0</v>
      </c>
      <c r="N903" t="n">
        <v>0</v>
      </c>
      <c r="O903" t="n">
        <v>0</v>
      </c>
      <c r="P903" t="n">
        <v>0</v>
      </c>
      <c r="Q903" t="n">
        <v>0</v>
      </c>
      <c r="R903" s="2" t="inlineStr"/>
    </row>
    <row r="904" ht="15" customHeight="1">
      <c r="A904" t="inlineStr">
        <is>
          <t>A 12908-2025</t>
        </is>
      </c>
      <c r="B904" s="1" t="n">
        <v>45733.82105324074</v>
      </c>
      <c r="C904" s="1" t="n">
        <v>46140</v>
      </c>
      <c r="D904" t="inlineStr">
        <is>
          <t>STOCKHOLMS LÄN</t>
        </is>
      </c>
      <c r="E904" t="inlineStr">
        <is>
          <t>NORRTÄLJE</t>
        </is>
      </c>
      <c r="G904" t="n">
        <v>1</v>
      </c>
      <c r="H904" t="n">
        <v>0</v>
      </c>
      <c r="I904" t="n">
        <v>0</v>
      </c>
      <c r="J904" t="n">
        <v>0</v>
      </c>
      <c r="K904" t="n">
        <v>0</v>
      </c>
      <c r="L904" t="n">
        <v>0</v>
      </c>
      <c r="M904" t="n">
        <v>0</v>
      </c>
      <c r="N904" t="n">
        <v>0</v>
      </c>
      <c r="O904" t="n">
        <v>0</v>
      </c>
      <c r="P904" t="n">
        <v>0</v>
      </c>
      <c r="Q904" t="n">
        <v>0</v>
      </c>
      <c r="R904" s="2" t="inlineStr"/>
    </row>
    <row r="905" ht="15" customHeight="1">
      <c r="A905" t="inlineStr">
        <is>
          <t>A 68361-2021</t>
        </is>
      </c>
      <c r="B905" s="1" t="n">
        <v>44528.91494212963</v>
      </c>
      <c r="C905" s="1" t="n">
        <v>46140</v>
      </c>
      <c r="D905" t="inlineStr">
        <is>
          <t>STOCKHOLMS LÄN</t>
        </is>
      </c>
      <c r="E905" t="inlineStr">
        <is>
          <t>NORRTÄLJE</t>
        </is>
      </c>
      <c r="G905" t="n">
        <v>1.9</v>
      </c>
      <c r="H905" t="n">
        <v>0</v>
      </c>
      <c r="I905" t="n">
        <v>0</v>
      </c>
      <c r="J905" t="n">
        <v>0</v>
      </c>
      <c r="K905" t="n">
        <v>0</v>
      </c>
      <c r="L905" t="n">
        <v>0</v>
      </c>
      <c r="M905" t="n">
        <v>0</v>
      </c>
      <c r="N905" t="n">
        <v>0</v>
      </c>
      <c r="O905" t="n">
        <v>0</v>
      </c>
      <c r="P905" t="n">
        <v>0</v>
      </c>
      <c r="Q905" t="n">
        <v>0</v>
      </c>
      <c r="R905" s="2" t="inlineStr"/>
    </row>
    <row r="906" ht="15" customHeight="1">
      <c r="A906" t="inlineStr">
        <is>
          <t>A 50469-2022</t>
        </is>
      </c>
      <c r="B906" s="1" t="n">
        <v>44866.49827546296</v>
      </c>
      <c r="C906" s="1" t="n">
        <v>46140</v>
      </c>
      <c r="D906" t="inlineStr">
        <is>
          <t>STOCKHOLMS LÄN</t>
        </is>
      </c>
      <c r="E906" t="inlineStr">
        <is>
          <t>NORRTÄLJE</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41976-2024</t>
        </is>
      </c>
      <c r="B907" s="1" t="n">
        <v>45561.62141203704</v>
      </c>
      <c r="C907" s="1" t="n">
        <v>46140</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8465-2026</t>
        </is>
      </c>
      <c r="B908" s="1" t="n">
        <v>46065.44141203703</v>
      </c>
      <c r="C908" s="1" t="n">
        <v>46140</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8410-2026</t>
        </is>
      </c>
      <c r="B909" s="1" t="n">
        <v>46065.34261574074</v>
      </c>
      <c r="C909" s="1" t="n">
        <v>46140</v>
      </c>
      <c r="D909" t="inlineStr">
        <is>
          <t>STOCKHOLMS LÄN</t>
        </is>
      </c>
      <c r="E909" t="inlineStr">
        <is>
          <t>NORRTÄLJE</t>
        </is>
      </c>
      <c r="G909" t="n">
        <v>3.9</v>
      </c>
      <c r="H909" t="n">
        <v>0</v>
      </c>
      <c r="I909" t="n">
        <v>0</v>
      </c>
      <c r="J909" t="n">
        <v>0</v>
      </c>
      <c r="K909" t="n">
        <v>0</v>
      </c>
      <c r="L909" t="n">
        <v>0</v>
      </c>
      <c r="M909" t="n">
        <v>0</v>
      </c>
      <c r="N909" t="n">
        <v>0</v>
      </c>
      <c r="O909" t="n">
        <v>0</v>
      </c>
      <c r="P909" t="n">
        <v>0</v>
      </c>
      <c r="Q909" t="n">
        <v>0</v>
      </c>
      <c r="R909" s="2" t="inlineStr"/>
    </row>
    <row r="910" ht="15" customHeight="1">
      <c r="A910" t="inlineStr">
        <is>
          <t>A 62206-2022</t>
        </is>
      </c>
      <c r="B910" s="1" t="n">
        <v>44922</v>
      </c>
      <c r="C910" s="1" t="n">
        <v>46140</v>
      </c>
      <c r="D910" t="inlineStr">
        <is>
          <t>STOCKHOLMS LÄN</t>
        </is>
      </c>
      <c r="E910" t="inlineStr">
        <is>
          <t>NORRTÄLJE</t>
        </is>
      </c>
      <c r="G910" t="n">
        <v>2.9</v>
      </c>
      <c r="H910" t="n">
        <v>0</v>
      </c>
      <c r="I910" t="n">
        <v>0</v>
      </c>
      <c r="J910" t="n">
        <v>0</v>
      </c>
      <c r="K910" t="n">
        <v>0</v>
      </c>
      <c r="L910" t="n">
        <v>0</v>
      </c>
      <c r="M910" t="n">
        <v>0</v>
      </c>
      <c r="N910" t="n">
        <v>0</v>
      </c>
      <c r="O910" t="n">
        <v>0</v>
      </c>
      <c r="P910" t="n">
        <v>0</v>
      </c>
      <c r="Q910" t="n">
        <v>0</v>
      </c>
      <c r="R910" s="2" t="inlineStr"/>
    </row>
    <row r="911" ht="15" customHeight="1">
      <c r="A911" t="inlineStr">
        <is>
          <t>A 8489-2026</t>
        </is>
      </c>
      <c r="B911" s="1" t="n">
        <v>46065.48268518518</v>
      </c>
      <c r="C911" s="1" t="n">
        <v>46140</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30886-2022</t>
        </is>
      </c>
      <c r="B912" s="1" t="n">
        <v>44767.60601851852</v>
      </c>
      <c r="C912" s="1" t="n">
        <v>46140</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58989-2021</t>
        </is>
      </c>
      <c r="B913" s="1" t="n">
        <v>44490.02482638889</v>
      </c>
      <c r="C913" s="1" t="n">
        <v>46140</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58990-2021</t>
        </is>
      </c>
      <c r="B914" s="1" t="n">
        <v>44490.03621527777</v>
      </c>
      <c r="C914" s="1" t="n">
        <v>46140</v>
      </c>
      <c r="D914" t="inlineStr">
        <is>
          <t>STOCKHOLMS LÄN</t>
        </is>
      </c>
      <c r="E914" t="inlineStr">
        <is>
          <t>NORRTÄLJE</t>
        </is>
      </c>
      <c r="G914" t="n">
        <v>4.2</v>
      </c>
      <c r="H914" t="n">
        <v>0</v>
      </c>
      <c r="I914" t="n">
        <v>0</v>
      </c>
      <c r="J914" t="n">
        <v>0</v>
      </c>
      <c r="K914" t="n">
        <v>0</v>
      </c>
      <c r="L914" t="n">
        <v>0</v>
      </c>
      <c r="M914" t="n">
        <v>0</v>
      </c>
      <c r="N914" t="n">
        <v>0</v>
      </c>
      <c r="O914" t="n">
        <v>0</v>
      </c>
      <c r="P914" t="n">
        <v>0</v>
      </c>
      <c r="Q914" t="n">
        <v>0</v>
      </c>
      <c r="R914" s="2" t="inlineStr"/>
    </row>
    <row r="915" ht="15" customHeight="1">
      <c r="A915" t="inlineStr">
        <is>
          <t>A 8985-2026</t>
        </is>
      </c>
      <c r="B915" s="1" t="n">
        <v>46069.45234953704</v>
      </c>
      <c r="C915" s="1" t="n">
        <v>46140</v>
      </c>
      <c r="D915" t="inlineStr">
        <is>
          <t>STOCKHOLMS LÄN</t>
        </is>
      </c>
      <c r="E915" t="inlineStr">
        <is>
          <t>NORRTÄLJE</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11940-2023</t>
        </is>
      </c>
      <c r="B916" s="1" t="n">
        <v>44995</v>
      </c>
      <c r="C916" s="1" t="n">
        <v>46140</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29266-2022</t>
        </is>
      </c>
      <c r="B917" s="1" t="n">
        <v>44750.66068287037</v>
      </c>
      <c r="C917" s="1" t="n">
        <v>46140</v>
      </c>
      <c r="D917" t="inlineStr">
        <is>
          <t>STOCKHOLMS LÄN</t>
        </is>
      </c>
      <c r="E917" t="inlineStr">
        <is>
          <t>NORRTÄLJE</t>
        </is>
      </c>
      <c r="G917" t="n">
        <v>1.8</v>
      </c>
      <c r="H917" t="n">
        <v>0</v>
      </c>
      <c r="I917" t="n">
        <v>0</v>
      </c>
      <c r="J917" t="n">
        <v>0</v>
      </c>
      <c r="K917" t="n">
        <v>0</v>
      </c>
      <c r="L917" t="n">
        <v>0</v>
      </c>
      <c r="M917" t="n">
        <v>0</v>
      </c>
      <c r="N917" t="n">
        <v>0</v>
      </c>
      <c r="O917" t="n">
        <v>0</v>
      </c>
      <c r="P917" t="n">
        <v>0</v>
      </c>
      <c r="Q917" t="n">
        <v>0</v>
      </c>
      <c r="R917" s="2" t="inlineStr"/>
    </row>
    <row r="918" ht="15" customHeight="1">
      <c r="A918" t="inlineStr">
        <is>
          <t>A 29278-2022</t>
        </is>
      </c>
      <c r="B918" s="1" t="n">
        <v>44750</v>
      </c>
      <c r="C918" s="1" t="n">
        <v>46140</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9103-2026</t>
        </is>
      </c>
      <c r="B919" s="1" t="n">
        <v>46069.65039351852</v>
      </c>
      <c r="C919" s="1" t="n">
        <v>46140</v>
      </c>
      <c r="D919" t="inlineStr">
        <is>
          <t>STOCKHOLMS LÄN</t>
        </is>
      </c>
      <c r="E919" t="inlineStr">
        <is>
          <t>NORRTÄLJE</t>
        </is>
      </c>
      <c r="F919" t="inlineStr">
        <is>
          <t>Holmen skog AB</t>
        </is>
      </c>
      <c r="G919" t="n">
        <v>3.6</v>
      </c>
      <c r="H919" t="n">
        <v>0</v>
      </c>
      <c r="I919" t="n">
        <v>0</v>
      </c>
      <c r="J919" t="n">
        <v>0</v>
      </c>
      <c r="K919" t="n">
        <v>0</v>
      </c>
      <c r="L919" t="n">
        <v>0</v>
      </c>
      <c r="M919" t="n">
        <v>0</v>
      </c>
      <c r="N919" t="n">
        <v>0</v>
      </c>
      <c r="O919" t="n">
        <v>0</v>
      </c>
      <c r="P919" t="n">
        <v>0</v>
      </c>
      <c r="Q919" t="n">
        <v>0</v>
      </c>
      <c r="R919" s="2" t="inlineStr"/>
    </row>
    <row r="920" ht="15" customHeight="1">
      <c r="A920" t="inlineStr">
        <is>
          <t>A 6401-2024</t>
        </is>
      </c>
      <c r="B920" s="1" t="n">
        <v>45338</v>
      </c>
      <c r="C920" s="1" t="n">
        <v>46140</v>
      </c>
      <c r="D920" t="inlineStr">
        <is>
          <t>STOCKHOLMS LÄN</t>
        </is>
      </c>
      <c r="E920" t="inlineStr">
        <is>
          <t>NORRTÄLJE</t>
        </is>
      </c>
      <c r="G920" t="n">
        <v>2.2</v>
      </c>
      <c r="H920" t="n">
        <v>0</v>
      </c>
      <c r="I920" t="n">
        <v>0</v>
      </c>
      <c r="J920" t="n">
        <v>0</v>
      </c>
      <c r="K920" t="n">
        <v>0</v>
      </c>
      <c r="L920" t="n">
        <v>0</v>
      </c>
      <c r="M920" t="n">
        <v>0</v>
      </c>
      <c r="N920" t="n">
        <v>0</v>
      </c>
      <c r="O920" t="n">
        <v>0</v>
      </c>
      <c r="P920" t="n">
        <v>0</v>
      </c>
      <c r="Q920" t="n">
        <v>0</v>
      </c>
      <c r="R920" s="2" t="inlineStr"/>
    </row>
    <row r="921" ht="15" customHeight="1">
      <c r="A921" t="inlineStr">
        <is>
          <t>A 24501-2023</t>
        </is>
      </c>
      <c r="B921" s="1" t="n">
        <v>45082</v>
      </c>
      <c r="C921" s="1" t="n">
        <v>46140</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24520-2023</t>
        </is>
      </c>
      <c r="B922" s="1" t="n">
        <v>45082.68922453704</v>
      </c>
      <c r="C922" s="1" t="n">
        <v>46140</v>
      </c>
      <c r="D922" t="inlineStr">
        <is>
          <t>STOCKHOLMS LÄN</t>
        </is>
      </c>
      <c r="E922" t="inlineStr">
        <is>
          <t>NORRTÄLJE</t>
        </is>
      </c>
      <c r="G922" t="n">
        <v>4.3</v>
      </c>
      <c r="H922" t="n">
        <v>0</v>
      </c>
      <c r="I922" t="n">
        <v>0</v>
      </c>
      <c r="J922" t="n">
        <v>0</v>
      </c>
      <c r="K922" t="n">
        <v>0</v>
      </c>
      <c r="L922" t="n">
        <v>0</v>
      </c>
      <c r="M922" t="n">
        <v>0</v>
      </c>
      <c r="N922" t="n">
        <v>0</v>
      </c>
      <c r="O922" t="n">
        <v>0</v>
      </c>
      <c r="P922" t="n">
        <v>0</v>
      </c>
      <c r="Q922" t="n">
        <v>0</v>
      </c>
      <c r="R922" s="2" t="inlineStr"/>
    </row>
    <row r="923" ht="15" customHeight="1">
      <c r="A923" t="inlineStr">
        <is>
          <t>A 8989-2026</t>
        </is>
      </c>
      <c r="B923" s="1" t="n">
        <v>46069.45789351852</v>
      </c>
      <c r="C923" s="1" t="n">
        <v>46140</v>
      </c>
      <c r="D923" t="inlineStr">
        <is>
          <t>STOCKHOLMS LÄN</t>
        </is>
      </c>
      <c r="E923" t="inlineStr">
        <is>
          <t>NORRTÄLJE</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16243-2026</t>
        </is>
      </c>
      <c r="B924" s="1" t="n">
        <v>46111.45902777778</v>
      </c>
      <c r="C924" s="1" t="n">
        <v>46140</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38612-2022</t>
        </is>
      </c>
      <c r="B925" s="1" t="n">
        <v>44813</v>
      </c>
      <c r="C925" s="1" t="n">
        <v>46140</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33040-2021</t>
        </is>
      </c>
      <c r="B926" s="1" t="n">
        <v>44376.50728009259</v>
      </c>
      <c r="C926" s="1" t="n">
        <v>46140</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26117-2024</t>
        </is>
      </c>
      <c r="B927" s="1" t="n">
        <v>45468.45877314815</v>
      </c>
      <c r="C927" s="1" t="n">
        <v>46140</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61113-2023</t>
        </is>
      </c>
      <c r="B928" s="1" t="n">
        <v>45261</v>
      </c>
      <c r="C928" s="1" t="n">
        <v>46140</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8962-2026</t>
        </is>
      </c>
      <c r="B929" s="1" t="n">
        <v>46069.41644675926</v>
      </c>
      <c r="C929" s="1" t="n">
        <v>46140</v>
      </c>
      <c r="D929" t="inlineStr">
        <is>
          <t>STOCKHOLMS LÄN</t>
        </is>
      </c>
      <c r="E929" t="inlineStr">
        <is>
          <t>NORRTÄLJE</t>
        </is>
      </c>
      <c r="F929" t="inlineStr">
        <is>
          <t>Holmen skog AB</t>
        </is>
      </c>
      <c r="G929" t="n">
        <v>4.1</v>
      </c>
      <c r="H929" t="n">
        <v>0</v>
      </c>
      <c r="I929" t="n">
        <v>0</v>
      </c>
      <c r="J929" t="n">
        <v>0</v>
      </c>
      <c r="K929" t="n">
        <v>0</v>
      </c>
      <c r="L929" t="n">
        <v>0</v>
      </c>
      <c r="M929" t="n">
        <v>0</v>
      </c>
      <c r="N929" t="n">
        <v>0</v>
      </c>
      <c r="O929" t="n">
        <v>0</v>
      </c>
      <c r="P929" t="n">
        <v>0</v>
      </c>
      <c r="Q929" t="n">
        <v>0</v>
      </c>
      <c r="R929" s="2" t="inlineStr"/>
    </row>
    <row r="930" ht="15" customHeight="1">
      <c r="A930" t="inlineStr">
        <is>
          <t>A 16229-2026</t>
        </is>
      </c>
      <c r="B930" s="1" t="n">
        <v>46111.45084490741</v>
      </c>
      <c r="C930" s="1" t="n">
        <v>46140</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60822-2023</t>
        </is>
      </c>
      <c r="B931" s="1" t="n">
        <v>45259</v>
      </c>
      <c r="C931" s="1" t="n">
        <v>46140</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59310-2023</t>
        </is>
      </c>
      <c r="B932" s="1" t="n">
        <v>45253.61146990741</v>
      </c>
      <c r="C932" s="1" t="n">
        <v>46140</v>
      </c>
      <c r="D932" t="inlineStr">
        <is>
          <t>STOCKHOLMS LÄN</t>
        </is>
      </c>
      <c r="E932" t="inlineStr">
        <is>
          <t>NORRTÄLJE</t>
        </is>
      </c>
      <c r="G932" t="n">
        <v>1.3</v>
      </c>
      <c r="H932" t="n">
        <v>0</v>
      </c>
      <c r="I932" t="n">
        <v>0</v>
      </c>
      <c r="J932" t="n">
        <v>0</v>
      </c>
      <c r="K932" t="n">
        <v>0</v>
      </c>
      <c r="L932" t="n">
        <v>0</v>
      </c>
      <c r="M932" t="n">
        <v>0</v>
      </c>
      <c r="N932" t="n">
        <v>0</v>
      </c>
      <c r="O932" t="n">
        <v>0</v>
      </c>
      <c r="P932" t="n">
        <v>0</v>
      </c>
      <c r="Q932" t="n">
        <v>0</v>
      </c>
      <c r="R932" s="2" t="inlineStr"/>
    </row>
    <row r="933" ht="15" customHeight="1">
      <c r="A933" t="inlineStr">
        <is>
          <t>A 20343-2024</t>
        </is>
      </c>
      <c r="B933" s="1" t="n">
        <v>45435.43466435185</v>
      </c>
      <c r="C933" s="1" t="n">
        <v>46140</v>
      </c>
      <c r="D933" t="inlineStr">
        <is>
          <t>STOCKHOLMS LÄN</t>
        </is>
      </c>
      <c r="E933" t="inlineStr">
        <is>
          <t>NORRTÄLJE</t>
        </is>
      </c>
      <c r="G933" t="n">
        <v>2.8</v>
      </c>
      <c r="H933" t="n">
        <v>0</v>
      </c>
      <c r="I933" t="n">
        <v>0</v>
      </c>
      <c r="J933" t="n">
        <v>0</v>
      </c>
      <c r="K933" t="n">
        <v>0</v>
      </c>
      <c r="L933" t="n">
        <v>0</v>
      </c>
      <c r="M933" t="n">
        <v>0</v>
      </c>
      <c r="N933" t="n">
        <v>0</v>
      </c>
      <c r="O933" t="n">
        <v>0</v>
      </c>
      <c r="P933" t="n">
        <v>0</v>
      </c>
      <c r="Q933" t="n">
        <v>0</v>
      </c>
      <c r="R933" s="2" t="inlineStr"/>
    </row>
    <row r="934" ht="15" customHeight="1">
      <c r="A934" t="inlineStr">
        <is>
          <t>A 20345-2024</t>
        </is>
      </c>
      <c r="B934" s="1" t="n">
        <v>45435.43820601852</v>
      </c>
      <c r="C934" s="1" t="n">
        <v>46140</v>
      </c>
      <c r="D934" t="inlineStr">
        <is>
          <t>STOCKHOLMS LÄN</t>
        </is>
      </c>
      <c r="E934" t="inlineStr">
        <is>
          <t>NORRTÄLJE</t>
        </is>
      </c>
      <c r="G934" t="n">
        <v>3.8</v>
      </c>
      <c r="H934" t="n">
        <v>0</v>
      </c>
      <c r="I934" t="n">
        <v>0</v>
      </c>
      <c r="J934" t="n">
        <v>0</v>
      </c>
      <c r="K934" t="n">
        <v>0</v>
      </c>
      <c r="L934" t="n">
        <v>0</v>
      </c>
      <c r="M934" t="n">
        <v>0</v>
      </c>
      <c r="N934" t="n">
        <v>0</v>
      </c>
      <c r="O934" t="n">
        <v>0</v>
      </c>
      <c r="P934" t="n">
        <v>0</v>
      </c>
      <c r="Q934" t="n">
        <v>0</v>
      </c>
      <c r="R934" s="2" t="inlineStr"/>
    </row>
    <row r="935" ht="15" customHeight="1">
      <c r="A935" t="inlineStr">
        <is>
          <t>A 55010-2024</t>
        </is>
      </c>
      <c r="B935" s="1" t="n">
        <v>45621.34425925926</v>
      </c>
      <c r="C935" s="1" t="n">
        <v>46140</v>
      </c>
      <c r="D935" t="inlineStr">
        <is>
          <t>STOCKHOLMS LÄN</t>
        </is>
      </c>
      <c r="E935" t="inlineStr">
        <is>
          <t>NORRTÄLJE</t>
        </is>
      </c>
      <c r="F935" t="inlineStr">
        <is>
          <t>Sveaskog</t>
        </is>
      </c>
      <c r="G935" t="n">
        <v>5.7</v>
      </c>
      <c r="H935" t="n">
        <v>0</v>
      </c>
      <c r="I935" t="n">
        <v>0</v>
      </c>
      <c r="J935" t="n">
        <v>0</v>
      </c>
      <c r="K935" t="n">
        <v>0</v>
      </c>
      <c r="L935" t="n">
        <v>0</v>
      </c>
      <c r="M935" t="n">
        <v>0</v>
      </c>
      <c r="N935" t="n">
        <v>0</v>
      </c>
      <c r="O935" t="n">
        <v>0</v>
      </c>
      <c r="P935" t="n">
        <v>0</v>
      </c>
      <c r="Q935" t="n">
        <v>0</v>
      </c>
      <c r="R935" s="2" t="inlineStr"/>
    </row>
    <row r="936" ht="15" customHeight="1">
      <c r="A936" t="inlineStr">
        <is>
          <t>A 55018-2024</t>
        </is>
      </c>
      <c r="B936" s="1" t="n">
        <v>45621.35712962963</v>
      </c>
      <c r="C936" s="1" t="n">
        <v>46140</v>
      </c>
      <c r="D936" t="inlineStr">
        <is>
          <t>STOCKHOLMS LÄN</t>
        </is>
      </c>
      <c r="E936" t="inlineStr">
        <is>
          <t>NORRTÄLJE</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50113-2024</t>
        </is>
      </c>
      <c r="B937" s="1" t="n">
        <v>45600.411875</v>
      </c>
      <c r="C937" s="1" t="n">
        <v>46140</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20336-2024</t>
        </is>
      </c>
      <c r="B938" s="1" t="n">
        <v>45435.43123842592</v>
      </c>
      <c r="C938" s="1" t="n">
        <v>46140</v>
      </c>
      <c r="D938" t="inlineStr">
        <is>
          <t>STOCKHOLMS LÄN</t>
        </is>
      </c>
      <c r="E938" t="inlineStr">
        <is>
          <t>NORRTÄLJE</t>
        </is>
      </c>
      <c r="G938" t="n">
        <v>1.9</v>
      </c>
      <c r="H938" t="n">
        <v>0</v>
      </c>
      <c r="I938" t="n">
        <v>0</v>
      </c>
      <c r="J938" t="n">
        <v>0</v>
      </c>
      <c r="K938" t="n">
        <v>0</v>
      </c>
      <c r="L938" t="n">
        <v>0</v>
      </c>
      <c r="M938" t="n">
        <v>0</v>
      </c>
      <c r="N938" t="n">
        <v>0</v>
      </c>
      <c r="O938" t="n">
        <v>0</v>
      </c>
      <c r="P938" t="n">
        <v>0</v>
      </c>
      <c r="Q938" t="n">
        <v>0</v>
      </c>
      <c r="R938" s="2" t="inlineStr"/>
    </row>
    <row r="939" ht="15" customHeight="1">
      <c r="A939" t="inlineStr">
        <is>
          <t>A 64899-2023</t>
        </is>
      </c>
      <c r="B939" s="1" t="n">
        <v>45282</v>
      </c>
      <c r="C939" s="1" t="n">
        <v>46140</v>
      </c>
      <c r="D939" t="inlineStr">
        <is>
          <t>STOCKHOLMS LÄN</t>
        </is>
      </c>
      <c r="E939" t="inlineStr">
        <is>
          <t>NORRTÄLJE</t>
        </is>
      </c>
      <c r="G939" t="n">
        <v>6.3</v>
      </c>
      <c r="H939" t="n">
        <v>0</v>
      </c>
      <c r="I939" t="n">
        <v>0</v>
      </c>
      <c r="J939" t="n">
        <v>0</v>
      </c>
      <c r="K939" t="n">
        <v>0</v>
      </c>
      <c r="L939" t="n">
        <v>0</v>
      </c>
      <c r="M939" t="n">
        <v>0</v>
      </c>
      <c r="N939" t="n">
        <v>0</v>
      </c>
      <c r="O939" t="n">
        <v>0</v>
      </c>
      <c r="P939" t="n">
        <v>0</v>
      </c>
      <c r="Q939" t="n">
        <v>0</v>
      </c>
      <c r="R939" s="2" t="inlineStr"/>
    </row>
    <row r="940" ht="15" customHeight="1">
      <c r="A940" t="inlineStr">
        <is>
          <t>A 1847-2023</t>
        </is>
      </c>
      <c r="B940" s="1" t="n">
        <v>44938</v>
      </c>
      <c r="C940" s="1" t="n">
        <v>46140</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17025-2026</t>
        </is>
      </c>
      <c r="B941" s="1" t="n">
        <v>46113</v>
      </c>
      <c r="C941" s="1" t="n">
        <v>46140</v>
      </c>
      <c r="D941" t="inlineStr">
        <is>
          <t>STOCKHOLMS LÄN</t>
        </is>
      </c>
      <c r="E941" t="inlineStr">
        <is>
          <t>NORRTÄLJE</t>
        </is>
      </c>
      <c r="G941" t="n">
        <v>5.4</v>
      </c>
      <c r="H941" t="n">
        <v>0</v>
      </c>
      <c r="I941" t="n">
        <v>0</v>
      </c>
      <c r="J941" t="n">
        <v>0</v>
      </c>
      <c r="K941" t="n">
        <v>0</v>
      </c>
      <c r="L941" t="n">
        <v>0</v>
      </c>
      <c r="M941" t="n">
        <v>0</v>
      </c>
      <c r="N941" t="n">
        <v>0</v>
      </c>
      <c r="O941" t="n">
        <v>0</v>
      </c>
      <c r="P941" t="n">
        <v>0</v>
      </c>
      <c r="Q941" t="n">
        <v>0</v>
      </c>
      <c r="R941" s="2" t="inlineStr"/>
    </row>
    <row r="942" ht="15" customHeight="1">
      <c r="A942" t="inlineStr">
        <is>
          <t>A 29362-2022</t>
        </is>
      </c>
      <c r="B942" s="1" t="n">
        <v>44753</v>
      </c>
      <c r="C942" s="1" t="n">
        <v>46140</v>
      </c>
      <c r="D942" t="inlineStr">
        <is>
          <t>STOCKHOLMS LÄN</t>
        </is>
      </c>
      <c r="E942" t="inlineStr">
        <is>
          <t>NORRTÄLJE</t>
        </is>
      </c>
      <c r="G942" t="n">
        <v>3.8</v>
      </c>
      <c r="H942" t="n">
        <v>0</v>
      </c>
      <c r="I942" t="n">
        <v>0</v>
      </c>
      <c r="J942" t="n">
        <v>0</v>
      </c>
      <c r="K942" t="n">
        <v>0</v>
      </c>
      <c r="L942" t="n">
        <v>0</v>
      </c>
      <c r="M942" t="n">
        <v>0</v>
      </c>
      <c r="N942" t="n">
        <v>0</v>
      </c>
      <c r="O942" t="n">
        <v>0</v>
      </c>
      <c r="P942" t="n">
        <v>0</v>
      </c>
      <c r="Q942" t="n">
        <v>0</v>
      </c>
      <c r="R942" s="2" t="inlineStr"/>
    </row>
    <row r="943" ht="15" customHeight="1">
      <c r="A943" t="inlineStr">
        <is>
          <t>A 20291-2022</t>
        </is>
      </c>
      <c r="B943" s="1" t="n">
        <v>44698</v>
      </c>
      <c r="C943" s="1" t="n">
        <v>46140</v>
      </c>
      <c r="D943" t="inlineStr">
        <is>
          <t>STOCKHOLMS LÄN</t>
        </is>
      </c>
      <c r="E943" t="inlineStr">
        <is>
          <t>NORRTÄLJE</t>
        </is>
      </c>
      <c r="F943" t="inlineStr">
        <is>
          <t>Naturvårdsverket</t>
        </is>
      </c>
      <c r="G943" t="n">
        <v>2</v>
      </c>
      <c r="H943" t="n">
        <v>0</v>
      </c>
      <c r="I943" t="n">
        <v>0</v>
      </c>
      <c r="J943" t="n">
        <v>0</v>
      </c>
      <c r="K943" t="n">
        <v>0</v>
      </c>
      <c r="L943" t="n">
        <v>0</v>
      </c>
      <c r="M943" t="n">
        <v>0</v>
      </c>
      <c r="N943" t="n">
        <v>0</v>
      </c>
      <c r="O943" t="n">
        <v>0</v>
      </c>
      <c r="P943" t="n">
        <v>0</v>
      </c>
      <c r="Q943" t="n">
        <v>0</v>
      </c>
      <c r="R943" s="2" t="inlineStr"/>
    </row>
    <row r="944" ht="15" customHeight="1">
      <c r="A944" t="inlineStr">
        <is>
          <t>A 9720-2026</t>
        </is>
      </c>
      <c r="B944" s="1" t="n">
        <v>46072.45061342593</v>
      </c>
      <c r="C944" s="1" t="n">
        <v>46140</v>
      </c>
      <c r="D944" t="inlineStr">
        <is>
          <t>STOCKHOLMS LÄN</t>
        </is>
      </c>
      <c r="E944" t="inlineStr">
        <is>
          <t>NORRTÄLJE</t>
        </is>
      </c>
      <c r="G944" t="n">
        <v>3.6</v>
      </c>
      <c r="H944" t="n">
        <v>0</v>
      </c>
      <c r="I944" t="n">
        <v>0</v>
      </c>
      <c r="J944" t="n">
        <v>0</v>
      </c>
      <c r="K944" t="n">
        <v>0</v>
      </c>
      <c r="L944" t="n">
        <v>0</v>
      </c>
      <c r="M944" t="n">
        <v>0</v>
      </c>
      <c r="N944" t="n">
        <v>0</v>
      </c>
      <c r="O944" t="n">
        <v>0</v>
      </c>
      <c r="P944" t="n">
        <v>0</v>
      </c>
      <c r="Q944" t="n">
        <v>0</v>
      </c>
      <c r="R944" s="2" t="inlineStr"/>
    </row>
    <row r="945" ht="15" customHeight="1">
      <c r="A945" t="inlineStr">
        <is>
          <t>A 12302-2025</t>
        </is>
      </c>
      <c r="B945" s="1" t="n">
        <v>45729.72851851852</v>
      </c>
      <c r="C945" s="1" t="n">
        <v>46140</v>
      </c>
      <c r="D945" t="inlineStr">
        <is>
          <t>STOCKHOLMS LÄN</t>
        </is>
      </c>
      <c r="E945" t="inlineStr">
        <is>
          <t>NORRTÄLJE</t>
        </is>
      </c>
      <c r="F945" t="inlineStr">
        <is>
          <t>Holmen skog AB</t>
        </is>
      </c>
      <c r="G945" t="n">
        <v>0.8</v>
      </c>
      <c r="H945" t="n">
        <v>0</v>
      </c>
      <c r="I945" t="n">
        <v>0</v>
      </c>
      <c r="J945" t="n">
        <v>0</v>
      </c>
      <c r="K945" t="n">
        <v>0</v>
      </c>
      <c r="L945" t="n">
        <v>0</v>
      </c>
      <c r="M945" t="n">
        <v>0</v>
      </c>
      <c r="N945" t="n">
        <v>0</v>
      </c>
      <c r="O945" t="n">
        <v>0</v>
      </c>
      <c r="P945" t="n">
        <v>0</v>
      </c>
      <c r="Q945" t="n">
        <v>0</v>
      </c>
      <c r="R945" s="2" t="inlineStr"/>
    </row>
    <row r="946" ht="15" customHeight="1">
      <c r="A946" t="inlineStr">
        <is>
          <t>A 10399-2026</t>
        </is>
      </c>
      <c r="B946" s="1" t="n">
        <v>46077</v>
      </c>
      <c r="C946" s="1" t="n">
        <v>46140</v>
      </c>
      <c r="D946" t="inlineStr">
        <is>
          <t>STOCKHOLMS LÄN</t>
        </is>
      </c>
      <c r="E946" t="inlineStr">
        <is>
          <t>NORRTÄLJE</t>
        </is>
      </c>
      <c r="F946" t="inlineStr">
        <is>
          <t>Övriga Aktiebolag</t>
        </is>
      </c>
      <c r="G946" t="n">
        <v>0.2</v>
      </c>
      <c r="H946" t="n">
        <v>0</v>
      </c>
      <c r="I946" t="n">
        <v>0</v>
      </c>
      <c r="J946" t="n">
        <v>0</v>
      </c>
      <c r="K946" t="n">
        <v>0</v>
      </c>
      <c r="L946" t="n">
        <v>0</v>
      </c>
      <c r="M946" t="n">
        <v>0</v>
      </c>
      <c r="N946" t="n">
        <v>0</v>
      </c>
      <c r="O946" t="n">
        <v>0</v>
      </c>
      <c r="P946" t="n">
        <v>0</v>
      </c>
      <c r="Q946" t="n">
        <v>0</v>
      </c>
      <c r="R946" s="2" t="inlineStr"/>
    </row>
    <row r="947" ht="15" customHeight="1">
      <c r="A947" t="inlineStr">
        <is>
          <t>A 31926-2022</t>
        </is>
      </c>
      <c r="B947" s="1" t="n">
        <v>44777</v>
      </c>
      <c r="C947" s="1" t="n">
        <v>46140</v>
      </c>
      <c r="D947" t="inlineStr">
        <is>
          <t>STOCKHOLMS LÄN</t>
        </is>
      </c>
      <c r="E947" t="inlineStr">
        <is>
          <t>NORRTÄLJE</t>
        </is>
      </c>
      <c r="G947" t="n">
        <v>5.2</v>
      </c>
      <c r="H947" t="n">
        <v>0</v>
      </c>
      <c r="I947" t="n">
        <v>0</v>
      </c>
      <c r="J947" t="n">
        <v>0</v>
      </c>
      <c r="K947" t="n">
        <v>0</v>
      </c>
      <c r="L947" t="n">
        <v>0</v>
      </c>
      <c r="M947" t="n">
        <v>0</v>
      </c>
      <c r="N947" t="n">
        <v>0</v>
      </c>
      <c r="O947" t="n">
        <v>0</v>
      </c>
      <c r="P947" t="n">
        <v>0</v>
      </c>
      <c r="Q947" t="n">
        <v>0</v>
      </c>
      <c r="R947" s="2" t="inlineStr"/>
    </row>
    <row r="948" ht="15" customHeight="1">
      <c r="A948" t="inlineStr">
        <is>
          <t>A 17215-2026</t>
        </is>
      </c>
      <c r="B948" s="1" t="n">
        <v>46119.36524305555</v>
      </c>
      <c r="C948" s="1" t="n">
        <v>46140</v>
      </c>
      <c r="D948" t="inlineStr">
        <is>
          <t>STOCKHOLMS LÄN</t>
        </is>
      </c>
      <c r="E948" t="inlineStr">
        <is>
          <t>NORRTÄLJE</t>
        </is>
      </c>
      <c r="F948" t="inlineStr">
        <is>
          <t>Holmen skog AB</t>
        </is>
      </c>
      <c r="G948" t="n">
        <v>3.8</v>
      </c>
      <c r="H948" t="n">
        <v>0</v>
      </c>
      <c r="I948" t="n">
        <v>0</v>
      </c>
      <c r="J948" t="n">
        <v>0</v>
      </c>
      <c r="K948" t="n">
        <v>0</v>
      </c>
      <c r="L948" t="n">
        <v>0</v>
      </c>
      <c r="M948" t="n">
        <v>0</v>
      </c>
      <c r="N948" t="n">
        <v>0</v>
      </c>
      <c r="O948" t="n">
        <v>0</v>
      </c>
      <c r="P948" t="n">
        <v>0</v>
      </c>
      <c r="Q948" t="n">
        <v>0</v>
      </c>
      <c r="R948" s="2" t="inlineStr"/>
    </row>
    <row r="949" ht="15" customHeight="1">
      <c r="A949" t="inlineStr">
        <is>
          <t>A 17220-2026</t>
        </is>
      </c>
      <c r="B949" s="1" t="n">
        <v>46119.37436342592</v>
      </c>
      <c r="C949" s="1" t="n">
        <v>46140</v>
      </c>
      <c r="D949" t="inlineStr">
        <is>
          <t>STOCKHOLMS LÄN</t>
        </is>
      </c>
      <c r="E949" t="inlineStr">
        <is>
          <t>NORRTÄLJE</t>
        </is>
      </c>
      <c r="F949" t="inlineStr">
        <is>
          <t>Holmen skog AB</t>
        </is>
      </c>
      <c r="G949" t="n">
        <v>0.9</v>
      </c>
      <c r="H949" t="n">
        <v>0</v>
      </c>
      <c r="I949" t="n">
        <v>0</v>
      </c>
      <c r="J949" t="n">
        <v>0</v>
      </c>
      <c r="K949" t="n">
        <v>0</v>
      </c>
      <c r="L949" t="n">
        <v>0</v>
      </c>
      <c r="M949" t="n">
        <v>0</v>
      </c>
      <c r="N949" t="n">
        <v>0</v>
      </c>
      <c r="O949" t="n">
        <v>0</v>
      </c>
      <c r="P949" t="n">
        <v>0</v>
      </c>
      <c r="Q949" t="n">
        <v>0</v>
      </c>
      <c r="R949" s="2" t="inlineStr"/>
    </row>
    <row r="950" ht="15" customHeight="1">
      <c r="A950" t="inlineStr">
        <is>
          <t>A 10429-2026</t>
        </is>
      </c>
      <c r="B950" s="1" t="n">
        <v>46077.3822337963</v>
      </c>
      <c r="C950" s="1" t="n">
        <v>46140</v>
      </c>
      <c r="D950" t="inlineStr">
        <is>
          <t>STOCKHOLMS LÄN</t>
        </is>
      </c>
      <c r="E950" t="inlineStr">
        <is>
          <t>NORRTÄLJE</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17207-2026</t>
        </is>
      </c>
      <c r="B951" s="1" t="n">
        <v>46119.31914351852</v>
      </c>
      <c r="C951" s="1" t="n">
        <v>46140</v>
      </c>
      <c r="D951" t="inlineStr">
        <is>
          <t>STOCKHOLMS LÄN</t>
        </is>
      </c>
      <c r="E951" t="inlineStr">
        <is>
          <t>NORRTÄLJE</t>
        </is>
      </c>
      <c r="F951" t="inlineStr">
        <is>
          <t>Holmen skog AB</t>
        </is>
      </c>
      <c r="G951" t="n">
        <v>0.6</v>
      </c>
      <c r="H951" t="n">
        <v>0</v>
      </c>
      <c r="I951" t="n">
        <v>0</v>
      </c>
      <c r="J951" t="n">
        <v>0</v>
      </c>
      <c r="K951" t="n">
        <v>0</v>
      </c>
      <c r="L951" t="n">
        <v>0</v>
      </c>
      <c r="M951" t="n">
        <v>0</v>
      </c>
      <c r="N951" t="n">
        <v>0</v>
      </c>
      <c r="O951" t="n">
        <v>0</v>
      </c>
      <c r="P951" t="n">
        <v>0</v>
      </c>
      <c r="Q951" t="n">
        <v>0</v>
      </c>
      <c r="R951" s="2" t="inlineStr"/>
    </row>
    <row r="952" ht="15" customHeight="1">
      <c r="A952" t="inlineStr">
        <is>
          <t>A 1425-2025</t>
        </is>
      </c>
      <c r="B952" s="1" t="n">
        <v>45668.67446759259</v>
      </c>
      <c r="C952" s="1" t="n">
        <v>46140</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1453-2025</t>
        </is>
      </c>
      <c r="B953" s="1" t="n">
        <v>45670.3079050926</v>
      </c>
      <c r="C953" s="1" t="n">
        <v>46140</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10586-2026</t>
        </is>
      </c>
      <c r="B954" s="1" t="n">
        <v>46077.68192129629</v>
      </c>
      <c r="C954" s="1" t="n">
        <v>46140</v>
      </c>
      <c r="D954" t="inlineStr">
        <is>
          <t>STOCKHOLMS LÄN</t>
        </is>
      </c>
      <c r="E954" t="inlineStr">
        <is>
          <t>NORRTÄLJE</t>
        </is>
      </c>
      <c r="F954" t="inlineStr">
        <is>
          <t>Holmen skog AB</t>
        </is>
      </c>
      <c r="G954" t="n">
        <v>3.3</v>
      </c>
      <c r="H954" t="n">
        <v>0</v>
      </c>
      <c r="I954" t="n">
        <v>0</v>
      </c>
      <c r="J954" t="n">
        <v>0</v>
      </c>
      <c r="K954" t="n">
        <v>0</v>
      </c>
      <c r="L954" t="n">
        <v>0</v>
      </c>
      <c r="M954" t="n">
        <v>0</v>
      </c>
      <c r="N954" t="n">
        <v>0</v>
      </c>
      <c r="O954" t="n">
        <v>0</v>
      </c>
      <c r="P954" t="n">
        <v>0</v>
      </c>
      <c r="Q954" t="n">
        <v>0</v>
      </c>
      <c r="R954" s="2" t="inlineStr"/>
    </row>
    <row r="955" ht="15" customHeight="1">
      <c r="A955" t="inlineStr">
        <is>
          <t>A 10444-2026</t>
        </is>
      </c>
      <c r="B955" s="1" t="n">
        <v>46077.42230324074</v>
      </c>
      <c r="C955" s="1" t="n">
        <v>46140</v>
      </c>
      <c r="D955" t="inlineStr">
        <is>
          <t>STOCKHOLMS LÄN</t>
        </is>
      </c>
      <c r="E955" t="inlineStr">
        <is>
          <t>NORRTÄLJE</t>
        </is>
      </c>
      <c r="F955" t="inlineStr">
        <is>
          <t>Holmen skog AB</t>
        </is>
      </c>
      <c r="G955" t="n">
        <v>4.9</v>
      </c>
      <c r="H955" t="n">
        <v>0</v>
      </c>
      <c r="I955" t="n">
        <v>0</v>
      </c>
      <c r="J955" t="n">
        <v>0</v>
      </c>
      <c r="K955" t="n">
        <v>0</v>
      </c>
      <c r="L955" t="n">
        <v>0</v>
      </c>
      <c r="M955" t="n">
        <v>0</v>
      </c>
      <c r="N955" t="n">
        <v>0</v>
      </c>
      <c r="O955" t="n">
        <v>0</v>
      </c>
      <c r="P955" t="n">
        <v>0</v>
      </c>
      <c r="Q955" t="n">
        <v>0</v>
      </c>
      <c r="R955" s="2" t="inlineStr"/>
    </row>
    <row r="956" ht="15" customHeight="1">
      <c r="A956" t="inlineStr">
        <is>
          <t>A 13860-2023</t>
        </is>
      </c>
      <c r="B956" s="1" t="n">
        <v>45007</v>
      </c>
      <c r="C956" s="1" t="n">
        <v>46140</v>
      </c>
      <c r="D956" t="inlineStr">
        <is>
          <t>STOCKHOLMS LÄN</t>
        </is>
      </c>
      <c r="E956" t="inlineStr">
        <is>
          <t>NORRTÄLJE</t>
        </is>
      </c>
      <c r="G956" t="n">
        <v>1.6</v>
      </c>
      <c r="H956" t="n">
        <v>0</v>
      </c>
      <c r="I956" t="n">
        <v>0</v>
      </c>
      <c r="J956" t="n">
        <v>0</v>
      </c>
      <c r="K956" t="n">
        <v>0</v>
      </c>
      <c r="L956" t="n">
        <v>0</v>
      </c>
      <c r="M956" t="n">
        <v>0</v>
      </c>
      <c r="N956" t="n">
        <v>0</v>
      </c>
      <c r="O956" t="n">
        <v>0</v>
      </c>
      <c r="P956" t="n">
        <v>0</v>
      </c>
      <c r="Q956" t="n">
        <v>0</v>
      </c>
      <c r="R956" s="2" t="inlineStr"/>
    </row>
    <row r="957" ht="15" customHeight="1">
      <c r="A957" t="inlineStr">
        <is>
          <t>A 6070-2022</t>
        </is>
      </c>
      <c r="B957" s="1" t="n">
        <v>44599.58428240741</v>
      </c>
      <c r="C957" s="1" t="n">
        <v>46140</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10553-2026</t>
        </is>
      </c>
      <c r="B958" s="1" t="n">
        <v>46077.62944444444</v>
      </c>
      <c r="C958" s="1" t="n">
        <v>46140</v>
      </c>
      <c r="D958" t="inlineStr">
        <is>
          <t>STOCKHOLMS LÄN</t>
        </is>
      </c>
      <c r="E958" t="inlineStr">
        <is>
          <t>NORRTÄLJE</t>
        </is>
      </c>
      <c r="G958" t="n">
        <v>4.9</v>
      </c>
      <c r="H958" t="n">
        <v>0</v>
      </c>
      <c r="I958" t="n">
        <v>0</v>
      </c>
      <c r="J958" t="n">
        <v>0</v>
      </c>
      <c r="K958" t="n">
        <v>0</v>
      </c>
      <c r="L958" t="n">
        <v>0</v>
      </c>
      <c r="M958" t="n">
        <v>0</v>
      </c>
      <c r="N958" t="n">
        <v>0</v>
      </c>
      <c r="O958" t="n">
        <v>0</v>
      </c>
      <c r="P958" t="n">
        <v>0</v>
      </c>
      <c r="Q958" t="n">
        <v>0</v>
      </c>
      <c r="R958" s="2" t="inlineStr"/>
    </row>
    <row r="959" ht="15" customHeight="1">
      <c r="A959" t="inlineStr">
        <is>
          <t>A 9130-2025</t>
        </is>
      </c>
      <c r="B959" s="1" t="n">
        <v>45713.92623842593</v>
      </c>
      <c r="C959" s="1" t="n">
        <v>46140</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27828-2022</t>
        </is>
      </c>
      <c r="B960" s="1" t="n">
        <v>44743.59765046297</v>
      </c>
      <c r="C960" s="1" t="n">
        <v>46140</v>
      </c>
      <c r="D960" t="inlineStr">
        <is>
          <t>STOCKHOLMS LÄN</t>
        </is>
      </c>
      <c r="E960" t="inlineStr">
        <is>
          <t>NORRTÄLJE</t>
        </is>
      </c>
      <c r="F960" t="inlineStr">
        <is>
          <t>Kommuner</t>
        </is>
      </c>
      <c r="G960" t="n">
        <v>1.6</v>
      </c>
      <c r="H960" t="n">
        <v>0</v>
      </c>
      <c r="I960" t="n">
        <v>0</v>
      </c>
      <c r="J960" t="n">
        <v>0</v>
      </c>
      <c r="K960" t="n">
        <v>0</v>
      </c>
      <c r="L960" t="n">
        <v>0</v>
      </c>
      <c r="M960" t="n">
        <v>0</v>
      </c>
      <c r="N960" t="n">
        <v>0</v>
      </c>
      <c r="O960" t="n">
        <v>0</v>
      </c>
      <c r="P960" t="n">
        <v>0</v>
      </c>
      <c r="Q960" t="n">
        <v>0</v>
      </c>
      <c r="R960" s="2" t="inlineStr"/>
    </row>
    <row r="961" ht="15" customHeight="1">
      <c r="A961" t="inlineStr">
        <is>
          <t>A 59873-2024</t>
        </is>
      </c>
      <c r="B961" s="1" t="n">
        <v>45640.57305555556</v>
      </c>
      <c r="C961" s="1" t="n">
        <v>46140</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17209-2026</t>
        </is>
      </c>
      <c r="B962" s="1" t="n">
        <v>46119.33341435185</v>
      </c>
      <c r="C962" s="1" t="n">
        <v>46140</v>
      </c>
      <c r="D962" t="inlineStr">
        <is>
          <t>STOCKHOLMS LÄN</t>
        </is>
      </c>
      <c r="E962" t="inlineStr">
        <is>
          <t>NORRTÄLJE</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22412-2021</t>
        </is>
      </c>
      <c r="B963" s="1" t="n">
        <v>44326.61967592593</v>
      </c>
      <c r="C963" s="1" t="n">
        <v>46140</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48161-2022</t>
        </is>
      </c>
      <c r="B964" s="1" t="n">
        <v>44858</v>
      </c>
      <c r="C964" s="1" t="n">
        <v>46140</v>
      </c>
      <c r="D964" t="inlineStr">
        <is>
          <t>STOCKHOLMS LÄN</t>
        </is>
      </c>
      <c r="E964" t="inlineStr">
        <is>
          <t>NORRTÄLJE</t>
        </is>
      </c>
      <c r="G964" t="n">
        <v>0.9</v>
      </c>
      <c r="H964" t="n">
        <v>0</v>
      </c>
      <c r="I964" t="n">
        <v>0</v>
      </c>
      <c r="J964" t="n">
        <v>0</v>
      </c>
      <c r="K964" t="n">
        <v>0</v>
      </c>
      <c r="L964" t="n">
        <v>0</v>
      </c>
      <c r="M964" t="n">
        <v>0</v>
      </c>
      <c r="N964" t="n">
        <v>0</v>
      </c>
      <c r="O964" t="n">
        <v>0</v>
      </c>
      <c r="P964" t="n">
        <v>0</v>
      </c>
      <c r="Q964" t="n">
        <v>0</v>
      </c>
      <c r="R964" s="2" t="inlineStr"/>
    </row>
    <row r="965" ht="15" customHeight="1">
      <c r="A965" t="inlineStr">
        <is>
          <t>A 43150-2023</t>
        </is>
      </c>
      <c r="B965" s="1" t="n">
        <v>45183</v>
      </c>
      <c r="C965" s="1" t="n">
        <v>46140</v>
      </c>
      <c r="D965" t="inlineStr">
        <is>
          <t>STOCKHOLMS LÄN</t>
        </is>
      </c>
      <c r="E965" t="inlineStr">
        <is>
          <t>NORRTÄLJE</t>
        </is>
      </c>
      <c r="G965" t="n">
        <v>2.4</v>
      </c>
      <c r="H965" t="n">
        <v>0</v>
      </c>
      <c r="I965" t="n">
        <v>0</v>
      </c>
      <c r="J965" t="n">
        <v>0</v>
      </c>
      <c r="K965" t="n">
        <v>0</v>
      </c>
      <c r="L965" t="n">
        <v>0</v>
      </c>
      <c r="M965" t="n">
        <v>0</v>
      </c>
      <c r="N965" t="n">
        <v>0</v>
      </c>
      <c r="O965" t="n">
        <v>0</v>
      </c>
      <c r="P965" t="n">
        <v>0</v>
      </c>
      <c r="Q965" t="n">
        <v>0</v>
      </c>
      <c r="R965" s="2" t="inlineStr"/>
    </row>
    <row r="966" ht="15" customHeight="1">
      <c r="A966" t="inlineStr">
        <is>
          <t>A 59534-2024</t>
        </is>
      </c>
      <c r="B966" s="1" t="n">
        <v>45638.5987037037</v>
      </c>
      <c r="C966" s="1" t="n">
        <v>46140</v>
      </c>
      <c r="D966" t="inlineStr">
        <is>
          <t>STOCKHOLMS LÄN</t>
        </is>
      </c>
      <c r="E966" t="inlineStr">
        <is>
          <t>NORRTÄLJE</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23307-2024</t>
        </is>
      </c>
      <c r="B967" s="1" t="n">
        <v>45453</v>
      </c>
      <c r="C967" s="1" t="n">
        <v>46140</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19450-2025</t>
        </is>
      </c>
      <c r="B968" s="1" t="n">
        <v>45770</v>
      </c>
      <c r="C968" s="1" t="n">
        <v>46140</v>
      </c>
      <c r="D968" t="inlineStr">
        <is>
          <t>STOCKHOLMS LÄN</t>
        </is>
      </c>
      <c r="E968" t="inlineStr">
        <is>
          <t>NORRTÄLJE</t>
        </is>
      </c>
      <c r="G968" t="n">
        <v>5.3</v>
      </c>
      <c r="H968" t="n">
        <v>0</v>
      </c>
      <c r="I968" t="n">
        <v>0</v>
      </c>
      <c r="J968" t="n">
        <v>0</v>
      </c>
      <c r="K968" t="n">
        <v>0</v>
      </c>
      <c r="L968" t="n">
        <v>0</v>
      </c>
      <c r="M968" t="n">
        <v>0</v>
      </c>
      <c r="N968" t="n">
        <v>0</v>
      </c>
      <c r="O968" t="n">
        <v>0</v>
      </c>
      <c r="P968" t="n">
        <v>0</v>
      </c>
      <c r="Q968" t="n">
        <v>0</v>
      </c>
      <c r="R968" s="2" t="inlineStr"/>
    </row>
    <row r="969" ht="15" customHeight="1">
      <c r="A969" t="inlineStr">
        <is>
          <t>A 2281-2024</t>
        </is>
      </c>
      <c r="B969" s="1" t="n">
        <v>45310.40628472222</v>
      </c>
      <c r="C969" s="1" t="n">
        <v>46140</v>
      </c>
      <c r="D969" t="inlineStr">
        <is>
          <t>STOCKHOLMS LÄN</t>
        </is>
      </c>
      <c r="E969" t="inlineStr">
        <is>
          <t>NORRTÄLJE</t>
        </is>
      </c>
      <c r="G969" t="n">
        <v>2.7</v>
      </c>
      <c r="H969" t="n">
        <v>0</v>
      </c>
      <c r="I969" t="n">
        <v>0</v>
      </c>
      <c r="J969" t="n">
        <v>0</v>
      </c>
      <c r="K969" t="n">
        <v>0</v>
      </c>
      <c r="L969" t="n">
        <v>0</v>
      </c>
      <c r="M969" t="n">
        <v>0</v>
      </c>
      <c r="N969" t="n">
        <v>0</v>
      </c>
      <c r="O969" t="n">
        <v>0</v>
      </c>
      <c r="P969" t="n">
        <v>0</v>
      </c>
      <c r="Q969" t="n">
        <v>0</v>
      </c>
      <c r="R969" s="2" t="inlineStr"/>
    </row>
    <row r="970" ht="15" customHeight="1">
      <c r="A970" t="inlineStr">
        <is>
          <t>A 2287-2024</t>
        </is>
      </c>
      <c r="B970" s="1" t="n">
        <v>45310</v>
      </c>
      <c r="C970" s="1" t="n">
        <v>46140</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17651-2026</t>
        </is>
      </c>
      <c r="B971" s="1" t="n">
        <v>46121.55334490741</v>
      </c>
      <c r="C971" s="1" t="n">
        <v>46140</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20618-2022</t>
        </is>
      </c>
      <c r="B972" s="1" t="n">
        <v>44700.50659722222</v>
      </c>
      <c r="C972" s="1" t="n">
        <v>46140</v>
      </c>
      <c r="D972" t="inlineStr">
        <is>
          <t>STOCKHOLMS LÄN</t>
        </is>
      </c>
      <c r="E972" t="inlineStr">
        <is>
          <t>NORRTÄLJE</t>
        </is>
      </c>
      <c r="G972" t="n">
        <v>1.5</v>
      </c>
      <c r="H972" t="n">
        <v>0</v>
      </c>
      <c r="I972" t="n">
        <v>0</v>
      </c>
      <c r="J972" t="n">
        <v>0</v>
      </c>
      <c r="K972" t="n">
        <v>0</v>
      </c>
      <c r="L972" t="n">
        <v>0</v>
      </c>
      <c r="M972" t="n">
        <v>0</v>
      </c>
      <c r="N972" t="n">
        <v>0</v>
      </c>
      <c r="O972" t="n">
        <v>0</v>
      </c>
      <c r="P972" t="n">
        <v>0</v>
      </c>
      <c r="Q972" t="n">
        <v>0</v>
      </c>
      <c r="R972" s="2" t="inlineStr"/>
    </row>
    <row r="973" ht="15" customHeight="1">
      <c r="A973" t="inlineStr">
        <is>
          <t>A 59504-2023</t>
        </is>
      </c>
      <c r="B973" s="1" t="n">
        <v>45254</v>
      </c>
      <c r="C973" s="1" t="n">
        <v>46140</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10646-2026</t>
        </is>
      </c>
      <c r="B974" s="1" t="n">
        <v>46078.34157407407</v>
      </c>
      <c r="C974" s="1" t="n">
        <v>46140</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25656-2023</t>
        </is>
      </c>
      <c r="B975" s="1" t="n">
        <v>45089</v>
      </c>
      <c r="C975" s="1" t="n">
        <v>46140</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38049-2023</t>
        </is>
      </c>
      <c r="B976" s="1" t="n">
        <v>45159</v>
      </c>
      <c r="C976" s="1" t="n">
        <v>46140</v>
      </c>
      <c r="D976" t="inlineStr">
        <is>
          <t>STOCKHOLMS LÄN</t>
        </is>
      </c>
      <c r="E976" t="inlineStr">
        <is>
          <t>NORRTÄLJE</t>
        </is>
      </c>
      <c r="G976" t="n">
        <v>3.6</v>
      </c>
      <c r="H976" t="n">
        <v>0</v>
      </c>
      <c r="I976" t="n">
        <v>0</v>
      </c>
      <c r="J976" t="n">
        <v>0</v>
      </c>
      <c r="K976" t="n">
        <v>0</v>
      </c>
      <c r="L976" t="n">
        <v>0</v>
      </c>
      <c r="M976" t="n">
        <v>0</v>
      </c>
      <c r="N976" t="n">
        <v>0</v>
      </c>
      <c r="O976" t="n">
        <v>0</v>
      </c>
      <c r="P976" t="n">
        <v>0</v>
      </c>
      <c r="Q976" t="n">
        <v>0</v>
      </c>
      <c r="R976" s="2" t="inlineStr"/>
    </row>
    <row r="977" ht="15" customHeight="1">
      <c r="A977" t="inlineStr">
        <is>
          <t>A 3966-2024</t>
        </is>
      </c>
      <c r="B977" s="1" t="n">
        <v>45322</v>
      </c>
      <c r="C977" s="1" t="n">
        <v>46140</v>
      </c>
      <c r="D977" t="inlineStr">
        <is>
          <t>STOCKHOLMS LÄN</t>
        </is>
      </c>
      <c r="E977" t="inlineStr">
        <is>
          <t>NORRTÄLJE</t>
        </is>
      </c>
      <c r="G977" t="n">
        <v>5.3</v>
      </c>
      <c r="H977" t="n">
        <v>0</v>
      </c>
      <c r="I977" t="n">
        <v>0</v>
      </c>
      <c r="J977" t="n">
        <v>0</v>
      </c>
      <c r="K977" t="n">
        <v>0</v>
      </c>
      <c r="L977" t="n">
        <v>0</v>
      </c>
      <c r="M977" t="n">
        <v>0</v>
      </c>
      <c r="N977" t="n">
        <v>0</v>
      </c>
      <c r="O977" t="n">
        <v>0</v>
      </c>
      <c r="P977" t="n">
        <v>0</v>
      </c>
      <c r="Q977" t="n">
        <v>0</v>
      </c>
      <c r="R977" s="2" t="inlineStr"/>
    </row>
    <row r="978" ht="15" customHeight="1">
      <c r="A978" t="inlineStr">
        <is>
          <t>A 17348-2024</t>
        </is>
      </c>
      <c r="B978" s="1" t="n">
        <v>45414.58650462963</v>
      </c>
      <c r="C978" s="1" t="n">
        <v>46140</v>
      </c>
      <c r="D978" t="inlineStr">
        <is>
          <t>STOCKHOLMS LÄN</t>
        </is>
      </c>
      <c r="E978" t="inlineStr">
        <is>
          <t>NORRTÄLJE</t>
        </is>
      </c>
      <c r="G978" t="n">
        <v>2.3</v>
      </c>
      <c r="H978" t="n">
        <v>0</v>
      </c>
      <c r="I978" t="n">
        <v>0</v>
      </c>
      <c r="J978" t="n">
        <v>0</v>
      </c>
      <c r="K978" t="n">
        <v>0</v>
      </c>
      <c r="L978" t="n">
        <v>0</v>
      </c>
      <c r="M978" t="n">
        <v>0</v>
      </c>
      <c r="N978" t="n">
        <v>0</v>
      </c>
      <c r="O978" t="n">
        <v>0</v>
      </c>
      <c r="P978" t="n">
        <v>0</v>
      </c>
      <c r="Q978" t="n">
        <v>0</v>
      </c>
      <c r="R978" s="2" t="inlineStr"/>
    </row>
    <row r="979" ht="15" customHeight="1">
      <c r="A979" t="inlineStr">
        <is>
          <t>A 38591-2023</t>
        </is>
      </c>
      <c r="B979" s="1" t="n">
        <v>45162</v>
      </c>
      <c r="C979" s="1" t="n">
        <v>46140</v>
      </c>
      <c r="D979" t="inlineStr">
        <is>
          <t>STOCKHOLMS LÄN</t>
        </is>
      </c>
      <c r="E979" t="inlineStr">
        <is>
          <t>NORRTÄLJE</t>
        </is>
      </c>
      <c r="F979" t="inlineStr">
        <is>
          <t>Övriga Aktiebolag</t>
        </is>
      </c>
      <c r="G979" t="n">
        <v>3.1</v>
      </c>
      <c r="H979" t="n">
        <v>0</v>
      </c>
      <c r="I979" t="n">
        <v>0</v>
      </c>
      <c r="J979" t="n">
        <v>0</v>
      </c>
      <c r="K979" t="n">
        <v>0</v>
      </c>
      <c r="L979" t="n">
        <v>0</v>
      </c>
      <c r="M979" t="n">
        <v>0</v>
      </c>
      <c r="N979" t="n">
        <v>0</v>
      </c>
      <c r="O979" t="n">
        <v>0</v>
      </c>
      <c r="P979" t="n">
        <v>0</v>
      </c>
      <c r="Q979" t="n">
        <v>0</v>
      </c>
      <c r="R979" s="2" t="inlineStr"/>
    </row>
    <row r="980" ht="15" customHeight="1">
      <c r="A980" t="inlineStr">
        <is>
          <t>A 3273-2025</t>
        </is>
      </c>
      <c r="B980" s="1" t="n">
        <v>45679</v>
      </c>
      <c r="C980" s="1" t="n">
        <v>46140</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34461-2023</t>
        </is>
      </c>
      <c r="B981" s="1" t="n">
        <v>45139</v>
      </c>
      <c r="C981" s="1" t="n">
        <v>46140</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15217-2023</t>
        </is>
      </c>
      <c r="B982" s="1" t="n">
        <v>45019.28847222222</v>
      </c>
      <c r="C982" s="1" t="n">
        <v>46140</v>
      </c>
      <c r="D982" t="inlineStr">
        <is>
          <t>STOCKHOLMS LÄN</t>
        </is>
      </c>
      <c r="E982" t="inlineStr">
        <is>
          <t>NORRTÄLJE</t>
        </is>
      </c>
      <c r="G982" t="n">
        <v>3.6</v>
      </c>
      <c r="H982" t="n">
        <v>0</v>
      </c>
      <c r="I982" t="n">
        <v>0</v>
      </c>
      <c r="J982" t="n">
        <v>0</v>
      </c>
      <c r="K982" t="n">
        <v>0</v>
      </c>
      <c r="L982" t="n">
        <v>0</v>
      </c>
      <c r="M982" t="n">
        <v>0</v>
      </c>
      <c r="N982" t="n">
        <v>0</v>
      </c>
      <c r="O982" t="n">
        <v>0</v>
      </c>
      <c r="P982" t="n">
        <v>0</v>
      </c>
      <c r="Q982" t="n">
        <v>0</v>
      </c>
      <c r="R982" s="2" t="inlineStr"/>
    </row>
    <row r="983" ht="15" customHeight="1">
      <c r="A983" t="inlineStr">
        <is>
          <t>A 24522-2023</t>
        </is>
      </c>
      <c r="B983" s="1" t="n">
        <v>45082.69179398148</v>
      </c>
      <c r="C983" s="1" t="n">
        <v>46140</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29176-2024</t>
        </is>
      </c>
      <c r="B984" s="1" t="n">
        <v>45482.53388888889</v>
      </c>
      <c r="C984" s="1" t="n">
        <v>46140</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4596-2023</t>
        </is>
      </c>
      <c r="B985" s="1" t="n">
        <v>44956</v>
      </c>
      <c r="C985" s="1" t="n">
        <v>46140</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11648-2026</t>
        </is>
      </c>
      <c r="B986" s="1" t="n">
        <v>46084.51575231482</v>
      </c>
      <c r="C986" s="1" t="n">
        <v>46140</v>
      </c>
      <c r="D986" t="inlineStr">
        <is>
          <t>STOCKHOLMS LÄN</t>
        </is>
      </c>
      <c r="E986" t="inlineStr">
        <is>
          <t>NORRTÄLJE</t>
        </is>
      </c>
      <c r="G986" t="n">
        <v>4.1</v>
      </c>
      <c r="H986" t="n">
        <v>0</v>
      </c>
      <c r="I986" t="n">
        <v>0</v>
      </c>
      <c r="J986" t="n">
        <v>0</v>
      </c>
      <c r="K986" t="n">
        <v>0</v>
      </c>
      <c r="L986" t="n">
        <v>0</v>
      </c>
      <c r="M986" t="n">
        <v>0</v>
      </c>
      <c r="N986" t="n">
        <v>0</v>
      </c>
      <c r="O986" t="n">
        <v>0</v>
      </c>
      <c r="P986" t="n">
        <v>0</v>
      </c>
      <c r="Q986" t="n">
        <v>0</v>
      </c>
      <c r="R986" s="2" t="inlineStr"/>
    </row>
    <row r="987" ht="15" customHeight="1">
      <c r="A987" t="inlineStr">
        <is>
          <t>A 4438-2023</t>
        </is>
      </c>
      <c r="B987" s="1" t="n">
        <v>44956</v>
      </c>
      <c r="C987" s="1" t="n">
        <v>46140</v>
      </c>
      <c r="D987" t="inlineStr">
        <is>
          <t>STOCKHOLMS LÄN</t>
        </is>
      </c>
      <c r="E987" t="inlineStr">
        <is>
          <t>NORRTÄLJE</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24727-2023</t>
        </is>
      </c>
      <c r="B988" s="1" t="n">
        <v>45084.57695601852</v>
      </c>
      <c r="C988" s="1" t="n">
        <v>46140</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59904-2023</t>
        </is>
      </c>
      <c r="B989" s="1" t="n">
        <v>45257</v>
      </c>
      <c r="C989" s="1" t="n">
        <v>46140</v>
      </c>
      <c r="D989" t="inlineStr">
        <is>
          <t>STOCKHOLMS LÄN</t>
        </is>
      </c>
      <c r="E989" t="inlineStr">
        <is>
          <t>NORRTÄLJE</t>
        </is>
      </c>
      <c r="G989" t="n">
        <v>17.4</v>
      </c>
      <c r="H989" t="n">
        <v>0</v>
      </c>
      <c r="I989" t="n">
        <v>0</v>
      </c>
      <c r="J989" t="n">
        <v>0</v>
      </c>
      <c r="K989" t="n">
        <v>0</v>
      </c>
      <c r="L989" t="n">
        <v>0</v>
      </c>
      <c r="M989" t="n">
        <v>0</v>
      </c>
      <c r="N989" t="n">
        <v>0</v>
      </c>
      <c r="O989" t="n">
        <v>0</v>
      </c>
      <c r="P989" t="n">
        <v>0</v>
      </c>
      <c r="Q989" t="n">
        <v>0</v>
      </c>
      <c r="R989" s="2" t="inlineStr"/>
    </row>
    <row r="990" ht="15" customHeight="1">
      <c r="A990" t="inlineStr">
        <is>
          <t>A 36308-2022</t>
        </is>
      </c>
      <c r="B990" s="1" t="n">
        <v>44803</v>
      </c>
      <c r="C990" s="1" t="n">
        <v>46140</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12234-2026</t>
        </is>
      </c>
      <c r="B991" s="1" t="n">
        <v>46087.4091087963</v>
      </c>
      <c r="C991" s="1" t="n">
        <v>46140</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18787-2022</t>
        </is>
      </c>
      <c r="B992" s="1" t="n">
        <v>44687</v>
      </c>
      <c r="C992" s="1" t="n">
        <v>46140</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19170-2026</t>
        </is>
      </c>
      <c r="B993" s="1" t="n">
        <v>46132.5859837963</v>
      </c>
      <c r="C993" s="1" t="n">
        <v>46140</v>
      </c>
      <c r="D993" t="inlineStr">
        <is>
          <t>STOCKHOLMS LÄN</t>
        </is>
      </c>
      <c r="E993" t="inlineStr">
        <is>
          <t>NORRTÄLJE</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19129-2026</t>
        </is>
      </c>
      <c r="B994" s="1" t="n">
        <v>46132.48601851852</v>
      </c>
      <c r="C994" s="1" t="n">
        <v>46140</v>
      </c>
      <c r="D994" t="inlineStr">
        <is>
          <t>STOCKHOLMS LÄN</t>
        </is>
      </c>
      <c r="E994" t="inlineStr">
        <is>
          <t>NORRTÄLJE</t>
        </is>
      </c>
      <c r="G994" t="n">
        <v>1.7</v>
      </c>
      <c r="H994" t="n">
        <v>0</v>
      </c>
      <c r="I994" t="n">
        <v>0</v>
      </c>
      <c r="J994" t="n">
        <v>0</v>
      </c>
      <c r="K994" t="n">
        <v>0</v>
      </c>
      <c r="L994" t="n">
        <v>0</v>
      </c>
      <c r="M994" t="n">
        <v>0</v>
      </c>
      <c r="N994" t="n">
        <v>0</v>
      </c>
      <c r="O994" t="n">
        <v>0</v>
      </c>
      <c r="P994" t="n">
        <v>0</v>
      </c>
      <c r="Q994" t="n">
        <v>0</v>
      </c>
      <c r="R994" s="2" t="inlineStr"/>
    </row>
    <row r="995" ht="15" customHeight="1">
      <c r="A995" t="inlineStr">
        <is>
          <t>A 12718-2026</t>
        </is>
      </c>
      <c r="B995" s="1" t="n">
        <v>46091.60412037037</v>
      </c>
      <c r="C995" s="1" t="n">
        <v>46140</v>
      </c>
      <c r="D995" t="inlineStr">
        <is>
          <t>STOCKHOLMS LÄN</t>
        </is>
      </c>
      <c r="E995" t="inlineStr">
        <is>
          <t>NORRTÄLJE</t>
        </is>
      </c>
      <c r="F995" t="inlineStr">
        <is>
          <t>Holmen skog AB</t>
        </is>
      </c>
      <c r="G995" t="n">
        <v>1</v>
      </c>
      <c r="H995" t="n">
        <v>0</v>
      </c>
      <c r="I995" t="n">
        <v>0</v>
      </c>
      <c r="J995" t="n">
        <v>0</v>
      </c>
      <c r="K995" t="n">
        <v>0</v>
      </c>
      <c r="L995" t="n">
        <v>0</v>
      </c>
      <c r="M995" t="n">
        <v>0</v>
      </c>
      <c r="N995" t="n">
        <v>0</v>
      </c>
      <c r="O995" t="n">
        <v>0</v>
      </c>
      <c r="P995" t="n">
        <v>0</v>
      </c>
      <c r="Q995" t="n">
        <v>0</v>
      </c>
      <c r="R995" s="2" t="inlineStr"/>
    </row>
    <row r="996" ht="15" customHeight="1">
      <c r="A996" t="inlineStr">
        <is>
          <t>A 50108-2021</t>
        </is>
      </c>
      <c r="B996" s="1" t="n">
        <v>44456</v>
      </c>
      <c r="C996" s="1" t="n">
        <v>46140</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19352-2026</t>
        </is>
      </c>
      <c r="B997" s="1" t="n">
        <v>46133.47344907407</v>
      </c>
      <c r="C997" s="1" t="n">
        <v>46140</v>
      </c>
      <c r="D997" t="inlineStr">
        <is>
          <t>STOCKHOLMS LÄN</t>
        </is>
      </c>
      <c r="E997" t="inlineStr">
        <is>
          <t>NORRTÄLJE</t>
        </is>
      </c>
      <c r="G997" t="n">
        <v>5.5</v>
      </c>
      <c r="H997" t="n">
        <v>0</v>
      </c>
      <c r="I997" t="n">
        <v>0</v>
      </c>
      <c r="J997" t="n">
        <v>0</v>
      </c>
      <c r="K997" t="n">
        <v>0</v>
      </c>
      <c r="L997" t="n">
        <v>0</v>
      </c>
      <c r="M997" t="n">
        <v>0</v>
      </c>
      <c r="N997" t="n">
        <v>0</v>
      </c>
      <c r="O997" t="n">
        <v>0</v>
      </c>
      <c r="P997" t="n">
        <v>0</v>
      </c>
      <c r="Q997" t="n">
        <v>0</v>
      </c>
      <c r="R997" s="2" t="inlineStr"/>
    </row>
    <row r="998" ht="15" customHeight="1">
      <c r="A998" t="inlineStr">
        <is>
          <t>A 12703-2026</t>
        </is>
      </c>
      <c r="B998" s="1" t="n">
        <v>46091.58175925926</v>
      </c>
      <c r="C998" s="1" t="n">
        <v>46140</v>
      </c>
      <c r="D998" t="inlineStr">
        <is>
          <t>STOCKHOLMS LÄN</t>
        </is>
      </c>
      <c r="E998" t="inlineStr">
        <is>
          <t>NORRTÄLJE</t>
        </is>
      </c>
      <c r="G998" t="n">
        <v>1.8</v>
      </c>
      <c r="H998" t="n">
        <v>0</v>
      </c>
      <c r="I998" t="n">
        <v>0</v>
      </c>
      <c r="J998" t="n">
        <v>0</v>
      </c>
      <c r="K998" t="n">
        <v>0</v>
      </c>
      <c r="L998" t="n">
        <v>0</v>
      </c>
      <c r="M998" t="n">
        <v>0</v>
      </c>
      <c r="N998" t="n">
        <v>0</v>
      </c>
      <c r="O998" t="n">
        <v>0</v>
      </c>
      <c r="P998" t="n">
        <v>0</v>
      </c>
      <c r="Q998" t="n">
        <v>0</v>
      </c>
      <c r="R998" s="2" t="inlineStr"/>
    </row>
    <row r="999" ht="15" customHeight="1">
      <c r="A999" t="inlineStr">
        <is>
          <t>A 19358-2026</t>
        </is>
      </c>
      <c r="B999" s="1" t="n">
        <v>46133.4978125</v>
      </c>
      <c r="C999" s="1" t="n">
        <v>46140</v>
      </c>
      <c r="D999" t="inlineStr">
        <is>
          <t>STOCKHOLMS LÄN</t>
        </is>
      </c>
      <c r="E999" t="inlineStr">
        <is>
          <t>NORRTÄLJE</t>
        </is>
      </c>
      <c r="G999" t="n">
        <v>0.5</v>
      </c>
      <c r="H999" t="n">
        <v>0</v>
      </c>
      <c r="I999" t="n">
        <v>0</v>
      </c>
      <c r="J999" t="n">
        <v>0</v>
      </c>
      <c r="K999" t="n">
        <v>0</v>
      </c>
      <c r="L999" t="n">
        <v>0</v>
      </c>
      <c r="M999" t="n">
        <v>0</v>
      </c>
      <c r="N999" t="n">
        <v>0</v>
      </c>
      <c r="O999" t="n">
        <v>0</v>
      </c>
      <c r="P999" t="n">
        <v>0</v>
      </c>
      <c r="Q999" t="n">
        <v>0</v>
      </c>
      <c r="R999" s="2" t="inlineStr"/>
    </row>
    <row r="1000" ht="15" customHeight="1">
      <c r="A1000" t="inlineStr">
        <is>
          <t>A 25621-2022</t>
        </is>
      </c>
      <c r="B1000" s="1" t="n">
        <v>44732</v>
      </c>
      <c r="C1000" s="1" t="n">
        <v>46140</v>
      </c>
      <c r="D1000" t="inlineStr">
        <is>
          <t>STOCKHOLMS LÄN</t>
        </is>
      </c>
      <c r="E1000" t="inlineStr">
        <is>
          <t>NORRTÄLJE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20304-2023</t>
        </is>
      </c>
      <c r="B1001" s="1" t="n">
        <v>45056</v>
      </c>
      <c r="C1001" s="1" t="n">
        <v>46140</v>
      </c>
      <c r="D1001" t="inlineStr">
        <is>
          <t>STOCKHOLMS LÄN</t>
        </is>
      </c>
      <c r="E1001" t="inlineStr">
        <is>
          <t>NORRTÄLJE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35235-2024</t>
        </is>
      </c>
      <c r="B1002" s="1" t="n">
        <v>45530</v>
      </c>
      <c r="C1002" s="1" t="n">
        <v>46140</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51061-2023</t>
        </is>
      </c>
      <c r="B1003" s="1" t="n">
        <v>45218.65849537037</v>
      </c>
      <c r="C1003" s="1" t="n">
        <v>46140</v>
      </c>
      <c r="D1003" t="inlineStr">
        <is>
          <t>STOCKHOLMS LÄN</t>
        </is>
      </c>
      <c r="E1003" t="inlineStr">
        <is>
          <t>NORRTÄLJE</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39213-2022</t>
        </is>
      </c>
      <c r="B1004" s="1" t="n">
        <v>44817.56120370371</v>
      </c>
      <c r="C1004" s="1" t="n">
        <v>46140</v>
      </c>
      <c r="D1004" t="inlineStr">
        <is>
          <t>STOCKHOLMS LÄN</t>
        </is>
      </c>
      <c r="E1004" t="inlineStr">
        <is>
          <t>NORRTÄLJE</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36246-2021</t>
        </is>
      </c>
      <c r="B1005" s="1" t="n">
        <v>44390</v>
      </c>
      <c r="C1005" s="1" t="n">
        <v>46140</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13122-2026</t>
        </is>
      </c>
      <c r="B1006" s="1" t="n">
        <v>46093.45657407407</v>
      </c>
      <c r="C1006" s="1" t="n">
        <v>46140</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15905-2023</t>
        </is>
      </c>
      <c r="B1007" s="1" t="n">
        <v>45022</v>
      </c>
      <c r="C1007" s="1" t="n">
        <v>46140</v>
      </c>
      <c r="D1007" t="inlineStr">
        <is>
          <t>STOCKHOLMS LÄN</t>
        </is>
      </c>
      <c r="E1007" t="inlineStr">
        <is>
          <t>NORRTÄLJE</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11041-2025</t>
        </is>
      </c>
      <c r="B1008" s="1" t="n">
        <v>45723</v>
      </c>
      <c r="C1008" s="1" t="n">
        <v>46140</v>
      </c>
      <c r="D1008" t="inlineStr">
        <is>
          <t>STOCKHOLMS LÄN</t>
        </is>
      </c>
      <c r="E1008" t="inlineStr">
        <is>
          <t>NORRTÄLJE</t>
        </is>
      </c>
      <c r="F1008" t="inlineStr">
        <is>
          <t>Övriga Aktiebolag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14937-2026</t>
        </is>
      </c>
      <c r="B1009" s="1" t="n">
        <v>46104</v>
      </c>
      <c r="C1009" s="1" t="n">
        <v>46140</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17347-2026</t>
        </is>
      </c>
      <c r="B1010" s="1" t="n">
        <v>46119</v>
      </c>
      <c r="C1010" s="1" t="n">
        <v>46140</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13109-2026</t>
        </is>
      </c>
      <c r="B1011" s="1" t="n">
        <v>46093.42730324074</v>
      </c>
      <c r="C1011" s="1" t="n">
        <v>46140</v>
      </c>
      <c r="D1011" t="inlineStr">
        <is>
          <t>STOCKHOLMS LÄN</t>
        </is>
      </c>
      <c r="E1011" t="inlineStr">
        <is>
          <t>NORRTÄLJE</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44917-2022</t>
        </is>
      </c>
      <c r="B1012" s="1" t="n">
        <v>44841.52804398148</v>
      </c>
      <c r="C1012" s="1" t="n">
        <v>46140</v>
      </c>
      <c r="D1012" t="inlineStr">
        <is>
          <t>STOCKHOLMS LÄN</t>
        </is>
      </c>
      <c r="E1012" t="inlineStr">
        <is>
          <t>NORRTÄLJE</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17345-2026</t>
        </is>
      </c>
      <c r="B1013" s="1" t="n">
        <v>46119</v>
      </c>
      <c r="C1013" s="1" t="n">
        <v>46140</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33173-2024</t>
        </is>
      </c>
      <c r="B1014" s="1" t="n">
        <v>45518</v>
      </c>
      <c r="C1014" s="1" t="n">
        <v>46140</v>
      </c>
      <c r="D1014" t="inlineStr">
        <is>
          <t>STOCKHOLMS LÄN</t>
        </is>
      </c>
      <c r="E1014" t="inlineStr">
        <is>
          <t>NORRTÄLJE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17551-2025</t>
        </is>
      </c>
      <c r="B1015" s="1" t="n">
        <v>45757.61421296297</v>
      </c>
      <c r="C1015" s="1" t="n">
        <v>46140</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19688-2026</t>
        </is>
      </c>
      <c r="B1016" s="1" t="n">
        <v>46134.67685185185</v>
      </c>
      <c r="C1016" s="1" t="n">
        <v>46140</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13204-2026</t>
        </is>
      </c>
      <c r="B1017" s="1" t="n">
        <v>46093.60788194444</v>
      </c>
      <c r="C1017" s="1" t="n">
        <v>46140</v>
      </c>
      <c r="D1017" t="inlineStr">
        <is>
          <t>STOCKHOLMS LÄN</t>
        </is>
      </c>
      <c r="E1017" t="inlineStr">
        <is>
          <t>NORRTÄLJE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10678-2025</t>
        </is>
      </c>
      <c r="B1018" s="1" t="n">
        <v>45721.89123842592</v>
      </c>
      <c r="C1018" s="1" t="n">
        <v>46140</v>
      </c>
      <c r="D1018" t="inlineStr">
        <is>
          <t>STOCKHOLMS LÄN</t>
        </is>
      </c>
      <c r="E1018" t="inlineStr">
        <is>
          <t>NORRTÄLJE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8370-2025</t>
        </is>
      </c>
      <c r="B1019" s="1" t="n">
        <v>45708</v>
      </c>
      <c r="C1019" s="1" t="n">
        <v>46140</v>
      </c>
      <c r="D1019" t="inlineStr">
        <is>
          <t>STOCKHOLMS LÄN</t>
        </is>
      </c>
      <c r="E1019" t="inlineStr">
        <is>
          <t>NORRTÄLJE</t>
        </is>
      </c>
      <c r="F1019" t="inlineStr">
        <is>
          <t>Övriga Aktiebolag</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19759-2026</t>
        </is>
      </c>
      <c r="B1020" s="1" t="n">
        <v>46135.41234953704</v>
      </c>
      <c r="C1020" s="1" t="n">
        <v>46140</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951-2023</t>
        </is>
      </c>
      <c r="B1021" s="1" t="n">
        <v>44934</v>
      </c>
      <c r="C1021" s="1" t="n">
        <v>46140</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32100-2022</t>
        </is>
      </c>
      <c r="B1022" s="1" t="n">
        <v>44778</v>
      </c>
      <c r="C1022" s="1" t="n">
        <v>46140</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13544-2026</t>
        </is>
      </c>
      <c r="B1023" s="1" t="n">
        <v>46094.68538194444</v>
      </c>
      <c r="C1023" s="1" t="n">
        <v>46140</v>
      </c>
      <c r="D1023" t="inlineStr">
        <is>
          <t>STOCKHOLMS LÄN</t>
        </is>
      </c>
      <c r="E1023" t="inlineStr">
        <is>
          <t>NORRTÄLJE</t>
        </is>
      </c>
      <c r="F1023" t="inlineStr">
        <is>
          <t>Holmen skog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2888-2022</t>
        </is>
      </c>
      <c r="B1024" s="1" t="n">
        <v>44581</v>
      </c>
      <c r="C1024" s="1" t="n">
        <v>46140</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13545-2026</t>
        </is>
      </c>
      <c r="B1025" s="1" t="n">
        <v>46094.6911574074</v>
      </c>
      <c r="C1025" s="1" t="n">
        <v>46140</v>
      </c>
      <c r="D1025" t="inlineStr">
        <is>
          <t>STOCKHOLMS LÄN</t>
        </is>
      </c>
      <c r="E1025" t="inlineStr">
        <is>
          <t>NORRTÄLJE</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11902-2024</t>
        </is>
      </c>
      <c r="B1026" s="1" t="n">
        <v>45376.55704861111</v>
      </c>
      <c r="C1026" s="1" t="n">
        <v>46140</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13-2024</t>
        </is>
      </c>
      <c r="B1027" s="1" t="n">
        <v>45293.37263888889</v>
      </c>
      <c r="C1027" s="1" t="n">
        <v>46140</v>
      </c>
      <c r="D1027" t="inlineStr">
        <is>
          <t>STOCKHOLMS LÄN</t>
        </is>
      </c>
      <c r="E1027" t="inlineStr">
        <is>
          <t>NORRTÄLJE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58260-2023</t>
        </is>
      </c>
      <c r="B1028" s="1" t="n">
        <v>45245</v>
      </c>
      <c r="C1028" s="1" t="n">
        <v>46140</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58261-2023</t>
        </is>
      </c>
      <c r="B1029" s="1" t="n">
        <v>45245</v>
      </c>
      <c r="C1029" s="1" t="n">
        <v>46140</v>
      </c>
      <c r="D1029" t="inlineStr">
        <is>
          <t>STOCKHOLMS LÄN</t>
        </is>
      </c>
      <c r="E1029" t="inlineStr">
        <is>
          <t>NORRTÄLJE</t>
        </is>
      </c>
      <c r="G1029" t="n">
        <v>53.5</v>
      </c>
      <c r="H1029" t="n">
        <v>0</v>
      </c>
      <c r="I1029" t="n">
        <v>0</v>
      </c>
      <c r="J1029" t="n">
        <v>0</v>
      </c>
      <c r="K1029" t="n">
        <v>0</v>
      </c>
      <c r="L1029" t="n">
        <v>0</v>
      </c>
      <c r="M1029" t="n">
        <v>0</v>
      </c>
      <c r="N1029" t="n">
        <v>0</v>
      </c>
      <c r="O1029" t="n">
        <v>0</v>
      </c>
      <c r="P1029" t="n">
        <v>0</v>
      </c>
      <c r="Q1029" t="n">
        <v>0</v>
      </c>
      <c r="R1029" s="2" t="inlineStr"/>
    </row>
    <row r="1030" ht="15" customHeight="1">
      <c r="A1030" t="inlineStr">
        <is>
          <t>A 4553-2023</t>
        </is>
      </c>
      <c r="B1030" s="1" t="n">
        <v>44956.65920138889</v>
      </c>
      <c r="C1030" s="1" t="n">
        <v>46140</v>
      </c>
      <c r="D1030" t="inlineStr">
        <is>
          <t>STOCKHOLMS LÄN</t>
        </is>
      </c>
      <c r="E1030" t="inlineStr">
        <is>
          <t>NORRTÄLJE</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875-2023</t>
        </is>
      </c>
      <c r="B1031" s="1" t="n">
        <v>44931.65626157408</v>
      </c>
      <c r="C1031" s="1" t="n">
        <v>46140</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24575-2024</t>
        </is>
      </c>
      <c r="B1032" s="1" t="n">
        <v>45460.45523148148</v>
      </c>
      <c r="C1032" s="1" t="n">
        <v>46140</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19-2024</t>
        </is>
      </c>
      <c r="B1033" s="1" t="n">
        <v>45293</v>
      </c>
      <c r="C1033" s="1" t="n">
        <v>46140</v>
      </c>
      <c r="D1033" t="inlineStr">
        <is>
          <t>STOCKHOLMS LÄN</t>
        </is>
      </c>
      <c r="E1033" t="inlineStr">
        <is>
          <t>NORRTÄLJE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11333-2025</t>
        </is>
      </c>
      <c r="B1034" s="1" t="n">
        <v>45726.48377314815</v>
      </c>
      <c r="C1034" s="1" t="n">
        <v>46140</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21529-2021</t>
        </is>
      </c>
      <c r="B1035" s="1" t="n">
        <v>44321</v>
      </c>
      <c r="C1035" s="1" t="n">
        <v>46140</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31827-2023</t>
        </is>
      </c>
      <c r="B1036" s="1" t="n">
        <v>45118</v>
      </c>
      <c r="C1036" s="1" t="n">
        <v>46140</v>
      </c>
      <c r="D1036" t="inlineStr">
        <is>
          <t>STOCKHOLMS LÄN</t>
        </is>
      </c>
      <c r="E1036" t="inlineStr">
        <is>
          <t>NORRTÄLJE</t>
        </is>
      </c>
      <c r="F1036" t="inlineStr">
        <is>
          <t>Kyrkan</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13546-2026</t>
        </is>
      </c>
      <c r="B1037" s="1" t="n">
        <v>46094.69196759259</v>
      </c>
      <c r="C1037" s="1" t="n">
        <v>46140</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59477-2025</t>
        </is>
      </c>
      <c r="B1038" s="1" t="n">
        <v>45989.58679398148</v>
      </c>
      <c r="C1038" s="1" t="n">
        <v>46140</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10973-2025</t>
        </is>
      </c>
      <c r="B1039" s="1" t="n">
        <v>45723</v>
      </c>
      <c r="C1039" s="1" t="n">
        <v>46140</v>
      </c>
      <c r="D1039" t="inlineStr">
        <is>
          <t>STOCKHOLMS LÄN</t>
        </is>
      </c>
      <c r="E1039" t="inlineStr">
        <is>
          <t>NORRTÄLJE</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54496-2024</t>
        </is>
      </c>
      <c r="B1040" s="1" t="n">
        <v>45617.57439814815</v>
      </c>
      <c r="C1040" s="1" t="n">
        <v>46140</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7796-2025</t>
        </is>
      </c>
      <c r="B1041" s="1" t="n">
        <v>45706.60130787037</v>
      </c>
      <c r="C1041" s="1" t="n">
        <v>46140</v>
      </c>
      <c r="D1041" t="inlineStr">
        <is>
          <t>STOCKHOLMS LÄN</t>
        </is>
      </c>
      <c r="E1041" t="inlineStr">
        <is>
          <t>NORRTÄLJE</t>
        </is>
      </c>
      <c r="F1041" t="inlineStr">
        <is>
          <t>Holmen skog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59767-2022</t>
        </is>
      </c>
      <c r="B1042" s="1" t="n">
        <v>44900</v>
      </c>
      <c r="C1042" s="1" t="n">
        <v>46140</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22756-2022</t>
        </is>
      </c>
      <c r="B1043" s="1" t="n">
        <v>44714.92253472222</v>
      </c>
      <c r="C1043" s="1" t="n">
        <v>46140</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58311-2023</t>
        </is>
      </c>
      <c r="B1044" s="1" t="n">
        <v>45245</v>
      </c>
      <c r="C1044" s="1" t="n">
        <v>46140</v>
      </c>
      <c r="D1044" t="inlineStr">
        <is>
          <t>STOCKHOLMS LÄN</t>
        </is>
      </c>
      <c r="E1044" t="inlineStr">
        <is>
          <t>NORRTÄLJE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8739-2024</t>
        </is>
      </c>
      <c r="B1045" s="1" t="n">
        <v>45356.47784722222</v>
      </c>
      <c r="C1045" s="1" t="n">
        <v>46140</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26640-2023</t>
        </is>
      </c>
      <c r="B1046" s="1" t="n">
        <v>45092</v>
      </c>
      <c r="C1046" s="1" t="n">
        <v>46140</v>
      </c>
      <c r="D1046" t="inlineStr">
        <is>
          <t>STOCKHOLMS LÄN</t>
        </is>
      </c>
      <c r="E1046" t="inlineStr">
        <is>
          <t>NORRTÄLJE</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62765-2022</t>
        </is>
      </c>
      <c r="B1047" s="1" t="n">
        <v>44637</v>
      </c>
      <c r="C1047" s="1" t="n">
        <v>46140</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38990-2022</t>
        </is>
      </c>
      <c r="B1048" s="1" t="n">
        <v>44816</v>
      </c>
      <c r="C1048" s="1" t="n">
        <v>46140</v>
      </c>
      <c r="D1048" t="inlineStr">
        <is>
          <t>STOCKHOLMS LÄN</t>
        </is>
      </c>
      <c r="E1048" t="inlineStr">
        <is>
          <t>NORRTÄLJE</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17545-2025</t>
        </is>
      </c>
      <c r="B1049" s="1" t="n">
        <v>45757.60658564815</v>
      </c>
      <c r="C1049" s="1" t="n">
        <v>46140</v>
      </c>
      <c r="D1049" t="inlineStr">
        <is>
          <t>STOCKHOLMS LÄN</t>
        </is>
      </c>
      <c r="E1049" t="inlineStr">
        <is>
          <t>NORRTÄLJE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17956-2025</t>
        </is>
      </c>
      <c r="B1050" s="1" t="n">
        <v>45760.91174768518</v>
      </c>
      <c r="C1050" s="1" t="n">
        <v>46140</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23265-2023</t>
        </is>
      </c>
      <c r="B1051" s="1" t="n">
        <v>45075.90703703704</v>
      </c>
      <c r="C1051" s="1" t="n">
        <v>46140</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30268-2024</t>
        </is>
      </c>
      <c r="B1052" s="1" t="n">
        <v>45490.60572916667</v>
      </c>
      <c r="C1052" s="1" t="n">
        <v>46140</v>
      </c>
      <c r="D1052" t="inlineStr">
        <is>
          <t>STOCKHOLMS LÄN</t>
        </is>
      </c>
      <c r="E1052" t="inlineStr">
        <is>
          <t>NORRTÄLJE</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59535-2024</t>
        </is>
      </c>
      <c r="B1053" s="1" t="n">
        <v>45638.59979166667</v>
      </c>
      <c r="C1053" s="1" t="n">
        <v>46140</v>
      </c>
      <c r="D1053" t="inlineStr">
        <is>
          <t>STOCKHOLMS LÄN</t>
        </is>
      </c>
      <c r="E1053" t="inlineStr">
        <is>
          <t>NORRTÄLJE</t>
        </is>
      </c>
      <c r="F1053" t="inlineStr">
        <is>
          <t>Holmen skog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9246-2024</t>
        </is>
      </c>
      <c r="B1054" s="1" t="n">
        <v>45357</v>
      </c>
      <c r="C1054" s="1" t="n">
        <v>46140</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20852-2023</t>
        </is>
      </c>
      <c r="B1055" s="1" t="n">
        <v>45058.78607638889</v>
      </c>
      <c r="C1055" s="1" t="n">
        <v>46140</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50355-2024</t>
        </is>
      </c>
      <c r="B1056" s="1" t="n">
        <v>45600.86128472222</v>
      </c>
      <c r="C1056" s="1" t="n">
        <v>46140</v>
      </c>
      <c r="D1056" t="inlineStr">
        <is>
          <t>STOCKHOLMS LÄN</t>
        </is>
      </c>
      <c r="E1056" t="inlineStr">
        <is>
          <t>NORRTÄLJE</t>
        </is>
      </c>
      <c r="F1056" t="inlineStr">
        <is>
          <t>Kommuner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60694-2024</t>
        </is>
      </c>
      <c r="B1057" s="1" t="n">
        <v>45644.47878472223</v>
      </c>
      <c r="C1057" s="1" t="n">
        <v>46140</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25094-2023</t>
        </is>
      </c>
      <c r="B1058" s="1" t="n">
        <v>45086.3629050926</v>
      </c>
      <c r="C1058" s="1" t="n">
        <v>46140</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59276-2023</t>
        </is>
      </c>
      <c r="B1059" s="1" t="n">
        <v>45253.55641203704</v>
      </c>
      <c r="C1059" s="1" t="n">
        <v>46140</v>
      </c>
      <c r="D1059" t="inlineStr">
        <is>
          <t>STOCKHOLMS LÄN</t>
        </is>
      </c>
      <c r="E1059" t="inlineStr">
        <is>
          <t>NORRTÄLJE</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13767-2025</t>
        </is>
      </c>
      <c r="B1060" s="1" t="n">
        <v>45737.43347222222</v>
      </c>
      <c r="C1060" s="1" t="n">
        <v>46140</v>
      </c>
      <c r="D1060" t="inlineStr">
        <is>
          <t>STOCKHOLMS LÄN</t>
        </is>
      </c>
      <c r="E1060" t="inlineStr">
        <is>
          <t>NORRTÄLJE</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41587-2023</t>
        </is>
      </c>
      <c r="B1061" s="1" t="n">
        <v>45175</v>
      </c>
      <c r="C1061" s="1" t="n">
        <v>46140</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27381-2024</t>
        </is>
      </c>
      <c r="B1062" s="1" t="n">
        <v>45473.94501157408</v>
      </c>
      <c r="C1062" s="1" t="n">
        <v>46140</v>
      </c>
      <c r="D1062" t="inlineStr">
        <is>
          <t>STOCKHOLMS LÄN</t>
        </is>
      </c>
      <c r="E1062" t="inlineStr">
        <is>
          <t>NORRTÄLJE</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60529-2023</t>
        </is>
      </c>
      <c r="B1063" s="1" t="n">
        <v>45259</v>
      </c>
      <c r="C1063" s="1" t="n">
        <v>46140</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59326-2023</t>
        </is>
      </c>
      <c r="B1064" s="1" t="n">
        <v>45253.63089120371</v>
      </c>
      <c r="C1064" s="1" t="n">
        <v>46140</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20790-2025</t>
        </is>
      </c>
      <c r="B1065" s="1" t="n">
        <v>45776.62563657408</v>
      </c>
      <c r="C1065" s="1" t="n">
        <v>46140</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3152-2024</t>
        </is>
      </c>
      <c r="B1066" s="1" t="n">
        <v>45316.60306712963</v>
      </c>
      <c r="C1066" s="1" t="n">
        <v>46140</v>
      </c>
      <c r="D1066" t="inlineStr">
        <is>
          <t>STOCKHOLMS LÄN</t>
        </is>
      </c>
      <c r="E1066" t="inlineStr">
        <is>
          <t>NORRTÄLJE</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20699-2025</t>
        </is>
      </c>
      <c r="B1067" s="1" t="n">
        <v>45776.47346064815</v>
      </c>
      <c r="C1067" s="1" t="n">
        <v>46140</v>
      </c>
      <c r="D1067" t="inlineStr">
        <is>
          <t>STOCKHOLMS LÄN</t>
        </is>
      </c>
      <c r="E1067" t="inlineStr">
        <is>
          <t>NORRTÄLJE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20779-2025</t>
        </is>
      </c>
      <c r="B1068" s="1" t="n">
        <v>45776.59871527777</v>
      </c>
      <c r="C1068" s="1" t="n">
        <v>46140</v>
      </c>
      <c r="D1068" t="inlineStr">
        <is>
          <t>STOCKHOLMS LÄN</t>
        </is>
      </c>
      <c r="E1068" t="inlineStr">
        <is>
          <t>NORRTÄLJE</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44836-2023</t>
        </is>
      </c>
      <c r="B1069" s="1" t="n">
        <v>45190.55609953704</v>
      </c>
      <c r="C1069" s="1" t="n">
        <v>46140</v>
      </c>
      <c r="D1069" t="inlineStr">
        <is>
          <t>STOCKHOLMS LÄN</t>
        </is>
      </c>
      <c r="E1069" t="inlineStr">
        <is>
          <t>NORRTÄLJE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21771-2025</t>
        </is>
      </c>
      <c r="B1070" s="1" t="n">
        <v>45783</v>
      </c>
      <c r="C1070" s="1" t="n">
        <v>46140</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21778-2025</t>
        </is>
      </c>
      <c r="B1071" s="1" t="n">
        <v>45783.66429398148</v>
      </c>
      <c r="C1071" s="1" t="n">
        <v>46140</v>
      </c>
      <c r="D1071" t="inlineStr">
        <is>
          <t>STOCKHOLMS LÄN</t>
        </is>
      </c>
      <c r="E1071" t="inlineStr">
        <is>
          <t>NORRTÄLJE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12902-2024</t>
        </is>
      </c>
      <c r="B1072" s="1" t="n">
        <v>45385.38146990741</v>
      </c>
      <c r="C1072" s="1" t="n">
        <v>46140</v>
      </c>
      <c r="D1072" t="inlineStr">
        <is>
          <t>STOCKHOLMS LÄN</t>
        </is>
      </c>
      <c r="E1072" t="inlineStr">
        <is>
          <t>NORRTÄLJE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39237-2024</t>
        </is>
      </c>
      <c r="B1073" s="1" t="n">
        <v>45549</v>
      </c>
      <c r="C1073" s="1" t="n">
        <v>46140</v>
      </c>
      <c r="D1073" t="inlineStr">
        <is>
          <t>STOCKHOLMS LÄN</t>
        </is>
      </c>
      <c r="E1073" t="inlineStr">
        <is>
          <t>NORRTÄLJE</t>
        </is>
      </c>
      <c r="G1073" t="n">
        <v>13.3</v>
      </c>
      <c r="H1073" t="n">
        <v>0</v>
      </c>
      <c r="I1073" t="n">
        <v>0</v>
      </c>
      <c r="J1073" t="n">
        <v>0</v>
      </c>
      <c r="K1073" t="n">
        <v>0</v>
      </c>
      <c r="L1073" t="n">
        <v>0</v>
      </c>
      <c r="M1073" t="n">
        <v>0</v>
      </c>
      <c r="N1073" t="n">
        <v>0</v>
      </c>
      <c r="O1073" t="n">
        <v>0</v>
      </c>
      <c r="P1073" t="n">
        <v>0</v>
      </c>
      <c r="Q1073" t="n">
        <v>0</v>
      </c>
      <c r="R1073" s="2" t="inlineStr"/>
    </row>
    <row r="1074" ht="15" customHeight="1">
      <c r="A1074" t="inlineStr">
        <is>
          <t>A 44891-2023</t>
        </is>
      </c>
      <c r="B1074" s="1" t="n">
        <v>45187</v>
      </c>
      <c r="C1074" s="1" t="n">
        <v>46140</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13268-2025</t>
        </is>
      </c>
      <c r="B1075" s="1" t="n">
        <v>45735</v>
      </c>
      <c r="C1075" s="1" t="n">
        <v>46140</v>
      </c>
      <c r="D1075" t="inlineStr">
        <is>
          <t>STOCKHOLMS LÄN</t>
        </is>
      </c>
      <c r="E1075" t="inlineStr">
        <is>
          <t>NORRTÄLJE</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8414-2025</t>
        </is>
      </c>
      <c r="B1076" s="1" t="n">
        <v>45709.39361111111</v>
      </c>
      <c r="C1076" s="1" t="n">
        <v>46140</v>
      </c>
      <c r="D1076" t="inlineStr">
        <is>
          <t>STOCKHOLMS LÄN</t>
        </is>
      </c>
      <c r="E1076" t="inlineStr">
        <is>
          <t>NORRTÄLJE</t>
        </is>
      </c>
      <c r="F1076" t="inlineStr">
        <is>
          <t>Holmen skog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44032-2024</t>
        </is>
      </c>
      <c r="B1077" s="1" t="n">
        <v>45572.57828703704</v>
      </c>
      <c r="C1077" s="1" t="n">
        <v>46140</v>
      </c>
      <c r="D1077" t="inlineStr">
        <is>
          <t>STOCKHOLMS LÄN</t>
        </is>
      </c>
      <c r="E1077" t="inlineStr">
        <is>
          <t>NORRTÄLJE</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24563-2024</t>
        </is>
      </c>
      <c r="B1078" s="1" t="n">
        <v>45460.44347222222</v>
      </c>
      <c r="C1078" s="1" t="n">
        <v>46140</v>
      </c>
      <c r="D1078" t="inlineStr">
        <is>
          <t>STOCKHOLMS LÄN</t>
        </is>
      </c>
      <c r="E1078" t="inlineStr">
        <is>
          <t>NORRTÄLJE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22202-2025</t>
        </is>
      </c>
      <c r="B1079" s="1" t="n">
        <v>45785.65300925926</v>
      </c>
      <c r="C1079" s="1" t="n">
        <v>46140</v>
      </c>
      <c r="D1079" t="inlineStr">
        <is>
          <t>STOCKHOLMS LÄN</t>
        </is>
      </c>
      <c r="E1079" t="inlineStr">
        <is>
          <t>NORRTÄLJE</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36625-2024</t>
        </is>
      </c>
      <c r="B1080" s="1" t="n">
        <v>45537</v>
      </c>
      <c r="C1080" s="1" t="n">
        <v>46140</v>
      </c>
      <c r="D1080" t="inlineStr">
        <is>
          <t>STOCKHOLMS LÄN</t>
        </is>
      </c>
      <c r="E1080" t="inlineStr">
        <is>
          <t>NORRTÄLJE</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45746-2024</t>
        </is>
      </c>
      <c r="B1081" s="1" t="n">
        <v>45579</v>
      </c>
      <c r="C1081" s="1" t="n">
        <v>46140</v>
      </c>
      <c r="D1081" t="inlineStr">
        <is>
          <t>STOCKHOLMS LÄN</t>
        </is>
      </c>
      <c r="E1081" t="inlineStr">
        <is>
          <t>NORRTÄLJE</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8400-2024</t>
        </is>
      </c>
      <c r="B1082" s="1" t="n">
        <v>45352.74090277778</v>
      </c>
      <c r="C1082" s="1" t="n">
        <v>46140</v>
      </c>
      <c r="D1082" t="inlineStr">
        <is>
          <t>STOCKHOLMS LÄN</t>
        </is>
      </c>
      <c r="E1082" t="inlineStr">
        <is>
          <t>NORRTÄLJE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2182-2022</t>
        </is>
      </c>
      <c r="B1083" s="1" t="n">
        <v>44578</v>
      </c>
      <c r="C1083" s="1" t="n">
        <v>46140</v>
      </c>
      <c r="D1083" t="inlineStr">
        <is>
          <t>STOCKHOLMS LÄN</t>
        </is>
      </c>
      <c r="E1083" t="inlineStr">
        <is>
          <t>NORRTÄLJE</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16620-2024</t>
        </is>
      </c>
      <c r="B1084" s="1" t="n">
        <v>45408.57707175926</v>
      </c>
      <c r="C1084" s="1" t="n">
        <v>46140</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22416-2025</t>
        </is>
      </c>
      <c r="B1085" s="1" t="n">
        <v>45786.55645833333</v>
      </c>
      <c r="C1085" s="1" t="n">
        <v>46140</v>
      </c>
      <c r="D1085" t="inlineStr">
        <is>
          <t>STOCKHOLMS LÄN</t>
        </is>
      </c>
      <c r="E1085" t="inlineStr">
        <is>
          <t>NORRTÄLJE</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58785-2024</t>
        </is>
      </c>
      <c r="B1086" s="1" t="n">
        <v>45635.88849537037</v>
      </c>
      <c r="C1086" s="1" t="n">
        <v>46140</v>
      </c>
      <c r="D1086" t="inlineStr">
        <is>
          <t>STOCKHOLMS LÄN</t>
        </is>
      </c>
      <c r="E1086" t="inlineStr">
        <is>
          <t>NORRTÄLJE</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62998-2023</t>
        </is>
      </c>
      <c r="B1087" s="1" t="n">
        <v>45272.64479166667</v>
      </c>
      <c r="C1087" s="1" t="n">
        <v>46140</v>
      </c>
      <c r="D1087" t="inlineStr">
        <is>
          <t>STOCKHOLMS LÄN</t>
        </is>
      </c>
      <c r="E1087" t="inlineStr">
        <is>
          <t>NORRTÄLJE</t>
        </is>
      </c>
      <c r="G1087" t="n">
        <v>16.3</v>
      </c>
      <c r="H1087" t="n">
        <v>0</v>
      </c>
      <c r="I1087" t="n">
        <v>0</v>
      </c>
      <c r="J1087" t="n">
        <v>0</v>
      </c>
      <c r="K1087" t="n">
        <v>0</v>
      </c>
      <c r="L1087" t="n">
        <v>0</v>
      </c>
      <c r="M1087" t="n">
        <v>0</v>
      </c>
      <c r="N1087" t="n">
        <v>0</v>
      </c>
      <c r="O1087" t="n">
        <v>0</v>
      </c>
      <c r="P1087" t="n">
        <v>0</v>
      </c>
      <c r="Q1087" t="n">
        <v>0</v>
      </c>
      <c r="R1087" s="2" t="inlineStr"/>
    </row>
    <row r="1088" ht="15" customHeight="1">
      <c r="A1088" t="inlineStr">
        <is>
          <t>A 63015-2023</t>
        </is>
      </c>
      <c r="B1088" s="1" t="n">
        <v>45272</v>
      </c>
      <c r="C1088" s="1" t="n">
        <v>46140</v>
      </c>
      <c r="D1088" t="inlineStr">
        <is>
          <t>STOCKHOLMS LÄN</t>
        </is>
      </c>
      <c r="E1088" t="inlineStr">
        <is>
          <t>NORRTÄLJE</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12901-2024</t>
        </is>
      </c>
      <c r="B1089" s="1" t="n">
        <v>45385.37922453704</v>
      </c>
      <c r="C1089" s="1" t="n">
        <v>46140</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12301-2025</t>
        </is>
      </c>
      <c r="B1090" s="1" t="n">
        <v>45729.7271875</v>
      </c>
      <c r="C1090" s="1" t="n">
        <v>46140</v>
      </c>
      <c r="D1090" t="inlineStr">
        <is>
          <t>STOCKHOLMS LÄN</t>
        </is>
      </c>
      <c r="E1090" t="inlineStr">
        <is>
          <t>NORRTÄLJE</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8950-2025</t>
        </is>
      </c>
      <c r="B1091" s="1" t="n">
        <v>45713</v>
      </c>
      <c r="C1091" s="1" t="n">
        <v>46140</v>
      </c>
      <c r="D1091" t="inlineStr">
        <is>
          <t>STOCKHOLMS LÄN</t>
        </is>
      </c>
      <c r="E1091" t="inlineStr">
        <is>
          <t>NORRTÄLJE</t>
        </is>
      </c>
      <c r="F1091" t="inlineStr">
        <is>
          <t>Övriga Aktiebolag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20730-2024</t>
        </is>
      </c>
      <c r="B1092" s="1" t="n">
        <v>45436</v>
      </c>
      <c r="C1092" s="1" t="n">
        <v>46140</v>
      </c>
      <c r="D1092" t="inlineStr">
        <is>
          <t>STOCKHOLMS LÄN</t>
        </is>
      </c>
      <c r="E1092" t="inlineStr">
        <is>
          <t>NORRTÄLJE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33175-2024</t>
        </is>
      </c>
      <c r="B1093" s="1" t="n">
        <v>45518</v>
      </c>
      <c r="C1093" s="1" t="n">
        <v>46140</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13283-2025</t>
        </is>
      </c>
      <c r="B1094" s="1" t="n">
        <v>45735</v>
      </c>
      <c r="C1094" s="1" t="n">
        <v>46140</v>
      </c>
      <c r="D1094" t="inlineStr">
        <is>
          <t>STOCKHOLMS LÄN</t>
        </is>
      </c>
      <c r="E1094" t="inlineStr">
        <is>
          <t>NORRTÄLJE</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27831-2024</t>
        </is>
      </c>
      <c r="B1095" s="1" t="n">
        <v>45475.61896990741</v>
      </c>
      <c r="C1095" s="1" t="n">
        <v>46140</v>
      </c>
      <c r="D1095" t="inlineStr">
        <is>
          <t>STOCKHOLMS LÄN</t>
        </is>
      </c>
      <c r="E1095" t="inlineStr">
        <is>
          <t>NORRTÄLJE</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21803-2022</t>
        </is>
      </c>
      <c r="B1096" s="1" t="n">
        <v>44708.67822916667</v>
      </c>
      <c r="C1096" s="1" t="n">
        <v>46140</v>
      </c>
      <c r="D1096" t="inlineStr">
        <is>
          <t>STOCKHOLMS LÄN</t>
        </is>
      </c>
      <c r="E1096" t="inlineStr">
        <is>
          <t>NORRTÄLJE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24687-2025</t>
        </is>
      </c>
      <c r="B1097" s="1" t="n">
        <v>45798.66767361111</v>
      </c>
      <c r="C1097" s="1" t="n">
        <v>46140</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24690-2025</t>
        </is>
      </c>
      <c r="B1098" s="1" t="n">
        <v>45798.67082175926</v>
      </c>
      <c r="C1098" s="1" t="n">
        <v>46140</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24638-2025</t>
        </is>
      </c>
      <c r="B1099" s="1" t="n">
        <v>45798</v>
      </c>
      <c r="C1099" s="1" t="n">
        <v>46140</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24351-2025</t>
        </is>
      </c>
      <c r="B1100" s="1" t="n">
        <v>45797.58399305555</v>
      </c>
      <c r="C1100" s="1" t="n">
        <v>46140</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28603-2024</t>
        </is>
      </c>
      <c r="B1101" s="1" t="n">
        <v>45478.42887731481</v>
      </c>
      <c r="C1101" s="1" t="n">
        <v>46140</v>
      </c>
      <c r="D1101" t="inlineStr">
        <is>
          <t>STOCKHOLMS LÄN</t>
        </is>
      </c>
      <c r="E1101" t="inlineStr">
        <is>
          <t>NORRTÄLJE</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25702-2025</t>
        </is>
      </c>
      <c r="B1102" s="1" t="n">
        <v>45800</v>
      </c>
      <c r="C1102" s="1" t="n">
        <v>46140</v>
      </c>
      <c r="D1102" t="inlineStr">
        <is>
          <t>STOCKHOLMS LÄN</t>
        </is>
      </c>
      <c r="E1102" t="inlineStr">
        <is>
          <t>NORRTÄLJE</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25721-2025</t>
        </is>
      </c>
      <c r="B1103" s="1" t="n">
        <v>45800</v>
      </c>
      <c r="C1103" s="1" t="n">
        <v>46140</v>
      </c>
      <c r="D1103" t="inlineStr">
        <is>
          <t>STOCKHOLMS LÄN</t>
        </is>
      </c>
      <c r="E1103" t="inlineStr">
        <is>
          <t>NORRTÄLJE</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25733-2025</t>
        </is>
      </c>
      <c r="B1104" s="1" t="n">
        <v>45800</v>
      </c>
      <c r="C1104" s="1" t="n">
        <v>46140</v>
      </c>
      <c r="D1104" t="inlineStr">
        <is>
          <t>STOCKHOLMS LÄN</t>
        </is>
      </c>
      <c r="E1104" t="inlineStr">
        <is>
          <t>NORRTÄLJE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25571-2025</t>
        </is>
      </c>
      <c r="B1105" s="1" t="n">
        <v>45803.4675</v>
      </c>
      <c r="C1105" s="1" t="n">
        <v>46140</v>
      </c>
      <c r="D1105" t="inlineStr">
        <is>
          <t>STOCKHOLMS LÄN</t>
        </is>
      </c>
      <c r="E1105" t="inlineStr">
        <is>
          <t>NORRTÄLJE</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53561-2023</t>
        </is>
      </c>
      <c r="B1106" s="1" t="n">
        <v>45224</v>
      </c>
      <c r="C1106" s="1" t="n">
        <v>46140</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25712-2025</t>
        </is>
      </c>
      <c r="B1107" s="1" t="n">
        <v>45803.69228009259</v>
      </c>
      <c r="C1107" s="1" t="n">
        <v>46140</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41218-2024</t>
        </is>
      </c>
      <c r="B1108" s="1" t="n">
        <v>45559.54706018518</v>
      </c>
      <c r="C1108" s="1" t="n">
        <v>46140</v>
      </c>
      <c r="D1108" t="inlineStr">
        <is>
          <t>STOCKHOLMS LÄN</t>
        </is>
      </c>
      <c r="E1108" t="inlineStr">
        <is>
          <t>NORRTÄLJE</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26051-2025</t>
        </is>
      </c>
      <c r="B1109" s="1" t="n">
        <v>45804.74479166666</v>
      </c>
      <c r="C1109" s="1" t="n">
        <v>46140</v>
      </c>
      <c r="D1109" t="inlineStr">
        <is>
          <t>STOCKHOLMS LÄN</t>
        </is>
      </c>
      <c r="E1109" t="inlineStr">
        <is>
          <t>NORRTÄLJE</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39238-2024</t>
        </is>
      </c>
      <c r="B1110" s="1" t="n">
        <v>45549</v>
      </c>
      <c r="C1110" s="1" t="n">
        <v>46140</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38449-2022</t>
        </is>
      </c>
      <c r="B1111" s="1" t="n">
        <v>44813</v>
      </c>
      <c r="C1111" s="1" t="n">
        <v>46140</v>
      </c>
      <c r="D1111" t="inlineStr">
        <is>
          <t>STOCKHOLMS LÄN</t>
        </is>
      </c>
      <c r="E1111" t="inlineStr">
        <is>
          <t>NORRTÄLJE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25697-2025</t>
        </is>
      </c>
      <c r="B1112" s="1" t="n">
        <v>45803.66587962963</v>
      </c>
      <c r="C1112" s="1" t="n">
        <v>46140</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47259-2024</t>
        </is>
      </c>
      <c r="B1113" s="1" t="n">
        <v>45586</v>
      </c>
      <c r="C1113" s="1" t="n">
        <v>46140</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26675-2025</t>
        </is>
      </c>
      <c r="B1114" s="1" t="n">
        <v>45810.42393518519</v>
      </c>
      <c r="C1114" s="1" t="n">
        <v>46140</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23061-2025</t>
        </is>
      </c>
      <c r="B1115" s="1" t="n">
        <v>45790.81410879629</v>
      </c>
      <c r="C1115" s="1" t="n">
        <v>46140</v>
      </c>
      <c r="D1115" t="inlineStr">
        <is>
          <t>STOCKHOLMS LÄN</t>
        </is>
      </c>
      <c r="E1115" t="inlineStr">
        <is>
          <t>NORRTÄLJE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26747-2025</t>
        </is>
      </c>
      <c r="B1116" s="1" t="n">
        <v>45810.5333912037</v>
      </c>
      <c r="C1116" s="1" t="n">
        <v>46140</v>
      </c>
      <c r="D1116" t="inlineStr">
        <is>
          <t>STOCKHOLMS LÄN</t>
        </is>
      </c>
      <c r="E1116" t="inlineStr">
        <is>
          <t>NORRTÄLJE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26702-2025</t>
        </is>
      </c>
      <c r="B1117" s="1" t="n">
        <v>45810.45236111111</v>
      </c>
      <c r="C1117" s="1" t="n">
        <v>46140</v>
      </c>
      <c r="D1117" t="inlineStr">
        <is>
          <t>STOCKHOLMS LÄN</t>
        </is>
      </c>
      <c r="E1117" t="inlineStr">
        <is>
          <t>NORRTÄLJE</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26708-2025</t>
        </is>
      </c>
      <c r="B1118" s="1" t="n">
        <v>45810.45633101852</v>
      </c>
      <c r="C1118" s="1" t="n">
        <v>46140</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27040-2025</t>
        </is>
      </c>
      <c r="B1119" s="1" t="n">
        <v>45811.60451388889</v>
      </c>
      <c r="C1119" s="1" t="n">
        <v>46140</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27697-2025</t>
        </is>
      </c>
      <c r="B1120" s="1" t="n">
        <v>45813.66961805556</v>
      </c>
      <c r="C1120" s="1" t="n">
        <v>46140</v>
      </c>
      <c r="D1120" t="inlineStr">
        <is>
          <t>STOCKHOLMS LÄN</t>
        </is>
      </c>
      <c r="E1120" t="inlineStr">
        <is>
          <t>NORRTÄLJE</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27700-2025</t>
        </is>
      </c>
      <c r="B1121" s="1" t="n">
        <v>45813.6799537037</v>
      </c>
      <c r="C1121" s="1" t="n">
        <v>46140</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27554-2025</t>
        </is>
      </c>
      <c r="B1122" s="1" t="n">
        <v>45813.4709375</v>
      </c>
      <c r="C1122" s="1" t="n">
        <v>46140</v>
      </c>
      <c r="D1122" t="inlineStr">
        <is>
          <t>STOCKHOLMS LÄN</t>
        </is>
      </c>
      <c r="E1122" t="inlineStr">
        <is>
          <t>NORRTÄLJE</t>
        </is>
      </c>
      <c r="F1122" t="inlineStr">
        <is>
          <t>Övriga Aktiebolag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11901-2024</t>
        </is>
      </c>
      <c r="B1123" s="1" t="n">
        <v>45376.55638888889</v>
      </c>
      <c r="C1123" s="1" t="n">
        <v>46140</v>
      </c>
      <c r="D1123" t="inlineStr">
        <is>
          <t>STOCKHOLMS LÄN</t>
        </is>
      </c>
      <c r="E1123" t="inlineStr">
        <is>
          <t>NORRTÄLJE</t>
        </is>
      </c>
      <c r="F1123" t="inlineStr">
        <is>
          <t>Holmen skog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27802-2025</t>
        </is>
      </c>
      <c r="B1124" s="1" t="n">
        <v>45817.2565625</v>
      </c>
      <c r="C1124" s="1" t="n">
        <v>46140</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27806-2025</t>
        </is>
      </c>
      <c r="B1125" s="1" t="n">
        <v>45817.30329861111</v>
      </c>
      <c r="C1125" s="1" t="n">
        <v>46140</v>
      </c>
      <c r="D1125" t="inlineStr">
        <is>
          <t>STOCKHOLMS LÄN</t>
        </is>
      </c>
      <c r="E1125" t="inlineStr">
        <is>
          <t>NORRTÄLJE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27808-2025</t>
        </is>
      </c>
      <c r="B1126" s="1" t="n">
        <v>45817.31085648148</v>
      </c>
      <c r="C1126" s="1" t="n">
        <v>46140</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27810-2025</t>
        </is>
      </c>
      <c r="B1127" s="1" t="n">
        <v>45817.31708333334</v>
      </c>
      <c r="C1127" s="1" t="n">
        <v>46140</v>
      </c>
      <c r="D1127" t="inlineStr">
        <is>
          <t>STOCKHOLMS LÄN</t>
        </is>
      </c>
      <c r="E1127" t="inlineStr">
        <is>
          <t>NORRTÄLJE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27811-2025</t>
        </is>
      </c>
      <c r="B1128" s="1" t="n">
        <v>45817.31986111111</v>
      </c>
      <c r="C1128" s="1" t="n">
        <v>46140</v>
      </c>
      <c r="D1128" t="inlineStr">
        <is>
          <t>STOCKHOLMS LÄN</t>
        </is>
      </c>
      <c r="E1128" t="inlineStr">
        <is>
          <t>NORRTÄLJE</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27818-2025</t>
        </is>
      </c>
      <c r="B1129" s="1" t="n">
        <v>45817.33503472222</v>
      </c>
      <c r="C1129" s="1" t="n">
        <v>46140</v>
      </c>
      <c r="D1129" t="inlineStr">
        <is>
          <t>STOCKHOLMS LÄN</t>
        </is>
      </c>
      <c r="E1129" t="inlineStr">
        <is>
          <t>NORRTÄLJE</t>
        </is>
      </c>
      <c r="F1129" t="inlineStr">
        <is>
          <t>Sveaskog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15528-2025</t>
        </is>
      </c>
      <c r="B1130" s="1" t="n">
        <v>45747.63471064815</v>
      </c>
      <c r="C1130" s="1" t="n">
        <v>46140</v>
      </c>
      <c r="D1130" t="inlineStr">
        <is>
          <t>STOCKHOLMS LÄN</t>
        </is>
      </c>
      <c r="E1130" t="inlineStr">
        <is>
          <t>NORRTÄLJE</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27803-2025</t>
        </is>
      </c>
      <c r="B1131" s="1" t="n">
        <v>45817.291875</v>
      </c>
      <c r="C1131" s="1" t="n">
        <v>46140</v>
      </c>
      <c r="D1131" t="inlineStr">
        <is>
          <t>STOCKHOLMS LÄN</t>
        </is>
      </c>
      <c r="E1131" t="inlineStr">
        <is>
          <t>NORRTÄLJE</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27813-2025</t>
        </is>
      </c>
      <c r="B1132" s="1" t="n">
        <v>45817.32538194444</v>
      </c>
      <c r="C1132" s="1" t="n">
        <v>46140</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27801-2025</t>
        </is>
      </c>
      <c r="B1133" s="1" t="n">
        <v>45817.25471064815</v>
      </c>
      <c r="C1133" s="1" t="n">
        <v>46140</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27821-2025</t>
        </is>
      </c>
      <c r="B1134" s="1" t="n">
        <v>45817.34083333334</v>
      </c>
      <c r="C1134" s="1" t="n">
        <v>46140</v>
      </c>
      <c r="D1134" t="inlineStr">
        <is>
          <t>STOCKHOLMS LÄN</t>
        </is>
      </c>
      <c r="E1134" t="inlineStr">
        <is>
          <t>NORRTÄLJE</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44075-2023</t>
        </is>
      </c>
      <c r="B1135" s="1" t="n">
        <v>45188.41637731482</v>
      </c>
      <c r="C1135" s="1" t="n">
        <v>46140</v>
      </c>
      <c r="D1135" t="inlineStr">
        <is>
          <t>STOCKHOLMS LÄN</t>
        </is>
      </c>
      <c r="E1135" t="inlineStr">
        <is>
          <t>NORRTÄLJE</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29250-2025</t>
        </is>
      </c>
      <c r="B1136" s="1" t="n">
        <v>45824.37275462963</v>
      </c>
      <c r="C1136" s="1" t="n">
        <v>46140</v>
      </c>
      <c r="D1136" t="inlineStr">
        <is>
          <t>STOCKHOLMS LÄN</t>
        </is>
      </c>
      <c r="E1136" t="inlineStr">
        <is>
          <t>NORRTÄLJE</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30668-2025</t>
        </is>
      </c>
      <c r="B1137" s="1" t="n">
        <v>45831.51659722222</v>
      </c>
      <c r="C1137" s="1" t="n">
        <v>46140</v>
      </c>
      <c r="D1137" t="inlineStr">
        <is>
          <t>STOCKHOLMS LÄN</t>
        </is>
      </c>
      <c r="E1137" t="inlineStr">
        <is>
          <t>NORRTÄLJE</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30639-2025</t>
        </is>
      </c>
      <c r="B1138" s="1" t="n">
        <v>45831.4844212963</v>
      </c>
      <c r="C1138" s="1" t="n">
        <v>46140</v>
      </c>
      <c r="D1138" t="inlineStr">
        <is>
          <t>STOCKHOLMS LÄN</t>
        </is>
      </c>
      <c r="E1138" t="inlineStr">
        <is>
          <t>NORRTÄLJE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31170-2025</t>
        </is>
      </c>
      <c r="B1139" s="1" t="n">
        <v>45832.66385416667</v>
      </c>
      <c r="C1139" s="1" t="n">
        <v>46140</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31874-2025</t>
        </is>
      </c>
      <c r="B1140" s="1" t="n">
        <v>45834</v>
      </c>
      <c r="C1140" s="1" t="n">
        <v>46140</v>
      </c>
      <c r="D1140" t="inlineStr">
        <is>
          <t>STOCKHOLMS LÄN</t>
        </is>
      </c>
      <c r="E1140" t="inlineStr">
        <is>
          <t>NORRTÄLJE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31868-2025</t>
        </is>
      </c>
      <c r="B1141" s="1" t="n">
        <v>45834.6447337963</v>
      </c>
      <c r="C1141" s="1" t="n">
        <v>46140</v>
      </c>
      <c r="D1141" t="inlineStr">
        <is>
          <t>STOCKHOLMS LÄN</t>
        </is>
      </c>
      <c r="E1141" t="inlineStr">
        <is>
          <t>NORRTÄLJE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6413-2025</t>
        </is>
      </c>
      <c r="B1142" s="1" t="n">
        <v>45699.46283564815</v>
      </c>
      <c r="C1142" s="1" t="n">
        <v>46140</v>
      </c>
      <c r="D1142" t="inlineStr">
        <is>
          <t>STOCKHOLMS LÄN</t>
        </is>
      </c>
      <c r="E1142" t="inlineStr">
        <is>
          <t>NORRTÄLJE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31880-2025</t>
        </is>
      </c>
      <c r="B1143" s="1" t="n">
        <v>45834.65538194445</v>
      </c>
      <c r="C1143" s="1" t="n">
        <v>46140</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32283-2025</t>
        </is>
      </c>
      <c r="B1144" s="1" t="n">
        <v>45835.68076388889</v>
      </c>
      <c r="C1144" s="1" t="n">
        <v>46140</v>
      </c>
      <c r="D1144" t="inlineStr">
        <is>
          <t>STOCKHOLMS LÄN</t>
        </is>
      </c>
      <c r="E1144" t="inlineStr">
        <is>
          <t>NORRTÄLJE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32122-2025</t>
        </is>
      </c>
      <c r="B1145" s="1" t="n">
        <v>45835.4928125</v>
      </c>
      <c r="C1145" s="1" t="n">
        <v>46140</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32094-2025</t>
        </is>
      </c>
      <c r="B1146" s="1" t="n">
        <v>45835.46034722222</v>
      </c>
      <c r="C1146" s="1" t="n">
        <v>46140</v>
      </c>
      <c r="D1146" t="inlineStr">
        <is>
          <t>STOCKHOLMS LÄN</t>
        </is>
      </c>
      <c r="E1146" t="inlineStr">
        <is>
          <t>NORRTÄLJE</t>
        </is>
      </c>
      <c r="F1146" t="inlineStr">
        <is>
          <t>Holmen skog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32016-2025</t>
        </is>
      </c>
      <c r="B1147" s="1" t="n">
        <v>45835</v>
      </c>
      <c r="C1147" s="1" t="n">
        <v>46140</v>
      </c>
      <c r="D1147" t="inlineStr">
        <is>
          <t>STOCKHOLMS LÄN</t>
        </is>
      </c>
      <c r="E1147" t="inlineStr">
        <is>
          <t>NORRTÄLJE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32396-2025</t>
        </is>
      </c>
      <c r="B1148" s="1" t="n">
        <v>45837</v>
      </c>
      <c r="C1148" s="1" t="n">
        <v>46140</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32397-2025</t>
        </is>
      </c>
      <c r="B1149" s="1" t="n">
        <v>45837.94081018519</v>
      </c>
      <c r="C1149" s="1" t="n">
        <v>46140</v>
      </c>
      <c r="D1149" t="inlineStr">
        <is>
          <t>STOCKHOLMS LÄN</t>
        </is>
      </c>
      <c r="E1149" t="inlineStr">
        <is>
          <t>NORRTÄLJE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32480-2025</t>
        </is>
      </c>
      <c r="B1150" s="1" t="n">
        <v>45838.43261574074</v>
      </c>
      <c r="C1150" s="1" t="n">
        <v>46140</v>
      </c>
      <c r="D1150" t="inlineStr">
        <is>
          <t>STOCKHOLMS LÄN</t>
        </is>
      </c>
      <c r="E1150" t="inlineStr">
        <is>
          <t>NORRTÄLJE</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32395-2025</t>
        </is>
      </c>
      <c r="B1151" s="1" t="n">
        <v>45837.93730324074</v>
      </c>
      <c r="C1151" s="1" t="n">
        <v>46140</v>
      </c>
      <c r="D1151" t="inlineStr">
        <is>
          <t>STOCKHOLMS LÄN</t>
        </is>
      </c>
      <c r="E1151" t="inlineStr">
        <is>
          <t>NORRTÄLJE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33211-2025</t>
        </is>
      </c>
      <c r="B1152" s="1" t="n">
        <v>45840.62755787037</v>
      </c>
      <c r="C1152" s="1" t="n">
        <v>46140</v>
      </c>
      <c r="D1152" t="inlineStr">
        <is>
          <t>STOCKHOLMS LÄN</t>
        </is>
      </c>
      <c r="E1152" t="inlineStr">
        <is>
          <t>NORRTÄLJE</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32903-2025</t>
        </is>
      </c>
      <c r="B1153" s="1" t="n">
        <v>45839.62398148148</v>
      </c>
      <c r="C1153" s="1" t="n">
        <v>46140</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33265-2025</t>
        </is>
      </c>
      <c r="B1154" s="1" t="n">
        <v>45840.67829861111</v>
      </c>
      <c r="C1154" s="1" t="n">
        <v>46140</v>
      </c>
      <c r="D1154" t="inlineStr">
        <is>
          <t>STOCKHOLMS LÄN</t>
        </is>
      </c>
      <c r="E1154" t="inlineStr">
        <is>
          <t>NORRTÄLJE</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32872-2025</t>
        </is>
      </c>
      <c r="B1155" s="1" t="n">
        <v>45839</v>
      </c>
      <c r="C1155" s="1" t="n">
        <v>46140</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33702-2025</t>
        </is>
      </c>
      <c r="B1156" s="1" t="n">
        <v>45841.74596064815</v>
      </c>
      <c r="C1156" s="1" t="n">
        <v>46140</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33336-2025</t>
        </is>
      </c>
      <c r="B1157" s="1" t="n">
        <v>45841.35611111111</v>
      </c>
      <c r="C1157" s="1" t="n">
        <v>46140</v>
      </c>
      <c r="D1157" t="inlineStr">
        <is>
          <t>STOCKHOLMS LÄN</t>
        </is>
      </c>
      <c r="E1157" t="inlineStr">
        <is>
          <t>NORRTÄLJE</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33552-2025</t>
        </is>
      </c>
      <c r="B1158" s="1" t="n">
        <v>45841.5737962963</v>
      </c>
      <c r="C1158" s="1" t="n">
        <v>46140</v>
      </c>
      <c r="D1158" t="inlineStr">
        <is>
          <t>STOCKHOLMS LÄN</t>
        </is>
      </c>
      <c r="E1158" t="inlineStr">
        <is>
          <t>NORRTÄLJE</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33824-2025</t>
        </is>
      </c>
      <c r="B1159" s="1" t="n">
        <v>45842.46885416667</v>
      </c>
      <c r="C1159" s="1" t="n">
        <v>46140</v>
      </c>
      <c r="D1159" t="inlineStr">
        <is>
          <t>STOCKHOLMS LÄN</t>
        </is>
      </c>
      <c r="E1159" t="inlineStr">
        <is>
          <t>NORRTÄLJE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46073-2024</t>
        </is>
      </c>
      <c r="B1160" s="1" t="n">
        <v>45581</v>
      </c>
      <c r="C1160" s="1" t="n">
        <v>46140</v>
      </c>
      <c r="D1160" t="inlineStr">
        <is>
          <t>STOCKHOLMS LÄN</t>
        </is>
      </c>
      <c r="E1160" t="inlineStr">
        <is>
          <t>NORRTÄLJE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36689-2023</t>
        </is>
      </c>
      <c r="B1161" s="1" t="n">
        <v>45152</v>
      </c>
      <c r="C1161" s="1" t="n">
        <v>46140</v>
      </c>
      <c r="D1161" t="inlineStr">
        <is>
          <t>STOCKHOLMS LÄN</t>
        </is>
      </c>
      <c r="E1161" t="inlineStr">
        <is>
          <t>NORRTÄLJE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34139-2025</t>
        </is>
      </c>
      <c r="B1162" s="1" t="n">
        <v>45845</v>
      </c>
      <c r="C1162" s="1" t="n">
        <v>46140</v>
      </c>
      <c r="D1162" t="inlineStr">
        <is>
          <t>STOCKHOLMS LÄN</t>
        </is>
      </c>
      <c r="E1162" t="inlineStr">
        <is>
          <t>NORRTÄLJE</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34006-2025</t>
        </is>
      </c>
      <c r="B1163" s="1" t="n">
        <v>45844.62609953704</v>
      </c>
      <c r="C1163" s="1" t="n">
        <v>46140</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34010-2025</t>
        </is>
      </c>
      <c r="B1164" s="1" t="n">
        <v>45844.91234953704</v>
      </c>
      <c r="C1164" s="1" t="n">
        <v>46140</v>
      </c>
      <c r="D1164" t="inlineStr">
        <is>
          <t>STOCKHOLMS LÄN</t>
        </is>
      </c>
      <c r="E1164" t="inlineStr">
        <is>
          <t>NORRTÄLJE</t>
        </is>
      </c>
      <c r="F1164" t="inlineStr">
        <is>
          <t>Övriga Aktiebolag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35110-2025</t>
        </is>
      </c>
      <c r="B1165" s="1" t="n">
        <v>45852.58030092593</v>
      </c>
      <c r="C1165" s="1" t="n">
        <v>46140</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35254-2025</t>
        </is>
      </c>
      <c r="B1166" s="1" t="n">
        <v>45853</v>
      </c>
      <c r="C1166" s="1" t="n">
        <v>46140</v>
      </c>
      <c r="D1166" t="inlineStr">
        <is>
          <t>STOCKHOLMS LÄN</t>
        </is>
      </c>
      <c r="E1166" t="inlineStr">
        <is>
          <t>NORRTÄLJE</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35479-2025</t>
        </is>
      </c>
      <c r="B1167" s="1" t="n">
        <v>45855.69387731481</v>
      </c>
      <c r="C1167" s="1" t="n">
        <v>46140</v>
      </c>
      <c r="D1167" t="inlineStr">
        <is>
          <t>STOCKHOLMS LÄN</t>
        </is>
      </c>
      <c r="E1167" t="inlineStr">
        <is>
          <t>NORRTÄLJE</t>
        </is>
      </c>
      <c r="F1167" t="inlineStr">
        <is>
          <t>Holmen skog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35451-2025</t>
        </is>
      </c>
      <c r="B1168" s="1" t="n">
        <v>45855.57033564815</v>
      </c>
      <c r="C1168" s="1" t="n">
        <v>46140</v>
      </c>
      <c r="D1168" t="inlineStr">
        <is>
          <t>STOCKHOLMS LÄN</t>
        </is>
      </c>
      <c r="E1168" t="inlineStr">
        <is>
          <t>NORRTÄLJE</t>
        </is>
      </c>
      <c r="F1168" t="inlineStr">
        <is>
          <t>Holmen skog AB</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35478-2025</t>
        </is>
      </c>
      <c r="B1169" s="1" t="n">
        <v>45855.68413194444</v>
      </c>
      <c r="C1169" s="1" t="n">
        <v>46140</v>
      </c>
      <c r="D1169" t="inlineStr">
        <is>
          <t>STOCKHOLMS LÄN</t>
        </is>
      </c>
      <c r="E1169" t="inlineStr">
        <is>
          <t>NORRTÄLJE</t>
        </is>
      </c>
      <c r="F1169" t="inlineStr">
        <is>
          <t>Holmen skog AB</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20698-2025</t>
        </is>
      </c>
      <c r="B1170" s="1" t="n">
        <v>45776.47122685185</v>
      </c>
      <c r="C1170" s="1" t="n">
        <v>46140</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36396-2025</t>
        </is>
      </c>
      <c r="B1171" s="1" t="n">
        <v>45868.62267361111</v>
      </c>
      <c r="C1171" s="1" t="n">
        <v>46140</v>
      </c>
      <c r="D1171" t="inlineStr">
        <is>
          <t>STOCKHOLMS LÄN</t>
        </is>
      </c>
      <c r="E1171" t="inlineStr">
        <is>
          <t>NORRTÄLJE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22232-2024</t>
        </is>
      </c>
      <c r="B1172" s="1" t="n">
        <v>45446.4287962963</v>
      </c>
      <c r="C1172" s="1" t="n">
        <v>46140</v>
      </c>
      <c r="D1172" t="inlineStr">
        <is>
          <t>STOCKHOLMS LÄN</t>
        </is>
      </c>
      <c r="E1172" t="inlineStr">
        <is>
          <t>NORRTÄLJE</t>
        </is>
      </c>
      <c r="G1172" t="n">
        <v>12.8</v>
      </c>
      <c r="H1172" t="n">
        <v>0</v>
      </c>
      <c r="I1172" t="n">
        <v>0</v>
      </c>
      <c r="J1172" t="n">
        <v>0</v>
      </c>
      <c r="K1172" t="n">
        <v>0</v>
      </c>
      <c r="L1172" t="n">
        <v>0</v>
      </c>
      <c r="M1172" t="n">
        <v>0</v>
      </c>
      <c r="N1172" t="n">
        <v>0</v>
      </c>
      <c r="O1172" t="n">
        <v>0</v>
      </c>
      <c r="P1172" t="n">
        <v>0</v>
      </c>
      <c r="Q1172" t="n">
        <v>0</v>
      </c>
      <c r="R1172" s="2" t="inlineStr"/>
    </row>
    <row r="1173">
      <c r="A1173" t="inlineStr">
        <is>
          <t>A 34444-2024</t>
        </is>
      </c>
      <c r="B1173" s="1" t="n">
        <v>45525</v>
      </c>
      <c r="C1173" s="1" t="n">
        <v>46140</v>
      </c>
      <c r="D1173" t="inlineStr">
        <is>
          <t>STOCKHOLMS LÄN</t>
        </is>
      </c>
      <c r="E1173" t="inlineStr">
        <is>
          <t>NORRTÄLJE</t>
        </is>
      </c>
      <c r="G1173" t="n">
        <v>1.8</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2026-04-28T10:49:10Z</dcterms:created>
  <dcterms:modified xmlns:dcterms="http://purl.org/dc/terms/" xmlns:xsi="http://www.w3.org/2001/XMLSchema-instance" xsi:type="dcterms:W3CDTF">2026-04-28T10:49:11Z</dcterms:modified>
</cp:coreProperties>
</file>