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45989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45989</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45989</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45989</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45989</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45989</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45989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45989</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45989</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45989</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45989</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45989</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45989</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50326-2024</t>
        </is>
      </c>
      <c r="B23" s="1" t="n">
        <v>45600</v>
      </c>
      <c r="C23" s="1" t="n">
        <v>45989</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45586.88145833334</v>
      </c>
      <c r="C24" s="1" t="n">
        <v>45989</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73093-2021</t>
        </is>
      </c>
      <c r="B25" s="1" t="n">
        <v>44550</v>
      </c>
      <c r="C25" s="1" t="n">
        <v>45989</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45989</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59582-2024</t>
        </is>
      </c>
      <c r="B27" s="1" t="n">
        <v>45638</v>
      </c>
      <c r="C27" s="1" t="n">
        <v>45989</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45989</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45989</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45989</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45989</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45989</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45989</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13933-2022</t>
        </is>
      </c>
      <c r="B34" s="1" t="n">
        <v>44650</v>
      </c>
      <c r="C34" s="1" t="n">
        <v>45989</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34528-2025</t>
        </is>
      </c>
      <c r="B35" s="1" t="n">
        <v>45847.48436342592</v>
      </c>
      <c r="C35" s="1" t="n">
        <v>45989</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45989</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45989</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15804-2025</t>
        </is>
      </c>
      <c r="B38" s="1" t="n">
        <v>45748.6521875</v>
      </c>
      <c r="C38" s="1" t="n">
        <v>45989</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56791-2025</t>
        </is>
      </c>
      <c r="B39" s="1" t="n">
        <v>45978</v>
      </c>
      <c r="C39" s="1" t="n">
        <v>45989</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21922-2023</t>
        </is>
      </c>
      <c r="B40" s="1" t="n">
        <v>45068</v>
      </c>
      <c r="C40" s="1" t="n">
        <v>45989</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45989</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45989</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22071-2022</t>
        </is>
      </c>
      <c r="B43" s="1" t="n">
        <v>44711</v>
      </c>
      <c r="C43" s="1" t="n">
        <v>45989</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45989</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45989</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45989</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45989</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47212-2025</t>
        </is>
      </c>
      <c r="B48" s="1" t="n">
        <v>45930</v>
      </c>
      <c r="C48" s="1" t="n">
        <v>45989</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45989</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45989</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45989</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45989</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45989</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45989</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45989</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45989</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54110-2024</t>
        </is>
      </c>
      <c r="B57" s="1" t="n">
        <v>45616.54866898148</v>
      </c>
      <c r="C57" s="1" t="n">
        <v>45989</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25270-2025</t>
        </is>
      </c>
      <c r="B58" s="1" t="n">
        <v>45800</v>
      </c>
      <c r="C58" s="1" t="n">
        <v>45989</v>
      </c>
      <c r="D58" t="inlineStr">
        <is>
          <t>STOCKHOLMS LÄN</t>
        </is>
      </c>
      <c r="E58" t="inlineStr">
        <is>
          <t>NORRTÄLJE</t>
        </is>
      </c>
      <c r="F58" t="inlineStr">
        <is>
          <t>Övriga Aktiebolag</t>
        </is>
      </c>
      <c r="G58" t="n">
        <v>30</v>
      </c>
      <c r="H58" t="n">
        <v>0</v>
      </c>
      <c r="I58" t="n">
        <v>2</v>
      </c>
      <c r="J58" t="n">
        <v>1</v>
      </c>
      <c r="K58" t="n">
        <v>0</v>
      </c>
      <c r="L58" t="n">
        <v>0</v>
      </c>
      <c r="M58" t="n">
        <v>0</v>
      </c>
      <c r="N58" t="n">
        <v>0</v>
      </c>
      <c r="O58" t="n">
        <v>1</v>
      </c>
      <c r="P58" t="n">
        <v>0</v>
      </c>
      <c r="Q58" t="n">
        <v>3</v>
      </c>
      <c r="R58" s="2" t="inlineStr">
        <is>
          <t>Kandelabersvamp
Fjällig taggsvamp s.str.
Skarp dropptaggsvamp</t>
        </is>
      </c>
      <c r="S58">
        <f>HYPERLINK("https://klasma.github.io/Logging_0188/artfynd/A 25270-2025 artfynd.xlsx", "A 25270-2025")</f>
        <v/>
      </c>
      <c r="T58">
        <f>HYPERLINK("https://klasma.github.io/Logging_0188/kartor/A 25270-2025 karta.png", "A 25270-2025")</f>
        <v/>
      </c>
      <c r="V58">
        <f>HYPERLINK("https://klasma.github.io/Logging_0188/klagomål/A 25270-2025 FSC-klagomål.docx", "A 25270-2025")</f>
        <v/>
      </c>
      <c r="W58">
        <f>HYPERLINK("https://klasma.github.io/Logging_0188/klagomålsmail/A 25270-2025 FSC-klagomål mail.docx", "A 25270-2025")</f>
        <v/>
      </c>
      <c r="X58">
        <f>HYPERLINK("https://klasma.github.io/Logging_0188/tillsyn/A 25270-2025 tillsynsbegäran.docx", "A 25270-2025")</f>
        <v/>
      </c>
      <c r="Y58">
        <f>HYPERLINK("https://klasma.github.io/Logging_0188/tillsynsmail/A 25270-2025 tillsynsbegäran mail.docx", "A 25270-2025")</f>
        <v/>
      </c>
    </row>
    <row r="59" ht="15" customHeight="1">
      <c r="A59" t="inlineStr">
        <is>
          <t>A 29185-2025</t>
        </is>
      </c>
      <c r="B59" s="1" t="n">
        <v>45821</v>
      </c>
      <c r="C59" s="1" t="n">
        <v>45989</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2851-2023</t>
        </is>
      </c>
      <c r="B60" s="1" t="n">
        <v>44945</v>
      </c>
      <c r="C60" s="1" t="n">
        <v>45989</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45989</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34524-2025</t>
        </is>
      </c>
      <c r="B62" s="1" t="n">
        <v>45847.47685185185</v>
      </c>
      <c r="C62" s="1" t="n">
        <v>45989</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52726-2025</t>
        </is>
      </c>
      <c r="B63" s="1" t="n">
        <v>45957.34722222222</v>
      </c>
      <c r="C63" s="1" t="n">
        <v>45989</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53065-2024</t>
        </is>
      </c>
      <c r="B64" s="1" t="n">
        <v>45611.47233796296</v>
      </c>
      <c r="C64" s="1" t="n">
        <v>45989</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45989</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45989</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31803-2021</t>
        </is>
      </c>
      <c r="B67" s="1" t="n">
        <v>44370</v>
      </c>
      <c r="C67" s="1" t="n">
        <v>45989</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45989</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45989</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45989</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51220-2023</t>
        </is>
      </c>
      <c r="B71" s="1" t="n">
        <v>45219</v>
      </c>
      <c r="C71" s="1" t="n">
        <v>45989</v>
      </c>
      <c r="D71" t="inlineStr">
        <is>
          <t>STOCKHOLMS LÄN</t>
        </is>
      </c>
      <c r="E71" t="inlineStr">
        <is>
          <t>NORRTÄLJE</t>
        </is>
      </c>
      <c r="G71" t="n">
        <v>7.7</v>
      </c>
      <c r="H71" t="n">
        <v>1</v>
      </c>
      <c r="I71" t="n">
        <v>0</v>
      </c>
      <c r="J71" t="n">
        <v>1</v>
      </c>
      <c r="K71" t="n">
        <v>0</v>
      </c>
      <c r="L71" t="n">
        <v>0</v>
      </c>
      <c r="M71" t="n">
        <v>0</v>
      </c>
      <c r="N71" t="n">
        <v>0</v>
      </c>
      <c r="O71" t="n">
        <v>1</v>
      </c>
      <c r="P71" t="n">
        <v>0</v>
      </c>
      <c r="Q71" t="n">
        <v>2</v>
      </c>
      <c r="R71" s="2" t="inlineStr">
        <is>
          <t>Ullticka
Blåsippa</t>
        </is>
      </c>
      <c r="S71">
        <f>HYPERLINK("https://klasma.github.io/Logging_0188/artfynd/A 51220-2023 artfynd.xlsx", "A 51220-2023")</f>
        <v/>
      </c>
      <c r="T71">
        <f>HYPERLINK("https://klasma.github.io/Logging_0188/kartor/A 51220-2023 karta.png", "A 51220-2023")</f>
        <v/>
      </c>
      <c r="V71">
        <f>HYPERLINK("https://klasma.github.io/Logging_0188/klagomål/A 51220-2023 FSC-klagomål.docx", "A 51220-2023")</f>
        <v/>
      </c>
      <c r="W71">
        <f>HYPERLINK("https://klasma.github.io/Logging_0188/klagomålsmail/A 51220-2023 FSC-klagomål mail.docx", "A 51220-2023")</f>
        <v/>
      </c>
      <c r="X71">
        <f>HYPERLINK("https://klasma.github.io/Logging_0188/tillsyn/A 51220-2023 tillsynsbegäran.docx", "A 51220-2023")</f>
        <v/>
      </c>
      <c r="Y71">
        <f>HYPERLINK("https://klasma.github.io/Logging_0188/tillsynsmail/A 51220-2023 tillsynsbegäran mail.docx", "A 51220-2023")</f>
        <v/>
      </c>
    </row>
    <row r="72" ht="15" customHeight="1">
      <c r="A72" t="inlineStr">
        <is>
          <t>A 30693-2022</t>
        </is>
      </c>
      <c r="B72" s="1" t="n">
        <v>44763</v>
      </c>
      <c r="C72" s="1" t="n">
        <v>45989</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11031-2025</t>
        </is>
      </c>
      <c r="B73" s="1" t="n">
        <v>45723</v>
      </c>
      <c r="C73" s="1" t="n">
        <v>45989</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16260-2022</t>
        </is>
      </c>
      <c r="B74" s="1" t="n">
        <v>44670</v>
      </c>
      <c r="C74" s="1" t="n">
        <v>45989</v>
      </c>
      <c r="D74" t="inlineStr">
        <is>
          <t>STOCKHOLMS LÄN</t>
        </is>
      </c>
      <c r="E74" t="inlineStr">
        <is>
          <t>NORRTÄLJE</t>
        </is>
      </c>
      <c r="G74" t="n">
        <v>6.6</v>
      </c>
      <c r="H74" t="n">
        <v>1</v>
      </c>
      <c r="I74" t="n">
        <v>2</v>
      </c>
      <c r="J74" t="n">
        <v>0</v>
      </c>
      <c r="K74" t="n">
        <v>0</v>
      </c>
      <c r="L74" t="n">
        <v>0</v>
      </c>
      <c r="M74" t="n">
        <v>0</v>
      </c>
      <c r="N74" t="n">
        <v>0</v>
      </c>
      <c r="O74" t="n">
        <v>0</v>
      </c>
      <c r="P74" t="n">
        <v>0</v>
      </c>
      <c r="Q74" t="n">
        <v>2</v>
      </c>
      <c r="R74" s="2" t="inlineStr">
        <is>
          <t>Nästrot
Vårärt</t>
        </is>
      </c>
      <c r="S74">
        <f>HYPERLINK("https://klasma.github.io/Logging_0188/artfynd/A 16260-2022 artfynd.xlsx", "A 16260-2022")</f>
        <v/>
      </c>
      <c r="T74">
        <f>HYPERLINK("https://klasma.github.io/Logging_0188/kartor/A 16260-2022 karta.png", "A 16260-2022")</f>
        <v/>
      </c>
      <c r="V74">
        <f>HYPERLINK("https://klasma.github.io/Logging_0188/klagomål/A 16260-2022 FSC-klagomål.docx", "A 16260-2022")</f>
        <v/>
      </c>
      <c r="W74">
        <f>HYPERLINK("https://klasma.github.io/Logging_0188/klagomålsmail/A 16260-2022 FSC-klagomål mail.docx", "A 16260-2022")</f>
        <v/>
      </c>
      <c r="X74">
        <f>HYPERLINK("https://klasma.github.io/Logging_0188/tillsyn/A 16260-2022 tillsynsbegäran.docx", "A 16260-2022")</f>
        <v/>
      </c>
      <c r="Y74">
        <f>HYPERLINK("https://klasma.github.io/Logging_0188/tillsynsmail/A 16260-2022 tillsynsbegäran mail.docx", "A 16260-2022")</f>
        <v/>
      </c>
    </row>
    <row r="75" ht="15" customHeight="1">
      <c r="A75" t="inlineStr">
        <is>
          <t>A 22190-2024</t>
        </is>
      </c>
      <c r="B75" s="1" t="n">
        <v>45446.35888888889</v>
      </c>
      <c r="C75" s="1" t="n">
        <v>45989</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53608-2025</t>
        </is>
      </c>
      <c r="B76" s="1" t="n">
        <v>45960</v>
      </c>
      <c r="C76" s="1" t="n">
        <v>45989</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50697-2025</t>
        </is>
      </c>
      <c r="B77" s="1" t="n">
        <v>45945.90854166666</v>
      </c>
      <c r="C77" s="1" t="n">
        <v>45989</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52360-2024</t>
        </is>
      </c>
      <c r="B78" s="1" t="n">
        <v>45609.37094907407</v>
      </c>
      <c r="C78" s="1" t="n">
        <v>45989</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52825-2023</t>
        </is>
      </c>
      <c r="B79" s="1" t="n">
        <v>45226</v>
      </c>
      <c r="C79" s="1" t="n">
        <v>45989</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52124-2022</t>
        </is>
      </c>
      <c r="B80" s="1" t="n">
        <v>44868</v>
      </c>
      <c r="C80" s="1" t="n">
        <v>45989</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45989</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45989</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45989</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30138-2021</t>
        </is>
      </c>
      <c r="B84" s="1" t="n">
        <v>44363</v>
      </c>
      <c r="C84" s="1" t="n">
        <v>45989</v>
      </c>
      <c r="D84" t="inlineStr">
        <is>
          <t>STOCKHOLMS LÄN</t>
        </is>
      </c>
      <c r="E84" t="inlineStr">
        <is>
          <t>NORRTÄLJE</t>
        </is>
      </c>
      <c r="G84" t="n">
        <v>4.5</v>
      </c>
      <c r="H84" t="n">
        <v>0</v>
      </c>
      <c r="I84" t="n">
        <v>1</v>
      </c>
      <c r="J84" t="n">
        <v>0</v>
      </c>
      <c r="K84" t="n">
        <v>0</v>
      </c>
      <c r="L84" t="n">
        <v>0</v>
      </c>
      <c r="M84" t="n">
        <v>0</v>
      </c>
      <c r="N84" t="n">
        <v>0</v>
      </c>
      <c r="O84" t="n">
        <v>0</v>
      </c>
      <c r="P84" t="n">
        <v>0</v>
      </c>
      <c r="Q84" t="n">
        <v>1</v>
      </c>
      <c r="R84" s="2" t="inlineStr">
        <is>
          <t>Vårärt</t>
        </is>
      </c>
      <c r="S84">
        <f>HYPERLINK("https://klasma.github.io/Logging_0188/artfynd/A 30138-2021 artfynd.xlsx", "A 30138-2021")</f>
        <v/>
      </c>
      <c r="T84">
        <f>HYPERLINK("https://klasma.github.io/Logging_0188/kartor/A 30138-2021 karta.png", "A 30138-2021")</f>
        <v/>
      </c>
      <c r="V84">
        <f>HYPERLINK("https://klasma.github.io/Logging_0188/klagomål/A 30138-2021 FSC-klagomål.docx", "A 30138-2021")</f>
        <v/>
      </c>
      <c r="W84">
        <f>HYPERLINK("https://klasma.github.io/Logging_0188/klagomålsmail/A 30138-2021 FSC-klagomål mail.docx", "A 30138-2021")</f>
        <v/>
      </c>
      <c r="X84">
        <f>HYPERLINK("https://klasma.github.io/Logging_0188/tillsyn/A 30138-2021 tillsynsbegäran.docx", "A 30138-2021")</f>
        <v/>
      </c>
      <c r="Y84">
        <f>HYPERLINK("https://klasma.github.io/Logging_0188/tillsynsmail/A 30138-2021 tillsynsbegäran mail.docx", "A 30138-2021")</f>
        <v/>
      </c>
    </row>
    <row r="85" ht="15" customHeight="1">
      <c r="A85" t="inlineStr">
        <is>
          <t>A 17629-2022</t>
        </is>
      </c>
      <c r="B85" s="1" t="n">
        <v>44680</v>
      </c>
      <c r="C85" s="1" t="n">
        <v>45989</v>
      </c>
      <c r="D85" t="inlineStr">
        <is>
          <t>STOCKHOLMS LÄN</t>
        </is>
      </c>
      <c r="E85" t="inlineStr">
        <is>
          <t>NORRTÄLJE</t>
        </is>
      </c>
      <c r="G85" t="n">
        <v>0.6</v>
      </c>
      <c r="H85" t="n">
        <v>1</v>
      </c>
      <c r="I85" t="n">
        <v>0</v>
      </c>
      <c r="J85" t="n">
        <v>1</v>
      </c>
      <c r="K85" t="n">
        <v>0</v>
      </c>
      <c r="L85" t="n">
        <v>0</v>
      </c>
      <c r="M85" t="n">
        <v>0</v>
      </c>
      <c r="N85" t="n">
        <v>0</v>
      </c>
      <c r="O85" t="n">
        <v>1</v>
      </c>
      <c r="P85" t="n">
        <v>0</v>
      </c>
      <c r="Q85" t="n">
        <v>1</v>
      </c>
      <c r="R85" s="2" t="inlineStr">
        <is>
          <t>Hornuggla</t>
        </is>
      </c>
      <c r="S85">
        <f>HYPERLINK("https://klasma.github.io/Logging_0188/artfynd/A 17629-2022 artfynd.xlsx", "A 17629-2022")</f>
        <v/>
      </c>
      <c r="T85">
        <f>HYPERLINK("https://klasma.github.io/Logging_0188/kartor/A 17629-2022 karta.png", "A 17629-2022")</f>
        <v/>
      </c>
      <c r="V85">
        <f>HYPERLINK("https://klasma.github.io/Logging_0188/klagomål/A 17629-2022 FSC-klagomål.docx", "A 17629-2022")</f>
        <v/>
      </c>
      <c r="W85">
        <f>HYPERLINK("https://klasma.github.io/Logging_0188/klagomålsmail/A 17629-2022 FSC-klagomål mail.docx", "A 17629-2022")</f>
        <v/>
      </c>
      <c r="X85">
        <f>HYPERLINK("https://klasma.github.io/Logging_0188/tillsyn/A 17629-2022 tillsynsbegäran.docx", "A 17629-2022")</f>
        <v/>
      </c>
      <c r="Y85">
        <f>HYPERLINK("https://klasma.github.io/Logging_0188/tillsynsmail/A 17629-2022 tillsynsbegäran mail.docx", "A 17629-2022")</f>
        <v/>
      </c>
      <c r="Z85">
        <f>HYPERLINK("https://klasma.github.io/Logging_0188/fåglar/A 17629-2022 prioriterade fågelarter.docx", "A 17629-2022")</f>
        <v/>
      </c>
    </row>
    <row r="86" ht="15" customHeight="1">
      <c r="A86" t="inlineStr">
        <is>
          <t>A 33477-2022</t>
        </is>
      </c>
      <c r="B86" s="1" t="n">
        <v>44788.70217592592</v>
      </c>
      <c r="C86" s="1" t="n">
        <v>45989</v>
      </c>
      <c r="D86" t="inlineStr">
        <is>
          <t>STOCKHOLMS LÄN</t>
        </is>
      </c>
      <c r="E86" t="inlineStr">
        <is>
          <t>NORRTÄLJE</t>
        </is>
      </c>
      <c r="G86" t="n">
        <v>5.7</v>
      </c>
      <c r="H86" t="n">
        <v>1</v>
      </c>
      <c r="I86" t="n">
        <v>1</v>
      </c>
      <c r="J86" t="n">
        <v>0</v>
      </c>
      <c r="K86" t="n">
        <v>0</v>
      </c>
      <c r="L86" t="n">
        <v>0</v>
      </c>
      <c r="M86" t="n">
        <v>0</v>
      </c>
      <c r="N86" t="n">
        <v>0</v>
      </c>
      <c r="O86" t="n">
        <v>0</v>
      </c>
      <c r="P86" t="n">
        <v>0</v>
      </c>
      <c r="Q86" t="n">
        <v>1</v>
      </c>
      <c r="R86" s="2" t="inlineStr">
        <is>
          <t>Nästrot</t>
        </is>
      </c>
      <c r="S86">
        <f>HYPERLINK("https://klasma.github.io/Logging_0188/artfynd/A 33477-2022 artfynd.xlsx", "A 33477-2022")</f>
        <v/>
      </c>
      <c r="T86">
        <f>HYPERLINK("https://klasma.github.io/Logging_0188/kartor/A 33477-2022 karta.png", "A 33477-2022")</f>
        <v/>
      </c>
      <c r="V86">
        <f>HYPERLINK("https://klasma.github.io/Logging_0188/klagomål/A 33477-2022 FSC-klagomål.docx", "A 33477-2022")</f>
        <v/>
      </c>
      <c r="W86">
        <f>HYPERLINK("https://klasma.github.io/Logging_0188/klagomålsmail/A 33477-2022 FSC-klagomål mail.docx", "A 33477-2022")</f>
        <v/>
      </c>
      <c r="X86">
        <f>HYPERLINK("https://klasma.github.io/Logging_0188/tillsyn/A 33477-2022 tillsynsbegäran.docx", "A 33477-2022")</f>
        <v/>
      </c>
      <c r="Y86">
        <f>HYPERLINK("https://klasma.github.io/Logging_0188/tillsynsmail/A 33477-2022 tillsynsbegäran mail.docx", "A 33477-2022")</f>
        <v/>
      </c>
    </row>
    <row r="87" ht="15" customHeight="1">
      <c r="A87" t="inlineStr">
        <is>
          <t>A 32111-2022</t>
        </is>
      </c>
      <c r="B87" s="1" t="n">
        <v>44778.92797453704</v>
      </c>
      <c r="C87" s="1" t="n">
        <v>45989</v>
      </c>
      <c r="D87" t="inlineStr">
        <is>
          <t>STOCKHOLMS LÄN</t>
        </is>
      </c>
      <c r="E87" t="inlineStr">
        <is>
          <t>NORRTÄLJE</t>
        </is>
      </c>
      <c r="G87" t="n">
        <v>3.1</v>
      </c>
      <c r="H87" t="n">
        <v>0</v>
      </c>
      <c r="I87" t="n">
        <v>0</v>
      </c>
      <c r="J87" t="n">
        <v>1</v>
      </c>
      <c r="K87" t="n">
        <v>0</v>
      </c>
      <c r="L87" t="n">
        <v>0</v>
      </c>
      <c r="M87" t="n">
        <v>0</v>
      </c>
      <c r="N87" t="n">
        <v>0</v>
      </c>
      <c r="O87" t="n">
        <v>1</v>
      </c>
      <c r="P87" t="n">
        <v>0</v>
      </c>
      <c r="Q87" t="n">
        <v>1</v>
      </c>
      <c r="R87" s="2" t="inlineStr">
        <is>
          <t>Orange taggsvamp</t>
        </is>
      </c>
      <c r="S87">
        <f>HYPERLINK("https://klasma.github.io/Logging_0188/artfynd/A 32111-2022 artfynd.xlsx", "A 32111-2022")</f>
        <v/>
      </c>
      <c r="T87">
        <f>HYPERLINK("https://klasma.github.io/Logging_0188/kartor/A 32111-2022 karta.png", "A 32111-2022")</f>
        <v/>
      </c>
      <c r="V87">
        <f>HYPERLINK("https://klasma.github.io/Logging_0188/klagomål/A 32111-2022 FSC-klagomål.docx", "A 32111-2022")</f>
        <v/>
      </c>
      <c r="W87">
        <f>HYPERLINK("https://klasma.github.io/Logging_0188/klagomålsmail/A 32111-2022 FSC-klagomål mail.docx", "A 32111-2022")</f>
        <v/>
      </c>
      <c r="X87">
        <f>HYPERLINK("https://klasma.github.io/Logging_0188/tillsyn/A 32111-2022 tillsynsbegäran.docx", "A 32111-2022")</f>
        <v/>
      </c>
      <c r="Y87">
        <f>HYPERLINK("https://klasma.github.io/Logging_0188/tillsynsmail/A 32111-2022 tillsynsbegäran mail.docx", "A 32111-2022")</f>
        <v/>
      </c>
    </row>
    <row r="88" ht="15" customHeight="1">
      <c r="A88" t="inlineStr">
        <is>
          <t>A 47898-2022</t>
        </is>
      </c>
      <c r="B88" s="1" t="n">
        <v>44855</v>
      </c>
      <c r="C88" s="1" t="n">
        <v>45989</v>
      </c>
      <c r="D88" t="inlineStr">
        <is>
          <t>STOCKHOLMS LÄN</t>
        </is>
      </c>
      <c r="E88" t="inlineStr">
        <is>
          <t>NORRTÄLJE</t>
        </is>
      </c>
      <c r="G88" t="n">
        <v>6.7</v>
      </c>
      <c r="H88" t="n">
        <v>1</v>
      </c>
      <c r="I88" t="n">
        <v>1</v>
      </c>
      <c r="J88" t="n">
        <v>0</v>
      </c>
      <c r="K88" t="n">
        <v>0</v>
      </c>
      <c r="L88" t="n">
        <v>0</v>
      </c>
      <c r="M88" t="n">
        <v>0</v>
      </c>
      <c r="N88" t="n">
        <v>0</v>
      </c>
      <c r="O88" t="n">
        <v>0</v>
      </c>
      <c r="P88" t="n">
        <v>0</v>
      </c>
      <c r="Q88" t="n">
        <v>1</v>
      </c>
      <c r="R88" s="2" t="inlineStr">
        <is>
          <t>Guckusko</t>
        </is>
      </c>
      <c r="S88">
        <f>HYPERLINK("https://klasma.github.io/Logging_0188/artfynd/A 47898-2022 artfynd.xlsx", "A 47898-2022")</f>
        <v/>
      </c>
      <c r="T88">
        <f>HYPERLINK("https://klasma.github.io/Logging_0188/kartor/A 47898-2022 karta.png", "A 47898-2022")</f>
        <v/>
      </c>
      <c r="V88">
        <f>HYPERLINK("https://klasma.github.io/Logging_0188/klagomål/A 47898-2022 FSC-klagomål.docx", "A 47898-2022")</f>
        <v/>
      </c>
      <c r="W88">
        <f>HYPERLINK("https://klasma.github.io/Logging_0188/klagomålsmail/A 47898-2022 FSC-klagomål mail.docx", "A 47898-2022")</f>
        <v/>
      </c>
      <c r="X88">
        <f>HYPERLINK("https://klasma.github.io/Logging_0188/tillsyn/A 47898-2022 tillsynsbegäran.docx", "A 47898-2022")</f>
        <v/>
      </c>
      <c r="Y88">
        <f>HYPERLINK("https://klasma.github.io/Logging_0188/tillsynsmail/A 47898-2022 tillsynsbegäran mail.docx", "A 47898-2022")</f>
        <v/>
      </c>
    </row>
    <row r="89" ht="15" customHeight="1">
      <c r="A89" t="inlineStr">
        <is>
          <t>A 4595-2023</t>
        </is>
      </c>
      <c r="B89" s="1" t="n">
        <v>44956</v>
      </c>
      <c r="C89" s="1" t="n">
        <v>45989</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35649-2023</t>
        </is>
      </c>
      <c r="B90" s="1" t="n">
        <v>45146</v>
      </c>
      <c r="C90" s="1" t="n">
        <v>45989</v>
      </c>
      <c r="D90" t="inlineStr">
        <is>
          <t>STOCKHOLMS LÄN</t>
        </is>
      </c>
      <c r="E90" t="inlineStr">
        <is>
          <t>NORRTÄLJE</t>
        </is>
      </c>
      <c r="G90" t="n">
        <v>25.1</v>
      </c>
      <c r="H90" t="n">
        <v>0</v>
      </c>
      <c r="I90" t="n">
        <v>0</v>
      </c>
      <c r="J90" t="n">
        <v>1</v>
      </c>
      <c r="K90" t="n">
        <v>0</v>
      </c>
      <c r="L90" t="n">
        <v>0</v>
      </c>
      <c r="M90" t="n">
        <v>0</v>
      </c>
      <c r="N90" t="n">
        <v>0</v>
      </c>
      <c r="O90" t="n">
        <v>1</v>
      </c>
      <c r="P90" t="n">
        <v>0</v>
      </c>
      <c r="Q90" t="n">
        <v>1</v>
      </c>
      <c r="R90" s="2" t="inlineStr">
        <is>
          <t>Månlåsbräken</t>
        </is>
      </c>
      <c r="S90">
        <f>HYPERLINK("https://klasma.github.io/Logging_0188/artfynd/A 35649-2023 artfynd.xlsx", "A 35649-2023")</f>
        <v/>
      </c>
      <c r="T90">
        <f>HYPERLINK("https://klasma.github.io/Logging_0188/kartor/A 35649-2023 karta.png", "A 35649-2023")</f>
        <v/>
      </c>
      <c r="V90">
        <f>HYPERLINK("https://klasma.github.io/Logging_0188/klagomål/A 35649-2023 FSC-klagomål.docx", "A 35649-2023")</f>
        <v/>
      </c>
      <c r="W90">
        <f>HYPERLINK("https://klasma.github.io/Logging_0188/klagomålsmail/A 35649-2023 FSC-klagomål mail.docx", "A 35649-2023")</f>
        <v/>
      </c>
      <c r="X90">
        <f>HYPERLINK("https://klasma.github.io/Logging_0188/tillsyn/A 35649-2023 tillsynsbegäran.docx", "A 35649-2023")</f>
        <v/>
      </c>
      <c r="Y90">
        <f>HYPERLINK("https://klasma.github.io/Logging_0188/tillsynsmail/A 35649-2023 tillsynsbegäran mail.docx", "A 35649-2023")</f>
        <v/>
      </c>
    </row>
    <row r="91" ht="15" customHeight="1">
      <c r="A91" t="inlineStr">
        <is>
          <t>A 35764-2024</t>
        </is>
      </c>
      <c r="B91" s="1" t="n">
        <v>45532</v>
      </c>
      <c r="C91" s="1" t="n">
        <v>45989</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25669-2025</t>
        </is>
      </c>
      <c r="B92" s="1" t="n">
        <v>45803.62766203703</v>
      </c>
      <c r="C92" s="1" t="n">
        <v>45989</v>
      </c>
      <c r="D92" t="inlineStr">
        <is>
          <t>STOCKHOLMS LÄN</t>
        </is>
      </c>
      <c r="E92" t="inlineStr">
        <is>
          <t>NORRTÄLJE</t>
        </is>
      </c>
      <c r="F92" t="inlineStr">
        <is>
          <t>Holmen skog AB</t>
        </is>
      </c>
      <c r="G92" t="n">
        <v>3.1</v>
      </c>
      <c r="H92" t="n">
        <v>1</v>
      </c>
      <c r="I92" t="n">
        <v>0</v>
      </c>
      <c r="J92" t="n">
        <v>0</v>
      </c>
      <c r="K92" t="n">
        <v>0</v>
      </c>
      <c r="L92" t="n">
        <v>0</v>
      </c>
      <c r="M92" t="n">
        <v>0</v>
      </c>
      <c r="N92" t="n">
        <v>0</v>
      </c>
      <c r="O92" t="n">
        <v>0</v>
      </c>
      <c r="P92" t="n">
        <v>0</v>
      </c>
      <c r="Q92" t="n">
        <v>1</v>
      </c>
      <c r="R92" s="2" t="inlineStr">
        <is>
          <t>Tjäder</t>
        </is>
      </c>
      <c r="S92">
        <f>HYPERLINK("https://klasma.github.io/Logging_0188/artfynd/A 25669-2025 artfynd.xlsx", "A 25669-2025")</f>
        <v/>
      </c>
      <c r="T92">
        <f>HYPERLINK("https://klasma.github.io/Logging_0188/kartor/A 25669-2025 karta.png", "A 25669-2025")</f>
        <v/>
      </c>
      <c r="V92">
        <f>HYPERLINK("https://klasma.github.io/Logging_0188/klagomål/A 25669-2025 FSC-klagomål.docx", "A 25669-2025")</f>
        <v/>
      </c>
      <c r="W92">
        <f>HYPERLINK("https://klasma.github.io/Logging_0188/klagomålsmail/A 25669-2025 FSC-klagomål mail.docx", "A 25669-2025")</f>
        <v/>
      </c>
      <c r="X92">
        <f>HYPERLINK("https://klasma.github.io/Logging_0188/tillsyn/A 25669-2025 tillsynsbegäran.docx", "A 25669-2025")</f>
        <v/>
      </c>
      <c r="Y92">
        <f>HYPERLINK("https://klasma.github.io/Logging_0188/tillsynsmail/A 25669-2025 tillsynsbegäran mail.docx", "A 25669-2025")</f>
        <v/>
      </c>
      <c r="Z92">
        <f>HYPERLINK("https://klasma.github.io/Logging_0188/fåglar/A 25669-2025 prioriterade fågelarter.docx", "A 25669-2025")</f>
        <v/>
      </c>
    </row>
    <row r="93" ht="15" customHeight="1">
      <c r="A93" t="inlineStr">
        <is>
          <t>A 4860-2022</t>
        </is>
      </c>
      <c r="B93" s="1" t="n">
        <v>44592</v>
      </c>
      <c r="C93" s="1" t="n">
        <v>45989</v>
      </c>
      <c r="D93" t="inlineStr">
        <is>
          <t>STOCKHOLMS LÄN</t>
        </is>
      </c>
      <c r="E93" t="inlineStr">
        <is>
          <t>NORRTÄLJE</t>
        </is>
      </c>
      <c r="G93" t="n">
        <v>22.3</v>
      </c>
      <c r="H93" t="n">
        <v>0</v>
      </c>
      <c r="I93" t="n">
        <v>0</v>
      </c>
      <c r="J93" t="n">
        <v>1</v>
      </c>
      <c r="K93" t="n">
        <v>0</v>
      </c>
      <c r="L93" t="n">
        <v>0</v>
      </c>
      <c r="M93" t="n">
        <v>0</v>
      </c>
      <c r="N93" t="n">
        <v>0</v>
      </c>
      <c r="O93" t="n">
        <v>1</v>
      </c>
      <c r="P93" t="n">
        <v>0</v>
      </c>
      <c r="Q93" t="n">
        <v>1</v>
      </c>
      <c r="R93" s="2" t="inlineStr">
        <is>
          <t>Igelkott</t>
        </is>
      </c>
      <c r="S93">
        <f>HYPERLINK("https://klasma.github.io/Logging_0188/artfynd/A 4860-2022 artfynd.xlsx", "A 4860-2022")</f>
        <v/>
      </c>
      <c r="T93">
        <f>HYPERLINK("https://klasma.github.io/Logging_0188/kartor/A 4860-2022 karta.png", "A 4860-2022")</f>
        <v/>
      </c>
      <c r="V93">
        <f>HYPERLINK("https://klasma.github.io/Logging_0188/klagomål/A 4860-2022 FSC-klagomål.docx", "A 4860-2022")</f>
        <v/>
      </c>
      <c r="W93">
        <f>HYPERLINK("https://klasma.github.io/Logging_0188/klagomålsmail/A 4860-2022 FSC-klagomål mail.docx", "A 4860-2022")</f>
        <v/>
      </c>
      <c r="X93">
        <f>HYPERLINK("https://klasma.github.io/Logging_0188/tillsyn/A 4860-2022 tillsynsbegäran.docx", "A 4860-2022")</f>
        <v/>
      </c>
      <c r="Y93">
        <f>HYPERLINK("https://klasma.github.io/Logging_0188/tillsynsmail/A 4860-2022 tillsynsbegäran mail.docx", "A 4860-2022")</f>
        <v/>
      </c>
    </row>
    <row r="94" ht="15" customHeight="1">
      <c r="A94" t="inlineStr">
        <is>
          <t>A 40861-2025</t>
        </is>
      </c>
      <c r="B94" s="1" t="n">
        <v>45897.56356481482</v>
      </c>
      <c r="C94" s="1" t="n">
        <v>45989</v>
      </c>
      <c r="D94" t="inlineStr">
        <is>
          <t>STOCKHOLMS LÄN</t>
        </is>
      </c>
      <c r="E94" t="inlineStr">
        <is>
          <t>NORRTÄLJE</t>
        </is>
      </c>
      <c r="G94" t="n">
        <v>4</v>
      </c>
      <c r="H94" t="n">
        <v>0</v>
      </c>
      <c r="I94" t="n">
        <v>0</v>
      </c>
      <c r="J94" t="n">
        <v>1</v>
      </c>
      <c r="K94" t="n">
        <v>0</v>
      </c>
      <c r="L94" t="n">
        <v>0</v>
      </c>
      <c r="M94" t="n">
        <v>0</v>
      </c>
      <c r="N94" t="n">
        <v>0</v>
      </c>
      <c r="O94" t="n">
        <v>1</v>
      </c>
      <c r="P94" t="n">
        <v>0</v>
      </c>
      <c r="Q94" t="n">
        <v>1</v>
      </c>
      <c r="R94" s="2" t="inlineStr">
        <is>
          <t>Skogsklocka</t>
        </is>
      </c>
      <c r="S94">
        <f>HYPERLINK("https://klasma.github.io/Logging_0188/artfynd/A 40861-2025 artfynd.xlsx", "A 40861-2025")</f>
        <v/>
      </c>
      <c r="T94">
        <f>HYPERLINK("https://klasma.github.io/Logging_0188/kartor/A 40861-2025 karta.png", "A 40861-2025")</f>
        <v/>
      </c>
      <c r="V94">
        <f>HYPERLINK("https://klasma.github.io/Logging_0188/klagomål/A 40861-2025 FSC-klagomål.docx", "A 40861-2025")</f>
        <v/>
      </c>
      <c r="W94">
        <f>HYPERLINK("https://klasma.github.io/Logging_0188/klagomålsmail/A 40861-2025 FSC-klagomål mail.docx", "A 40861-2025")</f>
        <v/>
      </c>
      <c r="X94">
        <f>HYPERLINK("https://klasma.github.io/Logging_0188/tillsyn/A 40861-2025 tillsynsbegäran.docx", "A 40861-2025")</f>
        <v/>
      </c>
      <c r="Y94">
        <f>HYPERLINK("https://klasma.github.io/Logging_0188/tillsynsmail/A 40861-2025 tillsynsbegäran mail.docx", "A 40861-2025")</f>
        <v/>
      </c>
    </row>
    <row r="95" ht="15" customHeight="1">
      <c r="A95" t="inlineStr">
        <is>
          <t>A 13271-2025</t>
        </is>
      </c>
      <c r="B95" s="1" t="n">
        <v>45735.54510416667</v>
      </c>
      <c r="C95" s="1" t="n">
        <v>45989</v>
      </c>
      <c r="D95" t="inlineStr">
        <is>
          <t>STOCKHOLMS LÄN</t>
        </is>
      </c>
      <c r="E95" t="inlineStr">
        <is>
          <t>NORRTÄLJE</t>
        </is>
      </c>
      <c r="G95" t="n">
        <v>7.2</v>
      </c>
      <c r="H95" t="n">
        <v>1</v>
      </c>
      <c r="I95" t="n">
        <v>0</v>
      </c>
      <c r="J95" t="n">
        <v>0</v>
      </c>
      <c r="K95" t="n">
        <v>0</v>
      </c>
      <c r="L95" t="n">
        <v>1</v>
      </c>
      <c r="M95" t="n">
        <v>0</v>
      </c>
      <c r="N95" t="n">
        <v>0</v>
      </c>
      <c r="O95" t="n">
        <v>1</v>
      </c>
      <c r="P95" t="n">
        <v>1</v>
      </c>
      <c r="Q95" t="n">
        <v>1</v>
      </c>
      <c r="R95" s="2" t="inlineStr">
        <is>
          <t>Asknätfjäril</t>
        </is>
      </c>
      <c r="S95">
        <f>HYPERLINK("https://klasma.github.io/Logging_0188/artfynd/A 13271-2025 artfynd.xlsx", "A 13271-2025")</f>
        <v/>
      </c>
      <c r="T95">
        <f>HYPERLINK("https://klasma.github.io/Logging_0188/kartor/A 13271-2025 karta.png", "A 13271-2025")</f>
        <v/>
      </c>
      <c r="V95">
        <f>HYPERLINK("https://klasma.github.io/Logging_0188/klagomål/A 13271-2025 FSC-klagomål.docx", "A 13271-2025")</f>
        <v/>
      </c>
      <c r="W95">
        <f>HYPERLINK("https://klasma.github.io/Logging_0188/klagomålsmail/A 13271-2025 FSC-klagomål mail.docx", "A 13271-2025")</f>
        <v/>
      </c>
      <c r="X95">
        <f>HYPERLINK("https://klasma.github.io/Logging_0188/tillsyn/A 13271-2025 tillsynsbegäran.docx", "A 13271-2025")</f>
        <v/>
      </c>
      <c r="Y95">
        <f>HYPERLINK("https://klasma.github.io/Logging_0188/tillsynsmail/A 13271-2025 tillsynsbegäran mail.docx", "A 13271-2025")</f>
        <v/>
      </c>
    </row>
    <row r="96" ht="15" customHeight="1">
      <c r="A96" t="inlineStr">
        <is>
          <t>A 6381-2023</t>
        </is>
      </c>
      <c r="B96" s="1" t="n">
        <v>44965</v>
      </c>
      <c r="C96" s="1" t="n">
        <v>45989</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42313-2025</t>
        </is>
      </c>
      <c r="B97" s="1" t="n">
        <v>45904.6575</v>
      </c>
      <c r="C97" s="1" t="n">
        <v>45989</v>
      </c>
      <c r="D97" t="inlineStr">
        <is>
          <t>STOCKHOLMS LÄN</t>
        </is>
      </c>
      <c r="E97" t="inlineStr">
        <is>
          <t>NORRTÄLJE</t>
        </is>
      </c>
      <c r="G97" t="n">
        <v>1.7</v>
      </c>
      <c r="H97" t="n">
        <v>1</v>
      </c>
      <c r="I97" t="n">
        <v>0</v>
      </c>
      <c r="J97" t="n">
        <v>0</v>
      </c>
      <c r="K97" t="n">
        <v>0</v>
      </c>
      <c r="L97" t="n">
        <v>0</v>
      </c>
      <c r="M97" t="n">
        <v>0</v>
      </c>
      <c r="N97" t="n">
        <v>0</v>
      </c>
      <c r="O97" t="n">
        <v>0</v>
      </c>
      <c r="P97" t="n">
        <v>0</v>
      </c>
      <c r="Q97" t="n">
        <v>1</v>
      </c>
      <c r="R97" s="2" t="inlineStr">
        <is>
          <t>Vanlig padda</t>
        </is>
      </c>
      <c r="S97">
        <f>HYPERLINK("https://klasma.github.io/Logging_0188/artfynd/A 42313-2025 artfynd.xlsx", "A 42313-2025")</f>
        <v/>
      </c>
      <c r="T97">
        <f>HYPERLINK("https://klasma.github.io/Logging_0188/kartor/A 42313-2025 karta.png", "A 42313-2025")</f>
        <v/>
      </c>
      <c r="V97">
        <f>HYPERLINK("https://klasma.github.io/Logging_0188/klagomål/A 42313-2025 FSC-klagomål.docx", "A 42313-2025")</f>
        <v/>
      </c>
      <c r="W97">
        <f>HYPERLINK("https://klasma.github.io/Logging_0188/klagomålsmail/A 42313-2025 FSC-klagomål mail.docx", "A 42313-2025")</f>
        <v/>
      </c>
      <c r="X97">
        <f>HYPERLINK("https://klasma.github.io/Logging_0188/tillsyn/A 42313-2025 tillsynsbegäran.docx", "A 42313-2025")</f>
        <v/>
      </c>
      <c r="Y97">
        <f>HYPERLINK("https://klasma.github.io/Logging_0188/tillsynsmail/A 42313-2025 tillsynsbegäran mail.docx", "A 42313-2025")</f>
        <v/>
      </c>
    </row>
    <row r="98" ht="15" customHeight="1">
      <c r="A98" t="inlineStr">
        <is>
          <t>A 29946-2025</t>
        </is>
      </c>
      <c r="B98" s="1" t="n">
        <v>45826.46392361111</v>
      </c>
      <c r="C98" s="1" t="n">
        <v>45989</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58888-2021</t>
        </is>
      </c>
      <c r="B99" s="1" t="n">
        <v>44489</v>
      </c>
      <c r="C99" s="1" t="n">
        <v>45989</v>
      </c>
      <c r="D99" t="inlineStr">
        <is>
          <t>STOCKHOLMS LÄN</t>
        </is>
      </c>
      <c r="E99" t="inlineStr">
        <is>
          <t>NORRTÄLJE</t>
        </is>
      </c>
      <c r="F99" t="inlineStr">
        <is>
          <t>Holmen skog AB</t>
        </is>
      </c>
      <c r="G99" t="n">
        <v>2.5</v>
      </c>
      <c r="H99" t="n">
        <v>1</v>
      </c>
      <c r="I99" t="n">
        <v>0</v>
      </c>
      <c r="J99" t="n">
        <v>0</v>
      </c>
      <c r="K99" t="n">
        <v>0</v>
      </c>
      <c r="L99" t="n">
        <v>1</v>
      </c>
      <c r="M99" t="n">
        <v>0</v>
      </c>
      <c r="N99" t="n">
        <v>0</v>
      </c>
      <c r="O99" t="n">
        <v>1</v>
      </c>
      <c r="P99" t="n">
        <v>1</v>
      </c>
      <c r="Q99" t="n">
        <v>1</v>
      </c>
      <c r="R99" s="2" t="inlineStr">
        <is>
          <t>Asknätfjäril</t>
        </is>
      </c>
      <c r="S99">
        <f>HYPERLINK("https://klasma.github.io/Logging_0188/artfynd/A 58888-2021 artfynd.xlsx", "A 58888-2021")</f>
        <v/>
      </c>
      <c r="T99">
        <f>HYPERLINK("https://klasma.github.io/Logging_0188/kartor/A 58888-2021 karta.png", "A 58888-2021")</f>
        <v/>
      </c>
      <c r="V99">
        <f>HYPERLINK("https://klasma.github.io/Logging_0188/klagomål/A 58888-2021 FSC-klagomål.docx", "A 58888-2021")</f>
        <v/>
      </c>
      <c r="W99">
        <f>HYPERLINK("https://klasma.github.io/Logging_0188/klagomålsmail/A 58888-2021 FSC-klagomål mail.docx", "A 58888-2021")</f>
        <v/>
      </c>
      <c r="X99">
        <f>HYPERLINK("https://klasma.github.io/Logging_0188/tillsyn/A 58888-2021 tillsynsbegäran.docx", "A 58888-2021")</f>
        <v/>
      </c>
      <c r="Y99">
        <f>HYPERLINK("https://klasma.github.io/Logging_0188/tillsynsmail/A 58888-2021 tillsynsbegäran mail.docx", "A 58888-2021")</f>
        <v/>
      </c>
    </row>
    <row r="100" ht="15" customHeight="1">
      <c r="A100" t="inlineStr">
        <is>
          <t>A 33548-2025</t>
        </is>
      </c>
      <c r="B100" s="1" t="n">
        <v>45841.5721875</v>
      </c>
      <c r="C100" s="1" t="n">
        <v>45989</v>
      </c>
      <c r="D100" t="inlineStr">
        <is>
          <t>STOCKHOLMS LÄN</t>
        </is>
      </c>
      <c r="E100" t="inlineStr">
        <is>
          <t>NORRTÄLJE</t>
        </is>
      </c>
      <c r="G100" t="n">
        <v>12.2</v>
      </c>
      <c r="H100" t="n">
        <v>0</v>
      </c>
      <c r="I100" t="n">
        <v>0</v>
      </c>
      <c r="J100" t="n">
        <v>1</v>
      </c>
      <c r="K100" t="n">
        <v>0</v>
      </c>
      <c r="L100" t="n">
        <v>0</v>
      </c>
      <c r="M100" t="n">
        <v>0</v>
      </c>
      <c r="N100" t="n">
        <v>0</v>
      </c>
      <c r="O100" t="n">
        <v>1</v>
      </c>
      <c r="P100" t="n">
        <v>0</v>
      </c>
      <c r="Q100" t="n">
        <v>1</v>
      </c>
      <c r="R100" s="2" t="inlineStr">
        <is>
          <t>Dofttaggsvamp</t>
        </is>
      </c>
      <c r="S100">
        <f>HYPERLINK("https://klasma.github.io/Logging_0188/artfynd/A 33548-2025 artfynd.xlsx", "A 33548-2025")</f>
        <v/>
      </c>
      <c r="T100">
        <f>HYPERLINK("https://klasma.github.io/Logging_0188/kartor/A 33548-2025 karta.png", "A 33548-2025")</f>
        <v/>
      </c>
      <c r="V100">
        <f>HYPERLINK("https://klasma.github.io/Logging_0188/klagomål/A 33548-2025 FSC-klagomål.docx", "A 33548-2025")</f>
        <v/>
      </c>
      <c r="W100">
        <f>HYPERLINK("https://klasma.github.io/Logging_0188/klagomålsmail/A 33548-2025 FSC-klagomål mail.docx", "A 33548-2025")</f>
        <v/>
      </c>
      <c r="X100">
        <f>HYPERLINK("https://klasma.github.io/Logging_0188/tillsyn/A 33548-2025 tillsynsbegäran.docx", "A 33548-2025")</f>
        <v/>
      </c>
      <c r="Y100">
        <f>HYPERLINK("https://klasma.github.io/Logging_0188/tillsynsmail/A 33548-2025 tillsynsbegäran mail.docx", "A 33548-2025")</f>
        <v/>
      </c>
    </row>
    <row r="101" ht="15" customHeight="1">
      <c r="A101" t="inlineStr">
        <is>
          <t>A 33546-2025</t>
        </is>
      </c>
      <c r="B101" s="1" t="n">
        <v>45841.56996527778</v>
      </c>
      <c r="C101" s="1" t="n">
        <v>45989</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52775-2025</t>
        </is>
      </c>
      <c r="B102" s="1" t="n">
        <v>45957.41608796296</v>
      </c>
      <c r="C102" s="1" t="n">
        <v>45989</v>
      </c>
      <c r="D102" t="inlineStr">
        <is>
          <t>STOCKHOLMS LÄN</t>
        </is>
      </c>
      <c r="E102" t="inlineStr">
        <is>
          <t>NORRTÄLJE</t>
        </is>
      </c>
      <c r="F102" t="inlineStr">
        <is>
          <t>Sveaskog</t>
        </is>
      </c>
      <c r="G102" t="n">
        <v>5.6</v>
      </c>
      <c r="H102" t="n">
        <v>0</v>
      </c>
      <c r="I102" t="n">
        <v>0</v>
      </c>
      <c r="J102" t="n">
        <v>1</v>
      </c>
      <c r="K102" t="n">
        <v>0</v>
      </c>
      <c r="L102" t="n">
        <v>0</v>
      </c>
      <c r="M102" t="n">
        <v>0</v>
      </c>
      <c r="N102" t="n">
        <v>0</v>
      </c>
      <c r="O102" t="n">
        <v>1</v>
      </c>
      <c r="P102" t="n">
        <v>0</v>
      </c>
      <c r="Q102" t="n">
        <v>1</v>
      </c>
      <c r="R102" s="2" t="inlineStr">
        <is>
          <t>Vedtrappmossa</t>
        </is>
      </c>
      <c r="S102">
        <f>HYPERLINK("https://klasma.github.io/Logging_0188/artfynd/A 52775-2025 artfynd.xlsx", "A 52775-2025")</f>
        <v/>
      </c>
      <c r="T102">
        <f>HYPERLINK("https://klasma.github.io/Logging_0188/kartor/A 52775-2025 karta.png", "A 52775-2025")</f>
        <v/>
      </c>
      <c r="V102">
        <f>HYPERLINK("https://klasma.github.io/Logging_0188/klagomål/A 52775-2025 FSC-klagomål.docx", "A 52775-2025")</f>
        <v/>
      </c>
      <c r="W102">
        <f>HYPERLINK("https://klasma.github.io/Logging_0188/klagomålsmail/A 52775-2025 FSC-klagomål mail.docx", "A 52775-2025")</f>
        <v/>
      </c>
      <c r="X102">
        <f>HYPERLINK("https://klasma.github.io/Logging_0188/tillsyn/A 52775-2025 tillsynsbegäran.docx", "A 52775-2025")</f>
        <v/>
      </c>
      <c r="Y102">
        <f>HYPERLINK("https://klasma.github.io/Logging_0188/tillsynsmail/A 52775-2025 tillsynsbegäran mail.docx", "A 52775-2025")</f>
        <v/>
      </c>
    </row>
    <row r="103" ht="15" customHeight="1">
      <c r="A103" t="inlineStr">
        <is>
          <t>A 53716-2025</t>
        </is>
      </c>
      <c r="B103" s="1" t="n">
        <v>45960.61782407408</v>
      </c>
      <c r="C103" s="1" t="n">
        <v>45989</v>
      </c>
      <c r="D103" t="inlineStr">
        <is>
          <t>STOCKHOLMS LÄN</t>
        </is>
      </c>
      <c r="E103" t="inlineStr">
        <is>
          <t>NORRTÄLJE</t>
        </is>
      </c>
      <c r="G103" t="n">
        <v>3.4</v>
      </c>
      <c r="H103" t="n">
        <v>0</v>
      </c>
      <c r="I103" t="n">
        <v>0</v>
      </c>
      <c r="J103" t="n">
        <v>0</v>
      </c>
      <c r="K103" t="n">
        <v>0</v>
      </c>
      <c r="L103" t="n">
        <v>1</v>
      </c>
      <c r="M103" t="n">
        <v>0</v>
      </c>
      <c r="N103" t="n">
        <v>0</v>
      </c>
      <c r="O103" t="n">
        <v>1</v>
      </c>
      <c r="P103" t="n">
        <v>1</v>
      </c>
      <c r="Q103" t="n">
        <v>1</v>
      </c>
      <c r="R103" s="2" t="inlineStr">
        <is>
          <t>Fältgentiana</t>
        </is>
      </c>
      <c r="S103">
        <f>HYPERLINK("https://klasma.github.io/Logging_0188/artfynd/A 53716-2025 artfynd.xlsx", "A 53716-2025")</f>
        <v/>
      </c>
      <c r="T103">
        <f>HYPERLINK("https://klasma.github.io/Logging_0188/kartor/A 53716-2025 karta.png", "A 53716-2025")</f>
        <v/>
      </c>
      <c r="V103">
        <f>HYPERLINK("https://klasma.github.io/Logging_0188/klagomål/A 53716-2025 FSC-klagomål.docx", "A 53716-2025")</f>
        <v/>
      </c>
      <c r="W103">
        <f>HYPERLINK("https://klasma.github.io/Logging_0188/klagomålsmail/A 53716-2025 FSC-klagomål mail.docx", "A 53716-2025")</f>
        <v/>
      </c>
      <c r="X103">
        <f>HYPERLINK("https://klasma.github.io/Logging_0188/tillsyn/A 53716-2025 tillsynsbegäran.docx", "A 53716-2025")</f>
        <v/>
      </c>
      <c r="Y103">
        <f>HYPERLINK("https://klasma.github.io/Logging_0188/tillsynsmail/A 53716-2025 tillsynsbegäran mail.docx", "A 53716-2025")</f>
        <v/>
      </c>
    </row>
    <row r="104" ht="15" customHeight="1">
      <c r="A104" t="inlineStr">
        <is>
          <t>A 21744-2023</t>
        </is>
      </c>
      <c r="B104" s="1" t="n">
        <v>45065</v>
      </c>
      <c r="C104" s="1" t="n">
        <v>45989</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17952-2022</t>
        </is>
      </c>
      <c r="B105" s="1" t="n">
        <v>44683</v>
      </c>
      <c r="C105" s="1" t="n">
        <v>45989</v>
      </c>
      <c r="D105" t="inlineStr">
        <is>
          <t>STOCKHOLMS LÄN</t>
        </is>
      </c>
      <c r="E105" t="inlineStr">
        <is>
          <t>NORRTÄLJE</t>
        </is>
      </c>
      <c r="G105" t="n">
        <v>51.1</v>
      </c>
      <c r="H105" t="n">
        <v>0</v>
      </c>
      <c r="I105" t="n">
        <v>0</v>
      </c>
      <c r="J105" t="n">
        <v>0</v>
      </c>
      <c r="K105" t="n">
        <v>1</v>
      </c>
      <c r="L105" t="n">
        <v>0</v>
      </c>
      <c r="M105" t="n">
        <v>0</v>
      </c>
      <c r="N105" t="n">
        <v>0</v>
      </c>
      <c r="O105" t="n">
        <v>1</v>
      </c>
      <c r="P105" t="n">
        <v>1</v>
      </c>
      <c r="Q105" t="n">
        <v>1</v>
      </c>
      <c r="R105" s="2" t="inlineStr">
        <is>
          <t>Kattunvisslare</t>
        </is>
      </c>
      <c r="S105">
        <f>HYPERLINK("https://klasma.github.io/Logging_0188/artfynd/A 17952-2022 artfynd.xlsx", "A 17952-2022")</f>
        <v/>
      </c>
      <c r="T105">
        <f>HYPERLINK("https://klasma.github.io/Logging_0188/kartor/A 17952-2022 karta.png", "A 17952-2022")</f>
        <v/>
      </c>
      <c r="V105">
        <f>HYPERLINK("https://klasma.github.io/Logging_0188/klagomål/A 17952-2022 FSC-klagomål.docx", "A 17952-2022")</f>
        <v/>
      </c>
      <c r="W105">
        <f>HYPERLINK("https://klasma.github.io/Logging_0188/klagomålsmail/A 17952-2022 FSC-klagomål mail.docx", "A 17952-2022")</f>
        <v/>
      </c>
      <c r="X105">
        <f>HYPERLINK("https://klasma.github.io/Logging_0188/tillsyn/A 17952-2022 tillsynsbegäran.docx", "A 17952-2022")</f>
        <v/>
      </c>
      <c r="Y105">
        <f>HYPERLINK("https://klasma.github.io/Logging_0188/tillsynsmail/A 17952-2022 tillsynsbegäran mail.docx", "A 17952-2022")</f>
        <v/>
      </c>
    </row>
    <row r="106" ht="15" customHeight="1">
      <c r="A106" t="inlineStr">
        <is>
          <t>A 8371-2025</t>
        </is>
      </c>
      <c r="B106" s="1" t="n">
        <v>45708</v>
      </c>
      <c r="C106" s="1" t="n">
        <v>45989</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23146-2024</t>
        </is>
      </c>
      <c r="B107" s="1" t="n">
        <v>45450.63958333333</v>
      </c>
      <c r="C107" s="1" t="n">
        <v>45989</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39158-2025</t>
        </is>
      </c>
      <c r="B108" s="1" t="n">
        <v>45888</v>
      </c>
      <c r="C108" s="1" t="n">
        <v>45989</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27538-2024</t>
        </is>
      </c>
      <c r="B109" s="1" t="n">
        <v>45474</v>
      </c>
      <c r="C109" s="1" t="n">
        <v>45989</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4385-2023</t>
        </is>
      </c>
      <c r="B110" s="1" t="n">
        <v>44955.71322916666</v>
      </c>
      <c r="C110" s="1" t="n">
        <v>45989</v>
      </c>
      <c r="D110" t="inlineStr">
        <is>
          <t>STOCKHOLMS LÄN</t>
        </is>
      </c>
      <c r="E110" t="inlineStr">
        <is>
          <t>NORRTÄLJE</t>
        </is>
      </c>
      <c r="G110" t="n">
        <v>7.8</v>
      </c>
      <c r="H110" t="n">
        <v>1</v>
      </c>
      <c r="I110" t="n">
        <v>1</v>
      </c>
      <c r="J110" t="n">
        <v>0</v>
      </c>
      <c r="K110" t="n">
        <v>0</v>
      </c>
      <c r="L110" t="n">
        <v>0</v>
      </c>
      <c r="M110" t="n">
        <v>0</v>
      </c>
      <c r="N110" t="n">
        <v>0</v>
      </c>
      <c r="O110" t="n">
        <v>0</v>
      </c>
      <c r="P110" t="n">
        <v>0</v>
      </c>
      <c r="Q110" t="n">
        <v>1</v>
      </c>
      <c r="R110" s="2" t="inlineStr">
        <is>
          <t>Skogsknipprot</t>
        </is>
      </c>
      <c r="S110">
        <f>HYPERLINK("https://klasma.github.io/Logging_0188/artfynd/A 4385-2023 artfynd.xlsx", "A 4385-2023")</f>
        <v/>
      </c>
      <c r="T110">
        <f>HYPERLINK("https://klasma.github.io/Logging_0188/kartor/A 4385-2023 karta.png", "A 4385-2023")</f>
        <v/>
      </c>
      <c r="V110">
        <f>HYPERLINK("https://klasma.github.io/Logging_0188/klagomål/A 4385-2023 FSC-klagomål.docx", "A 4385-2023")</f>
        <v/>
      </c>
      <c r="W110">
        <f>HYPERLINK("https://klasma.github.io/Logging_0188/klagomålsmail/A 4385-2023 FSC-klagomål mail.docx", "A 4385-2023")</f>
        <v/>
      </c>
      <c r="X110">
        <f>HYPERLINK("https://klasma.github.io/Logging_0188/tillsyn/A 4385-2023 tillsynsbegäran.docx", "A 4385-2023")</f>
        <v/>
      </c>
      <c r="Y110">
        <f>HYPERLINK("https://klasma.github.io/Logging_0188/tillsynsmail/A 4385-2023 tillsynsbegäran mail.docx", "A 4385-2023")</f>
        <v/>
      </c>
    </row>
    <row r="111" ht="15" customHeight="1">
      <c r="A111" t="inlineStr">
        <is>
          <t>A 24330-2023</t>
        </is>
      </c>
      <c r="B111" s="1" t="n">
        <v>45081</v>
      </c>
      <c r="C111" s="1" t="n">
        <v>45989</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24535-2023</t>
        </is>
      </c>
      <c r="B112" s="1" t="n">
        <v>45082</v>
      </c>
      <c r="C112" s="1" t="n">
        <v>45989</v>
      </c>
      <c r="D112" t="inlineStr">
        <is>
          <t>STOCKHOLMS LÄN</t>
        </is>
      </c>
      <c r="E112" t="inlineStr">
        <is>
          <t>NORRTÄLJE</t>
        </is>
      </c>
      <c r="F112" t="inlineStr">
        <is>
          <t>Kommuner</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HYPERLINK("https://klasma.github.io/Logging_0188/artfynd/A 24535-2023 artfynd.xlsx", "A 24535-2023")</f>
        <v/>
      </c>
      <c r="T112">
        <f>HYPERLINK("https://klasma.github.io/Logging_0188/kartor/A 24535-2023 karta.png", "A 24535-2023")</f>
        <v/>
      </c>
      <c r="V112">
        <f>HYPERLINK("https://klasma.github.io/Logging_0188/klagomål/A 24535-2023 FSC-klagomål.docx", "A 24535-2023")</f>
        <v/>
      </c>
      <c r="W112">
        <f>HYPERLINK("https://klasma.github.io/Logging_0188/klagomålsmail/A 24535-2023 FSC-klagomål mail.docx", "A 24535-2023")</f>
        <v/>
      </c>
      <c r="X112">
        <f>HYPERLINK("https://klasma.github.io/Logging_0188/tillsyn/A 24535-2023 tillsynsbegäran.docx", "A 24535-2023")</f>
        <v/>
      </c>
      <c r="Y112">
        <f>HYPERLINK("https://klasma.github.io/Logging_0188/tillsynsmail/A 24535-2023 tillsynsbegäran mail.docx", "A 24535-2023")</f>
        <v/>
      </c>
    </row>
    <row r="113" ht="15" customHeight="1">
      <c r="A113" t="inlineStr">
        <is>
          <t>A 26635-2023</t>
        </is>
      </c>
      <c r="B113" s="1" t="n">
        <v>45092</v>
      </c>
      <c r="C113" s="1" t="n">
        <v>45989</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19829-2022</t>
        </is>
      </c>
      <c r="B114" s="1" t="n">
        <v>44695.43527777777</v>
      </c>
      <c r="C114" s="1" t="n">
        <v>45989</v>
      </c>
      <c r="D114" t="inlineStr">
        <is>
          <t>STOCKHOLMS LÄN</t>
        </is>
      </c>
      <c r="E114" t="inlineStr">
        <is>
          <t>NORRTÄLJE</t>
        </is>
      </c>
      <c r="G114" t="n">
        <v>2</v>
      </c>
      <c r="H114" t="n">
        <v>1</v>
      </c>
      <c r="I114" t="n">
        <v>1</v>
      </c>
      <c r="J114" t="n">
        <v>0</v>
      </c>
      <c r="K114" t="n">
        <v>0</v>
      </c>
      <c r="L114" t="n">
        <v>0</v>
      </c>
      <c r="M114" t="n">
        <v>0</v>
      </c>
      <c r="N114" t="n">
        <v>0</v>
      </c>
      <c r="O114" t="n">
        <v>0</v>
      </c>
      <c r="P114" t="n">
        <v>0</v>
      </c>
      <c r="Q114" t="n">
        <v>1</v>
      </c>
      <c r="R114" s="2" t="inlineStr">
        <is>
          <t>Guckusko</t>
        </is>
      </c>
      <c r="S114">
        <f>HYPERLINK("https://klasma.github.io/Logging_0188/artfynd/A 19829-2022 artfynd.xlsx", "A 19829-2022")</f>
        <v/>
      </c>
      <c r="T114">
        <f>HYPERLINK("https://klasma.github.io/Logging_0188/kartor/A 19829-2022 karta.png", "A 19829-2022")</f>
        <v/>
      </c>
      <c r="V114">
        <f>HYPERLINK("https://klasma.github.io/Logging_0188/klagomål/A 19829-2022 FSC-klagomål.docx", "A 19829-2022")</f>
        <v/>
      </c>
      <c r="W114">
        <f>HYPERLINK("https://klasma.github.io/Logging_0188/klagomålsmail/A 19829-2022 FSC-klagomål mail.docx", "A 19829-2022")</f>
        <v/>
      </c>
      <c r="X114">
        <f>HYPERLINK("https://klasma.github.io/Logging_0188/tillsyn/A 19829-2022 tillsynsbegäran.docx", "A 19829-2022")</f>
        <v/>
      </c>
      <c r="Y114">
        <f>HYPERLINK("https://klasma.github.io/Logging_0188/tillsynsmail/A 19829-2022 tillsynsbegäran mail.docx", "A 19829-2022")</f>
        <v/>
      </c>
    </row>
    <row r="115" ht="15" customHeight="1">
      <c r="A115" t="inlineStr">
        <is>
          <t>A 35691-2023</t>
        </is>
      </c>
      <c r="B115" s="1" t="n">
        <v>45147.65222222222</v>
      </c>
      <c r="C115" s="1" t="n">
        <v>45989</v>
      </c>
      <c r="D115" t="inlineStr">
        <is>
          <t>STOCKHOLMS LÄN</t>
        </is>
      </c>
      <c r="E115" t="inlineStr">
        <is>
          <t>NORRTÄLJE</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HYPERLINK("https://klasma.github.io/Logging_0188/artfynd/A 35691-2023 artfynd.xlsx", "A 35691-2023")</f>
        <v/>
      </c>
      <c r="T115">
        <f>HYPERLINK("https://klasma.github.io/Logging_0188/kartor/A 35691-2023 karta.png", "A 35691-2023")</f>
        <v/>
      </c>
      <c r="V115">
        <f>HYPERLINK("https://klasma.github.io/Logging_0188/klagomål/A 35691-2023 FSC-klagomål.docx", "A 35691-2023")</f>
        <v/>
      </c>
      <c r="W115">
        <f>HYPERLINK("https://klasma.github.io/Logging_0188/klagomålsmail/A 35691-2023 FSC-klagomål mail.docx", "A 35691-2023")</f>
        <v/>
      </c>
      <c r="X115">
        <f>HYPERLINK("https://klasma.github.io/Logging_0188/tillsyn/A 35691-2023 tillsynsbegäran.docx", "A 35691-2023")</f>
        <v/>
      </c>
      <c r="Y115">
        <f>HYPERLINK("https://klasma.github.io/Logging_0188/tillsynsmail/A 35691-2023 tillsynsbegäran mail.docx", "A 35691-2023")</f>
        <v/>
      </c>
      <c r="Z115">
        <f>HYPERLINK("https://klasma.github.io/Logging_0188/fåglar/A 35691-2023 prioriterade fågelarter.docx", "A 35691-2023")</f>
        <v/>
      </c>
    </row>
    <row r="116" ht="15" customHeight="1">
      <c r="A116" t="inlineStr">
        <is>
          <t>A 35693-2023</t>
        </is>
      </c>
      <c r="B116" s="1" t="n">
        <v>45147.65311342593</v>
      </c>
      <c r="C116" s="1" t="n">
        <v>45989</v>
      </c>
      <c r="D116" t="inlineStr">
        <is>
          <t>STOCKHOLMS LÄN</t>
        </is>
      </c>
      <c r="E116" t="inlineStr">
        <is>
          <t>NORRTÄLJE</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HYPERLINK("https://klasma.github.io/Logging_0188/artfynd/A 35693-2023 artfynd.xlsx", "A 35693-2023")</f>
        <v/>
      </c>
      <c r="T116">
        <f>HYPERLINK("https://klasma.github.io/Logging_0188/kartor/A 35693-2023 karta.png", "A 35693-2023")</f>
        <v/>
      </c>
      <c r="V116">
        <f>HYPERLINK("https://klasma.github.io/Logging_0188/klagomål/A 35693-2023 FSC-klagomål.docx", "A 35693-2023")</f>
        <v/>
      </c>
      <c r="W116">
        <f>HYPERLINK("https://klasma.github.io/Logging_0188/klagomålsmail/A 35693-2023 FSC-klagomål mail.docx", "A 35693-2023")</f>
        <v/>
      </c>
      <c r="X116">
        <f>HYPERLINK("https://klasma.github.io/Logging_0188/tillsyn/A 35693-2023 tillsynsbegäran.docx", "A 35693-2023")</f>
        <v/>
      </c>
      <c r="Y116">
        <f>HYPERLINK("https://klasma.github.io/Logging_0188/tillsynsmail/A 35693-2023 tillsynsbegäran mail.docx", "A 35693-2023")</f>
        <v/>
      </c>
    </row>
    <row r="117" ht="15" customHeight="1">
      <c r="A117" t="inlineStr">
        <is>
          <t>A 4532-2025</t>
        </is>
      </c>
      <c r="B117" s="1" t="n">
        <v>45687.34177083334</v>
      </c>
      <c r="C117" s="1" t="n">
        <v>45989</v>
      </c>
      <c r="D117" t="inlineStr">
        <is>
          <t>STOCKHOLMS LÄN</t>
        </is>
      </c>
      <c r="E117" t="inlineStr">
        <is>
          <t>NORRTÄLJE</t>
        </is>
      </c>
      <c r="F117" t="inlineStr">
        <is>
          <t>Holmen skog AB</t>
        </is>
      </c>
      <c r="G117" t="n">
        <v>6.4</v>
      </c>
      <c r="H117" t="n">
        <v>1</v>
      </c>
      <c r="I117" t="n">
        <v>0</v>
      </c>
      <c r="J117" t="n">
        <v>0</v>
      </c>
      <c r="K117" t="n">
        <v>0</v>
      </c>
      <c r="L117" t="n">
        <v>1</v>
      </c>
      <c r="M117" t="n">
        <v>0</v>
      </c>
      <c r="N117" t="n">
        <v>0</v>
      </c>
      <c r="O117" t="n">
        <v>1</v>
      </c>
      <c r="P117" t="n">
        <v>1</v>
      </c>
      <c r="Q117" t="n">
        <v>1</v>
      </c>
      <c r="R117" s="2" t="inlineStr">
        <is>
          <t>Asknätfjäril</t>
        </is>
      </c>
      <c r="S117">
        <f>HYPERLINK("https://klasma.github.io/Logging_0188/artfynd/A 4532-2025 artfynd.xlsx", "A 4532-2025")</f>
        <v/>
      </c>
      <c r="T117">
        <f>HYPERLINK("https://klasma.github.io/Logging_0188/kartor/A 4532-2025 karta.png", "A 4532-2025")</f>
        <v/>
      </c>
      <c r="V117">
        <f>HYPERLINK("https://klasma.github.io/Logging_0188/klagomål/A 4532-2025 FSC-klagomål.docx", "A 4532-2025")</f>
        <v/>
      </c>
      <c r="W117">
        <f>HYPERLINK("https://klasma.github.io/Logging_0188/klagomålsmail/A 4532-2025 FSC-klagomål mail.docx", "A 4532-2025")</f>
        <v/>
      </c>
      <c r="X117">
        <f>HYPERLINK("https://klasma.github.io/Logging_0188/tillsyn/A 4532-2025 tillsynsbegäran.docx", "A 4532-2025")</f>
        <v/>
      </c>
      <c r="Y117">
        <f>HYPERLINK("https://klasma.github.io/Logging_0188/tillsynsmail/A 4532-2025 tillsynsbegäran mail.docx", "A 4532-2025")</f>
        <v/>
      </c>
    </row>
    <row r="118" ht="15" customHeight="1">
      <c r="A118" t="inlineStr">
        <is>
          <t>A 16870-2025</t>
        </is>
      </c>
      <c r="B118" s="1" t="n">
        <v>45754</v>
      </c>
      <c r="C118" s="1" t="n">
        <v>45989</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14365-2025</t>
        </is>
      </c>
      <c r="B119" s="1" t="n">
        <v>45741.38688657407</v>
      </c>
      <c r="C119" s="1" t="n">
        <v>45989</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21150-2022</t>
        </is>
      </c>
      <c r="B120" s="1" t="n">
        <v>44704</v>
      </c>
      <c r="C120" s="1" t="n">
        <v>45989</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1162-2021</t>
        </is>
      </c>
      <c r="B121" s="1" t="n">
        <v>44207</v>
      </c>
      <c r="C121" s="1" t="n">
        <v>45989</v>
      </c>
      <c r="D121" t="inlineStr">
        <is>
          <t>STOCKHOLMS LÄN</t>
        </is>
      </c>
      <c r="E121" t="inlineStr">
        <is>
          <t>NORRTÄLJE</t>
        </is>
      </c>
      <c r="G121" t="n">
        <v>2.2</v>
      </c>
      <c r="H121" t="n">
        <v>1</v>
      </c>
      <c r="I121" t="n">
        <v>0</v>
      </c>
      <c r="J121" t="n">
        <v>0</v>
      </c>
      <c r="K121" t="n">
        <v>1</v>
      </c>
      <c r="L121" t="n">
        <v>0</v>
      </c>
      <c r="M121" t="n">
        <v>0</v>
      </c>
      <c r="N121" t="n">
        <v>0</v>
      </c>
      <c r="O121" t="n">
        <v>1</v>
      </c>
      <c r="P121" t="n">
        <v>1</v>
      </c>
      <c r="Q121" t="n">
        <v>1</v>
      </c>
      <c r="R121" s="2" t="inlineStr">
        <is>
          <t>Hällebräcka</t>
        </is>
      </c>
      <c r="S121">
        <f>HYPERLINK("https://klasma.github.io/Logging_0188/artfynd/A 1162-2021 artfynd.xlsx", "A 1162-2021")</f>
        <v/>
      </c>
      <c r="T121">
        <f>HYPERLINK("https://klasma.github.io/Logging_0188/kartor/A 1162-2021 karta.png", "A 1162-2021")</f>
        <v/>
      </c>
      <c r="V121">
        <f>HYPERLINK("https://klasma.github.io/Logging_0188/klagomål/A 1162-2021 FSC-klagomål.docx", "A 1162-2021")</f>
        <v/>
      </c>
      <c r="W121">
        <f>HYPERLINK("https://klasma.github.io/Logging_0188/klagomålsmail/A 1162-2021 FSC-klagomål mail.docx", "A 1162-2021")</f>
        <v/>
      </c>
      <c r="X121">
        <f>HYPERLINK("https://klasma.github.io/Logging_0188/tillsyn/A 1162-2021 tillsynsbegäran.docx", "A 1162-2021")</f>
        <v/>
      </c>
      <c r="Y121">
        <f>HYPERLINK("https://klasma.github.io/Logging_0188/tillsynsmail/A 1162-2021 tillsynsbegäran mail.docx", "A 1162-2021")</f>
        <v/>
      </c>
    </row>
    <row r="122" ht="15" customHeight="1">
      <c r="A122" t="inlineStr">
        <is>
          <t>A 26120-2024</t>
        </is>
      </c>
      <c r="B122" s="1" t="n">
        <v>45468.45995370371</v>
      </c>
      <c r="C122" s="1" t="n">
        <v>45989</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11429-2023</t>
        </is>
      </c>
      <c r="B123" s="1" t="n">
        <v>44993</v>
      </c>
      <c r="C123" s="1" t="n">
        <v>45989</v>
      </c>
      <c r="D123" t="inlineStr">
        <is>
          <t>STOCKHOLMS LÄN</t>
        </is>
      </c>
      <c r="E123" t="inlineStr">
        <is>
          <t>NORRTÄLJE</t>
        </is>
      </c>
      <c r="G123" t="n">
        <v>2</v>
      </c>
      <c r="H123" t="n">
        <v>0</v>
      </c>
      <c r="I123" t="n">
        <v>0</v>
      </c>
      <c r="J123" t="n">
        <v>1</v>
      </c>
      <c r="K123" t="n">
        <v>0</v>
      </c>
      <c r="L123" t="n">
        <v>0</v>
      </c>
      <c r="M123" t="n">
        <v>0</v>
      </c>
      <c r="N123" t="n">
        <v>0</v>
      </c>
      <c r="O123" t="n">
        <v>1</v>
      </c>
      <c r="P123" t="n">
        <v>0</v>
      </c>
      <c r="Q123" t="n">
        <v>1</v>
      </c>
      <c r="R123" s="2" t="inlineStr">
        <is>
          <t>Skogsklocka</t>
        </is>
      </c>
      <c r="S123">
        <f>HYPERLINK("https://klasma.github.io/Logging_0188/artfynd/A 11429-2023 artfynd.xlsx", "A 11429-2023")</f>
        <v/>
      </c>
      <c r="T123">
        <f>HYPERLINK("https://klasma.github.io/Logging_0188/kartor/A 11429-2023 karta.png", "A 11429-2023")</f>
        <v/>
      </c>
      <c r="V123">
        <f>HYPERLINK("https://klasma.github.io/Logging_0188/klagomål/A 11429-2023 FSC-klagomål.docx", "A 11429-2023")</f>
        <v/>
      </c>
      <c r="W123">
        <f>HYPERLINK("https://klasma.github.io/Logging_0188/klagomålsmail/A 11429-2023 FSC-klagomål mail.docx", "A 11429-2023")</f>
        <v/>
      </c>
      <c r="X123">
        <f>HYPERLINK("https://klasma.github.io/Logging_0188/tillsyn/A 11429-2023 tillsynsbegäran.docx", "A 11429-2023")</f>
        <v/>
      </c>
      <c r="Y123">
        <f>HYPERLINK("https://klasma.github.io/Logging_0188/tillsynsmail/A 11429-2023 tillsynsbegäran mail.docx", "A 11429-2023")</f>
        <v/>
      </c>
    </row>
    <row r="124" ht="15" customHeight="1">
      <c r="A124" t="inlineStr">
        <is>
          <t>A 50854-2022</t>
        </is>
      </c>
      <c r="B124" s="1" t="n">
        <v>44863</v>
      </c>
      <c r="C124" s="1" t="n">
        <v>45989</v>
      </c>
      <c r="D124" t="inlineStr">
        <is>
          <t>STOCKHOLMS LÄN</t>
        </is>
      </c>
      <c r="E124" t="inlineStr">
        <is>
          <t>NORRTÄLJE</t>
        </is>
      </c>
      <c r="G124" t="n">
        <v>2.9</v>
      </c>
      <c r="H124" t="n">
        <v>0</v>
      </c>
      <c r="I124" t="n">
        <v>1</v>
      </c>
      <c r="J124" t="n">
        <v>0</v>
      </c>
      <c r="K124" t="n">
        <v>0</v>
      </c>
      <c r="L124" t="n">
        <v>0</v>
      </c>
      <c r="M124" t="n">
        <v>0</v>
      </c>
      <c r="N124" t="n">
        <v>0</v>
      </c>
      <c r="O124" t="n">
        <v>0</v>
      </c>
      <c r="P124" t="n">
        <v>0</v>
      </c>
      <c r="Q124" t="n">
        <v>1</v>
      </c>
      <c r="R124" s="2" t="inlineStr">
        <is>
          <t>Tibast</t>
        </is>
      </c>
      <c r="S124">
        <f>HYPERLINK("https://klasma.github.io/Logging_0188/artfynd/A 50854-2022 artfynd.xlsx", "A 50854-2022")</f>
        <v/>
      </c>
      <c r="T124">
        <f>HYPERLINK("https://klasma.github.io/Logging_0188/kartor/A 50854-2022 karta.png", "A 50854-2022")</f>
        <v/>
      </c>
      <c r="V124">
        <f>HYPERLINK("https://klasma.github.io/Logging_0188/klagomål/A 50854-2022 FSC-klagomål.docx", "A 50854-2022")</f>
        <v/>
      </c>
      <c r="W124">
        <f>HYPERLINK("https://klasma.github.io/Logging_0188/klagomålsmail/A 50854-2022 FSC-klagomål mail.docx", "A 50854-2022")</f>
        <v/>
      </c>
      <c r="X124">
        <f>HYPERLINK("https://klasma.github.io/Logging_0188/tillsyn/A 50854-2022 tillsynsbegäran.docx", "A 50854-2022")</f>
        <v/>
      </c>
      <c r="Y124">
        <f>HYPERLINK("https://klasma.github.io/Logging_0188/tillsynsmail/A 50854-2022 tillsynsbegäran mail.docx", "A 50854-2022")</f>
        <v/>
      </c>
    </row>
    <row r="125" ht="15" customHeight="1">
      <c r="A125" t="inlineStr">
        <is>
          <t>A 64456-2023</t>
        </is>
      </c>
      <c r="B125" s="1" t="n">
        <v>45280</v>
      </c>
      <c r="C125" s="1" t="n">
        <v>45989</v>
      </c>
      <c r="D125" t="inlineStr">
        <is>
          <t>STOCKHOLMS LÄN</t>
        </is>
      </c>
      <c r="E125" t="inlineStr">
        <is>
          <t>NORRTÄLJE</t>
        </is>
      </c>
      <c r="G125" t="n">
        <v>2.5</v>
      </c>
      <c r="H125" t="n">
        <v>0</v>
      </c>
      <c r="I125" t="n">
        <v>1</v>
      </c>
      <c r="J125" t="n">
        <v>0</v>
      </c>
      <c r="K125" t="n">
        <v>0</v>
      </c>
      <c r="L125" t="n">
        <v>0</v>
      </c>
      <c r="M125" t="n">
        <v>0</v>
      </c>
      <c r="N125" t="n">
        <v>0</v>
      </c>
      <c r="O125" t="n">
        <v>0</v>
      </c>
      <c r="P125" t="n">
        <v>0</v>
      </c>
      <c r="Q125" t="n">
        <v>1</v>
      </c>
      <c r="R125" s="2" t="inlineStr">
        <is>
          <t>Rödgul trumpetsvamp</t>
        </is>
      </c>
      <c r="S125">
        <f>HYPERLINK("https://klasma.github.io/Logging_0188/artfynd/A 64456-2023 artfynd.xlsx", "A 64456-2023")</f>
        <v/>
      </c>
      <c r="T125">
        <f>HYPERLINK("https://klasma.github.io/Logging_0188/kartor/A 64456-2023 karta.png", "A 64456-2023")</f>
        <v/>
      </c>
      <c r="V125">
        <f>HYPERLINK("https://klasma.github.io/Logging_0188/klagomål/A 64456-2023 FSC-klagomål.docx", "A 64456-2023")</f>
        <v/>
      </c>
      <c r="W125">
        <f>HYPERLINK("https://klasma.github.io/Logging_0188/klagomålsmail/A 64456-2023 FSC-klagomål mail.docx", "A 64456-2023")</f>
        <v/>
      </c>
      <c r="X125">
        <f>HYPERLINK("https://klasma.github.io/Logging_0188/tillsyn/A 64456-2023 tillsynsbegäran.docx", "A 64456-2023")</f>
        <v/>
      </c>
      <c r="Y125">
        <f>HYPERLINK("https://klasma.github.io/Logging_0188/tillsynsmail/A 64456-2023 tillsynsbegäran mail.docx", "A 64456-2023")</f>
        <v/>
      </c>
    </row>
    <row r="126" ht="15" customHeight="1">
      <c r="A126" t="inlineStr">
        <is>
          <t>A 52611-2024</t>
        </is>
      </c>
      <c r="B126" s="1" t="n">
        <v>45609.83747685186</v>
      </c>
      <c r="C126" s="1" t="n">
        <v>45989</v>
      </c>
      <c r="D126" t="inlineStr">
        <is>
          <t>STOCKHOLMS LÄN</t>
        </is>
      </c>
      <c r="E126" t="inlineStr">
        <is>
          <t>NORRTÄLJE</t>
        </is>
      </c>
      <c r="G126" t="n">
        <v>10.6</v>
      </c>
      <c r="H126" t="n">
        <v>1</v>
      </c>
      <c r="I126" t="n">
        <v>0</v>
      </c>
      <c r="J126" t="n">
        <v>0</v>
      </c>
      <c r="K126" t="n">
        <v>0</v>
      </c>
      <c r="L126" t="n">
        <v>0</v>
      </c>
      <c r="M126" t="n">
        <v>0</v>
      </c>
      <c r="N126" t="n">
        <v>0</v>
      </c>
      <c r="O126" t="n">
        <v>0</v>
      </c>
      <c r="P126" t="n">
        <v>0</v>
      </c>
      <c r="Q126" t="n">
        <v>1</v>
      </c>
      <c r="R126" s="2" t="inlineStr">
        <is>
          <t>Blåsippa</t>
        </is>
      </c>
      <c r="S126">
        <f>HYPERLINK("https://klasma.github.io/Logging_0188/artfynd/A 52611-2024 artfynd.xlsx", "A 52611-2024")</f>
        <v/>
      </c>
      <c r="T126">
        <f>HYPERLINK("https://klasma.github.io/Logging_0188/kartor/A 52611-2024 karta.png", "A 52611-2024")</f>
        <v/>
      </c>
      <c r="V126">
        <f>HYPERLINK("https://klasma.github.io/Logging_0188/klagomål/A 52611-2024 FSC-klagomål.docx", "A 52611-2024")</f>
        <v/>
      </c>
      <c r="W126">
        <f>HYPERLINK("https://klasma.github.io/Logging_0188/klagomålsmail/A 52611-2024 FSC-klagomål mail.docx", "A 52611-2024")</f>
        <v/>
      </c>
      <c r="X126">
        <f>HYPERLINK("https://klasma.github.io/Logging_0188/tillsyn/A 52611-2024 tillsynsbegäran.docx", "A 52611-2024")</f>
        <v/>
      </c>
      <c r="Y126">
        <f>HYPERLINK("https://klasma.github.io/Logging_0188/tillsynsmail/A 52611-2024 tillsynsbegäran mail.docx", "A 52611-2024")</f>
        <v/>
      </c>
    </row>
    <row r="127" ht="15" customHeight="1">
      <c r="A127" t="inlineStr">
        <is>
          <t>A 52508-2023</t>
        </is>
      </c>
      <c r="B127" s="1" t="n">
        <v>45225</v>
      </c>
      <c r="C127" s="1" t="n">
        <v>45989</v>
      </c>
      <c r="D127" t="inlineStr">
        <is>
          <t>STOCKHOLMS LÄN</t>
        </is>
      </c>
      <c r="E127" t="inlineStr">
        <is>
          <t>NORRTÄLJE</t>
        </is>
      </c>
      <c r="G127" t="n">
        <v>19.7</v>
      </c>
      <c r="H127" t="n">
        <v>1</v>
      </c>
      <c r="I127" t="n">
        <v>0</v>
      </c>
      <c r="J127" t="n">
        <v>0</v>
      </c>
      <c r="K127" t="n">
        <v>1</v>
      </c>
      <c r="L127" t="n">
        <v>0</v>
      </c>
      <c r="M127" t="n">
        <v>0</v>
      </c>
      <c r="N127" t="n">
        <v>0</v>
      </c>
      <c r="O127" t="n">
        <v>1</v>
      </c>
      <c r="P127" t="n">
        <v>1</v>
      </c>
      <c r="Q127" t="n">
        <v>1</v>
      </c>
      <c r="R127" s="2" t="inlineStr">
        <is>
          <t>Svärta</t>
        </is>
      </c>
      <c r="S127">
        <f>HYPERLINK("https://klasma.github.io/Logging_0188/artfynd/A 52508-2023 artfynd.xlsx", "A 52508-2023")</f>
        <v/>
      </c>
      <c r="T127">
        <f>HYPERLINK("https://klasma.github.io/Logging_0188/kartor/A 52508-2023 karta.png", "A 52508-2023")</f>
        <v/>
      </c>
      <c r="V127">
        <f>HYPERLINK("https://klasma.github.io/Logging_0188/klagomål/A 52508-2023 FSC-klagomål.docx", "A 52508-2023")</f>
        <v/>
      </c>
      <c r="W127">
        <f>HYPERLINK("https://klasma.github.io/Logging_0188/klagomålsmail/A 52508-2023 FSC-klagomål mail.docx", "A 52508-2023")</f>
        <v/>
      </c>
      <c r="X127">
        <f>HYPERLINK("https://klasma.github.io/Logging_0188/tillsyn/A 52508-2023 tillsynsbegäran.docx", "A 52508-2023")</f>
        <v/>
      </c>
      <c r="Y127">
        <f>HYPERLINK("https://klasma.github.io/Logging_0188/tillsynsmail/A 52508-2023 tillsynsbegäran mail.docx", "A 52508-2023")</f>
        <v/>
      </c>
    </row>
    <row r="128" ht="15" customHeight="1">
      <c r="A128" t="inlineStr">
        <is>
          <t>A 48131-2023</t>
        </is>
      </c>
      <c r="B128" s="1" t="n">
        <v>45205</v>
      </c>
      <c r="C128" s="1" t="n">
        <v>45989</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27827-2022</t>
        </is>
      </c>
      <c r="B129" s="1" t="n">
        <v>44743.59504629629</v>
      </c>
      <c r="C129" s="1" t="n">
        <v>45989</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9955-2022</t>
        </is>
      </c>
      <c r="B130" s="1" t="n">
        <v>44620</v>
      </c>
      <c r="C130" s="1" t="n">
        <v>45989</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23905-2025</t>
        </is>
      </c>
      <c r="B131" s="1" t="n">
        <v>45794.63298611111</v>
      </c>
      <c r="C131" s="1" t="n">
        <v>45989</v>
      </c>
      <c r="D131" t="inlineStr">
        <is>
          <t>STOCKHOLMS LÄN</t>
        </is>
      </c>
      <c r="E131" t="inlineStr">
        <is>
          <t>NORRTÄLJE</t>
        </is>
      </c>
      <c r="G131" t="n">
        <v>8.4</v>
      </c>
      <c r="H131" t="n">
        <v>1</v>
      </c>
      <c r="I131" t="n">
        <v>0</v>
      </c>
      <c r="J131" t="n">
        <v>0</v>
      </c>
      <c r="K131" t="n">
        <v>0</v>
      </c>
      <c r="L131" t="n">
        <v>0</v>
      </c>
      <c r="M131" t="n">
        <v>0</v>
      </c>
      <c r="N131" t="n">
        <v>0</v>
      </c>
      <c r="O131" t="n">
        <v>0</v>
      </c>
      <c r="P131" t="n">
        <v>0</v>
      </c>
      <c r="Q131" t="n">
        <v>1</v>
      </c>
      <c r="R131" s="2" t="inlineStr">
        <is>
          <t>Blåsippa</t>
        </is>
      </c>
      <c r="S131">
        <f>HYPERLINK("https://klasma.github.io/Logging_0188/artfynd/A 23905-2025 artfynd.xlsx", "A 23905-2025")</f>
        <v/>
      </c>
      <c r="T131">
        <f>HYPERLINK("https://klasma.github.io/Logging_0188/kartor/A 23905-2025 karta.png", "A 23905-2025")</f>
        <v/>
      </c>
      <c r="V131">
        <f>HYPERLINK("https://klasma.github.io/Logging_0188/klagomål/A 23905-2025 FSC-klagomål.docx", "A 23905-2025")</f>
        <v/>
      </c>
      <c r="W131">
        <f>HYPERLINK("https://klasma.github.io/Logging_0188/klagomålsmail/A 23905-2025 FSC-klagomål mail.docx", "A 23905-2025")</f>
        <v/>
      </c>
      <c r="X131">
        <f>HYPERLINK("https://klasma.github.io/Logging_0188/tillsyn/A 23905-2025 tillsynsbegäran.docx", "A 23905-2025")</f>
        <v/>
      </c>
      <c r="Y131">
        <f>HYPERLINK("https://klasma.github.io/Logging_0188/tillsynsmail/A 23905-2025 tillsynsbegäran mail.docx", "A 23905-2025")</f>
        <v/>
      </c>
    </row>
    <row r="132" ht="15" customHeight="1">
      <c r="A132" t="inlineStr">
        <is>
          <t>A 1970-2021</t>
        </is>
      </c>
      <c r="B132" s="1" t="n">
        <v>44210</v>
      </c>
      <c r="C132" s="1" t="n">
        <v>45989</v>
      </c>
      <c r="D132" t="inlineStr">
        <is>
          <t>STOCKHOLMS LÄN</t>
        </is>
      </c>
      <c r="E132" t="inlineStr">
        <is>
          <t>NORRTÄLJE</t>
        </is>
      </c>
      <c r="G132" t="n">
        <v>3.1</v>
      </c>
      <c r="H132" t="n">
        <v>0</v>
      </c>
      <c r="I132" t="n">
        <v>0</v>
      </c>
      <c r="J132" t="n">
        <v>0</v>
      </c>
      <c r="K132" t="n">
        <v>0</v>
      </c>
      <c r="L132" t="n">
        <v>0</v>
      </c>
      <c r="M132" t="n">
        <v>0</v>
      </c>
      <c r="N132" t="n">
        <v>0</v>
      </c>
      <c r="O132" t="n">
        <v>0</v>
      </c>
      <c r="P132" t="n">
        <v>0</v>
      </c>
      <c r="Q132" t="n">
        <v>0</v>
      </c>
      <c r="R132" s="2" t="inlineStr"/>
    </row>
    <row r="133" ht="15" customHeight="1">
      <c r="A133" t="inlineStr">
        <is>
          <t>A 1637-2021</t>
        </is>
      </c>
      <c r="B133" s="1" t="n">
        <v>44209</v>
      </c>
      <c r="C133" s="1" t="n">
        <v>45989</v>
      </c>
      <c r="D133" t="inlineStr">
        <is>
          <t>STOCKHOLMS LÄN</t>
        </is>
      </c>
      <c r="E133" t="inlineStr">
        <is>
          <t>NORRTÄLJE</t>
        </is>
      </c>
      <c r="G133" t="n">
        <v>1.6</v>
      </c>
      <c r="H133" t="n">
        <v>0</v>
      </c>
      <c r="I133" t="n">
        <v>0</v>
      </c>
      <c r="J133" t="n">
        <v>0</v>
      </c>
      <c r="K133" t="n">
        <v>0</v>
      </c>
      <c r="L133" t="n">
        <v>0</v>
      </c>
      <c r="M133" t="n">
        <v>0</v>
      </c>
      <c r="N133" t="n">
        <v>0</v>
      </c>
      <c r="O133" t="n">
        <v>0</v>
      </c>
      <c r="P133" t="n">
        <v>0</v>
      </c>
      <c r="Q133" t="n">
        <v>0</v>
      </c>
      <c r="R133" s="2" t="inlineStr"/>
    </row>
    <row r="134" ht="15" customHeight="1">
      <c r="A134" t="inlineStr">
        <is>
          <t>A 18580-2021</t>
        </is>
      </c>
      <c r="B134" s="1" t="n">
        <v>44306</v>
      </c>
      <c r="C134" s="1" t="n">
        <v>45989</v>
      </c>
      <c r="D134" t="inlineStr">
        <is>
          <t>STOCKHOLMS LÄN</t>
        </is>
      </c>
      <c r="E134" t="inlineStr">
        <is>
          <t>NORRTÄLJE</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12877-2022</t>
        </is>
      </c>
      <c r="B135" s="1" t="n">
        <v>44642</v>
      </c>
      <c r="C135" s="1" t="n">
        <v>45989</v>
      </c>
      <c r="D135" t="inlineStr">
        <is>
          <t>STOCKHOLMS LÄN</t>
        </is>
      </c>
      <c r="E135" t="inlineStr">
        <is>
          <t>NORRTÄLJE</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71543-2021</t>
        </is>
      </c>
      <c r="B136" s="1" t="n">
        <v>44540</v>
      </c>
      <c r="C136" s="1" t="n">
        <v>45989</v>
      </c>
      <c r="D136" t="inlineStr">
        <is>
          <t>STOCKHOLMS LÄN</t>
        </is>
      </c>
      <c r="E136" t="inlineStr">
        <is>
          <t>NORRTÄLJE</t>
        </is>
      </c>
      <c r="G136" t="n">
        <v>1.8</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45989</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45989</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45989</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15289-2021</t>
        </is>
      </c>
      <c r="B140" s="1" t="n">
        <v>44284.59546296296</v>
      </c>
      <c r="C140" s="1" t="n">
        <v>45989</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40542-2021</t>
        </is>
      </c>
      <c r="B141" s="1" t="n">
        <v>44420</v>
      </c>
      <c r="C141" s="1" t="n">
        <v>45989</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40546-2021</t>
        </is>
      </c>
      <c r="B142" s="1" t="n">
        <v>44420</v>
      </c>
      <c r="C142" s="1" t="n">
        <v>45989</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23096-2021</t>
        </is>
      </c>
      <c r="B143" s="1" t="n">
        <v>44330</v>
      </c>
      <c r="C143" s="1" t="n">
        <v>45989</v>
      </c>
      <c r="D143" t="inlineStr">
        <is>
          <t>STOCKHOLMS LÄN</t>
        </is>
      </c>
      <c r="E143" t="inlineStr">
        <is>
          <t>NORRTÄLJE</t>
        </is>
      </c>
      <c r="G143" t="n">
        <v>0.3</v>
      </c>
      <c r="H143" t="n">
        <v>0</v>
      </c>
      <c r="I143" t="n">
        <v>0</v>
      </c>
      <c r="J143" t="n">
        <v>0</v>
      </c>
      <c r="K143" t="n">
        <v>0</v>
      </c>
      <c r="L143" t="n">
        <v>0</v>
      </c>
      <c r="M143" t="n">
        <v>0</v>
      </c>
      <c r="N143" t="n">
        <v>0</v>
      </c>
      <c r="O143" t="n">
        <v>0</v>
      </c>
      <c r="P143" t="n">
        <v>0</v>
      </c>
      <c r="Q143" t="n">
        <v>0</v>
      </c>
      <c r="R143" s="2" t="inlineStr"/>
    </row>
    <row r="144" ht="15" customHeight="1">
      <c r="A144" t="inlineStr">
        <is>
          <t>A 24977-2022</t>
        </is>
      </c>
      <c r="B144" s="1" t="n">
        <v>44728.73465277778</v>
      </c>
      <c r="C144" s="1" t="n">
        <v>45989</v>
      </c>
      <c r="D144" t="inlineStr">
        <is>
          <t>STOCKHOLMS LÄN</t>
        </is>
      </c>
      <c r="E144" t="inlineStr">
        <is>
          <t>NORRTÄLJE</t>
        </is>
      </c>
      <c r="F144" t="inlineStr">
        <is>
          <t>Kyrkan</t>
        </is>
      </c>
      <c r="G144" t="n">
        <v>1</v>
      </c>
      <c r="H144" t="n">
        <v>0</v>
      </c>
      <c r="I144" t="n">
        <v>0</v>
      </c>
      <c r="J144" t="n">
        <v>0</v>
      </c>
      <c r="K144" t="n">
        <v>0</v>
      </c>
      <c r="L144" t="n">
        <v>0</v>
      </c>
      <c r="M144" t="n">
        <v>0</v>
      </c>
      <c r="N144" t="n">
        <v>0</v>
      </c>
      <c r="O144" t="n">
        <v>0</v>
      </c>
      <c r="P144" t="n">
        <v>0</v>
      </c>
      <c r="Q144" t="n">
        <v>0</v>
      </c>
      <c r="R144" s="2" t="inlineStr"/>
    </row>
    <row r="145" ht="15" customHeight="1">
      <c r="A145" t="inlineStr">
        <is>
          <t>A 31934-2022</t>
        </is>
      </c>
      <c r="B145" s="1" t="n">
        <v>44777</v>
      </c>
      <c r="C145" s="1" t="n">
        <v>45989</v>
      </c>
      <c r="D145" t="inlineStr">
        <is>
          <t>STOCKHOLMS LÄN</t>
        </is>
      </c>
      <c r="E145" t="inlineStr">
        <is>
          <t>NORRTÄLJE</t>
        </is>
      </c>
      <c r="G145" t="n">
        <v>1.2</v>
      </c>
      <c r="H145" t="n">
        <v>0</v>
      </c>
      <c r="I145" t="n">
        <v>0</v>
      </c>
      <c r="J145" t="n">
        <v>0</v>
      </c>
      <c r="K145" t="n">
        <v>0</v>
      </c>
      <c r="L145" t="n">
        <v>0</v>
      </c>
      <c r="M145" t="n">
        <v>0</v>
      </c>
      <c r="N145" t="n">
        <v>0</v>
      </c>
      <c r="O145" t="n">
        <v>0</v>
      </c>
      <c r="P145" t="n">
        <v>0</v>
      </c>
      <c r="Q145" t="n">
        <v>0</v>
      </c>
      <c r="R145" s="2" t="inlineStr"/>
    </row>
    <row r="146" ht="15" customHeight="1">
      <c r="A146" t="inlineStr">
        <is>
          <t>A 37815-2022</t>
        </is>
      </c>
      <c r="B146" s="1" t="n">
        <v>44810.85092592592</v>
      </c>
      <c r="C146" s="1" t="n">
        <v>45989</v>
      </c>
      <c r="D146" t="inlineStr">
        <is>
          <t>STOCKHOLMS LÄN</t>
        </is>
      </c>
      <c r="E146" t="inlineStr">
        <is>
          <t>NORRTÄLJE</t>
        </is>
      </c>
      <c r="G146" t="n">
        <v>1.3</v>
      </c>
      <c r="H146" t="n">
        <v>0</v>
      </c>
      <c r="I146" t="n">
        <v>0</v>
      </c>
      <c r="J146" t="n">
        <v>0</v>
      </c>
      <c r="K146" t="n">
        <v>0</v>
      </c>
      <c r="L146" t="n">
        <v>0</v>
      </c>
      <c r="M146" t="n">
        <v>0</v>
      </c>
      <c r="N146" t="n">
        <v>0</v>
      </c>
      <c r="O146" t="n">
        <v>0</v>
      </c>
      <c r="P146" t="n">
        <v>0</v>
      </c>
      <c r="Q146" t="n">
        <v>0</v>
      </c>
      <c r="R146" s="2" t="inlineStr"/>
    </row>
    <row r="147" ht="15" customHeight="1">
      <c r="A147" t="inlineStr">
        <is>
          <t>A 11821-2022</t>
        </is>
      </c>
      <c r="B147" s="1" t="n">
        <v>44634</v>
      </c>
      <c r="C147" s="1" t="n">
        <v>45989</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2977-2022</t>
        </is>
      </c>
      <c r="B148" s="1" t="n">
        <v>44581.75819444445</v>
      </c>
      <c r="C148" s="1" t="n">
        <v>45989</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73855-2021</t>
        </is>
      </c>
      <c r="B149" s="1" t="n">
        <v>44552</v>
      </c>
      <c r="C149" s="1" t="n">
        <v>45989</v>
      </c>
      <c r="D149" t="inlineStr">
        <is>
          <t>STOCKHOLMS LÄN</t>
        </is>
      </c>
      <c r="E149" t="inlineStr">
        <is>
          <t>NORRTÄLJE</t>
        </is>
      </c>
      <c r="F149" t="inlineStr">
        <is>
          <t>Övriga Aktiebolag</t>
        </is>
      </c>
      <c r="G149" t="n">
        <v>4</v>
      </c>
      <c r="H149" t="n">
        <v>0</v>
      </c>
      <c r="I149" t="n">
        <v>0</v>
      </c>
      <c r="J149" t="n">
        <v>0</v>
      </c>
      <c r="K149" t="n">
        <v>0</v>
      </c>
      <c r="L149" t="n">
        <v>0</v>
      </c>
      <c r="M149" t="n">
        <v>0</v>
      </c>
      <c r="N149" t="n">
        <v>0</v>
      </c>
      <c r="O149" t="n">
        <v>0</v>
      </c>
      <c r="P149" t="n">
        <v>0</v>
      </c>
      <c r="Q149" t="n">
        <v>0</v>
      </c>
      <c r="R149" s="2" t="inlineStr"/>
    </row>
    <row r="150" ht="15" customHeight="1">
      <c r="A150" t="inlineStr">
        <is>
          <t>A 74468-2021</t>
        </is>
      </c>
      <c r="B150" s="1" t="n">
        <v>44560</v>
      </c>
      <c r="C150" s="1" t="n">
        <v>45989</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54272-2021</t>
        </is>
      </c>
      <c r="B151" s="1" t="n">
        <v>44470.72148148148</v>
      </c>
      <c r="C151" s="1" t="n">
        <v>45989</v>
      </c>
      <c r="D151" t="inlineStr">
        <is>
          <t>STOCKHOLMS LÄN</t>
        </is>
      </c>
      <c r="E151" t="inlineStr">
        <is>
          <t>NORRTÄLJE</t>
        </is>
      </c>
      <c r="G151" t="n">
        <v>5.8</v>
      </c>
      <c r="H151" t="n">
        <v>0</v>
      </c>
      <c r="I151" t="n">
        <v>0</v>
      </c>
      <c r="J151" t="n">
        <v>0</v>
      </c>
      <c r="K151" t="n">
        <v>0</v>
      </c>
      <c r="L151" t="n">
        <v>0</v>
      </c>
      <c r="M151" t="n">
        <v>0</v>
      </c>
      <c r="N151" t="n">
        <v>0</v>
      </c>
      <c r="O151" t="n">
        <v>0</v>
      </c>
      <c r="P151" t="n">
        <v>0</v>
      </c>
      <c r="Q151" t="n">
        <v>0</v>
      </c>
      <c r="R151" s="2" t="inlineStr"/>
    </row>
    <row r="152" ht="15" customHeight="1">
      <c r="A152" t="inlineStr">
        <is>
          <t>A 31283-2022</t>
        </is>
      </c>
      <c r="B152" s="1" t="n">
        <v>44771</v>
      </c>
      <c r="C152" s="1" t="n">
        <v>45989</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56225-2021</t>
        </is>
      </c>
      <c r="B153" s="1" t="n">
        <v>44477.94327546296</v>
      </c>
      <c r="C153" s="1" t="n">
        <v>45989</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34436-2021</t>
        </is>
      </c>
      <c r="B154" s="1" t="n">
        <v>44380</v>
      </c>
      <c r="C154" s="1" t="n">
        <v>45989</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67525-2021</t>
        </is>
      </c>
      <c r="B155" s="1" t="n">
        <v>44524</v>
      </c>
      <c r="C155" s="1" t="n">
        <v>45989</v>
      </c>
      <c r="D155" t="inlineStr">
        <is>
          <t>STOCKHOLMS LÄN</t>
        </is>
      </c>
      <c r="E155" t="inlineStr">
        <is>
          <t>NORRTÄLJE</t>
        </is>
      </c>
      <c r="G155" t="n">
        <v>0.8</v>
      </c>
      <c r="H155" t="n">
        <v>0</v>
      </c>
      <c r="I155" t="n">
        <v>0</v>
      </c>
      <c r="J155" t="n">
        <v>0</v>
      </c>
      <c r="K155" t="n">
        <v>0</v>
      </c>
      <c r="L155" t="n">
        <v>0</v>
      </c>
      <c r="M155" t="n">
        <v>0</v>
      </c>
      <c r="N155" t="n">
        <v>0</v>
      </c>
      <c r="O155" t="n">
        <v>0</v>
      </c>
      <c r="P155" t="n">
        <v>0</v>
      </c>
      <c r="Q155" t="n">
        <v>0</v>
      </c>
      <c r="R155" s="2" t="inlineStr"/>
    </row>
    <row r="156" ht="15" customHeight="1">
      <c r="A156" t="inlineStr">
        <is>
          <t>A 65737-2021</t>
        </is>
      </c>
      <c r="B156" s="1" t="n">
        <v>44516.72827546296</v>
      </c>
      <c r="C156" s="1" t="n">
        <v>45989</v>
      </c>
      <c r="D156" t="inlineStr">
        <is>
          <t>STOCKHOLMS LÄN</t>
        </is>
      </c>
      <c r="E156" t="inlineStr">
        <is>
          <t>NORRTÄLJE</t>
        </is>
      </c>
      <c r="G156" t="n">
        <v>3</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45989</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52133-2022</t>
        </is>
      </c>
      <c r="B158" s="1" t="n">
        <v>44868</v>
      </c>
      <c r="C158" s="1" t="n">
        <v>45989</v>
      </c>
      <c r="D158" t="inlineStr">
        <is>
          <t>STOCKHOLMS LÄN</t>
        </is>
      </c>
      <c r="E158" t="inlineStr">
        <is>
          <t>NORRTÄLJE</t>
        </is>
      </c>
      <c r="G158" t="n">
        <v>11.5</v>
      </c>
      <c r="H158" t="n">
        <v>0</v>
      </c>
      <c r="I158" t="n">
        <v>0</v>
      </c>
      <c r="J158" t="n">
        <v>0</v>
      </c>
      <c r="K158" t="n">
        <v>0</v>
      </c>
      <c r="L158" t="n">
        <v>0</v>
      </c>
      <c r="M158" t="n">
        <v>0</v>
      </c>
      <c r="N158" t="n">
        <v>0</v>
      </c>
      <c r="O158" t="n">
        <v>0</v>
      </c>
      <c r="P158" t="n">
        <v>0</v>
      </c>
      <c r="Q158" t="n">
        <v>0</v>
      </c>
      <c r="R158" s="2" t="inlineStr"/>
    </row>
    <row r="159" ht="15" customHeight="1">
      <c r="A159" t="inlineStr">
        <is>
          <t>A 43374-2022</t>
        </is>
      </c>
      <c r="B159" s="1" t="n">
        <v>44834</v>
      </c>
      <c r="C159" s="1" t="n">
        <v>45989</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45989</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9719-2021</t>
        </is>
      </c>
      <c r="B161" s="1" t="n">
        <v>44252</v>
      </c>
      <c r="C161" s="1" t="n">
        <v>45989</v>
      </c>
      <c r="D161" t="inlineStr">
        <is>
          <t>STOCKHOLMS LÄN</t>
        </is>
      </c>
      <c r="E161" t="inlineStr">
        <is>
          <t>NORRTÄLJE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48384-2021</t>
        </is>
      </c>
      <c r="B162" s="1" t="n">
        <v>44451</v>
      </c>
      <c r="C162" s="1" t="n">
        <v>45989</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48492-2022</t>
        </is>
      </c>
      <c r="B163" s="1" t="n">
        <v>44858</v>
      </c>
      <c r="C163" s="1" t="n">
        <v>45989</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8338-2021</t>
        </is>
      </c>
      <c r="B164" s="1" t="n">
        <v>44244</v>
      </c>
      <c r="C164" s="1" t="n">
        <v>45989</v>
      </c>
      <c r="D164" t="inlineStr">
        <is>
          <t>STOCKHOLMS LÄN</t>
        </is>
      </c>
      <c r="E164" t="inlineStr">
        <is>
          <t>NORRTÄLJE</t>
        </is>
      </c>
      <c r="G164" t="n">
        <v>1.4</v>
      </c>
      <c r="H164" t="n">
        <v>0</v>
      </c>
      <c r="I164" t="n">
        <v>0</v>
      </c>
      <c r="J164" t="n">
        <v>0</v>
      </c>
      <c r="K164" t="n">
        <v>0</v>
      </c>
      <c r="L164" t="n">
        <v>0</v>
      </c>
      <c r="M164" t="n">
        <v>0</v>
      </c>
      <c r="N164" t="n">
        <v>0</v>
      </c>
      <c r="O164" t="n">
        <v>0</v>
      </c>
      <c r="P164" t="n">
        <v>0</v>
      </c>
      <c r="Q164" t="n">
        <v>0</v>
      </c>
      <c r="R164" s="2" t="inlineStr"/>
    </row>
    <row r="165" ht="15" customHeight="1">
      <c r="A165" t="inlineStr">
        <is>
          <t>A 60822-2021</t>
        </is>
      </c>
      <c r="B165" s="1" t="n">
        <v>44496</v>
      </c>
      <c r="C165" s="1" t="n">
        <v>45989</v>
      </c>
      <c r="D165" t="inlineStr">
        <is>
          <t>STOCKHOLMS LÄN</t>
        </is>
      </c>
      <c r="E165" t="inlineStr">
        <is>
          <t>NORRTÄLJE</t>
        </is>
      </c>
      <c r="G165" t="n">
        <v>7.6</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45989</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45989</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17777-2022</t>
        </is>
      </c>
      <c r="B168" s="1" t="n">
        <v>44682.79203703703</v>
      </c>
      <c r="C168" s="1" t="n">
        <v>45989</v>
      </c>
      <c r="D168" t="inlineStr">
        <is>
          <t>STOCKHOLMS LÄN</t>
        </is>
      </c>
      <c r="E168" t="inlineStr">
        <is>
          <t>NORRTÄLJE</t>
        </is>
      </c>
      <c r="G168" t="n">
        <v>3.7</v>
      </c>
      <c r="H168" t="n">
        <v>0</v>
      </c>
      <c r="I168" t="n">
        <v>0</v>
      </c>
      <c r="J168" t="n">
        <v>0</v>
      </c>
      <c r="K168" t="n">
        <v>0</v>
      </c>
      <c r="L168" t="n">
        <v>0</v>
      </c>
      <c r="M168" t="n">
        <v>0</v>
      </c>
      <c r="N168" t="n">
        <v>0</v>
      </c>
      <c r="O168" t="n">
        <v>0</v>
      </c>
      <c r="P168" t="n">
        <v>0</v>
      </c>
      <c r="Q168" t="n">
        <v>0</v>
      </c>
      <c r="R168" s="2" t="inlineStr"/>
    </row>
    <row r="169" ht="15" customHeight="1">
      <c r="A169" t="inlineStr">
        <is>
          <t>A 21723-2022</t>
        </is>
      </c>
      <c r="B169" s="1" t="n">
        <v>44708</v>
      </c>
      <c r="C169" s="1" t="n">
        <v>45989</v>
      </c>
      <c r="D169" t="inlineStr">
        <is>
          <t>STOCKHOLMS LÄN</t>
        </is>
      </c>
      <c r="E169" t="inlineStr">
        <is>
          <t>NORRTÄLJE</t>
        </is>
      </c>
      <c r="G169" t="n">
        <v>0.3</v>
      </c>
      <c r="H169" t="n">
        <v>0</v>
      </c>
      <c r="I169" t="n">
        <v>0</v>
      </c>
      <c r="J169" t="n">
        <v>0</v>
      </c>
      <c r="K169" t="n">
        <v>0</v>
      </c>
      <c r="L169" t="n">
        <v>0</v>
      </c>
      <c r="M169" t="n">
        <v>0</v>
      </c>
      <c r="N169" t="n">
        <v>0</v>
      </c>
      <c r="O169" t="n">
        <v>0</v>
      </c>
      <c r="P169" t="n">
        <v>0</v>
      </c>
      <c r="Q169" t="n">
        <v>0</v>
      </c>
      <c r="R169" s="2" t="inlineStr"/>
    </row>
    <row r="170" ht="15" customHeight="1">
      <c r="A170" t="inlineStr">
        <is>
          <t>A 12816-2022</t>
        </is>
      </c>
      <c r="B170" s="1" t="n">
        <v>44642</v>
      </c>
      <c r="C170" s="1" t="n">
        <v>45989</v>
      </c>
      <c r="D170" t="inlineStr">
        <is>
          <t>STOCKHOLMS LÄN</t>
        </is>
      </c>
      <c r="E170" t="inlineStr">
        <is>
          <t>NORRTÄLJE</t>
        </is>
      </c>
      <c r="G170" t="n">
        <v>4.4</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45989</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45989</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28209-2022</t>
        </is>
      </c>
      <c r="B173" s="1" t="n">
        <v>44746</v>
      </c>
      <c r="C173" s="1" t="n">
        <v>45989</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45989</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2447-2021</t>
        </is>
      </c>
      <c r="B175" s="1" t="n">
        <v>44214</v>
      </c>
      <c r="C175" s="1" t="n">
        <v>45989</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18609-2021</t>
        </is>
      </c>
      <c r="B176" s="1" t="n">
        <v>44306</v>
      </c>
      <c r="C176" s="1" t="n">
        <v>45989</v>
      </c>
      <c r="D176" t="inlineStr">
        <is>
          <t>STOCKHOLMS LÄN</t>
        </is>
      </c>
      <c r="E176" t="inlineStr">
        <is>
          <t>NORRTÄLJE</t>
        </is>
      </c>
      <c r="G176" t="n">
        <v>9.5</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45989</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45989</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45989</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45989</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60186-2021</t>
        </is>
      </c>
      <c r="B181" s="1" t="n">
        <v>44495</v>
      </c>
      <c r="C181" s="1" t="n">
        <v>45989</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28959-2022</t>
        </is>
      </c>
      <c r="B182" s="1" t="n">
        <v>44749.61980324074</v>
      </c>
      <c r="C182" s="1" t="n">
        <v>45989</v>
      </c>
      <c r="D182" t="inlineStr">
        <is>
          <t>STOCKHOLMS LÄN</t>
        </is>
      </c>
      <c r="E182" t="inlineStr">
        <is>
          <t>NORRTÄLJE</t>
        </is>
      </c>
      <c r="G182" t="n">
        <v>5.2</v>
      </c>
      <c r="H182" t="n">
        <v>0</v>
      </c>
      <c r="I182" t="n">
        <v>0</v>
      </c>
      <c r="J182" t="n">
        <v>0</v>
      </c>
      <c r="K182" t="n">
        <v>0</v>
      </c>
      <c r="L182" t="n">
        <v>0</v>
      </c>
      <c r="M182" t="n">
        <v>0</v>
      </c>
      <c r="N182" t="n">
        <v>0</v>
      </c>
      <c r="O182" t="n">
        <v>0</v>
      </c>
      <c r="P182" t="n">
        <v>0</v>
      </c>
      <c r="Q182" t="n">
        <v>0</v>
      </c>
      <c r="R182" s="2" t="inlineStr"/>
    </row>
    <row r="183" ht="15" customHeight="1">
      <c r="A183" t="inlineStr">
        <is>
          <t>A 54340-2022</t>
        </is>
      </c>
      <c r="B183" s="1" t="n">
        <v>44882.44732638889</v>
      </c>
      <c r="C183" s="1" t="n">
        <v>45989</v>
      </c>
      <c r="D183" t="inlineStr">
        <is>
          <t>STOCKHOLMS LÄN</t>
        </is>
      </c>
      <c r="E183" t="inlineStr">
        <is>
          <t>NORRTÄLJE</t>
        </is>
      </c>
      <c r="G183" t="n">
        <v>6.7</v>
      </c>
      <c r="H183" t="n">
        <v>0</v>
      </c>
      <c r="I183" t="n">
        <v>0</v>
      </c>
      <c r="J183" t="n">
        <v>0</v>
      </c>
      <c r="K183" t="n">
        <v>0</v>
      </c>
      <c r="L183" t="n">
        <v>0</v>
      </c>
      <c r="M183" t="n">
        <v>0</v>
      </c>
      <c r="N183" t="n">
        <v>0</v>
      </c>
      <c r="O183" t="n">
        <v>0</v>
      </c>
      <c r="P183" t="n">
        <v>0</v>
      </c>
      <c r="Q183" t="n">
        <v>0</v>
      </c>
      <c r="R183" s="2" t="inlineStr"/>
    </row>
    <row r="184" ht="15" customHeight="1">
      <c r="A184" t="inlineStr">
        <is>
          <t>A 54355-2022</t>
        </is>
      </c>
      <c r="B184" s="1" t="n">
        <v>44882</v>
      </c>
      <c r="C184" s="1" t="n">
        <v>45989</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72308-2021</t>
        </is>
      </c>
      <c r="B185" s="1" t="n">
        <v>44545.4189699074</v>
      </c>
      <c r="C185" s="1" t="n">
        <v>45989</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14381-2021</t>
        </is>
      </c>
      <c r="B186" s="1" t="n">
        <v>44279</v>
      </c>
      <c r="C186" s="1" t="n">
        <v>45989</v>
      </c>
      <c r="D186" t="inlineStr">
        <is>
          <t>STOCKHOLMS LÄN</t>
        </is>
      </c>
      <c r="E186" t="inlineStr">
        <is>
          <t>NORRTÄLJE</t>
        </is>
      </c>
      <c r="G186" t="n">
        <v>0.9</v>
      </c>
      <c r="H186" t="n">
        <v>0</v>
      </c>
      <c r="I186" t="n">
        <v>0</v>
      </c>
      <c r="J186" t="n">
        <v>0</v>
      </c>
      <c r="K186" t="n">
        <v>0</v>
      </c>
      <c r="L186" t="n">
        <v>0</v>
      </c>
      <c r="M186" t="n">
        <v>0</v>
      </c>
      <c r="N186" t="n">
        <v>0</v>
      </c>
      <c r="O186" t="n">
        <v>0</v>
      </c>
      <c r="P186" t="n">
        <v>0</v>
      </c>
      <c r="Q186" t="n">
        <v>0</v>
      </c>
      <c r="R186" s="2" t="inlineStr"/>
    </row>
    <row r="187" ht="15" customHeight="1">
      <c r="A187" t="inlineStr">
        <is>
          <t>A 20073-2021</t>
        </is>
      </c>
      <c r="B187" s="1" t="n">
        <v>44314</v>
      </c>
      <c r="C187" s="1" t="n">
        <v>45989</v>
      </c>
      <c r="D187" t="inlineStr">
        <is>
          <t>STOCKHOLMS LÄN</t>
        </is>
      </c>
      <c r="E187" t="inlineStr">
        <is>
          <t>NORRTÄLJE</t>
        </is>
      </c>
      <c r="G187" t="n">
        <v>4.6</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45989</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45989</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45989</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45989</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45989</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16668-2021</t>
        </is>
      </c>
      <c r="B193" s="1" t="n">
        <v>44294</v>
      </c>
      <c r="C193" s="1" t="n">
        <v>45989</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45989</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45989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45989</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45989</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45989</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45989</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45989</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45989</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45989</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45989</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45989</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348-2021</t>
        </is>
      </c>
      <c r="B205" s="1" t="n">
        <v>44201</v>
      </c>
      <c r="C205" s="1" t="n">
        <v>45989</v>
      </c>
      <c r="D205" t="inlineStr">
        <is>
          <t>STOCKHOLMS LÄN</t>
        </is>
      </c>
      <c r="E205" t="inlineStr">
        <is>
          <t>NORRTÄLJE</t>
        </is>
      </c>
      <c r="G205" t="n">
        <v>0.1</v>
      </c>
      <c r="H205" t="n">
        <v>0</v>
      </c>
      <c r="I205" t="n">
        <v>0</v>
      </c>
      <c r="J205" t="n">
        <v>0</v>
      </c>
      <c r="K205" t="n">
        <v>0</v>
      </c>
      <c r="L205" t="n">
        <v>0</v>
      </c>
      <c r="M205" t="n">
        <v>0</v>
      </c>
      <c r="N205" t="n">
        <v>0</v>
      </c>
      <c r="O205" t="n">
        <v>0</v>
      </c>
      <c r="P205" t="n">
        <v>0</v>
      </c>
      <c r="Q205" t="n">
        <v>0</v>
      </c>
      <c r="R205" s="2" t="inlineStr"/>
    </row>
    <row r="206" ht="15" customHeight="1">
      <c r="A206" t="inlineStr">
        <is>
          <t>A 367-2021</t>
        </is>
      </c>
      <c r="B206" s="1" t="n">
        <v>44201</v>
      </c>
      <c r="C206" s="1" t="n">
        <v>45989</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45989</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45989</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45989</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45989</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45989</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45989</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45989</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45989</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45989</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45989</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45989</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45989</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9467-2021</t>
        </is>
      </c>
      <c r="B219" s="1" t="n">
        <v>44251.43971064815</v>
      </c>
      <c r="C219" s="1" t="n">
        <v>45989</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45989</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45989</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45989</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45989</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45989</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45989</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45989</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45989</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45989</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45989</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45989</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45989</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66372-2020</t>
        </is>
      </c>
      <c r="B232" s="1" t="n">
        <v>44176</v>
      </c>
      <c r="C232" s="1" t="n">
        <v>45989</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45989</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45989</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45989</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45989</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45989</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45989</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45989</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45989</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45989</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45989</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45989</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45989</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45989</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45989</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45989</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45989</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45989</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45989</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45989</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12779-2021</t>
        </is>
      </c>
      <c r="B252" s="1" t="n">
        <v>44270</v>
      </c>
      <c r="C252" s="1" t="n">
        <v>45989</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12782-2021</t>
        </is>
      </c>
      <c r="B253" s="1" t="n">
        <v>44270</v>
      </c>
      <c r="C253" s="1" t="n">
        <v>45989</v>
      </c>
      <c r="D253" t="inlineStr">
        <is>
          <t>STOCKHOLMS LÄN</t>
        </is>
      </c>
      <c r="E253" t="inlineStr">
        <is>
          <t>NORRTÄLJE</t>
        </is>
      </c>
      <c r="G253" t="n">
        <v>3.8</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45989</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45989</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45989</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45989</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45989</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row>
    <row r="259" ht="15" customHeight="1">
      <c r="A259" t="inlineStr">
        <is>
          <t>A 9446-2021</t>
        </is>
      </c>
      <c r="B259" s="1" t="n">
        <v>44251</v>
      </c>
      <c r="C259" s="1" t="n">
        <v>45989</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45989</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45989</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45989</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45989</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45989</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12355-2022</t>
        </is>
      </c>
      <c r="B265" s="1" t="n">
        <v>44637</v>
      </c>
      <c r="C265" s="1" t="n">
        <v>45989</v>
      </c>
      <c r="D265" t="inlineStr">
        <is>
          <t>STOCKHOLMS LÄN</t>
        </is>
      </c>
      <c r="E265" t="inlineStr">
        <is>
          <t>NORRTÄLJE</t>
        </is>
      </c>
      <c r="G265" t="n">
        <v>10.4</v>
      </c>
      <c r="H265" t="n">
        <v>0</v>
      </c>
      <c r="I265" t="n">
        <v>0</v>
      </c>
      <c r="J265" t="n">
        <v>0</v>
      </c>
      <c r="K265" t="n">
        <v>0</v>
      </c>
      <c r="L265" t="n">
        <v>0</v>
      </c>
      <c r="M265" t="n">
        <v>0</v>
      </c>
      <c r="N265" t="n">
        <v>0</v>
      </c>
      <c r="O265" t="n">
        <v>0</v>
      </c>
      <c r="P265" t="n">
        <v>0</v>
      </c>
      <c r="Q265" t="n">
        <v>0</v>
      </c>
      <c r="R265" s="2" t="inlineStr"/>
    </row>
    <row r="266" ht="15" customHeight="1">
      <c r="A266" t="inlineStr">
        <is>
          <t>A 27214-2021</t>
        </is>
      </c>
      <c r="B266" s="1" t="n">
        <v>44350</v>
      </c>
      <c r="C266" s="1" t="n">
        <v>45989</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45989</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45989</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45989</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45989</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45989</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30286-2022</t>
        </is>
      </c>
      <c r="B272" s="1" t="n">
        <v>44760</v>
      </c>
      <c r="C272" s="1" t="n">
        <v>45989</v>
      </c>
      <c r="D272" t="inlineStr">
        <is>
          <t>STOCKHOLMS LÄN</t>
        </is>
      </c>
      <c r="E272" t="inlineStr">
        <is>
          <t>NORRTÄLJE</t>
        </is>
      </c>
      <c r="G272" t="n">
        <v>0.3</v>
      </c>
      <c r="H272" t="n">
        <v>0</v>
      </c>
      <c r="I272" t="n">
        <v>0</v>
      </c>
      <c r="J272" t="n">
        <v>0</v>
      </c>
      <c r="K272" t="n">
        <v>0</v>
      </c>
      <c r="L272" t="n">
        <v>0</v>
      </c>
      <c r="M272" t="n">
        <v>0</v>
      </c>
      <c r="N272" t="n">
        <v>0</v>
      </c>
      <c r="O272" t="n">
        <v>0</v>
      </c>
      <c r="P272" t="n">
        <v>0</v>
      </c>
      <c r="Q272" t="n">
        <v>0</v>
      </c>
      <c r="R272" s="2" t="inlineStr"/>
    </row>
    <row r="273" ht="15" customHeight="1">
      <c r="A273" t="inlineStr">
        <is>
          <t>A 8160-2022</t>
        </is>
      </c>
      <c r="B273" s="1" t="n">
        <v>44609</v>
      </c>
      <c r="C273" s="1" t="n">
        <v>45989</v>
      </c>
      <c r="D273" t="inlineStr">
        <is>
          <t>STOCKHOLMS LÄN</t>
        </is>
      </c>
      <c r="E273" t="inlineStr">
        <is>
          <t>NORRTÄLJE</t>
        </is>
      </c>
      <c r="G273" t="n">
        <v>3.9</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45989</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45989</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45989</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45989</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45989</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45989</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45989</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45989</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45989</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45989</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45989</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21102-2022</t>
        </is>
      </c>
      <c r="B285" s="1" t="n">
        <v>44704</v>
      </c>
      <c r="C285" s="1" t="n">
        <v>45989</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71880-2021</t>
        </is>
      </c>
      <c r="B286" s="1" t="n">
        <v>44543</v>
      </c>
      <c r="C286" s="1" t="n">
        <v>45989</v>
      </c>
      <c r="D286" t="inlineStr">
        <is>
          <t>STOCKHOLMS LÄN</t>
        </is>
      </c>
      <c r="E286" t="inlineStr">
        <is>
          <t>NORRTÄLJE</t>
        </is>
      </c>
      <c r="G286" t="n">
        <v>2</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45989</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45989</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70170-2021</t>
        </is>
      </c>
      <c r="B289" s="1" t="n">
        <v>44533</v>
      </c>
      <c r="C289" s="1" t="n">
        <v>45989</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45989</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45989</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45989</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45989</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45989</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12348-2025</t>
        </is>
      </c>
      <c r="B295" s="1" t="n">
        <v>45730.35026620371</v>
      </c>
      <c r="C295" s="1" t="n">
        <v>45989</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12111-2021</t>
        </is>
      </c>
      <c r="B296" s="1" t="n">
        <v>44266</v>
      </c>
      <c r="C296" s="1" t="n">
        <v>45989</v>
      </c>
      <c r="D296" t="inlineStr">
        <is>
          <t>STOCKHOLMS LÄN</t>
        </is>
      </c>
      <c r="E296" t="inlineStr">
        <is>
          <t>NORRTÄLJE</t>
        </is>
      </c>
      <c r="G296" t="n">
        <v>5.5</v>
      </c>
      <c r="H296" t="n">
        <v>0</v>
      </c>
      <c r="I296" t="n">
        <v>0</v>
      </c>
      <c r="J296" t="n">
        <v>0</v>
      </c>
      <c r="K296" t="n">
        <v>0</v>
      </c>
      <c r="L296" t="n">
        <v>0</v>
      </c>
      <c r="M296" t="n">
        <v>0</v>
      </c>
      <c r="N296" t="n">
        <v>0</v>
      </c>
      <c r="O296" t="n">
        <v>0</v>
      </c>
      <c r="P296" t="n">
        <v>0</v>
      </c>
      <c r="Q296" t="n">
        <v>0</v>
      </c>
      <c r="R296" s="2" t="inlineStr"/>
    </row>
    <row r="297" ht="15" customHeight="1">
      <c r="A297" t="inlineStr">
        <is>
          <t>A 33053-2021</t>
        </is>
      </c>
      <c r="B297" s="1" t="n">
        <v>44376</v>
      </c>
      <c r="C297" s="1" t="n">
        <v>45989</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23271-2023</t>
        </is>
      </c>
      <c r="B298" s="1" t="n">
        <v>45075.91362268518</v>
      </c>
      <c r="C298" s="1" t="n">
        <v>45989</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23273-2023</t>
        </is>
      </c>
      <c r="B299" s="1" t="n">
        <v>45075.91971064815</v>
      </c>
      <c r="C299" s="1" t="n">
        <v>45989</v>
      </c>
      <c r="D299" t="inlineStr">
        <is>
          <t>STOCKHOLMS LÄN</t>
        </is>
      </c>
      <c r="E299" t="inlineStr">
        <is>
          <t>NORRTÄLJE</t>
        </is>
      </c>
      <c r="G299" t="n">
        <v>7.5</v>
      </c>
      <c r="H299" t="n">
        <v>0</v>
      </c>
      <c r="I299" t="n">
        <v>0</v>
      </c>
      <c r="J299" t="n">
        <v>0</v>
      </c>
      <c r="K299" t="n">
        <v>0</v>
      </c>
      <c r="L299" t="n">
        <v>0</v>
      </c>
      <c r="M299" t="n">
        <v>0</v>
      </c>
      <c r="N299" t="n">
        <v>0</v>
      </c>
      <c r="O299" t="n">
        <v>0</v>
      </c>
      <c r="P299" t="n">
        <v>0</v>
      </c>
      <c r="Q299" t="n">
        <v>0</v>
      </c>
      <c r="R299" s="2" t="inlineStr"/>
    </row>
    <row r="300" ht="15" customHeight="1">
      <c r="A300" t="inlineStr">
        <is>
          <t>A 30802-2022</t>
        </is>
      </c>
      <c r="B300" s="1" t="n">
        <v>44764</v>
      </c>
      <c r="C300" s="1" t="n">
        <v>45989</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19706-2023</t>
        </is>
      </c>
      <c r="B301" s="1" t="n">
        <v>45051.455</v>
      </c>
      <c r="C301" s="1" t="n">
        <v>45989</v>
      </c>
      <c r="D301" t="inlineStr">
        <is>
          <t>STOCKHOLMS LÄN</t>
        </is>
      </c>
      <c r="E301" t="inlineStr">
        <is>
          <t>NORRTÄLJE</t>
        </is>
      </c>
      <c r="G301" t="n">
        <v>0.2</v>
      </c>
      <c r="H301" t="n">
        <v>0</v>
      </c>
      <c r="I301" t="n">
        <v>0</v>
      </c>
      <c r="J301" t="n">
        <v>0</v>
      </c>
      <c r="K301" t="n">
        <v>0</v>
      </c>
      <c r="L301" t="n">
        <v>0</v>
      </c>
      <c r="M301" t="n">
        <v>0</v>
      </c>
      <c r="N301" t="n">
        <v>0</v>
      </c>
      <c r="O301" t="n">
        <v>0</v>
      </c>
      <c r="P301" t="n">
        <v>0</v>
      </c>
      <c r="Q301" t="n">
        <v>0</v>
      </c>
      <c r="R301" s="2" t="inlineStr"/>
    </row>
    <row r="302" ht="15" customHeight="1">
      <c r="A302" t="inlineStr">
        <is>
          <t>A 16008-2025</t>
        </is>
      </c>
      <c r="B302" s="1" t="n">
        <v>45749</v>
      </c>
      <c r="C302" s="1" t="n">
        <v>45989</v>
      </c>
      <c r="D302" t="inlineStr">
        <is>
          <t>STOCKHOLMS LÄN</t>
        </is>
      </c>
      <c r="E302" t="inlineStr">
        <is>
          <t>NORRTÄLJE</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55012-2024</t>
        </is>
      </c>
      <c r="B303" s="1" t="n">
        <v>45621.34813657407</v>
      </c>
      <c r="C303" s="1" t="n">
        <v>45989</v>
      </c>
      <c r="D303" t="inlineStr">
        <is>
          <t>STOCKHOLMS LÄN</t>
        </is>
      </c>
      <c r="E303" t="inlineStr">
        <is>
          <t>NORRTÄLJE</t>
        </is>
      </c>
      <c r="F303" t="inlineStr">
        <is>
          <t>Sveaskog</t>
        </is>
      </c>
      <c r="G303" t="n">
        <v>5.2</v>
      </c>
      <c r="H303" t="n">
        <v>0</v>
      </c>
      <c r="I303" t="n">
        <v>0</v>
      </c>
      <c r="J303" t="n">
        <v>0</v>
      </c>
      <c r="K303" t="n">
        <v>0</v>
      </c>
      <c r="L303" t="n">
        <v>0</v>
      </c>
      <c r="M303" t="n">
        <v>0</v>
      </c>
      <c r="N303" t="n">
        <v>0</v>
      </c>
      <c r="O303" t="n">
        <v>0</v>
      </c>
      <c r="P303" t="n">
        <v>0</v>
      </c>
      <c r="Q303" t="n">
        <v>0</v>
      </c>
      <c r="R303" s="2" t="inlineStr"/>
    </row>
    <row r="304" ht="15" customHeight="1">
      <c r="A304" t="inlineStr">
        <is>
          <t>A 20013-2025</t>
        </is>
      </c>
      <c r="B304" s="1" t="n">
        <v>45772.30436342592</v>
      </c>
      <c r="C304" s="1" t="n">
        <v>45989</v>
      </c>
      <c r="D304" t="inlineStr">
        <is>
          <t>STOCKHOLMS LÄN</t>
        </is>
      </c>
      <c r="E304" t="inlineStr">
        <is>
          <t>NORRTÄLJE</t>
        </is>
      </c>
      <c r="G304" t="n">
        <v>2.3</v>
      </c>
      <c r="H304" t="n">
        <v>0</v>
      </c>
      <c r="I304" t="n">
        <v>0</v>
      </c>
      <c r="J304" t="n">
        <v>0</v>
      </c>
      <c r="K304" t="n">
        <v>0</v>
      </c>
      <c r="L304" t="n">
        <v>0</v>
      </c>
      <c r="M304" t="n">
        <v>0</v>
      </c>
      <c r="N304" t="n">
        <v>0</v>
      </c>
      <c r="O304" t="n">
        <v>0</v>
      </c>
      <c r="P304" t="n">
        <v>0</v>
      </c>
      <c r="Q304" t="n">
        <v>0</v>
      </c>
      <c r="R304" s="2" t="inlineStr"/>
    </row>
    <row r="305" ht="15" customHeight="1">
      <c r="A305" t="inlineStr">
        <is>
          <t>A 9765-2024</t>
        </is>
      </c>
      <c r="B305" s="1" t="n">
        <v>45362.62811342593</v>
      </c>
      <c r="C305" s="1" t="n">
        <v>45989</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13148-2021</t>
        </is>
      </c>
      <c r="B306" s="1" t="n">
        <v>44272</v>
      </c>
      <c r="C306" s="1" t="n">
        <v>45989</v>
      </c>
      <c r="D306" t="inlineStr">
        <is>
          <t>STOCKHOLMS LÄN</t>
        </is>
      </c>
      <c r="E306" t="inlineStr">
        <is>
          <t>NORRTÄLJE</t>
        </is>
      </c>
      <c r="G306" t="n">
        <v>12.4</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45989</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45989</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45989</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45989</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45989</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40656-2022</t>
        </is>
      </c>
      <c r="B312" s="1" t="n">
        <v>44824.36069444445</v>
      </c>
      <c r="C312" s="1" t="n">
        <v>45989</v>
      </c>
      <c r="D312" t="inlineStr">
        <is>
          <t>STOCKHOLMS LÄN</t>
        </is>
      </c>
      <c r="E312" t="inlineStr">
        <is>
          <t>NORRTÄLJE</t>
        </is>
      </c>
      <c r="G312" t="n">
        <v>2.7</v>
      </c>
      <c r="H312" t="n">
        <v>0</v>
      </c>
      <c r="I312" t="n">
        <v>0</v>
      </c>
      <c r="J312" t="n">
        <v>0</v>
      </c>
      <c r="K312" t="n">
        <v>0</v>
      </c>
      <c r="L312" t="n">
        <v>0</v>
      </c>
      <c r="M312" t="n">
        <v>0</v>
      </c>
      <c r="N312" t="n">
        <v>0</v>
      </c>
      <c r="O312" t="n">
        <v>0</v>
      </c>
      <c r="P312" t="n">
        <v>0</v>
      </c>
      <c r="Q312" t="n">
        <v>0</v>
      </c>
      <c r="R312" s="2" t="inlineStr"/>
    </row>
    <row r="313" ht="15" customHeight="1">
      <c r="A313" t="inlineStr">
        <is>
          <t>A 56631-2024</t>
        </is>
      </c>
      <c r="B313" s="1" t="n">
        <v>45625</v>
      </c>
      <c r="C313" s="1" t="n">
        <v>45989</v>
      </c>
      <c r="D313" t="inlineStr">
        <is>
          <t>STOCKHOLMS LÄN</t>
        </is>
      </c>
      <c r="E313" t="inlineStr">
        <is>
          <t>NORRTÄLJE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42955-2022</t>
        </is>
      </c>
      <c r="B314" s="1" t="n">
        <v>44833.40876157407</v>
      </c>
      <c r="C314" s="1" t="n">
        <v>45989</v>
      </c>
      <c r="D314" t="inlineStr">
        <is>
          <t>STOCKHOLMS LÄN</t>
        </is>
      </c>
      <c r="E314" t="inlineStr">
        <is>
          <t>NORRTÄLJE</t>
        </is>
      </c>
      <c r="G314" t="n">
        <v>13.1</v>
      </c>
      <c r="H314" t="n">
        <v>0</v>
      </c>
      <c r="I314" t="n">
        <v>0</v>
      </c>
      <c r="J314" t="n">
        <v>0</v>
      </c>
      <c r="K314" t="n">
        <v>0</v>
      </c>
      <c r="L314" t="n">
        <v>0</v>
      </c>
      <c r="M314" t="n">
        <v>0</v>
      </c>
      <c r="N314" t="n">
        <v>0</v>
      </c>
      <c r="O314" t="n">
        <v>0</v>
      </c>
      <c r="P314" t="n">
        <v>0</v>
      </c>
      <c r="Q314" t="n">
        <v>0</v>
      </c>
      <c r="R314" s="2" t="inlineStr"/>
    </row>
    <row r="315" ht="15" customHeight="1">
      <c r="A315" t="inlineStr">
        <is>
          <t>A 48587-2023</t>
        </is>
      </c>
      <c r="B315" s="1" t="n">
        <v>45208</v>
      </c>
      <c r="C315" s="1" t="n">
        <v>45989</v>
      </c>
      <c r="D315" t="inlineStr">
        <is>
          <t>STOCKHOLMS LÄN</t>
        </is>
      </c>
      <c r="E315" t="inlineStr">
        <is>
          <t>NORRTÄLJE</t>
        </is>
      </c>
      <c r="G315" t="n">
        <v>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45989</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20473-2021</t>
        </is>
      </c>
      <c r="B317" s="1" t="n">
        <v>44315</v>
      </c>
      <c r="C317" s="1" t="n">
        <v>45989</v>
      </c>
      <c r="D317" t="inlineStr">
        <is>
          <t>STOCKHOLMS LÄN</t>
        </is>
      </c>
      <c r="E317" t="inlineStr">
        <is>
          <t>NORRTÄLJE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20136-2025</t>
        </is>
      </c>
      <c r="B318" s="1" t="n">
        <v>45772.51127314815</v>
      </c>
      <c r="C318" s="1" t="n">
        <v>45989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15978-2024</t>
        </is>
      </c>
      <c r="B319" s="1" t="n">
        <v>45405.57927083333</v>
      </c>
      <c r="C319" s="1" t="n">
        <v>45989</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7603-2025</t>
        </is>
      </c>
      <c r="B320" s="1" t="n">
        <v>45705.66126157407</v>
      </c>
      <c r="C320" s="1" t="n">
        <v>45989</v>
      </c>
      <c r="D320" t="inlineStr">
        <is>
          <t>STOCKHOLMS LÄN</t>
        </is>
      </c>
      <c r="E320" t="inlineStr">
        <is>
          <t>NORRTÄLJE</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8736-2024</t>
        </is>
      </c>
      <c r="B321" s="1" t="n">
        <v>45356.4722800926</v>
      </c>
      <c r="C321" s="1" t="n">
        <v>45989</v>
      </c>
      <c r="D321" t="inlineStr">
        <is>
          <t>STOCKHOLMS LÄN</t>
        </is>
      </c>
      <c r="E321" t="inlineStr">
        <is>
          <t>NORRTÄLJE</t>
        </is>
      </c>
      <c r="G321" t="n">
        <v>8.9</v>
      </c>
      <c r="H321" t="n">
        <v>0</v>
      </c>
      <c r="I321" t="n">
        <v>0</v>
      </c>
      <c r="J321" t="n">
        <v>0</v>
      </c>
      <c r="K321" t="n">
        <v>0</v>
      </c>
      <c r="L321" t="n">
        <v>0</v>
      </c>
      <c r="M321" t="n">
        <v>0</v>
      </c>
      <c r="N321" t="n">
        <v>0</v>
      </c>
      <c r="O321" t="n">
        <v>0</v>
      </c>
      <c r="P321" t="n">
        <v>0</v>
      </c>
      <c r="Q321" t="n">
        <v>0</v>
      </c>
      <c r="R321" s="2" t="inlineStr"/>
    </row>
    <row r="322" ht="15" customHeight="1">
      <c r="A322" t="inlineStr">
        <is>
          <t>A 51046-2023</t>
        </is>
      </c>
      <c r="B322" s="1" t="n">
        <v>45218</v>
      </c>
      <c r="C322" s="1" t="n">
        <v>45989</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15552-2021</t>
        </is>
      </c>
      <c r="B323" s="1" t="n">
        <v>44285</v>
      </c>
      <c r="C323" s="1" t="n">
        <v>45989</v>
      </c>
      <c r="D323" t="inlineStr">
        <is>
          <t>STOCKHOLMS LÄN</t>
        </is>
      </c>
      <c r="E323" t="inlineStr">
        <is>
          <t>NORRTÄLJE</t>
        </is>
      </c>
      <c r="G323" t="n">
        <v>10</v>
      </c>
      <c r="H323" t="n">
        <v>0</v>
      </c>
      <c r="I323" t="n">
        <v>0</v>
      </c>
      <c r="J323" t="n">
        <v>0</v>
      </c>
      <c r="K323" t="n">
        <v>0</v>
      </c>
      <c r="L323" t="n">
        <v>0</v>
      </c>
      <c r="M323" t="n">
        <v>0</v>
      </c>
      <c r="N323" t="n">
        <v>0</v>
      </c>
      <c r="O323" t="n">
        <v>0</v>
      </c>
      <c r="P323" t="n">
        <v>0</v>
      </c>
      <c r="Q323" t="n">
        <v>0</v>
      </c>
      <c r="R323" s="2" t="inlineStr"/>
    </row>
    <row r="324" ht="15" customHeight="1">
      <c r="A324" t="inlineStr">
        <is>
          <t>A 5158-2024</t>
        </is>
      </c>
      <c r="B324" s="1" t="n">
        <v>45330.50098379629</v>
      </c>
      <c r="C324" s="1" t="n">
        <v>45989</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45255-2022</t>
        </is>
      </c>
      <c r="B325" s="1" t="n">
        <v>44840</v>
      </c>
      <c r="C325" s="1" t="n">
        <v>45989</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19915-2024</t>
        </is>
      </c>
      <c r="B326" s="1" t="n">
        <v>45433.58431712963</v>
      </c>
      <c r="C326" s="1" t="n">
        <v>45989</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14762-2024</t>
        </is>
      </c>
      <c r="B327" s="1" t="n">
        <v>45397</v>
      </c>
      <c r="C327" s="1" t="n">
        <v>45989</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45989</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20428-2024</t>
        </is>
      </c>
      <c r="B329" s="1" t="n">
        <v>45435</v>
      </c>
      <c r="C329" s="1" t="n">
        <v>45989</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45989</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13051-2021</t>
        </is>
      </c>
      <c r="B331" s="1" t="n">
        <v>44272</v>
      </c>
      <c r="C331" s="1" t="n">
        <v>45989</v>
      </c>
      <c r="D331" t="inlineStr">
        <is>
          <t>STOCKHOLMS LÄN</t>
        </is>
      </c>
      <c r="E331" t="inlineStr">
        <is>
          <t>NORRTÄLJE</t>
        </is>
      </c>
      <c r="G331" t="n">
        <v>9.1</v>
      </c>
      <c r="H331" t="n">
        <v>0</v>
      </c>
      <c r="I331" t="n">
        <v>0</v>
      </c>
      <c r="J331" t="n">
        <v>0</v>
      </c>
      <c r="K331" t="n">
        <v>0</v>
      </c>
      <c r="L331" t="n">
        <v>0</v>
      </c>
      <c r="M331" t="n">
        <v>0</v>
      </c>
      <c r="N331" t="n">
        <v>0</v>
      </c>
      <c r="O331" t="n">
        <v>0</v>
      </c>
      <c r="P331" t="n">
        <v>0</v>
      </c>
      <c r="Q331" t="n">
        <v>0</v>
      </c>
      <c r="R331" s="2" t="inlineStr"/>
    </row>
    <row r="332" ht="15" customHeight="1">
      <c r="A332" t="inlineStr">
        <is>
          <t>A 55755-2023</t>
        </is>
      </c>
      <c r="B332" s="1" t="n">
        <v>45239</v>
      </c>
      <c r="C332" s="1" t="n">
        <v>45989</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23149-2024</t>
        </is>
      </c>
      <c r="B333" s="1" t="n">
        <v>45450.64208333333</v>
      </c>
      <c r="C333" s="1" t="n">
        <v>45989</v>
      </c>
      <c r="D333" t="inlineStr">
        <is>
          <t>STOCKHOLMS LÄN</t>
        </is>
      </c>
      <c r="E333" t="inlineStr">
        <is>
          <t>NORRTÄLJE</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23151-2024</t>
        </is>
      </c>
      <c r="B334" s="1" t="n">
        <v>45450</v>
      </c>
      <c r="C334" s="1" t="n">
        <v>45989</v>
      </c>
      <c r="D334" t="inlineStr">
        <is>
          <t>STOCKHOLMS LÄN</t>
        </is>
      </c>
      <c r="E334" t="inlineStr">
        <is>
          <t>NORRTÄLJE</t>
        </is>
      </c>
      <c r="F334" t="inlineStr">
        <is>
          <t>Kommuner</t>
        </is>
      </c>
      <c r="G334" t="n">
        <v>1.2</v>
      </c>
      <c r="H334" t="n">
        <v>0</v>
      </c>
      <c r="I334" t="n">
        <v>0</v>
      </c>
      <c r="J334" t="n">
        <v>0</v>
      </c>
      <c r="K334" t="n">
        <v>0</v>
      </c>
      <c r="L334" t="n">
        <v>0</v>
      </c>
      <c r="M334" t="n">
        <v>0</v>
      </c>
      <c r="N334" t="n">
        <v>0</v>
      </c>
      <c r="O334" t="n">
        <v>0</v>
      </c>
      <c r="P334" t="n">
        <v>0</v>
      </c>
      <c r="Q334" t="n">
        <v>0</v>
      </c>
      <c r="R334" s="2" t="inlineStr"/>
    </row>
    <row r="335" ht="15" customHeight="1">
      <c r="A335" t="inlineStr">
        <is>
          <t>A 45549-2022</t>
        </is>
      </c>
      <c r="B335" s="1" t="n">
        <v>44845.48064814815</v>
      </c>
      <c r="C335" s="1" t="n">
        <v>45989</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40761-2024</t>
        </is>
      </c>
      <c r="B336" s="1" t="n">
        <v>45558.46283564815</v>
      </c>
      <c r="C336" s="1" t="n">
        <v>45989</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16913-2025</t>
        </is>
      </c>
      <c r="B337" s="1" t="n">
        <v>45755.36583333334</v>
      </c>
      <c r="C337" s="1" t="n">
        <v>45989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23692-2024</t>
        </is>
      </c>
      <c r="B338" s="1" t="n">
        <v>45454.65774305556</v>
      </c>
      <c r="C338" s="1" t="n">
        <v>45989</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51978-2023</t>
        </is>
      </c>
      <c r="B339" s="1" t="n">
        <v>45223</v>
      </c>
      <c r="C339" s="1" t="n">
        <v>45989</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47431-2023</t>
        </is>
      </c>
      <c r="B340" s="1" t="n">
        <v>45202</v>
      </c>
      <c r="C340" s="1" t="n">
        <v>45989</v>
      </c>
      <c r="D340" t="inlineStr">
        <is>
          <t>STOCKHOLMS LÄN</t>
        </is>
      </c>
      <c r="E340" t="inlineStr">
        <is>
          <t>NORRTÄLJE</t>
        </is>
      </c>
      <c r="F340" t="inlineStr">
        <is>
          <t>Naturvårdsverket</t>
        </is>
      </c>
      <c r="G340" t="n">
        <v>1.2</v>
      </c>
      <c r="H340" t="n">
        <v>0</v>
      </c>
      <c r="I340" t="n">
        <v>0</v>
      </c>
      <c r="J340" t="n">
        <v>0</v>
      </c>
      <c r="K340" t="n">
        <v>0</v>
      </c>
      <c r="L340" t="n">
        <v>0</v>
      </c>
      <c r="M340" t="n">
        <v>0</v>
      </c>
      <c r="N340" t="n">
        <v>0</v>
      </c>
      <c r="O340" t="n">
        <v>0</v>
      </c>
      <c r="P340" t="n">
        <v>0</v>
      </c>
      <c r="Q340" t="n">
        <v>0</v>
      </c>
      <c r="R340" s="2" t="inlineStr"/>
    </row>
    <row r="341" ht="15" customHeight="1">
      <c r="A341" t="inlineStr">
        <is>
          <t>A 50569-2022</t>
        </is>
      </c>
      <c r="B341" s="1" t="n">
        <v>44866.63775462963</v>
      </c>
      <c r="C341" s="1" t="n">
        <v>45989</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23262-2023</t>
        </is>
      </c>
      <c r="B342" s="1" t="n">
        <v>45075.90270833333</v>
      </c>
      <c r="C342" s="1" t="n">
        <v>45989</v>
      </c>
      <c r="D342" t="inlineStr">
        <is>
          <t>STOCKHOLMS LÄN</t>
        </is>
      </c>
      <c r="E342" t="inlineStr">
        <is>
          <t>NORRTÄLJE</t>
        </is>
      </c>
      <c r="F342" t="inlineStr">
        <is>
          <t>Kommuner</t>
        </is>
      </c>
      <c r="G342" t="n">
        <v>1.9</v>
      </c>
      <c r="H342" t="n">
        <v>0</v>
      </c>
      <c r="I342" t="n">
        <v>0</v>
      </c>
      <c r="J342" t="n">
        <v>0</v>
      </c>
      <c r="K342" t="n">
        <v>0</v>
      </c>
      <c r="L342" t="n">
        <v>0</v>
      </c>
      <c r="M342" t="n">
        <v>0</v>
      </c>
      <c r="N342" t="n">
        <v>0</v>
      </c>
      <c r="O342" t="n">
        <v>0</v>
      </c>
      <c r="P342" t="n">
        <v>0</v>
      </c>
      <c r="Q342" t="n">
        <v>0</v>
      </c>
      <c r="R342" s="2" t="inlineStr"/>
    </row>
    <row r="343" ht="15" customHeight="1">
      <c r="A343" t="inlineStr">
        <is>
          <t>A 23268-2023</t>
        </is>
      </c>
      <c r="B343" s="1" t="n">
        <v>45075.91042824074</v>
      </c>
      <c r="C343" s="1" t="n">
        <v>45989</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23270-2023</t>
        </is>
      </c>
      <c r="B344" s="1" t="n">
        <v>45075.91265046296</v>
      </c>
      <c r="C344" s="1" t="n">
        <v>45989</v>
      </c>
      <c r="D344" t="inlineStr">
        <is>
          <t>STOCKHOLMS LÄN</t>
        </is>
      </c>
      <c r="E344" t="inlineStr">
        <is>
          <t>NORRTÄLJE</t>
        </is>
      </c>
      <c r="G344" t="n">
        <v>12.3</v>
      </c>
      <c r="H344" t="n">
        <v>0</v>
      </c>
      <c r="I344" t="n">
        <v>0</v>
      </c>
      <c r="J344" t="n">
        <v>0</v>
      </c>
      <c r="K344" t="n">
        <v>0</v>
      </c>
      <c r="L344" t="n">
        <v>0</v>
      </c>
      <c r="M344" t="n">
        <v>0</v>
      </c>
      <c r="N344" t="n">
        <v>0</v>
      </c>
      <c r="O344" t="n">
        <v>0</v>
      </c>
      <c r="P344" t="n">
        <v>0</v>
      </c>
      <c r="Q344" t="n">
        <v>0</v>
      </c>
      <c r="R344" s="2" t="inlineStr"/>
    </row>
    <row r="345" ht="15" customHeight="1">
      <c r="A345" t="inlineStr">
        <is>
          <t>A 23274-2023</t>
        </is>
      </c>
      <c r="B345" s="1" t="n">
        <v>45075.92153935185</v>
      </c>
      <c r="C345" s="1" t="n">
        <v>45989</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37550-2022</t>
        </is>
      </c>
      <c r="B346" s="1" t="n">
        <v>44809</v>
      </c>
      <c r="C346" s="1" t="n">
        <v>45989</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5732-2023</t>
        </is>
      </c>
      <c r="B347" s="1" t="n">
        <v>44962</v>
      </c>
      <c r="C347" s="1" t="n">
        <v>45989</v>
      </c>
      <c r="D347" t="inlineStr">
        <is>
          <t>STOCKHOLMS LÄN</t>
        </is>
      </c>
      <c r="E347" t="inlineStr">
        <is>
          <t>NORRTÄLJE</t>
        </is>
      </c>
      <c r="G347" t="n">
        <v>0.5</v>
      </c>
      <c r="H347" t="n">
        <v>0</v>
      </c>
      <c r="I347" t="n">
        <v>0</v>
      </c>
      <c r="J347" t="n">
        <v>0</v>
      </c>
      <c r="K347" t="n">
        <v>0</v>
      </c>
      <c r="L347" t="n">
        <v>0</v>
      </c>
      <c r="M347" t="n">
        <v>0</v>
      </c>
      <c r="N347" t="n">
        <v>0</v>
      </c>
      <c r="O347" t="n">
        <v>0</v>
      </c>
      <c r="P347" t="n">
        <v>0</v>
      </c>
      <c r="Q347" t="n">
        <v>0</v>
      </c>
      <c r="R347" s="2" t="inlineStr"/>
    </row>
    <row r="348" ht="15" customHeight="1">
      <c r="A348" t="inlineStr">
        <is>
          <t>A 60224-2023</t>
        </is>
      </c>
      <c r="B348" s="1" t="n">
        <v>45257</v>
      </c>
      <c r="C348" s="1" t="n">
        <v>45989</v>
      </c>
      <c r="D348" t="inlineStr">
        <is>
          <t>STOCKHOLMS LÄN</t>
        </is>
      </c>
      <c r="E348" t="inlineStr">
        <is>
          <t>NORRTÄLJE</t>
        </is>
      </c>
      <c r="G348" t="n">
        <v>8.1</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45989</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17785-2024</t>
        </is>
      </c>
      <c r="B350" s="1" t="n">
        <v>45418.6968287037</v>
      </c>
      <c r="C350" s="1" t="n">
        <v>45989</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33569-2023</t>
        </is>
      </c>
      <c r="B351" s="1" t="n">
        <v>45131.666875</v>
      </c>
      <c r="C351" s="1" t="n">
        <v>45989</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22833-2024</t>
        </is>
      </c>
      <c r="B352" s="1" t="n">
        <v>45448.56746527777</v>
      </c>
      <c r="C352" s="1" t="n">
        <v>45989</v>
      </c>
      <c r="D352" t="inlineStr">
        <is>
          <t>STOCKHOLMS LÄN</t>
        </is>
      </c>
      <c r="E352" t="inlineStr">
        <is>
          <t>NORRTÄLJE</t>
        </is>
      </c>
      <c r="G352" t="n">
        <v>0.8</v>
      </c>
      <c r="H352" t="n">
        <v>0</v>
      </c>
      <c r="I352" t="n">
        <v>0</v>
      </c>
      <c r="J352" t="n">
        <v>0</v>
      </c>
      <c r="K352" t="n">
        <v>0</v>
      </c>
      <c r="L352" t="n">
        <v>0</v>
      </c>
      <c r="M352" t="n">
        <v>0</v>
      </c>
      <c r="N352" t="n">
        <v>0</v>
      </c>
      <c r="O352" t="n">
        <v>0</v>
      </c>
      <c r="P352" t="n">
        <v>0</v>
      </c>
      <c r="Q352" t="n">
        <v>0</v>
      </c>
      <c r="R352" s="2" t="inlineStr"/>
    </row>
    <row r="353" ht="15" customHeight="1">
      <c r="A353" t="inlineStr">
        <is>
          <t>A 29684-2021</t>
        </is>
      </c>
      <c r="B353" s="1" t="n">
        <v>44362.37172453704</v>
      </c>
      <c r="C353" s="1" t="n">
        <v>45989</v>
      </c>
      <c r="D353" t="inlineStr">
        <is>
          <t>STOCKHOLMS LÄN</t>
        </is>
      </c>
      <c r="E353" t="inlineStr">
        <is>
          <t>NORRTÄLJE</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32071-2023</t>
        </is>
      </c>
      <c r="B354" s="1" t="n">
        <v>45119.57728009259</v>
      </c>
      <c r="C354" s="1" t="n">
        <v>45989</v>
      </c>
      <c r="D354" t="inlineStr">
        <is>
          <t>STOCKHOLMS LÄN</t>
        </is>
      </c>
      <c r="E354" t="inlineStr">
        <is>
          <t>NORRTÄLJE</t>
        </is>
      </c>
      <c r="G354" t="n">
        <v>6.5</v>
      </c>
      <c r="H354" t="n">
        <v>0</v>
      </c>
      <c r="I354" t="n">
        <v>0</v>
      </c>
      <c r="J354" t="n">
        <v>0</v>
      </c>
      <c r="K354" t="n">
        <v>0</v>
      </c>
      <c r="L354" t="n">
        <v>0</v>
      </c>
      <c r="M354" t="n">
        <v>0</v>
      </c>
      <c r="N354" t="n">
        <v>0</v>
      </c>
      <c r="O354" t="n">
        <v>0</v>
      </c>
      <c r="P354" t="n">
        <v>0</v>
      </c>
      <c r="Q354" t="n">
        <v>0</v>
      </c>
      <c r="R354" s="2" t="inlineStr"/>
    </row>
    <row r="355" ht="15" customHeight="1">
      <c r="A355" t="inlineStr">
        <is>
          <t>A 25681-2024</t>
        </is>
      </c>
      <c r="B355" s="1" t="n">
        <v>45463.80486111111</v>
      </c>
      <c r="C355" s="1" t="n">
        <v>45989</v>
      </c>
      <c r="D355" t="inlineStr">
        <is>
          <t>STOCKHOLMS LÄN</t>
        </is>
      </c>
      <c r="E355" t="inlineStr">
        <is>
          <t>NORRTÄLJE</t>
        </is>
      </c>
      <c r="G355" t="n">
        <v>2.7</v>
      </c>
      <c r="H355" t="n">
        <v>0</v>
      </c>
      <c r="I355" t="n">
        <v>0</v>
      </c>
      <c r="J355" t="n">
        <v>0</v>
      </c>
      <c r="K355" t="n">
        <v>0</v>
      </c>
      <c r="L355" t="n">
        <v>0</v>
      </c>
      <c r="M355" t="n">
        <v>0</v>
      </c>
      <c r="N355" t="n">
        <v>0</v>
      </c>
      <c r="O355" t="n">
        <v>0</v>
      </c>
      <c r="P355" t="n">
        <v>0</v>
      </c>
      <c r="Q355" t="n">
        <v>0</v>
      </c>
      <c r="R355" s="2" t="inlineStr"/>
    </row>
    <row r="356" ht="15" customHeight="1">
      <c r="A356" t="inlineStr">
        <is>
          <t>A 21386-2023</t>
        </is>
      </c>
      <c r="B356" s="1" t="n">
        <v>45063.35880787037</v>
      </c>
      <c r="C356" s="1" t="n">
        <v>45989</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4593-2023</t>
        </is>
      </c>
      <c r="B357" s="1" t="n">
        <v>44956</v>
      </c>
      <c r="C357" s="1" t="n">
        <v>45989</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54273-2021</t>
        </is>
      </c>
      <c r="B358" s="1" t="n">
        <v>44470.72987268519</v>
      </c>
      <c r="C358" s="1" t="n">
        <v>45989</v>
      </c>
      <c r="D358" t="inlineStr">
        <is>
          <t>STOCKHOLMS LÄN</t>
        </is>
      </c>
      <c r="E358" t="inlineStr">
        <is>
          <t>NORRTÄLJE</t>
        </is>
      </c>
      <c r="G358" t="n">
        <v>2.7</v>
      </c>
      <c r="H358" t="n">
        <v>0</v>
      </c>
      <c r="I358" t="n">
        <v>0</v>
      </c>
      <c r="J358" t="n">
        <v>0</v>
      </c>
      <c r="K358" t="n">
        <v>0</v>
      </c>
      <c r="L358" t="n">
        <v>0</v>
      </c>
      <c r="M358" t="n">
        <v>0</v>
      </c>
      <c r="N358" t="n">
        <v>0</v>
      </c>
      <c r="O358" t="n">
        <v>0</v>
      </c>
      <c r="P358" t="n">
        <v>0</v>
      </c>
      <c r="Q358" t="n">
        <v>0</v>
      </c>
      <c r="R358" s="2" t="inlineStr"/>
    </row>
    <row r="359" ht="15" customHeight="1">
      <c r="A359" t="inlineStr">
        <is>
          <t>A 43212-2022</t>
        </is>
      </c>
      <c r="B359" s="1" t="n">
        <v>44834.38636574074</v>
      </c>
      <c r="C359" s="1" t="n">
        <v>45989</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24245-2024</t>
        </is>
      </c>
      <c r="B360" s="1" t="n">
        <v>45457</v>
      </c>
      <c r="C360" s="1" t="n">
        <v>45989</v>
      </c>
      <c r="D360" t="inlineStr">
        <is>
          <t>STOCKHOLMS LÄN</t>
        </is>
      </c>
      <c r="E360" t="inlineStr">
        <is>
          <t>NORRTÄLJE</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54396-2021</t>
        </is>
      </c>
      <c r="B361" s="1" t="n">
        <v>44472</v>
      </c>
      <c r="C361" s="1" t="n">
        <v>45989</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26115-2024</t>
        </is>
      </c>
      <c r="B362" s="1" t="n">
        <v>45468.45628472222</v>
      </c>
      <c r="C362" s="1" t="n">
        <v>45989</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6537-2024</t>
        </is>
      </c>
      <c r="B363" s="1" t="n">
        <v>45341.39853009259</v>
      </c>
      <c r="C363" s="1" t="n">
        <v>45989</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52260-2022</t>
        </is>
      </c>
      <c r="B364" s="1" t="n">
        <v>44869</v>
      </c>
      <c r="C364" s="1" t="n">
        <v>45989</v>
      </c>
      <c r="D364" t="inlineStr">
        <is>
          <t>STOCKHOLMS LÄN</t>
        </is>
      </c>
      <c r="E364" t="inlineStr">
        <is>
          <t>NORRTÄLJE</t>
        </is>
      </c>
      <c r="G364" t="n">
        <v>3.1</v>
      </c>
      <c r="H364" t="n">
        <v>0</v>
      </c>
      <c r="I364" t="n">
        <v>0</v>
      </c>
      <c r="J364" t="n">
        <v>0</v>
      </c>
      <c r="K364" t="n">
        <v>0</v>
      </c>
      <c r="L364" t="n">
        <v>0</v>
      </c>
      <c r="M364" t="n">
        <v>0</v>
      </c>
      <c r="N364" t="n">
        <v>0</v>
      </c>
      <c r="O364" t="n">
        <v>0</v>
      </c>
      <c r="P364" t="n">
        <v>0</v>
      </c>
      <c r="Q364" t="n">
        <v>0</v>
      </c>
      <c r="R364" s="2" t="inlineStr"/>
    </row>
    <row r="365" ht="15" customHeight="1">
      <c r="A365" t="inlineStr">
        <is>
          <t>A 55058-2021</t>
        </is>
      </c>
      <c r="B365" s="1" t="n">
        <v>44474.62141203704</v>
      </c>
      <c r="C365" s="1" t="n">
        <v>45989</v>
      </c>
      <c r="D365" t="inlineStr">
        <is>
          <t>STOCKHOLMS LÄN</t>
        </is>
      </c>
      <c r="E365" t="inlineStr">
        <is>
          <t>NORRTÄLJE</t>
        </is>
      </c>
      <c r="G365" t="n">
        <v>1.9</v>
      </c>
      <c r="H365" t="n">
        <v>0</v>
      </c>
      <c r="I365" t="n">
        <v>0</v>
      </c>
      <c r="J365" t="n">
        <v>0</v>
      </c>
      <c r="K365" t="n">
        <v>0</v>
      </c>
      <c r="L365" t="n">
        <v>0</v>
      </c>
      <c r="M365" t="n">
        <v>0</v>
      </c>
      <c r="N365" t="n">
        <v>0</v>
      </c>
      <c r="O365" t="n">
        <v>0</v>
      </c>
      <c r="P365" t="n">
        <v>0</v>
      </c>
      <c r="Q365" t="n">
        <v>0</v>
      </c>
      <c r="R365" s="2" t="inlineStr"/>
    </row>
    <row r="366" ht="15" customHeight="1">
      <c r="A366" t="inlineStr">
        <is>
          <t>A 40192-2023</t>
        </is>
      </c>
      <c r="B366" s="1" t="n">
        <v>45169</v>
      </c>
      <c r="C366" s="1" t="n">
        <v>45989</v>
      </c>
      <c r="D366" t="inlineStr">
        <is>
          <t>STOCKHOLMS LÄN</t>
        </is>
      </c>
      <c r="E366" t="inlineStr">
        <is>
          <t>NORRTÄLJE</t>
        </is>
      </c>
      <c r="F366" t="inlineStr">
        <is>
          <t>Kyrkan</t>
        </is>
      </c>
      <c r="G366" t="n">
        <v>0.7</v>
      </c>
      <c r="H366" t="n">
        <v>0</v>
      </c>
      <c r="I366" t="n">
        <v>0</v>
      </c>
      <c r="J366" t="n">
        <v>0</v>
      </c>
      <c r="K366" t="n">
        <v>0</v>
      </c>
      <c r="L366" t="n">
        <v>0</v>
      </c>
      <c r="M366" t="n">
        <v>0</v>
      </c>
      <c r="N366" t="n">
        <v>0</v>
      </c>
      <c r="O366" t="n">
        <v>0</v>
      </c>
      <c r="P366" t="n">
        <v>0</v>
      </c>
      <c r="Q366" t="n">
        <v>0</v>
      </c>
      <c r="R366" s="2" t="inlineStr"/>
    </row>
    <row r="367" ht="15" customHeight="1">
      <c r="A367" t="inlineStr">
        <is>
          <t>A 34295-2024</t>
        </is>
      </c>
      <c r="B367" s="1" t="n">
        <v>45524</v>
      </c>
      <c r="C367" s="1" t="n">
        <v>45989</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4035-2023</t>
        </is>
      </c>
      <c r="B368" s="1" t="n">
        <v>44952.57989583333</v>
      </c>
      <c r="C368" s="1" t="n">
        <v>45989</v>
      </c>
      <c r="D368" t="inlineStr">
        <is>
          <t>STOCKHOLMS LÄN</t>
        </is>
      </c>
      <c r="E368" t="inlineStr">
        <is>
          <t>NORRTÄLJE</t>
        </is>
      </c>
      <c r="F368" t="inlineStr">
        <is>
          <t>Holmen skog AB</t>
        </is>
      </c>
      <c r="G368" t="n">
        <v>1.5</v>
      </c>
      <c r="H368" t="n">
        <v>0</v>
      </c>
      <c r="I368" t="n">
        <v>0</v>
      </c>
      <c r="J368" t="n">
        <v>0</v>
      </c>
      <c r="K368" t="n">
        <v>0</v>
      </c>
      <c r="L368" t="n">
        <v>0</v>
      </c>
      <c r="M368" t="n">
        <v>0</v>
      </c>
      <c r="N368" t="n">
        <v>0</v>
      </c>
      <c r="O368" t="n">
        <v>0</v>
      </c>
      <c r="P368" t="n">
        <v>0</v>
      </c>
      <c r="Q368" t="n">
        <v>0</v>
      </c>
      <c r="R368" s="2" t="inlineStr"/>
    </row>
    <row r="369" ht="15" customHeight="1">
      <c r="A369" t="inlineStr">
        <is>
          <t>A 26644-2024</t>
        </is>
      </c>
      <c r="B369" s="1" t="n">
        <v>45469</v>
      </c>
      <c r="C369" s="1" t="n">
        <v>45989</v>
      </c>
      <c r="D369" t="inlineStr">
        <is>
          <t>STOCKHOLMS LÄN</t>
        </is>
      </c>
      <c r="E369" t="inlineStr">
        <is>
          <t>NORRTÄLJE</t>
        </is>
      </c>
      <c r="G369" t="n">
        <v>4.3</v>
      </c>
      <c r="H369" t="n">
        <v>0</v>
      </c>
      <c r="I369" t="n">
        <v>0</v>
      </c>
      <c r="J369" t="n">
        <v>0</v>
      </c>
      <c r="K369" t="n">
        <v>0</v>
      </c>
      <c r="L369" t="n">
        <v>0</v>
      </c>
      <c r="M369" t="n">
        <v>0</v>
      </c>
      <c r="N369" t="n">
        <v>0</v>
      </c>
      <c r="O369" t="n">
        <v>0</v>
      </c>
      <c r="P369" t="n">
        <v>0</v>
      </c>
      <c r="Q369" t="n">
        <v>0</v>
      </c>
      <c r="R369" s="2" t="inlineStr"/>
    </row>
    <row r="370" ht="15" customHeight="1">
      <c r="A370" t="inlineStr">
        <is>
          <t>A 26668-2024</t>
        </is>
      </c>
      <c r="B370" s="1" t="n">
        <v>45469</v>
      </c>
      <c r="C370" s="1" t="n">
        <v>45989</v>
      </c>
      <c r="D370" t="inlineStr">
        <is>
          <t>STOCKHOLMS LÄN</t>
        </is>
      </c>
      <c r="E370" t="inlineStr">
        <is>
          <t>NORRTÄLJE</t>
        </is>
      </c>
      <c r="G370" t="n">
        <v>4.8</v>
      </c>
      <c r="H370" t="n">
        <v>0</v>
      </c>
      <c r="I370" t="n">
        <v>0</v>
      </c>
      <c r="J370" t="n">
        <v>0</v>
      </c>
      <c r="K370" t="n">
        <v>0</v>
      </c>
      <c r="L370" t="n">
        <v>0</v>
      </c>
      <c r="M370" t="n">
        <v>0</v>
      </c>
      <c r="N370" t="n">
        <v>0</v>
      </c>
      <c r="O370" t="n">
        <v>0</v>
      </c>
      <c r="P370" t="n">
        <v>0</v>
      </c>
      <c r="Q370" t="n">
        <v>0</v>
      </c>
      <c r="R370" s="2" t="inlineStr"/>
    </row>
    <row r="371" ht="15" customHeight="1">
      <c r="A371" t="inlineStr">
        <is>
          <t>A 22816-2021</t>
        </is>
      </c>
      <c r="B371" s="1" t="n">
        <v>44325</v>
      </c>
      <c r="C371" s="1" t="n">
        <v>45989</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28603-2024</t>
        </is>
      </c>
      <c r="B372" s="1" t="n">
        <v>45478.42887731481</v>
      </c>
      <c r="C372" s="1" t="n">
        <v>45989</v>
      </c>
      <c r="D372" t="inlineStr">
        <is>
          <t>STOCKHOLMS LÄN</t>
        </is>
      </c>
      <c r="E372" t="inlineStr">
        <is>
          <t>NORRTÄLJE</t>
        </is>
      </c>
      <c r="G372" t="n">
        <v>5.6</v>
      </c>
      <c r="H372" t="n">
        <v>0</v>
      </c>
      <c r="I372" t="n">
        <v>0</v>
      </c>
      <c r="J372" t="n">
        <v>0</v>
      </c>
      <c r="K372" t="n">
        <v>0</v>
      </c>
      <c r="L372" t="n">
        <v>0</v>
      </c>
      <c r="M372" t="n">
        <v>0</v>
      </c>
      <c r="N372" t="n">
        <v>0</v>
      </c>
      <c r="O372" t="n">
        <v>0</v>
      </c>
      <c r="P372" t="n">
        <v>0</v>
      </c>
      <c r="Q372" t="n">
        <v>0</v>
      </c>
      <c r="R372" s="2" t="inlineStr"/>
    </row>
    <row r="373" ht="15" customHeight="1">
      <c r="A373" t="inlineStr">
        <is>
          <t>A 65499-2021</t>
        </is>
      </c>
      <c r="B373" s="1" t="n">
        <v>44516</v>
      </c>
      <c r="C373" s="1" t="n">
        <v>45989</v>
      </c>
      <c r="D373" t="inlineStr">
        <is>
          <t>STOCKHOLMS LÄN</t>
        </is>
      </c>
      <c r="E373" t="inlineStr">
        <is>
          <t>NORRTÄLJE</t>
        </is>
      </c>
      <c r="F373" t="inlineStr">
        <is>
          <t>Kommuner</t>
        </is>
      </c>
      <c r="G373" t="n">
        <v>5.2</v>
      </c>
      <c r="H373" t="n">
        <v>0</v>
      </c>
      <c r="I373" t="n">
        <v>0</v>
      </c>
      <c r="J373" t="n">
        <v>0</v>
      </c>
      <c r="K373" t="n">
        <v>0</v>
      </c>
      <c r="L373" t="n">
        <v>0</v>
      </c>
      <c r="M373" t="n">
        <v>0</v>
      </c>
      <c r="N373" t="n">
        <v>0</v>
      </c>
      <c r="O373" t="n">
        <v>0</v>
      </c>
      <c r="P373" t="n">
        <v>0</v>
      </c>
      <c r="Q373" t="n">
        <v>0</v>
      </c>
      <c r="R373" s="2" t="inlineStr"/>
    </row>
    <row r="374" ht="15" customHeight="1">
      <c r="A374" t="inlineStr">
        <is>
          <t>A 25702-2025</t>
        </is>
      </c>
      <c r="B374" s="1" t="n">
        <v>45800</v>
      </c>
      <c r="C374" s="1" t="n">
        <v>45989</v>
      </c>
      <c r="D374" t="inlineStr">
        <is>
          <t>STOCKHOLMS LÄN</t>
        </is>
      </c>
      <c r="E374" t="inlineStr">
        <is>
          <t>NORRTÄLJE</t>
        </is>
      </c>
      <c r="G374" t="n">
        <v>5.3</v>
      </c>
      <c r="H374" t="n">
        <v>0</v>
      </c>
      <c r="I374" t="n">
        <v>0</v>
      </c>
      <c r="J374" t="n">
        <v>0</v>
      </c>
      <c r="K374" t="n">
        <v>0</v>
      </c>
      <c r="L374" t="n">
        <v>0</v>
      </c>
      <c r="M374" t="n">
        <v>0</v>
      </c>
      <c r="N374" t="n">
        <v>0</v>
      </c>
      <c r="O374" t="n">
        <v>0</v>
      </c>
      <c r="P374" t="n">
        <v>0</v>
      </c>
      <c r="Q374" t="n">
        <v>0</v>
      </c>
      <c r="R374" s="2" t="inlineStr"/>
    </row>
    <row r="375" ht="15" customHeight="1">
      <c r="A375" t="inlineStr">
        <is>
          <t>A 25709-2025</t>
        </is>
      </c>
      <c r="B375" s="1" t="n">
        <v>45800</v>
      </c>
      <c r="C375" s="1" t="n">
        <v>45989</v>
      </c>
      <c r="D375" t="inlineStr">
        <is>
          <t>STOCKHOLMS LÄN</t>
        </is>
      </c>
      <c r="E375" t="inlineStr">
        <is>
          <t>NORRTÄLJE</t>
        </is>
      </c>
      <c r="G375" t="n">
        <v>4.6</v>
      </c>
      <c r="H375" t="n">
        <v>0</v>
      </c>
      <c r="I375" t="n">
        <v>0</v>
      </c>
      <c r="J375" t="n">
        <v>0</v>
      </c>
      <c r="K375" t="n">
        <v>0</v>
      </c>
      <c r="L375" t="n">
        <v>0</v>
      </c>
      <c r="M375" t="n">
        <v>0</v>
      </c>
      <c r="N375" t="n">
        <v>0</v>
      </c>
      <c r="O375" t="n">
        <v>0</v>
      </c>
      <c r="P375" t="n">
        <v>0</v>
      </c>
      <c r="Q375" t="n">
        <v>0</v>
      </c>
      <c r="R375" s="2" t="inlineStr"/>
    </row>
    <row r="376" ht="15" customHeight="1">
      <c r="A376" t="inlineStr">
        <is>
          <t>A 25721-2025</t>
        </is>
      </c>
      <c r="B376" s="1" t="n">
        <v>45800</v>
      </c>
      <c r="C376" s="1" t="n">
        <v>45989</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37085-2021</t>
        </is>
      </c>
      <c r="B377" s="1" t="n">
        <v>44395</v>
      </c>
      <c r="C377" s="1" t="n">
        <v>45989</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46988-2024</t>
        </is>
      </c>
      <c r="B378" s="1" t="n">
        <v>45586</v>
      </c>
      <c r="C378" s="1" t="n">
        <v>45989</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71552-2021</t>
        </is>
      </c>
      <c r="B379" s="1" t="n">
        <v>44540</v>
      </c>
      <c r="C379" s="1" t="n">
        <v>45989</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25733-2025</t>
        </is>
      </c>
      <c r="B380" s="1" t="n">
        <v>45800</v>
      </c>
      <c r="C380" s="1" t="n">
        <v>45989</v>
      </c>
      <c r="D380" t="inlineStr">
        <is>
          <t>STOCKHOLMS LÄN</t>
        </is>
      </c>
      <c r="E380" t="inlineStr">
        <is>
          <t>NORRTÄLJE</t>
        </is>
      </c>
      <c r="G380" t="n">
        <v>2.2</v>
      </c>
      <c r="H380" t="n">
        <v>0</v>
      </c>
      <c r="I380" t="n">
        <v>0</v>
      </c>
      <c r="J380" t="n">
        <v>0</v>
      </c>
      <c r="K380" t="n">
        <v>0</v>
      </c>
      <c r="L380" t="n">
        <v>0</v>
      </c>
      <c r="M380" t="n">
        <v>0</v>
      </c>
      <c r="N380" t="n">
        <v>0</v>
      </c>
      <c r="O380" t="n">
        <v>0</v>
      </c>
      <c r="P380" t="n">
        <v>0</v>
      </c>
      <c r="Q380" t="n">
        <v>0</v>
      </c>
      <c r="R380" s="2" t="inlineStr"/>
    </row>
    <row r="381" ht="15" customHeight="1">
      <c r="A381" t="inlineStr">
        <is>
          <t>A 17382-2024</t>
        </is>
      </c>
      <c r="B381" s="1" t="n">
        <v>45414.65855324074</v>
      </c>
      <c r="C381" s="1" t="n">
        <v>45989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25725-2025</t>
        </is>
      </c>
      <c r="B382" s="1" t="n">
        <v>45800</v>
      </c>
      <c r="C382" s="1" t="n">
        <v>45989</v>
      </c>
      <c r="D382" t="inlineStr">
        <is>
          <t>STOCKHOLMS LÄN</t>
        </is>
      </c>
      <c r="E382" t="inlineStr">
        <is>
          <t>NORRTÄLJE</t>
        </is>
      </c>
      <c r="G382" t="n">
        <v>5.2</v>
      </c>
      <c r="H382" t="n">
        <v>0</v>
      </c>
      <c r="I382" t="n">
        <v>0</v>
      </c>
      <c r="J382" t="n">
        <v>0</v>
      </c>
      <c r="K382" t="n">
        <v>0</v>
      </c>
      <c r="L382" t="n">
        <v>0</v>
      </c>
      <c r="M382" t="n">
        <v>0</v>
      </c>
      <c r="N382" t="n">
        <v>0</v>
      </c>
      <c r="O382" t="n">
        <v>0</v>
      </c>
      <c r="P382" t="n">
        <v>0</v>
      </c>
      <c r="Q382" t="n">
        <v>0</v>
      </c>
      <c r="R382" s="2" t="inlineStr"/>
    </row>
    <row r="383" ht="15" customHeight="1">
      <c r="A383" t="inlineStr">
        <is>
          <t>A 39149-2025</t>
        </is>
      </c>
      <c r="B383" s="1" t="n">
        <v>45888.60714120371</v>
      </c>
      <c r="C383" s="1" t="n">
        <v>45989</v>
      </c>
      <c r="D383" t="inlineStr">
        <is>
          <t>STOCKHOLMS LÄN</t>
        </is>
      </c>
      <c r="E383" t="inlineStr">
        <is>
          <t>NORRTÄLJE</t>
        </is>
      </c>
      <c r="G383" t="n">
        <v>3.5</v>
      </c>
      <c r="H383" t="n">
        <v>0</v>
      </c>
      <c r="I383" t="n">
        <v>0</v>
      </c>
      <c r="J383" t="n">
        <v>0</v>
      </c>
      <c r="K383" t="n">
        <v>0</v>
      </c>
      <c r="L383" t="n">
        <v>0</v>
      </c>
      <c r="M383" t="n">
        <v>0</v>
      </c>
      <c r="N383" t="n">
        <v>0</v>
      </c>
      <c r="O383" t="n">
        <v>0</v>
      </c>
      <c r="P383" t="n">
        <v>0</v>
      </c>
      <c r="Q383" t="n">
        <v>0</v>
      </c>
      <c r="R383" s="2" t="inlineStr"/>
    </row>
    <row r="384" ht="15" customHeight="1">
      <c r="A384" t="inlineStr">
        <is>
          <t>A 38720-2025</t>
        </is>
      </c>
      <c r="B384" s="1" t="n">
        <v>45886</v>
      </c>
      <c r="C384" s="1" t="n">
        <v>45989</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25557-2023</t>
        </is>
      </c>
      <c r="B385" s="1" t="n">
        <v>45089</v>
      </c>
      <c r="C385" s="1" t="n">
        <v>45989</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25571-2025</t>
        </is>
      </c>
      <c r="B386" s="1" t="n">
        <v>45803.4675</v>
      </c>
      <c r="C386" s="1" t="n">
        <v>45989</v>
      </c>
      <c r="D386" t="inlineStr">
        <is>
          <t>STOCKHOLMS LÄN</t>
        </is>
      </c>
      <c r="E386" t="inlineStr">
        <is>
          <t>NORRTÄLJE</t>
        </is>
      </c>
      <c r="G386" t="n">
        <v>5.4</v>
      </c>
      <c r="H386" t="n">
        <v>0</v>
      </c>
      <c r="I386" t="n">
        <v>0</v>
      </c>
      <c r="J386" t="n">
        <v>0</v>
      </c>
      <c r="K386" t="n">
        <v>0</v>
      </c>
      <c r="L386" t="n">
        <v>0</v>
      </c>
      <c r="M386" t="n">
        <v>0</v>
      </c>
      <c r="N386" t="n">
        <v>0</v>
      </c>
      <c r="O386" t="n">
        <v>0</v>
      </c>
      <c r="P386" t="n">
        <v>0</v>
      </c>
      <c r="Q386" t="n">
        <v>0</v>
      </c>
      <c r="R386" s="2" t="inlineStr"/>
    </row>
    <row r="387" ht="15" customHeight="1">
      <c r="A387" t="inlineStr">
        <is>
          <t>A 53561-2023</t>
        </is>
      </c>
      <c r="B387" s="1" t="n">
        <v>45224</v>
      </c>
      <c r="C387" s="1" t="n">
        <v>45989</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9914-2023</t>
        </is>
      </c>
      <c r="B388" s="1" t="n">
        <v>44985</v>
      </c>
      <c r="C388" s="1" t="n">
        <v>45989</v>
      </c>
      <c r="D388" t="inlineStr">
        <is>
          <t>STOCKHOLMS LÄN</t>
        </is>
      </c>
      <c r="E388" t="inlineStr">
        <is>
          <t>NORRTÄLJE</t>
        </is>
      </c>
      <c r="G388" t="n">
        <v>4.2</v>
      </c>
      <c r="H388" t="n">
        <v>0</v>
      </c>
      <c r="I388" t="n">
        <v>0</v>
      </c>
      <c r="J388" t="n">
        <v>0</v>
      </c>
      <c r="K388" t="n">
        <v>0</v>
      </c>
      <c r="L388" t="n">
        <v>0</v>
      </c>
      <c r="M388" t="n">
        <v>0</v>
      </c>
      <c r="N388" t="n">
        <v>0</v>
      </c>
      <c r="O388" t="n">
        <v>0</v>
      </c>
      <c r="P388" t="n">
        <v>0</v>
      </c>
      <c r="Q388" t="n">
        <v>0</v>
      </c>
      <c r="R388" s="2" t="inlineStr"/>
    </row>
    <row r="389" ht="15" customHeight="1">
      <c r="A389" t="inlineStr">
        <is>
          <t>A 60525-2022</t>
        </is>
      </c>
      <c r="B389" s="1" t="n">
        <v>44904</v>
      </c>
      <c r="C389" s="1" t="n">
        <v>45989</v>
      </c>
      <c r="D389" t="inlineStr">
        <is>
          <t>STOCKHOLMS LÄN</t>
        </is>
      </c>
      <c r="E389" t="inlineStr">
        <is>
          <t>NORRTÄLJE</t>
        </is>
      </c>
      <c r="G389" t="n">
        <v>13.4</v>
      </c>
      <c r="H389" t="n">
        <v>0</v>
      </c>
      <c r="I389" t="n">
        <v>0</v>
      </c>
      <c r="J389" t="n">
        <v>0</v>
      </c>
      <c r="K389" t="n">
        <v>0</v>
      </c>
      <c r="L389" t="n">
        <v>0</v>
      </c>
      <c r="M389" t="n">
        <v>0</v>
      </c>
      <c r="N389" t="n">
        <v>0</v>
      </c>
      <c r="O389" t="n">
        <v>0</v>
      </c>
      <c r="P389" t="n">
        <v>0</v>
      </c>
      <c r="Q389" t="n">
        <v>0</v>
      </c>
      <c r="R389" s="2" t="inlineStr"/>
    </row>
    <row r="390" ht="15" customHeight="1">
      <c r="A390" t="inlineStr">
        <is>
          <t>A 25712-2025</t>
        </is>
      </c>
      <c r="B390" s="1" t="n">
        <v>45803.69228009259</v>
      </c>
      <c r="C390" s="1" t="n">
        <v>45989</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41218-2024</t>
        </is>
      </c>
      <c r="B391" s="1" t="n">
        <v>45559.54706018518</v>
      </c>
      <c r="C391" s="1" t="n">
        <v>45989</v>
      </c>
      <c r="D391" t="inlineStr">
        <is>
          <t>STOCKHOLMS LÄN</t>
        </is>
      </c>
      <c r="E391" t="inlineStr">
        <is>
          <t>NORRTÄLJE</t>
        </is>
      </c>
      <c r="G391" t="n">
        <v>6</v>
      </c>
      <c r="H391" t="n">
        <v>0</v>
      </c>
      <c r="I391" t="n">
        <v>0</v>
      </c>
      <c r="J391" t="n">
        <v>0</v>
      </c>
      <c r="K391" t="n">
        <v>0</v>
      </c>
      <c r="L391" t="n">
        <v>0</v>
      </c>
      <c r="M391" t="n">
        <v>0</v>
      </c>
      <c r="N391" t="n">
        <v>0</v>
      </c>
      <c r="O391" t="n">
        <v>0</v>
      </c>
      <c r="P391" t="n">
        <v>0</v>
      </c>
      <c r="Q391" t="n">
        <v>0</v>
      </c>
      <c r="R391" s="2" t="inlineStr"/>
    </row>
    <row r="392" ht="15" customHeight="1">
      <c r="A392" t="inlineStr">
        <is>
          <t>A 26051-2025</t>
        </is>
      </c>
      <c r="B392" s="1" t="n">
        <v>45804.74479166666</v>
      </c>
      <c r="C392" s="1" t="n">
        <v>45989</v>
      </c>
      <c r="D392" t="inlineStr">
        <is>
          <t>STOCKHOLMS LÄN</t>
        </is>
      </c>
      <c r="E392" t="inlineStr">
        <is>
          <t>NORRTÄLJE</t>
        </is>
      </c>
      <c r="G392" t="n">
        <v>3.2</v>
      </c>
      <c r="H392" t="n">
        <v>0</v>
      </c>
      <c r="I392" t="n">
        <v>0</v>
      </c>
      <c r="J392" t="n">
        <v>0</v>
      </c>
      <c r="K392" t="n">
        <v>0</v>
      </c>
      <c r="L392" t="n">
        <v>0</v>
      </c>
      <c r="M392" t="n">
        <v>0</v>
      </c>
      <c r="N392" t="n">
        <v>0</v>
      </c>
      <c r="O392" t="n">
        <v>0</v>
      </c>
      <c r="P392" t="n">
        <v>0</v>
      </c>
      <c r="Q392" t="n">
        <v>0</v>
      </c>
      <c r="R392" s="2" t="inlineStr"/>
    </row>
    <row r="393" ht="15" customHeight="1">
      <c r="A393" t="inlineStr">
        <is>
          <t>A 39238-2024</t>
        </is>
      </c>
      <c r="B393" s="1" t="n">
        <v>45549</v>
      </c>
      <c r="C393" s="1" t="n">
        <v>45989</v>
      </c>
      <c r="D393" t="inlineStr">
        <is>
          <t>STOCKHOLMS LÄN</t>
        </is>
      </c>
      <c r="E393" t="inlineStr">
        <is>
          <t>NORRTÄLJE</t>
        </is>
      </c>
      <c r="G393" t="n">
        <v>3.6</v>
      </c>
      <c r="H393" t="n">
        <v>0</v>
      </c>
      <c r="I393" t="n">
        <v>0</v>
      </c>
      <c r="J393" t="n">
        <v>0</v>
      </c>
      <c r="K393" t="n">
        <v>0</v>
      </c>
      <c r="L393" t="n">
        <v>0</v>
      </c>
      <c r="M393" t="n">
        <v>0</v>
      </c>
      <c r="N393" t="n">
        <v>0</v>
      </c>
      <c r="O393" t="n">
        <v>0</v>
      </c>
      <c r="P393" t="n">
        <v>0</v>
      </c>
      <c r="Q393" t="n">
        <v>0</v>
      </c>
      <c r="R393" s="2" t="inlineStr"/>
    </row>
    <row r="394" ht="15" customHeight="1">
      <c r="A394" t="inlineStr">
        <is>
          <t>A 39152-2025</t>
        </is>
      </c>
      <c r="B394" s="1" t="n">
        <v>45888</v>
      </c>
      <c r="C394" s="1" t="n">
        <v>45989</v>
      </c>
      <c r="D394" t="inlineStr">
        <is>
          <t>STOCKHOLMS LÄN</t>
        </is>
      </c>
      <c r="E394" t="inlineStr">
        <is>
          <t>NORRTÄLJE</t>
        </is>
      </c>
      <c r="G394" t="n">
        <v>4.6</v>
      </c>
      <c r="H394" t="n">
        <v>0</v>
      </c>
      <c r="I394" t="n">
        <v>0</v>
      </c>
      <c r="J394" t="n">
        <v>0</v>
      </c>
      <c r="K394" t="n">
        <v>0</v>
      </c>
      <c r="L394" t="n">
        <v>0</v>
      </c>
      <c r="M394" t="n">
        <v>0</v>
      </c>
      <c r="N394" t="n">
        <v>0</v>
      </c>
      <c r="O394" t="n">
        <v>0</v>
      </c>
      <c r="P394" t="n">
        <v>0</v>
      </c>
      <c r="Q394" t="n">
        <v>0</v>
      </c>
      <c r="R394" s="2" t="inlineStr"/>
    </row>
    <row r="395" ht="15" customHeight="1">
      <c r="A395" t="inlineStr">
        <is>
          <t>A 38449-2022</t>
        </is>
      </c>
      <c r="B395" s="1" t="n">
        <v>44813</v>
      </c>
      <c r="C395" s="1" t="n">
        <v>45989</v>
      </c>
      <c r="D395" t="inlineStr">
        <is>
          <t>STOCKHOLMS LÄN</t>
        </is>
      </c>
      <c r="E395" t="inlineStr">
        <is>
          <t>NORRTÄLJE</t>
        </is>
      </c>
      <c r="G395" t="n">
        <v>4.2</v>
      </c>
      <c r="H395" t="n">
        <v>0</v>
      </c>
      <c r="I395" t="n">
        <v>0</v>
      </c>
      <c r="J395" t="n">
        <v>0</v>
      </c>
      <c r="K395" t="n">
        <v>0</v>
      </c>
      <c r="L395" t="n">
        <v>0</v>
      </c>
      <c r="M395" t="n">
        <v>0</v>
      </c>
      <c r="N395" t="n">
        <v>0</v>
      </c>
      <c r="O395" t="n">
        <v>0</v>
      </c>
      <c r="P395" t="n">
        <v>0</v>
      </c>
      <c r="Q395" t="n">
        <v>0</v>
      </c>
      <c r="R395" s="2" t="inlineStr"/>
    </row>
    <row r="396" ht="15" customHeight="1">
      <c r="A396" t="inlineStr">
        <is>
          <t>A 58302-2022</t>
        </is>
      </c>
      <c r="B396" s="1" t="n">
        <v>44901</v>
      </c>
      <c r="C396" s="1" t="n">
        <v>45989</v>
      </c>
      <c r="D396" t="inlineStr">
        <is>
          <t>STOCKHOLMS LÄN</t>
        </is>
      </c>
      <c r="E396" t="inlineStr">
        <is>
          <t>NORRTÄLJE</t>
        </is>
      </c>
      <c r="G396" t="n">
        <v>3.9</v>
      </c>
      <c r="H396" t="n">
        <v>0</v>
      </c>
      <c r="I396" t="n">
        <v>0</v>
      </c>
      <c r="J396" t="n">
        <v>0</v>
      </c>
      <c r="K396" t="n">
        <v>0</v>
      </c>
      <c r="L396" t="n">
        <v>0</v>
      </c>
      <c r="M396" t="n">
        <v>0</v>
      </c>
      <c r="N396" t="n">
        <v>0</v>
      </c>
      <c r="O396" t="n">
        <v>0</v>
      </c>
      <c r="P396" t="n">
        <v>0</v>
      </c>
      <c r="Q396" t="n">
        <v>0</v>
      </c>
      <c r="R396" s="2" t="inlineStr"/>
    </row>
    <row r="397" ht="15" customHeight="1">
      <c r="A397" t="inlineStr">
        <is>
          <t>A 25697-2025</t>
        </is>
      </c>
      <c r="B397" s="1" t="n">
        <v>45803.66587962963</v>
      </c>
      <c r="C397" s="1" t="n">
        <v>45989</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47259-2024</t>
        </is>
      </c>
      <c r="B398" s="1" t="n">
        <v>45586</v>
      </c>
      <c r="C398" s="1" t="n">
        <v>45989</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23269-2023</t>
        </is>
      </c>
      <c r="B399" s="1" t="n">
        <v>45075.91148148148</v>
      </c>
      <c r="C399" s="1" t="n">
        <v>45989</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34478-2025</t>
        </is>
      </c>
      <c r="B400" s="1" t="n">
        <v>45847.37414351852</v>
      </c>
      <c r="C400" s="1" t="n">
        <v>45989</v>
      </c>
      <c r="D400" t="inlineStr">
        <is>
          <t>STOCKHOLMS LÄN</t>
        </is>
      </c>
      <c r="E400" t="inlineStr">
        <is>
          <t>NORRTÄLJE</t>
        </is>
      </c>
      <c r="F400" t="inlineStr">
        <is>
          <t>Övriga Aktiebolag</t>
        </is>
      </c>
      <c r="G400" t="n">
        <v>10.8</v>
      </c>
      <c r="H400" t="n">
        <v>0</v>
      </c>
      <c r="I400" t="n">
        <v>0</v>
      </c>
      <c r="J400" t="n">
        <v>0</v>
      </c>
      <c r="K400" t="n">
        <v>0</v>
      </c>
      <c r="L400" t="n">
        <v>0</v>
      </c>
      <c r="M400" t="n">
        <v>0</v>
      </c>
      <c r="N400" t="n">
        <v>0</v>
      </c>
      <c r="O400" t="n">
        <v>0</v>
      </c>
      <c r="P400" t="n">
        <v>0</v>
      </c>
      <c r="Q400" t="n">
        <v>0</v>
      </c>
      <c r="R400" s="2" t="inlineStr"/>
    </row>
    <row r="401" ht="15" customHeight="1">
      <c r="A401" t="inlineStr">
        <is>
          <t>A 23060-2023</t>
        </is>
      </c>
      <c r="B401" s="1" t="n">
        <v>45075</v>
      </c>
      <c r="C401" s="1" t="n">
        <v>45989</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52743-2024</t>
        </is>
      </c>
      <c r="B402" s="1" t="n">
        <v>45610.47414351852</v>
      </c>
      <c r="C402" s="1" t="n">
        <v>45989</v>
      </c>
      <c r="D402" t="inlineStr">
        <is>
          <t>STOCKHOLMS LÄN</t>
        </is>
      </c>
      <c r="E402" t="inlineStr">
        <is>
          <t>NORRTÄLJE</t>
        </is>
      </c>
      <c r="G402" t="n">
        <v>1.5</v>
      </c>
      <c r="H402" t="n">
        <v>0</v>
      </c>
      <c r="I402" t="n">
        <v>0</v>
      </c>
      <c r="J402" t="n">
        <v>0</v>
      </c>
      <c r="K402" t="n">
        <v>0</v>
      </c>
      <c r="L402" t="n">
        <v>0</v>
      </c>
      <c r="M402" t="n">
        <v>0</v>
      </c>
      <c r="N402" t="n">
        <v>0</v>
      </c>
      <c r="O402" t="n">
        <v>0</v>
      </c>
      <c r="P402" t="n">
        <v>0</v>
      </c>
      <c r="Q402" t="n">
        <v>0</v>
      </c>
      <c r="R402" s="2" t="inlineStr"/>
    </row>
    <row r="403" ht="15" customHeight="1">
      <c r="A403" t="inlineStr">
        <is>
          <t>A 39692-2025</t>
        </is>
      </c>
      <c r="B403" s="1" t="n">
        <v>45890.68083333333</v>
      </c>
      <c r="C403" s="1" t="n">
        <v>45989</v>
      </c>
      <c r="D403" t="inlineStr">
        <is>
          <t>STOCKHOLMS LÄN</t>
        </is>
      </c>
      <c r="E403" t="inlineStr">
        <is>
          <t>NORRTÄLJE</t>
        </is>
      </c>
      <c r="G403" t="n">
        <v>10.5</v>
      </c>
      <c r="H403" t="n">
        <v>0</v>
      </c>
      <c r="I403" t="n">
        <v>0</v>
      </c>
      <c r="J403" t="n">
        <v>0</v>
      </c>
      <c r="K403" t="n">
        <v>0</v>
      </c>
      <c r="L403" t="n">
        <v>0</v>
      </c>
      <c r="M403" t="n">
        <v>0</v>
      </c>
      <c r="N403" t="n">
        <v>0</v>
      </c>
      <c r="O403" t="n">
        <v>0</v>
      </c>
      <c r="P403" t="n">
        <v>0</v>
      </c>
      <c r="Q403" t="n">
        <v>0</v>
      </c>
      <c r="R403" s="2" t="inlineStr"/>
    </row>
    <row r="404" ht="15" customHeight="1">
      <c r="A404" t="inlineStr">
        <is>
          <t>A 26675-2025</t>
        </is>
      </c>
      <c r="B404" s="1" t="n">
        <v>45810.42393518519</v>
      </c>
      <c r="C404" s="1" t="n">
        <v>45989</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27677-2025</t>
        </is>
      </c>
      <c r="B405" s="1" t="n">
        <v>45813.63650462963</v>
      </c>
      <c r="C405" s="1" t="n">
        <v>45989</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11499-2023</t>
        </is>
      </c>
      <c r="B406" s="1" t="n">
        <v>44993.66707175926</v>
      </c>
      <c r="C406" s="1" t="n">
        <v>45989</v>
      </c>
      <c r="D406" t="inlineStr">
        <is>
          <t>STOCKHOLMS LÄN</t>
        </is>
      </c>
      <c r="E406" t="inlineStr">
        <is>
          <t>NORRTÄLJE</t>
        </is>
      </c>
      <c r="F406" t="inlineStr">
        <is>
          <t>Holmen skog AB</t>
        </is>
      </c>
      <c r="G406" t="n">
        <v>2.8</v>
      </c>
      <c r="H406" t="n">
        <v>0</v>
      </c>
      <c r="I406" t="n">
        <v>0</v>
      </c>
      <c r="J406" t="n">
        <v>0</v>
      </c>
      <c r="K406" t="n">
        <v>0</v>
      </c>
      <c r="L406" t="n">
        <v>0</v>
      </c>
      <c r="M406" t="n">
        <v>0</v>
      </c>
      <c r="N406" t="n">
        <v>0</v>
      </c>
      <c r="O406" t="n">
        <v>0</v>
      </c>
      <c r="P406" t="n">
        <v>0</v>
      </c>
      <c r="Q406" t="n">
        <v>0</v>
      </c>
      <c r="R406" s="2" t="inlineStr"/>
    </row>
    <row r="407" ht="15" customHeight="1">
      <c r="A407" t="inlineStr">
        <is>
          <t>A 64600-2021</t>
        </is>
      </c>
      <c r="B407" s="1" t="n">
        <v>44511.70518518519</v>
      </c>
      <c r="C407" s="1" t="n">
        <v>45989</v>
      </c>
      <c r="D407" t="inlineStr">
        <is>
          <t>STOCKHOLMS LÄN</t>
        </is>
      </c>
      <c r="E407" t="inlineStr">
        <is>
          <t>NORRTÄLJE</t>
        </is>
      </c>
      <c r="G407" t="n">
        <v>6.2</v>
      </c>
      <c r="H407" t="n">
        <v>0</v>
      </c>
      <c r="I407" t="n">
        <v>0</v>
      </c>
      <c r="J407" t="n">
        <v>0</v>
      </c>
      <c r="K407" t="n">
        <v>0</v>
      </c>
      <c r="L407" t="n">
        <v>0</v>
      </c>
      <c r="M407" t="n">
        <v>0</v>
      </c>
      <c r="N407" t="n">
        <v>0</v>
      </c>
      <c r="O407" t="n">
        <v>0</v>
      </c>
      <c r="P407" t="n">
        <v>0</v>
      </c>
      <c r="Q407" t="n">
        <v>0</v>
      </c>
      <c r="R407" s="2" t="inlineStr"/>
    </row>
    <row r="408" ht="15" customHeight="1">
      <c r="A408" t="inlineStr">
        <is>
          <t>A 35640-2024</t>
        </is>
      </c>
      <c r="B408" s="1" t="n">
        <v>45531</v>
      </c>
      <c r="C408" s="1" t="n">
        <v>45989</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23061-2025</t>
        </is>
      </c>
      <c r="B409" s="1" t="n">
        <v>45790.81410879629</v>
      </c>
      <c r="C409" s="1" t="n">
        <v>45989</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8586-2023</t>
        </is>
      </c>
      <c r="B410" s="1" t="n">
        <v>44977</v>
      </c>
      <c r="C410" s="1" t="n">
        <v>45989</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26747-2025</t>
        </is>
      </c>
      <c r="B411" s="1" t="n">
        <v>45810.5333912037</v>
      </c>
      <c r="C411" s="1" t="n">
        <v>45989</v>
      </c>
      <c r="D411" t="inlineStr">
        <is>
          <t>STOCKHOLMS LÄN</t>
        </is>
      </c>
      <c r="E411" t="inlineStr">
        <is>
          <t>NORRTÄLJE</t>
        </is>
      </c>
      <c r="G411" t="n">
        <v>1.9</v>
      </c>
      <c r="H411" t="n">
        <v>0</v>
      </c>
      <c r="I411" t="n">
        <v>0</v>
      </c>
      <c r="J411" t="n">
        <v>0</v>
      </c>
      <c r="K411" t="n">
        <v>0</v>
      </c>
      <c r="L411" t="n">
        <v>0</v>
      </c>
      <c r="M411" t="n">
        <v>0</v>
      </c>
      <c r="N411" t="n">
        <v>0</v>
      </c>
      <c r="O411" t="n">
        <v>0</v>
      </c>
      <c r="P411" t="n">
        <v>0</v>
      </c>
      <c r="Q411" t="n">
        <v>0</v>
      </c>
      <c r="R411" s="2" t="inlineStr"/>
    </row>
    <row r="412" ht="15" customHeight="1">
      <c r="A412" t="inlineStr">
        <is>
          <t>A 67990-2021</t>
        </is>
      </c>
      <c r="B412" s="1" t="n">
        <v>44525</v>
      </c>
      <c r="C412" s="1" t="n">
        <v>45989</v>
      </c>
      <c r="D412" t="inlineStr">
        <is>
          <t>STOCKHOLMS LÄN</t>
        </is>
      </c>
      <c r="E412" t="inlineStr">
        <is>
          <t>NORRTÄLJE</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40230-2025</t>
        </is>
      </c>
      <c r="B413" s="1" t="n">
        <v>45894.71101851852</v>
      </c>
      <c r="C413" s="1" t="n">
        <v>45989</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26702-2025</t>
        </is>
      </c>
      <c r="B414" s="1" t="n">
        <v>45810.45236111111</v>
      </c>
      <c r="C414" s="1" t="n">
        <v>45989</v>
      </c>
      <c r="D414" t="inlineStr">
        <is>
          <t>STOCKHOLMS LÄN</t>
        </is>
      </c>
      <c r="E414" t="inlineStr">
        <is>
          <t>NORRTÄLJE</t>
        </is>
      </c>
      <c r="G414" t="n">
        <v>7.3</v>
      </c>
      <c r="H414" t="n">
        <v>0</v>
      </c>
      <c r="I414" t="n">
        <v>0</v>
      </c>
      <c r="J414" t="n">
        <v>0</v>
      </c>
      <c r="K414" t="n">
        <v>0</v>
      </c>
      <c r="L414" t="n">
        <v>0</v>
      </c>
      <c r="M414" t="n">
        <v>0</v>
      </c>
      <c r="N414" t="n">
        <v>0</v>
      </c>
      <c r="O414" t="n">
        <v>0</v>
      </c>
      <c r="P414" t="n">
        <v>0</v>
      </c>
      <c r="Q414" t="n">
        <v>0</v>
      </c>
      <c r="R414" s="2" t="inlineStr"/>
    </row>
    <row r="415" ht="15" customHeight="1">
      <c r="A415" t="inlineStr">
        <is>
          <t>A 40228-2025</t>
        </is>
      </c>
      <c r="B415" s="1" t="n">
        <v>45894.70854166667</v>
      </c>
      <c r="C415" s="1" t="n">
        <v>45989</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35636-2025</t>
        </is>
      </c>
      <c r="B416" s="1" t="n">
        <v>45859</v>
      </c>
      <c r="C416" s="1" t="n">
        <v>45989</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40172-2025</t>
        </is>
      </c>
      <c r="B417" s="1" t="n">
        <v>45894.6353125</v>
      </c>
      <c r="C417" s="1" t="n">
        <v>45989</v>
      </c>
      <c r="D417" t="inlineStr">
        <is>
          <t>STOCKHOLMS LÄN</t>
        </is>
      </c>
      <c r="E417" t="inlineStr">
        <is>
          <t>NORRTÄLJE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40033-2025</t>
        </is>
      </c>
      <c r="B418" s="1" t="n">
        <v>45893</v>
      </c>
      <c r="C418" s="1" t="n">
        <v>45989</v>
      </c>
      <c r="D418" t="inlineStr">
        <is>
          <t>STOCKHOLMS LÄN</t>
        </is>
      </c>
      <c r="E418" t="inlineStr">
        <is>
          <t>NORRTÄLJE</t>
        </is>
      </c>
      <c r="G418" t="n">
        <v>1.7</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45989</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26708-2025</t>
        </is>
      </c>
      <c r="B420" s="1" t="n">
        <v>45810.45633101852</v>
      </c>
      <c r="C420" s="1" t="n">
        <v>45989</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35639-2025</t>
        </is>
      </c>
      <c r="B421" s="1" t="n">
        <v>45859</v>
      </c>
      <c r="C421" s="1" t="n">
        <v>45989</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40032-2025</t>
        </is>
      </c>
      <c r="B422" s="1" t="n">
        <v>45893</v>
      </c>
      <c r="C422" s="1" t="n">
        <v>45989</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21696-2024</t>
        </is>
      </c>
      <c r="B423" s="1" t="n">
        <v>45442.45686342593</v>
      </c>
      <c r="C423" s="1" t="n">
        <v>45989</v>
      </c>
      <c r="D423" t="inlineStr">
        <is>
          <t>STOCKHOLMS LÄN</t>
        </is>
      </c>
      <c r="E423" t="inlineStr">
        <is>
          <t>NORRTÄLJE</t>
        </is>
      </c>
      <c r="G423" t="n">
        <v>2.9</v>
      </c>
      <c r="H423" t="n">
        <v>0</v>
      </c>
      <c r="I423" t="n">
        <v>0</v>
      </c>
      <c r="J423" t="n">
        <v>0</v>
      </c>
      <c r="K423" t="n">
        <v>0</v>
      </c>
      <c r="L423" t="n">
        <v>0</v>
      </c>
      <c r="M423" t="n">
        <v>0</v>
      </c>
      <c r="N423" t="n">
        <v>0</v>
      </c>
      <c r="O423" t="n">
        <v>0</v>
      </c>
      <c r="P423" t="n">
        <v>0</v>
      </c>
      <c r="Q423" t="n">
        <v>0</v>
      </c>
      <c r="R423" s="2" t="inlineStr"/>
    </row>
    <row r="424" ht="15" customHeight="1">
      <c r="A424" t="inlineStr">
        <is>
          <t>A 40097-2025</t>
        </is>
      </c>
      <c r="B424" s="1" t="n">
        <v>45894.48322916667</v>
      </c>
      <c r="C424" s="1" t="n">
        <v>45989</v>
      </c>
      <c r="D424" t="inlineStr">
        <is>
          <t>STOCKHOLMS LÄN</t>
        </is>
      </c>
      <c r="E424" t="inlineStr">
        <is>
          <t>NORRTÄLJE</t>
        </is>
      </c>
      <c r="G424" t="n">
        <v>3</v>
      </c>
      <c r="H424" t="n">
        <v>0</v>
      </c>
      <c r="I424" t="n">
        <v>0</v>
      </c>
      <c r="J424" t="n">
        <v>0</v>
      </c>
      <c r="K424" t="n">
        <v>0</v>
      </c>
      <c r="L424" t="n">
        <v>0</v>
      </c>
      <c r="M424" t="n">
        <v>0</v>
      </c>
      <c r="N424" t="n">
        <v>0</v>
      </c>
      <c r="O424" t="n">
        <v>0</v>
      </c>
      <c r="P424" t="n">
        <v>0</v>
      </c>
      <c r="Q424" t="n">
        <v>0</v>
      </c>
      <c r="R424" s="2" t="inlineStr"/>
    </row>
    <row r="425" ht="15" customHeight="1">
      <c r="A425" t="inlineStr">
        <is>
          <t>A 27040-2025</t>
        </is>
      </c>
      <c r="B425" s="1" t="n">
        <v>45811.60451388889</v>
      </c>
      <c r="C425" s="1" t="n">
        <v>45989</v>
      </c>
      <c r="D425" t="inlineStr">
        <is>
          <t>STOCKHOLMS LÄN</t>
        </is>
      </c>
      <c r="E425" t="inlineStr">
        <is>
          <t>NORRTÄLJE</t>
        </is>
      </c>
      <c r="G425" t="n">
        <v>4.3</v>
      </c>
      <c r="H425" t="n">
        <v>0</v>
      </c>
      <c r="I425" t="n">
        <v>0</v>
      </c>
      <c r="J425" t="n">
        <v>0</v>
      </c>
      <c r="K425" t="n">
        <v>0</v>
      </c>
      <c r="L425" t="n">
        <v>0</v>
      </c>
      <c r="M425" t="n">
        <v>0</v>
      </c>
      <c r="N425" t="n">
        <v>0</v>
      </c>
      <c r="O425" t="n">
        <v>0</v>
      </c>
      <c r="P425" t="n">
        <v>0</v>
      </c>
      <c r="Q425" t="n">
        <v>0</v>
      </c>
      <c r="R425" s="2" t="inlineStr"/>
    </row>
    <row r="426" ht="15" customHeight="1">
      <c r="A426" t="inlineStr">
        <is>
          <t>A 37136-2023</t>
        </is>
      </c>
      <c r="B426" s="1" t="n">
        <v>45155</v>
      </c>
      <c r="C426" s="1" t="n">
        <v>45989</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1740-2023</t>
        </is>
      </c>
      <c r="B427" s="1" t="n">
        <v>44938</v>
      </c>
      <c r="C427" s="1" t="n">
        <v>45989</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40529-2025</t>
        </is>
      </c>
      <c r="B428" s="1" t="n">
        <v>45896.38466435186</v>
      </c>
      <c r="C428" s="1" t="n">
        <v>45989</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40292-2025</t>
        </is>
      </c>
      <c r="B429" s="1" t="n">
        <v>45895.3867824074</v>
      </c>
      <c r="C429" s="1" t="n">
        <v>45989</v>
      </c>
      <c r="D429" t="inlineStr">
        <is>
          <t>STOCKHOLMS LÄN</t>
        </is>
      </c>
      <c r="E429" t="inlineStr">
        <is>
          <t>NORRTÄLJE</t>
        </is>
      </c>
      <c r="G429" t="n">
        <v>3.5</v>
      </c>
      <c r="H429" t="n">
        <v>0</v>
      </c>
      <c r="I429" t="n">
        <v>0</v>
      </c>
      <c r="J429" t="n">
        <v>0</v>
      </c>
      <c r="K429" t="n">
        <v>0</v>
      </c>
      <c r="L429" t="n">
        <v>0</v>
      </c>
      <c r="M429" t="n">
        <v>0</v>
      </c>
      <c r="N429" t="n">
        <v>0</v>
      </c>
      <c r="O429" t="n">
        <v>0</v>
      </c>
      <c r="P429" t="n">
        <v>0</v>
      </c>
      <c r="Q429" t="n">
        <v>0</v>
      </c>
      <c r="R429" s="2" t="inlineStr"/>
    </row>
    <row r="430" ht="15" customHeight="1">
      <c r="A430" t="inlineStr">
        <is>
          <t>A 40294-2025</t>
        </is>
      </c>
      <c r="B430" s="1" t="n">
        <v>45895.38778935185</v>
      </c>
      <c r="C430" s="1" t="n">
        <v>45989</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41275-2025</t>
        </is>
      </c>
      <c r="B431" s="1" t="n">
        <v>45898.62625</v>
      </c>
      <c r="C431" s="1" t="n">
        <v>45989</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27697-2025</t>
        </is>
      </c>
      <c r="B432" s="1" t="n">
        <v>45813.66961805556</v>
      </c>
      <c r="C432" s="1" t="n">
        <v>45989</v>
      </c>
      <c r="D432" t="inlineStr">
        <is>
          <t>STOCKHOLMS LÄN</t>
        </is>
      </c>
      <c r="E432" t="inlineStr">
        <is>
          <t>NORRTÄLJE</t>
        </is>
      </c>
      <c r="G432" t="n">
        <v>6.2</v>
      </c>
      <c r="H432" t="n">
        <v>0</v>
      </c>
      <c r="I432" t="n">
        <v>0</v>
      </c>
      <c r="J432" t="n">
        <v>0</v>
      </c>
      <c r="K432" t="n">
        <v>0</v>
      </c>
      <c r="L432" t="n">
        <v>0</v>
      </c>
      <c r="M432" t="n">
        <v>0</v>
      </c>
      <c r="N432" t="n">
        <v>0</v>
      </c>
      <c r="O432" t="n">
        <v>0</v>
      </c>
      <c r="P432" t="n">
        <v>0</v>
      </c>
      <c r="Q432" t="n">
        <v>0</v>
      </c>
      <c r="R432" s="2" t="inlineStr"/>
    </row>
    <row r="433" ht="15" customHeight="1">
      <c r="A433" t="inlineStr">
        <is>
          <t>A 27700-2025</t>
        </is>
      </c>
      <c r="B433" s="1" t="n">
        <v>45813.6799537037</v>
      </c>
      <c r="C433" s="1" t="n">
        <v>45989</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27554-2025</t>
        </is>
      </c>
      <c r="B434" s="1" t="n">
        <v>45813.4709375</v>
      </c>
      <c r="C434" s="1" t="n">
        <v>45989</v>
      </c>
      <c r="D434" t="inlineStr">
        <is>
          <t>STOCKHOLMS LÄN</t>
        </is>
      </c>
      <c r="E434" t="inlineStr">
        <is>
          <t>NORRTÄLJE</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40837-2025</t>
        </is>
      </c>
      <c r="B435" s="1" t="n">
        <v>45897.51328703704</v>
      </c>
      <c r="C435" s="1" t="n">
        <v>45989</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41030-2025</t>
        </is>
      </c>
      <c r="B436" s="1" t="n">
        <v>45898.37636574074</v>
      </c>
      <c r="C436" s="1" t="n">
        <v>45989</v>
      </c>
      <c r="D436" t="inlineStr">
        <is>
          <t>STOCKHOLMS LÄN</t>
        </is>
      </c>
      <c r="E436" t="inlineStr">
        <is>
          <t>NORRTÄLJE</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41158-2025</t>
        </is>
      </c>
      <c r="B437" s="1" t="n">
        <v>45898.5315625</v>
      </c>
      <c r="C437" s="1" t="n">
        <v>45989</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66662-2020</t>
        </is>
      </c>
      <c r="B438" s="1" t="n">
        <v>44179</v>
      </c>
      <c r="C438" s="1" t="n">
        <v>45989</v>
      </c>
      <c r="D438" t="inlineStr">
        <is>
          <t>STOCKHOLMS LÄN</t>
        </is>
      </c>
      <c r="E438" t="inlineStr">
        <is>
          <t>NORRTÄLJE</t>
        </is>
      </c>
      <c r="G438" t="n">
        <v>1.9</v>
      </c>
      <c r="H438" t="n">
        <v>0</v>
      </c>
      <c r="I438" t="n">
        <v>0</v>
      </c>
      <c r="J438" t="n">
        <v>0</v>
      </c>
      <c r="K438" t="n">
        <v>0</v>
      </c>
      <c r="L438" t="n">
        <v>0</v>
      </c>
      <c r="M438" t="n">
        <v>0</v>
      </c>
      <c r="N438" t="n">
        <v>0</v>
      </c>
      <c r="O438" t="n">
        <v>0</v>
      </c>
      <c r="P438" t="n">
        <v>0</v>
      </c>
      <c r="Q438" t="n">
        <v>0</v>
      </c>
      <c r="R438" s="2" t="inlineStr"/>
    </row>
    <row r="439" ht="15" customHeight="1">
      <c r="A439" t="inlineStr">
        <is>
          <t>A 41301-2025</t>
        </is>
      </c>
      <c r="B439" s="1" t="n">
        <v>45898.68826388889</v>
      </c>
      <c r="C439" s="1" t="n">
        <v>45989</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41106-2025</t>
        </is>
      </c>
      <c r="B440" s="1" t="n">
        <v>45898.45636574074</v>
      </c>
      <c r="C440" s="1" t="n">
        <v>45989</v>
      </c>
      <c r="D440" t="inlineStr">
        <is>
          <t>STOCKHOLMS LÄN</t>
        </is>
      </c>
      <c r="E440" t="inlineStr">
        <is>
          <t>NORRTÄLJE</t>
        </is>
      </c>
      <c r="G440" t="n">
        <v>2.6</v>
      </c>
      <c r="H440" t="n">
        <v>0</v>
      </c>
      <c r="I440" t="n">
        <v>0</v>
      </c>
      <c r="J440" t="n">
        <v>0</v>
      </c>
      <c r="K440" t="n">
        <v>0</v>
      </c>
      <c r="L440" t="n">
        <v>0</v>
      </c>
      <c r="M440" t="n">
        <v>0</v>
      </c>
      <c r="N440" t="n">
        <v>0</v>
      </c>
      <c r="O440" t="n">
        <v>0</v>
      </c>
      <c r="P440" t="n">
        <v>0</v>
      </c>
      <c r="Q440" t="n">
        <v>0</v>
      </c>
      <c r="R440" s="2" t="inlineStr"/>
    </row>
    <row r="441" ht="15" customHeight="1">
      <c r="A441" t="inlineStr">
        <is>
          <t>A 11901-2024</t>
        </is>
      </c>
      <c r="B441" s="1" t="n">
        <v>45376.55638888889</v>
      </c>
      <c r="C441" s="1" t="n">
        <v>45989</v>
      </c>
      <c r="D441" t="inlineStr">
        <is>
          <t>STOCKHOLMS LÄN</t>
        </is>
      </c>
      <c r="E441" t="inlineStr">
        <is>
          <t>NORRTÄLJE</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41174-2025</t>
        </is>
      </c>
      <c r="B442" s="1" t="n">
        <v>45898.54921296296</v>
      </c>
      <c r="C442" s="1" t="n">
        <v>45989</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5423-2023</t>
        </is>
      </c>
      <c r="B443" s="1" t="n">
        <v>44959.74533564815</v>
      </c>
      <c r="C443" s="1" t="n">
        <v>45989</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41110-2025</t>
        </is>
      </c>
      <c r="B444" s="1" t="n">
        <v>45898.45976851852</v>
      </c>
      <c r="C444" s="1" t="n">
        <v>45989</v>
      </c>
      <c r="D444" t="inlineStr">
        <is>
          <t>STOCKHOLMS LÄN</t>
        </is>
      </c>
      <c r="E444" t="inlineStr">
        <is>
          <t>NORRTÄLJE</t>
        </is>
      </c>
      <c r="F444" t="inlineStr">
        <is>
          <t>Holmen skog AB</t>
        </is>
      </c>
      <c r="G444" t="n">
        <v>6.7</v>
      </c>
      <c r="H444" t="n">
        <v>0</v>
      </c>
      <c r="I444" t="n">
        <v>0</v>
      </c>
      <c r="J444" t="n">
        <v>0</v>
      </c>
      <c r="K444" t="n">
        <v>0</v>
      </c>
      <c r="L444" t="n">
        <v>0</v>
      </c>
      <c r="M444" t="n">
        <v>0</v>
      </c>
      <c r="N444" t="n">
        <v>0</v>
      </c>
      <c r="O444" t="n">
        <v>0</v>
      </c>
      <c r="P444" t="n">
        <v>0</v>
      </c>
      <c r="Q444" t="n">
        <v>0</v>
      </c>
      <c r="R444" s="2" t="inlineStr"/>
    </row>
    <row r="445" ht="15" customHeight="1">
      <c r="A445" t="inlineStr">
        <is>
          <t>A 41259-2025</t>
        </is>
      </c>
      <c r="B445" s="1" t="n">
        <v>45898.61054398148</v>
      </c>
      <c r="C445" s="1" t="n">
        <v>45989</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58492-2022</t>
        </is>
      </c>
      <c r="B446" s="1" t="n">
        <v>44902</v>
      </c>
      <c r="C446" s="1" t="n">
        <v>45989</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41053-2025</t>
        </is>
      </c>
      <c r="B447" s="1" t="n">
        <v>45898.40480324074</v>
      </c>
      <c r="C447" s="1" t="n">
        <v>45989</v>
      </c>
      <c r="D447" t="inlineStr">
        <is>
          <t>STOCKHOLMS LÄN</t>
        </is>
      </c>
      <c r="E447" t="inlineStr">
        <is>
          <t>NORRTÄLJE</t>
        </is>
      </c>
      <c r="F447" t="inlineStr">
        <is>
          <t>Holmen skog AB</t>
        </is>
      </c>
      <c r="G447" t="n">
        <v>2.5</v>
      </c>
      <c r="H447" t="n">
        <v>0</v>
      </c>
      <c r="I447" t="n">
        <v>0</v>
      </c>
      <c r="J447" t="n">
        <v>0</v>
      </c>
      <c r="K447" t="n">
        <v>0</v>
      </c>
      <c r="L447" t="n">
        <v>0</v>
      </c>
      <c r="M447" t="n">
        <v>0</v>
      </c>
      <c r="N447" t="n">
        <v>0</v>
      </c>
      <c r="O447" t="n">
        <v>0</v>
      </c>
      <c r="P447" t="n">
        <v>0</v>
      </c>
      <c r="Q447" t="n">
        <v>0</v>
      </c>
      <c r="R447" s="2" t="inlineStr"/>
    </row>
    <row r="448" ht="15" customHeight="1">
      <c r="A448" t="inlineStr">
        <is>
          <t>A 40829-2025</t>
        </is>
      </c>
      <c r="B448" s="1" t="n">
        <v>45897.50802083333</v>
      </c>
      <c r="C448" s="1" t="n">
        <v>45989</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40831-2025</t>
        </is>
      </c>
      <c r="B449" s="1" t="n">
        <v>45897.51077546296</v>
      </c>
      <c r="C449" s="1" t="n">
        <v>45989</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27802-2025</t>
        </is>
      </c>
      <c r="B450" s="1" t="n">
        <v>45817.2565625</v>
      </c>
      <c r="C450" s="1" t="n">
        <v>45989</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27806-2025</t>
        </is>
      </c>
      <c r="B451" s="1" t="n">
        <v>45817.30329861111</v>
      </c>
      <c r="C451" s="1" t="n">
        <v>45989</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27808-2025</t>
        </is>
      </c>
      <c r="B452" s="1" t="n">
        <v>45817.31085648148</v>
      </c>
      <c r="C452" s="1" t="n">
        <v>45989</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27810-2025</t>
        </is>
      </c>
      <c r="B453" s="1" t="n">
        <v>45817.31708333334</v>
      </c>
      <c r="C453" s="1" t="n">
        <v>45989</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27811-2025</t>
        </is>
      </c>
      <c r="B454" s="1" t="n">
        <v>45817.31986111111</v>
      </c>
      <c r="C454" s="1" t="n">
        <v>45989</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27818-2025</t>
        </is>
      </c>
      <c r="B455" s="1" t="n">
        <v>45817.33503472222</v>
      </c>
      <c r="C455" s="1" t="n">
        <v>45989</v>
      </c>
      <c r="D455" t="inlineStr">
        <is>
          <t>STOCKHOLMS LÄN</t>
        </is>
      </c>
      <c r="E455" t="inlineStr">
        <is>
          <t>NORRTÄLJE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13291-2025</t>
        </is>
      </c>
      <c r="B456" s="1" t="n">
        <v>45735</v>
      </c>
      <c r="C456" s="1" t="n">
        <v>45989</v>
      </c>
      <c r="D456" t="inlineStr">
        <is>
          <t>STOCKHOLMS LÄN</t>
        </is>
      </c>
      <c r="E456" t="inlineStr">
        <is>
          <t>NORRTÄLJE</t>
        </is>
      </c>
      <c r="G456" t="n">
        <v>3.8</v>
      </c>
      <c r="H456" t="n">
        <v>0</v>
      </c>
      <c r="I456" t="n">
        <v>0</v>
      </c>
      <c r="J456" t="n">
        <v>0</v>
      </c>
      <c r="K456" t="n">
        <v>0</v>
      </c>
      <c r="L456" t="n">
        <v>0</v>
      </c>
      <c r="M456" t="n">
        <v>0</v>
      </c>
      <c r="N456" t="n">
        <v>0</v>
      </c>
      <c r="O456" t="n">
        <v>0</v>
      </c>
      <c r="P456" t="n">
        <v>0</v>
      </c>
      <c r="Q456" t="n">
        <v>0</v>
      </c>
      <c r="R456" s="2" t="inlineStr"/>
    </row>
    <row r="457" ht="15" customHeight="1">
      <c r="A457" t="inlineStr">
        <is>
          <t>A 41272-2025</t>
        </is>
      </c>
      <c r="B457" s="1" t="n">
        <v>45898.62373842593</v>
      </c>
      <c r="C457" s="1" t="n">
        <v>45989</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15528-2025</t>
        </is>
      </c>
      <c r="B458" s="1" t="n">
        <v>45747.63471064815</v>
      </c>
      <c r="C458" s="1" t="n">
        <v>45989</v>
      </c>
      <c r="D458" t="inlineStr">
        <is>
          <t>STOCKHOLMS LÄN</t>
        </is>
      </c>
      <c r="E458" t="inlineStr">
        <is>
          <t>NORRTÄLJE</t>
        </is>
      </c>
      <c r="G458" t="n">
        <v>10</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45989</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4581-2025</t>
        </is>
      </c>
      <c r="B460" s="1" t="n">
        <v>45687</v>
      </c>
      <c r="C460" s="1" t="n">
        <v>45989</v>
      </c>
      <c r="D460" t="inlineStr">
        <is>
          <t>STOCKHOLMS LÄN</t>
        </is>
      </c>
      <c r="E460" t="inlineStr">
        <is>
          <t>NORRTÄLJE</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41036-2025</t>
        </is>
      </c>
      <c r="B461" s="1" t="n">
        <v>45898.38552083333</v>
      </c>
      <c r="C461" s="1" t="n">
        <v>45989</v>
      </c>
      <c r="D461" t="inlineStr">
        <is>
          <t>STOCKHOLMS LÄN</t>
        </is>
      </c>
      <c r="E461" t="inlineStr">
        <is>
          <t>NORRTÄLJE</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27813-2025</t>
        </is>
      </c>
      <c r="B462" s="1" t="n">
        <v>45817.32538194444</v>
      </c>
      <c r="C462" s="1" t="n">
        <v>45989</v>
      </c>
      <c r="D462" t="inlineStr">
        <is>
          <t>STOCKHOLMS LÄN</t>
        </is>
      </c>
      <c r="E462" t="inlineStr">
        <is>
          <t>NORRTÄLJE</t>
        </is>
      </c>
      <c r="G462" t="n">
        <v>1.6</v>
      </c>
      <c r="H462" t="n">
        <v>0</v>
      </c>
      <c r="I462" t="n">
        <v>0</v>
      </c>
      <c r="J462" t="n">
        <v>0</v>
      </c>
      <c r="K462" t="n">
        <v>0</v>
      </c>
      <c r="L462" t="n">
        <v>0</v>
      </c>
      <c r="M462" t="n">
        <v>0</v>
      </c>
      <c r="N462" t="n">
        <v>0</v>
      </c>
      <c r="O462" t="n">
        <v>0</v>
      </c>
      <c r="P462" t="n">
        <v>0</v>
      </c>
      <c r="Q462" t="n">
        <v>0</v>
      </c>
      <c r="R462" s="2" t="inlineStr"/>
    </row>
    <row r="463" ht="15" customHeight="1">
      <c r="A463" t="inlineStr">
        <is>
          <t>A 19058-2024</t>
        </is>
      </c>
      <c r="B463" s="1" t="n">
        <v>45427.89121527778</v>
      </c>
      <c r="C463" s="1" t="n">
        <v>45989</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27801-2025</t>
        </is>
      </c>
      <c r="B464" s="1" t="n">
        <v>45817.25471064815</v>
      </c>
      <c r="C464" s="1" t="n">
        <v>45989</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27821-2025</t>
        </is>
      </c>
      <c r="B465" s="1" t="n">
        <v>45817.34083333334</v>
      </c>
      <c r="C465" s="1" t="n">
        <v>45989</v>
      </c>
      <c r="D465" t="inlineStr">
        <is>
          <t>STOCKHOLMS LÄN</t>
        </is>
      </c>
      <c r="E465" t="inlineStr">
        <is>
          <t>NORRTÄLJE</t>
        </is>
      </c>
      <c r="G465" t="n">
        <v>3.2</v>
      </c>
      <c r="H465" t="n">
        <v>0</v>
      </c>
      <c r="I465" t="n">
        <v>0</v>
      </c>
      <c r="J465" t="n">
        <v>0</v>
      </c>
      <c r="K465" t="n">
        <v>0</v>
      </c>
      <c r="L465" t="n">
        <v>0</v>
      </c>
      <c r="M465" t="n">
        <v>0</v>
      </c>
      <c r="N465" t="n">
        <v>0</v>
      </c>
      <c r="O465" t="n">
        <v>0</v>
      </c>
      <c r="P465" t="n">
        <v>0</v>
      </c>
      <c r="Q465" t="n">
        <v>0</v>
      </c>
      <c r="R465" s="2" t="inlineStr"/>
    </row>
    <row r="466" ht="15" customHeight="1">
      <c r="A466" t="inlineStr">
        <is>
          <t>A 36157-2024</t>
        </is>
      </c>
      <c r="B466" s="1" t="n">
        <v>45534.38240740741</v>
      </c>
      <c r="C466" s="1" t="n">
        <v>45989</v>
      </c>
      <c r="D466" t="inlineStr">
        <is>
          <t>STOCKHOLMS LÄN</t>
        </is>
      </c>
      <c r="E466" t="inlineStr">
        <is>
          <t>NORRTÄLJE</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62398-2022</t>
        </is>
      </c>
      <c r="B467" s="1" t="n">
        <v>44923.90159722222</v>
      </c>
      <c r="C467" s="1" t="n">
        <v>45989</v>
      </c>
      <c r="D467" t="inlineStr">
        <is>
          <t>STOCKHOLMS LÄN</t>
        </is>
      </c>
      <c r="E467" t="inlineStr">
        <is>
          <t>NORRTÄLJE</t>
        </is>
      </c>
      <c r="G467" t="n">
        <v>4</v>
      </c>
      <c r="H467" t="n">
        <v>0</v>
      </c>
      <c r="I467" t="n">
        <v>0</v>
      </c>
      <c r="J467" t="n">
        <v>0</v>
      </c>
      <c r="K467" t="n">
        <v>0</v>
      </c>
      <c r="L467" t="n">
        <v>0</v>
      </c>
      <c r="M467" t="n">
        <v>0</v>
      </c>
      <c r="N467" t="n">
        <v>0</v>
      </c>
      <c r="O467" t="n">
        <v>0</v>
      </c>
      <c r="P467" t="n">
        <v>0</v>
      </c>
      <c r="Q467" t="n">
        <v>0</v>
      </c>
      <c r="R467" s="2" t="inlineStr"/>
    </row>
    <row r="468" ht="15" customHeight="1">
      <c r="A468" t="inlineStr">
        <is>
          <t>A 19057-2024</t>
        </is>
      </c>
      <c r="B468" s="1" t="n">
        <v>45427.88731481481</v>
      </c>
      <c r="C468" s="1" t="n">
        <v>45989</v>
      </c>
      <c r="D468" t="inlineStr">
        <is>
          <t>STOCKHOLMS LÄN</t>
        </is>
      </c>
      <c r="E468" t="inlineStr">
        <is>
          <t>NORRTÄLJE</t>
        </is>
      </c>
      <c r="G468" t="n">
        <v>3</v>
      </c>
      <c r="H468" t="n">
        <v>0</v>
      </c>
      <c r="I468" t="n">
        <v>0</v>
      </c>
      <c r="J468" t="n">
        <v>0</v>
      </c>
      <c r="K468" t="n">
        <v>0</v>
      </c>
      <c r="L468" t="n">
        <v>0</v>
      </c>
      <c r="M468" t="n">
        <v>0</v>
      </c>
      <c r="N468" t="n">
        <v>0</v>
      </c>
      <c r="O468" t="n">
        <v>0</v>
      </c>
      <c r="P468" t="n">
        <v>0</v>
      </c>
      <c r="Q468" t="n">
        <v>0</v>
      </c>
      <c r="R468" s="2" t="inlineStr"/>
    </row>
    <row r="469" ht="15" customHeight="1">
      <c r="A469" t="inlineStr">
        <is>
          <t>A 68081-2020</t>
        </is>
      </c>
      <c r="B469" s="1" t="n">
        <v>44183</v>
      </c>
      <c r="C469" s="1" t="n">
        <v>45989</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17039-2024</t>
        </is>
      </c>
      <c r="B470" s="1" t="n">
        <v>45412.4104050926</v>
      </c>
      <c r="C470" s="1" t="n">
        <v>45989</v>
      </c>
      <c r="D470" t="inlineStr">
        <is>
          <t>STOCKHOLMS LÄN</t>
        </is>
      </c>
      <c r="E470" t="inlineStr">
        <is>
          <t>NORRTÄLJE</t>
        </is>
      </c>
      <c r="G470" t="n">
        <v>5.9</v>
      </c>
      <c r="H470" t="n">
        <v>0</v>
      </c>
      <c r="I470" t="n">
        <v>0</v>
      </c>
      <c r="J470" t="n">
        <v>0</v>
      </c>
      <c r="K470" t="n">
        <v>0</v>
      </c>
      <c r="L470" t="n">
        <v>0</v>
      </c>
      <c r="M470" t="n">
        <v>0</v>
      </c>
      <c r="N470" t="n">
        <v>0</v>
      </c>
      <c r="O470" t="n">
        <v>0</v>
      </c>
      <c r="P470" t="n">
        <v>0</v>
      </c>
      <c r="Q470" t="n">
        <v>0</v>
      </c>
      <c r="R470" s="2" t="inlineStr"/>
    </row>
    <row r="471" ht="15" customHeight="1">
      <c r="A471" t="inlineStr">
        <is>
          <t>A 15733-2025</t>
        </is>
      </c>
      <c r="B471" s="1" t="n">
        <v>45748</v>
      </c>
      <c r="C471" s="1" t="n">
        <v>45989</v>
      </c>
      <c r="D471" t="inlineStr">
        <is>
          <t>STOCKHOLMS LÄN</t>
        </is>
      </c>
      <c r="E471" t="inlineStr">
        <is>
          <t>NORRTÄLJE</t>
        </is>
      </c>
      <c r="G471" t="n">
        <v>13.3</v>
      </c>
      <c r="H471" t="n">
        <v>0</v>
      </c>
      <c r="I471" t="n">
        <v>0</v>
      </c>
      <c r="J471" t="n">
        <v>0</v>
      </c>
      <c r="K471" t="n">
        <v>0</v>
      </c>
      <c r="L471" t="n">
        <v>0</v>
      </c>
      <c r="M471" t="n">
        <v>0</v>
      </c>
      <c r="N471" t="n">
        <v>0</v>
      </c>
      <c r="O471" t="n">
        <v>0</v>
      </c>
      <c r="P471" t="n">
        <v>0</v>
      </c>
      <c r="Q471" t="n">
        <v>0</v>
      </c>
      <c r="R471" s="2" t="inlineStr"/>
    </row>
    <row r="472" ht="15" customHeight="1">
      <c r="A472" t="inlineStr">
        <is>
          <t>A 3509-2022</t>
        </is>
      </c>
      <c r="B472" s="1" t="n">
        <v>44585</v>
      </c>
      <c r="C472" s="1" t="n">
        <v>45989</v>
      </c>
      <c r="D472" t="inlineStr">
        <is>
          <t>STOCKHOLMS LÄN</t>
        </is>
      </c>
      <c r="E472" t="inlineStr">
        <is>
          <t>NORRTÄLJE</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10511-2025</t>
        </is>
      </c>
      <c r="B473" s="1" t="n">
        <v>45721.40780092592</v>
      </c>
      <c r="C473" s="1" t="n">
        <v>45989</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7697-2025</t>
        </is>
      </c>
      <c r="B474" s="1" t="n">
        <v>45706.40086805556</v>
      </c>
      <c r="C474" s="1" t="n">
        <v>45989</v>
      </c>
      <c r="D474" t="inlineStr">
        <is>
          <t>STOCKHOLMS LÄN</t>
        </is>
      </c>
      <c r="E474" t="inlineStr">
        <is>
          <t>NORRTÄLJE</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44075-2023</t>
        </is>
      </c>
      <c r="B475" s="1" t="n">
        <v>45188.41637731482</v>
      </c>
      <c r="C475" s="1" t="n">
        <v>45989</v>
      </c>
      <c r="D475" t="inlineStr">
        <is>
          <t>STOCKHOLMS LÄN</t>
        </is>
      </c>
      <c r="E475" t="inlineStr">
        <is>
          <t>NORRTÄLJE</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39669-2024</t>
        </is>
      </c>
      <c r="B476" s="1" t="n">
        <v>45552.52827546297</v>
      </c>
      <c r="C476" s="1" t="n">
        <v>45989</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42038-2025</t>
        </is>
      </c>
      <c r="B477" s="1" t="n">
        <v>45903.61431712963</v>
      </c>
      <c r="C477" s="1" t="n">
        <v>45989</v>
      </c>
      <c r="D477" t="inlineStr">
        <is>
          <t>STOCKHOLMS LÄN</t>
        </is>
      </c>
      <c r="E477" t="inlineStr">
        <is>
          <t>NORRTÄLJE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41964-2025</t>
        </is>
      </c>
      <c r="B478" s="1" t="n">
        <v>45903.47270833333</v>
      </c>
      <c r="C478" s="1" t="n">
        <v>45989</v>
      </c>
      <c r="D478" t="inlineStr">
        <is>
          <t>STOCKHOLMS LÄN</t>
        </is>
      </c>
      <c r="E478" t="inlineStr">
        <is>
          <t>NORRTÄLJE</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2982-2023</t>
        </is>
      </c>
      <c r="B479" s="1" t="n">
        <v>44945.67409722223</v>
      </c>
      <c r="C479" s="1" t="n">
        <v>45989</v>
      </c>
      <c r="D479" t="inlineStr">
        <is>
          <t>STOCKHOLMS LÄN</t>
        </is>
      </c>
      <c r="E479" t="inlineStr">
        <is>
          <t>NORRTÄLJE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1448-2023</t>
        </is>
      </c>
      <c r="B480" s="1" t="n">
        <v>44937</v>
      </c>
      <c r="C480" s="1" t="n">
        <v>45989</v>
      </c>
      <c r="D480" t="inlineStr">
        <is>
          <t>STOCKHOLMS LÄN</t>
        </is>
      </c>
      <c r="E480" t="inlineStr">
        <is>
          <t>NORRTÄLJE</t>
        </is>
      </c>
      <c r="G480" t="n">
        <v>1.9</v>
      </c>
      <c r="H480" t="n">
        <v>0</v>
      </c>
      <c r="I480" t="n">
        <v>0</v>
      </c>
      <c r="J480" t="n">
        <v>0</v>
      </c>
      <c r="K480" t="n">
        <v>0</v>
      </c>
      <c r="L480" t="n">
        <v>0</v>
      </c>
      <c r="M480" t="n">
        <v>0</v>
      </c>
      <c r="N480" t="n">
        <v>0</v>
      </c>
      <c r="O480" t="n">
        <v>0</v>
      </c>
      <c r="P480" t="n">
        <v>0</v>
      </c>
      <c r="Q480" t="n">
        <v>0</v>
      </c>
      <c r="R480" s="2" t="inlineStr"/>
    </row>
    <row r="481" ht="15" customHeight="1">
      <c r="A481" t="inlineStr">
        <is>
          <t>A 41966-2025</t>
        </is>
      </c>
      <c r="B481" s="1" t="n">
        <v>45903.47456018518</v>
      </c>
      <c r="C481" s="1" t="n">
        <v>45989</v>
      </c>
      <c r="D481" t="inlineStr">
        <is>
          <t>STOCKHOLMS LÄN</t>
        </is>
      </c>
      <c r="E481" t="inlineStr">
        <is>
          <t>NORRTÄLJE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35127-2023</t>
        </is>
      </c>
      <c r="B482" s="1" t="n">
        <v>45145.51</v>
      </c>
      <c r="C482" s="1" t="n">
        <v>45989</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29250-2025</t>
        </is>
      </c>
      <c r="B483" s="1" t="n">
        <v>45824.37275462963</v>
      </c>
      <c r="C483" s="1" t="n">
        <v>45989</v>
      </c>
      <c r="D483" t="inlineStr">
        <is>
          <t>STOCKHOLMS LÄN</t>
        </is>
      </c>
      <c r="E483" t="inlineStr">
        <is>
          <t>NORRTÄLJE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50136-2023</t>
        </is>
      </c>
      <c r="B484" s="1" t="n">
        <v>45215</v>
      </c>
      <c r="C484" s="1" t="n">
        <v>45989</v>
      </c>
      <c r="D484" t="inlineStr">
        <is>
          <t>STOCKHOLMS LÄN</t>
        </is>
      </c>
      <c r="E484" t="inlineStr">
        <is>
          <t>NORRTÄLJE</t>
        </is>
      </c>
      <c r="G484" t="n">
        <v>5.2</v>
      </c>
      <c r="H484" t="n">
        <v>0</v>
      </c>
      <c r="I484" t="n">
        <v>0</v>
      </c>
      <c r="J484" t="n">
        <v>0</v>
      </c>
      <c r="K484" t="n">
        <v>0</v>
      </c>
      <c r="L484" t="n">
        <v>0</v>
      </c>
      <c r="M484" t="n">
        <v>0</v>
      </c>
      <c r="N484" t="n">
        <v>0</v>
      </c>
      <c r="O484" t="n">
        <v>0</v>
      </c>
      <c r="P484" t="n">
        <v>0</v>
      </c>
      <c r="Q484" t="n">
        <v>0</v>
      </c>
      <c r="R484" s="2" t="inlineStr"/>
    </row>
    <row r="485" ht="15" customHeight="1">
      <c r="A485" t="inlineStr">
        <is>
          <t>A 11229-2022</t>
        </is>
      </c>
      <c r="B485" s="1" t="n">
        <v>44629</v>
      </c>
      <c r="C485" s="1" t="n">
        <v>45989</v>
      </c>
      <c r="D485" t="inlineStr">
        <is>
          <t>STOCKHOLMS LÄN</t>
        </is>
      </c>
      <c r="E485" t="inlineStr">
        <is>
          <t>NORRTÄLJE</t>
        </is>
      </c>
      <c r="F485" t="inlineStr">
        <is>
          <t>Övriga Aktiebolag</t>
        </is>
      </c>
      <c r="G485" t="n">
        <v>4.1</v>
      </c>
      <c r="H485" t="n">
        <v>0</v>
      </c>
      <c r="I485" t="n">
        <v>0</v>
      </c>
      <c r="J485" t="n">
        <v>0</v>
      </c>
      <c r="K485" t="n">
        <v>0</v>
      </c>
      <c r="L485" t="n">
        <v>0</v>
      </c>
      <c r="M485" t="n">
        <v>0</v>
      </c>
      <c r="N485" t="n">
        <v>0</v>
      </c>
      <c r="O485" t="n">
        <v>0</v>
      </c>
      <c r="P485" t="n">
        <v>0</v>
      </c>
      <c r="Q485" t="n">
        <v>0</v>
      </c>
      <c r="R485" s="2" t="inlineStr"/>
    </row>
    <row r="486" ht="15" customHeight="1">
      <c r="A486" t="inlineStr">
        <is>
          <t>A 9654-2022</t>
        </is>
      </c>
      <c r="B486" s="1" t="n">
        <v>44617</v>
      </c>
      <c r="C486" s="1" t="n">
        <v>45989</v>
      </c>
      <c r="D486" t="inlineStr">
        <is>
          <t>STOCKHOLMS LÄN</t>
        </is>
      </c>
      <c r="E486" t="inlineStr">
        <is>
          <t>NORRTÄLJE</t>
        </is>
      </c>
      <c r="G486" t="n">
        <v>6.4</v>
      </c>
      <c r="H486" t="n">
        <v>0</v>
      </c>
      <c r="I486" t="n">
        <v>0</v>
      </c>
      <c r="J486" t="n">
        <v>0</v>
      </c>
      <c r="K486" t="n">
        <v>0</v>
      </c>
      <c r="L486" t="n">
        <v>0</v>
      </c>
      <c r="M486" t="n">
        <v>0</v>
      </c>
      <c r="N486" t="n">
        <v>0</v>
      </c>
      <c r="O486" t="n">
        <v>0</v>
      </c>
      <c r="P486" t="n">
        <v>0</v>
      </c>
      <c r="Q486" t="n">
        <v>0</v>
      </c>
      <c r="R486" s="2" t="inlineStr"/>
    </row>
    <row r="487" ht="15" customHeight="1">
      <c r="A487" t="inlineStr">
        <is>
          <t>A 5389-2025</t>
        </is>
      </c>
      <c r="B487" s="1" t="n">
        <v>45692</v>
      </c>
      <c r="C487" s="1" t="n">
        <v>45989</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37147-2023</t>
        </is>
      </c>
      <c r="B488" s="1" t="n">
        <v>45155</v>
      </c>
      <c r="C488" s="1" t="n">
        <v>45989</v>
      </c>
      <c r="D488" t="inlineStr">
        <is>
          <t>STOCKHOLMS LÄN</t>
        </is>
      </c>
      <c r="E488" t="inlineStr">
        <is>
          <t>NORRTÄLJE</t>
        </is>
      </c>
      <c r="G488" t="n">
        <v>8</v>
      </c>
      <c r="H488" t="n">
        <v>0</v>
      </c>
      <c r="I488" t="n">
        <v>0</v>
      </c>
      <c r="J488" t="n">
        <v>0</v>
      </c>
      <c r="K488" t="n">
        <v>0</v>
      </c>
      <c r="L488" t="n">
        <v>0</v>
      </c>
      <c r="M488" t="n">
        <v>0</v>
      </c>
      <c r="N488" t="n">
        <v>0</v>
      </c>
      <c r="O488" t="n">
        <v>0</v>
      </c>
      <c r="P488" t="n">
        <v>0</v>
      </c>
      <c r="Q488" t="n">
        <v>0</v>
      </c>
      <c r="R488" s="2" t="inlineStr"/>
    </row>
    <row r="489" ht="15" customHeight="1">
      <c r="A489" t="inlineStr">
        <is>
          <t>A 30699-2025</t>
        </is>
      </c>
      <c r="B489" s="1" t="n">
        <v>45831.54618055555</v>
      </c>
      <c r="C489" s="1" t="n">
        <v>45989</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59499-2023</t>
        </is>
      </c>
      <c r="B490" s="1" t="n">
        <v>45254</v>
      </c>
      <c r="C490" s="1" t="n">
        <v>45989</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60654-2023</t>
        </is>
      </c>
      <c r="B491" s="1" t="n">
        <v>45260.43225694444</v>
      </c>
      <c r="C491" s="1" t="n">
        <v>45989</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60656-2023</t>
        </is>
      </c>
      <c r="B492" s="1" t="n">
        <v>45260.4333449074</v>
      </c>
      <c r="C492" s="1" t="n">
        <v>45989</v>
      </c>
      <c r="D492" t="inlineStr">
        <is>
          <t>STOCKHOLMS LÄN</t>
        </is>
      </c>
      <c r="E492" t="inlineStr">
        <is>
          <t>NORRTÄLJE</t>
        </is>
      </c>
      <c r="G492" t="n">
        <v>4.8</v>
      </c>
      <c r="H492" t="n">
        <v>0</v>
      </c>
      <c r="I492" t="n">
        <v>0</v>
      </c>
      <c r="J492" t="n">
        <v>0</v>
      </c>
      <c r="K492" t="n">
        <v>0</v>
      </c>
      <c r="L492" t="n">
        <v>0</v>
      </c>
      <c r="M492" t="n">
        <v>0</v>
      </c>
      <c r="N492" t="n">
        <v>0</v>
      </c>
      <c r="O492" t="n">
        <v>0</v>
      </c>
      <c r="P492" t="n">
        <v>0</v>
      </c>
      <c r="Q492" t="n">
        <v>0</v>
      </c>
      <c r="R492" s="2" t="inlineStr"/>
    </row>
    <row r="493" ht="15" customHeight="1">
      <c r="A493" t="inlineStr">
        <is>
          <t>A 51121-2025</t>
        </is>
      </c>
      <c r="B493" s="1" t="n">
        <v>45947.53293981482</v>
      </c>
      <c r="C493" s="1" t="n">
        <v>45989</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51241-2025</t>
        </is>
      </c>
      <c r="B494" s="1" t="n">
        <v>45947.71726851852</v>
      </c>
      <c r="C494" s="1" t="n">
        <v>45989</v>
      </c>
      <c r="D494" t="inlineStr">
        <is>
          <t>STOCKHOLMS LÄN</t>
        </is>
      </c>
      <c r="E494" t="inlineStr">
        <is>
          <t>NORRTÄLJE</t>
        </is>
      </c>
      <c r="F494" t="inlineStr">
        <is>
          <t>Naturvårdsverket</t>
        </is>
      </c>
      <c r="G494" t="n">
        <v>6.4</v>
      </c>
      <c r="H494" t="n">
        <v>0</v>
      </c>
      <c r="I494" t="n">
        <v>0</v>
      </c>
      <c r="J494" t="n">
        <v>0</v>
      </c>
      <c r="K494" t="n">
        <v>0</v>
      </c>
      <c r="L494" t="n">
        <v>0</v>
      </c>
      <c r="M494" t="n">
        <v>0</v>
      </c>
      <c r="N494" t="n">
        <v>0</v>
      </c>
      <c r="O494" t="n">
        <v>0</v>
      </c>
      <c r="P494" t="n">
        <v>0</v>
      </c>
      <c r="Q494" t="n">
        <v>0</v>
      </c>
      <c r="R494" s="2" t="inlineStr"/>
    </row>
    <row r="495" ht="15" customHeight="1">
      <c r="A495" t="inlineStr">
        <is>
          <t>A 22697-2022</t>
        </is>
      </c>
      <c r="B495" s="1" t="n">
        <v>44714.56040509259</v>
      </c>
      <c r="C495" s="1" t="n">
        <v>45989</v>
      </c>
      <c r="D495" t="inlineStr">
        <is>
          <t>STOCKHOLMS LÄN</t>
        </is>
      </c>
      <c r="E495" t="inlineStr">
        <is>
          <t>NORRTÄLJE</t>
        </is>
      </c>
      <c r="G495" t="n">
        <v>5.6</v>
      </c>
      <c r="H495" t="n">
        <v>0</v>
      </c>
      <c r="I495" t="n">
        <v>0</v>
      </c>
      <c r="J495" t="n">
        <v>0</v>
      </c>
      <c r="K495" t="n">
        <v>0</v>
      </c>
      <c r="L495" t="n">
        <v>0</v>
      </c>
      <c r="M495" t="n">
        <v>0</v>
      </c>
      <c r="N495" t="n">
        <v>0</v>
      </c>
      <c r="O495" t="n">
        <v>0</v>
      </c>
      <c r="P495" t="n">
        <v>0</v>
      </c>
      <c r="Q495" t="n">
        <v>0</v>
      </c>
      <c r="R495" s="2" t="inlineStr"/>
    </row>
    <row r="496" ht="15" customHeight="1">
      <c r="A496" t="inlineStr">
        <is>
          <t>A 51532-2025</t>
        </is>
      </c>
      <c r="B496" s="1" t="n">
        <v>45950.68297453703</v>
      </c>
      <c r="C496" s="1" t="n">
        <v>45989</v>
      </c>
      <c r="D496" t="inlineStr">
        <is>
          <t>STOCKHOLMS LÄN</t>
        </is>
      </c>
      <c r="E496" t="inlineStr">
        <is>
          <t>NORRTÄLJE</t>
        </is>
      </c>
      <c r="F496" t="inlineStr">
        <is>
          <t>Naturvårdsverket</t>
        </is>
      </c>
      <c r="G496" t="n">
        <v>17.3</v>
      </c>
      <c r="H496" t="n">
        <v>0</v>
      </c>
      <c r="I496" t="n">
        <v>0</v>
      </c>
      <c r="J496" t="n">
        <v>0</v>
      </c>
      <c r="K496" t="n">
        <v>0</v>
      </c>
      <c r="L496" t="n">
        <v>0</v>
      </c>
      <c r="M496" t="n">
        <v>0</v>
      </c>
      <c r="N496" t="n">
        <v>0</v>
      </c>
      <c r="O496" t="n">
        <v>0</v>
      </c>
      <c r="P496" t="n">
        <v>0</v>
      </c>
      <c r="Q496" t="n">
        <v>0</v>
      </c>
      <c r="R496" s="2" t="inlineStr"/>
    </row>
    <row r="497" ht="15" customHeight="1">
      <c r="A497" t="inlineStr">
        <is>
          <t>A 51122-2025</t>
        </is>
      </c>
      <c r="B497" s="1" t="n">
        <v>45947.53693287037</v>
      </c>
      <c r="C497" s="1" t="n">
        <v>45989</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42856-2025</t>
        </is>
      </c>
      <c r="B498" s="1" t="n">
        <v>45908</v>
      </c>
      <c r="C498" s="1" t="n">
        <v>45989</v>
      </c>
      <c r="D498" t="inlineStr">
        <is>
          <t>STOCKHOLMS LÄN</t>
        </is>
      </c>
      <c r="E498" t="inlineStr">
        <is>
          <t>NORRTÄLJE</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20011-2025</t>
        </is>
      </c>
      <c r="B499" s="1" t="n">
        <v>45772.29622685185</v>
      </c>
      <c r="C499" s="1" t="n">
        <v>45989</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48180-2023</t>
        </is>
      </c>
      <c r="B500" s="1" t="n">
        <v>45205</v>
      </c>
      <c r="C500" s="1" t="n">
        <v>45989</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57353-2024</t>
        </is>
      </c>
      <c r="B501" s="1" t="n">
        <v>45629.65143518519</v>
      </c>
      <c r="C501" s="1" t="n">
        <v>45989</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51233-2025</t>
        </is>
      </c>
      <c r="B502" s="1" t="n">
        <v>45947.68232638889</v>
      </c>
      <c r="C502" s="1" t="n">
        <v>45989</v>
      </c>
      <c r="D502" t="inlineStr">
        <is>
          <t>STOCKHOLMS LÄN</t>
        </is>
      </c>
      <c r="E502" t="inlineStr">
        <is>
          <t>NORRTÄLJE</t>
        </is>
      </c>
      <c r="F502" t="inlineStr">
        <is>
          <t>Naturvårdsverket</t>
        </is>
      </c>
      <c r="G502" t="n">
        <v>8.1</v>
      </c>
      <c r="H502" t="n">
        <v>0</v>
      </c>
      <c r="I502" t="n">
        <v>0</v>
      </c>
      <c r="J502" t="n">
        <v>0</v>
      </c>
      <c r="K502" t="n">
        <v>0</v>
      </c>
      <c r="L502" t="n">
        <v>0</v>
      </c>
      <c r="M502" t="n">
        <v>0</v>
      </c>
      <c r="N502" t="n">
        <v>0</v>
      </c>
      <c r="O502" t="n">
        <v>0</v>
      </c>
      <c r="P502" t="n">
        <v>0</v>
      </c>
      <c r="Q502" t="n">
        <v>0</v>
      </c>
      <c r="R502" s="2" t="inlineStr"/>
    </row>
    <row r="503" ht="15" customHeight="1">
      <c r="A503" t="inlineStr">
        <is>
          <t>A 51236-2025</t>
        </is>
      </c>
      <c r="B503" s="1" t="n">
        <v>45947.69078703703</v>
      </c>
      <c r="C503" s="1" t="n">
        <v>45989</v>
      </c>
      <c r="D503" t="inlineStr">
        <is>
          <t>STOCKHOLMS LÄN</t>
        </is>
      </c>
      <c r="E503" t="inlineStr">
        <is>
          <t>NORRTÄLJE</t>
        </is>
      </c>
      <c r="F503" t="inlineStr">
        <is>
          <t>Naturvårdsverket</t>
        </is>
      </c>
      <c r="G503" t="n">
        <v>6.3</v>
      </c>
      <c r="H503" t="n">
        <v>0</v>
      </c>
      <c r="I503" t="n">
        <v>0</v>
      </c>
      <c r="J503" t="n">
        <v>0</v>
      </c>
      <c r="K503" t="n">
        <v>0</v>
      </c>
      <c r="L503" t="n">
        <v>0</v>
      </c>
      <c r="M503" t="n">
        <v>0</v>
      </c>
      <c r="N503" t="n">
        <v>0</v>
      </c>
      <c r="O503" t="n">
        <v>0</v>
      </c>
      <c r="P503" t="n">
        <v>0</v>
      </c>
      <c r="Q503" t="n">
        <v>0</v>
      </c>
      <c r="R503" s="2" t="inlineStr"/>
    </row>
    <row r="504" ht="15" customHeight="1">
      <c r="A504" t="inlineStr">
        <is>
          <t>A 51240-2025</t>
        </is>
      </c>
      <c r="B504" s="1" t="n">
        <v>45947.70420138889</v>
      </c>
      <c r="C504" s="1" t="n">
        <v>45989</v>
      </c>
      <c r="D504" t="inlineStr">
        <is>
          <t>STOCKHOLMS LÄN</t>
        </is>
      </c>
      <c r="E504" t="inlineStr">
        <is>
          <t>NORRTÄLJE</t>
        </is>
      </c>
      <c r="F504" t="inlineStr">
        <is>
          <t>Naturvårdsverket</t>
        </is>
      </c>
      <c r="G504" t="n">
        <v>3</v>
      </c>
      <c r="H504" t="n">
        <v>0</v>
      </c>
      <c r="I504" t="n">
        <v>0</v>
      </c>
      <c r="J504" t="n">
        <v>0</v>
      </c>
      <c r="K504" t="n">
        <v>0</v>
      </c>
      <c r="L504" t="n">
        <v>0</v>
      </c>
      <c r="M504" t="n">
        <v>0</v>
      </c>
      <c r="N504" t="n">
        <v>0</v>
      </c>
      <c r="O504" t="n">
        <v>0</v>
      </c>
      <c r="P504" t="n">
        <v>0</v>
      </c>
      <c r="Q504" t="n">
        <v>0</v>
      </c>
      <c r="R504" s="2" t="inlineStr"/>
    </row>
    <row r="505" ht="15" customHeight="1">
      <c r="A505" t="inlineStr">
        <is>
          <t>A 30668-2025</t>
        </is>
      </c>
      <c r="B505" s="1" t="n">
        <v>45831.51659722222</v>
      </c>
      <c r="C505" s="1" t="n">
        <v>45989</v>
      </c>
      <c r="D505" t="inlineStr">
        <is>
          <t>STOCKHOLMS LÄN</t>
        </is>
      </c>
      <c r="E505" t="inlineStr">
        <is>
          <t>NORRTÄLJE</t>
        </is>
      </c>
      <c r="G505" t="n">
        <v>4.9</v>
      </c>
      <c r="H505" t="n">
        <v>0</v>
      </c>
      <c r="I505" t="n">
        <v>0</v>
      </c>
      <c r="J505" t="n">
        <v>0</v>
      </c>
      <c r="K505" t="n">
        <v>0</v>
      </c>
      <c r="L505" t="n">
        <v>0</v>
      </c>
      <c r="M505" t="n">
        <v>0</v>
      </c>
      <c r="N505" t="n">
        <v>0</v>
      </c>
      <c r="O505" t="n">
        <v>0</v>
      </c>
      <c r="P505" t="n">
        <v>0</v>
      </c>
      <c r="Q505" t="n">
        <v>0</v>
      </c>
      <c r="R505" s="2" t="inlineStr"/>
    </row>
    <row r="506" ht="15" customHeight="1">
      <c r="A506" t="inlineStr">
        <is>
          <t>A 55696-2022</t>
        </is>
      </c>
      <c r="B506" s="1" t="n">
        <v>44888</v>
      </c>
      <c r="C506" s="1" t="n">
        <v>45989</v>
      </c>
      <c r="D506" t="inlineStr">
        <is>
          <t>STOCKHOLMS LÄN</t>
        </is>
      </c>
      <c r="E506" t="inlineStr">
        <is>
          <t>NORRTÄLJE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50907-2022</t>
        </is>
      </c>
      <c r="B507" s="1" t="n">
        <v>44867.62090277778</v>
      </c>
      <c r="C507" s="1" t="n">
        <v>45989</v>
      </c>
      <c r="D507" t="inlineStr">
        <is>
          <t>STOCKHOLMS LÄN</t>
        </is>
      </c>
      <c r="E507" t="inlineStr">
        <is>
          <t>NORRTÄLJE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6919-2025</t>
        </is>
      </c>
      <c r="B508" s="1" t="n">
        <v>45701.44372685185</v>
      </c>
      <c r="C508" s="1" t="n">
        <v>45989</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53362-2023</t>
        </is>
      </c>
      <c r="B509" s="1" t="n">
        <v>45223</v>
      </c>
      <c r="C509" s="1" t="n">
        <v>45989</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30639-2025</t>
        </is>
      </c>
      <c r="B510" s="1" t="n">
        <v>45831.4844212963</v>
      </c>
      <c r="C510" s="1" t="n">
        <v>45989</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8433-2022</t>
        </is>
      </c>
      <c r="B511" s="1" t="n">
        <v>44611</v>
      </c>
      <c r="C511" s="1" t="n">
        <v>45989</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51941-2025</t>
        </is>
      </c>
      <c r="B512" s="1" t="n">
        <v>45952.52261574074</v>
      </c>
      <c r="C512" s="1" t="n">
        <v>45989</v>
      </c>
      <c r="D512" t="inlineStr">
        <is>
          <t>STOCKHOLMS LÄN</t>
        </is>
      </c>
      <c r="E512" t="inlineStr">
        <is>
          <t>NORRTÄLJE</t>
        </is>
      </c>
      <c r="G512" t="n">
        <v>1.1</v>
      </c>
      <c r="H512" t="n">
        <v>0</v>
      </c>
      <c r="I512" t="n">
        <v>0</v>
      </c>
      <c r="J512" t="n">
        <v>0</v>
      </c>
      <c r="K512" t="n">
        <v>0</v>
      </c>
      <c r="L512" t="n">
        <v>0</v>
      </c>
      <c r="M512" t="n">
        <v>0</v>
      </c>
      <c r="N512" t="n">
        <v>0</v>
      </c>
      <c r="O512" t="n">
        <v>0</v>
      </c>
      <c r="P512" t="n">
        <v>0</v>
      </c>
      <c r="Q512" t="n">
        <v>0</v>
      </c>
      <c r="R512" s="2" t="inlineStr"/>
    </row>
    <row r="513" ht="15" customHeight="1">
      <c r="A513" t="inlineStr">
        <is>
          <t>A 51945-2025</t>
        </is>
      </c>
      <c r="B513" s="1" t="n">
        <v>45952.52679398148</v>
      </c>
      <c r="C513" s="1" t="n">
        <v>45989</v>
      </c>
      <c r="D513" t="inlineStr">
        <is>
          <t>STOCKHOLMS LÄN</t>
        </is>
      </c>
      <c r="E513" t="inlineStr">
        <is>
          <t>NORRTÄLJE</t>
        </is>
      </c>
      <c r="G513" t="n">
        <v>7</v>
      </c>
      <c r="H513" t="n">
        <v>0</v>
      </c>
      <c r="I513" t="n">
        <v>0</v>
      </c>
      <c r="J513" t="n">
        <v>0</v>
      </c>
      <c r="K513" t="n">
        <v>0</v>
      </c>
      <c r="L513" t="n">
        <v>0</v>
      </c>
      <c r="M513" t="n">
        <v>0</v>
      </c>
      <c r="N513" t="n">
        <v>0</v>
      </c>
      <c r="O513" t="n">
        <v>0</v>
      </c>
      <c r="P513" t="n">
        <v>0</v>
      </c>
      <c r="Q513" t="n">
        <v>0</v>
      </c>
      <c r="R513" s="2" t="inlineStr"/>
    </row>
    <row r="514" ht="15" customHeight="1">
      <c r="A514" t="inlineStr">
        <is>
          <t>A 31170-2025</t>
        </is>
      </c>
      <c r="B514" s="1" t="n">
        <v>45832.66385416667</v>
      </c>
      <c r="C514" s="1" t="n">
        <v>45989</v>
      </c>
      <c r="D514" t="inlineStr">
        <is>
          <t>STOCKHOLMS LÄN</t>
        </is>
      </c>
      <c r="E514" t="inlineStr">
        <is>
          <t>NORRTÄLJE</t>
        </is>
      </c>
      <c r="G514" t="n">
        <v>2.7</v>
      </c>
      <c r="H514" t="n">
        <v>0</v>
      </c>
      <c r="I514" t="n">
        <v>0</v>
      </c>
      <c r="J514" t="n">
        <v>0</v>
      </c>
      <c r="K514" t="n">
        <v>0</v>
      </c>
      <c r="L514" t="n">
        <v>0</v>
      </c>
      <c r="M514" t="n">
        <v>0</v>
      </c>
      <c r="N514" t="n">
        <v>0</v>
      </c>
      <c r="O514" t="n">
        <v>0</v>
      </c>
      <c r="P514" t="n">
        <v>0</v>
      </c>
      <c r="Q514" t="n">
        <v>0</v>
      </c>
      <c r="R514" s="2" t="inlineStr"/>
    </row>
    <row r="515" ht="15" customHeight="1">
      <c r="A515" t="inlineStr">
        <is>
          <t>A 10215-2023</t>
        </is>
      </c>
      <c r="B515" s="1" t="n">
        <v>44986.5887962963</v>
      </c>
      <c r="C515" s="1" t="n">
        <v>45989</v>
      </c>
      <c r="D515" t="inlineStr">
        <is>
          <t>STOCKHOLMS LÄN</t>
        </is>
      </c>
      <c r="E515" t="inlineStr">
        <is>
          <t>NORRTÄLJE</t>
        </is>
      </c>
      <c r="G515" t="n">
        <v>6.5</v>
      </c>
      <c r="H515" t="n">
        <v>0</v>
      </c>
      <c r="I515" t="n">
        <v>0</v>
      </c>
      <c r="J515" t="n">
        <v>0</v>
      </c>
      <c r="K515" t="n">
        <v>0</v>
      </c>
      <c r="L515" t="n">
        <v>0</v>
      </c>
      <c r="M515" t="n">
        <v>0</v>
      </c>
      <c r="N515" t="n">
        <v>0</v>
      </c>
      <c r="O515" t="n">
        <v>0</v>
      </c>
      <c r="P515" t="n">
        <v>0</v>
      </c>
      <c r="Q515" t="n">
        <v>0</v>
      </c>
      <c r="R515" s="2" t="inlineStr"/>
    </row>
    <row r="516" ht="15" customHeight="1">
      <c r="A516" t="inlineStr">
        <is>
          <t>A 51960-2025</t>
        </is>
      </c>
      <c r="B516" s="1" t="n">
        <v>45952.54755787037</v>
      </c>
      <c r="C516" s="1" t="n">
        <v>45989</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51789-2025</t>
        </is>
      </c>
      <c r="B517" s="1" t="n">
        <v>45951.68046296296</v>
      </c>
      <c r="C517" s="1" t="n">
        <v>45989</v>
      </c>
      <c r="D517" t="inlineStr">
        <is>
          <t>STOCKHOLMS LÄN</t>
        </is>
      </c>
      <c r="E517" t="inlineStr">
        <is>
          <t>NORRTÄLJE</t>
        </is>
      </c>
      <c r="F517" t="inlineStr">
        <is>
          <t>Naturvårdsverket</t>
        </is>
      </c>
      <c r="G517" t="n">
        <v>8.9</v>
      </c>
      <c r="H517" t="n">
        <v>0</v>
      </c>
      <c r="I517" t="n">
        <v>0</v>
      </c>
      <c r="J517" t="n">
        <v>0</v>
      </c>
      <c r="K517" t="n">
        <v>0</v>
      </c>
      <c r="L517" t="n">
        <v>0</v>
      </c>
      <c r="M517" t="n">
        <v>0</v>
      </c>
      <c r="N517" t="n">
        <v>0</v>
      </c>
      <c r="O517" t="n">
        <v>0</v>
      </c>
      <c r="P517" t="n">
        <v>0</v>
      </c>
      <c r="Q517" t="n">
        <v>0</v>
      </c>
      <c r="R517" s="2" t="inlineStr"/>
    </row>
    <row r="518" ht="15" customHeight="1">
      <c r="A518" t="inlineStr">
        <is>
          <t>A 52061-2025</t>
        </is>
      </c>
      <c r="B518" s="1" t="n">
        <v>45952.63679398148</v>
      </c>
      <c r="C518" s="1" t="n">
        <v>45989</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31874-2025</t>
        </is>
      </c>
      <c r="B519" s="1" t="n">
        <v>45834</v>
      </c>
      <c r="C519" s="1" t="n">
        <v>45989</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14127-2025</t>
        </is>
      </c>
      <c r="B520" s="1" t="n">
        <v>45740.47055555556</v>
      </c>
      <c r="C520" s="1" t="n">
        <v>45989</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31559-2022</t>
        </is>
      </c>
      <c r="B521" s="1" t="n">
        <v>44775</v>
      </c>
      <c r="C521" s="1" t="n">
        <v>45989</v>
      </c>
      <c r="D521" t="inlineStr">
        <is>
          <t>STOCKHOLMS LÄN</t>
        </is>
      </c>
      <c r="E521" t="inlineStr">
        <is>
          <t>NORRTÄLJE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45989</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52001-2023</t>
        </is>
      </c>
      <c r="B523" s="1" t="n">
        <v>45223</v>
      </c>
      <c r="C523" s="1" t="n">
        <v>45989</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43169-2025</t>
        </is>
      </c>
      <c r="B524" s="1" t="n">
        <v>45910</v>
      </c>
      <c r="C524" s="1" t="n">
        <v>45989</v>
      </c>
      <c r="D524" t="inlineStr">
        <is>
          <t>STOCKHOLMS LÄN</t>
        </is>
      </c>
      <c r="E524" t="inlineStr">
        <is>
          <t>NORRTÄLJE</t>
        </is>
      </c>
      <c r="G524" t="n">
        <v>6.9</v>
      </c>
      <c r="H524" t="n">
        <v>0</v>
      </c>
      <c r="I524" t="n">
        <v>0</v>
      </c>
      <c r="J524" t="n">
        <v>0</v>
      </c>
      <c r="K524" t="n">
        <v>0</v>
      </c>
      <c r="L524" t="n">
        <v>0</v>
      </c>
      <c r="M524" t="n">
        <v>0</v>
      </c>
      <c r="N524" t="n">
        <v>0</v>
      </c>
      <c r="O524" t="n">
        <v>0</v>
      </c>
      <c r="P524" t="n">
        <v>0</v>
      </c>
      <c r="Q524" t="n">
        <v>0</v>
      </c>
      <c r="R524" s="2" t="inlineStr"/>
    </row>
    <row r="525" ht="15" customHeight="1">
      <c r="A525" t="inlineStr">
        <is>
          <t>A 31868-2025</t>
        </is>
      </c>
      <c r="B525" s="1" t="n">
        <v>45834.6447337963</v>
      </c>
      <c r="C525" s="1" t="n">
        <v>45989</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43269-2025</t>
        </is>
      </c>
      <c r="B526" s="1" t="n">
        <v>45910.5819212963</v>
      </c>
      <c r="C526" s="1" t="n">
        <v>45989</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6413-2025</t>
        </is>
      </c>
      <c r="B527" s="1" t="n">
        <v>45699.46283564815</v>
      </c>
      <c r="C527" s="1" t="n">
        <v>45989</v>
      </c>
      <c r="D527" t="inlineStr">
        <is>
          <t>STOCKHOLMS LÄN</t>
        </is>
      </c>
      <c r="E527" t="inlineStr">
        <is>
          <t>NORRTÄLJE</t>
        </is>
      </c>
      <c r="G527" t="n">
        <v>3.6</v>
      </c>
      <c r="H527" t="n">
        <v>0</v>
      </c>
      <c r="I527" t="n">
        <v>0</v>
      </c>
      <c r="J527" t="n">
        <v>0</v>
      </c>
      <c r="K527" t="n">
        <v>0</v>
      </c>
      <c r="L527" t="n">
        <v>0</v>
      </c>
      <c r="M527" t="n">
        <v>0</v>
      </c>
      <c r="N527" t="n">
        <v>0</v>
      </c>
      <c r="O527" t="n">
        <v>0</v>
      </c>
      <c r="P527" t="n">
        <v>0</v>
      </c>
      <c r="Q527" t="n">
        <v>0</v>
      </c>
      <c r="R527" s="2" t="inlineStr"/>
    </row>
    <row r="528" ht="15" customHeight="1">
      <c r="A528" t="inlineStr">
        <is>
          <t>A 52526-2025</t>
        </is>
      </c>
      <c r="B528" s="1" t="n">
        <v>45954.53061342592</v>
      </c>
      <c r="C528" s="1" t="n">
        <v>45989</v>
      </c>
      <c r="D528" t="inlineStr">
        <is>
          <t>STOCKHOLMS LÄN</t>
        </is>
      </c>
      <c r="E528" t="inlineStr">
        <is>
          <t>NORRTÄLJE</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31880-2025</t>
        </is>
      </c>
      <c r="B529" s="1" t="n">
        <v>45834.65538194445</v>
      </c>
      <c r="C529" s="1" t="n">
        <v>45989</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22456-2023</t>
        </is>
      </c>
      <c r="B530" s="1" t="n">
        <v>45070</v>
      </c>
      <c r="C530" s="1" t="n">
        <v>45989</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32283-2025</t>
        </is>
      </c>
      <c r="B531" s="1" t="n">
        <v>45835.68076388889</v>
      </c>
      <c r="C531" s="1" t="n">
        <v>45989</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19580-2022</t>
        </is>
      </c>
      <c r="B532" s="1" t="n">
        <v>44693</v>
      </c>
      <c r="C532" s="1" t="n">
        <v>45989</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32122-2025</t>
        </is>
      </c>
      <c r="B533" s="1" t="n">
        <v>45835.4928125</v>
      </c>
      <c r="C533" s="1" t="n">
        <v>45989</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5823-2023</t>
        </is>
      </c>
      <c r="B534" s="1" t="n">
        <v>44963</v>
      </c>
      <c r="C534" s="1" t="n">
        <v>45989</v>
      </c>
      <c r="D534" t="inlineStr">
        <is>
          <t>STOCKHOLMS LÄN</t>
        </is>
      </c>
      <c r="E534" t="inlineStr">
        <is>
          <t>NORRTÄLJE</t>
        </is>
      </c>
      <c r="G534" t="n">
        <v>0.7</v>
      </c>
      <c r="H534" t="n">
        <v>0</v>
      </c>
      <c r="I534" t="n">
        <v>0</v>
      </c>
      <c r="J534" t="n">
        <v>0</v>
      </c>
      <c r="K534" t="n">
        <v>0</v>
      </c>
      <c r="L534" t="n">
        <v>0</v>
      </c>
      <c r="M534" t="n">
        <v>0</v>
      </c>
      <c r="N534" t="n">
        <v>0</v>
      </c>
      <c r="O534" t="n">
        <v>0</v>
      </c>
      <c r="P534" t="n">
        <v>0</v>
      </c>
      <c r="Q534" t="n">
        <v>0</v>
      </c>
      <c r="R534" s="2" t="inlineStr"/>
    </row>
    <row r="535" ht="15" customHeight="1">
      <c r="A535" t="inlineStr">
        <is>
          <t>A 30731-2023</t>
        </is>
      </c>
      <c r="B535" s="1" t="n">
        <v>45112</v>
      </c>
      <c r="C535" s="1" t="n">
        <v>45989</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52529-2025</t>
        </is>
      </c>
      <c r="B536" s="1" t="n">
        <v>45954.53229166667</v>
      </c>
      <c r="C536" s="1" t="n">
        <v>45989</v>
      </c>
      <c r="D536" t="inlineStr">
        <is>
          <t>STOCKHOLMS LÄN</t>
        </is>
      </c>
      <c r="E536" t="inlineStr">
        <is>
          <t>NORRTÄLJE</t>
        </is>
      </c>
      <c r="F536" t="inlineStr">
        <is>
          <t>Sveaskog</t>
        </is>
      </c>
      <c r="G536" t="n">
        <v>7.8</v>
      </c>
      <c r="H536" t="n">
        <v>0</v>
      </c>
      <c r="I536" t="n">
        <v>0</v>
      </c>
      <c r="J536" t="n">
        <v>0</v>
      </c>
      <c r="K536" t="n">
        <v>0</v>
      </c>
      <c r="L536" t="n">
        <v>0</v>
      </c>
      <c r="M536" t="n">
        <v>0</v>
      </c>
      <c r="N536" t="n">
        <v>0</v>
      </c>
      <c r="O536" t="n">
        <v>0</v>
      </c>
      <c r="P536" t="n">
        <v>0</v>
      </c>
      <c r="Q536" t="n">
        <v>0</v>
      </c>
      <c r="R536" s="2" t="inlineStr"/>
    </row>
    <row r="537" ht="15" customHeight="1">
      <c r="A537" t="inlineStr">
        <is>
          <t>A 52553-2025</t>
        </is>
      </c>
      <c r="B537" s="1" t="n">
        <v>45954.5624537037</v>
      </c>
      <c r="C537" s="1" t="n">
        <v>45989</v>
      </c>
      <c r="D537" t="inlineStr">
        <is>
          <t>STOCKHOLMS LÄN</t>
        </is>
      </c>
      <c r="E537" t="inlineStr">
        <is>
          <t>NORRTÄLJE</t>
        </is>
      </c>
      <c r="G537" t="n">
        <v>4.4</v>
      </c>
      <c r="H537" t="n">
        <v>0</v>
      </c>
      <c r="I537" t="n">
        <v>0</v>
      </c>
      <c r="J537" t="n">
        <v>0</v>
      </c>
      <c r="K537" t="n">
        <v>0</v>
      </c>
      <c r="L537" t="n">
        <v>0</v>
      </c>
      <c r="M537" t="n">
        <v>0</v>
      </c>
      <c r="N537" t="n">
        <v>0</v>
      </c>
      <c r="O537" t="n">
        <v>0</v>
      </c>
      <c r="P537" t="n">
        <v>0</v>
      </c>
      <c r="Q537" t="n">
        <v>0</v>
      </c>
      <c r="R537" s="2" t="inlineStr"/>
    </row>
    <row r="538" ht="15" customHeight="1">
      <c r="A538" t="inlineStr">
        <is>
          <t>A 52254-2025</t>
        </is>
      </c>
      <c r="B538" s="1" t="n">
        <v>45953.49519675926</v>
      </c>
      <c r="C538" s="1" t="n">
        <v>45989</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11988-2021</t>
        </is>
      </c>
      <c r="B539" s="1" t="n">
        <v>44266</v>
      </c>
      <c r="C539" s="1" t="n">
        <v>45989</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45989</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32094-2025</t>
        </is>
      </c>
      <c r="B541" s="1" t="n">
        <v>45835.46034722222</v>
      </c>
      <c r="C541" s="1" t="n">
        <v>45989</v>
      </c>
      <c r="D541" t="inlineStr">
        <is>
          <t>STOCKHOLMS LÄN</t>
        </is>
      </c>
      <c r="E541" t="inlineStr">
        <is>
          <t>NORRTÄLJE</t>
        </is>
      </c>
      <c r="F541" t="inlineStr">
        <is>
          <t>Holmen skog AB</t>
        </is>
      </c>
      <c r="G541" t="n">
        <v>2.9</v>
      </c>
      <c r="H541" t="n">
        <v>0</v>
      </c>
      <c r="I541" t="n">
        <v>0</v>
      </c>
      <c r="J541" t="n">
        <v>0</v>
      </c>
      <c r="K541" t="n">
        <v>0</v>
      </c>
      <c r="L541" t="n">
        <v>0</v>
      </c>
      <c r="M541" t="n">
        <v>0</v>
      </c>
      <c r="N541" t="n">
        <v>0</v>
      </c>
      <c r="O541" t="n">
        <v>0</v>
      </c>
      <c r="P541" t="n">
        <v>0</v>
      </c>
      <c r="Q541" t="n">
        <v>0</v>
      </c>
      <c r="R541" s="2" t="inlineStr"/>
    </row>
    <row r="542" ht="15" customHeight="1">
      <c r="A542" t="inlineStr">
        <is>
          <t>A 32016-2025</t>
        </is>
      </c>
      <c r="B542" s="1" t="n">
        <v>45835</v>
      </c>
      <c r="C542" s="1" t="n">
        <v>45989</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32396-2025</t>
        </is>
      </c>
      <c r="B543" s="1" t="n">
        <v>45837</v>
      </c>
      <c r="C543" s="1" t="n">
        <v>45989</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32397-2025</t>
        </is>
      </c>
      <c r="B544" s="1" t="n">
        <v>45837.94081018519</v>
      </c>
      <c r="C544" s="1" t="n">
        <v>45989</v>
      </c>
      <c r="D544" t="inlineStr">
        <is>
          <t>STOCKHOLMS LÄN</t>
        </is>
      </c>
      <c r="E544" t="inlineStr">
        <is>
          <t>NORRTÄLJE</t>
        </is>
      </c>
      <c r="G544" t="n">
        <v>5.9</v>
      </c>
      <c r="H544" t="n">
        <v>0</v>
      </c>
      <c r="I544" t="n">
        <v>0</v>
      </c>
      <c r="J544" t="n">
        <v>0</v>
      </c>
      <c r="K544" t="n">
        <v>0</v>
      </c>
      <c r="L544" t="n">
        <v>0</v>
      </c>
      <c r="M544" t="n">
        <v>0</v>
      </c>
      <c r="N544" t="n">
        <v>0</v>
      </c>
      <c r="O544" t="n">
        <v>0</v>
      </c>
      <c r="P544" t="n">
        <v>0</v>
      </c>
      <c r="Q544" t="n">
        <v>0</v>
      </c>
      <c r="R544" s="2" t="inlineStr"/>
    </row>
    <row r="545" ht="15" customHeight="1">
      <c r="A545" t="inlineStr">
        <is>
          <t>A 32480-2025</t>
        </is>
      </c>
      <c r="B545" s="1" t="n">
        <v>45838.43261574074</v>
      </c>
      <c r="C545" s="1" t="n">
        <v>45989</v>
      </c>
      <c r="D545" t="inlineStr">
        <is>
          <t>STOCKHOLMS LÄN</t>
        </is>
      </c>
      <c r="E545" t="inlineStr">
        <is>
          <t>NORRTÄLJE</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51653-2022</t>
        </is>
      </c>
      <c r="B546" s="1" t="n">
        <v>44867</v>
      </c>
      <c r="C546" s="1" t="n">
        <v>45989</v>
      </c>
      <c r="D546" t="inlineStr">
        <is>
          <t>STOCKHOLMS LÄN</t>
        </is>
      </c>
      <c r="E546" t="inlineStr">
        <is>
          <t>NORRTÄLJE</t>
        </is>
      </c>
      <c r="G546" t="n">
        <v>6.6</v>
      </c>
      <c r="H546" t="n">
        <v>0</v>
      </c>
      <c r="I546" t="n">
        <v>0</v>
      </c>
      <c r="J546" t="n">
        <v>0</v>
      </c>
      <c r="K546" t="n">
        <v>0</v>
      </c>
      <c r="L546" t="n">
        <v>0</v>
      </c>
      <c r="M546" t="n">
        <v>0</v>
      </c>
      <c r="N546" t="n">
        <v>0</v>
      </c>
      <c r="O546" t="n">
        <v>0</v>
      </c>
      <c r="P546" t="n">
        <v>0</v>
      </c>
      <c r="Q546" t="n">
        <v>0</v>
      </c>
      <c r="R546" s="2" t="inlineStr"/>
    </row>
    <row r="547" ht="15" customHeight="1">
      <c r="A547" t="inlineStr">
        <is>
          <t>A 30719-2025</t>
        </is>
      </c>
      <c r="B547" s="1" t="n">
        <v>45831</v>
      </c>
      <c r="C547" s="1" t="n">
        <v>45989</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52251-2025</t>
        </is>
      </c>
      <c r="B548" s="1" t="n">
        <v>45953.49185185185</v>
      </c>
      <c r="C548" s="1" t="n">
        <v>45989</v>
      </c>
      <c r="D548" t="inlineStr">
        <is>
          <t>STOCKHOLMS LÄN</t>
        </is>
      </c>
      <c r="E548" t="inlineStr">
        <is>
          <t>NORRTÄLJE</t>
        </is>
      </c>
      <c r="G548" t="n">
        <v>6.2</v>
      </c>
      <c r="H548" t="n">
        <v>0</v>
      </c>
      <c r="I548" t="n">
        <v>0</v>
      </c>
      <c r="J548" t="n">
        <v>0</v>
      </c>
      <c r="K548" t="n">
        <v>0</v>
      </c>
      <c r="L548" t="n">
        <v>0</v>
      </c>
      <c r="M548" t="n">
        <v>0</v>
      </c>
      <c r="N548" t="n">
        <v>0</v>
      </c>
      <c r="O548" t="n">
        <v>0</v>
      </c>
      <c r="P548" t="n">
        <v>0</v>
      </c>
      <c r="Q548" t="n">
        <v>0</v>
      </c>
      <c r="R548" s="2" t="inlineStr"/>
    </row>
    <row r="549" ht="15" customHeight="1">
      <c r="A549" t="inlineStr">
        <is>
          <t>A 32103-2022</t>
        </is>
      </c>
      <c r="B549" s="1" t="n">
        <v>44778</v>
      </c>
      <c r="C549" s="1" t="n">
        <v>45989</v>
      </c>
      <c r="D549" t="inlineStr">
        <is>
          <t>STOCKHOLMS LÄN</t>
        </is>
      </c>
      <c r="E549" t="inlineStr">
        <is>
          <t>NORRTÄLJE</t>
        </is>
      </c>
      <c r="G549" t="n">
        <v>3.4</v>
      </c>
      <c r="H549" t="n">
        <v>0</v>
      </c>
      <c r="I549" t="n">
        <v>0</v>
      </c>
      <c r="J549" t="n">
        <v>0</v>
      </c>
      <c r="K549" t="n">
        <v>0</v>
      </c>
      <c r="L549" t="n">
        <v>0</v>
      </c>
      <c r="M549" t="n">
        <v>0</v>
      </c>
      <c r="N549" t="n">
        <v>0</v>
      </c>
      <c r="O549" t="n">
        <v>0</v>
      </c>
      <c r="P549" t="n">
        <v>0</v>
      </c>
      <c r="Q549" t="n">
        <v>0</v>
      </c>
      <c r="R549" s="2" t="inlineStr"/>
    </row>
    <row r="550" ht="15" customHeight="1">
      <c r="A550" t="inlineStr">
        <is>
          <t>A 55952-2024</t>
        </is>
      </c>
      <c r="B550" s="1" t="n">
        <v>45623.62563657408</v>
      </c>
      <c r="C550" s="1" t="n">
        <v>45989</v>
      </c>
      <c r="D550" t="inlineStr">
        <is>
          <t>STOCKHOLMS LÄN</t>
        </is>
      </c>
      <c r="E550" t="inlineStr">
        <is>
          <t>NORRTÄLJE</t>
        </is>
      </c>
      <c r="F550" t="inlineStr">
        <is>
          <t>Holmen skog AB</t>
        </is>
      </c>
      <c r="G550" t="n">
        <v>2.8</v>
      </c>
      <c r="H550" t="n">
        <v>0</v>
      </c>
      <c r="I550" t="n">
        <v>0</v>
      </c>
      <c r="J550" t="n">
        <v>0</v>
      </c>
      <c r="K550" t="n">
        <v>0</v>
      </c>
      <c r="L550" t="n">
        <v>0</v>
      </c>
      <c r="M550" t="n">
        <v>0</v>
      </c>
      <c r="N550" t="n">
        <v>0</v>
      </c>
      <c r="O550" t="n">
        <v>0</v>
      </c>
      <c r="P550" t="n">
        <v>0</v>
      </c>
      <c r="Q550" t="n">
        <v>0</v>
      </c>
      <c r="R550" s="2" t="inlineStr"/>
    </row>
    <row r="551" ht="15" customHeight="1">
      <c r="A551" t="inlineStr">
        <is>
          <t>A 32395-2025</t>
        </is>
      </c>
      <c r="B551" s="1" t="n">
        <v>45837.93730324074</v>
      </c>
      <c r="C551" s="1" t="n">
        <v>45989</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23070-2023</t>
        </is>
      </c>
      <c r="B552" s="1" t="n">
        <v>45075</v>
      </c>
      <c r="C552" s="1" t="n">
        <v>45989</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33211-2025</t>
        </is>
      </c>
      <c r="B553" s="1" t="n">
        <v>45840.62755787037</v>
      </c>
      <c r="C553" s="1" t="n">
        <v>45989</v>
      </c>
      <c r="D553" t="inlineStr">
        <is>
          <t>STOCKHOLMS LÄN</t>
        </is>
      </c>
      <c r="E553" t="inlineStr">
        <is>
          <t>NORRTÄLJE</t>
        </is>
      </c>
      <c r="G553" t="n">
        <v>5.1</v>
      </c>
      <c r="H553" t="n">
        <v>0</v>
      </c>
      <c r="I553" t="n">
        <v>0</v>
      </c>
      <c r="J553" t="n">
        <v>0</v>
      </c>
      <c r="K553" t="n">
        <v>0</v>
      </c>
      <c r="L553" t="n">
        <v>0</v>
      </c>
      <c r="M553" t="n">
        <v>0</v>
      </c>
      <c r="N553" t="n">
        <v>0</v>
      </c>
      <c r="O553" t="n">
        <v>0</v>
      </c>
      <c r="P553" t="n">
        <v>0</v>
      </c>
      <c r="Q553" t="n">
        <v>0</v>
      </c>
      <c r="R553" s="2" t="inlineStr"/>
    </row>
    <row r="554" ht="15" customHeight="1">
      <c r="A554" t="inlineStr">
        <is>
          <t>A 8792-2025</t>
        </is>
      </c>
      <c r="B554" s="1" t="n">
        <v>45712</v>
      </c>
      <c r="C554" s="1" t="n">
        <v>45989</v>
      </c>
      <c r="D554" t="inlineStr">
        <is>
          <t>STOCKHOLMS LÄN</t>
        </is>
      </c>
      <c r="E554" t="inlineStr">
        <is>
          <t>NORRTÄLJE</t>
        </is>
      </c>
      <c r="F554" t="inlineStr">
        <is>
          <t>Övriga Aktiebolag</t>
        </is>
      </c>
      <c r="G554" t="n">
        <v>6.6</v>
      </c>
      <c r="H554" t="n">
        <v>0</v>
      </c>
      <c r="I554" t="n">
        <v>0</v>
      </c>
      <c r="J554" t="n">
        <v>0</v>
      </c>
      <c r="K554" t="n">
        <v>0</v>
      </c>
      <c r="L554" t="n">
        <v>0</v>
      </c>
      <c r="M554" t="n">
        <v>0</v>
      </c>
      <c r="N554" t="n">
        <v>0</v>
      </c>
      <c r="O554" t="n">
        <v>0</v>
      </c>
      <c r="P554" t="n">
        <v>0</v>
      </c>
      <c r="Q554" t="n">
        <v>0</v>
      </c>
      <c r="R554" s="2" t="inlineStr"/>
    </row>
    <row r="555" ht="15" customHeight="1">
      <c r="A555" t="inlineStr">
        <is>
          <t>A 32903-2025</t>
        </is>
      </c>
      <c r="B555" s="1" t="n">
        <v>45839.62398148148</v>
      </c>
      <c r="C555" s="1" t="n">
        <v>45989</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7571-2024</t>
        </is>
      </c>
      <c r="B556" s="1" t="n">
        <v>45348.46300925926</v>
      </c>
      <c r="C556" s="1" t="n">
        <v>45989</v>
      </c>
      <c r="D556" t="inlineStr">
        <is>
          <t>STOCKHOLMS LÄN</t>
        </is>
      </c>
      <c r="E556" t="inlineStr">
        <is>
          <t>NORRTÄLJE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44343-2025</t>
        </is>
      </c>
      <c r="B557" s="1" t="n">
        <v>45916.43378472222</v>
      </c>
      <c r="C557" s="1" t="n">
        <v>45989</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33265-2025</t>
        </is>
      </c>
      <c r="B558" s="1" t="n">
        <v>45840.67829861111</v>
      </c>
      <c r="C558" s="1" t="n">
        <v>45989</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32872-2025</t>
        </is>
      </c>
      <c r="B559" s="1" t="n">
        <v>45839</v>
      </c>
      <c r="C559" s="1" t="n">
        <v>45989</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36269-2022</t>
        </is>
      </c>
      <c r="B560" s="1" t="n">
        <v>44803</v>
      </c>
      <c r="C560" s="1" t="n">
        <v>45989</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53000-2025</t>
        </is>
      </c>
      <c r="B561" s="1" t="n">
        <v>45957.74357638889</v>
      </c>
      <c r="C561" s="1" t="n">
        <v>45989</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52773-2025</t>
        </is>
      </c>
      <c r="B562" s="1" t="n">
        <v>45957.41457175926</v>
      </c>
      <c r="C562" s="1" t="n">
        <v>45989</v>
      </c>
      <c r="D562" t="inlineStr">
        <is>
          <t>STOCKHOLMS LÄN</t>
        </is>
      </c>
      <c r="E562" t="inlineStr">
        <is>
          <t>NORRTÄLJE</t>
        </is>
      </c>
      <c r="F562" t="inlineStr">
        <is>
          <t>Sveaskog</t>
        </is>
      </c>
      <c r="G562" t="n">
        <v>10.5</v>
      </c>
      <c r="H562" t="n">
        <v>0</v>
      </c>
      <c r="I562" t="n">
        <v>0</v>
      </c>
      <c r="J562" t="n">
        <v>0</v>
      </c>
      <c r="K562" t="n">
        <v>0</v>
      </c>
      <c r="L562" t="n">
        <v>0</v>
      </c>
      <c r="M562" t="n">
        <v>0</v>
      </c>
      <c r="N562" t="n">
        <v>0</v>
      </c>
      <c r="O562" t="n">
        <v>0</v>
      </c>
      <c r="P562" t="n">
        <v>0</v>
      </c>
      <c r="Q562" t="n">
        <v>0</v>
      </c>
      <c r="R562" s="2" t="inlineStr"/>
    </row>
    <row r="563" ht="15" customHeight="1">
      <c r="A563" t="inlineStr">
        <is>
          <t>A 43916-2025</t>
        </is>
      </c>
      <c r="B563" s="1" t="n">
        <v>45914.78884259259</v>
      </c>
      <c r="C563" s="1" t="n">
        <v>45989</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33702-2025</t>
        </is>
      </c>
      <c r="B564" s="1" t="n">
        <v>45841.74596064815</v>
      </c>
      <c r="C564" s="1" t="n">
        <v>45989</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33336-2025</t>
        </is>
      </c>
      <c r="B565" s="1" t="n">
        <v>45841.35611111111</v>
      </c>
      <c r="C565" s="1" t="n">
        <v>45989</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44311-2025</t>
        </is>
      </c>
      <c r="B566" s="1" t="n">
        <v>45916.38394675926</v>
      </c>
      <c r="C566" s="1" t="n">
        <v>45989</v>
      </c>
      <c r="D566" t="inlineStr">
        <is>
          <t>STOCKHOLMS LÄN</t>
        </is>
      </c>
      <c r="E566" t="inlineStr">
        <is>
          <t>NORRTÄLJE</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45989</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5665-2025</t>
        </is>
      </c>
      <c r="B568" s="1" t="n">
        <v>45693</v>
      </c>
      <c r="C568" s="1" t="n">
        <v>45989</v>
      </c>
      <c r="D568" t="inlineStr">
        <is>
          <t>STOCKHOLMS LÄN</t>
        </is>
      </c>
      <c r="E568" t="inlineStr">
        <is>
          <t>NORRTÄLJE</t>
        </is>
      </c>
      <c r="G568" t="n">
        <v>4</v>
      </c>
      <c r="H568" t="n">
        <v>0</v>
      </c>
      <c r="I568" t="n">
        <v>0</v>
      </c>
      <c r="J568" t="n">
        <v>0</v>
      </c>
      <c r="K568" t="n">
        <v>0</v>
      </c>
      <c r="L568" t="n">
        <v>0</v>
      </c>
      <c r="M568" t="n">
        <v>0</v>
      </c>
      <c r="N568" t="n">
        <v>0</v>
      </c>
      <c r="O568" t="n">
        <v>0</v>
      </c>
      <c r="P568" t="n">
        <v>0</v>
      </c>
      <c r="Q568" t="n">
        <v>0</v>
      </c>
      <c r="R568" s="2" t="inlineStr"/>
    </row>
    <row r="569" ht="15" customHeight="1">
      <c r="A569" t="inlineStr">
        <is>
          <t>A 12407-2025</t>
        </is>
      </c>
      <c r="B569" s="1" t="n">
        <v>45730.42851851852</v>
      </c>
      <c r="C569" s="1" t="n">
        <v>45989</v>
      </c>
      <c r="D569" t="inlineStr">
        <is>
          <t>STOCKHOLMS LÄN</t>
        </is>
      </c>
      <c r="E569" t="inlineStr">
        <is>
          <t>NORRTÄLJE</t>
        </is>
      </c>
      <c r="F569" t="inlineStr">
        <is>
          <t>Holmen skog AB</t>
        </is>
      </c>
      <c r="G569" t="n">
        <v>2.6</v>
      </c>
      <c r="H569" t="n">
        <v>0</v>
      </c>
      <c r="I569" t="n">
        <v>0</v>
      </c>
      <c r="J569" t="n">
        <v>0</v>
      </c>
      <c r="K569" t="n">
        <v>0</v>
      </c>
      <c r="L569" t="n">
        <v>0</v>
      </c>
      <c r="M569" t="n">
        <v>0</v>
      </c>
      <c r="N569" t="n">
        <v>0</v>
      </c>
      <c r="O569" t="n">
        <v>0</v>
      </c>
      <c r="P569" t="n">
        <v>0</v>
      </c>
      <c r="Q569" t="n">
        <v>0</v>
      </c>
      <c r="R569" s="2" t="inlineStr"/>
    </row>
    <row r="570" ht="15" customHeight="1">
      <c r="A570" t="inlineStr">
        <is>
          <t>A 33552-2025</t>
        </is>
      </c>
      <c r="B570" s="1" t="n">
        <v>45841.5737962963</v>
      </c>
      <c r="C570" s="1" t="n">
        <v>45989</v>
      </c>
      <c r="D570" t="inlineStr">
        <is>
          <t>STOCKHOLMS LÄN</t>
        </is>
      </c>
      <c r="E570" t="inlineStr">
        <is>
          <t>NORRTÄLJE</t>
        </is>
      </c>
      <c r="G570" t="n">
        <v>8.9</v>
      </c>
      <c r="H570" t="n">
        <v>0</v>
      </c>
      <c r="I570" t="n">
        <v>0</v>
      </c>
      <c r="J570" t="n">
        <v>0</v>
      </c>
      <c r="K570" t="n">
        <v>0</v>
      </c>
      <c r="L570" t="n">
        <v>0</v>
      </c>
      <c r="M570" t="n">
        <v>0</v>
      </c>
      <c r="N570" t="n">
        <v>0</v>
      </c>
      <c r="O570" t="n">
        <v>0</v>
      </c>
      <c r="P570" t="n">
        <v>0</v>
      </c>
      <c r="Q570" t="n">
        <v>0</v>
      </c>
      <c r="R570" s="2" t="inlineStr"/>
    </row>
    <row r="571" ht="15" customHeight="1">
      <c r="A571" t="inlineStr">
        <is>
          <t>A 26636-2023</t>
        </is>
      </c>
      <c r="B571" s="1" t="n">
        <v>45092</v>
      </c>
      <c r="C571" s="1" t="n">
        <v>45989</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26637-2023</t>
        </is>
      </c>
      <c r="B572" s="1" t="n">
        <v>45092</v>
      </c>
      <c r="C572" s="1" t="n">
        <v>45989</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52734-2025</t>
        </is>
      </c>
      <c r="B573" s="1" t="n">
        <v>45957.3710300926</v>
      </c>
      <c r="C573" s="1" t="n">
        <v>45989</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23266-2023</t>
        </is>
      </c>
      <c r="B574" s="1" t="n">
        <v>45075.90817129629</v>
      </c>
      <c r="C574" s="1" t="n">
        <v>45989</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44354-2025</t>
        </is>
      </c>
      <c r="B575" s="1" t="n">
        <v>45916.44655092592</v>
      </c>
      <c r="C575" s="1" t="n">
        <v>45989</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52776-2025</t>
        </is>
      </c>
      <c r="B576" s="1" t="n">
        <v>45957.41724537037</v>
      </c>
      <c r="C576" s="1" t="n">
        <v>45989</v>
      </c>
      <c r="D576" t="inlineStr">
        <is>
          <t>STOCKHOLMS LÄN</t>
        </is>
      </c>
      <c r="E576" t="inlineStr">
        <is>
          <t>NORRTÄLJE</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52777-2025</t>
        </is>
      </c>
      <c r="B577" s="1" t="n">
        <v>45957.41832175926</v>
      </c>
      <c r="C577" s="1" t="n">
        <v>45989</v>
      </c>
      <c r="D577" t="inlineStr">
        <is>
          <t>STOCKHOLMS LÄN</t>
        </is>
      </c>
      <c r="E577" t="inlineStr">
        <is>
          <t>NORRTÄLJE</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33824-2025</t>
        </is>
      </c>
      <c r="B578" s="1" t="n">
        <v>45842.46885416667</v>
      </c>
      <c r="C578" s="1" t="n">
        <v>45989</v>
      </c>
      <c r="D578" t="inlineStr">
        <is>
          <t>STOCKHOLMS LÄN</t>
        </is>
      </c>
      <c r="E578" t="inlineStr">
        <is>
          <t>NORRTÄLJE</t>
        </is>
      </c>
      <c r="G578" t="n">
        <v>1.9</v>
      </c>
      <c r="H578" t="n">
        <v>0</v>
      </c>
      <c r="I578" t="n">
        <v>0</v>
      </c>
      <c r="J578" t="n">
        <v>0</v>
      </c>
      <c r="K578" t="n">
        <v>0</v>
      </c>
      <c r="L578" t="n">
        <v>0</v>
      </c>
      <c r="M578" t="n">
        <v>0</v>
      </c>
      <c r="N578" t="n">
        <v>0</v>
      </c>
      <c r="O578" t="n">
        <v>0</v>
      </c>
      <c r="P578" t="n">
        <v>0</v>
      </c>
      <c r="Q578" t="n">
        <v>0</v>
      </c>
      <c r="R578" s="2" t="inlineStr"/>
    </row>
    <row r="579" ht="15" customHeight="1">
      <c r="A579" t="inlineStr">
        <is>
          <t>A 35161-2022</t>
        </is>
      </c>
      <c r="B579" s="1" t="n">
        <v>44797</v>
      </c>
      <c r="C579" s="1" t="n">
        <v>45989</v>
      </c>
      <c r="D579" t="inlineStr">
        <is>
          <t>STOCKHOLMS LÄN</t>
        </is>
      </c>
      <c r="E579" t="inlineStr">
        <is>
          <t>NORRTÄLJE</t>
        </is>
      </c>
      <c r="G579" t="n">
        <v>6</v>
      </c>
      <c r="H579" t="n">
        <v>0</v>
      </c>
      <c r="I579" t="n">
        <v>0</v>
      </c>
      <c r="J579" t="n">
        <v>0</v>
      </c>
      <c r="K579" t="n">
        <v>0</v>
      </c>
      <c r="L579" t="n">
        <v>0</v>
      </c>
      <c r="M579" t="n">
        <v>0</v>
      </c>
      <c r="N579" t="n">
        <v>0</v>
      </c>
      <c r="O579" t="n">
        <v>0</v>
      </c>
      <c r="P579" t="n">
        <v>0</v>
      </c>
      <c r="Q579" t="n">
        <v>0</v>
      </c>
      <c r="R579" s="2" t="inlineStr"/>
    </row>
    <row r="580" ht="15" customHeight="1">
      <c r="A580" t="inlineStr">
        <is>
          <t>A 53087-2025</t>
        </is>
      </c>
      <c r="B580" s="1" t="n">
        <v>45958.41065972222</v>
      </c>
      <c r="C580" s="1" t="n">
        <v>45989</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46073-2024</t>
        </is>
      </c>
      <c r="B581" s="1" t="n">
        <v>45581</v>
      </c>
      <c r="C581" s="1" t="n">
        <v>45989</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52729-2025</t>
        </is>
      </c>
      <c r="B582" s="1" t="n">
        <v>45957.3636574074</v>
      </c>
      <c r="C582" s="1" t="n">
        <v>45989</v>
      </c>
      <c r="D582" t="inlineStr">
        <is>
          <t>STOCKHOLMS LÄN</t>
        </is>
      </c>
      <c r="E582" t="inlineStr">
        <is>
          <t>NORRTÄLJE</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36689-2023</t>
        </is>
      </c>
      <c r="B583" s="1" t="n">
        <v>45152</v>
      </c>
      <c r="C583" s="1" t="n">
        <v>45989</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34139-2025</t>
        </is>
      </c>
      <c r="B584" s="1" t="n">
        <v>45845</v>
      </c>
      <c r="C584" s="1" t="n">
        <v>45989</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34006-2025</t>
        </is>
      </c>
      <c r="B585" s="1" t="n">
        <v>45844.62609953704</v>
      </c>
      <c r="C585" s="1" t="n">
        <v>45989</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44333-2025</t>
        </is>
      </c>
      <c r="B586" s="1" t="n">
        <v>45916.42293981482</v>
      </c>
      <c r="C586" s="1" t="n">
        <v>45989</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52703-2025</t>
        </is>
      </c>
      <c r="B587" s="1" t="n">
        <v>45956.88643518519</v>
      </c>
      <c r="C587" s="1" t="n">
        <v>45989</v>
      </c>
      <c r="D587" t="inlineStr">
        <is>
          <t>STOCKHOLMS LÄN</t>
        </is>
      </c>
      <c r="E587" t="inlineStr">
        <is>
          <t>NORRTÄLJE</t>
        </is>
      </c>
      <c r="G587" t="n">
        <v>4.7</v>
      </c>
      <c r="H587" t="n">
        <v>0</v>
      </c>
      <c r="I587" t="n">
        <v>0</v>
      </c>
      <c r="J587" t="n">
        <v>0</v>
      </c>
      <c r="K587" t="n">
        <v>0</v>
      </c>
      <c r="L587" t="n">
        <v>0</v>
      </c>
      <c r="M587" t="n">
        <v>0</v>
      </c>
      <c r="N587" t="n">
        <v>0</v>
      </c>
      <c r="O587" t="n">
        <v>0</v>
      </c>
      <c r="P587" t="n">
        <v>0</v>
      </c>
      <c r="Q587" t="n">
        <v>0</v>
      </c>
      <c r="R587" s="2" t="inlineStr"/>
    </row>
    <row r="588" ht="15" customHeight="1">
      <c r="A588" t="inlineStr">
        <is>
          <t>A 52704-2025</t>
        </is>
      </c>
      <c r="B588" s="1" t="n">
        <v>45956.89097222222</v>
      </c>
      <c r="C588" s="1" t="n">
        <v>45989</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7903-2021</t>
        </is>
      </c>
      <c r="B589" s="1" t="n">
        <v>44243.33587962963</v>
      </c>
      <c r="C589" s="1" t="n">
        <v>45989</v>
      </c>
      <c r="D589" t="inlineStr">
        <is>
          <t>STOCKHOLMS LÄN</t>
        </is>
      </c>
      <c r="E589" t="inlineStr">
        <is>
          <t>NORRTÄLJE</t>
        </is>
      </c>
      <c r="G589" t="n">
        <v>3.5</v>
      </c>
      <c r="H589" t="n">
        <v>0</v>
      </c>
      <c r="I589" t="n">
        <v>0</v>
      </c>
      <c r="J589" t="n">
        <v>0</v>
      </c>
      <c r="K589" t="n">
        <v>0</v>
      </c>
      <c r="L589" t="n">
        <v>0</v>
      </c>
      <c r="M589" t="n">
        <v>0</v>
      </c>
      <c r="N589" t="n">
        <v>0</v>
      </c>
      <c r="O589" t="n">
        <v>0</v>
      </c>
      <c r="P589" t="n">
        <v>0</v>
      </c>
      <c r="Q589" t="n">
        <v>0</v>
      </c>
      <c r="R589" s="2" t="inlineStr"/>
    </row>
    <row r="590" ht="15" customHeight="1">
      <c r="A590" t="inlineStr">
        <is>
          <t>A 53115-2025</t>
        </is>
      </c>
      <c r="B590" s="1" t="n">
        <v>45958.44614583333</v>
      </c>
      <c r="C590" s="1" t="n">
        <v>45989</v>
      </c>
      <c r="D590" t="inlineStr">
        <is>
          <t>STOCKHOLMS LÄN</t>
        </is>
      </c>
      <c r="E590" t="inlineStr">
        <is>
          <t>NORRTÄLJE</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58863-2024</t>
        </is>
      </c>
      <c r="B591" s="1" t="n">
        <v>45636.41572916666</v>
      </c>
      <c r="C591" s="1" t="n">
        <v>45989</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15447-2023</t>
        </is>
      </c>
      <c r="B592" s="1" t="n">
        <v>45020</v>
      </c>
      <c r="C592" s="1" t="n">
        <v>45989</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34391-2023</t>
        </is>
      </c>
      <c r="B593" s="1" t="n">
        <v>45139.51457175926</v>
      </c>
      <c r="C593" s="1" t="n">
        <v>45989</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44306-2025</t>
        </is>
      </c>
      <c r="B594" s="1" t="n">
        <v>45916.37736111111</v>
      </c>
      <c r="C594" s="1" t="n">
        <v>45989</v>
      </c>
      <c r="D594" t="inlineStr">
        <is>
          <t>STOCKHOLMS LÄN</t>
        </is>
      </c>
      <c r="E594" t="inlineStr">
        <is>
          <t>NORRTÄLJE</t>
        </is>
      </c>
      <c r="G594" t="n">
        <v>2.8</v>
      </c>
      <c r="H594" t="n">
        <v>0</v>
      </c>
      <c r="I594" t="n">
        <v>0</v>
      </c>
      <c r="J594" t="n">
        <v>0</v>
      </c>
      <c r="K594" t="n">
        <v>0</v>
      </c>
      <c r="L594" t="n">
        <v>0</v>
      </c>
      <c r="M594" t="n">
        <v>0</v>
      </c>
      <c r="N594" t="n">
        <v>0</v>
      </c>
      <c r="O594" t="n">
        <v>0</v>
      </c>
      <c r="P594" t="n">
        <v>0</v>
      </c>
      <c r="Q594" t="n">
        <v>0</v>
      </c>
      <c r="R594" s="2" t="inlineStr"/>
    </row>
    <row r="595" ht="15" customHeight="1">
      <c r="A595" t="inlineStr">
        <is>
          <t>A 34010-2025</t>
        </is>
      </c>
      <c r="B595" s="1" t="n">
        <v>45844.91234953704</v>
      </c>
      <c r="C595" s="1" t="n">
        <v>45989</v>
      </c>
      <c r="D595" t="inlineStr">
        <is>
          <t>STOCKHOLMS LÄN</t>
        </is>
      </c>
      <c r="E595" t="inlineStr">
        <is>
          <t>NORRTÄLJE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53629-2025</t>
        </is>
      </c>
      <c r="B596" s="1" t="n">
        <v>45960.49570601852</v>
      </c>
      <c r="C596" s="1" t="n">
        <v>45989</v>
      </c>
      <c r="D596" t="inlineStr">
        <is>
          <t>STOCKHOLMS LÄN</t>
        </is>
      </c>
      <c r="E596" t="inlineStr">
        <is>
          <t>NORRTÄLJE</t>
        </is>
      </c>
      <c r="F596" t="inlineStr">
        <is>
          <t>Naturvårdsverket</t>
        </is>
      </c>
      <c r="G596" t="n">
        <v>7.9</v>
      </c>
      <c r="H596" t="n">
        <v>0</v>
      </c>
      <c r="I596" t="n">
        <v>0</v>
      </c>
      <c r="J596" t="n">
        <v>0</v>
      </c>
      <c r="K596" t="n">
        <v>0</v>
      </c>
      <c r="L596" t="n">
        <v>0</v>
      </c>
      <c r="M596" t="n">
        <v>0</v>
      </c>
      <c r="N596" t="n">
        <v>0</v>
      </c>
      <c r="O596" t="n">
        <v>0</v>
      </c>
      <c r="P596" t="n">
        <v>0</v>
      </c>
      <c r="Q596" t="n">
        <v>0</v>
      </c>
      <c r="R596" s="2" t="inlineStr"/>
    </row>
    <row r="597" ht="15" customHeight="1">
      <c r="A597" t="inlineStr">
        <is>
          <t>A 53312-2024</t>
        </is>
      </c>
      <c r="B597" s="1" t="n">
        <v>45614.39627314815</v>
      </c>
      <c r="C597" s="1" t="n">
        <v>45989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39610-2025</t>
        </is>
      </c>
      <c r="B598" s="1" t="n">
        <v>45890.56001157407</v>
      </c>
      <c r="C598" s="1" t="n">
        <v>45989</v>
      </c>
      <c r="D598" t="inlineStr">
        <is>
          <t>STOCKHOLMS LÄN</t>
        </is>
      </c>
      <c r="E598" t="inlineStr">
        <is>
          <t>NORRTÄLJE</t>
        </is>
      </c>
      <c r="G598" t="n">
        <v>28.6</v>
      </c>
      <c r="H598" t="n">
        <v>0</v>
      </c>
      <c r="I598" t="n">
        <v>0</v>
      </c>
      <c r="J598" t="n">
        <v>0</v>
      </c>
      <c r="K598" t="n">
        <v>0</v>
      </c>
      <c r="L598" t="n">
        <v>0</v>
      </c>
      <c r="M598" t="n">
        <v>0</v>
      </c>
      <c r="N598" t="n">
        <v>0</v>
      </c>
      <c r="O598" t="n">
        <v>0</v>
      </c>
      <c r="P598" t="n">
        <v>0</v>
      </c>
      <c r="Q598" t="n">
        <v>0</v>
      </c>
      <c r="R598" s="2" t="inlineStr"/>
    </row>
    <row r="599" ht="15" customHeight="1">
      <c r="A599" t="inlineStr">
        <is>
          <t>A 21158-2022</t>
        </is>
      </c>
      <c r="B599" s="1" t="n">
        <v>44704</v>
      </c>
      <c r="C599" s="1" t="n">
        <v>45989</v>
      </c>
      <c r="D599" t="inlineStr">
        <is>
          <t>STOCKHOLMS LÄN</t>
        </is>
      </c>
      <c r="E599" t="inlineStr">
        <is>
          <t>NORRTÄLJE</t>
        </is>
      </c>
      <c r="G599" t="n">
        <v>17.8</v>
      </c>
      <c r="H599" t="n">
        <v>0</v>
      </c>
      <c r="I599" t="n">
        <v>0</v>
      </c>
      <c r="J599" t="n">
        <v>0</v>
      </c>
      <c r="K599" t="n">
        <v>0</v>
      </c>
      <c r="L599" t="n">
        <v>0</v>
      </c>
      <c r="M599" t="n">
        <v>0</v>
      </c>
      <c r="N599" t="n">
        <v>0</v>
      </c>
      <c r="O599" t="n">
        <v>0</v>
      </c>
      <c r="P599" t="n">
        <v>0</v>
      </c>
      <c r="Q599" t="n">
        <v>0</v>
      </c>
      <c r="R599" s="2" t="inlineStr"/>
    </row>
    <row r="600" ht="15" customHeight="1">
      <c r="A600" t="inlineStr">
        <is>
          <t>A 15915-2023</t>
        </is>
      </c>
      <c r="B600" s="1" t="n">
        <v>45022</v>
      </c>
      <c r="C600" s="1" t="n">
        <v>45989</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58993-2022</t>
        </is>
      </c>
      <c r="B601" s="1" t="n">
        <v>44903</v>
      </c>
      <c r="C601" s="1" t="n">
        <v>45989</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39905-2023</t>
        </is>
      </c>
      <c r="B602" s="1" t="n">
        <v>45168.44489583333</v>
      </c>
      <c r="C602" s="1" t="n">
        <v>45989</v>
      </c>
      <c r="D602" t="inlineStr">
        <is>
          <t>STOCKHOLMS LÄN</t>
        </is>
      </c>
      <c r="E602" t="inlineStr">
        <is>
          <t>NORRTÄLJE</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33793-2022</t>
        </is>
      </c>
      <c r="B603" s="1" t="n">
        <v>44790</v>
      </c>
      <c r="C603" s="1" t="n">
        <v>45989</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44937-2025</t>
        </is>
      </c>
      <c r="B604" s="1" t="n">
        <v>45918</v>
      </c>
      <c r="C604" s="1" t="n">
        <v>45989</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17304-2024</t>
        </is>
      </c>
      <c r="B605" s="1" t="n">
        <v>45414</v>
      </c>
      <c r="C605" s="1" t="n">
        <v>45989</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53747-2025</t>
        </is>
      </c>
      <c r="B606" s="1" t="n">
        <v>45960.65415509259</v>
      </c>
      <c r="C606" s="1" t="n">
        <v>45989</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35110-2025</t>
        </is>
      </c>
      <c r="B607" s="1" t="n">
        <v>45852.58030092593</v>
      </c>
      <c r="C607" s="1" t="n">
        <v>45989</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16852-2024</t>
        </is>
      </c>
      <c r="B608" s="1" t="n">
        <v>45411.54768518519</v>
      </c>
      <c r="C608" s="1" t="n">
        <v>45989</v>
      </c>
      <c r="D608" t="inlineStr">
        <is>
          <t>STOCKHOLMS LÄN</t>
        </is>
      </c>
      <c r="E608" t="inlineStr">
        <is>
          <t>NORRTÄLJE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4326-2023</t>
        </is>
      </c>
      <c r="B609" s="1" t="n">
        <v>44953.70481481482</v>
      </c>
      <c r="C609" s="1" t="n">
        <v>45989</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53299-2025</t>
        </is>
      </c>
      <c r="B610" s="1" t="n">
        <v>45959.31901620371</v>
      </c>
      <c r="C610" s="1" t="n">
        <v>45989</v>
      </c>
      <c r="D610" t="inlineStr">
        <is>
          <t>STOCKHOLMS LÄN</t>
        </is>
      </c>
      <c r="E610" t="inlineStr">
        <is>
          <t>NORRTÄLJE</t>
        </is>
      </c>
      <c r="G610" t="n">
        <v>4.8</v>
      </c>
      <c r="H610" t="n">
        <v>0</v>
      </c>
      <c r="I610" t="n">
        <v>0</v>
      </c>
      <c r="J610" t="n">
        <v>0</v>
      </c>
      <c r="K610" t="n">
        <v>0</v>
      </c>
      <c r="L610" t="n">
        <v>0</v>
      </c>
      <c r="M610" t="n">
        <v>0</v>
      </c>
      <c r="N610" t="n">
        <v>0</v>
      </c>
      <c r="O610" t="n">
        <v>0</v>
      </c>
      <c r="P610" t="n">
        <v>0</v>
      </c>
      <c r="Q610" t="n">
        <v>0</v>
      </c>
      <c r="R610" s="2" t="inlineStr"/>
    </row>
    <row r="611" ht="15" customHeight="1">
      <c r="A611" t="inlineStr">
        <is>
          <t>A 33385-2024</t>
        </is>
      </c>
      <c r="B611" s="1" t="n">
        <v>45519</v>
      </c>
      <c r="C611" s="1" t="n">
        <v>45989</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29714-2023</t>
        </is>
      </c>
      <c r="B612" s="1" t="n">
        <v>45107.42538194444</v>
      </c>
      <c r="C612" s="1" t="n">
        <v>45989</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30508-2023</t>
        </is>
      </c>
      <c r="B613" s="1" t="n">
        <v>45111</v>
      </c>
      <c r="C613" s="1" t="n">
        <v>45989</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35254-2025</t>
        </is>
      </c>
      <c r="B614" s="1" t="n">
        <v>45853</v>
      </c>
      <c r="C614" s="1" t="n">
        <v>45989</v>
      </c>
      <c r="D614" t="inlineStr">
        <is>
          <t>STOCKHOLMS LÄN</t>
        </is>
      </c>
      <c r="E614" t="inlineStr">
        <is>
          <t>NORRTÄLJE</t>
        </is>
      </c>
      <c r="G614" t="n">
        <v>6.5</v>
      </c>
      <c r="H614" t="n">
        <v>0</v>
      </c>
      <c r="I614" t="n">
        <v>0</v>
      </c>
      <c r="J614" t="n">
        <v>0</v>
      </c>
      <c r="K614" t="n">
        <v>0</v>
      </c>
      <c r="L614" t="n">
        <v>0</v>
      </c>
      <c r="M614" t="n">
        <v>0</v>
      </c>
      <c r="N614" t="n">
        <v>0</v>
      </c>
      <c r="O614" t="n">
        <v>0</v>
      </c>
      <c r="P614" t="n">
        <v>0</v>
      </c>
      <c r="Q614" t="n">
        <v>0</v>
      </c>
      <c r="R614" s="2" t="inlineStr"/>
    </row>
    <row r="615" ht="15" customHeight="1">
      <c r="A615" t="inlineStr">
        <is>
          <t>A 12031-2021</t>
        </is>
      </c>
      <c r="B615" s="1" t="n">
        <v>44266</v>
      </c>
      <c r="C615" s="1" t="n">
        <v>45989</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35479-2025</t>
        </is>
      </c>
      <c r="B616" s="1" t="n">
        <v>45855.69387731481</v>
      </c>
      <c r="C616" s="1" t="n">
        <v>45989</v>
      </c>
      <c r="D616" t="inlineStr">
        <is>
          <t>STOCKHOLMS LÄN</t>
        </is>
      </c>
      <c r="E616" t="inlineStr">
        <is>
          <t>NORRTÄLJE</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35451-2025</t>
        </is>
      </c>
      <c r="B617" s="1" t="n">
        <v>45855.57033564815</v>
      </c>
      <c r="C617" s="1" t="n">
        <v>45989</v>
      </c>
      <c r="D617" t="inlineStr">
        <is>
          <t>STOCKHOLMS LÄN</t>
        </is>
      </c>
      <c r="E617" t="inlineStr">
        <is>
          <t>NORRTÄLJE</t>
        </is>
      </c>
      <c r="F617" t="inlineStr">
        <is>
          <t>Holmen skog AB</t>
        </is>
      </c>
      <c r="G617" t="n">
        <v>7.4</v>
      </c>
      <c r="H617" t="n">
        <v>0</v>
      </c>
      <c r="I617" t="n">
        <v>0</v>
      </c>
      <c r="J617" t="n">
        <v>0</v>
      </c>
      <c r="K617" t="n">
        <v>0</v>
      </c>
      <c r="L617" t="n">
        <v>0</v>
      </c>
      <c r="M617" t="n">
        <v>0</v>
      </c>
      <c r="N617" t="n">
        <v>0</v>
      </c>
      <c r="O617" t="n">
        <v>0</v>
      </c>
      <c r="P617" t="n">
        <v>0</v>
      </c>
      <c r="Q617" t="n">
        <v>0</v>
      </c>
      <c r="R617" s="2" t="inlineStr"/>
    </row>
    <row r="618" ht="15" customHeight="1">
      <c r="A618" t="inlineStr">
        <is>
          <t>A 35478-2025</t>
        </is>
      </c>
      <c r="B618" s="1" t="n">
        <v>45855.68413194444</v>
      </c>
      <c r="C618" s="1" t="n">
        <v>45989</v>
      </c>
      <c r="D618" t="inlineStr">
        <is>
          <t>STOCKHOLMS LÄN</t>
        </is>
      </c>
      <c r="E618" t="inlineStr">
        <is>
          <t>NORRTÄLJE</t>
        </is>
      </c>
      <c r="F618" t="inlineStr">
        <is>
          <t>Holmen skog AB</t>
        </is>
      </c>
      <c r="G618" t="n">
        <v>2.7</v>
      </c>
      <c r="H618" t="n">
        <v>0</v>
      </c>
      <c r="I618" t="n">
        <v>0</v>
      </c>
      <c r="J618" t="n">
        <v>0</v>
      </c>
      <c r="K618" t="n">
        <v>0</v>
      </c>
      <c r="L618" t="n">
        <v>0</v>
      </c>
      <c r="M618" t="n">
        <v>0</v>
      </c>
      <c r="N618" t="n">
        <v>0</v>
      </c>
      <c r="O618" t="n">
        <v>0</v>
      </c>
      <c r="P618" t="n">
        <v>0</v>
      </c>
      <c r="Q618" t="n">
        <v>0</v>
      </c>
      <c r="R618" s="2" t="inlineStr"/>
    </row>
    <row r="619" ht="15" customHeight="1">
      <c r="A619" t="inlineStr">
        <is>
          <t>A 22359-2025</t>
        </is>
      </c>
      <c r="B619" s="1" t="n">
        <v>45786</v>
      </c>
      <c r="C619" s="1" t="n">
        <v>45989</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8296-2023</t>
        </is>
      </c>
      <c r="B620" s="1" t="n">
        <v>44974</v>
      </c>
      <c r="C620" s="1" t="n">
        <v>45989</v>
      </c>
      <c r="D620" t="inlineStr">
        <is>
          <t>STOCKHOLMS LÄN</t>
        </is>
      </c>
      <c r="E620" t="inlineStr">
        <is>
          <t>NORRTÄLJE</t>
        </is>
      </c>
      <c r="G620" t="n">
        <v>3.8</v>
      </c>
      <c r="H620" t="n">
        <v>0</v>
      </c>
      <c r="I620" t="n">
        <v>0</v>
      </c>
      <c r="J620" t="n">
        <v>0</v>
      </c>
      <c r="K620" t="n">
        <v>0</v>
      </c>
      <c r="L620" t="n">
        <v>0</v>
      </c>
      <c r="M620" t="n">
        <v>0</v>
      </c>
      <c r="N620" t="n">
        <v>0</v>
      </c>
      <c r="O620" t="n">
        <v>0</v>
      </c>
      <c r="P620" t="n">
        <v>0</v>
      </c>
      <c r="Q620" t="n">
        <v>0</v>
      </c>
      <c r="R620" s="2" t="inlineStr"/>
    </row>
    <row r="621" ht="15" customHeight="1">
      <c r="A621" t="inlineStr">
        <is>
          <t>A 31236-2022</t>
        </is>
      </c>
      <c r="B621" s="1" t="n">
        <v>44771</v>
      </c>
      <c r="C621" s="1" t="n">
        <v>45989</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52593-2024</t>
        </is>
      </c>
      <c r="B622" s="1" t="n">
        <v>45609.70778935185</v>
      </c>
      <c r="C622" s="1" t="n">
        <v>45989</v>
      </c>
      <c r="D622" t="inlineStr">
        <is>
          <t>STOCKHOLMS LÄN</t>
        </is>
      </c>
      <c r="E622" t="inlineStr">
        <is>
          <t>NORRTÄLJE</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52617-2024</t>
        </is>
      </c>
      <c r="B623" s="1" t="n">
        <v>45609.85146990741</v>
      </c>
      <c r="C623" s="1" t="n">
        <v>45989</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27824-2022</t>
        </is>
      </c>
      <c r="B624" s="1" t="n">
        <v>44743.59331018518</v>
      </c>
      <c r="C624" s="1" t="n">
        <v>45989</v>
      </c>
      <c r="D624" t="inlineStr">
        <is>
          <t>STOCKHOLMS LÄN</t>
        </is>
      </c>
      <c r="E624" t="inlineStr">
        <is>
          <t>NORRTÄLJE</t>
        </is>
      </c>
      <c r="F624" t="inlineStr">
        <is>
          <t>Kommuner</t>
        </is>
      </c>
      <c r="G624" t="n">
        <v>3.1</v>
      </c>
      <c r="H624" t="n">
        <v>0</v>
      </c>
      <c r="I624" t="n">
        <v>0</v>
      </c>
      <c r="J624" t="n">
        <v>0</v>
      </c>
      <c r="K624" t="n">
        <v>0</v>
      </c>
      <c r="L624" t="n">
        <v>0</v>
      </c>
      <c r="M624" t="n">
        <v>0</v>
      </c>
      <c r="N624" t="n">
        <v>0</v>
      </c>
      <c r="O624" t="n">
        <v>0</v>
      </c>
      <c r="P624" t="n">
        <v>0</v>
      </c>
      <c r="Q624" t="n">
        <v>0</v>
      </c>
      <c r="R624" s="2" t="inlineStr"/>
    </row>
    <row r="625" ht="15" customHeight="1">
      <c r="A625" t="inlineStr">
        <is>
          <t>A 20698-2025</t>
        </is>
      </c>
      <c r="B625" s="1" t="n">
        <v>45776.47122685185</v>
      </c>
      <c r="C625" s="1" t="n">
        <v>45989</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47521-2024</t>
        </is>
      </c>
      <c r="B626" s="1" t="n">
        <v>45587.62565972222</v>
      </c>
      <c r="C626" s="1" t="n">
        <v>45989</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36396-2025</t>
        </is>
      </c>
      <c r="B627" s="1" t="n">
        <v>45868.62267361111</v>
      </c>
      <c r="C627" s="1" t="n">
        <v>45989</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22232-2024</t>
        </is>
      </c>
      <c r="B628" s="1" t="n">
        <v>45446.4287962963</v>
      </c>
      <c r="C628" s="1" t="n">
        <v>45989</v>
      </c>
      <c r="D628" t="inlineStr">
        <is>
          <t>STOCKHOLMS LÄN</t>
        </is>
      </c>
      <c r="E628" t="inlineStr">
        <is>
          <t>NORRTÄLJE</t>
        </is>
      </c>
      <c r="G628" t="n">
        <v>12.8</v>
      </c>
      <c r="H628" t="n">
        <v>0</v>
      </c>
      <c r="I628" t="n">
        <v>0</v>
      </c>
      <c r="J628" t="n">
        <v>0</v>
      </c>
      <c r="K628" t="n">
        <v>0</v>
      </c>
      <c r="L628" t="n">
        <v>0</v>
      </c>
      <c r="M628" t="n">
        <v>0</v>
      </c>
      <c r="N628" t="n">
        <v>0</v>
      </c>
      <c r="O628" t="n">
        <v>0</v>
      </c>
      <c r="P628" t="n">
        <v>0</v>
      </c>
      <c r="Q628" t="n">
        <v>0</v>
      </c>
      <c r="R628" s="2" t="inlineStr"/>
    </row>
    <row r="629" ht="15" customHeight="1">
      <c r="A629" t="inlineStr">
        <is>
          <t>A 34444-2024</t>
        </is>
      </c>
      <c r="B629" s="1" t="n">
        <v>45525</v>
      </c>
      <c r="C629" s="1" t="n">
        <v>45989</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50534-2024</t>
        </is>
      </c>
      <c r="B630" s="1" t="n">
        <v>45601.56726851852</v>
      </c>
      <c r="C630" s="1" t="n">
        <v>45989</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42094-2023</t>
        </is>
      </c>
      <c r="B631" s="1" t="n">
        <v>45177.61498842593</v>
      </c>
      <c r="C631" s="1" t="n">
        <v>45989</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58530-2024</t>
        </is>
      </c>
      <c r="B632" s="1" t="n">
        <v>45635.44788194444</v>
      </c>
      <c r="C632" s="1" t="n">
        <v>45989</v>
      </c>
      <c r="D632" t="inlineStr">
        <is>
          <t>STOCKHOLMS LÄN</t>
        </is>
      </c>
      <c r="E632" t="inlineStr">
        <is>
          <t>NORRTÄLJE</t>
        </is>
      </c>
      <c r="G632" t="n">
        <v>4.5</v>
      </c>
      <c r="H632" t="n">
        <v>0</v>
      </c>
      <c r="I632" t="n">
        <v>0</v>
      </c>
      <c r="J632" t="n">
        <v>0</v>
      </c>
      <c r="K632" t="n">
        <v>0</v>
      </c>
      <c r="L632" t="n">
        <v>0</v>
      </c>
      <c r="M632" t="n">
        <v>0</v>
      </c>
      <c r="N632" t="n">
        <v>0</v>
      </c>
      <c r="O632" t="n">
        <v>0</v>
      </c>
      <c r="P632" t="n">
        <v>0</v>
      </c>
      <c r="Q632" t="n">
        <v>0</v>
      </c>
      <c r="R632" s="2" t="inlineStr"/>
    </row>
    <row r="633" ht="15" customHeight="1">
      <c r="A633" t="inlineStr">
        <is>
          <t>A 30620-2022</t>
        </is>
      </c>
      <c r="B633" s="1" t="n">
        <v>44763.40914351852</v>
      </c>
      <c r="C633" s="1" t="n">
        <v>45989</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57602-2024</t>
        </is>
      </c>
      <c r="B634" s="1" t="n">
        <v>45630.52866898148</v>
      </c>
      <c r="C634" s="1" t="n">
        <v>45989</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45697-2025</t>
        </is>
      </c>
      <c r="B635" s="1" t="n">
        <v>45923.39877314815</v>
      </c>
      <c r="C635" s="1" t="n">
        <v>45989</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11854-2025</t>
        </is>
      </c>
      <c r="B636" s="1" t="n">
        <v>45728.38924768518</v>
      </c>
      <c r="C636" s="1" t="n">
        <v>45989</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1283-2025</t>
        </is>
      </c>
      <c r="B637" s="1" t="n">
        <v>45667.49878472222</v>
      </c>
      <c r="C637" s="1" t="n">
        <v>45989</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44495.5893287037</v>
      </c>
      <c r="C638" s="1" t="n">
        <v>45989</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35256-2025</t>
        </is>
      </c>
      <c r="B639" s="1" t="n">
        <v>45853</v>
      </c>
      <c r="C639" s="1" t="n">
        <v>45989</v>
      </c>
      <c r="D639" t="inlineStr">
        <is>
          <t>STOCKHOLMS LÄN</t>
        </is>
      </c>
      <c r="E639" t="inlineStr">
        <is>
          <t>NORRTÄLJE</t>
        </is>
      </c>
      <c r="G639" t="n">
        <v>6.4</v>
      </c>
      <c r="H639" t="n">
        <v>0</v>
      </c>
      <c r="I639" t="n">
        <v>0</v>
      </c>
      <c r="J639" t="n">
        <v>0</v>
      </c>
      <c r="K639" t="n">
        <v>0</v>
      </c>
      <c r="L639" t="n">
        <v>0</v>
      </c>
      <c r="M639" t="n">
        <v>0</v>
      </c>
      <c r="N639" t="n">
        <v>0</v>
      </c>
      <c r="O639" t="n">
        <v>0</v>
      </c>
      <c r="P639" t="n">
        <v>0</v>
      </c>
      <c r="Q639" t="n">
        <v>0</v>
      </c>
      <c r="R639" s="2" t="inlineStr"/>
    </row>
    <row r="640" ht="15" customHeight="1">
      <c r="A640" t="inlineStr">
        <is>
          <t>A 28900-2022</t>
        </is>
      </c>
      <c r="B640" s="1" t="n">
        <v>44749.55258101852</v>
      </c>
      <c r="C640" s="1" t="n">
        <v>45989</v>
      </c>
      <c r="D640" t="inlineStr">
        <is>
          <t>STOCKHOLMS LÄN</t>
        </is>
      </c>
      <c r="E640" t="inlineStr">
        <is>
          <t>NORRTÄLJE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32514-2022</t>
        </is>
      </c>
      <c r="B641" s="1" t="n">
        <v>44782</v>
      </c>
      <c r="C641" s="1" t="n">
        <v>45989</v>
      </c>
      <c r="D641" t="inlineStr">
        <is>
          <t>STOCKHOLMS LÄN</t>
        </is>
      </c>
      <c r="E641" t="inlineStr">
        <is>
          <t>NORRTÄLJE</t>
        </is>
      </c>
      <c r="G641" t="n">
        <v>5.1</v>
      </c>
      <c r="H641" t="n">
        <v>0</v>
      </c>
      <c r="I641" t="n">
        <v>0</v>
      </c>
      <c r="J641" t="n">
        <v>0</v>
      </c>
      <c r="K641" t="n">
        <v>0</v>
      </c>
      <c r="L641" t="n">
        <v>0</v>
      </c>
      <c r="M641" t="n">
        <v>0</v>
      </c>
      <c r="N641" t="n">
        <v>0</v>
      </c>
      <c r="O641" t="n">
        <v>0</v>
      </c>
      <c r="P641" t="n">
        <v>0</v>
      </c>
      <c r="Q641" t="n">
        <v>0</v>
      </c>
      <c r="R641" s="2" t="inlineStr"/>
    </row>
    <row r="642" ht="15" customHeight="1">
      <c r="A642" t="inlineStr">
        <is>
          <t>A 23125-2022</t>
        </is>
      </c>
      <c r="B642" s="1" t="n">
        <v>44719</v>
      </c>
      <c r="C642" s="1" t="n">
        <v>45989</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46415-2025</t>
        </is>
      </c>
      <c r="B643" s="1" t="n">
        <v>45925.58636574074</v>
      </c>
      <c r="C643" s="1" t="n">
        <v>45989</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45989</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6855-2025</t>
        </is>
      </c>
      <c r="B645" s="1" t="n">
        <v>45700</v>
      </c>
      <c r="C645" s="1" t="n">
        <v>45989</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54907-2025</t>
        </is>
      </c>
      <c r="B646" s="1" t="n">
        <v>45967.37137731481</v>
      </c>
      <c r="C646" s="1" t="n">
        <v>45989</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14873-2025</t>
        </is>
      </c>
      <c r="B647" s="1" t="n">
        <v>45743.44953703704</v>
      </c>
      <c r="C647" s="1" t="n">
        <v>45989</v>
      </c>
      <c r="D647" t="inlineStr">
        <is>
          <t>STOCKHOLMS LÄN</t>
        </is>
      </c>
      <c r="E647" t="inlineStr">
        <is>
          <t>NORRTÄLJE</t>
        </is>
      </c>
      <c r="G647" t="n">
        <v>10.2</v>
      </c>
      <c r="H647" t="n">
        <v>0</v>
      </c>
      <c r="I647" t="n">
        <v>0</v>
      </c>
      <c r="J647" t="n">
        <v>0</v>
      </c>
      <c r="K647" t="n">
        <v>0</v>
      </c>
      <c r="L647" t="n">
        <v>0</v>
      </c>
      <c r="M647" t="n">
        <v>0</v>
      </c>
      <c r="N647" t="n">
        <v>0</v>
      </c>
      <c r="O647" t="n">
        <v>0</v>
      </c>
      <c r="P647" t="n">
        <v>0</v>
      </c>
      <c r="Q647" t="n">
        <v>0</v>
      </c>
      <c r="R647" s="2" t="inlineStr"/>
    </row>
    <row r="648" ht="15" customHeight="1">
      <c r="A648" t="inlineStr">
        <is>
          <t>A 37261-2025</t>
        </is>
      </c>
      <c r="B648" s="1" t="n">
        <v>45876.45253472222</v>
      </c>
      <c r="C648" s="1" t="n">
        <v>45989</v>
      </c>
      <c r="D648" t="inlineStr">
        <is>
          <t>STOCKHOLMS LÄN</t>
        </is>
      </c>
      <c r="E648" t="inlineStr">
        <is>
          <t>NORRTÄLJE</t>
        </is>
      </c>
      <c r="F648" t="inlineStr">
        <is>
          <t>Kommuner</t>
        </is>
      </c>
      <c r="G648" t="n">
        <v>2.2</v>
      </c>
      <c r="H648" t="n">
        <v>0</v>
      </c>
      <c r="I648" t="n">
        <v>0</v>
      </c>
      <c r="J648" t="n">
        <v>0</v>
      </c>
      <c r="K648" t="n">
        <v>0</v>
      </c>
      <c r="L648" t="n">
        <v>0</v>
      </c>
      <c r="M648" t="n">
        <v>0</v>
      </c>
      <c r="N648" t="n">
        <v>0</v>
      </c>
      <c r="O648" t="n">
        <v>0</v>
      </c>
      <c r="P648" t="n">
        <v>0</v>
      </c>
      <c r="Q648" t="n">
        <v>0</v>
      </c>
      <c r="R648" s="2" t="inlineStr"/>
    </row>
    <row r="649" ht="15" customHeight="1">
      <c r="A649" t="inlineStr">
        <is>
          <t>A 8135-2025</t>
        </is>
      </c>
      <c r="B649" s="1" t="n">
        <v>45707.84997685185</v>
      </c>
      <c r="C649" s="1" t="n">
        <v>45989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31936-2022</t>
        </is>
      </c>
      <c r="B650" s="1" t="n">
        <v>44777</v>
      </c>
      <c r="C650" s="1" t="n">
        <v>45989</v>
      </c>
      <c r="D650" t="inlineStr">
        <is>
          <t>STOCKHOLMS LÄN</t>
        </is>
      </c>
      <c r="E650" t="inlineStr">
        <is>
          <t>NORRTÄLJE</t>
        </is>
      </c>
      <c r="G650" t="n">
        <v>5.2</v>
      </c>
      <c r="H650" t="n">
        <v>0</v>
      </c>
      <c r="I650" t="n">
        <v>0</v>
      </c>
      <c r="J650" t="n">
        <v>0</v>
      </c>
      <c r="K650" t="n">
        <v>0</v>
      </c>
      <c r="L650" t="n">
        <v>0</v>
      </c>
      <c r="M650" t="n">
        <v>0</v>
      </c>
      <c r="N650" t="n">
        <v>0</v>
      </c>
      <c r="O650" t="n">
        <v>0</v>
      </c>
      <c r="P650" t="n">
        <v>0</v>
      </c>
      <c r="Q650" t="n">
        <v>0</v>
      </c>
      <c r="R650" s="2" t="inlineStr"/>
    </row>
    <row r="651" ht="15" customHeight="1">
      <c r="A651" t="inlineStr">
        <is>
          <t>A 20692-2025</t>
        </is>
      </c>
      <c r="B651" s="1" t="n">
        <v>45776.46369212963</v>
      </c>
      <c r="C651" s="1" t="n">
        <v>45989</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24887-2023</t>
        </is>
      </c>
      <c r="B652" s="1" t="n">
        <v>45085</v>
      </c>
      <c r="C652" s="1" t="n">
        <v>45989</v>
      </c>
      <c r="D652" t="inlineStr">
        <is>
          <t>STOCKHOLMS LÄN</t>
        </is>
      </c>
      <c r="E652" t="inlineStr">
        <is>
          <t>NORRTÄLJE</t>
        </is>
      </c>
      <c r="G652" t="n">
        <v>13.9</v>
      </c>
      <c r="H652" t="n">
        <v>0</v>
      </c>
      <c r="I652" t="n">
        <v>0</v>
      </c>
      <c r="J652" t="n">
        <v>0</v>
      </c>
      <c r="K652" t="n">
        <v>0</v>
      </c>
      <c r="L652" t="n">
        <v>0</v>
      </c>
      <c r="M652" t="n">
        <v>0</v>
      </c>
      <c r="N652" t="n">
        <v>0</v>
      </c>
      <c r="O652" t="n">
        <v>0</v>
      </c>
      <c r="P652" t="n">
        <v>0</v>
      </c>
      <c r="Q652" t="n">
        <v>0</v>
      </c>
      <c r="R652" s="2" t="inlineStr"/>
    </row>
    <row r="653" ht="15" customHeight="1">
      <c r="A653" t="inlineStr">
        <is>
          <t>A 56428-2023</t>
        </is>
      </c>
      <c r="B653" s="1" t="n">
        <v>45243.45289351852</v>
      </c>
      <c r="C653" s="1" t="n">
        <v>45989</v>
      </c>
      <c r="D653" t="inlineStr">
        <is>
          <t>STOCKHOLMS LÄN</t>
        </is>
      </c>
      <c r="E653" t="inlineStr">
        <is>
          <t>NORRTÄLJE</t>
        </is>
      </c>
      <c r="F653" t="inlineStr">
        <is>
          <t>Kyrkan</t>
        </is>
      </c>
      <c r="G653" t="n">
        <v>1.3</v>
      </c>
      <c r="H653" t="n">
        <v>0</v>
      </c>
      <c r="I653" t="n">
        <v>0</v>
      </c>
      <c r="J653" t="n">
        <v>0</v>
      </c>
      <c r="K653" t="n">
        <v>0</v>
      </c>
      <c r="L653" t="n">
        <v>0</v>
      </c>
      <c r="M653" t="n">
        <v>0</v>
      </c>
      <c r="N653" t="n">
        <v>0</v>
      </c>
      <c r="O653" t="n">
        <v>0</v>
      </c>
      <c r="P653" t="n">
        <v>0</v>
      </c>
      <c r="Q653" t="n">
        <v>0</v>
      </c>
      <c r="R653" s="2" t="inlineStr"/>
    </row>
    <row r="654" ht="15" customHeight="1">
      <c r="A654" t="inlineStr">
        <is>
          <t>A 46071-2024</t>
        </is>
      </c>
      <c r="B654" s="1" t="n">
        <v>45581</v>
      </c>
      <c r="C654" s="1" t="n">
        <v>45989</v>
      </c>
      <c r="D654" t="inlineStr">
        <is>
          <t>STOCKHOLMS LÄN</t>
        </is>
      </c>
      <c r="E654" t="inlineStr">
        <is>
          <t>NORRTÄLJE</t>
        </is>
      </c>
      <c r="G654" t="n">
        <v>2.3</v>
      </c>
      <c r="H654" t="n">
        <v>0</v>
      </c>
      <c r="I654" t="n">
        <v>0</v>
      </c>
      <c r="J654" t="n">
        <v>0</v>
      </c>
      <c r="K654" t="n">
        <v>0</v>
      </c>
      <c r="L654" t="n">
        <v>0</v>
      </c>
      <c r="M654" t="n">
        <v>0</v>
      </c>
      <c r="N654" t="n">
        <v>0</v>
      </c>
      <c r="O654" t="n">
        <v>0</v>
      </c>
      <c r="P654" t="n">
        <v>0</v>
      </c>
      <c r="Q654" t="n">
        <v>0</v>
      </c>
      <c r="R654" s="2" t="inlineStr"/>
    </row>
    <row r="655" ht="15" customHeight="1">
      <c r="A655" t="inlineStr">
        <is>
          <t>A 30338-2022</t>
        </is>
      </c>
      <c r="B655" s="1" t="n">
        <v>44760</v>
      </c>
      <c r="C655" s="1" t="n">
        <v>45989</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29369-2024</t>
        </is>
      </c>
      <c r="B656" s="1" t="n">
        <v>45483.57244212963</v>
      </c>
      <c r="C656" s="1" t="n">
        <v>45989</v>
      </c>
      <c r="D656" t="inlineStr">
        <is>
          <t>STOCKHOLMS LÄN</t>
        </is>
      </c>
      <c r="E656" t="inlineStr">
        <is>
          <t>NORRTÄLJE</t>
        </is>
      </c>
      <c r="G656" t="n">
        <v>15.9</v>
      </c>
      <c r="H656" t="n">
        <v>0</v>
      </c>
      <c r="I656" t="n">
        <v>0</v>
      </c>
      <c r="J656" t="n">
        <v>0</v>
      </c>
      <c r="K656" t="n">
        <v>0</v>
      </c>
      <c r="L656" t="n">
        <v>0</v>
      </c>
      <c r="M656" t="n">
        <v>0</v>
      </c>
      <c r="N656" t="n">
        <v>0</v>
      </c>
      <c r="O656" t="n">
        <v>0</v>
      </c>
      <c r="P656" t="n">
        <v>0</v>
      </c>
      <c r="Q656" t="n">
        <v>0</v>
      </c>
      <c r="R656" s="2" t="inlineStr"/>
    </row>
    <row r="657" ht="15" customHeight="1">
      <c r="A657" t="inlineStr">
        <is>
          <t>A 37630-2025</t>
        </is>
      </c>
      <c r="B657" s="1" t="n">
        <v>45880.46372685185</v>
      </c>
      <c r="C657" s="1" t="n">
        <v>45989</v>
      </c>
      <c r="D657" t="inlineStr">
        <is>
          <t>STOCKHOLMS LÄN</t>
        </is>
      </c>
      <c r="E657" t="inlineStr">
        <is>
          <t>NORRTÄLJE</t>
        </is>
      </c>
      <c r="F657" t="inlineStr">
        <is>
          <t>Sveaskog</t>
        </is>
      </c>
      <c r="G657" t="n">
        <v>12.9</v>
      </c>
      <c r="H657" t="n">
        <v>0</v>
      </c>
      <c r="I657" t="n">
        <v>0</v>
      </c>
      <c r="J657" t="n">
        <v>0</v>
      </c>
      <c r="K657" t="n">
        <v>0</v>
      </c>
      <c r="L657" t="n">
        <v>0</v>
      </c>
      <c r="M657" t="n">
        <v>0</v>
      </c>
      <c r="N657" t="n">
        <v>0</v>
      </c>
      <c r="O657" t="n">
        <v>0</v>
      </c>
      <c r="P657" t="n">
        <v>0</v>
      </c>
      <c r="Q657" t="n">
        <v>0</v>
      </c>
      <c r="R657" s="2" t="inlineStr"/>
    </row>
    <row r="658" ht="15" customHeight="1">
      <c r="A658" t="inlineStr">
        <is>
          <t>A 18541-2023</t>
        </is>
      </c>
      <c r="B658" s="1" t="n">
        <v>45042.74291666667</v>
      </c>
      <c r="C658" s="1" t="n">
        <v>45989</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32857-2021</t>
        </is>
      </c>
      <c r="B659" s="1" t="n">
        <v>44375</v>
      </c>
      <c r="C659" s="1" t="n">
        <v>45989</v>
      </c>
      <c r="D659" t="inlineStr">
        <is>
          <t>STOCKHOLMS LÄN</t>
        </is>
      </c>
      <c r="E659" t="inlineStr">
        <is>
          <t>NORRTÄLJE</t>
        </is>
      </c>
      <c r="G659" t="n">
        <v>2.9</v>
      </c>
      <c r="H659" t="n">
        <v>0</v>
      </c>
      <c r="I659" t="n">
        <v>0</v>
      </c>
      <c r="J659" t="n">
        <v>0</v>
      </c>
      <c r="K659" t="n">
        <v>0</v>
      </c>
      <c r="L659" t="n">
        <v>0</v>
      </c>
      <c r="M659" t="n">
        <v>0</v>
      </c>
      <c r="N659" t="n">
        <v>0</v>
      </c>
      <c r="O659" t="n">
        <v>0</v>
      </c>
      <c r="P659" t="n">
        <v>0</v>
      </c>
      <c r="Q659" t="n">
        <v>0</v>
      </c>
      <c r="R659" s="2" t="inlineStr"/>
    </row>
    <row r="660" ht="15" customHeight="1">
      <c r="A660" t="inlineStr">
        <is>
          <t>A 51325-2023</t>
        </is>
      </c>
      <c r="B660" s="1" t="n">
        <v>45219</v>
      </c>
      <c r="C660" s="1" t="n">
        <v>45989</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37632-2025</t>
        </is>
      </c>
      <c r="B661" s="1" t="n">
        <v>45880.46524305556</v>
      </c>
      <c r="C661" s="1" t="n">
        <v>45989</v>
      </c>
      <c r="D661" t="inlineStr">
        <is>
          <t>STOCKHOLMS LÄN</t>
        </is>
      </c>
      <c r="E661" t="inlineStr">
        <is>
          <t>NORRTÄLJE</t>
        </is>
      </c>
      <c r="F661" t="inlineStr">
        <is>
          <t>Sveaskog</t>
        </is>
      </c>
      <c r="G661" t="n">
        <v>6.4</v>
      </c>
      <c r="H661" t="n">
        <v>0</v>
      </c>
      <c r="I661" t="n">
        <v>0</v>
      </c>
      <c r="J661" t="n">
        <v>0</v>
      </c>
      <c r="K661" t="n">
        <v>0</v>
      </c>
      <c r="L661" t="n">
        <v>0</v>
      </c>
      <c r="M661" t="n">
        <v>0</v>
      </c>
      <c r="N661" t="n">
        <v>0</v>
      </c>
      <c r="O661" t="n">
        <v>0</v>
      </c>
      <c r="P661" t="n">
        <v>0</v>
      </c>
      <c r="Q661" t="n">
        <v>0</v>
      </c>
      <c r="R661" s="2" t="inlineStr"/>
    </row>
    <row r="662" ht="15" customHeight="1">
      <c r="A662" t="inlineStr">
        <is>
          <t>A 29841-2024</t>
        </is>
      </c>
      <c r="B662" s="1" t="n">
        <v>45485.60261574074</v>
      </c>
      <c r="C662" s="1" t="n">
        <v>45989</v>
      </c>
      <c r="D662" t="inlineStr">
        <is>
          <t>STOCKHOLMS LÄN</t>
        </is>
      </c>
      <c r="E662" t="inlineStr">
        <is>
          <t>NORRTÄLJE</t>
        </is>
      </c>
      <c r="G662" t="n">
        <v>15.9</v>
      </c>
      <c r="H662" t="n">
        <v>0</v>
      </c>
      <c r="I662" t="n">
        <v>0</v>
      </c>
      <c r="J662" t="n">
        <v>0</v>
      </c>
      <c r="K662" t="n">
        <v>0</v>
      </c>
      <c r="L662" t="n">
        <v>0</v>
      </c>
      <c r="M662" t="n">
        <v>0</v>
      </c>
      <c r="N662" t="n">
        <v>0</v>
      </c>
      <c r="O662" t="n">
        <v>0</v>
      </c>
      <c r="P662" t="n">
        <v>0</v>
      </c>
      <c r="Q662" t="n">
        <v>0</v>
      </c>
      <c r="R662" s="2" t="inlineStr"/>
    </row>
    <row r="663" ht="15" customHeight="1">
      <c r="A663" t="inlineStr">
        <is>
          <t>A 21729-2024</t>
        </is>
      </c>
      <c r="B663" s="1" t="n">
        <v>45442</v>
      </c>
      <c r="C663" s="1" t="n">
        <v>45989</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55599-2025</t>
        </is>
      </c>
      <c r="B664" s="1" t="n">
        <v>45971.76810185185</v>
      </c>
      <c r="C664" s="1" t="n">
        <v>45989</v>
      </c>
      <c r="D664" t="inlineStr">
        <is>
          <t>STOCKHOLMS LÄN</t>
        </is>
      </c>
      <c r="E664" t="inlineStr">
        <is>
          <t>NORRTÄLJE</t>
        </is>
      </c>
      <c r="F664" t="inlineStr">
        <is>
          <t>Holmen skog AB</t>
        </is>
      </c>
      <c r="G664" t="n">
        <v>6.4</v>
      </c>
      <c r="H664" t="n">
        <v>0</v>
      </c>
      <c r="I664" t="n">
        <v>0</v>
      </c>
      <c r="J664" t="n">
        <v>0</v>
      </c>
      <c r="K664" t="n">
        <v>0</v>
      </c>
      <c r="L664" t="n">
        <v>0</v>
      </c>
      <c r="M664" t="n">
        <v>0</v>
      </c>
      <c r="N664" t="n">
        <v>0</v>
      </c>
      <c r="O664" t="n">
        <v>0</v>
      </c>
      <c r="P664" t="n">
        <v>0</v>
      </c>
      <c r="Q664" t="n">
        <v>0</v>
      </c>
      <c r="R664" s="2" t="inlineStr"/>
    </row>
    <row r="665" ht="15" customHeight="1">
      <c r="A665" t="inlineStr">
        <is>
          <t>A 37628-2025</t>
        </is>
      </c>
      <c r="B665" s="1" t="n">
        <v>45880.46189814815</v>
      </c>
      <c r="C665" s="1" t="n">
        <v>45989</v>
      </c>
      <c r="D665" t="inlineStr">
        <is>
          <t>STOCKHOLMS LÄN</t>
        </is>
      </c>
      <c r="E665" t="inlineStr">
        <is>
          <t>NORRTÄLJE</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47460-2025</t>
        </is>
      </c>
      <c r="B666" s="1" t="n">
        <v>45930.66012731481</v>
      </c>
      <c r="C666" s="1" t="n">
        <v>45989</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24350-2025</t>
        </is>
      </c>
      <c r="B667" s="1" t="n">
        <v>45797.58350694444</v>
      </c>
      <c r="C667" s="1" t="n">
        <v>45989</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21894-2023</t>
        </is>
      </c>
      <c r="B668" s="1" t="n">
        <v>45068.51783564815</v>
      </c>
      <c r="C668" s="1" t="n">
        <v>45989</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26703-2025</t>
        </is>
      </c>
      <c r="B669" s="1" t="n">
        <v>45810.45263888889</v>
      </c>
      <c r="C669" s="1" t="n">
        <v>45989</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13137-2024</t>
        </is>
      </c>
      <c r="B670" s="1" t="n">
        <v>45386.34175925926</v>
      </c>
      <c r="C670" s="1" t="n">
        <v>45989</v>
      </c>
      <c r="D670" t="inlineStr">
        <is>
          <t>STOCKHOLMS LÄN</t>
        </is>
      </c>
      <c r="E670" t="inlineStr">
        <is>
          <t>NORRTÄLJE</t>
        </is>
      </c>
      <c r="G670" t="n">
        <v>5</v>
      </c>
      <c r="H670" t="n">
        <v>0</v>
      </c>
      <c r="I670" t="n">
        <v>0</v>
      </c>
      <c r="J670" t="n">
        <v>0</v>
      </c>
      <c r="K670" t="n">
        <v>0</v>
      </c>
      <c r="L670" t="n">
        <v>0</v>
      </c>
      <c r="M670" t="n">
        <v>0</v>
      </c>
      <c r="N670" t="n">
        <v>0</v>
      </c>
      <c r="O670" t="n">
        <v>0</v>
      </c>
      <c r="P670" t="n">
        <v>0</v>
      </c>
      <c r="Q670" t="n">
        <v>0</v>
      </c>
      <c r="R670" s="2" t="inlineStr"/>
    </row>
    <row r="671" ht="15" customHeight="1">
      <c r="A671" t="inlineStr">
        <is>
          <t>A 38153-2025</t>
        </is>
      </c>
      <c r="B671" s="1" t="n">
        <v>45882.59722222222</v>
      </c>
      <c r="C671" s="1" t="n">
        <v>45989</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46900-2025</t>
        </is>
      </c>
      <c r="B672" s="1" t="n">
        <v>45929.38712962963</v>
      </c>
      <c r="C672" s="1" t="n">
        <v>45989</v>
      </c>
      <c r="D672" t="inlineStr">
        <is>
          <t>STOCKHOLMS LÄN</t>
        </is>
      </c>
      <c r="E672" t="inlineStr">
        <is>
          <t>NORRTÄLJE</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21732-2023</t>
        </is>
      </c>
      <c r="B673" s="1" t="n">
        <v>45063</v>
      </c>
      <c r="C673" s="1" t="n">
        <v>45989</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56114-2025</t>
        </is>
      </c>
      <c r="B674" s="1" t="n">
        <v>45973.74474537037</v>
      </c>
      <c r="C674" s="1" t="n">
        <v>45989</v>
      </c>
      <c r="D674" t="inlineStr">
        <is>
          <t>STOCKHOLMS LÄN</t>
        </is>
      </c>
      <c r="E674" t="inlineStr">
        <is>
          <t>NORRTÄLJE</t>
        </is>
      </c>
      <c r="G674" t="n">
        <v>0.8</v>
      </c>
      <c r="H674" t="n">
        <v>0</v>
      </c>
      <c r="I674" t="n">
        <v>0</v>
      </c>
      <c r="J674" t="n">
        <v>0</v>
      </c>
      <c r="K674" t="n">
        <v>0</v>
      </c>
      <c r="L674" t="n">
        <v>0</v>
      </c>
      <c r="M674" t="n">
        <v>0</v>
      </c>
      <c r="N674" t="n">
        <v>0</v>
      </c>
      <c r="O674" t="n">
        <v>0</v>
      </c>
      <c r="P674" t="n">
        <v>0</v>
      </c>
      <c r="Q674" t="n">
        <v>0</v>
      </c>
      <c r="R674" s="2" t="inlineStr"/>
    </row>
    <row r="675" ht="15" customHeight="1">
      <c r="A675" t="inlineStr">
        <is>
          <t>A 7806-2025</t>
        </is>
      </c>
      <c r="B675" s="1" t="n">
        <v>45706.61178240741</v>
      </c>
      <c r="C675" s="1" t="n">
        <v>45989</v>
      </c>
      <c r="D675" t="inlineStr">
        <is>
          <t>STOCKHOLMS LÄN</t>
        </is>
      </c>
      <c r="E675" t="inlineStr">
        <is>
          <t>NORRTÄLJE</t>
        </is>
      </c>
      <c r="F675" t="inlineStr">
        <is>
          <t>Holmen skog AB</t>
        </is>
      </c>
      <c r="G675" t="n">
        <v>3.5</v>
      </c>
      <c r="H675" t="n">
        <v>0</v>
      </c>
      <c r="I675" t="n">
        <v>0</v>
      </c>
      <c r="J675" t="n">
        <v>0</v>
      </c>
      <c r="K675" t="n">
        <v>0</v>
      </c>
      <c r="L675" t="n">
        <v>0</v>
      </c>
      <c r="M675" t="n">
        <v>0</v>
      </c>
      <c r="N675" t="n">
        <v>0</v>
      </c>
      <c r="O675" t="n">
        <v>0</v>
      </c>
      <c r="P675" t="n">
        <v>0</v>
      </c>
      <c r="Q675" t="n">
        <v>0</v>
      </c>
      <c r="R675" s="2" t="inlineStr"/>
    </row>
    <row r="676" ht="15" customHeight="1">
      <c r="A676" t="inlineStr">
        <is>
          <t>A 38593-2025</t>
        </is>
      </c>
      <c r="B676" s="1" t="n">
        <v>45884.48696759259</v>
      </c>
      <c r="C676" s="1" t="n">
        <v>45989</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37444-2021</t>
        </is>
      </c>
      <c r="B677" s="1" t="n">
        <v>44398</v>
      </c>
      <c r="C677" s="1" t="n">
        <v>45989</v>
      </c>
      <c r="D677" t="inlineStr">
        <is>
          <t>STOCKHOLMS LÄN</t>
        </is>
      </c>
      <c r="E677" t="inlineStr">
        <is>
          <t>NORRTÄLJE</t>
        </is>
      </c>
      <c r="F677" t="inlineStr">
        <is>
          <t>Holmen skog AB</t>
        </is>
      </c>
      <c r="G677" t="n">
        <v>3.2</v>
      </c>
      <c r="H677" t="n">
        <v>0</v>
      </c>
      <c r="I677" t="n">
        <v>0</v>
      </c>
      <c r="J677" t="n">
        <v>0</v>
      </c>
      <c r="K677" t="n">
        <v>0</v>
      </c>
      <c r="L677" t="n">
        <v>0</v>
      </c>
      <c r="M677" t="n">
        <v>0</v>
      </c>
      <c r="N677" t="n">
        <v>0</v>
      </c>
      <c r="O677" t="n">
        <v>0</v>
      </c>
      <c r="P677" t="n">
        <v>0</v>
      </c>
      <c r="Q677" t="n">
        <v>0</v>
      </c>
      <c r="R677" s="2" t="inlineStr"/>
    </row>
    <row r="678" ht="15" customHeight="1">
      <c r="A678" t="inlineStr">
        <is>
          <t>A 47498-2025</t>
        </is>
      </c>
      <c r="B678" s="1" t="n">
        <v>45930.8134375</v>
      </c>
      <c r="C678" s="1" t="n">
        <v>45989</v>
      </c>
      <c r="D678" t="inlineStr">
        <is>
          <t>STOCKHOLMS LÄN</t>
        </is>
      </c>
      <c r="E678" t="inlineStr">
        <is>
          <t>NORRTÄLJE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45173-2023</t>
        </is>
      </c>
      <c r="B679" s="1" t="n">
        <v>45191</v>
      </c>
      <c r="C679" s="1" t="n">
        <v>45989</v>
      </c>
      <c r="D679" t="inlineStr">
        <is>
          <t>STOCKHOLMS LÄN</t>
        </is>
      </c>
      <c r="E679" t="inlineStr">
        <is>
          <t>NORRTÄLJE</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47496-2025</t>
        </is>
      </c>
      <c r="B680" s="1" t="n">
        <v>45930.79252314815</v>
      </c>
      <c r="C680" s="1" t="n">
        <v>45989</v>
      </c>
      <c r="D680" t="inlineStr">
        <is>
          <t>STOCKHOLMS LÄN</t>
        </is>
      </c>
      <c r="E680" t="inlineStr">
        <is>
          <t>NORRTÄLJE</t>
        </is>
      </c>
      <c r="F680" t="inlineStr">
        <is>
          <t>Holmen skog AB</t>
        </is>
      </c>
      <c r="G680" t="n">
        <v>0.9</v>
      </c>
      <c r="H680" t="n">
        <v>0</v>
      </c>
      <c r="I680" t="n">
        <v>0</v>
      </c>
      <c r="J680" t="n">
        <v>0</v>
      </c>
      <c r="K680" t="n">
        <v>0</v>
      </c>
      <c r="L680" t="n">
        <v>0</v>
      </c>
      <c r="M680" t="n">
        <v>0</v>
      </c>
      <c r="N680" t="n">
        <v>0</v>
      </c>
      <c r="O680" t="n">
        <v>0</v>
      </c>
      <c r="P680" t="n">
        <v>0</v>
      </c>
      <c r="Q680" t="n">
        <v>0</v>
      </c>
      <c r="R680" s="2" t="inlineStr"/>
    </row>
    <row r="681" ht="15" customHeight="1">
      <c r="A681" t="inlineStr">
        <is>
          <t>A 47497-2025</t>
        </is>
      </c>
      <c r="B681" s="1" t="n">
        <v>45930.80217592593</v>
      </c>
      <c r="C681" s="1" t="n">
        <v>45989</v>
      </c>
      <c r="D681" t="inlineStr">
        <is>
          <t>STOCKHOLMS LÄN</t>
        </is>
      </c>
      <c r="E681" t="inlineStr">
        <is>
          <t>NORRTÄLJE</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67921-2021</t>
        </is>
      </c>
      <c r="B682" s="1" t="n">
        <v>44525</v>
      </c>
      <c r="C682" s="1" t="n">
        <v>45989</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56207-2025</t>
        </is>
      </c>
      <c r="B683" s="1" t="n">
        <v>45974.47329861111</v>
      </c>
      <c r="C683" s="1" t="n">
        <v>45989</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row>
    <row r="684" ht="15" customHeight="1">
      <c r="A684" t="inlineStr">
        <is>
          <t>A 64137-2021</t>
        </is>
      </c>
      <c r="B684" s="1" t="n">
        <v>44510.51422453704</v>
      </c>
      <c r="C684" s="1" t="n">
        <v>45989</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38720-2022</t>
        </is>
      </c>
      <c r="B685" s="1" t="n">
        <v>44815.74539351852</v>
      </c>
      <c r="C685" s="1" t="n">
        <v>45989</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34432-2021</t>
        </is>
      </c>
      <c r="B686" s="1" t="n">
        <v>44380.77346064815</v>
      </c>
      <c r="C686" s="1" t="n">
        <v>45989</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19911-2025</t>
        </is>
      </c>
      <c r="B687" s="1" t="n">
        <v>45771</v>
      </c>
      <c r="C687" s="1" t="n">
        <v>45989</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48718-2025</t>
        </is>
      </c>
      <c r="B688" s="1" t="n">
        <v>45936</v>
      </c>
      <c r="C688" s="1" t="n">
        <v>45989</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14130-2025</t>
        </is>
      </c>
      <c r="B689" s="1" t="n">
        <v>45740.47288194444</v>
      </c>
      <c r="C689" s="1" t="n">
        <v>45989</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12532-2025</t>
        </is>
      </c>
      <c r="B690" s="1" t="n">
        <v>45730.69143518519</v>
      </c>
      <c r="C690" s="1" t="n">
        <v>45989</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48360-2025</t>
        </is>
      </c>
      <c r="B691" s="1" t="n">
        <v>45933.66253472222</v>
      </c>
      <c r="C691" s="1" t="n">
        <v>45989</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48370-2025</t>
        </is>
      </c>
      <c r="B692" s="1" t="n">
        <v>45933.67854166667</v>
      </c>
      <c r="C692" s="1" t="n">
        <v>45989</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40175-2024</t>
        </is>
      </c>
      <c r="B693" s="1" t="n">
        <v>45554.55707175926</v>
      </c>
      <c r="C693" s="1" t="n">
        <v>45989</v>
      </c>
      <c r="D693" t="inlineStr">
        <is>
          <t>STOCKHOLMS LÄN</t>
        </is>
      </c>
      <c r="E693" t="inlineStr">
        <is>
          <t>NORRTÄLJE</t>
        </is>
      </c>
      <c r="G693" t="n">
        <v>7.7</v>
      </c>
      <c r="H693" t="n">
        <v>0</v>
      </c>
      <c r="I693" t="n">
        <v>0</v>
      </c>
      <c r="J693" t="n">
        <v>0</v>
      </c>
      <c r="K693" t="n">
        <v>0</v>
      </c>
      <c r="L693" t="n">
        <v>0</v>
      </c>
      <c r="M693" t="n">
        <v>0</v>
      </c>
      <c r="N693" t="n">
        <v>0</v>
      </c>
      <c r="O693" t="n">
        <v>0</v>
      </c>
      <c r="P693" t="n">
        <v>0</v>
      </c>
      <c r="Q693" t="n">
        <v>0</v>
      </c>
      <c r="R693" s="2" t="inlineStr"/>
    </row>
    <row r="694" ht="15" customHeight="1">
      <c r="A694" t="inlineStr">
        <is>
          <t>A 16229-2022</t>
        </is>
      </c>
      <c r="B694" s="1" t="n">
        <v>44670.4190162037</v>
      </c>
      <c r="C694" s="1" t="n">
        <v>45989</v>
      </c>
      <c r="D694" t="inlineStr">
        <is>
          <t>STOCKHOLMS LÄN</t>
        </is>
      </c>
      <c r="E694" t="inlineStr">
        <is>
          <t>NORRTÄLJE</t>
        </is>
      </c>
      <c r="G694" t="n">
        <v>7.4</v>
      </c>
      <c r="H694" t="n">
        <v>0</v>
      </c>
      <c r="I694" t="n">
        <v>0</v>
      </c>
      <c r="J694" t="n">
        <v>0</v>
      </c>
      <c r="K694" t="n">
        <v>0</v>
      </c>
      <c r="L694" t="n">
        <v>0</v>
      </c>
      <c r="M694" t="n">
        <v>0</v>
      </c>
      <c r="N694" t="n">
        <v>0</v>
      </c>
      <c r="O694" t="n">
        <v>0</v>
      </c>
      <c r="P694" t="n">
        <v>0</v>
      </c>
      <c r="Q694" t="n">
        <v>0</v>
      </c>
      <c r="R694" s="2" t="inlineStr"/>
    </row>
    <row r="695" ht="15" customHeight="1">
      <c r="A695" t="inlineStr">
        <is>
          <t>A 46914-2022</t>
        </is>
      </c>
      <c r="B695" s="1" t="n">
        <v>44851</v>
      </c>
      <c r="C695" s="1" t="n">
        <v>45989</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20244-2025</t>
        </is>
      </c>
      <c r="B696" s="1" t="n">
        <v>45772.71221064815</v>
      </c>
      <c r="C696" s="1" t="n">
        <v>45989</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50143-2023</t>
        </is>
      </c>
      <c r="B697" s="1" t="n">
        <v>45215</v>
      </c>
      <c r="C697" s="1" t="n">
        <v>45989</v>
      </c>
      <c r="D697" t="inlineStr">
        <is>
          <t>STOCKHOLMS LÄN</t>
        </is>
      </c>
      <c r="E697" t="inlineStr">
        <is>
          <t>NORRTÄLJE</t>
        </is>
      </c>
      <c r="G697" t="n">
        <v>10.3</v>
      </c>
      <c r="H697" t="n">
        <v>0</v>
      </c>
      <c r="I697" t="n">
        <v>0</v>
      </c>
      <c r="J697" t="n">
        <v>0</v>
      </c>
      <c r="K697" t="n">
        <v>0</v>
      </c>
      <c r="L697" t="n">
        <v>0</v>
      </c>
      <c r="M697" t="n">
        <v>0</v>
      </c>
      <c r="N697" t="n">
        <v>0</v>
      </c>
      <c r="O697" t="n">
        <v>0</v>
      </c>
      <c r="P697" t="n">
        <v>0</v>
      </c>
      <c r="Q697" t="n">
        <v>0</v>
      </c>
      <c r="R697" s="2" t="inlineStr"/>
    </row>
    <row r="698" ht="15" customHeight="1">
      <c r="A698" t="inlineStr">
        <is>
          <t>A 48443-2025</t>
        </is>
      </c>
      <c r="B698" s="1" t="n">
        <v>45935.55326388889</v>
      </c>
      <c r="C698" s="1" t="n">
        <v>45989</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20015-2023</t>
        </is>
      </c>
      <c r="B699" s="1" t="n">
        <v>45054</v>
      </c>
      <c r="C699" s="1" t="n">
        <v>45989</v>
      </c>
      <c r="D699" t="inlineStr">
        <is>
          <t>STOCKHOLMS LÄN</t>
        </is>
      </c>
      <c r="E699" t="inlineStr">
        <is>
          <t>NORRTÄLJE</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48127-2025</t>
        </is>
      </c>
      <c r="B700" s="1" t="n">
        <v>45933.36621527778</v>
      </c>
      <c r="C700" s="1" t="n">
        <v>45989</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48364-2025</t>
        </is>
      </c>
      <c r="B701" s="1" t="n">
        <v>45933.66796296297</v>
      </c>
      <c r="C701" s="1" t="n">
        <v>45989</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48179-2025</t>
        </is>
      </c>
      <c r="B702" s="1" t="n">
        <v>45933.44907407407</v>
      </c>
      <c r="C702" s="1" t="n">
        <v>45989</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5027-2025</t>
        </is>
      </c>
      <c r="B703" s="1" t="n">
        <v>45691.41101851852</v>
      </c>
      <c r="C703" s="1" t="n">
        <v>45989</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8315-2025</t>
        </is>
      </c>
      <c r="B704" s="1" t="n">
        <v>45708.61761574074</v>
      </c>
      <c r="C704" s="1" t="n">
        <v>45989</v>
      </c>
      <c r="D704" t="inlineStr">
        <is>
          <t>STOCKHOLMS LÄN</t>
        </is>
      </c>
      <c r="E704" t="inlineStr">
        <is>
          <t>NORRTÄLJE</t>
        </is>
      </c>
      <c r="G704" t="n">
        <v>3.9</v>
      </c>
      <c r="H704" t="n">
        <v>0</v>
      </c>
      <c r="I704" t="n">
        <v>0</v>
      </c>
      <c r="J704" t="n">
        <v>0</v>
      </c>
      <c r="K704" t="n">
        <v>0</v>
      </c>
      <c r="L704" t="n">
        <v>0</v>
      </c>
      <c r="M704" t="n">
        <v>0</v>
      </c>
      <c r="N704" t="n">
        <v>0</v>
      </c>
      <c r="O704" t="n">
        <v>0</v>
      </c>
      <c r="P704" t="n">
        <v>0</v>
      </c>
      <c r="Q704" t="n">
        <v>0</v>
      </c>
      <c r="R704" s="2" t="inlineStr"/>
    </row>
    <row r="705" ht="15" customHeight="1">
      <c r="A705" t="inlineStr">
        <is>
          <t>A 48174-2025</t>
        </is>
      </c>
      <c r="B705" s="1" t="n">
        <v>45933.44230324074</v>
      </c>
      <c r="C705" s="1" t="n">
        <v>45989</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12251-2025</t>
        </is>
      </c>
      <c r="B706" s="1" t="n">
        <v>45729.60859953704</v>
      </c>
      <c r="C706" s="1" t="n">
        <v>45989</v>
      </c>
      <c r="D706" t="inlineStr">
        <is>
          <t>STOCKHOLMS LÄN</t>
        </is>
      </c>
      <c r="E706" t="inlineStr">
        <is>
          <t>NORRTÄLJE</t>
        </is>
      </c>
      <c r="F706" t="inlineStr">
        <is>
          <t>Holmen skog AB</t>
        </is>
      </c>
      <c r="G706" t="n">
        <v>5.9</v>
      </c>
      <c r="H706" t="n">
        <v>0</v>
      </c>
      <c r="I706" t="n">
        <v>0</v>
      </c>
      <c r="J706" t="n">
        <v>0</v>
      </c>
      <c r="K706" t="n">
        <v>0</v>
      </c>
      <c r="L706" t="n">
        <v>0</v>
      </c>
      <c r="M706" t="n">
        <v>0</v>
      </c>
      <c r="N706" t="n">
        <v>0</v>
      </c>
      <c r="O706" t="n">
        <v>0</v>
      </c>
      <c r="P706" t="n">
        <v>0</v>
      </c>
      <c r="Q706" t="n">
        <v>0</v>
      </c>
      <c r="R706" s="2" t="inlineStr"/>
    </row>
    <row r="707" ht="15" customHeight="1">
      <c r="A707" t="inlineStr">
        <is>
          <t>A 48593-2025</t>
        </is>
      </c>
      <c r="B707" s="1" t="n">
        <v>45936.4627662037</v>
      </c>
      <c r="C707" s="1" t="n">
        <v>45989</v>
      </c>
      <c r="D707" t="inlineStr">
        <is>
          <t>STOCKHOLMS LÄN</t>
        </is>
      </c>
      <c r="E707" t="inlineStr">
        <is>
          <t>NORRTÄLJE</t>
        </is>
      </c>
      <c r="G707" t="n">
        <v>4.2</v>
      </c>
      <c r="H707" t="n">
        <v>0</v>
      </c>
      <c r="I707" t="n">
        <v>0</v>
      </c>
      <c r="J707" t="n">
        <v>0</v>
      </c>
      <c r="K707" t="n">
        <v>0</v>
      </c>
      <c r="L707" t="n">
        <v>0</v>
      </c>
      <c r="M707" t="n">
        <v>0</v>
      </c>
      <c r="N707" t="n">
        <v>0</v>
      </c>
      <c r="O707" t="n">
        <v>0</v>
      </c>
      <c r="P707" t="n">
        <v>0</v>
      </c>
      <c r="Q707" t="n">
        <v>0</v>
      </c>
      <c r="R707" s="2" t="inlineStr"/>
    </row>
    <row r="708" ht="15" customHeight="1">
      <c r="A708" t="inlineStr">
        <is>
          <t>A 54776-2023</t>
        </is>
      </c>
      <c r="B708" s="1" t="n">
        <v>45236.46369212963</v>
      </c>
      <c r="C708" s="1" t="n">
        <v>45989</v>
      </c>
      <c r="D708" t="inlineStr">
        <is>
          <t>STOCKHOLMS LÄN</t>
        </is>
      </c>
      <c r="E708" t="inlineStr">
        <is>
          <t>NORRTÄLJE</t>
        </is>
      </c>
      <c r="G708" t="n">
        <v>0.3</v>
      </c>
      <c r="H708" t="n">
        <v>0</v>
      </c>
      <c r="I708" t="n">
        <v>0</v>
      </c>
      <c r="J708" t="n">
        <v>0</v>
      </c>
      <c r="K708" t="n">
        <v>0</v>
      </c>
      <c r="L708" t="n">
        <v>0</v>
      </c>
      <c r="M708" t="n">
        <v>0</v>
      </c>
      <c r="N708" t="n">
        <v>0</v>
      </c>
      <c r="O708" t="n">
        <v>0</v>
      </c>
      <c r="P708" t="n">
        <v>0</v>
      </c>
      <c r="Q708" t="n">
        <v>0</v>
      </c>
      <c r="R708" s="2" t="inlineStr"/>
    </row>
    <row r="709" ht="15" customHeight="1">
      <c r="A709" t="inlineStr">
        <is>
          <t>A 20144-2023</t>
        </is>
      </c>
      <c r="B709" s="1" t="n">
        <v>45055.43509259259</v>
      </c>
      <c r="C709" s="1" t="n">
        <v>45989</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49129-2025</t>
        </is>
      </c>
      <c r="B710" s="1" t="n">
        <v>45937.89517361111</v>
      </c>
      <c r="C710" s="1" t="n">
        <v>45989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13314-2025</t>
        </is>
      </c>
      <c r="B711" s="1" t="n">
        <v>45735.59287037037</v>
      </c>
      <c r="C711" s="1" t="n">
        <v>45989</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23056-2023</t>
        </is>
      </c>
      <c r="B712" s="1" t="n">
        <v>45075</v>
      </c>
      <c r="C712" s="1" t="n">
        <v>45989</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13172-2025</t>
        </is>
      </c>
      <c r="B713" s="1" t="n">
        <v>45735.36873842592</v>
      </c>
      <c r="C713" s="1" t="n">
        <v>45989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48780-2025</t>
        </is>
      </c>
      <c r="B714" s="1" t="n">
        <v>45937.30377314815</v>
      </c>
      <c r="C714" s="1" t="n">
        <v>45989</v>
      </c>
      <c r="D714" t="inlineStr">
        <is>
          <t>STOCKHOLMS LÄN</t>
        </is>
      </c>
      <c r="E714" t="inlineStr">
        <is>
          <t>NORRTÄLJE</t>
        </is>
      </c>
      <c r="G714" t="n">
        <v>7.7</v>
      </c>
      <c r="H714" t="n">
        <v>0</v>
      </c>
      <c r="I714" t="n">
        <v>0</v>
      </c>
      <c r="J714" t="n">
        <v>0</v>
      </c>
      <c r="K714" t="n">
        <v>0</v>
      </c>
      <c r="L714" t="n">
        <v>0</v>
      </c>
      <c r="M714" t="n">
        <v>0</v>
      </c>
      <c r="N714" t="n">
        <v>0</v>
      </c>
      <c r="O714" t="n">
        <v>0</v>
      </c>
      <c r="P714" t="n">
        <v>0</v>
      </c>
      <c r="Q714" t="n">
        <v>0</v>
      </c>
      <c r="R714" s="2" t="inlineStr"/>
    </row>
    <row r="715" ht="15" customHeight="1">
      <c r="A715" t="inlineStr">
        <is>
          <t>A 33279-2025</t>
        </is>
      </c>
      <c r="B715" s="1" t="n">
        <v>45840</v>
      </c>
      <c r="C715" s="1" t="n">
        <v>45989</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19025-2025</t>
        </is>
      </c>
      <c r="B716" s="1" t="n">
        <v>45764.6359837963</v>
      </c>
      <c r="C716" s="1" t="n">
        <v>45989</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5867-2022</t>
        </is>
      </c>
      <c r="B717" s="1" t="n">
        <v>44596.66335648148</v>
      </c>
      <c r="C717" s="1" t="n">
        <v>45989</v>
      </c>
      <c r="D717" t="inlineStr">
        <is>
          <t>STOCKHOLMS LÄN</t>
        </is>
      </c>
      <c r="E717" t="inlineStr">
        <is>
          <t>NORRTÄLJE</t>
        </is>
      </c>
      <c r="F717" t="inlineStr">
        <is>
          <t>Naturvårdsverket</t>
        </is>
      </c>
      <c r="G717" t="n">
        <v>1.6</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45989</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21731-2023</t>
        </is>
      </c>
      <c r="B719" s="1" t="n">
        <v>45063</v>
      </c>
      <c r="C719" s="1" t="n">
        <v>45989</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21745-2023</t>
        </is>
      </c>
      <c r="B720" s="1" t="n">
        <v>45065.55917824074</v>
      </c>
      <c r="C720" s="1" t="n">
        <v>45989</v>
      </c>
      <c r="D720" t="inlineStr">
        <is>
          <t>STOCKHOLMS LÄN</t>
        </is>
      </c>
      <c r="E720" t="inlineStr">
        <is>
          <t>NORRTÄLJE</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30221-2024</t>
        </is>
      </c>
      <c r="B721" s="1" t="n">
        <v>45490.45342592592</v>
      </c>
      <c r="C721" s="1" t="n">
        <v>45989</v>
      </c>
      <c r="D721" t="inlineStr">
        <is>
          <t>STOCKHOLMS LÄN</t>
        </is>
      </c>
      <c r="E721" t="inlineStr">
        <is>
          <t>NORRTÄLJE</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26365-2024</t>
        </is>
      </c>
      <c r="B722" s="1" t="n">
        <v>45469</v>
      </c>
      <c r="C722" s="1" t="n">
        <v>45989</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50602-2021</t>
        </is>
      </c>
      <c r="B723" s="1" t="n">
        <v>44459</v>
      </c>
      <c r="C723" s="1" t="n">
        <v>45989</v>
      </c>
      <c r="D723" t="inlineStr">
        <is>
          <t>STOCKHOLMS LÄN</t>
        </is>
      </c>
      <c r="E723" t="inlineStr">
        <is>
          <t>NORRTÄLJE</t>
        </is>
      </c>
      <c r="F723" t="inlineStr">
        <is>
          <t>Holmen skog AB</t>
        </is>
      </c>
      <c r="G723" t="n">
        <v>2</v>
      </c>
      <c r="H723" t="n">
        <v>0</v>
      </c>
      <c r="I723" t="n">
        <v>0</v>
      </c>
      <c r="J723" t="n">
        <v>0</v>
      </c>
      <c r="K723" t="n">
        <v>0</v>
      </c>
      <c r="L723" t="n">
        <v>0</v>
      </c>
      <c r="M723" t="n">
        <v>0</v>
      </c>
      <c r="N723" t="n">
        <v>0</v>
      </c>
      <c r="O723" t="n">
        <v>0</v>
      </c>
      <c r="P723" t="n">
        <v>0</v>
      </c>
      <c r="Q723" t="n">
        <v>0</v>
      </c>
      <c r="R723" s="2" t="inlineStr"/>
    </row>
    <row r="724" ht="15" customHeight="1">
      <c r="A724" t="inlineStr">
        <is>
          <t>A 48798-2021</t>
        </is>
      </c>
      <c r="B724" s="1" t="n">
        <v>44452</v>
      </c>
      <c r="C724" s="1" t="n">
        <v>45989</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57788-2025</t>
        </is>
      </c>
      <c r="B725" s="1" t="n">
        <v>45981.5778125</v>
      </c>
      <c r="C725" s="1" t="n">
        <v>45989</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49836-2025</t>
        </is>
      </c>
      <c r="B726" s="1" t="n">
        <v>45940.46862268518</v>
      </c>
      <c r="C726" s="1" t="n">
        <v>45989</v>
      </c>
      <c r="D726" t="inlineStr">
        <is>
          <t>STOCKHOLMS LÄN</t>
        </is>
      </c>
      <c r="E726" t="inlineStr">
        <is>
          <t>NORRTÄLJE</t>
        </is>
      </c>
      <c r="G726" t="n">
        <v>3.5</v>
      </c>
      <c r="H726" t="n">
        <v>0</v>
      </c>
      <c r="I726" t="n">
        <v>0</v>
      </c>
      <c r="J726" t="n">
        <v>0</v>
      </c>
      <c r="K726" t="n">
        <v>0</v>
      </c>
      <c r="L726" t="n">
        <v>0</v>
      </c>
      <c r="M726" t="n">
        <v>0</v>
      </c>
      <c r="N726" t="n">
        <v>0</v>
      </c>
      <c r="O726" t="n">
        <v>0</v>
      </c>
      <c r="P726" t="n">
        <v>0</v>
      </c>
      <c r="Q726" t="n">
        <v>0</v>
      </c>
      <c r="R726" s="2" t="inlineStr"/>
    </row>
    <row r="727" ht="15" customHeight="1">
      <c r="A727" t="inlineStr">
        <is>
          <t>A 55503-2025</t>
        </is>
      </c>
      <c r="B727" s="1" t="n">
        <v>45971</v>
      </c>
      <c r="C727" s="1" t="n">
        <v>45989</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58142-2025</t>
        </is>
      </c>
      <c r="B728" s="1" t="n">
        <v>45982.63791666667</v>
      </c>
      <c r="C728" s="1" t="n">
        <v>45989</v>
      </c>
      <c r="D728" t="inlineStr">
        <is>
          <t>STOCKHOLMS LÄN</t>
        </is>
      </c>
      <c r="E728" t="inlineStr">
        <is>
          <t>NORRTÄLJE</t>
        </is>
      </c>
      <c r="G728" t="n">
        <v>3.3</v>
      </c>
      <c r="H728" t="n">
        <v>0</v>
      </c>
      <c r="I728" t="n">
        <v>0</v>
      </c>
      <c r="J728" t="n">
        <v>0</v>
      </c>
      <c r="K728" t="n">
        <v>0</v>
      </c>
      <c r="L728" t="n">
        <v>0</v>
      </c>
      <c r="M728" t="n">
        <v>0</v>
      </c>
      <c r="N728" t="n">
        <v>0</v>
      </c>
      <c r="O728" t="n">
        <v>0</v>
      </c>
      <c r="P728" t="n">
        <v>0</v>
      </c>
      <c r="Q728" t="n">
        <v>0</v>
      </c>
      <c r="R728" s="2" t="inlineStr"/>
    </row>
    <row r="729" ht="15" customHeight="1">
      <c r="A729" t="inlineStr">
        <is>
          <t>A 57953-2025</t>
        </is>
      </c>
      <c r="B729" s="1" t="n">
        <v>45982.35016203704</v>
      </c>
      <c r="C729" s="1" t="n">
        <v>45989</v>
      </c>
      <c r="D729" t="inlineStr">
        <is>
          <t>STOCKHOLMS LÄN</t>
        </is>
      </c>
      <c r="E729" t="inlineStr">
        <is>
          <t>NORRTÄLJE</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30283-2022</t>
        </is>
      </c>
      <c r="B730" s="1" t="n">
        <v>44760</v>
      </c>
      <c r="C730" s="1" t="n">
        <v>45989</v>
      </c>
      <c r="D730" t="inlineStr">
        <is>
          <t>STOCKHOLMS LÄN</t>
        </is>
      </c>
      <c r="E730" t="inlineStr">
        <is>
          <t>NORRTÄLJE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30290-2022</t>
        </is>
      </c>
      <c r="B731" s="1" t="n">
        <v>44760</v>
      </c>
      <c r="C731" s="1" t="n">
        <v>45989</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38985-2022</t>
        </is>
      </c>
      <c r="B732" s="1" t="n">
        <v>44816</v>
      </c>
      <c r="C732" s="1" t="n">
        <v>45989</v>
      </c>
      <c r="D732" t="inlineStr">
        <is>
          <t>STOCKHOLMS LÄN</t>
        </is>
      </c>
      <c r="E732" t="inlineStr">
        <is>
          <t>NORRTÄLJE</t>
        </is>
      </c>
      <c r="G732" t="n">
        <v>10.1</v>
      </c>
      <c r="H732" t="n">
        <v>0</v>
      </c>
      <c r="I732" t="n">
        <v>0</v>
      </c>
      <c r="J732" t="n">
        <v>0</v>
      </c>
      <c r="K732" t="n">
        <v>0</v>
      </c>
      <c r="L732" t="n">
        <v>0</v>
      </c>
      <c r="M732" t="n">
        <v>0</v>
      </c>
      <c r="N732" t="n">
        <v>0</v>
      </c>
      <c r="O732" t="n">
        <v>0</v>
      </c>
      <c r="P732" t="n">
        <v>0</v>
      </c>
      <c r="Q732" t="n">
        <v>0</v>
      </c>
      <c r="R732" s="2" t="inlineStr"/>
    </row>
    <row r="733" ht="15" customHeight="1">
      <c r="A733" t="inlineStr">
        <is>
          <t>A 25625-2023</t>
        </is>
      </c>
      <c r="B733" s="1" t="n">
        <v>45089</v>
      </c>
      <c r="C733" s="1" t="n">
        <v>45989</v>
      </c>
      <c r="D733" t="inlineStr">
        <is>
          <t>STOCKHOLMS LÄN</t>
        </is>
      </c>
      <c r="E733" t="inlineStr">
        <is>
          <t>NORRTÄLJE</t>
        </is>
      </c>
      <c r="G733" t="n">
        <v>5.5</v>
      </c>
      <c r="H733" t="n">
        <v>0</v>
      </c>
      <c r="I733" t="n">
        <v>0</v>
      </c>
      <c r="J733" t="n">
        <v>0</v>
      </c>
      <c r="K733" t="n">
        <v>0</v>
      </c>
      <c r="L733" t="n">
        <v>0</v>
      </c>
      <c r="M733" t="n">
        <v>0</v>
      </c>
      <c r="N733" t="n">
        <v>0</v>
      </c>
      <c r="O733" t="n">
        <v>0</v>
      </c>
      <c r="P733" t="n">
        <v>0</v>
      </c>
      <c r="Q733" t="n">
        <v>0</v>
      </c>
      <c r="R733" s="2" t="inlineStr"/>
    </row>
    <row r="734" ht="15" customHeight="1">
      <c r="A734" t="inlineStr">
        <is>
          <t>A 14132-2025</t>
        </is>
      </c>
      <c r="B734" s="1" t="n">
        <v>45740.47550925926</v>
      </c>
      <c r="C734" s="1" t="n">
        <v>45989</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14133-2025</t>
        </is>
      </c>
      <c r="B735" s="1" t="n">
        <v>45740.47724537037</v>
      </c>
      <c r="C735" s="1" t="n">
        <v>45989</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7186-2024</t>
        </is>
      </c>
      <c r="B736" s="1" t="n">
        <v>45344</v>
      </c>
      <c r="C736" s="1" t="n">
        <v>45989</v>
      </c>
      <c r="D736" t="inlineStr">
        <is>
          <t>STOCKHOLMS LÄN</t>
        </is>
      </c>
      <c r="E736" t="inlineStr">
        <is>
          <t>NORRTÄLJE</t>
        </is>
      </c>
      <c r="G736" t="n">
        <v>4.9</v>
      </c>
      <c r="H736" t="n">
        <v>0</v>
      </c>
      <c r="I736" t="n">
        <v>0</v>
      </c>
      <c r="J736" t="n">
        <v>0</v>
      </c>
      <c r="K736" t="n">
        <v>0</v>
      </c>
      <c r="L736" t="n">
        <v>0</v>
      </c>
      <c r="M736" t="n">
        <v>0</v>
      </c>
      <c r="N736" t="n">
        <v>0</v>
      </c>
      <c r="O736" t="n">
        <v>0</v>
      </c>
      <c r="P736" t="n">
        <v>0</v>
      </c>
      <c r="Q736" t="n">
        <v>0</v>
      </c>
      <c r="R736" s="2" t="inlineStr"/>
    </row>
    <row r="737" ht="15" customHeight="1">
      <c r="A737" t="inlineStr">
        <is>
          <t>A 39202-2024</t>
        </is>
      </c>
      <c r="B737" s="1" t="n">
        <v>45548.72306712963</v>
      </c>
      <c r="C737" s="1" t="n">
        <v>45989</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50097-2025</t>
        </is>
      </c>
      <c r="B738" s="1" t="n">
        <v>45943.50207175926</v>
      </c>
      <c r="C738" s="1" t="n">
        <v>45989</v>
      </c>
      <c r="D738" t="inlineStr">
        <is>
          <t>STOCKHOLMS LÄN</t>
        </is>
      </c>
      <c r="E738" t="inlineStr">
        <is>
          <t>NORRTÄLJE</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58403-2025</t>
        </is>
      </c>
      <c r="B739" s="1" t="n">
        <v>45985.56777777777</v>
      </c>
      <c r="C739" s="1" t="n">
        <v>45989</v>
      </c>
      <c r="D739" t="inlineStr">
        <is>
          <t>STOCKHOLMS LÄN</t>
        </is>
      </c>
      <c r="E739" t="inlineStr">
        <is>
          <t>NORRTÄLJE</t>
        </is>
      </c>
      <c r="F739" t="inlineStr">
        <is>
          <t>Naturvårdsverket</t>
        </is>
      </c>
      <c r="G739" t="n">
        <v>13.5</v>
      </c>
      <c r="H739" t="n">
        <v>0</v>
      </c>
      <c r="I739" t="n">
        <v>0</v>
      </c>
      <c r="J739" t="n">
        <v>0</v>
      </c>
      <c r="K739" t="n">
        <v>0</v>
      </c>
      <c r="L739" t="n">
        <v>0</v>
      </c>
      <c r="M739" t="n">
        <v>0</v>
      </c>
      <c r="N739" t="n">
        <v>0</v>
      </c>
      <c r="O739" t="n">
        <v>0</v>
      </c>
      <c r="P739" t="n">
        <v>0</v>
      </c>
      <c r="Q739" t="n">
        <v>0</v>
      </c>
      <c r="R739" s="2" t="inlineStr"/>
    </row>
    <row r="740" ht="15" customHeight="1">
      <c r="A740" t="inlineStr">
        <is>
          <t>A 53792-2023</t>
        </is>
      </c>
      <c r="B740" s="1" t="n">
        <v>45231.34144675926</v>
      </c>
      <c r="C740" s="1" t="n">
        <v>45989</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28816-2023</t>
        </is>
      </c>
      <c r="B741" s="1" t="n">
        <v>45104</v>
      </c>
      <c r="C741" s="1" t="n">
        <v>45989</v>
      </c>
      <c r="D741" t="inlineStr">
        <is>
          <t>STOCKHOLMS LÄN</t>
        </is>
      </c>
      <c r="E741" t="inlineStr">
        <is>
          <t>NORRTÄLJE</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11280-2023</t>
        </is>
      </c>
      <c r="B742" s="1" t="n">
        <v>44992</v>
      </c>
      <c r="C742" s="1" t="n">
        <v>45989</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57442-2021</t>
        </is>
      </c>
      <c r="B743" s="1" t="n">
        <v>44483</v>
      </c>
      <c r="C743" s="1" t="n">
        <v>45989</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19952-2023</t>
        </is>
      </c>
      <c r="B744" s="1" t="n">
        <v>45054.54091435186</v>
      </c>
      <c r="C744" s="1" t="n">
        <v>45989</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19994-2023</t>
        </is>
      </c>
      <c r="B745" s="1" t="n">
        <v>45054</v>
      </c>
      <c r="C745" s="1" t="n">
        <v>45989</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29003-2023</t>
        </is>
      </c>
      <c r="B746" s="1" t="n">
        <v>45104</v>
      </c>
      <c r="C746" s="1" t="n">
        <v>45989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50333-2025</t>
        </is>
      </c>
      <c r="B747" s="1" t="n">
        <v>45944.47178240741</v>
      </c>
      <c r="C747" s="1" t="n">
        <v>45989</v>
      </c>
      <c r="D747" t="inlineStr">
        <is>
          <t>STOCKHOLMS LÄN</t>
        </is>
      </c>
      <c r="E747" t="inlineStr">
        <is>
          <t>NORRTÄLJE</t>
        </is>
      </c>
      <c r="G747" t="n">
        <v>4.2</v>
      </c>
      <c r="H747" t="n">
        <v>0</v>
      </c>
      <c r="I747" t="n">
        <v>0</v>
      </c>
      <c r="J747" t="n">
        <v>0</v>
      </c>
      <c r="K747" t="n">
        <v>0</v>
      </c>
      <c r="L747" t="n">
        <v>0</v>
      </c>
      <c r="M747" t="n">
        <v>0</v>
      </c>
      <c r="N747" t="n">
        <v>0</v>
      </c>
      <c r="O747" t="n">
        <v>0</v>
      </c>
      <c r="P747" t="n">
        <v>0</v>
      </c>
      <c r="Q747" t="n">
        <v>0</v>
      </c>
      <c r="R747" s="2" t="inlineStr"/>
    </row>
    <row r="748" ht="15" customHeight="1">
      <c r="A748" t="inlineStr">
        <is>
          <t>A 15956-2023</t>
        </is>
      </c>
      <c r="B748" s="1" t="n">
        <v>45022.61003472222</v>
      </c>
      <c r="C748" s="1" t="n">
        <v>45989</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50563-2025</t>
        </is>
      </c>
      <c r="B749" s="1" t="n">
        <v>45944</v>
      </c>
      <c r="C749" s="1" t="n">
        <v>45989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50327-2025</t>
        </is>
      </c>
      <c r="B750" s="1" t="n">
        <v>45944.46387731482</v>
      </c>
      <c r="C750" s="1" t="n">
        <v>45989</v>
      </c>
      <c r="D750" t="inlineStr">
        <is>
          <t>STOCKHOLMS LÄN</t>
        </is>
      </c>
      <c r="E750" t="inlineStr">
        <is>
          <t>NORRTÄLJE</t>
        </is>
      </c>
      <c r="G750" t="n">
        <v>0.3</v>
      </c>
      <c r="H750" t="n">
        <v>0</v>
      </c>
      <c r="I750" t="n">
        <v>0</v>
      </c>
      <c r="J750" t="n">
        <v>0</v>
      </c>
      <c r="K750" t="n">
        <v>0</v>
      </c>
      <c r="L750" t="n">
        <v>0</v>
      </c>
      <c r="M750" t="n">
        <v>0</v>
      </c>
      <c r="N750" t="n">
        <v>0</v>
      </c>
      <c r="O750" t="n">
        <v>0</v>
      </c>
      <c r="P750" t="n">
        <v>0</v>
      </c>
      <c r="Q750" t="n">
        <v>0</v>
      </c>
      <c r="R750" s="2" t="inlineStr"/>
    </row>
    <row r="751" ht="15" customHeight="1">
      <c r="A751" t="inlineStr">
        <is>
          <t>A 58939-2025</t>
        </is>
      </c>
      <c r="B751" s="1" t="n">
        <v>45987.5681712963</v>
      </c>
      <c r="C751" s="1" t="n">
        <v>45989</v>
      </c>
      <c r="D751" t="inlineStr">
        <is>
          <t>STOCKHOLMS LÄN</t>
        </is>
      </c>
      <c r="E751" t="inlineStr">
        <is>
          <t>NORRTÄLJE</t>
        </is>
      </c>
      <c r="G751" t="n">
        <v>2</v>
      </c>
      <c r="H751" t="n">
        <v>0</v>
      </c>
      <c r="I751" t="n">
        <v>0</v>
      </c>
      <c r="J751" t="n">
        <v>0</v>
      </c>
      <c r="K751" t="n">
        <v>0</v>
      </c>
      <c r="L751" t="n">
        <v>0</v>
      </c>
      <c r="M751" t="n">
        <v>0</v>
      </c>
      <c r="N751" t="n">
        <v>0</v>
      </c>
      <c r="O751" t="n">
        <v>0</v>
      </c>
      <c r="P751" t="n">
        <v>0</v>
      </c>
      <c r="Q751" t="n">
        <v>0</v>
      </c>
      <c r="R751" s="2" t="inlineStr"/>
    </row>
    <row r="752" ht="15" customHeight="1">
      <c r="A752" t="inlineStr">
        <is>
          <t>A 5950-2021</t>
        </is>
      </c>
      <c r="B752" s="1" t="n">
        <v>44231</v>
      </c>
      <c r="C752" s="1" t="n">
        <v>45989</v>
      </c>
      <c r="D752" t="inlineStr">
        <is>
          <t>STOCKHOLMS LÄN</t>
        </is>
      </c>
      <c r="E752" t="inlineStr">
        <is>
          <t>NORRTÄLJE</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53499-2025</t>
        </is>
      </c>
      <c r="B753" s="1" t="n">
        <v>45960</v>
      </c>
      <c r="C753" s="1" t="n">
        <v>45989</v>
      </c>
      <c r="D753" t="inlineStr">
        <is>
          <t>STOCKHOLMS LÄN</t>
        </is>
      </c>
      <c r="E753" t="inlineStr">
        <is>
          <t>NORRTÄLJE</t>
        </is>
      </c>
      <c r="G753" t="n">
        <v>23.8</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45989</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3383-2023</t>
        </is>
      </c>
      <c r="B755" s="1" t="n">
        <v>44949</v>
      </c>
      <c r="C755" s="1" t="n">
        <v>45989</v>
      </c>
      <c r="D755" t="inlineStr">
        <is>
          <t>STOCKHOLMS LÄN</t>
        </is>
      </c>
      <c r="E755" t="inlineStr">
        <is>
          <t>NORRTÄLJE</t>
        </is>
      </c>
      <c r="G755" t="n">
        <v>14.6</v>
      </c>
      <c r="H755" t="n">
        <v>0</v>
      </c>
      <c r="I755" t="n">
        <v>0</v>
      </c>
      <c r="J755" t="n">
        <v>0</v>
      </c>
      <c r="K755" t="n">
        <v>0</v>
      </c>
      <c r="L755" t="n">
        <v>0</v>
      </c>
      <c r="M755" t="n">
        <v>0</v>
      </c>
      <c r="N755" t="n">
        <v>0</v>
      </c>
      <c r="O755" t="n">
        <v>0</v>
      </c>
      <c r="P755" t="n">
        <v>0</v>
      </c>
      <c r="Q755" t="n">
        <v>0</v>
      </c>
      <c r="R755" s="2" t="inlineStr"/>
    </row>
    <row r="756" ht="15" customHeight="1">
      <c r="A756" t="inlineStr">
        <is>
          <t>A 4316-2023</t>
        </is>
      </c>
      <c r="B756" s="1" t="n">
        <v>44953.67443287037</v>
      </c>
      <c r="C756" s="1" t="n">
        <v>45989</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5839-2023</t>
        </is>
      </c>
      <c r="B757" s="1" t="n">
        <v>44963</v>
      </c>
      <c r="C757" s="1" t="n">
        <v>45989</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59041-2025</t>
        </is>
      </c>
      <c r="B758" s="1" t="n">
        <v>45988</v>
      </c>
      <c r="C758" s="1" t="n">
        <v>45989</v>
      </c>
      <c r="D758" t="inlineStr">
        <is>
          <t>STOCKHOLMS LÄN</t>
        </is>
      </c>
      <c r="E758" t="inlineStr">
        <is>
          <t>NORRTÄLJE</t>
        </is>
      </c>
      <c r="G758" t="n">
        <v>6.6</v>
      </c>
      <c r="H758" t="n">
        <v>0</v>
      </c>
      <c r="I758" t="n">
        <v>0</v>
      </c>
      <c r="J758" t="n">
        <v>0</v>
      </c>
      <c r="K758" t="n">
        <v>0</v>
      </c>
      <c r="L758" t="n">
        <v>0</v>
      </c>
      <c r="M758" t="n">
        <v>0</v>
      </c>
      <c r="N758" t="n">
        <v>0</v>
      </c>
      <c r="O758" t="n">
        <v>0</v>
      </c>
      <c r="P758" t="n">
        <v>0</v>
      </c>
      <c r="Q758" t="n">
        <v>0</v>
      </c>
      <c r="R758" s="2" t="inlineStr"/>
    </row>
    <row r="759" ht="15" customHeight="1">
      <c r="A759" t="inlineStr">
        <is>
          <t>A 5804-2025</t>
        </is>
      </c>
      <c r="B759" s="1" t="n">
        <v>45694.68207175926</v>
      </c>
      <c r="C759" s="1" t="n">
        <v>45989</v>
      </c>
      <c r="D759" t="inlineStr">
        <is>
          <t>STOCKHOLMS LÄN</t>
        </is>
      </c>
      <c r="E759" t="inlineStr">
        <is>
          <t>NORRTÄLJE</t>
        </is>
      </c>
      <c r="F759" t="inlineStr">
        <is>
          <t>Holmen skog AB</t>
        </is>
      </c>
      <c r="G759" t="n">
        <v>2.6</v>
      </c>
      <c r="H759" t="n">
        <v>0</v>
      </c>
      <c r="I759" t="n">
        <v>0</v>
      </c>
      <c r="J759" t="n">
        <v>0</v>
      </c>
      <c r="K759" t="n">
        <v>0</v>
      </c>
      <c r="L759" t="n">
        <v>0</v>
      </c>
      <c r="M759" t="n">
        <v>0</v>
      </c>
      <c r="N759" t="n">
        <v>0</v>
      </c>
      <c r="O759" t="n">
        <v>0</v>
      </c>
      <c r="P759" t="n">
        <v>0</v>
      </c>
      <c r="Q759" t="n">
        <v>0</v>
      </c>
      <c r="R759" s="2" t="inlineStr"/>
    </row>
    <row r="760" ht="15" customHeight="1">
      <c r="A760" t="inlineStr">
        <is>
          <t>A 24705-2023</t>
        </is>
      </c>
      <c r="B760" s="1" t="n">
        <v>45084.54459490741</v>
      </c>
      <c r="C760" s="1" t="n">
        <v>45989</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54358-2022</t>
        </is>
      </c>
      <c r="B761" s="1" t="n">
        <v>44882</v>
      </c>
      <c r="C761" s="1" t="n">
        <v>45989</v>
      </c>
      <c r="D761" t="inlineStr">
        <is>
          <t>STOCKHOLMS LÄN</t>
        </is>
      </c>
      <c r="E761" t="inlineStr">
        <is>
          <t>NORRTÄLJE</t>
        </is>
      </c>
      <c r="G761" t="n">
        <v>3.3</v>
      </c>
      <c r="H761" t="n">
        <v>0</v>
      </c>
      <c r="I761" t="n">
        <v>0</v>
      </c>
      <c r="J761" t="n">
        <v>0</v>
      </c>
      <c r="K761" t="n">
        <v>0</v>
      </c>
      <c r="L761" t="n">
        <v>0</v>
      </c>
      <c r="M761" t="n">
        <v>0</v>
      </c>
      <c r="N761" t="n">
        <v>0</v>
      </c>
      <c r="O761" t="n">
        <v>0</v>
      </c>
      <c r="P761" t="n">
        <v>0</v>
      </c>
      <c r="Q761" t="n">
        <v>0</v>
      </c>
      <c r="R761" s="2" t="inlineStr"/>
    </row>
    <row r="762" ht="15" customHeight="1">
      <c r="A762" t="inlineStr">
        <is>
          <t>A 23749-2024</t>
        </is>
      </c>
      <c r="B762" s="1" t="n">
        <v>45455.33037037037</v>
      </c>
      <c r="C762" s="1" t="n">
        <v>45989</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35698-2023</t>
        </is>
      </c>
      <c r="B763" s="1" t="n">
        <v>45147</v>
      </c>
      <c r="C763" s="1" t="n">
        <v>45989</v>
      </c>
      <c r="D763" t="inlineStr">
        <is>
          <t>STOCKHOLMS LÄN</t>
        </is>
      </c>
      <c r="E763" t="inlineStr">
        <is>
          <t>NORRTÄLJE</t>
        </is>
      </c>
      <c r="G763" t="n">
        <v>2.1</v>
      </c>
      <c r="H763" t="n">
        <v>0</v>
      </c>
      <c r="I763" t="n">
        <v>0</v>
      </c>
      <c r="J763" t="n">
        <v>0</v>
      </c>
      <c r="K763" t="n">
        <v>0</v>
      </c>
      <c r="L763" t="n">
        <v>0</v>
      </c>
      <c r="M763" t="n">
        <v>0</v>
      </c>
      <c r="N763" t="n">
        <v>0</v>
      </c>
      <c r="O763" t="n">
        <v>0</v>
      </c>
      <c r="P763" t="n">
        <v>0</v>
      </c>
      <c r="Q763" t="n">
        <v>0</v>
      </c>
      <c r="R763" s="2" t="inlineStr"/>
    </row>
    <row r="764" ht="15" customHeight="1">
      <c r="A764" t="inlineStr">
        <is>
          <t>A 73992-2021</t>
        </is>
      </c>
      <c r="B764" s="1" t="n">
        <v>44556</v>
      </c>
      <c r="C764" s="1" t="n">
        <v>45989</v>
      </c>
      <c r="D764" t="inlineStr">
        <is>
          <t>STOCKHOLMS LÄN</t>
        </is>
      </c>
      <c r="E764" t="inlineStr">
        <is>
          <t>NORRTÄLJE</t>
        </is>
      </c>
      <c r="G764" t="n">
        <v>12.5</v>
      </c>
      <c r="H764" t="n">
        <v>0</v>
      </c>
      <c r="I764" t="n">
        <v>0</v>
      </c>
      <c r="J764" t="n">
        <v>0</v>
      </c>
      <c r="K764" t="n">
        <v>0</v>
      </c>
      <c r="L764" t="n">
        <v>0</v>
      </c>
      <c r="M764" t="n">
        <v>0</v>
      </c>
      <c r="N764" t="n">
        <v>0</v>
      </c>
      <c r="O764" t="n">
        <v>0</v>
      </c>
      <c r="P764" t="n">
        <v>0</v>
      </c>
      <c r="Q764" t="n">
        <v>0</v>
      </c>
      <c r="R764" s="2" t="inlineStr"/>
    </row>
    <row r="765" ht="15" customHeight="1">
      <c r="A765" t="inlineStr">
        <is>
          <t>A 21329-2022</t>
        </is>
      </c>
      <c r="B765" s="1" t="n">
        <v>44705.60626157407</v>
      </c>
      <c r="C765" s="1" t="n">
        <v>45989</v>
      </c>
      <c r="D765" t="inlineStr">
        <is>
          <t>STOCKHOLMS LÄN</t>
        </is>
      </c>
      <c r="E765" t="inlineStr">
        <is>
          <t>NORRTÄLJE</t>
        </is>
      </c>
      <c r="G765" t="n">
        <v>4.1</v>
      </c>
      <c r="H765" t="n">
        <v>0</v>
      </c>
      <c r="I765" t="n">
        <v>0</v>
      </c>
      <c r="J765" t="n">
        <v>0</v>
      </c>
      <c r="K765" t="n">
        <v>0</v>
      </c>
      <c r="L765" t="n">
        <v>0</v>
      </c>
      <c r="M765" t="n">
        <v>0</v>
      </c>
      <c r="N765" t="n">
        <v>0</v>
      </c>
      <c r="O765" t="n">
        <v>0</v>
      </c>
      <c r="P765" t="n">
        <v>0</v>
      </c>
      <c r="Q765" t="n">
        <v>0</v>
      </c>
      <c r="R765" s="2" t="inlineStr"/>
    </row>
    <row r="766" ht="15" customHeight="1">
      <c r="A766" t="inlineStr">
        <is>
          <t>A 54276-2021</t>
        </is>
      </c>
      <c r="B766" s="1" t="n">
        <v>44470</v>
      </c>
      <c r="C766" s="1" t="n">
        <v>45989</v>
      </c>
      <c r="D766" t="inlineStr">
        <is>
          <t>STOCKHOLMS LÄN</t>
        </is>
      </c>
      <c r="E766" t="inlineStr">
        <is>
          <t>NORRTÄLJE</t>
        </is>
      </c>
      <c r="G766" t="n">
        <v>7.3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45989</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13785-2024</t>
        </is>
      </c>
      <c r="B768" s="1" t="n">
        <v>45391.3395949074</v>
      </c>
      <c r="C768" s="1" t="n">
        <v>45989</v>
      </c>
      <c r="D768" t="inlineStr">
        <is>
          <t>STOCKHOLMS LÄN</t>
        </is>
      </c>
      <c r="E768" t="inlineStr">
        <is>
          <t>NORRTÄLJE</t>
        </is>
      </c>
      <c r="G768" t="n">
        <v>5</v>
      </c>
      <c r="H768" t="n">
        <v>0</v>
      </c>
      <c r="I768" t="n">
        <v>0</v>
      </c>
      <c r="J768" t="n">
        <v>0</v>
      </c>
      <c r="K768" t="n">
        <v>0</v>
      </c>
      <c r="L768" t="n">
        <v>0</v>
      </c>
      <c r="M768" t="n">
        <v>0</v>
      </c>
      <c r="N768" t="n">
        <v>0</v>
      </c>
      <c r="O768" t="n">
        <v>0</v>
      </c>
      <c r="P768" t="n">
        <v>0</v>
      </c>
      <c r="Q768" t="n">
        <v>0</v>
      </c>
      <c r="R768" s="2" t="inlineStr"/>
    </row>
    <row r="769" ht="15" customHeight="1">
      <c r="A769" t="inlineStr">
        <is>
          <t>A 51116-2022</t>
        </is>
      </c>
      <c r="B769" s="1" t="n">
        <v>44868.45741898148</v>
      </c>
      <c r="C769" s="1" t="n">
        <v>45989</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29972-2024</t>
        </is>
      </c>
      <c r="B770" s="1" t="n">
        <v>45485</v>
      </c>
      <c r="C770" s="1" t="n">
        <v>45989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28809-2023</t>
        </is>
      </c>
      <c r="B771" s="1" t="n">
        <v>45104</v>
      </c>
      <c r="C771" s="1" t="n">
        <v>45989</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28813-2023</t>
        </is>
      </c>
      <c r="B772" s="1" t="n">
        <v>45104</v>
      </c>
      <c r="C772" s="1" t="n">
        <v>45989</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19131-2025</t>
        </is>
      </c>
      <c r="B773" s="1" t="n">
        <v>45769</v>
      </c>
      <c r="C773" s="1" t="n">
        <v>45989</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11929-2024</t>
        </is>
      </c>
      <c r="B774" s="1" t="n">
        <v>45376.64532407407</v>
      </c>
      <c r="C774" s="1" t="n">
        <v>45989</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64145-2021</t>
        </is>
      </c>
      <c r="B775" s="1" t="n">
        <v>44510</v>
      </c>
      <c r="C775" s="1" t="n">
        <v>45989</v>
      </c>
      <c r="D775" t="inlineStr">
        <is>
          <t>STOCKHOLMS LÄN</t>
        </is>
      </c>
      <c r="E775" t="inlineStr">
        <is>
          <t>NORRTÄLJE</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45451-2024</t>
        </is>
      </c>
      <c r="B776" s="1" t="n">
        <v>45576</v>
      </c>
      <c r="C776" s="1" t="n">
        <v>45989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17843-2024</t>
        </is>
      </c>
      <c r="B777" s="1" t="n">
        <v>45418</v>
      </c>
      <c r="C777" s="1" t="n">
        <v>45989</v>
      </c>
      <c r="D777" t="inlineStr">
        <is>
          <t>STOCKHOLMS LÄN</t>
        </is>
      </c>
      <c r="E777" t="inlineStr">
        <is>
          <t>NORRTÄLJE</t>
        </is>
      </c>
      <c r="G777" t="n">
        <v>5.4</v>
      </c>
      <c r="H777" t="n">
        <v>0</v>
      </c>
      <c r="I777" t="n">
        <v>0</v>
      </c>
      <c r="J777" t="n">
        <v>0</v>
      </c>
      <c r="K777" t="n">
        <v>0</v>
      </c>
      <c r="L777" t="n">
        <v>0</v>
      </c>
      <c r="M777" t="n">
        <v>0</v>
      </c>
      <c r="N777" t="n">
        <v>0</v>
      </c>
      <c r="O777" t="n">
        <v>0</v>
      </c>
      <c r="P777" t="n">
        <v>0</v>
      </c>
      <c r="Q777" t="n">
        <v>0</v>
      </c>
      <c r="R777" s="2" t="inlineStr"/>
    </row>
    <row r="778" ht="15" customHeight="1">
      <c r="A778" t="inlineStr">
        <is>
          <t>A 12890-2024</t>
        </is>
      </c>
      <c r="B778" s="1" t="n">
        <v>45385.36243055556</v>
      </c>
      <c r="C778" s="1" t="n">
        <v>45989</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36430-2024</t>
        </is>
      </c>
      <c r="B779" s="1" t="n">
        <v>45536</v>
      </c>
      <c r="C779" s="1" t="n">
        <v>45989</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41172-2023</t>
        </is>
      </c>
      <c r="B780" s="1" t="n">
        <v>45170</v>
      </c>
      <c r="C780" s="1" t="n">
        <v>45989</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67921-2021</t>
        </is>
      </c>
      <c r="B781" s="1" t="n">
        <v>44525</v>
      </c>
      <c r="C781" s="1" t="n">
        <v>45989</v>
      </c>
      <c r="D781" t="inlineStr">
        <is>
          <t>STOCKHOLMS LÄN</t>
        </is>
      </c>
      <c r="E781" t="inlineStr">
        <is>
          <t>NORRTÄLJE</t>
        </is>
      </c>
      <c r="G781" t="n">
        <v>6.3</v>
      </c>
      <c r="H781" t="n">
        <v>0</v>
      </c>
      <c r="I781" t="n">
        <v>0</v>
      </c>
      <c r="J781" t="n">
        <v>0</v>
      </c>
      <c r="K781" t="n">
        <v>0</v>
      </c>
      <c r="L781" t="n">
        <v>0</v>
      </c>
      <c r="M781" t="n">
        <v>0</v>
      </c>
      <c r="N781" t="n">
        <v>0</v>
      </c>
      <c r="O781" t="n">
        <v>0</v>
      </c>
      <c r="P781" t="n">
        <v>0</v>
      </c>
      <c r="Q781" t="n">
        <v>0</v>
      </c>
      <c r="R781" s="2" t="inlineStr"/>
    </row>
    <row r="782" ht="15" customHeight="1">
      <c r="A782" t="inlineStr">
        <is>
          <t>A 72704-2021</t>
        </is>
      </c>
      <c r="B782" s="1" t="n">
        <v>44546</v>
      </c>
      <c r="C782" s="1" t="n">
        <v>45989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65499-2021</t>
        </is>
      </c>
      <c r="B783" s="1" t="n">
        <v>44516</v>
      </c>
      <c r="C783" s="1" t="n">
        <v>45989</v>
      </c>
      <c r="D783" t="inlineStr">
        <is>
          <t>STOCKHOLMS LÄN</t>
        </is>
      </c>
      <c r="E783" t="inlineStr">
        <is>
          <t>NORRTÄLJE</t>
        </is>
      </c>
      <c r="F783" t="inlineStr">
        <is>
          <t>Kommuner</t>
        </is>
      </c>
      <c r="G783" t="n">
        <v>5.2</v>
      </c>
      <c r="H783" t="n">
        <v>0</v>
      </c>
      <c r="I783" t="n">
        <v>0</v>
      </c>
      <c r="J783" t="n">
        <v>0</v>
      </c>
      <c r="K783" t="n">
        <v>0</v>
      </c>
      <c r="L783" t="n">
        <v>0</v>
      </c>
      <c r="M783" t="n">
        <v>0</v>
      </c>
      <c r="N783" t="n">
        <v>0</v>
      </c>
      <c r="O783" t="n">
        <v>0</v>
      </c>
      <c r="P783" t="n">
        <v>0</v>
      </c>
      <c r="Q783" t="n">
        <v>0</v>
      </c>
      <c r="R783" s="2" t="inlineStr"/>
    </row>
    <row r="784" ht="15" customHeight="1">
      <c r="A784" t="inlineStr">
        <is>
          <t>A 65511-2021</t>
        </is>
      </c>
      <c r="B784" s="1" t="n">
        <v>44516.40674768519</v>
      </c>
      <c r="C784" s="1" t="n">
        <v>45989</v>
      </c>
      <c r="D784" t="inlineStr">
        <is>
          <t>STOCKHOLMS LÄN</t>
        </is>
      </c>
      <c r="E784" t="inlineStr">
        <is>
          <t>NORRTÄLJE</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26113-2024</t>
        </is>
      </c>
      <c r="B785" s="1" t="n">
        <v>45468.45541666666</v>
      </c>
      <c r="C785" s="1" t="n">
        <v>45989</v>
      </c>
      <c r="D785" t="inlineStr">
        <is>
          <t>STOCKHOLMS LÄN</t>
        </is>
      </c>
      <c r="E785" t="inlineStr">
        <is>
          <t>NORRTÄLJE</t>
        </is>
      </c>
      <c r="G785" t="n">
        <v>0.4</v>
      </c>
      <c r="H785" t="n">
        <v>0</v>
      </c>
      <c r="I785" t="n">
        <v>0</v>
      </c>
      <c r="J785" t="n">
        <v>0</v>
      </c>
      <c r="K785" t="n">
        <v>0</v>
      </c>
      <c r="L785" t="n">
        <v>0</v>
      </c>
      <c r="M785" t="n">
        <v>0</v>
      </c>
      <c r="N785" t="n">
        <v>0</v>
      </c>
      <c r="O785" t="n">
        <v>0</v>
      </c>
      <c r="P785" t="n">
        <v>0</v>
      </c>
      <c r="Q785" t="n">
        <v>0</v>
      </c>
      <c r="R785" s="2" t="inlineStr"/>
    </row>
    <row r="786" ht="15" customHeight="1">
      <c r="A786" t="inlineStr">
        <is>
          <t>A 26116-2024</t>
        </is>
      </c>
      <c r="B786" s="1" t="n">
        <v>45468.45747685185</v>
      </c>
      <c r="C786" s="1" t="n">
        <v>45989</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52686-2024</t>
        </is>
      </c>
      <c r="B787" s="1" t="n">
        <v>45610.39271990741</v>
      </c>
      <c r="C787" s="1" t="n">
        <v>45989</v>
      </c>
      <c r="D787" t="inlineStr">
        <is>
          <t>STOCKHOLMS LÄN</t>
        </is>
      </c>
      <c r="E787" t="inlineStr">
        <is>
          <t>NORRTÄLJE</t>
        </is>
      </c>
      <c r="G787" t="n">
        <v>5.7</v>
      </c>
      <c r="H787" t="n">
        <v>0</v>
      </c>
      <c r="I787" t="n">
        <v>0</v>
      </c>
      <c r="J787" t="n">
        <v>0</v>
      </c>
      <c r="K787" t="n">
        <v>0</v>
      </c>
      <c r="L787" t="n">
        <v>0</v>
      </c>
      <c r="M787" t="n">
        <v>0</v>
      </c>
      <c r="N787" t="n">
        <v>0</v>
      </c>
      <c r="O787" t="n">
        <v>0</v>
      </c>
      <c r="P787" t="n">
        <v>0</v>
      </c>
      <c r="Q787" t="n">
        <v>0</v>
      </c>
      <c r="R787" s="2" t="inlineStr"/>
    </row>
    <row r="788" ht="15" customHeight="1">
      <c r="A788" t="inlineStr">
        <is>
          <t>A 31105-2022</t>
        </is>
      </c>
      <c r="B788" s="1" t="n">
        <v>44769.66039351852</v>
      </c>
      <c r="C788" s="1" t="n">
        <v>45989</v>
      </c>
      <c r="D788" t="inlineStr">
        <is>
          <t>STOCKHOLMS LÄN</t>
        </is>
      </c>
      <c r="E788" t="inlineStr">
        <is>
          <t>NORRTÄLJE</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62644-2023</t>
        </is>
      </c>
      <c r="B789" s="1" t="n">
        <v>45271</v>
      </c>
      <c r="C789" s="1" t="n">
        <v>45989</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60185-2024</t>
        </is>
      </c>
      <c r="B790" s="1" t="n">
        <v>45642.64634259259</v>
      </c>
      <c r="C790" s="1" t="n">
        <v>45989</v>
      </c>
      <c r="D790" t="inlineStr">
        <is>
          <t>STOCKHOLMS LÄN</t>
        </is>
      </c>
      <c r="E790" t="inlineStr">
        <is>
          <t>NORRTÄLJE</t>
        </is>
      </c>
      <c r="G790" t="n">
        <v>0.3</v>
      </c>
      <c r="H790" t="n">
        <v>0</v>
      </c>
      <c r="I790" t="n">
        <v>0</v>
      </c>
      <c r="J790" t="n">
        <v>0</v>
      </c>
      <c r="K790" t="n">
        <v>0</v>
      </c>
      <c r="L790" t="n">
        <v>0</v>
      </c>
      <c r="M790" t="n">
        <v>0</v>
      </c>
      <c r="N790" t="n">
        <v>0</v>
      </c>
      <c r="O790" t="n">
        <v>0</v>
      </c>
      <c r="P790" t="n">
        <v>0</v>
      </c>
      <c r="Q790" t="n">
        <v>0</v>
      </c>
      <c r="R790" s="2" t="inlineStr"/>
    </row>
    <row r="791" ht="15" customHeight="1">
      <c r="A791" t="inlineStr">
        <is>
          <t>A 60765-2023</t>
        </is>
      </c>
      <c r="B791" s="1" t="n">
        <v>45260</v>
      </c>
      <c r="C791" s="1" t="n">
        <v>45989</v>
      </c>
      <c r="D791" t="inlineStr">
        <is>
          <t>STOCKHOLMS LÄN</t>
        </is>
      </c>
      <c r="E791" t="inlineStr">
        <is>
          <t>NORRTÄLJE</t>
        </is>
      </c>
      <c r="G791" t="n">
        <v>3.7</v>
      </c>
      <c r="H791" t="n">
        <v>0</v>
      </c>
      <c r="I791" t="n">
        <v>0</v>
      </c>
      <c r="J791" t="n">
        <v>0</v>
      </c>
      <c r="K791" t="n">
        <v>0</v>
      </c>
      <c r="L791" t="n">
        <v>0</v>
      </c>
      <c r="M791" t="n">
        <v>0</v>
      </c>
      <c r="N791" t="n">
        <v>0</v>
      </c>
      <c r="O791" t="n">
        <v>0</v>
      </c>
      <c r="P791" t="n">
        <v>0</v>
      </c>
      <c r="Q791" t="n">
        <v>0</v>
      </c>
      <c r="R791" s="2" t="inlineStr"/>
    </row>
    <row r="792" ht="15" customHeight="1">
      <c r="A792" t="inlineStr">
        <is>
          <t>A 12268-2022</t>
        </is>
      </c>
      <c r="B792" s="1" t="n">
        <v>44637</v>
      </c>
      <c r="C792" s="1" t="n">
        <v>45989</v>
      </c>
      <c r="D792" t="inlineStr">
        <is>
          <t>STOCKHOLMS LÄN</t>
        </is>
      </c>
      <c r="E792" t="inlineStr">
        <is>
          <t>NORRTÄLJE</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22832-2021</t>
        </is>
      </c>
      <c r="B793" s="1" t="n">
        <v>44325</v>
      </c>
      <c r="C793" s="1" t="n">
        <v>45989</v>
      </c>
      <c r="D793" t="inlineStr">
        <is>
          <t>STOCKHOLMS LÄN</t>
        </is>
      </c>
      <c r="E793" t="inlineStr">
        <is>
          <t>NORRTÄLJE</t>
        </is>
      </c>
      <c r="G793" t="n">
        <v>6.8</v>
      </c>
      <c r="H793" t="n">
        <v>0</v>
      </c>
      <c r="I793" t="n">
        <v>0</v>
      </c>
      <c r="J793" t="n">
        <v>0</v>
      </c>
      <c r="K793" t="n">
        <v>0</v>
      </c>
      <c r="L793" t="n">
        <v>0</v>
      </c>
      <c r="M793" t="n">
        <v>0</v>
      </c>
      <c r="N793" t="n">
        <v>0</v>
      </c>
      <c r="O793" t="n">
        <v>0</v>
      </c>
      <c r="P793" t="n">
        <v>0</v>
      </c>
      <c r="Q793" t="n">
        <v>0</v>
      </c>
      <c r="R793" s="2" t="inlineStr"/>
    </row>
    <row r="794" ht="15" customHeight="1">
      <c r="A794" t="inlineStr">
        <is>
          <t>A 51315-2021</t>
        </is>
      </c>
      <c r="B794" s="1" t="n">
        <v>44461</v>
      </c>
      <c r="C794" s="1" t="n">
        <v>45989</v>
      </c>
      <c r="D794" t="inlineStr">
        <is>
          <t>STOCKHOLMS LÄN</t>
        </is>
      </c>
      <c r="E794" t="inlineStr">
        <is>
          <t>NORRTÄLJE</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22008-2024</t>
        </is>
      </c>
      <c r="B795" s="1" t="n">
        <v>45443</v>
      </c>
      <c r="C795" s="1" t="n">
        <v>45989</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58277-2023</t>
        </is>
      </c>
      <c r="B796" s="1" t="n">
        <v>45245</v>
      </c>
      <c r="C796" s="1" t="n">
        <v>45989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9480-2025</t>
        </is>
      </c>
      <c r="B797" s="1" t="n">
        <v>45715</v>
      </c>
      <c r="C797" s="1" t="n">
        <v>45989</v>
      </c>
      <c r="D797" t="inlineStr">
        <is>
          <t>STOCKHOLMS LÄN</t>
        </is>
      </c>
      <c r="E797" t="inlineStr">
        <is>
          <t>NORRTÄLJE</t>
        </is>
      </c>
      <c r="F797" t="inlineStr">
        <is>
          <t>Övriga Aktiebolag</t>
        </is>
      </c>
      <c r="G797" t="n">
        <v>3.9</v>
      </c>
      <c r="H797" t="n">
        <v>0</v>
      </c>
      <c r="I797" t="n">
        <v>0</v>
      </c>
      <c r="J797" t="n">
        <v>0</v>
      </c>
      <c r="K797" t="n">
        <v>0</v>
      </c>
      <c r="L797" t="n">
        <v>0</v>
      </c>
      <c r="M797" t="n">
        <v>0</v>
      </c>
      <c r="N797" t="n">
        <v>0</v>
      </c>
      <c r="O797" t="n">
        <v>0</v>
      </c>
      <c r="P797" t="n">
        <v>0</v>
      </c>
      <c r="Q797" t="n">
        <v>0</v>
      </c>
      <c r="R797" s="2" t="inlineStr"/>
    </row>
    <row r="798" ht="15" customHeight="1">
      <c r="A798" t="inlineStr">
        <is>
          <t>A 4322-2023</t>
        </is>
      </c>
      <c r="B798" s="1" t="n">
        <v>44953.69298611111</v>
      </c>
      <c r="C798" s="1" t="n">
        <v>45989</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35916-2024</t>
        </is>
      </c>
      <c r="B799" s="1" t="n">
        <v>45533</v>
      </c>
      <c r="C799" s="1" t="n">
        <v>45989</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38889-2024</t>
        </is>
      </c>
      <c r="B800" s="1" t="n">
        <v>45547</v>
      </c>
      <c r="C800" s="1" t="n">
        <v>45989</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3299-2022</t>
        </is>
      </c>
      <c r="B801" s="1" t="n">
        <v>44584.91001157407</v>
      </c>
      <c r="C801" s="1" t="n">
        <v>45989</v>
      </c>
      <c r="D801" t="inlineStr">
        <is>
          <t>STOCKHOLMS LÄN</t>
        </is>
      </c>
      <c r="E801" t="inlineStr">
        <is>
          <t>NORRTÄLJE</t>
        </is>
      </c>
      <c r="G801" t="n">
        <v>2.7</v>
      </c>
      <c r="H801" t="n">
        <v>0</v>
      </c>
      <c r="I801" t="n">
        <v>0</v>
      </c>
      <c r="J801" t="n">
        <v>0</v>
      </c>
      <c r="K801" t="n">
        <v>0</v>
      </c>
      <c r="L801" t="n">
        <v>0</v>
      </c>
      <c r="M801" t="n">
        <v>0</v>
      </c>
      <c r="N801" t="n">
        <v>0</v>
      </c>
      <c r="O801" t="n">
        <v>0</v>
      </c>
      <c r="P801" t="n">
        <v>0</v>
      </c>
      <c r="Q801" t="n">
        <v>0</v>
      </c>
      <c r="R801" s="2" t="inlineStr"/>
    </row>
    <row r="802" ht="15" customHeight="1">
      <c r="A802" t="inlineStr">
        <is>
          <t>A 42075-2023</t>
        </is>
      </c>
      <c r="B802" s="1" t="n">
        <v>45177</v>
      </c>
      <c r="C802" s="1" t="n">
        <v>45989</v>
      </c>
      <c r="D802" t="inlineStr">
        <is>
          <t>STOCKHOLMS LÄN</t>
        </is>
      </c>
      <c r="E802" t="inlineStr">
        <is>
          <t>NORRTÄLJE</t>
        </is>
      </c>
      <c r="G802" t="n">
        <v>2.5</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45989</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50154-2024</t>
        </is>
      </c>
      <c r="B804" s="1" t="n">
        <v>45600.4558912037</v>
      </c>
      <c r="C804" s="1" t="n">
        <v>45989</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37273-2024</t>
        </is>
      </c>
      <c r="B805" s="1" t="n">
        <v>45540</v>
      </c>
      <c r="C805" s="1" t="n">
        <v>45989</v>
      </c>
      <c r="D805" t="inlineStr">
        <is>
          <t>STOCKHOLMS LÄN</t>
        </is>
      </c>
      <c r="E805" t="inlineStr">
        <is>
          <t>NORRTÄLJE</t>
        </is>
      </c>
      <c r="F805" t="inlineStr">
        <is>
          <t>Sveaskog</t>
        </is>
      </c>
      <c r="G805" t="n">
        <v>12.5</v>
      </c>
      <c r="H805" t="n">
        <v>0</v>
      </c>
      <c r="I805" t="n">
        <v>0</v>
      </c>
      <c r="J805" t="n">
        <v>0</v>
      </c>
      <c r="K805" t="n">
        <v>0</v>
      </c>
      <c r="L805" t="n">
        <v>0</v>
      </c>
      <c r="M805" t="n">
        <v>0</v>
      </c>
      <c r="N805" t="n">
        <v>0</v>
      </c>
      <c r="O805" t="n">
        <v>0</v>
      </c>
      <c r="P805" t="n">
        <v>0</v>
      </c>
      <c r="Q805" t="n">
        <v>0</v>
      </c>
      <c r="R805" s="2" t="inlineStr"/>
    </row>
    <row r="806" ht="15" customHeight="1">
      <c r="A806" t="inlineStr">
        <is>
          <t>A 34773-2022</t>
        </is>
      </c>
      <c r="B806" s="1" t="n">
        <v>44795</v>
      </c>
      <c r="C806" s="1" t="n">
        <v>45989</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23263-2023</t>
        </is>
      </c>
      <c r="B807" s="1" t="n">
        <v>45075</v>
      </c>
      <c r="C807" s="1" t="n">
        <v>45989</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23264-2023</t>
        </is>
      </c>
      <c r="B808" s="1" t="n">
        <v>45075</v>
      </c>
      <c r="C808" s="1" t="n">
        <v>45989</v>
      </c>
      <c r="D808" t="inlineStr">
        <is>
          <t>STOCKHOLMS LÄN</t>
        </is>
      </c>
      <c r="E808" t="inlineStr">
        <is>
          <t>NORRTÄLJE</t>
        </is>
      </c>
      <c r="G808" t="n">
        <v>2.9</v>
      </c>
      <c r="H808" t="n">
        <v>0</v>
      </c>
      <c r="I808" t="n">
        <v>0</v>
      </c>
      <c r="J808" t="n">
        <v>0</v>
      </c>
      <c r="K808" t="n">
        <v>0</v>
      </c>
      <c r="L808" t="n">
        <v>0</v>
      </c>
      <c r="M808" t="n">
        <v>0</v>
      </c>
      <c r="N808" t="n">
        <v>0</v>
      </c>
      <c r="O808" t="n">
        <v>0</v>
      </c>
      <c r="P808" t="n">
        <v>0</v>
      </c>
      <c r="Q808" t="n">
        <v>0</v>
      </c>
      <c r="R808" s="2" t="inlineStr"/>
    </row>
    <row r="809" ht="15" customHeight="1">
      <c r="A809" t="inlineStr">
        <is>
          <t>A 23267-2023</t>
        </is>
      </c>
      <c r="B809" s="1" t="n">
        <v>45075.90934027778</v>
      </c>
      <c r="C809" s="1" t="n">
        <v>45989</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25654-2023</t>
        </is>
      </c>
      <c r="B810" s="1" t="n">
        <v>45089</v>
      </c>
      <c r="C810" s="1" t="n">
        <v>45989</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47758-2023</t>
        </is>
      </c>
      <c r="B811" s="1" t="n">
        <v>45203.83891203703</v>
      </c>
      <c r="C811" s="1" t="n">
        <v>45989</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48151-2024</t>
        </is>
      </c>
      <c r="B812" s="1" t="n">
        <v>45589.68289351852</v>
      </c>
      <c r="C812" s="1" t="n">
        <v>45989</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5831-2022</t>
        </is>
      </c>
      <c r="B813" s="1" t="n">
        <v>44596</v>
      </c>
      <c r="C813" s="1" t="n">
        <v>45989</v>
      </c>
      <c r="D813" t="inlineStr">
        <is>
          <t>STOCKHOLMS LÄN</t>
        </is>
      </c>
      <c r="E813" t="inlineStr">
        <is>
          <t>NORRTÄLJE</t>
        </is>
      </c>
      <c r="G813" t="n">
        <v>4.8</v>
      </c>
      <c r="H813" t="n">
        <v>0</v>
      </c>
      <c r="I813" t="n">
        <v>0</v>
      </c>
      <c r="J813" t="n">
        <v>0</v>
      </c>
      <c r="K813" t="n">
        <v>0</v>
      </c>
      <c r="L813" t="n">
        <v>0</v>
      </c>
      <c r="M813" t="n">
        <v>0</v>
      </c>
      <c r="N813" t="n">
        <v>0</v>
      </c>
      <c r="O813" t="n">
        <v>0</v>
      </c>
      <c r="P813" t="n">
        <v>0</v>
      </c>
      <c r="Q813" t="n">
        <v>0</v>
      </c>
      <c r="R813" s="2" t="inlineStr"/>
    </row>
    <row r="814" ht="15" customHeight="1">
      <c r="A814" t="inlineStr">
        <is>
          <t>A 58853-2024</t>
        </is>
      </c>
      <c r="B814" s="1" t="n">
        <v>45636.38974537037</v>
      </c>
      <c r="C814" s="1" t="n">
        <v>45989</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59712-2024</t>
        </is>
      </c>
      <c r="B815" s="1" t="n">
        <v>45639.45166666667</v>
      </c>
      <c r="C815" s="1" t="n">
        <v>45989</v>
      </c>
      <c r="D815" t="inlineStr">
        <is>
          <t>STOCKHOLMS LÄN</t>
        </is>
      </c>
      <c r="E815" t="inlineStr">
        <is>
          <t>NORRTÄLJE</t>
        </is>
      </c>
      <c r="G815" t="n">
        <v>4.4</v>
      </c>
      <c r="H815" t="n">
        <v>0</v>
      </c>
      <c r="I815" t="n">
        <v>0</v>
      </c>
      <c r="J815" t="n">
        <v>0</v>
      </c>
      <c r="K815" t="n">
        <v>0</v>
      </c>
      <c r="L815" t="n">
        <v>0</v>
      </c>
      <c r="M815" t="n">
        <v>0</v>
      </c>
      <c r="N815" t="n">
        <v>0</v>
      </c>
      <c r="O815" t="n">
        <v>0</v>
      </c>
      <c r="P815" t="n">
        <v>0</v>
      </c>
      <c r="Q815" t="n">
        <v>0</v>
      </c>
      <c r="R815" s="2" t="inlineStr"/>
    </row>
    <row r="816" ht="15" customHeight="1">
      <c r="A816" t="inlineStr">
        <is>
          <t>A 59721-2024</t>
        </is>
      </c>
      <c r="B816" s="1" t="n">
        <v>45639.47385416667</v>
      </c>
      <c r="C816" s="1" t="n">
        <v>45989</v>
      </c>
      <c r="D816" t="inlineStr">
        <is>
          <t>STOCKHOLMS LÄN</t>
        </is>
      </c>
      <c r="E816" t="inlineStr">
        <is>
          <t>NORRTÄLJE</t>
        </is>
      </c>
      <c r="G816" t="n">
        <v>4.6</v>
      </c>
      <c r="H816" t="n">
        <v>0</v>
      </c>
      <c r="I816" t="n">
        <v>0</v>
      </c>
      <c r="J816" t="n">
        <v>0</v>
      </c>
      <c r="K816" t="n">
        <v>0</v>
      </c>
      <c r="L816" t="n">
        <v>0</v>
      </c>
      <c r="M816" t="n">
        <v>0</v>
      </c>
      <c r="N816" t="n">
        <v>0</v>
      </c>
      <c r="O816" t="n">
        <v>0</v>
      </c>
      <c r="P816" t="n">
        <v>0</v>
      </c>
      <c r="Q816" t="n">
        <v>0</v>
      </c>
      <c r="R816" s="2" t="inlineStr"/>
    </row>
    <row r="817" ht="15" customHeight="1">
      <c r="A817" t="inlineStr">
        <is>
          <t>A 60884-2024</t>
        </is>
      </c>
      <c r="B817" s="1" t="n">
        <v>45644.90815972222</v>
      </c>
      <c r="C817" s="1" t="n">
        <v>45989</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23150-2024</t>
        </is>
      </c>
      <c r="B818" s="1" t="n">
        <v>45450.64643518518</v>
      </c>
      <c r="C818" s="1" t="n">
        <v>45989</v>
      </c>
      <c r="D818" t="inlineStr">
        <is>
          <t>STOCKHOLMS LÄN</t>
        </is>
      </c>
      <c r="E818" t="inlineStr">
        <is>
          <t>NORRTÄLJE</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59878-2024</t>
        </is>
      </c>
      <c r="B819" s="1" t="n">
        <v>45640.60240740741</v>
      </c>
      <c r="C819" s="1" t="n">
        <v>45989</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50182-2024</t>
        </is>
      </c>
      <c r="B820" s="1" t="n">
        <v>45600.47275462963</v>
      </c>
      <c r="C820" s="1" t="n">
        <v>45989</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2549-2022</t>
        </is>
      </c>
      <c r="B821" s="1" t="n">
        <v>44580</v>
      </c>
      <c r="C821" s="1" t="n">
        <v>45989</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31140-2023</t>
        </is>
      </c>
      <c r="B822" s="1" t="n">
        <v>45113</v>
      </c>
      <c r="C822" s="1" t="n">
        <v>45989</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31149-2023</t>
        </is>
      </c>
      <c r="B823" s="1" t="n">
        <v>45113</v>
      </c>
      <c r="C823" s="1" t="n">
        <v>45989</v>
      </c>
      <c r="D823" t="inlineStr">
        <is>
          <t>STOCKHOLMS LÄN</t>
        </is>
      </c>
      <c r="E823" t="inlineStr">
        <is>
          <t>NORRTÄLJE</t>
        </is>
      </c>
      <c r="G823" t="n">
        <v>7.1</v>
      </c>
      <c r="H823" t="n">
        <v>0</v>
      </c>
      <c r="I823" t="n">
        <v>0</v>
      </c>
      <c r="J823" t="n">
        <v>0</v>
      </c>
      <c r="K823" t="n">
        <v>0</v>
      </c>
      <c r="L823" t="n">
        <v>0</v>
      </c>
      <c r="M823" t="n">
        <v>0</v>
      </c>
      <c r="N823" t="n">
        <v>0</v>
      </c>
      <c r="O823" t="n">
        <v>0</v>
      </c>
      <c r="P823" t="n">
        <v>0</v>
      </c>
      <c r="Q823" t="n">
        <v>0</v>
      </c>
      <c r="R823" s="2" t="inlineStr"/>
    </row>
    <row r="824" ht="15" customHeight="1">
      <c r="A824" t="inlineStr">
        <is>
          <t>A 16835-2022</t>
        </is>
      </c>
      <c r="B824" s="1" t="n">
        <v>44673</v>
      </c>
      <c r="C824" s="1" t="n">
        <v>45989</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13701-2022</t>
        </is>
      </c>
      <c r="B825" s="1" t="n">
        <v>44648</v>
      </c>
      <c r="C825" s="1" t="n">
        <v>45989</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13089-2022</t>
        </is>
      </c>
      <c r="B826" s="1" t="n">
        <v>44643</v>
      </c>
      <c r="C826" s="1" t="n">
        <v>45989</v>
      </c>
      <c r="D826" t="inlineStr">
        <is>
          <t>STOCKHOLMS LÄN</t>
        </is>
      </c>
      <c r="E826" t="inlineStr">
        <is>
          <t>NORRTÄLJE</t>
        </is>
      </c>
      <c r="G826" t="n">
        <v>4.5</v>
      </c>
      <c r="H826" t="n">
        <v>0</v>
      </c>
      <c r="I826" t="n">
        <v>0</v>
      </c>
      <c r="J826" t="n">
        <v>0</v>
      </c>
      <c r="K826" t="n">
        <v>0</v>
      </c>
      <c r="L826" t="n">
        <v>0</v>
      </c>
      <c r="M826" t="n">
        <v>0</v>
      </c>
      <c r="N826" t="n">
        <v>0</v>
      </c>
      <c r="O826" t="n">
        <v>0</v>
      </c>
      <c r="P826" t="n">
        <v>0</v>
      </c>
      <c r="Q826" t="n">
        <v>0</v>
      </c>
      <c r="R826" s="2" t="inlineStr"/>
    </row>
    <row r="827" ht="15" customHeight="1">
      <c r="A827" t="inlineStr">
        <is>
          <t>A 38759-2022</t>
        </is>
      </c>
      <c r="B827" s="1" t="n">
        <v>44816</v>
      </c>
      <c r="C827" s="1" t="n">
        <v>45989</v>
      </c>
      <c r="D827" t="inlineStr">
        <is>
          <t>STOCKHOLMS LÄN</t>
        </is>
      </c>
      <c r="E827" t="inlineStr">
        <is>
          <t>NORRTÄLJE</t>
        </is>
      </c>
      <c r="G827" t="n">
        <v>2.8</v>
      </c>
      <c r="H827" t="n">
        <v>0</v>
      </c>
      <c r="I827" t="n">
        <v>0</v>
      </c>
      <c r="J827" t="n">
        <v>0</v>
      </c>
      <c r="K827" t="n">
        <v>0</v>
      </c>
      <c r="L827" t="n">
        <v>0</v>
      </c>
      <c r="M827" t="n">
        <v>0</v>
      </c>
      <c r="N827" t="n">
        <v>0</v>
      </c>
      <c r="O827" t="n">
        <v>0</v>
      </c>
      <c r="P827" t="n">
        <v>0</v>
      </c>
      <c r="Q827" t="n">
        <v>0</v>
      </c>
      <c r="R827" s="2" t="inlineStr"/>
    </row>
    <row r="828" ht="15" customHeight="1">
      <c r="A828" t="inlineStr">
        <is>
          <t>A 23998-2024</t>
        </is>
      </c>
      <c r="B828" s="1" t="n">
        <v>45456</v>
      </c>
      <c r="C828" s="1" t="n">
        <v>45989</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54504-2024</t>
        </is>
      </c>
      <c r="B829" s="1" t="n">
        <v>45617.58453703704</v>
      </c>
      <c r="C829" s="1" t="n">
        <v>45989</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32595-2023</t>
        </is>
      </c>
      <c r="B830" s="1" t="n">
        <v>45121</v>
      </c>
      <c r="C830" s="1" t="n">
        <v>45989</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11332-2025</t>
        </is>
      </c>
      <c r="B831" s="1" t="n">
        <v>45726.48152777777</v>
      </c>
      <c r="C831" s="1" t="n">
        <v>45989</v>
      </c>
      <c r="D831" t="inlineStr">
        <is>
          <t>STOCKHOLMS LÄN</t>
        </is>
      </c>
      <c r="E831" t="inlineStr">
        <is>
          <t>NORRTÄLJE</t>
        </is>
      </c>
      <c r="G831" t="n">
        <v>4.6</v>
      </c>
      <c r="H831" t="n">
        <v>0</v>
      </c>
      <c r="I831" t="n">
        <v>0</v>
      </c>
      <c r="J831" t="n">
        <v>0</v>
      </c>
      <c r="K831" t="n">
        <v>0</v>
      </c>
      <c r="L831" t="n">
        <v>0</v>
      </c>
      <c r="M831" t="n">
        <v>0</v>
      </c>
      <c r="N831" t="n">
        <v>0</v>
      </c>
      <c r="O831" t="n">
        <v>0</v>
      </c>
      <c r="P831" t="n">
        <v>0</v>
      </c>
      <c r="Q831" t="n">
        <v>0</v>
      </c>
      <c r="R831" s="2" t="inlineStr"/>
    </row>
    <row r="832" ht="15" customHeight="1">
      <c r="A832" t="inlineStr">
        <is>
          <t>A 13718-2022</t>
        </is>
      </c>
      <c r="B832" s="1" t="n">
        <v>44649</v>
      </c>
      <c r="C832" s="1" t="n">
        <v>45989</v>
      </c>
      <c r="D832" t="inlineStr">
        <is>
          <t>STOCKHOLMS LÄN</t>
        </is>
      </c>
      <c r="E832" t="inlineStr">
        <is>
          <t>NORRTÄLJE</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54259-2023</t>
        </is>
      </c>
      <c r="B833" s="1" t="n">
        <v>45232</v>
      </c>
      <c r="C833" s="1" t="n">
        <v>45989</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13171-2025</t>
        </is>
      </c>
      <c r="B834" s="1" t="n">
        <v>45735.36594907408</v>
      </c>
      <c r="C834" s="1" t="n">
        <v>45989</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12299-2025</t>
        </is>
      </c>
      <c r="B835" s="1" t="n">
        <v>45729.71065972222</v>
      </c>
      <c r="C835" s="1" t="n">
        <v>45989</v>
      </c>
      <c r="D835" t="inlineStr">
        <is>
          <t>STOCKHOLMS LÄN</t>
        </is>
      </c>
      <c r="E835" t="inlineStr">
        <is>
          <t>NORRTÄLJE</t>
        </is>
      </c>
      <c r="F835" t="inlineStr">
        <is>
          <t>Holmen skog AB</t>
        </is>
      </c>
      <c r="G835" t="n">
        <v>6.9</v>
      </c>
      <c r="H835" t="n">
        <v>0</v>
      </c>
      <c r="I835" t="n">
        <v>0</v>
      </c>
      <c r="J835" t="n">
        <v>0</v>
      </c>
      <c r="K835" t="n">
        <v>0</v>
      </c>
      <c r="L835" t="n">
        <v>0</v>
      </c>
      <c r="M835" t="n">
        <v>0</v>
      </c>
      <c r="N835" t="n">
        <v>0</v>
      </c>
      <c r="O835" t="n">
        <v>0</v>
      </c>
      <c r="P835" t="n">
        <v>0</v>
      </c>
      <c r="Q835" t="n">
        <v>0</v>
      </c>
      <c r="R835" s="2" t="inlineStr"/>
    </row>
    <row r="836" ht="15" customHeight="1">
      <c r="A836" t="inlineStr">
        <is>
          <t>A 11900-2024</t>
        </is>
      </c>
      <c r="B836" s="1" t="n">
        <v>45376.55484953704</v>
      </c>
      <c r="C836" s="1" t="n">
        <v>45989</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43300-2023</t>
        </is>
      </c>
      <c r="B837" s="1" t="n">
        <v>45183</v>
      </c>
      <c r="C837" s="1" t="n">
        <v>45989</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13276-2022</t>
        </is>
      </c>
      <c r="B838" s="1" t="n">
        <v>44644</v>
      </c>
      <c r="C838" s="1" t="n">
        <v>45989</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11900-2022</t>
        </is>
      </c>
      <c r="B839" s="1" t="n">
        <v>44635</v>
      </c>
      <c r="C839" s="1" t="n">
        <v>45989</v>
      </c>
      <c r="D839" t="inlineStr">
        <is>
          <t>STOCKHOLMS LÄN</t>
        </is>
      </c>
      <c r="E839" t="inlineStr">
        <is>
          <t>NORRTÄLJE</t>
        </is>
      </c>
      <c r="G839" t="n">
        <v>2.4</v>
      </c>
      <c r="H839" t="n">
        <v>0</v>
      </c>
      <c r="I839" t="n">
        <v>0</v>
      </c>
      <c r="J839" t="n">
        <v>0</v>
      </c>
      <c r="K839" t="n">
        <v>0</v>
      </c>
      <c r="L839" t="n">
        <v>0</v>
      </c>
      <c r="M839" t="n">
        <v>0</v>
      </c>
      <c r="N839" t="n">
        <v>0</v>
      </c>
      <c r="O839" t="n">
        <v>0</v>
      </c>
      <c r="P839" t="n">
        <v>0</v>
      </c>
      <c r="Q839" t="n">
        <v>0</v>
      </c>
      <c r="R839" s="2" t="inlineStr"/>
    </row>
    <row r="840" ht="15" customHeight="1">
      <c r="A840" t="inlineStr">
        <is>
          <t>A 14724-2022</t>
        </is>
      </c>
      <c r="B840" s="1" t="n">
        <v>44656</v>
      </c>
      <c r="C840" s="1" t="n">
        <v>45989</v>
      </c>
      <c r="D840" t="inlineStr">
        <is>
          <t>STOCKHOLMS LÄN</t>
        </is>
      </c>
      <c r="E840" t="inlineStr">
        <is>
          <t>NORRTÄLJE</t>
        </is>
      </c>
      <c r="F840" t="inlineStr">
        <is>
          <t>Sveaskog</t>
        </is>
      </c>
      <c r="G840" t="n">
        <v>9</v>
      </c>
      <c r="H840" t="n">
        <v>0</v>
      </c>
      <c r="I840" t="n">
        <v>0</v>
      </c>
      <c r="J840" t="n">
        <v>0</v>
      </c>
      <c r="K840" t="n">
        <v>0</v>
      </c>
      <c r="L840" t="n">
        <v>0</v>
      </c>
      <c r="M840" t="n">
        <v>0</v>
      </c>
      <c r="N840" t="n">
        <v>0</v>
      </c>
      <c r="O840" t="n">
        <v>0</v>
      </c>
      <c r="P840" t="n">
        <v>0</v>
      </c>
      <c r="Q840" t="n">
        <v>0</v>
      </c>
      <c r="R840" s="2" t="inlineStr"/>
    </row>
    <row r="841" ht="15" customHeight="1">
      <c r="A841" t="inlineStr">
        <is>
          <t>A 4580-2025</t>
        </is>
      </c>
      <c r="B841" s="1" t="n">
        <v>45687.5038425926</v>
      </c>
      <c r="C841" s="1" t="n">
        <v>45989</v>
      </c>
      <c r="D841" t="inlineStr">
        <is>
          <t>STOCKHOLMS LÄN</t>
        </is>
      </c>
      <c r="E841" t="inlineStr">
        <is>
          <t>NORRTÄLJE</t>
        </is>
      </c>
      <c r="F841" t="inlineStr">
        <is>
          <t>Holmen skog AB</t>
        </is>
      </c>
      <c r="G841" t="n">
        <v>4.8</v>
      </c>
      <c r="H841" t="n">
        <v>0</v>
      </c>
      <c r="I841" t="n">
        <v>0</v>
      </c>
      <c r="J841" t="n">
        <v>0</v>
      </c>
      <c r="K841" t="n">
        <v>0</v>
      </c>
      <c r="L841" t="n">
        <v>0</v>
      </c>
      <c r="M841" t="n">
        <v>0</v>
      </c>
      <c r="N841" t="n">
        <v>0</v>
      </c>
      <c r="O841" t="n">
        <v>0</v>
      </c>
      <c r="P841" t="n">
        <v>0</v>
      </c>
      <c r="Q841" t="n">
        <v>0</v>
      </c>
      <c r="R841" s="2" t="inlineStr"/>
    </row>
    <row r="842" ht="15" customHeight="1">
      <c r="A842" t="inlineStr">
        <is>
          <t>A 16202-2022</t>
        </is>
      </c>
      <c r="B842" s="1" t="n">
        <v>44670</v>
      </c>
      <c r="C842" s="1" t="n">
        <v>45989</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6003-2025</t>
        </is>
      </c>
      <c r="B843" s="1" t="n">
        <v>45695.57881944445</v>
      </c>
      <c r="C843" s="1" t="n">
        <v>45989</v>
      </c>
      <c r="D843" t="inlineStr">
        <is>
          <t>STOCKHOLMS LÄN</t>
        </is>
      </c>
      <c r="E843" t="inlineStr">
        <is>
          <t>NORRTÄLJE</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52321-2024</t>
        </is>
      </c>
      <c r="B844" s="1" t="n">
        <v>45608</v>
      </c>
      <c r="C844" s="1" t="n">
        <v>45989</v>
      </c>
      <c r="D844" t="inlineStr">
        <is>
          <t>STOCKHOLMS LÄN</t>
        </is>
      </c>
      <c r="E844" t="inlineStr">
        <is>
          <t>NORRTÄLJE</t>
        </is>
      </c>
      <c r="G844" t="n">
        <v>18.1</v>
      </c>
      <c r="H844" t="n">
        <v>0</v>
      </c>
      <c r="I844" t="n">
        <v>0</v>
      </c>
      <c r="J844" t="n">
        <v>0</v>
      </c>
      <c r="K844" t="n">
        <v>0</v>
      </c>
      <c r="L844" t="n">
        <v>0</v>
      </c>
      <c r="M844" t="n">
        <v>0</v>
      </c>
      <c r="N844" t="n">
        <v>0</v>
      </c>
      <c r="O844" t="n">
        <v>0</v>
      </c>
      <c r="P844" t="n">
        <v>0</v>
      </c>
      <c r="Q844" t="n">
        <v>0</v>
      </c>
      <c r="R844" s="2" t="inlineStr"/>
    </row>
    <row r="845" ht="15" customHeight="1">
      <c r="A845" t="inlineStr">
        <is>
          <t>A 54558-2024</t>
        </is>
      </c>
      <c r="B845" s="1" t="n">
        <v>45617.62358796296</v>
      </c>
      <c r="C845" s="1" t="n">
        <v>45989</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22157-2023</t>
        </is>
      </c>
      <c r="B846" s="1" t="n">
        <v>45069</v>
      </c>
      <c r="C846" s="1" t="n">
        <v>45989</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c r="U846">
        <f>HYPERLINK("https://klasma.github.io/Logging_0188/knärot/A 22157-2023 karta knärot.png", "A 22157-2023")</f>
        <v/>
      </c>
      <c r="V846">
        <f>HYPERLINK("https://klasma.github.io/Logging_0188/klagomål/A 22157-2023 FSC-klagomål.docx", "A 22157-2023")</f>
        <v/>
      </c>
      <c r="W846">
        <f>HYPERLINK("https://klasma.github.io/Logging_0188/klagomålsmail/A 22157-2023 FSC-klagomål mail.docx", "A 22157-2023")</f>
        <v/>
      </c>
      <c r="X846">
        <f>HYPERLINK("https://klasma.github.io/Logging_0188/tillsyn/A 22157-2023 tillsynsbegäran.docx", "A 22157-2023")</f>
        <v/>
      </c>
      <c r="Y846">
        <f>HYPERLINK("https://klasma.github.io/Logging_0188/tillsynsmail/A 22157-2023 tillsynsbegäran mail.docx", "A 22157-2023")</f>
        <v/>
      </c>
    </row>
    <row r="847" ht="15" customHeight="1">
      <c r="A847" t="inlineStr">
        <is>
          <t>A 48633-2023</t>
        </is>
      </c>
      <c r="B847" s="1" t="n">
        <v>45208.58004629629</v>
      </c>
      <c r="C847" s="1" t="n">
        <v>45989</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47419-2023</t>
        </is>
      </c>
      <c r="B848" s="1" t="n">
        <v>45202.65660879629</v>
      </c>
      <c r="C848" s="1" t="n">
        <v>45989</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652-2025</t>
        </is>
      </c>
      <c r="B849" s="1" t="n">
        <v>45664</v>
      </c>
      <c r="C849" s="1" t="n">
        <v>45989</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10653-2022</t>
        </is>
      </c>
      <c r="B850" s="1" t="n">
        <v>44624.59434027778</v>
      </c>
      <c r="C850" s="1" t="n">
        <v>45989</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35695-2023</t>
        </is>
      </c>
      <c r="B851" s="1" t="n">
        <v>45147.65407407407</v>
      </c>
      <c r="C851" s="1" t="n">
        <v>45989</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18665-2022</t>
        </is>
      </c>
      <c r="B852" s="1" t="n">
        <v>44687</v>
      </c>
      <c r="C852" s="1" t="n">
        <v>45989</v>
      </c>
      <c r="D852" t="inlineStr">
        <is>
          <t>STOCKHOLMS LÄN</t>
        </is>
      </c>
      <c r="E852" t="inlineStr">
        <is>
          <t>NORRTÄLJE</t>
        </is>
      </c>
      <c r="F852" t="inlineStr">
        <is>
          <t>Kyrkan</t>
        </is>
      </c>
      <c r="G852" t="n">
        <v>1.1</v>
      </c>
      <c r="H852" t="n">
        <v>0</v>
      </c>
      <c r="I852" t="n">
        <v>0</v>
      </c>
      <c r="J852" t="n">
        <v>0</v>
      </c>
      <c r="K852" t="n">
        <v>0</v>
      </c>
      <c r="L852" t="n">
        <v>0</v>
      </c>
      <c r="M852" t="n">
        <v>0</v>
      </c>
      <c r="N852" t="n">
        <v>0</v>
      </c>
      <c r="O852" t="n">
        <v>0</v>
      </c>
      <c r="P852" t="n">
        <v>0</v>
      </c>
      <c r="Q852" t="n">
        <v>0</v>
      </c>
      <c r="R852" s="2" t="inlineStr"/>
    </row>
    <row r="853" ht="15" customHeight="1">
      <c r="A853" t="inlineStr">
        <is>
          <t>A 17574-2025</t>
        </is>
      </c>
      <c r="B853" s="1" t="n">
        <v>45757.65178240741</v>
      </c>
      <c r="C853" s="1" t="n">
        <v>45989</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20370-2025</t>
        </is>
      </c>
      <c r="B854" s="1" t="n">
        <v>45775.41451388889</v>
      </c>
      <c r="C854" s="1" t="n">
        <v>45989</v>
      </c>
      <c r="D854" t="inlineStr">
        <is>
          <t>STOCKHOLMS LÄN</t>
        </is>
      </c>
      <c r="E854" t="inlineStr">
        <is>
          <t>NORRTÄLJE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19982-2022</t>
        </is>
      </c>
      <c r="B855" s="1" t="n">
        <v>44697</v>
      </c>
      <c r="C855" s="1" t="n">
        <v>45989</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35438-2023</t>
        </is>
      </c>
      <c r="B856" s="1" t="n">
        <v>45146</v>
      </c>
      <c r="C856" s="1" t="n">
        <v>45989</v>
      </c>
      <c r="D856" t="inlineStr">
        <is>
          <t>STOCKHOLMS LÄN</t>
        </is>
      </c>
      <c r="E856" t="inlineStr">
        <is>
          <t>NORRTÄLJE</t>
        </is>
      </c>
      <c r="F856" t="inlineStr">
        <is>
          <t>Kommuner</t>
        </is>
      </c>
      <c r="G856" t="n">
        <v>1.9</v>
      </c>
      <c r="H856" t="n">
        <v>0</v>
      </c>
      <c r="I856" t="n">
        <v>0</v>
      </c>
      <c r="J856" t="n">
        <v>0</v>
      </c>
      <c r="K856" t="n">
        <v>0</v>
      </c>
      <c r="L856" t="n">
        <v>0</v>
      </c>
      <c r="M856" t="n">
        <v>0</v>
      </c>
      <c r="N856" t="n">
        <v>0</v>
      </c>
      <c r="O856" t="n">
        <v>0</v>
      </c>
      <c r="P856" t="n">
        <v>0</v>
      </c>
      <c r="Q856" t="n">
        <v>0</v>
      </c>
      <c r="R856" s="2" t="inlineStr"/>
    </row>
    <row r="857" ht="15" customHeight="1">
      <c r="A857" t="inlineStr">
        <is>
          <t>A 33878-2024</t>
        </is>
      </c>
      <c r="B857" s="1" t="n">
        <v>45522.44414351852</v>
      </c>
      <c r="C857" s="1" t="n">
        <v>45989</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4183-2025</t>
        </is>
      </c>
      <c r="B858" s="1" t="n">
        <v>45685.44592592592</v>
      </c>
      <c r="C858" s="1" t="n">
        <v>45989</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17556-2025</t>
        </is>
      </c>
      <c r="B859" s="1" t="n">
        <v>45757.62482638889</v>
      </c>
      <c r="C859" s="1" t="n">
        <v>45989</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41335-2023</t>
        </is>
      </c>
      <c r="B860" s="1" t="n">
        <v>45174.68702546296</v>
      </c>
      <c r="C860" s="1" t="n">
        <v>45989</v>
      </c>
      <c r="D860" t="inlineStr">
        <is>
          <t>STOCKHOLMS LÄN</t>
        </is>
      </c>
      <c r="E860" t="inlineStr">
        <is>
          <t>NORRTÄLJE</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4484-2025</t>
        </is>
      </c>
      <c r="B861" s="1" t="n">
        <v>45686.65545138889</v>
      </c>
      <c r="C861" s="1" t="n">
        <v>45989</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8419-2025</t>
        </is>
      </c>
      <c r="B862" s="1" t="n">
        <v>45709.40231481481</v>
      </c>
      <c r="C862" s="1" t="n">
        <v>45989</v>
      </c>
      <c r="D862" t="inlineStr">
        <is>
          <t>STOCKHOLMS LÄN</t>
        </is>
      </c>
      <c r="E862" t="inlineStr">
        <is>
          <t>NORRTÄLJE</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45989</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1654-2025</t>
        </is>
      </c>
      <c r="B864" s="1" t="n">
        <v>45670.65921296296</v>
      </c>
      <c r="C864" s="1" t="n">
        <v>45989</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48686-2023</t>
        </is>
      </c>
      <c r="B865" s="1" t="n">
        <v>45208</v>
      </c>
      <c r="C865" s="1" t="n">
        <v>45989</v>
      </c>
      <c r="D865" t="inlineStr">
        <is>
          <t>STOCKHOLMS LÄN</t>
        </is>
      </c>
      <c r="E865" t="inlineStr">
        <is>
          <t>NORRTÄLJE</t>
        </is>
      </c>
      <c r="G865" t="n">
        <v>6</v>
      </c>
      <c r="H865" t="n">
        <v>0</v>
      </c>
      <c r="I865" t="n">
        <v>0</v>
      </c>
      <c r="J865" t="n">
        <v>0</v>
      </c>
      <c r="K865" t="n">
        <v>0</v>
      </c>
      <c r="L865" t="n">
        <v>0</v>
      </c>
      <c r="M865" t="n">
        <v>0</v>
      </c>
      <c r="N865" t="n">
        <v>0</v>
      </c>
      <c r="O865" t="n">
        <v>0</v>
      </c>
      <c r="P865" t="n">
        <v>0</v>
      </c>
      <c r="Q865" t="n">
        <v>0</v>
      </c>
      <c r="R865" s="2" t="inlineStr"/>
    </row>
    <row r="866" ht="15" customHeight="1">
      <c r="A866" t="inlineStr">
        <is>
          <t>A 48691-2023</t>
        </is>
      </c>
      <c r="B866" s="1" t="n">
        <v>45208</v>
      </c>
      <c r="C866" s="1" t="n">
        <v>45989</v>
      </c>
      <c r="D866" t="inlineStr">
        <is>
          <t>STOCKHOLMS LÄN</t>
        </is>
      </c>
      <c r="E866" t="inlineStr">
        <is>
          <t>NORRTÄLJE</t>
        </is>
      </c>
      <c r="G866" t="n">
        <v>5.8</v>
      </c>
      <c r="H866" t="n">
        <v>0</v>
      </c>
      <c r="I866" t="n">
        <v>0</v>
      </c>
      <c r="J866" t="n">
        <v>0</v>
      </c>
      <c r="K866" t="n">
        <v>0</v>
      </c>
      <c r="L866" t="n">
        <v>0</v>
      </c>
      <c r="M866" t="n">
        <v>0</v>
      </c>
      <c r="N866" t="n">
        <v>0</v>
      </c>
      <c r="O866" t="n">
        <v>0</v>
      </c>
      <c r="P866" t="n">
        <v>0</v>
      </c>
      <c r="Q866" t="n">
        <v>0</v>
      </c>
      <c r="R866" s="2" t="inlineStr"/>
    </row>
    <row r="867" ht="15" customHeight="1">
      <c r="A867" t="inlineStr">
        <is>
          <t>A 55243-2023</t>
        </is>
      </c>
      <c r="B867" s="1" t="n">
        <v>45237</v>
      </c>
      <c r="C867" s="1" t="n">
        <v>45989</v>
      </c>
      <c r="D867" t="inlineStr">
        <is>
          <t>STOCKHOLMS LÄN</t>
        </is>
      </c>
      <c r="E867" t="inlineStr">
        <is>
          <t>NORRTÄLJE</t>
        </is>
      </c>
      <c r="G867" t="n">
        <v>6.5</v>
      </c>
      <c r="H867" t="n">
        <v>0</v>
      </c>
      <c r="I867" t="n">
        <v>0</v>
      </c>
      <c r="J867" t="n">
        <v>0</v>
      </c>
      <c r="K867" t="n">
        <v>0</v>
      </c>
      <c r="L867" t="n">
        <v>0</v>
      </c>
      <c r="M867" t="n">
        <v>0</v>
      </c>
      <c r="N867" t="n">
        <v>0</v>
      </c>
      <c r="O867" t="n">
        <v>0</v>
      </c>
      <c r="P867" t="n">
        <v>0</v>
      </c>
      <c r="Q867" t="n">
        <v>0</v>
      </c>
      <c r="R867" s="2" t="inlineStr"/>
    </row>
    <row r="868" ht="15" customHeight="1">
      <c r="A868" t="inlineStr">
        <is>
          <t>A 35210-2023</t>
        </is>
      </c>
      <c r="B868" s="1" t="n">
        <v>45145.63584490741</v>
      </c>
      <c r="C868" s="1" t="n">
        <v>45989</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6678-2025</t>
        </is>
      </c>
      <c r="B869" s="1" t="n">
        <v>45700</v>
      </c>
      <c r="C869" s="1" t="n">
        <v>45989</v>
      </c>
      <c r="D869" t="inlineStr">
        <is>
          <t>STOCKHOLMS LÄN</t>
        </is>
      </c>
      <c r="E869" t="inlineStr">
        <is>
          <t>NORRTÄLJE</t>
        </is>
      </c>
      <c r="F869" t="inlineStr">
        <is>
          <t>Övriga Aktiebolag</t>
        </is>
      </c>
      <c r="G869" t="n">
        <v>6.6</v>
      </c>
      <c r="H869" t="n">
        <v>0</v>
      </c>
      <c r="I869" t="n">
        <v>0</v>
      </c>
      <c r="J869" t="n">
        <v>0</v>
      </c>
      <c r="K869" t="n">
        <v>0</v>
      </c>
      <c r="L869" t="n">
        <v>0</v>
      </c>
      <c r="M869" t="n">
        <v>0</v>
      </c>
      <c r="N869" t="n">
        <v>0</v>
      </c>
      <c r="O869" t="n">
        <v>0</v>
      </c>
      <c r="P869" t="n">
        <v>0</v>
      </c>
      <c r="Q869" t="n">
        <v>0</v>
      </c>
      <c r="R869" s="2" t="inlineStr"/>
    </row>
    <row r="870" ht="15" customHeight="1">
      <c r="A870" t="inlineStr">
        <is>
          <t>A 17612-2022</t>
        </is>
      </c>
      <c r="B870" s="1" t="n">
        <v>44680</v>
      </c>
      <c r="C870" s="1" t="n">
        <v>45989</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58297-2023</t>
        </is>
      </c>
      <c r="B871" s="1" t="n">
        <v>45245</v>
      </c>
      <c r="C871" s="1" t="n">
        <v>45989</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21726-2022</t>
        </is>
      </c>
      <c r="B872" s="1" t="n">
        <v>44708</v>
      </c>
      <c r="C872" s="1" t="n">
        <v>45989</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21739-2022</t>
        </is>
      </c>
      <c r="B873" s="1" t="n">
        <v>44708.36708333333</v>
      </c>
      <c r="C873" s="1" t="n">
        <v>45989</v>
      </c>
      <c r="D873" t="inlineStr">
        <is>
          <t>STOCKHOLMS LÄN</t>
        </is>
      </c>
      <c r="E873" t="inlineStr">
        <is>
          <t>NORRTÄLJE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44746.58530092592</v>
      </c>
      <c r="C874" s="1" t="n">
        <v>45989</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3283-2025</t>
        </is>
      </c>
      <c r="B875" s="1" t="n">
        <v>45679</v>
      </c>
      <c r="C875" s="1" t="n">
        <v>45989</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18092-2022</t>
        </is>
      </c>
      <c r="B876" s="1" t="n">
        <v>44684</v>
      </c>
      <c r="C876" s="1" t="n">
        <v>45989</v>
      </c>
      <c r="D876" t="inlineStr">
        <is>
          <t>STOCKHOLMS LÄN</t>
        </is>
      </c>
      <c r="E876" t="inlineStr">
        <is>
          <t>NORRTÄLJE</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33295-2023</t>
        </is>
      </c>
      <c r="B877" s="1" t="n">
        <v>45127.69371527778</v>
      </c>
      <c r="C877" s="1" t="n">
        <v>45989</v>
      </c>
      <c r="D877" t="inlineStr">
        <is>
          <t>STOCKHOLMS LÄN</t>
        </is>
      </c>
      <c r="E877" t="inlineStr">
        <is>
          <t>NORRTÄLJE</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45989</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44743.67418981482</v>
      </c>
      <c r="C879" s="1" t="n">
        <v>45989</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25525-2022</t>
        </is>
      </c>
      <c r="B880" s="1" t="n">
        <v>44732</v>
      </c>
      <c r="C880" s="1" t="n">
        <v>45989</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48722-2023</t>
        </is>
      </c>
      <c r="B881" s="1" t="n">
        <v>45208.70996527778</v>
      </c>
      <c r="C881" s="1" t="n">
        <v>45989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67393-2020</t>
        </is>
      </c>
      <c r="B882" s="1" t="n">
        <v>44181</v>
      </c>
      <c r="C882" s="1" t="n">
        <v>45989</v>
      </c>
      <c r="D882" t="inlineStr">
        <is>
          <t>STOCKHOLMS LÄN</t>
        </is>
      </c>
      <c r="E882" t="inlineStr">
        <is>
          <t>NORRTÄLJE</t>
        </is>
      </c>
      <c r="G882" t="n">
        <v>5.5</v>
      </c>
      <c r="H882" t="n">
        <v>0</v>
      </c>
      <c r="I882" t="n">
        <v>0</v>
      </c>
      <c r="J882" t="n">
        <v>0</v>
      </c>
      <c r="K882" t="n">
        <v>0</v>
      </c>
      <c r="L882" t="n">
        <v>0</v>
      </c>
      <c r="M882" t="n">
        <v>0</v>
      </c>
      <c r="N882" t="n">
        <v>0</v>
      </c>
      <c r="O882" t="n">
        <v>0</v>
      </c>
      <c r="P882" t="n">
        <v>0</v>
      </c>
      <c r="Q882" t="n">
        <v>0</v>
      </c>
      <c r="R882" s="2" t="inlineStr"/>
    </row>
    <row r="883" ht="15" customHeight="1">
      <c r="A883" t="inlineStr">
        <is>
          <t>A 23801-2022</t>
        </is>
      </c>
      <c r="B883" s="1" t="n">
        <v>44722</v>
      </c>
      <c r="C883" s="1" t="n">
        <v>45989</v>
      </c>
      <c r="D883" t="inlineStr">
        <is>
          <t>STOCKHOLMS LÄN</t>
        </is>
      </c>
      <c r="E883" t="inlineStr">
        <is>
          <t>NORRTÄLJE</t>
        </is>
      </c>
      <c r="G883" t="n">
        <v>6.8</v>
      </c>
      <c r="H883" t="n">
        <v>0</v>
      </c>
      <c r="I883" t="n">
        <v>0</v>
      </c>
      <c r="J883" t="n">
        <v>0</v>
      </c>
      <c r="K883" t="n">
        <v>0</v>
      </c>
      <c r="L883" t="n">
        <v>0</v>
      </c>
      <c r="M883" t="n">
        <v>0</v>
      </c>
      <c r="N883" t="n">
        <v>0</v>
      </c>
      <c r="O883" t="n">
        <v>0</v>
      </c>
      <c r="P883" t="n">
        <v>0</v>
      </c>
      <c r="Q883" t="n">
        <v>0</v>
      </c>
      <c r="R883" s="2" t="inlineStr"/>
    </row>
    <row r="884" ht="15" customHeight="1">
      <c r="A884" t="inlineStr">
        <is>
          <t>A 33353-2023</t>
        </is>
      </c>
      <c r="B884" s="1" t="n">
        <v>45128</v>
      </c>
      <c r="C884" s="1" t="n">
        <v>45989</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35708-2022</t>
        </is>
      </c>
      <c r="B885" s="1" t="n">
        <v>44799.65013888889</v>
      </c>
      <c r="C885" s="1" t="n">
        <v>45989</v>
      </c>
      <c r="D885" t="inlineStr">
        <is>
          <t>STOCKHOLMS LÄN</t>
        </is>
      </c>
      <c r="E885" t="inlineStr">
        <is>
          <t>NORRTÄLJE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3426-2025</t>
        </is>
      </c>
      <c r="B886" s="1" t="n">
        <v>45680.42665509259</v>
      </c>
      <c r="C886" s="1" t="n">
        <v>45989</v>
      </c>
      <c r="D886" t="inlineStr">
        <is>
          <t>STOCKHOLMS LÄN</t>
        </is>
      </c>
      <c r="E886" t="inlineStr">
        <is>
          <t>NORRTÄLJE</t>
        </is>
      </c>
      <c r="G886" t="n">
        <v>3.2</v>
      </c>
      <c r="H886" t="n">
        <v>0</v>
      </c>
      <c r="I886" t="n">
        <v>0</v>
      </c>
      <c r="J886" t="n">
        <v>0</v>
      </c>
      <c r="K886" t="n">
        <v>0</v>
      </c>
      <c r="L886" t="n">
        <v>0</v>
      </c>
      <c r="M886" t="n">
        <v>0</v>
      </c>
      <c r="N886" t="n">
        <v>0</v>
      </c>
      <c r="O886" t="n">
        <v>0</v>
      </c>
      <c r="P886" t="n">
        <v>0</v>
      </c>
      <c r="Q886" t="n">
        <v>0</v>
      </c>
      <c r="R886" s="2" t="inlineStr"/>
    </row>
    <row r="887" ht="15" customHeight="1">
      <c r="A887" t="inlineStr">
        <is>
          <t>A 9-2024</t>
        </is>
      </c>
      <c r="B887" s="1" t="n">
        <v>45293</v>
      </c>
      <c r="C887" s="1" t="n">
        <v>45989</v>
      </c>
      <c r="D887" t="inlineStr">
        <is>
          <t>STOCKHOLMS LÄN</t>
        </is>
      </c>
      <c r="E887" t="inlineStr">
        <is>
          <t>NORRTÄLJE</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51312-2023</t>
        </is>
      </c>
      <c r="B888" s="1" t="n">
        <v>45219.56697916667</v>
      </c>
      <c r="C888" s="1" t="n">
        <v>45989</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11849-2025</t>
        </is>
      </c>
      <c r="B889" s="1" t="n">
        <v>45728.38409722222</v>
      </c>
      <c r="C889" s="1" t="n">
        <v>45989</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38610-2022</t>
        </is>
      </c>
      <c r="B890" s="1" t="n">
        <v>44813.59915509259</v>
      </c>
      <c r="C890" s="1" t="n">
        <v>45989</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22816-2021</t>
        </is>
      </c>
      <c r="B891" s="1" t="n">
        <v>44325</v>
      </c>
      <c r="C891" s="1" t="n">
        <v>45989</v>
      </c>
      <c r="D891" t="inlineStr">
        <is>
          <t>STOCKHOLMS LÄN</t>
        </is>
      </c>
      <c r="E891" t="inlineStr">
        <is>
          <t>NORRTÄLJE</t>
        </is>
      </c>
      <c r="G891" t="n">
        <v>4.5</v>
      </c>
      <c r="H891" t="n">
        <v>0</v>
      </c>
      <c r="I891" t="n">
        <v>0</v>
      </c>
      <c r="J891" t="n">
        <v>0</v>
      </c>
      <c r="K891" t="n">
        <v>0</v>
      </c>
      <c r="L891" t="n">
        <v>0</v>
      </c>
      <c r="M891" t="n">
        <v>0</v>
      </c>
      <c r="N891" t="n">
        <v>0</v>
      </c>
      <c r="O891" t="n">
        <v>0</v>
      </c>
      <c r="P891" t="n">
        <v>0</v>
      </c>
      <c r="Q891" t="n">
        <v>0</v>
      </c>
      <c r="R891" s="2" t="inlineStr"/>
    </row>
    <row r="892" ht="15" customHeight="1">
      <c r="A892" t="inlineStr">
        <is>
          <t>A 59468-2023</t>
        </is>
      </c>
      <c r="B892" s="1" t="n">
        <v>45254.41509259259</v>
      </c>
      <c r="C892" s="1" t="n">
        <v>45989</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18846-2022</t>
        </is>
      </c>
      <c r="B893" s="1" t="n">
        <v>44690</v>
      </c>
      <c r="C893" s="1" t="n">
        <v>45989</v>
      </c>
      <c r="D893" t="inlineStr">
        <is>
          <t>STOCKHOLMS LÄN</t>
        </is>
      </c>
      <c r="E893" t="inlineStr">
        <is>
          <t>NORRTÄLJE</t>
        </is>
      </c>
      <c r="G893" t="n">
        <v>7</v>
      </c>
      <c r="H893" t="n">
        <v>0</v>
      </c>
      <c r="I893" t="n">
        <v>0</v>
      </c>
      <c r="J893" t="n">
        <v>0</v>
      </c>
      <c r="K893" t="n">
        <v>0</v>
      </c>
      <c r="L893" t="n">
        <v>0</v>
      </c>
      <c r="M893" t="n">
        <v>0</v>
      </c>
      <c r="N893" t="n">
        <v>0</v>
      </c>
      <c r="O893" t="n">
        <v>0</v>
      </c>
      <c r="P893" t="n">
        <v>0</v>
      </c>
      <c r="Q893" t="n">
        <v>0</v>
      </c>
      <c r="R893" s="2" t="inlineStr"/>
    </row>
    <row r="894" ht="15" customHeight="1">
      <c r="A894" t="inlineStr">
        <is>
          <t>A 12535-2025</t>
        </is>
      </c>
      <c r="B894" s="1" t="n">
        <v>45730.69502314815</v>
      </c>
      <c r="C894" s="1" t="n">
        <v>45989</v>
      </c>
      <c r="D894" t="inlineStr">
        <is>
          <t>STOCKHOLMS LÄN</t>
        </is>
      </c>
      <c r="E894" t="inlineStr">
        <is>
          <t>NORRTÄLJE</t>
        </is>
      </c>
      <c r="G894" t="n">
        <v>7.1</v>
      </c>
      <c r="H894" t="n">
        <v>0</v>
      </c>
      <c r="I894" t="n">
        <v>0</v>
      </c>
      <c r="J894" t="n">
        <v>0</v>
      </c>
      <c r="K894" t="n">
        <v>0</v>
      </c>
      <c r="L894" t="n">
        <v>0</v>
      </c>
      <c r="M894" t="n">
        <v>0</v>
      </c>
      <c r="N894" t="n">
        <v>0</v>
      </c>
      <c r="O894" t="n">
        <v>0</v>
      </c>
      <c r="P894" t="n">
        <v>0</v>
      </c>
      <c r="Q894" t="n">
        <v>0</v>
      </c>
      <c r="R894" s="2" t="inlineStr"/>
    </row>
    <row r="895" ht="15" customHeight="1">
      <c r="A895" t="inlineStr">
        <is>
          <t>A 574-2023</t>
        </is>
      </c>
      <c r="B895" s="1" t="n">
        <v>44925</v>
      </c>
      <c r="C895" s="1" t="n">
        <v>45989</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37010-2022</t>
        </is>
      </c>
      <c r="B896" s="1" t="n">
        <v>44806.41576388889</v>
      </c>
      <c r="C896" s="1" t="n">
        <v>45989</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45989</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45989</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14559-2024</t>
        </is>
      </c>
      <c r="B899" s="1" t="n">
        <v>45394.72869212963</v>
      </c>
      <c r="C899" s="1" t="n">
        <v>45989</v>
      </c>
      <c r="D899" t="inlineStr">
        <is>
          <t>STOCKHOLMS LÄN</t>
        </is>
      </c>
      <c r="E899" t="inlineStr">
        <is>
          <t>NORRTÄLJE</t>
        </is>
      </c>
      <c r="G899" t="n">
        <v>4.2</v>
      </c>
      <c r="H899" t="n">
        <v>0</v>
      </c>
      <c r="I899" t="n">
        <v>0</v>
      </c>
      <c r="J899" t="n">
        <v>0</v>
      </c>
      <c r="K899" t="n">
        <v>0</v>
      </c>
      <c r="L899" t="n">
        <v>0</v>
      </c>
      <c r="M899" t="n">
        <v>0</v>
      </c>
      <c r="N899" t="n">
        <v>0</v>
      </c>
      <c r="O899" t="n">
        <v>0</v>
      </c>
      <c r="P899" t="n">
        <v>0</v>
      </c>
      <c r="Q899" t="n">
        <v>0</v>
      </c>
      <c r="R899" s="2" t="inlineStr"/>
    </row>
    <row r="900" ht="15" customHeight="1">
      <c r="A900" t="inlineStr">
        <is>
          <t>A 11-2024</t>
        </is>
      </c>
      <c r="B900" s="1" t="n">
        <v>45293</v>
      </c>
      <c r="C900" s="1" t="n">
        <v>45989</v>
      </c>
      <c r="D900" t="inlineStr">
        <is>
          <t>STOCKHOLMS LÄN</t>
        </is>
      </c>
      <c r="E900" t="inlineStr">
        <is>
          <t>NORRTÄLJE</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15256-2023</t>
        </is>
      </c>
      <c r="B901" s="1" t="n">
        <v>45019.3959837963</v>
      </c>
      <c r="C901" s="1" t="n">
        <v>45989</v>
      </c>
      <c r="D901" t="inlineStr">
        <is>
          <t>STOCKHOLMS LÄN</t>
        </is>
      </c>
      <c r="E901" t="inlineStr">
        <is>
          <t>NORRTÄLJE</t>
        </is>
      </c>
      <c r="G901" t="n">
        <v>2.4</v>
      </c>
      <c r="H901" t="n">
        <v>0</v>
      </c>
      <c r="I901" t="n">
        <v>0</v>
      </c>
      <c r="J901" t="n">
        <v>0</v>
      </c>
      <c r="K901" t="n">
        <v>0</v>
      </c>
      <c r="L901" t="n">
        <v>0</v>
      </c>
      <c r="M901" t="n">
        <v>0</v>
      </c>
      <c r="N901" t="n">
        <v>0</v>
      </c>
      <c r="O901" t="n">
        <v>0</v>
      </c>
      <c r="P901" t="n">
        <v>0</v>
      </c>
      <c r="Q901" t="n">
        <v>0</v>
      </c>
      <c r="R901" s="2" t="inlineStr"/>
    </row>
    <row r="902" ht="15" customHeight="1">
      <c r="A902" t="inlineStr">
        <is>
          <t>A 7413-2024</t>
        </is>
      </c>
      <c r="B902" s="1" t="n">
        <v>45345.6059837963</v>
      </c>
      <c r="C902" s="1" t="n">
        <v>45989</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58040-2024</t>
        </is>
      </c>
      <c r="B903" s="1" t="n">
        <v>45631.73952546297</v>
      </c>
      <c r="C903" s="1" t="n">
        <v>45989</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58041-2024</t>
        </is>
      </c>
      <c r="B904" s="1" t="n">
        <v>45631.74673611111</v>
      </c>
      <c r="C904" s="1" t="n">
        <v>45989</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31057-2022</t>
        </is>
      </c>
      <c r="B905" s="1" t="n">
        <v>44769</v>
      </c>
      <c r="C905" s="1" t="n">
        <v>45989</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3143-2021</t>
        </is>
      </c>
      <c r="B906" s="1" t="n">
        <v>44217.40149305556</v>
      </c>
      <c r="C906" s="1" t="n">
        <v>45989</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25619-2022</t>
        </is>
      </c>
      <c r="B907" s="1" t="n">
        <v>44732</v>
      </c>
      <c r="C907" s="1" t="n">
        <v>45989</v>
      </c>
      <c r="D907" t="inlineStr">
        <is>
          <t>STOCKHOLMS LÄN</t>
        </is>
      </c>
      <c r="E907" t="inlineStr">
        <is>
          <t>NORRTÄLJE</t>
        </is>
      </c>
      <c r="G907" t="n">
        <v>3.9</v>
      </c>
      <c r="H907" t="n">
        <v>0</v>
      </c>
      <c r="I907" t="n">
        <v>0</v>
      </c>
      <c r="J907" t="n">
        <v>0</v>
      </c>
      <c r="K907" t="n">
        <v>0</v>
      </c>
      <c r="L907" t="n">
        <v>0</v>
      </c>
      <c r="M907" t="n">
        <v>0</v>
      </c>
      <c r="N907" t="n">
        <v>0</v>
      </c>
      <c r="O907" t="n">
        <v>0</v>
      </c>
      <c r="P907" t="n">
        <v>0</v>
      </c>
      <c r="Q907" t="n">
        <v>0</v>
      </c>
      <c r="R907" s="2" t="inlineStr"/>
    </row>
    <row r="908" ht="15" customHeight="1">
      <c r="A908" t="inlineStr">
        <is>
          <t>A 15422-2024</t>
        </is>
      </c>
      <c r="B908" s="1" t="n">
        <v>45401.3653125</v>
      </c>
      <c r="C908" s="1" t="n">
        <v>45989</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48716-2023</t>
        </is>
      </c>
      <c r="B909" s="1" t="n">
        <v>45208.69671296296</v>
      </c>
      <c r="C909" s="1" t="n">
        <v>45989</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55369-2023</t>
        </is>
      </c>
      <c r="B910" s="1" t="n">
        <v>45238</v>
      </c>
      <c r="C910" s="1" t="n">
        <v>45989</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20121-2022</t>
        </is>
      </c>
      <c r="B911" s="1" t="n">
        <v>44698</v>
      </c>
      <c r="C911" s="1" t="n">
        <v>45989</v>
      </c>
      <c r="D911" t="inlineStr">
        <is>
          <t>STOCKHOLMS LÄN</t>
        </is>
      </c>
      <c r="E911" t="inlineStr">
        <is>
          <t>NORRTÄLJE</t>
        </is>
      </c>
      <c r="G911" t="n">
        <v>4.2</v>
      </c>
      <c r="H911" t="n">
        <v>0</v>
      </c>
      <c r="I911" t="n">
        <v>0</v>
      </c>
      <c r="J911" t="n">
        <v>0</v>
      </c>
      <c r="K911" t="n">
        <v>0</v>
      </c>
      <c r="L911" t="n">
        <v>0</v>
      </c>
      <c r="M911" t="n">
        <v>0</v>
      </c>
      <c r="N911" t="n">
        <v>0</v>
      </c>
      <c r="O911" t="n">
        <v>0</v>
      </c>
      <c r="P911" t="n">
        <v>0</v>
      </c>
      <c r="Q911" t="n">
        <v>0</v>
      </c>
      <c r="R911" s="2" t="inlineStr"/>
    </row>
    <row r="912" ht="15" customHeight="1">
      <c r="A912" t="inlineStr">
        <is>
          <t>A 26407-2024</t>
        </is>
      </c>
      <c r="B912" s="1" t="n">
        <v>45469</v>
      </c>
      <c r="C912" s="1" t="n">
        <v>45989</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10098-2022</t>
        </is>
      </c>
      <c r="B913" s="1" t="n">
        <v>44621</v>
      </c>
      <c r="C913" s="1" t="n">
        <v>45989</v>
      </c>
      <c r="D913" t="inlineStr">
        <is>
          <t>STOCKHOLMS LÄN</t>
        </is>
      </c>
      <c r="E913" t="inlineStr">
        <is>
          <t>NORRTÄLJE</t>
        </is>
      </c>
      <c r="G913" t="n">
        <v>2.2</v>
      </c>
      <c r="H913" t="n">
        <v>0</v>
      </c>
      <c r="I913" t="n">
        <v>0</v>
      </c>
      <c r="J913" t="n">
        <v>0</v>
      </c>
      <c r="K913" t="n">
        <v>0</v>
      </c>
      <c r="L913" t="n">
        <v>0</v>
      </c>
      <c r="M913" t="n">
        <v>0</v>
      </c>
      <c r="N913" t="n">
        <v>0</v>
      </c>
      <c r="O913" t="n">
        <v>0</v>
      </c>
      <c r="P913" t="n">
        <v>0</v>
      </c>
      <c r="Q913" t="n">
        <v>0</v>
      </c>
      <c r="R913" s="2" t="inlineStr"/>
    </row>
    <row r="914" ht="15" customHeight="1">
      <c r="A914" t="inlineStr">
        <is>
          <t>A 49700-2023</t>
        </is>
      </c>
      <c r="B914" s="1" t="n">
        <v>45212</v>
      </c>
      <c r="C914" s="1" t="n">
        <v>45989</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59875-2024</t>
        </is>
      </c>
      <c r="B915" s="1" t="n">
        <v>45640.58716435185</v>
      </c>
      <c r="C915" s="1" t="n">
        <v>45989</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45220-2024</t>
        </is>
      </c>
      <c r="B916" s="1" t="n">
        <v>45575</v>
      </c>
      <c r="C916" s="1" t="n">
        <v>45989</v>
      </c>
      <c r="D916" t="inlineStr">
        <is>
          <t>STOCKHOLMS LÄN</t>
        </is>
      </c>
      <c r="E916" t="inlineStr">
        <is>
          <t>NORRTÄLJE</t>
        </is>
      </c>
      <c r="G916" t="n">
        <v>4.3</v>
      </c>
      <c r="H916" t="n">
        <v>0</v>
      </c>
      <c r="I916" t="n">
        <v>0</v>
      </c>
      <c r="J916" t="n">
        <v>0</v>
      </c>
      <c r="K916" t="n">
        <v>0</v>
      </c>
      <c r="L916" t="n">
        <v>0</v>
      </c>
      <c r="M916" t="n">
        <v>0</v>
      </c>
      <c r="N916" t="n">
        <v>0</v>
      </c>
      <c r="O916" t="n">
        <v>0</v>
      </c>
      <c r="P916" t="n">
        <v>0</v>
      </c>
      <c r="Q916" t="n">
        <v>0</v>
      </c>
      <c r="R916" s="2" t="inlineStr"/>
    </row>
    <row r="917" ht="15" customHeight="1">
      <c r="A917" t="inlineStr">
        <is>
          <t>A 4658-2024</t>
        </is>
      </c>
      <c r="B917" s="1" t="n">
        <v>45328.46336805556</v>
      </c>
      <c r="C917" s="1" t="n">
        <v>45989</v>
      </c>
      <c r="D917" t="inlineStr">
        <is>
          <t>STOCKHOLMS LÄN</t>
        </is>
      </c>
      <c r="E917" t="inlineStr">
        <is>
          <t>NORRTÄLJE</t>
        </is>
      </c>
      <c r="G917" t="n">
        <v>2.8</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45989</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10642-2025</t>
        </is>
      </c>
      <c r="B919" s="1" t="n">
        <v>45721.65858796296</v>
      </c>
      <c r="C919" s="1" t="n">
        <v>45989</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24024-2024</t>
        </is>
      </c>
      <c r="B920" s="1" t="n">
        <v>45456</v>
      </c>
      <c r="C920" s="1" t="n">
        <v>45989</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35532-2024</t>
        </is>
      </c>
      <c r="B921" s="1" t="n">
        <v>45531</v>
      </c>
      <c r="C921" s="1" t="n">
        <v>45989</v>
      </c>
      <c r="D921" t="inlineStr">
        <is>
          <t>STOCKHOLMS LÄN</t>
        </is>
      </c>
      <c r="E921" t="inlineStr">
        <is>
          <t>NORRTÄLJE</t>
        </is>
      </c>
      <c r="G921" t="n">
        <v>2.3</v>
      </c>
      <c r="H921" t="n">
        <v>0</v>
      </c>
      <c r="I921" t="n">
        <v>0</v>
      </c>
      <c r="J921" t="n">
        <v>0</v>
      </c>
      <c r="K921" t="n">
        <v>0</v>
      </c>
      <c r="L921" t="n">
        <v>0</v>
      </c>
      <c r="M921" t="n">
        <v>0</v>
      </c>
      <c r="N921" t="n">
        <v>0</v>
      </c>
      <c r="O921" t="n">
        <v>0</v>
      </c>
      <c r="P921" t="n">
        <v>0</v>
      </c>
      <c r="Q921" t="n">
        <v>0</v>
      </c>
      <c r="R921" s="2" t="inlineStr"/>
    </row>
    <row r="922" ht="15" customHeight="1">
      <c r="A922" t="inlineStr">
        <is>
          <t>A 21291-2021</t>
        </is>
      </c>
      <c r="B922" s="1" t="n">
        <v>44319</v>
      </c>
      <c r="C922" s="1" t="n">
        <v>45989</v>
      </c>
      <c r="D922" t="inlineStr">
        <is>
          <t>STOCKHOLMS LÄN</t>
        </is>
      </c>
      <c r="E922" t="inlineStr">
        <is>
          <t>NORRTÄLJE</t>
        </is>
      </c>
      <c r="G922" t="n">
        <v>12.7</v>
      </c>
      <c r="H922" t="n">
        <v>0</v>
      </c>
      <c r="I922" t="n">
        <v>0</v>
      </c>
      <c r="J922" t="n">
        <v>0</v>
      </c>
      <c r="K922" t="n">
        <v>0</v>
      </c>
      <c r="L922" t="n">
        <v>0</v>
      </c>
      <c r="M922" t="n">
        <v>0</v>
      </c>
      <c r="N922" t="n">
        <v>0</v>
      </c>
      <c r="O922" t="n">
        <v>0</v>
      </c>
      <c r="P922" t="n">
        <v>0</v>
      </c>
      <c r="Q922" t="n">
        <v>0</v>
      </c>
      <c r="R922" s="2" t="inlineStr"/>
    </row>
    <row r="923" ht="15" customHeight="1">
      <c r="A923" t="inlineStr">
        <is>
          <t>A 19118-2022</t>
        </is>
      </c>
      <c r="B923" s="1" t="n">
        <v>44691.5652662037</v>
      </c>
      <c r="C923" s="1" t="n">
        <v>45989</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22421-2021</t>
        </is>
      </c>
      <c r="B924" s="1" t="n">
        <v>44326</v>
      </c>
      <c r="C924" s="1" t="n">
        <v>45989</v>
      </c>
      <c r="D924" t="inlineStr">
        <is>
          <t>STOCKHOLMS LÄN</t>
        </is>
      </c>
      <c r="E924" t="inlineStr">
        <is>
          <t>NORRTÄLJE</t>
        </is>
      </c>
      <c r="G924" t="n">
        <v>2.1</v>
      </c>
      <c r="H924" t="n">
        <v>0</v>
      </c>
      <c r="I924" t="n">
        <v>0</v>
      </c>
      <c r="J924" t="n">
        <v>0</v>
      </c>
      <c r="K924" t="n">
        <v>0</v>
      </c>
      <c r="L924" t="n">
        <v>0</v>
      </c>
      <c r="M924" t="n">
        <v>0</v>
      </c>
      <c r="N924" t="n">
        <v>0</v>
      </c>
      <c r="O924" t="n">
        <v>0</v>
      </c>
      <c r="P924" t="n">
        <v>0</v>
      </c>
      <c r="Q924" t="n">
        <v>0</v>
      </c>
      <c r="R924" s="2" t="inlineStr"/>
    </row>
    <row r="925" ht="15" customHeight="1">
      <c r="A925" t="inlineStr">
        <is>
          <t>A 59893-2022</t>
        </is>
      </c>
      <c r="B925" s="1" t="n">
        <v>44908.77368055555</v>
      </c>
      <c r="C925" s="1" t="n">
        <v>45989</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9469-2021</t>
        </is>
      </c>
      <c r="B926" s="1" t="n">
        <v>44251</v>
      </c>
      <c r="C926" s="1" t="n">
        <v>45989</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33226-2024</t>
        </is>
      </c>
      <c r="B927" s="1" t="n">
        <v>45518</v>
      </c>
      <c r="C927" s="1" t="n">
        <v>45989</v>
      </c>
      <c r="D927" t="inlineStr">
        <is>
          <t>STOCKHOLMS LÄN</t>
        </is>
      </c>
      <c r="E927" t="inlineStr">
        <is>
          <t>NORRTÄLJE</t>
        </is>
      </c>
      <c r="G927" t="n">
        <v>13.8</v>
      </c>
      <c r="H927" t="n">
        <v>0</v>
      </c>
      <c r="I927" t="n">
        <v>0</v>
      </c>
      <c r="J927" t="n">
        <v>0</v>
      </c>
      <c r="K927" t="n">
        <v>0</v>
      </c>
      <c r="L927" t="n">
        <v>0</v>
      </c>
      <c r="M927" t="n">
        <v>0</v>
      </c>
      <c r="N927" t="n">
        <v>0</v>
      </c>
      <c r="O927" t="n">
        <v>0</v>
      </c>
      <c r="P927" t="n">
        <v>0</v>
      </c>
      <c r="Q927" t="n">
        <v>0</v>
      </c>
      <c r="R927" s="2" t="inlineStr"/>
    </row>
    <row r="928" ht="15" customHeight="1">
      <c r="A928" t="inlineStr">
        <is>
          <t>A 16980-2023</t>
        </is>
      </c>
      <c r="B928" s="1" t="n">
        <v>45033</v>
      </c>
      <c r="C928" s="1" t="n">
        <v>45989</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44769.66864583334</v>
      </c>
      <c r="C929" s="1" t="n">
        <v>45989</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18539-2021</t>
        </is>
      </c>
      <c r="B930" s="1" t="n">
        <v>44306</v>
      </c>
      <c r="C930" s="1" t="n">
        <v>45989</v>
      </c>
      <c r="D930" t="inlineStr">
        <is>
          <t>STOCKHOLMS LÄN</t>
        </is>
      </c>
      <c r="E930" t="inlineStr">
        <is>
          <t>NORRTÄLJE</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43170-2023</t>
        </is>
      </c>
      <c r="B931" s="1" t="n">
        <v>45183</v>
      </c>
      <c r="C931" s="1" t="n">
        <v>45989</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47626-2022</t>
        </is>
      </c>
      <c r="B932" s="1" t="n">
        <v>44854</v>
      </c>
      <c r="C932" s="1" t="n">
        <v>45989</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32101-2022</t>
        </is>
      </c>
      <c r="B933" s="1" t="n">
        <v>44778.69210648148</v>
      </c>
      <c r="C933" s="1" t="n">
        <v>45989</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28365-2022</t>
        </is>
      </c>
      <c r="B934" s="1" t="n">
        <v>44747</v>
      </c>
      <c r="C934" s="1" t="n">
        <v>45989</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42867-2022</t>
        </is>
      </c>
      <c r="B935" s="1" t="n">
        <v>44832</v>
      </c>
      <c r="C935" s="1" t="n">
        <v>45989</v>
      </c>
      <c r="D935" t="inlineStr">
        <is>
          <t>STOCKHOLMS LÄN</t>
        </is>
      </c>
      <c r="E935" t="inlineStr">
        <is>
          <t>NORRTÄLJE</t>
        </is>
      </c>
      <c r="G935" t="n">
        <v>6.4</v>
      </c>
      <c r="H935" t="n">
        <v>0</v>
      </c>
      <c r="I935" t="n">
        <v>0</v>
      </c>
      <c r="J935" t="n">
        <v>0</v>
      </c>
      <c r="K935" t="n">
        <v>0</v>
      </c>
      <c r="L935" t="n">
        <v>0</v>
      </c>
      <c r="M935" t="n">
        <v>0</v>
      </c>
      <c r="N935" t="n">
        <v>0</v>
      </c>
      <c r="O935" t="n">
        <v>0</v>
      </c>
      <c r="P935" t="n">
        <v>0</v>
      </c>
      <c r="Q935" t="n">
        <v>0</v>
      </c>
      <c r="R935" s="2" t="inlineStr"/>
    </row>
    <row r="936" ht="15" customHeight="1">
      <c r="A936" t="inlineStr">
        <is>
          <t>A 5645-2023</t>
        </is>
      </c>
      <c r="B936" s="1" t="n">
        <v>44960.60469907407</v>
      </c>
      <c r="C936" s="1" t="n">
        <v>45989</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17775-2022</t>
        </is>
      </c>
      <c r="B937" s="1" t="n">
        <v>44682.78430555556</v>
      </c>
      <c r="C937" s="1" t="n">
        <v>45989</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9703-2021</t>
        </is>
      </c>
      <c r="B938" s="1" t="n">
        <v>44252</v>
      </c>
      <c r="C938" s="1" t="n">
        <v>45989</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47481-2024</t>
        </is>
      </c>
      <c r="B939" s="1" t="n">
        <v>45587</v>
      </c>
      <c r="C939" s="1" t="n">
        <v>45989</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24933-2023</t>
        </is>
      </c>
      <c r="B940" s="1" t="n">
        <v>45085.5309375</v>
      </c>
      <c r="C940" s="1" t="n">
        <v>45989</v>
      </c>
      <c r="D940" t="inlineStr">
        <is>
          <t>STOCKHOLMS LÄN</t>
        </is>
      </c>
      <c r="E940" t="inlineStr">
        <is>
          <t>NORRTÄLJE</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11062-2024</t>
        </is>
      </c>
      <c r="B941" s="1" t="n">
        <v>45370</v>
      </c>
      <c r="C941" s="1" t="n">
        <v>45989</v>
      </c>
      <c r="D941" t="inlineStr">
        <is>
          <t>STOCKHOLMS LÄN</t>
        </is>
      </c>
      <c r="E941" t="inlineStr">
        <is>
          <t>NORRTÄLJE</t>
        </is>
      </c>
      <c r="G941" t="n">
        <v>3.2</v>
      </c>
      <c r="H941" t="n">
        <v>0</v>
      </c>
      <c r="I941" t="n">
        <v>0</v>
      </c>
      <c r="J941" t="n">
        <v>0</v>
      </c>
      <c r="K941" t="n">
        <v>0</v>
      </c>
      <c r="L941" t="n">
        <v>0</v>
      </c>
      <c r="M941" t="n">
        <v>0</v>
      </c>
      <c r="N941" t="n">
        <v>0</v>
      </c>
      <c r="O941" t="n">
        <v>0</v>
      </c>
      <c r="P941" t="n">
        <v>0</v>
      </c>
      <c r="Q941" t="n">
        <v>0</v>
      </c>
      <c r="R941" s="2" t="inlineStr"/>
    </row>
    <row r="942" ht="15" customHeight="1">
      <c r="A942" t="inlineStr">
        <is>
          <t>A 576-2023</t>
        </is>
      </c>
      <c r="B942" s="1" t="n">
        <v>44925</v>
      </c>
      <c r="C942" s="1" t="n">
        <v>45989</v>
      </c>
      <c r="D942" t="inlineStr">
        <is>
          <t>STOCKHOLMS LÄN</t>
        </is>
      </c>
      <c r="E942" t="inlineStr">
        <is>
          <t>NORRTÄLJE</t>
        </is>
      </c>
      <c r="G942" t="n">
        <v>7.2</v>
      </c>
      <c r="H942" t="n">
        <v>0</v>
      </c>
      <c r="I942" t="n">
        <v>0</v>
      </c>
      <c r="J942" t="n">
        <v>0</v>
      </c>
      <c r="K942" t="n">
        <v>0</v>
      </c>
      <c r="L942" t="n">
        <v>0</v>
      </c>
      <c r="M942" t="n">
        <v>0</v>
      </c>
      <c r="N942" t="n">
        <v>0</v>
      </c>
      <c r="O942" t="n">
        <v>0</v>
      </c>
      <c r="P942" t="n">
        <v>0</v>
      </c>
      <c r="Q942" t="n">
        <v>0</v>
      </c>
      <c r="R942" s="2" t="inlineStr"/>
    </row>
    <row r="943" ht="15" customHeight="1">
      <c r="A943" t="inlineStr">
        <is>
          <t>A 12908-2025</t>
        </is>
      </c>
      <c r="B943" s="1" t="n">
        <v>45733.82105324074</v>
      </c>
      <c r="C943" s="1" t="n">
        <v>45989</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68361-2021</t>
        </is>
      </c>
      <c r="B944" s="1" t="n">
        <v>44528.91494212963</v>
      </c>
      <c r="C944" s="1" t="n">
        <v>45989</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50469-2022</t>
        </is>
      </c>
      <c r="B945" s="1" t="n">
        <v>44866.49827546296</v>
      </c>
      <c r="C945" s="1" t="n">
        <v>45989</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41976-2024</t>
        </is>
      </c>
      <c r="B946" s="1" t="n">
        <v>45561.62141203704</v>
      </c>
      <c r="C946" s="1" t="n">
        <v>45989</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62206-2022</t>
        </is>
      </c>
      <c r="B947" s="1" t="n">
        <v>44922</v>
      </c>
      <c r="C947" s="1" t="n">
        <v>45989</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30886-2022</t>
        </is>
      </c>
      <c r="B948" s="1" t="n">
        <v>44767.60601851852</v>
      </c>
      <c r="C948" s="1" t="n">
        <v>45989</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58989-2021</t>
        </is>
      </c>
      <c r="B949" s="1" t="n">
        <v>44490.02482638889</v>
      </c>
      <c r="C949" s="1" t="n">
        <v>45989</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58990-2021</t>
        </is>
      </c>
      <c r="B950" s="1" t="n">
        <v>44490.03621527777</v>
      </c>
      <c r="C950" s="1" t="n">
        <v>45989</v>
      </c>
      <c r="D950" t="inlineStr">
        <is>
          <t>STOCKHOLMS LÄN</t>
        </is>
      </c>
      <c r="E950" t="inlineStr">
        <is>
          <t>NORRTÄLJE</t>
        </is>
      </c>
      <c r="G950" t="n">
        <v>4.2</v>
      </c>
      <c r="H950" t="n">
        <v>0</v>
      </c>
      <c r="I950" t="n">
        <v>0</v>
      </c>
      <c r="J950" t="n">
        <v>0</v>
      </c>
      <c r="K950" t="n">
        <v>0</v>
      </c>
      <c r="L950" t="n">
        <v>0</v>
      </c>
      <c r="M950" t="n">
        <v>0</v>
      </c>
      <c r="N950" t="n">
        <v>0</v>
      </c>
      <c r="O950" t="n">
        <v>0</v>
      </c>
      <c r="P950" t="n">
        <v>0</v>
      </c>
      <c r="Q950" t="n">
        <v>0</v>
      </c>
      <c r="R950" s="2" t="inlineStr"/>
    </row>
    <row r="951" ht="15" customHeight="1">
      <c r="A951" t="inlineStr">
        <is>
          <t>A 11940-2023</t>
        </is>
      </c>
      <c r="B951" s="1" t="n">
        <v>44995</v>
      </c>
      <c r="C951" s="1" t="n">
        <v>45989</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29266-2022</t>
        </is>
      </c>
      <c r="B952" s="1" t="n">
        <v>44750.66068287037</v>
      </c>
      <c r="C952" s="1" t="n">
        <v>45989</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29278-2022</t>
        </is>
      </c>
      <c r="B953" s="1" t="n">
        <v>44750</v>
      </c>
      <c r="C953" s="1" t="n">
        <v>45989</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6401-2024</t>
        </is>
      </c>
      <c r="B954" s="1" t="n">
        <v>45338</v>
      </c>
      <c r="C954" s="1" t="n">
        <v>45989</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24501-2023</t>
        </is>
      </c>
      <c r="B955" s="1" t="n">
        <v>45082</v>
      </c>
      <c r="C955" s="1" t="n">
        <v>45989</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24520-2023</t>
        </is>
      </c>
      <c r="B956" s="1" t="n">
        <v>45082.68922453704</v>
      </c>
      <c r="C956" s="1" t="n">
        <v>45989</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31281-2022</t>
        </is>
      </c>
      <c r="B957" s="1" t="n">
        <v>44771</v>
      </c>
      <c r="C957" s="1" t="n">
        <v>45989</v>
      </c>
      <c r="D957" t="inlineStr">
        <is>
          <t>STOCKHOLMS LÄN</t>
        </is>
      </c>
      <c r="E957" t="inlineStr">
        <is>
          <t>NORRTÄLJE</t>
        </is>
      </c>
      <c r="F957" t="inlineStr">
        <is>
          <t>Holmen skog AB</t>
        </is>
      </c>
      <c r="G957" t="n">
        <v>5.2</v>
      </c>
      <c r="H957" t="n">
        <v>0</v>
      </c>
      <c r="I957" t="n">
        <v>0</v>
      </c>
      <c r="J957" t="n">
        <v>0</v>
      </c>
      <c r="K957" t="n">
        <v>0</v>
      </c>
      <c r="L957" t="n">
        <v>0</v>
      </c>
      <c r="M957" t="n">
        <v>0</v>
      </c>
      <c r="N957" t="n">
        <v>0</v>
      </c>
      <c r="O957" t="n">
        <v>0</v>
      </c>
      <c r="P957" t="n">
        <v>0</v>
      </c>
      <c r="Q957" t="n">
        <v>0</v>
      </c>
      <c r="R957" s="2" t="inlineStr"/>
    </row>
    <row r="958" ht="15" customHeight="1">
      <c r="A958" t="inlineStr">
        <is>
          <t>A 38612-2022</t>
        </is>
      </c>
      <c r="B958" s="1" t="n">
        <v>44813</v>
      </c>
      <c r="C958" s="1" t="n">
        <v>45989</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33040-2021</t>
        </is>
      </c>
      <c r="B959" s="1" t="n">
        <v>44376.50728009259</v>
      </c>
      <c r="C959" s="1" t="n">
        <v>45989</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26117-2024</t>
        </is>
      </c>
      <c r="B960" s="1" t="n">
        <v>45468.45877314815</v>
      </c>
      <c r="C960" s="1" t="n">
        <v>45989</v>
      </c>
      <c r="D960" t="inlineStr">
        <is>
          <t>STOCKHOLMS LÄN</t>
        </is>
      </c>
      <c r="E960" t="inlineStr">
        <is>
          <t>NORRTÄLJE</t>
        </is>
      </c>
      <c r="G960" t="n">
        <v>2.4</v>
      </c>
      <c r="H960" t="n">
        <v>0</v>
      </c>
      <c r="I960" t="n">
        <v>0</v>
      </c>
      <c r="J960" t="n">
        <v>0</v>
      </c>
      <c r="K960" t="n">
        <v>0</v>
      </c>
      <c r="L960" t="n">
        <v>0</v>
      </c>
      <c r="M960" t="n">
        <v>0</v>
      </c>
      <c r="N960" t="n">
        <v>0</v>
      </c>
      <c r="O960" t="n">
        <v>0</v>
      </c>
      <c r="P960" t="n">
        <v>0</v>
      </c>
      <c r="Q960" t="n">
        <v>0</v>
      </c>
      <c r="R960" s="2" t="inlineStr"/>
    </row>
    <row r="961" ht="15" customHeight="1">
      <c r="A961" t="inlineStr">
        <is>
          <t>A 61113-2023</t>
        </is>
      </c>
      <c r="B961" s="1" t="n">
        <v>45261</v>
      </c>
      <c r="C961" s="1" t="n">
        <v>45989</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60822-2023</t>
        </is>
      </c>
      <c r="B962" s="1" t="n">
        <v>45259</v>
      </c>
      <c r="C962" s="1" t="n">
        <v>45989</v>
      </c>
      <c r="D962" t="inlineStr">
        <is>
          <t>STOCKHOLMS LÄN</t>
        </is>
      </c>
      <c r="E962" t="inlineStr">
        <is>
          <t>NORRTÄLJE</t>
        </is>
      </c>
      <c r="G962" t="n">
        <v>5.2</v>
      </c>
      <c r="H962" t="n">
        <v>0</v>
      </c>
      <c r="I962" t="n">
        <v>0</v>
      </c>
      <c r="J962" t="n">
        <v>0</v>
      </c>
      <c r="K962" t="n">
        <v>0</v>
      </c>
      <c r="L962" t="n">
        <v>0</v>
      </c>
      <c r="M962" t="n">
        <v>0</v>
      </c>
      <c r="N962" t="n">
        <v>0</v>
      </c>
      <c r="O962" t="n">
        <v>0</v>
      </c>
      <c r="P962" t="n">
        <v>0</v>
      </c>
      <c r="Q962" t="n">
        <v>0</v>
      </c>
      <c r="R962" s="2" t="inlineStr"/>
    </row>
    <row r="963" ht="15" customHeight="1">
      <c r="A963" t="inlineStr">
        <is>
          <t>A 59310-2023</t>
        </is>
      </c>
      <c r="B963" s="1" t="n">
        <v>45253.61146990741</v>
      </c>
      <c r="C963" s="1" t="n">
        <v>45989</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20343-2024</t>
        </is>
      </c>
      <c r="B964" s="1" t="n">
        <v>45435.43466435185</v>
      </c>
      <c r="C964" s="1" t="n">
        <v>45989</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20345-2024</t>
        </is>
      </c>
      <c r="B965" s="1" t="n">
        <v>45435.43820601852</v>
      </c>
      <c r="C965" s="1" t="n">
        <v>45989</v>
      </c>
      <c r="D965" t="inlineStr">
        <is>
          <t>STOCKHOLMS LÄN</t>
        </is>
      </c>
      <c r="E965" t="inlineStr">
        <is>
          <t>NORRTÄLJE</t>
        </is>
      </c>
      <c r="G965" t="n">
        <v>3.8</v>
      </c>
      <c r="H965" t="n">
        <v>0</v>
      </c>
      <c r="I965" t="n">
        <v>0</v>
      </c>
      <c r="J965" t="n">
        <v>0</v>
      </c>
      <c r="K965" t="n">
        <v>0</v>
      </c>
      <c r="L965" t="n">
        <v>0</v>
      </c>
      <c r="M965" t="n">
        <v>0</v>
      </c>
      <c r="N965" t="n">
        <v>0</v>
      </c>
      <c r="O965" t="n">
        <v>0</v>
      </c>
      <c r="P965" t="n">
        <v>0</v>
      </c>
      <c r="Q965" t="n">
        <v>0</v>
      </c>
      <c r="R965" s="2" t="inlineStr"/>
    </row>
    <row r="966" ht="15" customHeight="1">
      <c r="A966" t="inlineStr">
        <is>
          <t>A 55010-2024</t>
        </is>
      </c>
      <c r="B966" s="1" t="n">
        <v>45621.34425925926</v>
      </c>
      <c r="C966" s="1" t="n">
        <v>45989</v>
      </c>
      <c r="D966" t="inlineStr">
        <is>
          <t>STOCKHOLMS LÄN</t>
        </is>
      </c>
      <c r="E966" t="inlineStr">
        <is>
          <t>NORRTÄLJE</t>
        </is>
      </c>
      <c r="F966" t="inlineStr">
        <is>
          <t>Sveaskog</t>
        </is>
      </c>
      <c r="G966" t="n">
        <v>5.7</v>
      </c>
      <c r="H966" t="n">
        <v>0</v>
      </c>
      <c r="I966" t="n">
        <v>0</v>
      </c>
      <c r="J966" t="n">
        <v>0</v>
      </c>
      <c r="K966" t="n">
        <v>0</v>
      </c>
      <c r="L966" t="n">
        <v>0</v>
      </c>
      <c r="M966" t="n">
        <v>0</v>
      </c>
      <c r="N966" t="n">
        <v>0</v>
      </c>
      <c r="O966" t="n">
        <v>0</v>
      </c>
      <c r="P966" t="n">
        <v>0</v>
      </c>
      <c r="Q966" t="n">
        <v>0</v>
      </c>
      <c r="R966" s="2" t="inlineStr"/>
    </row>
    <row r="967" ht="15" customHeight="1">
      <c r="A967" t="inlineStr">
        <is>
          <t>A 55018-2024</t>
        </is>
      </c>
      <c r="B967" s="1" t="n">
        <v>45621.35712962963</v>
      </c>
      <c r="C967" s="1" t="n">
        <v>45989</v>
      </c>
      <c r="D967" t="inlineStr">
        <is>
          <t>STOCKHOLMS LÄN</t>
        </is>
      </c>
      <c r="E967" t="inlineStr">
        <is>
          <t>NORRTÄLJE</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50113-2024</t>
        </is>
      </c>
      <c r="B968" s="1" t="n">
        <v>45600.411875</v>
      </c>
      <c r="C968" s="1" t="n">
        <v>45989</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20336-2024</t>
        </is>
      </c>
      <c r="B969" s="1" t="n">
        <v>45435.43123842592</v>
      </c>
      <c r="C969" s="1" t="n">
        <v>45989</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64899-2023</t>
        </is>
      </c>
      <c r="B970" s="1" t="n">
        <v>45282</v>
      </c>
      <c r="C970" s="1" t="n">
        <v>45989</v>
      </c>
      <c r="D970" t="inlineStr">
        <is>
          <t>STOCKHOLMS LÄN</t>
        </is>
      </c>
      <c r="E970" t="inlineStr">
        <is>
          <t>NORRTÄLJE</t>
        </is>
      </c>
      <c r="G970" t="n">
        <v>6.3</v>
      </c>
      <c r="H970" t="n">
        <v>0</v>
      </c>
      <c r="I970" t="n">
        <v>0</v>
      </c>
      <c r="J970" t="n">
        <v>0</v>
      </c>
      <c r="K970" t="n">
        <v>0</v>
      </c>
      <c r="L970" t="n">
        <v>0</v>
      </c>
      <c r="M970" t="n">
        <v>0</v>
      </c>
      <c r="N970" t="n">
        <v>0</v>
      </c>
      <c r="O970" t="n">
        <v>0</v>
      </c>
      <c r="P970" t="n">
        <v>0</v>
      </c>
      <c r="Q970" t="n">
        <v>0</v>
      </c>
      <c r="R970" s="2" t="inlineStr"/>
    </row>
    <row r="971" ht="15" customHeight="1">
      <c r="A971" t="inlineStr">
        <is>
          <t>A 1847-2023</t>
        </is>
      </c>
      <c r="B971" s="1" t="n">
        <v>44938</v>
      </c>
      <c r="C971" s="1" t="n">
        <v>45989</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11122-2021</t>
        </is>
      </c>
      <c r="B972" s="1" t="n">
        <v>44260</v>
      </c>
      <c r="C972" s="1" t="n">
        <v>45989</v>
      </c>
      <c r="D972" t="inlineStr">
        <is>
          <t>STOCKHOLMS LÄN</t>
        </is>
      </c>
      <c r="E972" t="inlineStr">
        <is>
          <t>NORRTÄLJE</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29362-2022</t>
        </is>
      </c>
      <c r="B973" s="1" t="n">
        <v>44753</v>
      </c>
      <c r="C973" s="1" t="n">
        <v>45989</v>
      </c>
      <c r="D973" t="inlineStr">
        <is>
          <t>STOCKHOLMS LÄN</t>
        </is>
      </c>
      <c r="E973" t="inlineStr">
        <is>
          <t>NORRTÄLJE</t>
        </is>
      </c>
      <c r="G973" t="n">
        <v>3.8</v>
      </c>
      <c r="H973" t="n">
        <v>0</v>
      </c>
      <c r="I973" t="n">
        <v>0</v>
      </c>
      <c r="J973" t="n">
        <v>0</v>
      </c>
      <c r="K973" t="n">
        <v>0</v>
      </c>
      <c r="L973" t="n">
        <v>0</v>
      </c>
      <c r="M973" t="n">
        <v>0</v>
      </c>
      <c r="N973" t="n">
        <v>0</v>
      </c>
      <c r="O973" t="n">
        <v>0</v>
      </c>
      <c r="P973" t="n">
        <v>0</v>
      </c>
      <c r="Q973" t="n">
        <v>0</v>
      </c>
      <c r="R973" s="2" t="inlineStr"/>
    </row>
    <row r="974" ht="15" customHeight="1">
      <c r="A974" t="inlineStr">
        <is>
          <t>A 20291-2022</t>
        </is>
      </c>
      <c r="B974" s="1" t="n">
        <v>44698</v>
      </c>
      <c r="C974" s="1" t="n">
        <v>45989</v>
      </c>
      <c r="D974" t="inlineStr">
        <is>
          <t>STOCKHOLMS LÄN</t>
        </is>
      </c>
      <c r="E974" t="inlineStr">
        <is>
          <t>NORRTÄLJE</t>
        </is>
      </c>
      <c r="F974" t="inlineStr">
        <is>
          <t>Naturvårdsverket</t>
        </is>
      </c>
      <c r="G974" t="n">
        <v>2</v>
      </c>
      <c r="H974" t="n">
        <v>0</v>
      </c>
      <c r="I974" t="n">
        <v>0</v>
      </c>
      <c r="J974" t="n">
        <v>0</v>
      </c>
      <c r="K974" t="n">
        <v>0</v>
      </c>
      <c r="L974" t="n">
        <v>0</v>
      </c>
      <c r="M974" t="n">
        <v>0</v>
      </c>
      <c r="N974" t="n">
        <v>0</v>
      </c>
      <c r="O974" t="n">
        <v>0</v>
      </c>
      <c r="P974" t="n">
        <v>0</v>
      </c>
      <c r="Q974" t="n">
        <v>0</v>
      </c>
      <c r="R974" s="2" t="inlineStr"/>
    </row>
    <row r="975" ht="15" customHeight="1">
      <c r="A975" t="inlineStr">
        <is>
          <t>A 12302-2025</t>
        </is>
      </c>
      <c r="B975" s="1" t="n">
        <v>45729.72851851852</v>
      </c>
      <c r="C975" s="1" t="n">
        <v>45989</v>
      </c>
      <c r="D975" t="inlineStr">
        <is>
          <t>STOCKHOLMS LÄN</t>
        </is>
      </c>
      <c r="E975" t="inlineStr">
        <is>
          <t>NORRTÄLJE</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31926-2022</t>
        </is>
      </c>
      <c r="B976" s="1" t="n">
        <v>44777</v>
      </c>
      <c r="C976" s="1" t="n">
        <v>45989</v>
      </c>
      <c r="D976" t="inlineStr">
        <is>
          <t>STOCKHOLMS LÄN</t>
        </is>
      </c>
      <c r="E976" t="inlineStr">
        <is>
          <t>NORRTÄLJE</t>
        </is>
      </c>
      <c r="G976" t="n">
        <v>5.2</v>
      </c>
      <c r="H976" t="n">
        <v>0</v>
      </c>
      <c r="I976" t="n">
        <v>0</v>
      </c>
      <c r="J976" t="n">
        <v>0</v>
      </c>
      <c r="K976" t="n">
        <v>0</v>
      </c>
      <c r="L976" t="n">
        <v>0</v>
      </c>
      <c r="M976" t="n">
        <v>0</v>
      </c>
      <c r="N976" t="n">
        <v>0</v>
      </c>
      <c r="O976" t="n">
        <v>0</v>
      </c>
      <c r="P976" t="n">
        <v>0</v>
      </c>
      <c r="Q976" t="n">
        <v>0</v>
      </c>
      <c r="R976" s="2" t="inlineStr"/>
    </row>
    <row r="977" ht="15" customHeight="1">
      <c r="A977" t="inlineStr">
        <is>
          <t>A 1425-2025</t>
        </is>
      </c>
      <c r="B977" s="1" t="n">
        <v>45668.67446759259</v>
      </c>
      <c r="C977" s="1" t="n">
        <v>45989</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1453-2025</t>
        </is>
      </c>
      <c r="B978" s="1" t="n">
        <v>45670.3079050926</v>
      </c>
      <c r="C978" s="1" t="n">
        <v>45989</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3386-2021</t>
        </is>
      </c>
      <c r="B979" s="1" t="n">
        <v>44218</v>
      </c>
      <c r="C979" s="1" t="n">
        <v>45989</v>
      </c>
      <c r="D979" t="inlineStr">
        <is>
          <t>STOCKHOLMS LÄN</t>
        </is>
      </c>
      <c r="E979" t="inlineStr">
        <is>
          <t>NORRTÄLJE</t>
        </is>
      </c>
      <c r="G979" t="n">
        <v>8</v>
      </c>
      <c r="H979" t="n">
        <v>0</v>
      </c>
      <c r="I979" t="n">
        <v>0</v>
      </c>
      <c r="J979" t="n">
        <v>0</v>
      </c>
      <c r="K979" t="n">
        <v>0</v>
      </c>
      <c r="L979" t="n">
        <v>0</v>
      </c>
      <c r="M979" t="n">
        <v>0</v>
      </c>
      <c r="N979" t="n">
        <v>0</v>
      </c>
      <c r="O979" t="n">
        <v>0</v>
      </c>
      <c r="P979" t="n">
        <v>0</v>
      </c>
      <c r="Q979" t="n">
        <v>0</v>
      </c>
      <c r="R979" s="2" t="inlineStr"/>
    </row>
    <row r="980" ht="15" customHeight="1">
      <c r="A980" t="inlineStr">
        <is>
          <t>A 13860-2023</t>
        </is>
      </c>
      <c r="B980" s="1" t="n">
        <v>45007</v>
      </c>
      <c r="C980" s="1" t="n">
        <v>45989</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6070-2022</t>
        </is>
      </c>
      <c r="B981" s="1" t="n">
        <v>44599.58428240741</v>
      </c>
      <c r="C981" s="1" t="n">
        <v>45989</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9130-2025</t>
        </is>
      </c>
      <c r="B982" s="1" t="n">
        <v>45713.92623842593</v>
      </c>
      <c r="C982" s="1" t="n">
        <v>45989</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27828-2022</t>
        </is>
      </c>
      <c r="B983" s="1" t="n">
        <v>44743.59765046297</v>
      </c>
      <c r="C983" s="1" t="n">
        <v>45989</v>
      </c>
      <c r="D983" t="inlineStr">
        <is>
          <t>STOCKHOLMS LÄN</t>
        </is>
      </c>
      <c r="E983" t="inlineStr">
        <is>
          <t>NORRTÄLJE</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59873-2024</t>
        </is>
      </c>
      <c r="B984" s="1" t="n">
        <v>45640.57305555556</v>
      </c>
      <c r="C984" s="1" t="n">
        <v>45989</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22412-2021</t>
        </is>
      </c>
      <c r="B985" s="1" t="n">
        <v>44326.61967592593</v>
      </c>
      <c r="C985" s="1" t="n">
        <v>45989</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45989</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43150-2023</t>
        </is>
      </c>
      <c r="B987" s="1" t="n">
        <v>45183</v>
      </c>
      <c r="C987" s="1" t="n">
        <v>45989</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59534-2024</t>
        </is>
      </c>
      <c r="B988" s="1" t="n">
        <v>45638.5987037037</v>
      </c>
      <c r="C988" s="1" t="n">
        <v>45989</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23307-2024</t>
        </is>
      </c>
      <c r="B989" s="1" t="n">
        <v>45453</v>
      </c>
      <c r="C989" s="1" t="n">
        <v>45989</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19450-2025</t>
        </is>
      </c>
      <c r="B990" s="1" t="n">
        <v>45770</v>
      </c>
      <c r="C990" s="1" t="n">
        <v>45989</v>
      </c>
      <c r="D990" t="inlineStr">
        <is>
          <t>STOCKHOLMS LÄN</t>
        </is>
      </c>
      <c r="E990" t="inlineStr">
        <is>
          <t>NORRTÄLJE</t>
        </is>
      </c>
      <c r="G990" t="n">
        <v>5.3</v>
      </c>
      <c r="H990" t="n">
        <v>0</v>
      </c>
      <c r="I990" t="n">
        <v>0</v>
      </c>
      <c r="J990" t="n">
        <v>0</v>
      </c>
      <c r="K990" t="n">
        <v>0</v>
      </c>
      <c r="L990" t="n">
        <v>0</v>
      </c>
      <c r="M990" t="n">
        <v>0</v>
      </c>
      <c r="N990" t="n">
        <v>0</v>
      </c>
      <c r="O990" t="n">
        <v>0</v>
      </c>
      <c r="P990" t="n">
        <v>0</v>
      </c>
      <c r="Q990" t="n">
        <v>0</v>
      </c>
      <c r="R990" s="2" t="inlineStr"/>
    </row>
    <row r="991" ht="15" customHeight="1">
      <c r="A991" t="inlineStr">
        <is>
          <t>A 2281-2024</t>
        </is>
      </c>
      <c r="B991" s="1" t="n">
        <v>45310.40628472222</v>
      </c>
      <c r="C991" s="1" t="n">
        <v>45989</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2287-2024</t>
        </is>
      </c>
      <c r="B992" s="1" t="n">
        <v>45310</v>
      </c>
      <c r="C992" s="1" t="n">
        <v>45989</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20618-2022</t>
        </is>
      </c>
      <c r="B993" s="1" t="n">
        <v>44700.50659722222</v>
      </c>
      <c r="C993" s="1" t="n">
        <v>45989</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59504-2023</t>
        </is>
      </c>
      <c r="B994" s="1" t="n">
        <v>45254</v>
      </c>
      <c r="C994" s="1" t="n">
        <v>45989</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25656-2023</t>
        </is>
      </c>
      <c r="B995" s="1" t="n">
        <v>45089</v>
      </c>
      <c r="C995" s="1" t="n">
        <v>45989</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38049-2023</t>
        </is>
      </c>
      <c r="B996" s="1" t="n">
        <v>45159</v>
      </c>
      <c r="C996" s="1" t="n">
        <v>45989</v>
      </c>
      <c r="D996" t="inlineStr">
        <is>
          <t>STOCKHOLMS LÄN</t>
        </is>
      </c>
      <c r="E996" t="inlineStr">
        <is>
          <t>NORRTÄLJE</t>
        </is>
      </c>
      <c r="G996" t="n">
        <v>3.6</v>
      </c>
      <c r="H996" t="n">
        <v>0</v>
      </c>
      <c r="I996" t="n">
        <v>0</v>
      </c>
      <c r="J996" t="n">
        <v>0</v>
      </c>
      <c r="K996" t="n">
        <v>0</v>
      </c>
      <c r="L996" t="n">
        <v>0</v>
      </c>
      <c r="M996" t="n">
        <v>0</v>
      </c>
      <c r="N996" t="n">
        <v>0</v>
      </c>
      <c r="O996" t="n">
        <v>0</v>
      </c>
      <c r="P996" t="n">
        <v>0</v>
      </c>
      <c r="Q996" t="n">
        <v>0</v>
      </c>
      <c r="R996" s="2" t="inlineStr"/>
    </row>
    <row r="997" ht="15" customHeight="1">
      <c r="A997" t="inlineStr">
        <is>
          <t>A 3966-2024</t>
        </is>
      </c>
      <c r="B997" s="1" t="n">
        <v>45322</v>
      </c>
      <c r="C997" s="1" t="n">
        <v>45989</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17348-2024</t>
        </is>
      </c>
      <c r="B998" s="1" t="n">
        <v>45414.58650462963</v>
      </c>
      <c r="C998" s="1" t="n">
        <v>45989</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38591-2023</t>
        </is>
      </c>
      <c r="B999" s="1" t="n">
        <v>45162</v>
      </c>
      <c r="C999" s="1" t="n">
        <v>45989</v>
      </c>
      <c r="D999" t="inlineStr">
        <is>
          <t>STOCKHOLMS LÄN</t>
        </is>
      </c>
      <c r="E999" t="inlineStr">
        <is>
          <t>NORRTÄLJE</t>
        </is>
      </c>
      <c r="F999" t="inlineStr">
        <is>
          <t>Övriga Aktiebolag</t>
        </is>
      </c>
      <c r="G999" t="n">
        <v>3.1</v>
      </c>
      <c r="H999" t="n">
        <v>0</v>
      </c>
      <c r="I999" t="n">
        <v>0</v>
      </c>
      <c r="J999" t="n">
        <v>0</v>
      </c>
      <c r="K999" t="n">
        <v>0</v>
      </c>
      <c r="L999" t="n">
        <v>0</v>
      </c>
      <c r="M999" t="n">
        <v>0</v>
      </c>
      <c r="N999" t="n">
        <v>0</v>
      </c>
      <c r="O999" t="n">
        <v>0</v>
      </c>
      <c r="P999" t="n">
        <v>0</v>
      </c>
      <c r="Q999" t="n">
        <v>0</v>
      </c>
      <c r="R999" s="2" t="inlineStr"/>
    </row>
    <row r="1000" ht="15" customHeight="1">
      <c r="A1000" t="inlineStr">
        <is>
          <t>A 3273-2025</t>
        </is>
      </c>
      <c r="B1000" s="1" t="n">
        <v>45679</v>
      </c>
      <c r="C1000" s="1" t="n">
        <v>45989</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34461-2023</t>
        </is>
      </c>
      <c r="B1001" s="1" t="n">
        <v>45139</v>
      </c>
      <c r="C1001" s="1" t="n">
        <v>45989</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15217-2023</t>
        </is>
      </c>
      <c r="B1002" s="1" t="n">
        <v>45019.28847222222</v>
      </c>
      <c r="C1002" s="1" t="n">
        <v>45989</v>
      </c>
      <c r="D1002" t="inlineStr">
        <is>
          <t>STOCKHOLMS LÄN</t>
        </is>
      </c>
      <c r="E1002" t="inlineStr">
        <is>
          <t>NORRTÄLJE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24522-2023</t>
        </is>
      </c>
      <c r="B1003" s="1" t="n">
        <v>45082.69179398148</v>
      </c>
      <c r="C1003" s="1" t="n">
        <v>45989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29176-2024</t>
        </is>
      </c>
      <c r="B1004" s="1" t="n">
        <v>45482.53388888889</v>
      </c>
      <c r="C1004" s="1" t="n">
        <v>45989</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4596-2023</t>
        </is>
      </c>
      <c r="B1005" s="1" t="n">
        <v>44956</v>
      </c>
      <c r="C1005" s="1" t="n">
        <v>45989</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4438-2023</t>
        </is>
      </c>
      <c r="B1006" s="1" t="n">
        <v>44956</v>
      </c>
      <c r="C1006" s="1" t="n">
        <v>45989</v>
      </c>
      <c r="D1006" t="inlineStr">
        <is>
          <t>STOCKHOLMS LÄN</t>
        </is>
      </c>
      <c r="E1006" t="inlineStr">
        <is>
          <t>NORRTÄLJE</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24727-2023</t>
        </is>
      </c>
      <c r="B1007" s="1" t="n">
        <v>45084.57695601852</v>
      </c>
      <c r="C1007" s="1" t="n">
        <v>45989</v>
      </c>
      <c r="D1007" t="inlineStr">
        <is>
          <t>STOCKHOLMS LÄN</t>
        </is>
      </c>
      <c r="E1007" t="inlineStr">
        <is>
          <t>NORRTÄLJE</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59904-2023</t>
        </is>
      </c>
      <c r="B1008" s="1" t="n">
        <v>45257</v>
      </c>
      <c r="C1008" s="1" t="n">
        <v>45989</v>
      </c>
      <c r="D1008" t="inlineStr">
        <is>
          <t>STOCKHOLMS LÄN</t>
        </is>
      </c>
      <c r="E1008" t="inlineStr">
        <is>
          <t>NORRTÄLJE</t>
        </is>
      </c>
      <c r="G1008" t="n">
        <v>17.4</v>
      </c>
      <c r="H1008" t="n">
        <v>0</v>
      </c>
      <c r="I1008" t="n">
        <v>0</v>
      </c>
      <c r="J1008" t="n">
        <v>0</v>
      </c>
      <c r="K1008" t="n">
        <v>0</v>
      </c>
      <c r="L1008" t="n">
        <v>0</v>
      </c>
      <c r="M1008" t="n">
        <v>0</v>
      </c>
      <c r="N1008" t="n">
        <v>0</v>
      </c>
      <c r="O1008" t="n">
        <v>0</v>
      </c>
      <c r="P1008" t="n">
        <v>0</v>
      </c>
      <c r="Q1008" t="n">
        <v>0</v>
      </c>
      <c r="R1008" s="2" t="inlineStr"/>
    </row>
    <row r="1009" ht="15" customHeight="1">
      <c r="A1009" t="inlineStr">
        <is>
          <t>A 36308-2022</t>
        </is>
      </c>
      <c r="B1009" s="1" t="n">
        <v>44803</v>
      </c>
      <c r="C1009" s="1" t="n">
        <v>45989</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18787-2022</t>
        </is>
      </c>
      <c r="B1010" s="1" t="n">
        <v>44687</v>
      </c>
      <c r="C1010" s="1" t="n">
        <v>45989</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50108-2021</t>
        </is>
      </c>
      <c r="B1011" s="1" t="n">
        <v>44456</v>
      </c>
      <c r="C1011" s="1" t="n">
        <v>45989</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25621-2022</t>
        </is>
      </c>
      <c r="B1012" s="1" t="n">
        <v>44732</v>
      </c>
      <c r="C1012" s="1" t="n">
        <v>45989</v>
      </c>
      <c r="D1012" t="inlineStr">
        <is>
          <t>STOCKHOLMS LÄN</t>
        </is>
      </c>
      <c r="E1012" t="inlineStr">
        <is>
          <t>NORRTÄLJE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20304-2023</t>
        </is>
      </c>
      <c r="B1013" s="1" t="n">
        <v>45056</v>
      </c>
      <c r="C1013" s="1" t="n">
        <v>45989</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35235-2024</t>
        </is>
      </c>
      <c r="B1014" s="1" t="n">
        <v>45530</v>
      </c>
      <c r="C1014" s="1" t="n">
        <v>45989</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51061-2023</t>
        </is>
      </c>
      <c r="B1015" s="1" t="n">
        <v>45218.65849537037</v>
      </c>
      <c r="C1015" s="1" t="n">
        <v>45989</v>
      </c>
      <c r="D1015" t="inlineStr">
        <is>
          <t>STOCKHOLMS LÄN</t>
        </is>
      </c>
      <c r="E1015" t="inlineStr">
        <is>
          <t>NORRTÄLJE</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39213-2022</t>
        </is>
      </c>
      <c r="B1016" s="1" t="n">
        <v>44817.56120370371</v>
      </c>
      <c r="C1016" s="1" t="n">
        <v>45989</v>
      </c>
      <c r="D1016" t="inlineStr">
        <is>
          <t>STOCKHOLMS LÄN</t>
        </is>
      </c>
      <c r="E1016" t="inlineStr">
        <is>
          <t>NORRTÄLJE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36246-2021</t>
        </is>
      </c>
      <c r="B1017" s="1" t="n">
        <v>44390</v>
      </c>
      <c r="C1017" s="1" t="n">
        <v>45989</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15905-2023</t>
        </is>
      </c>
      <c r="B1018" s="1" t="n">
        <v>45022</v>
      </c>
      <c r="C1018" s="1" t="n">
        <v>45989</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11041-2025</t>
        </is>
      </c>
      <c r="B1019" s="1" t="n">
        <v>45723</v>
      </c>
      <c r="C1019" s="1" t="n">
        <v>45989</v>
      </c>
      <c r="D1019" t="inlineStr">
        <is>
          <t>STOCKHOLMS LÄN</t>
        </is>
      </c>
      <c r="E1019" t="inlineStr">
        <is>
          <t>NORRTÄLJE</t>
        </is>
      </c>
      <c r="F1019" t="inlineStr">
        <is>
          <t>Övriga Aktiebolag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44917-2022</t>
        </is>
      </c>
      <c r="B1020" s="1" t="n">
        <v>44841.52804398148</v>
      </c>
      <c r="C1020" s="1" t="n">
        <v>45989</v>
      </c>
      <c r="D1020" t="inlineStr">
        <is>
          <t>STOCKHOLMS LÄN</t>
        </is>
      </c>
      <c r="E1020" t="inlineStr">
        <is>
          <t>NORRTÄLJE</t>
        </is>
      </c>
      <c r="F1020" t="inlineStr">
        <is>
          <t>Holmen skog AB</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33173-2024</t>
        </is>
      </c>
      <c r="B1021" s="1" t="n">
        <v>45518</v>
      </c>
      <c r="C1021" s="1" t="n">
        <v>45989</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17551-2025</t>
        </is>
      </c>
      <c r="B1022" s="1" t="n">
        <v>45757.61421296297</v>
      </c>
      <c r="C1022" s="1" t="n">
        <v>45989</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10678-2025</t>
        </is>
      </c>
      <c r="B1023" s="1" t="n">
        <v>45721.89123842592</v>
      </c>
      <c r="C1023" s="1" t="n">
        <v>45989</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8370-2025</t>
        </is>
      </c>
      <c r="B1024" s="1" t="n">
        <v>45708</v>
      </c>
      <c r="C1024" s="1" t="n">
        <v>45989</v>
      </c>
      <c r="D1024" t="inlineStr">
        <is>
          <t>STOCKHOLMS LÄN</t>
        </is>
      </c>
      <c r="E1024" t="inlineStr">
        <is>
          <t>NORRTÄLJE</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951-2023</t>
        </is>
      </c>
      <c r="B1025" s="1" t="n">
        <v>44934</v>
      </c>
      <c r="C1025" s="1" t="n">
        <v>45989</v>
      </c>
      <c r="D1025" t="inlineStr">
        <is>
          <t>STOCKHOLMS LÄN</t>
        </is>
      </c>
      <c r="E1025" t="inlineStr">
        <is>
          <t>NORRTÄLJE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32100-2022</t>
        </is>
      </c>
      <c r="B1026" s="1" t="n">
        <v>44778</v>
      </c>
      <c r="C1026" s="1" t="n">
        <v>45989</v>
      </c>
      <c r="D1026" t="inlineStr">
        <is>
          <t>STOCKHOLMS LÄN</t>
        </is>
      </c>
      <c r="E1026" t="inlineStr">
        <is>
          <t>NORRTÄLJE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2888-2022</t>
        </is>
      </c>
      <c r="B1027" s="1" t="n">
        <v>44581</v>
      </c>
      <c r="C1027" s="1" t="n">
        <v>45989</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11902-2024</t>
        </is>
      </c>
      <c r="B1028" s="1" t="n">
        <v>45376.55704861111</v>
      </c>
      <c r="C1028" s="1" t="n">
        <v>45989</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13-2024</t>
        </is>
      </c>
      <c r="B1029" s="1" t="n">
        <v>45293.37263888889</v>
      </c>
      <c r="C1029" s="1" t="n">
        <v>45989</v>
      </c>
      <c r="D1029" t="inlineStr">
        <is>
          <t>STOCKHOLMS LÄN</t>
        </is>
      </c>
      <c r="E1029" t="inlineStr">
        <is>
          <t>NORRTÄLJE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58260-2023</t>
        </is>
      </c>
      <c r="B1030" s="1" t="n">
        <v>45245</v>
      </c>
      <c r="C1030" s="1" t="n">
        <v>45989</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58261-2023</t>
        </is>
      </c>
      <c r="B1031" s="1" t="n">
        <v>45245</v>
      </c>
      <c r="C1031" s="1" t="n">
        <v>45989</v>
      </c>
      <c r="D1031" t="inlineStr">
        <is>
          <t>STOCKHOLMS LÄN</t>
        </is>
      </c>
      <c r="E1031" t="inlineStr">
        <is>
          <t>NORRTÄLJE</t>
        </is>
      </c>
      <c r="G1031" t="n">
        <v>53.5</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44956.65920138889</v>
      </c>
      <c r="C1032" s="1" t="n">
        <v>45989</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44931.65626157408</v>
      </c>
      <c r="C1033" s="1" t="n">
        <v>45989</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24575-2024</t>
        </is>
      </c>
      <c r="B1034" s="1" t="n">
        <v>45460.45523148148</v>
      </c>
      <c r="C1034" s="1" t="n">
        <v>45989</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19-2024</t>
        </is>
      </c>
      <c r="B1035" s="1" t="n">
        <v>45293</v>
      </c>
      <c r="C1035" s="1" t="n">
        <v>45989</v>
      </c>
      <c r="D1035" t="inlineStr">
        <is>
          <t>STOCKHOLMS LÄN</t>
        </is>
      </c>
      <c r="E1035" t="inlineStr">
        <is>
          <t>NORRTÄLJE</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11333-2025</t>
        </is>
      </c>
      <c r="B1036" s="1" t="n">
        <v>45726.48377314815</v>
      </c>
      <c r="C1036" s="1" t="n">
        <v>45989</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21529-2021</t>
        </is>
      </c>
      <c r="B1037" s="1" t="n">
        <v>44321</v>
      </c>
      <c r="C1037" s="1" t="n">
        <v>45989</v>
      </c>
      <c r="D1037" t="inlineStr">
        <is>
          <t>STOCKHOLMS LÄN</t>
        </is>
      </c>
      <c r="E1037" t="inlineStr">
        <is>
          <t>NORRTÄLJE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31827-2023</t>
        </is>
      </c>
      <c r="B1038" s="1" t="n">
        <v>45118</v>
      </c>
      <c r="C1038" s="1" t="n">
        <v>45989</v>
      </c>
      <c r="D1038" t="inlineStr">
        <is>
          <t>STOCKHOLMS LÄN</t>
        </is>
      </c>
      <c r="E1038" t="inlineStr">
        <is>
          <t>NORRTÄLJE</t>
        </is>
      </c>
      <c r="F1038" t="inlineStr">
        <is>
          <t>Kyrkan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10973-2025</t>
        </is>
      </c>
      <c r="B1039" s="1" t="n">
        <v>45723</v>
      </c>
      <c r="C1039" s="1" t="n">
        <v>45989</v>
      </c>
      <c r="D1039" t="inlineStr">
        <is>
          <t>STOCKHOLMS LÄN</t>
        </is>
      </c>
      <c r="E1039" t="inlineStr">
        <is>
          <t>NORRTÄLJE</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54496-2024</t>
        </is>
      </c>
      <c r="B1040" s="1" t="n">
        <v>45617.57439814815</v>
      </c>
      <c r="C1040" s="1" t="n">
        <v>45989</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7796-2025</t>
        </is>
      </c>
      <c r="B1041" s="1" t="n">
        <v>45706.60130787037</v>
      </c>
      <c r="C1041" s="1" t="n">
        <v>45989</v>
      </c>
      <c r="D1041" t="inlineStr">
        <is>
          <t>STOCKHOLMS LÄN</t>
        </is>
      </c>
      <c r="E1041" t="inlineStr">
        <is>
          <t>NORRTÄLJE</t>
        </is>
      </c>
      <c r="F1041" t="inlineStr">
        <is>
          <t>Holmen skog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45989</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22756-2022</t>
        </is>
      </c>
      <c r="B1043" s="1" t="n">
        <v>44714.92253472222</v>
      </c>
      <c r="C1043" s="1" t="n">
        <v>45989</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58311-2023</t>
        </is>
      </c>
      <c r="B1044" s="1" t="n">
        <v>45245</v>
      </c>
      <c r="C1044" s="1" t="n">
        <v>45989</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45989</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26640-2023</t>
        </is>
      </c>
      <c r="B1046" s="1" t="n">
        <v>45092</v>
      </c>
      <c r="C1046" s="1" t="n">
        <v>45989</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62765-2022</t>
        </is>
      </c>
      <c r="B1047" s="1" t="n">
        <v>44637</v>
      </c>
      <c r="C1047" s="1" t="n">
        <v>45989</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38990-2022</t>
        </is>
      </c>
      <c r="B1048" s="1" t="n">
        <v>44816</v>
      </c>
      <c r="C1048" s="1" t="n">
        <v>45989</v>
      </c>
      <c r="D1048" t="inlineStr">
        <is>
          <t>STOCKHOLMS LÄN</t>
        </is>
      </c>
      <c r="E1048" t="inlineStr">
        <is>
          <t>NORRTÄLJE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17545-2025</t>
        </is>
      </c>
      <c r="B1049" s="1" t="n">
        <v>45757.60658564815</v>
      </c>
      <c r="C1049" s="1" t="n">
        <v>45989</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17956-2025</t>
        </is>
      </c>
      <c r="B1050" s="1" t="n">
        <v>45760.91174768518</v>
      </c>
      <c r="C1050" s="1" t="n">
        <v>45989</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23265-2023</t>
        </is>
      </c>
      <c r="B1051" s="1" t="n">
        <v>45075.90703703704</v>
      </c>
      <c r="C1051" s="1" t="n">
        <v>45989</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30268-2024</t>
        </is>
      </c>
      <c r="B1052" s="1" t="n">
        <v>45490.60572916667</v>
      </c>
      <c r="C1052" s="1" t="n">
        <v>45989</v>
      </c>
      <c r="D1052" t="inlineStr">
        <is>
          <t>STOCKHOLMS LÄN</t>
        </is>
      </c>
      <c r="E1052" t="inlineStr">
        <is>
          <t>NORRTÄLJE</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59535-2024</t>
        </is>
      </c>
      <c r="B1053" s="1" t="n">
        <v>45638.59979166667</v>
      </c>
      <c r="C1053" s="1" t="n">
        <v>45989</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9246-2024</t>
        </is>
      </c>
      <c r="B1054" s="1" t="n">
        <v>45357</v>
      </c>
      <c r="C1054" s="1" t="n">
        <v>45989</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20852-2023</t>
        </is>
      </c>
      <c r="B1055" s="1" t="n">
        <v>45058.78607638889</v>
      </c>
      <c r="C1055" s="1" t="n">
        <v>45989</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50355-2024</t>
        </is>
      </c>
      <c r="B1056" s="1" t="n">
        <v>45600.86128472222</v>
      </c>
      <c r="C1056" s="1" t="n">
        <v>45989</v>
      </c>
      <c r="D1056" t="inlineStr">
        <is>
          <t>STOCKHOLMS LÄN</t>
        </is>
      </c>
      <c r="E1056" t="inlineStr">
        <is>
          <t>NORRTÄLJE</t>
        </is>
      </c>
      <c r="F1056" t="inlineStr">
        <is>
          <t>Kommuner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60694-2024</t>
        </is>
      </c>
      <c r="B1057" s="1" t="n">
        <v>45644.47878472223</v>
      </c>
      <c r="C1057" s="1" t="n">
        <v>45989</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25094-2023</t>
        </is>
      </c>
      <c r="B1058" s="1" t="n">
        <v>45086.3629050926</v>
      </c>
      <c r="C1058" s="1" t="n">
        <v>45989</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59276-2023</t>
        </is>
      </c>
      <c r="B1059" s="1" t="n">
        <v>45253.55641203704</v>
      </c>
      <c r="C1059" s="1" t="n">
        <v>45989</v>
      </c>
      <c r="D1059" t="inlineStr">
        <is>
          <t>STOCKHOLMS LÄN</t>
        </is>
      </c>
      <c r="E1059" t="inlineStr">
        <is>
          <t>NORRTÄLJE</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13767-2025</t>
        </is>
      </c>
      <c r="B1060" s="1" t="n">
        <v>45737.43347222222</v>
      </c>
      <c r="C1060" s="1" t="n">
        <v>45989</v>
      </c>
      <c r="D1060" t="inlineStr">
        <is>
          <t>STOCKHOLMS LÄN</t>
        </is>
      </c>
      <c r="E1060" t="inlineStr">
        <is>
          <t>NORRTÄLJE</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41587-2023</t>
        </is>
      </c>
      <c r="B1061" s="1" t="n">
        <v>45175</v>
      </c>
      <c r="C1061" s="1" t="n">
        <v>45989</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27381-2024</t>
        </is>
      </c>
      <c r="B1062" s="1" t="n">
        <v>45473.94501157408</v>
      </c>
      <c r="C1062" s="1" t="n">
        <v>45989</v>
      </c>
      <c r="D1062" t="inlineStr">
        <is>
          <t>STOCKHOLMS LÄN</t>
        </is>
      </c>
      <c r="E1062" t="inlineStr">
        <is>
          <t>NORRTÄLJE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60529-2023</t>
        </is>
      </c>
      <c r="B1063" s="1" t="n">
        <v>45259</v>
      </c>
      <c r="C1063" s="1" t="n">
        <v>45989</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59326-2023</t>
        </is>
      </c>
      <c r="B1064" s="1" t="n">
        <v>45253.63089120371</v>
      </c>
      <c r="C1064" s="1" t="n">
        <v>45989</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20790-2025</t>
        </is>
      </c>
      <c r="B1065" s="1" t="n">
        <v>45776.62563657408</v>
      </c>
      <c r="C1065" s="1" t="n">
        <v>45989</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3152-2024</t>
        </is>
      </c>
      <c r="B1066" s="1" t="n">
        <v>45316.60306712963</v>
      </c>
      <c r="C1066" s="1" t="n">
        <v>45989</v>
      </c>
      <c r="D1066" t="inlineStr">
        <is>
          <t>STOCKHOLMS LÄN</t>
        </is>
      </c>
      <c r="E1066" t="inlineStr">
        <is>
          <t>NORRTÄLJE</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20699-2025</t>
        </is>
      </c>
      <c r="B1067" s="1" t="n">
        <v>45776.47346064815</v>
      </c>
      <c r="C1067" s="1" t="n">
        <v>45989</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20779-2025</t>
        </is>
      </c>
      <c r="B1068" s="1" t="n">
        <v>45776.59871527777</v>
      </c>
      <c r="C1068" s="1" t="n">
        <v>45989</v>
      </c>
      <c r="D1068" t="inlineStr">
        <is>
          <t>STOCKHOLMS LÄN</t>
        </is>
      </c>
      <c r="E1068" t="inlineStr">
        <is>
          <t>NORRTÄLJE</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44836-2023</t>
        </is>
      </c>
      <c r="B1069" s="1" t="n">
        <v>45190.55609953704</v>
      </c>
      <c r="C1069" s="1" t="n">
        <v>45989</v>
      </c>
      <c r="D1069" t="inlineStr">
        <is>
          <t>STOCKHOLMS LÄN</t>
        </is>
      </c>
      <c r="E1069" t="inlineStr">
        <is>
          <t>NORRTÄLJE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21771-2025</t>
        </is>
      </c>
      <c r="B1070" s="1" t="n">
        <v>45783</v>
      </c>
      <c r="C1070" s="1" t="n">
        <v>45989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21778-2025</t>
        </is>
      </c>
      <c r="B1071" s="1" t="n">
        <v>45783.66429398148</v>
      </c>
      <c r="C1071" s="1" t="n">
        <v>45989</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12902-2024</t>
        </is>
      </c>
      <c r="B1072" s="1" t="n">
        <v>45385.38146990741</v>
      </c>
      <c r="C1072" s="1" t="n">
        <v>45989</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39237-2024</t>
        </is>
      </c>
      <c r="B1073" s="1" t="n">
        <v>45549</v>
      </c>
      <c r="C1073" s="1" t="n">
        <v>45989</v>
      </c>
      <c r="D1073" t="inlineStr">
        <is>
          <t>STOCKHOLMS LÄN</t>
        </is>
      </c>
      <c r="E1073" t="inlineStr">
        <is>
          <t>NORRTÄLJE</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44891-2023</t>
        </is>
      </c>
      <c r="B1074" s="1" t="n">
        <v>45187</v>
      </c>
      <c r="C1074" s="1" t="n">
        <v>45989</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13268-2025</t>
        </is>
      </c>
      <c r="B1075" s="1" t="n">
        <v>45735</v>
      </c>
      <c r="C1075" s="1" t="n">
        <v>45989</v>
      </c>
      <c r="D1075" t="inlineStr">
        <is>
          <t>STOCKHOLMS LÄN</t>
        </is>
      </c>
      <c r="E1075" t="inlineStr">
        <is>
          <t>NORRTÄLJE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8414-2025</t>
        </is>
      </c>
      <c r="B1076" s="1" t="n">
        <v>45709.39361111111</v>
      </c>
      <c r="C1076" s="1" t="n">
        <v>45989</v>
      </c>
      <c r="D1076" t="inlineStr">
        <is>
          <t>STOCKHOLMS LÄN</t>
        </is>
      </c>
      <c r="E1076" t="inlineStr">
        <is>
          <t>NORRTÄLJE</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44032-2024</t>
        </is>
      </c>
      <c r="B1077" s="1" t="n">
        <v>45572.57828703704</v>
      </c>
      <c r="C1077" s="1" t="n">
        <v>45989</v>
      </c>
      <c r="D1077" t="inlineStr">
        <is>
          <t>STOCKHOLMS LÄN</t>
        </is>
      </c>
      <c r="E1077" t="inlineStr">
        <is>
          <t>NORRTÄLJE</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24563-2024</t>
        </is>
      </c>
      <c r="B1078" s="1" t="n">
        <v>45460.44347222222</v>
      </c>
      <c r="C1078" s="1" t="n">
        <v>45989</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22202-2025</t>
        </is>
      </c>
      <c r="B1079" s="1" t="n">
        <v>45785.65300925926</v>
      </c>
      <c r="C1079" s="1" t="n">
        <v>45989</v>
      </c>
      <c r="D1079" t="inlineStr">
        <is>
          <t>STOCKHOLMS LÄN</t>
        </is>
      </c>
      <c r="E1079" t="inlineStr">
        <is>
          <t>NORRTÄLJE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36625-2024</t>
        </is>
      </c>
      <c r="B1080" s="1" t="n">
        <v>45537</v>
      </c>
      <c r="C1080" s="1" t="n">
        <v>45989</v>
      </c>
      <c r="D1080" t="inlineStr">
        <is>
          <t>STOCKHOLMS LÄN</t>
        </is>
      </c>
      <c r="E1080" t="inlineStr">
        <is>
          <t>NORRTÄLJE</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45746-2024</t>
        </is>
      </c>
      <c r="B1081" s="1" t="n">
        <v>45579</v>
      </c>
      <c r="C1081" s="1" t="n">
        <v>45989</v>
      </c>
      <c r="D1081" t="inlineStr">
        <is>
          <t>STOCKHOLMS LÄN</t>
        </is>
      </c>
      <c r="E1081" t="inlineStr">
        <is>
          <t>NORRTÄLJE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8400-2024</t>
        </is>
      </c>
      <c r="B1082" s="1" t="n">
        <v>45352.74090277778</v>
      </c>
      <c r="C1082" s="1" t="n">
        <v>45989</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2182-2022</t>
        </is>
      </c>
      <c r="B1083" s="1" t="n">
        <v>44578</v>
      </c>
      <c r="C1083" s="1" t="n">
        <v>45989</v>
      </c>
      <c r="D1083" t="inlineStr">
        <is>
          <t>STOCKHOLMS LÄN</t>
        </is>
      </c>
      <c r="E1083" t="inlineStr">
        <is>
          <t>NORRTÄLJE</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16620-2024</t>
        </is>
      </c>
      <c r="B1084" s="1" t="n">
        <v>45408.57707175926</v>
      </c>
      <c r="C1084" s="1" t="n">
        <v>45989</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22416-2025</t>
        </is>
      </c>
      <c r="B1085" s="1" t="n">
        <v>45786.55645833333</v>
      </c>
      <c r="C1085" s="1" t="n">
        <v>45989</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58785-2024</t>
        </is>
      </c>
      <c r="B1086" s="1" t="n">
        <v>45635.88849537037</v>
      </c>
      <c r="C1086" s="1" t="n">
        <v>45989</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62998-2023</t>
        </is>
      </c>
      <c r="B1087" s="1" t="n">
        <v>45272.64479166667</v>
      </c>
      <c r="C1087" s="1" t="n">
        <v>45989</v>
      </c>
      <c r="D1087" t="inlineStr">
        <is>
          <t>STOCKHOLMS LÄN</t>
        </is>
      </c>
      <c r="E1087" t="inlineStr">
        <is>
          <t>NORRTÄLJE</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63015-2023</t>
        </is>
      </c>
      <c r="B1088" s="1" t="n">
        <v>45272</v>
      </c>
      <c r="C1088" s="1" t="n">
        <v>45989</v>
      </c>
      <c r="D1088" t="inlineStr">
        <is>
          <t>STOCKHOLMS LÄN</t>
        </is>
      </c>
      <c r="E1088" t="inlineStr">
        <is>
          <t>NORRTÄLJE</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12901-2024</t>
        </is>
      </c>
      <c r="B1089" s="1" t="n">
        <v>45385.37922453704</v>
      </c>
      <c r="C1089" s="1" t="n">
        <v>45989</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12301-2025</t>
        </is>
      </c>
      <c r="B1090" s="1" t="n">
        <v>45729.7271875</v>
      </c>
      <c r="C1090" s="1" t="n">
        <v>45989</v>
      </c>
      <c r="D1090" t="inlineStr">
        <is>
          <t>STOCKHOLMS LÄN</t>
        </is>
      </c>
      <c r="E1090" t="inlineStr">
        <is>
          <t>NORRTÄLJE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8950-2025</t>
        </is>
      </c>
      <c r="B1091" s="1" t="n">
        <v>45713</v>
      </c>
      <c r="C1091" s="1" t="n">
        <v>45989</v>
      </c>
      <c r="D1091" t="inlineStr">
        <is>
          <t>STOCKHOLMS LÄN</t>
        </is>
      </c>
      <c r="E1091" t="inlineStr">
        <is>
          <t>NORRTÄLJE</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20730-2024</t>
        </is>
      </c>
      <c r="B1092" s="1" t="n">
        <v>45436</v>
      </c>
      <c r="C1092" s="1" t="n">
        <v>45989</v>
      </c>
      <c r="D1092" t="inlineStr">
        <is>
          <t>STOCKHOLMS LÄN</t>
        </is>
      </c>
      <c r="E1092" t="inlineStr">
        <is>
          <t>NORRTÄLJE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33175-2024</t>
        </is>
      </c>
      <c r="B1093" s="1" t="n">
        <v>45518</v>
      </c>
      <c r="C1093" s="1" t="n">
        <v>45989</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13283-2025</t>
        </is>
      </c>
      <c r="B1094" s="1" t="n">
        <v>45735</v>
      </c>
      <c r="C1094" s="1" t="n">
        <v>45989</v>
      </c>
      <c r="D1094" t="inlineStr">
        <is>
          <t>STOCKHOLMS LÄN</t>
        </is>
      </c>
      <c r="E1094" t="inlineStr">
        <is>
          <t>NORRTÄLJE</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27831-2024</t>
        </is>
      </c>
      <c r="B1095" s="1" t="n">
        <v>45475.61896990741</v>
      </c>
      <c r="C1095" s="1" t="n">
        <v>45989</v>
      </c>
      <c r="D1095" t="inlineStr">
        <is>
          <t>STOCKHOLMS LÄN</t>
        </is>
      </c>
      <c r="E1095" t="inlineStr">
        <is>
          <t>NORRTÄLJE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21803-2022</t>
        </is>
      </c>
      <c r="B1096" s="1" t="n">
        <v>44708.67822916667</v>
      </c>
      <c r="C1096" s="1" t="n">
        <v>45989</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24687-2025</t>
        </is>
      </c>
      <c r="B1097" s="1" t="n">
        <v>45798.66767361111</v>
      </c>
      <c r="C1097" s="1" t="n">
        <v>45989</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24690-2025</t>
        </is>
      </c>
      <c r="B1098" s="1" t="n">
        <v>45798.67082175926</v>
      </c>
      <c r="C1098" s="1" t="n">
        <v>45989</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24638-2025</t>
        </is>
      </c>
      <c r="B1099" s="1" t="n">
        <v>45798</v>
      </c>
      <c r="C1099" s="1" t="n">
        <v>45989</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c r="A1100" t="inlineStr">
        <is>
          <t>A 24351-2025</t>
        </is>
      </c>
      <c r="B1100" s="1" t="n">
        <v>45797.58399305555</v>
      </c>
      <c r="C1100" s="1" t="n">
        <v>45989</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2025-11-28T10:22:40Z</dcterms:modified>
</cp:coreProperties>
</file>