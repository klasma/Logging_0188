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45725</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45725</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45725</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45725</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45725</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45725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45725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45725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45725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45725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45725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45725</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45725</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45725</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45725</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45725</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45725</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45725</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45725</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45725</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45725</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45725</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45725</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45725</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45725</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45725</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45725</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45725</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45725</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45725</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45725</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45725</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45725</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45725</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45725</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45725</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45725</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45725</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45725</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45725</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45725</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45725</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45725</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45725</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45725</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45725</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56792-2024</t>
        </is>
      </c>
      <c r="B59" s="1" t="n">
        <v>45628</v>
      </c>
      <c r="C59" s="1" t="n">
        <v>45725</v>
      </c>
      <c r="D59" t="inlineStr">
        <is>
          <t>STOCKHOLMS LÄN</t>
        </is>
      </c>
      <c r="E59" t="inlineStr">
        <is>
          <t>NORRTÄLJE</t>
        </is>
      </c>
      <c r="G59" t="n">
        <v>9.699999999999999</v>
      </c>
      <c r="H59" t="n">
        <v>4</v>
      </c>
      <c r="I59" t="n">
        <v>1</v>
      </c>
      <c r="J59" t="n">
        <v>2</v>
      </c>
      <c r="K59" t="n">
        <v>0</v>
      </c>
      <c r="L59" t="n">
        <v>0</v>
      </c>
      <c r="M59" t="n">
        <v>0</v>
      </c>
      <c r="N59" t="n">
        <v>0</v>
      </c>
      <c r="O59" t="n">
        <v>2</v>
      </c>
      <c r="P59" t="n">
        <v>0</v>
      </c>
      <c r="Q59" t="n">
        <v>6</v>
      </c>
      <c r="R59" s="2" t="inlineStr">
        <is>
          <t>Fyrflikig jordstjärna
Kandelabersvamp
Nästrot
Tjäder
Blåsippa
Revlummer</t>
        </is>
      </c>
      <c r="S59">
        <f>HYPERLINK("https://klasma.github.io/Logging_0188/artfynd/A 56792-2024 artfynd.xlsx", "A 56792-2024")</f>
        <v/>
      </c>
      <c r="T59">
        <f>HYPERLINK("https://klasma.github.io/Logging_0188/kartor/A 56792-2024 karta.png", "A 56792-2024")</f>
        <v/>
      </c>
      <c r="V59">
        <f>HYPERLINK("https://klasma.github.io/Logging_0188/klagomål/A 56792-2024 FSC-klagomål.docx", "A 56792-2024")</f>
        <v/>
      </c>
      <c r="W59">
        <f>HYPERLINK("https://klasma.github.io/Logging_0188/klagomålsmail/A 56792-2024 FSC-klagomål mail.docx", "A 56792-2024")</f>
        <v/>
      </c>
      <c r="X59">
        <f>HYPERLINK("https://klasma.github.io/Logging_0188/tillsyn/A 56792-2024 tillsynsbegäran.docx", "A 56792-2024")</f>
        <v/>
      </c>
      <c r="Y59">
        <f>HYPERLINK("https://klasma.github.io/Logging_0188/tillsynsmail/A 56792-2024 tillsynsbegäran mail.docx", "A 56792-2024")</f>
        <v/>
      </c>
      <c r="Z59">
        <f>HYPERLINK("https://klasma.github.io/Logging_0188/fåglar/A 56792-2024 prioriterade fågelarter.docx", "A 56792-2024")</f>
        <v/>
      </c>
    </row>
    <row r="60" ht="15" customHeight="1">
      <c r="A60" t="inlineStr">
        <is>
          <t>A 45469-2019</t>
        </is>
      </c>
      <c r="B60" s="1" t="n">
        <v>43714</v>
      </c>
      <c r="C60" s="1" t="n">
        <v>45725</v>
      </c>
      <c r="D60" t="inlineStr">
        <is>
          <t>STOCKHOLMS LÄN</t>
        </is>
      </c>
      <c r="E60" t="inlineStr">
        <is>
          <t>NORRTÄLJE</t>
        </is>
      </c>
      <c r="F60" t="inlineStr">
        <is>
          <t>Övriga statliga verk och myndigheter</t>
        </is>
      </c>
      <c r="G60" t="n">
        <v>10.6</v>
      </c>
      <c r="H60" t="n">
        <v>2</v>
      </c>
      <c r="I60" t="n">
        <v>3</v>
      </c>
      <c r="J60" t="n">
        <v>0</v>
      </c>
      <c r="K60" t="n">
        <v>0</v>
      </c>
      <c r="L60" t="n">
        <v>1</v>
      </c>
      <c r="M60" t="n">
        <v>0</v>
      </c>
      <c r="N60" t="n">
        <v>0</v>
      </c>
      <c r="O60" t="n">
        <v>1</v>
      </c>
      <c r="P60" t="n">
        <v>1</v>
      </c>
      <c r="Q60" t="n">
        <v>5</v>
      </c>
      <c r="R60" s="2" t="inlineStr">
        <is>
          <t>Ask
Hasselticka
Sårläka
Tvåblad
Blåsippa</t>
        </is>
      </c>
      <c r="S60">
        <f>HYPERLINK("https://klasma.github.io/Logging_0188/artfynd/A 45469-2019 artfynd.xlsx", "A 45469-2019")</f>
        <v/>
      </c>
      <c r="T60">
        <f>HYPERLINK("https://klasma.github.io/Logging_0188/kartor/A 45469-2019 karta.png", "A 45469-2019")</f>
        <v/>
      </c>
      <c r="V60">
        <f>HYPERLINK("https://klasma.github.io/Logging_0188/klagomål/A 45469-2019 FSC-klagomål.docx", "A 45469-2019")</f>
        <v/>
      </c>
      <c r="W60">
        <f>HYPERLINK("https://klasma.github.io/Logging_0188/klagomålsmail/A 45469-2019 FSC-klagomål mail.docx", "A 45469-2019")</f>
        <v/>
      </c>
      <c r="X60">
        <f>HYPERLINK("https://klasma.github.io/Logging_0188/tillsyn/A 45469-2019 tillsynsbegäran.docx", "A 45469-2019")</f>
        <v/>
      </c>
      <c r="Y60">
        <f>HYPERLINK("https://klasma.github.io/Logging_0188/tillsynsmail/A 45469-2019 tillsynsbegäran mail.docx", "A 45469-2019")</f>
        <v/>
      </c>
    </row>
    <row r="61" ht="15" customHeight="1">
      <c r="A61" t="inlineStr">
        <is>
          <t>A 42457-2020</t>
        </is>
      </c>
      <c r="B61" s="1" t="n">
        <v>44076</v>
      </c>
      <c r="C61" s="1" t="n">
        <v>45725</v>
      </c>
      <c r="D61" t="inlineStr">
        <is>
          <t>STOCKHOLMS LÄN</t>
        </is>
      </c>
      <c r="E61" t="inlineStr">
        <is>
          <t>NORRTÄLJE</t>
        </is>
      </c>
      <c r="F61" t="inlineStr">
        <is>
          <t>Kommuner</t>
        </is>
      </c>
      <c r="G61" t="n">
        <v>3.1</v>
      </c>
      <c r="H61" t="n">
        <v>2</v>
      </c>
      <c r="I61" t="n">
        <v>3</v>
      </c>
      <c r="J61" t="n">
        <v>1</v>
      </c>
      <c r="K61" t="n">
        <v>0</v>
      </c>
      <c r="L61" t="n">
        <v>0</v>
      </c>
      <c r="M61" t="n">
        <v>0</v>
      </c>
      <c r="N61" t="n">
        <v>0</v>
      </c>
      <c r="O61" t="n">
        <v>1</v>
      </c>
      <c r="P61" t="n">
        <v>0</v>
      </c>
      <c r="Q61" t="n">
        <v>5</v>
      </c>
      <c r="R61" s="2" t="inlineStr">
        <is>
          <t>Spillkråka
Granbräken
Jättesvampmal
Thomsons trägnagare
Blåsippa</t>
        </is>
      </c>
      <c r="S61">
        <f>HYPERLINK("https://klasma.github.io/Logging_0188/artfynd/A 42457-2020 artfynd.xlsx", "A 42457-2020")</f>
        <v/>
      </c>
      <c r="T61">
        <f>HYPERLINK("https://klasma.github.io/Logging_0188/kartor/A 42457-2020 karta.png", "A 42457-2020")</f>
        <v/>
      </c>
      <c r="V61">
        <f>HYPERLINK("https://klasma.github.io/Logging_0188/klagomål/A 42457-2020 FSC-klagomål.docx", "A 42457-2020")</f>
        <v/>
      </c>
      <c r="W61">
        <f>HYPERLINK("https://klasma.github.io/Logging_0188/klagomålsmail/A 42457-2020 FSC-klagomål mail.docx", "A 42457-2020")</f>
        <v/>
      </c>
      <c r="X61">
        <f>HYPERLINK("https://klasma.github.io/Logging_0188/tillsyn/A 42457-2020 tillsynsbegäran.docx", "A 42457-2020")</f>
        <v/>
      </c>
      <c r="Y61">
        <f>HYPERLINK("https://klasma.github.io/Logging_0188/tillsynsmail/A 42457-2020 tillsynsbegäran mail.docx", "A 42457-2020")</f>
        <v/>
      </c>
      <c r="Z61">
        <f>HYPERLINK("https://klasma.github.io/Logging_0188/fåglar/A 42457-2020 prioriterade fågelarter.docx", "A 42457-2020")</f>
        <v/>
      </c>
    </row>
    <row r="62" ht="15" customHeight="1">
      <c r="A62" t="inlineStr">
        <is>
          <t>A 72111-2021</t>
        </is>
      </c>
      <c r="B62" s="1" t="n">
        <v>44544</v>
      </c>
      <c r="C62" s="1" t="n">
        <v>45725</v>
      </c>
      <c r="D62" t="inlineStr">
        <is>
          <t>STOCKHOLMS LÄN</t>
        </is>
      </c>
      <c r="E62" t="inlineStr">
        <is>
          <t>NORRTÄLJE</t>
        </is>
      </c>
      <c r="G62" t="n">
        <v>5.1</v>
      </c>
      <c r="H62" t="n">
        <v>1</v>
      </c>
      <c r="I62" t="n">
        <v>3</v>
      </c>
      <c r="J62" t="n">
        <v>1</v>
      </c>
      <c r="K62" t="n">
        <v>0</v>
      </c>
      <c r="L62" t="n">
        <v>0</v>
      </c>
      <c r="M62" t="n">
        <v>0</v>
      </c>
      <c r="N62" t="n">
        <v>0</v>
      </c>
      <c r="O62" t="n">
        <v>1</v>
      </c>
      <c r="P62" t="n">
        <v>0</v>
      </c>
      <c r="Q62" t="n">
        <v>5</v>
      </c>
      <c r="R62" s="2" t="inlineStr">
        <is>
          <t>Lunglav
Scharlakansvårskål agg.
Sårläka
Vårärt
Blåsippa</t>
        </is>
      </c>
      <c r="S62">
        <f>HYPERLINK("https://klasma.github.io/Logging_0188/artfynd/A 72111-2021 artfynd.xlsx", "A 72111-2021")</f>
        <v/>
      </c>
      <c r="T62">
        <f>HYPERLINK("https://klasma.github.io/Logging_0188/kartor/A 72111-2021 karta.png", "A 72111-2021")</f>
        <v/>
      </c>
      <c r="V62">
        <f>HYPERLINK("https://klasma.github.io/Logging_0188/klagomål/A 72111-2021 FSC-klagomål.docx", "A 72111-2021")</f>
        <v/>
      </c>
      <c r="W62">
        <f>HYPERLINK("https://klasma.github.io/Logging_0188/klagomålsmail/A 72111-2021 FSC-klagomål mail.docx", "A 72111-2021")</f>
        <v/>
      </c>
      <c r="X62">
        <f>HYPERLINK("https://klasma.github.io/Logging_0188/tillsyn/A 72111-2021 tillsynsbegäran.docx", "A 72111-2021")</f>
        <v/>
      </c>
      <c r="Y62">
        <f>HYPERLINK("https://klasma.github.io/Logging_0188/tillsynsmail/A 72111-2021 tillsynsbegäran mail.docx", "A 72111-2021")</f>
        <v/>
      </c>
    </row>
    <row r="63" ht="15" customHeight="1">
      <c r="A63" t="inlineStr">
        <is>
          <t>A 21922-2023</t>
        </is>
      </c>
      <c r="B63" s="1" t="n">
        <v>45068</v>
      </c>
      <c r="C63" s="1" t="n">
        <v>45725</v>
      </c>
      <c r="D63" t="inlineStr">
        <is>
          <t>STOCKHOLMS LÄN</t>
        </is>
      </c>
      <c r="E63" t="inlineStr">
        <is>
          <t>NORRTÄLJE</t>
        </is>
      </c>
      <c r="G63" t="n">
        <v>4.9</v>
      </c>
      <c r="H63" t="n">
        <v>2</v>
      </c>
      <c r="I63" t="n">
        <v>2</v>
      </c>
      <c r="J63" t="n">
        <v>1</v>
      </c>
      <c r="K63" t="n">
        <v>0</v>
      </c>
      <c r="L63" t="n">
        <v>0</v>
      </c>
      <c r="M63" t="n">
        <v>0</v>
      </c>
      <c r="N63" t="n">
        <v>0</v>
      </c>
      <c r="O63" t="n">
        <v>1</v>
      </c>
      <c r="P63" t="n">
        <v>0</v>
      </c>
      <c r="Q63" t="n">
        <v>5</v>
      </c>
      <c r="R63" s="2" t="inlineStr">
        <is>
          <t>Asppraktbagge
Stor aspticka
Svavelriska
Blåsippa
Gullviva</t>
        </is>
      </c>
      <c r="S63">
        <f>HYPERLINK("https://klasma.github.io/Logging_0188/artfynd/A 21922-2023 artfynd.xlsx", "A 21922-2023")</f>
        <v/>
      </c>
      <c r="T63">
        <f>HYPERLINK("https://klasma.github.io/Logging_0188/kartor/A 21922-2023 karta.png", "A 21922-2023")</f>
        <v/>
      </c>
      <c r="V63">
        <f>HYPERLINK("https://klasma.github.io/Logging_0188/klagomål/A 21922-2023 FSC-klagomål.docx", "A 21922-2023")</f>
        <v/>
      </c>
      <c r="W63">
        <f>HYPERLINK("https://klasma.github.io/Logging_0188/klagomålsmail/A 21922-2023 FSC-klagomål mail.docx", "A 21922-2023")</f>
        <v/>
      </c>
      <c r="X63">
        <f>HYPERLINK("https://klasma.github.io/Logging_0188/tillsyn/A 21922-2023 tillsynsbegäran.docx", "A 21922-2023")</f>
        <v/>
      </c>
      <c r="Y63">
        <f>HYPERLINK("https://klasma.github.io/Logging_0188/tillsynsmail/A 21922-2023 tillsynsbegäran mail.docx", "A 21922-2023")</f>
        <v/>
      </c>
    </row>
    <row r="64" ht="15" customHeight="1">
      <c r="A64" t="inlineStr">
        <is>
          <t>A 21927-2023</t>
        </is>
      </c>
      <c r="B64" s="1" t="n">
        <v>45068</v>
      </c>
      <c r="C64" s="1" t="n">
        <v>45725</v>
      </c>
      <c r="D64" t="inlineStr">
        <is>
          <t>STOCKHOLMS LÄN</t>
        </is>
      </c>
      <c r="E64" t="inlineStr">
        <is>
          <t>NORRTÄLJE</t>
        </is>
      </c>
      <c r="G64" t="n">
        <v>1.4</v>
      </c>
      <c r="H64" t="n">
        <v>4</v>
      </c>
      <c r="I64" t="n">
        <v>2</v>
      </c>
      <c r="J64" t="n">
        <v>1</v>
      </c>
      <c r="K64" t="n">
        <v>0</v>
      </c>
      <c r="L64" t="n">
        <v>0</v>
      </c>
      <c r="M64" t="n">
        <v>0</v>
      </c>
      <c r="N64" t="n">
        <v>0</v>
      </c>
      <c r="O64" t="n">
        <v>1</v>
      </c>
      <c r="P64" t="n">
        <v>0</v>
      </c>
      <c r="Q64" t="n">
        <v>5</v>
      </c>
      <c r="R64" s="2" t="inlineStr">
        <is>
          <t>Slåtterfibbla
Skogsknipprot
Tvåblad
Blåsippa
Gullviva</t>
        </is>
      </c>
      <c r="S64">
        <f>HYPERLINK("https://klasma.github.io/Logging_0188/artfynd/A 21927-2023 artfynd.xlsx", "A 21927-2023")</f>
        <v/>
      </c>
      <c r="T64">
        <f>HYPERLINK("https://klasma.github.io/Logging_0188/kartor/A 21927-2023 karta.png", "A 21927-2023")</f>
        <v/>
      </c>
      <c r="V64">
        <f>HYPERLINK("https://klasma.github.io/Logging_0188/klagomål/A 21927-2023 FSC-klagomål.docx", "A 21927-2023")</f>
        <v/>
      </c>
      <c r="W64">
        <f>HYPERLINK("https://klasma.github.io/Logging_0188/klagomålsmail/A 21927-2023 FSC-klagomål mail.docx", "A 21927-2023")</f>
        <v/>
      </c>
      <c r="X64">
        <f>HYPERLINK("https://klasma.github.io/Logging_0188/tillsyn/A 21927-2023 tillsynsbegäran.docx", "A 21927-2023")</f>
        <v/>
      </c>
      <c r="Y64">
        <f>HYPERLINK("https://klasma.github.io/Logging_0188/tillsynsmail/A 21927-2023 tillsynsbegäran mail.docx", "A 21927-2023")</f>
        <v/>
      </c>
    </row>
    <row r="65" ht="15" customHeight="1">
      <c r="A65" t="inlineStr">
        <is>
          <t>A 28298-2024</t>
        </is>
      </c>
      <c r="B65" s="1" t="n">
        <v>45477</v>
      </c>
      <c r="C65" s="1" t="n">
        <v>45725</v>
      </c>
      <c r="D65" t="inlineStr">
        <is>
          <t>STOCKHOLMS LÄN</t>
        </is>
      </c>
      <c r="E65" t="inlineStr">
        <is>
          <t>NORRTÄLJE</t>
        </is>
      </c>
      <c r="G65" t="n">
        <v>4.4</v>
      </c>
      <c r="H65" t="n">
        <v>3</v>
      </c>
      <c r="I65" t="n">
        <v>1</v>
      </c>
      <c r="J65" t="n">
        <v>1</v>
      </c>
      <c r="K65" t="n">
        <v>1</v>
      </c>
      <c r="L65" t="n">
        <v>0</v>
      </c>
      <c r="M65" t="n">
        <v>0</v>
      </c>
      <c r="N65" t="n">
        <v>0</v>
      </c>
      <c r="O65" t="n">
        <v>2</v>
      </c>
      <c r="P65" t="n">
        <v>1</v>
      </c>
      <c r="Q65" t="n">
        <v>5</v>
      </c>
      <c r="R65" s="2" t="inlineStr">
        <is>
          <t>Tallbit
Mindre bastardsvärmare
Vätteros
Adam och eva
Gullviva</t>
        </is>
      </c>
      <c r="S65">
        <f>HYPERLINK("https://klasma.github.io/Logging_0188/artfynd/A 28298-2024 artfynd.xlsx", "A 28298-2024")</f>
        <v/>
      </c>
      <c r="T65">
        <f>HYPERLINK("https://klasma.github.io/Logging_0188/kartor/A 28298-2024 karta.png", "A 28298-2024")</f>
        <v/>
      </c>
      <c r="V65">
        <f>HYPERLINK("https://klasma.github.io/Logging_0188/klagomål/A 28298-2024 FSC-klagomål.docx", "A 28298-2024")</f>
        <v/>
      </c>
      <c r="W65">
        <f>HYPERLINK("https://klasma.github.io/Logging_0188/klagomålsmail/A 28298-2024 FSC-klagomål mail.docx", "A 28298-2024")</f>
        <v/>
      </c>
      <c r="X65">
        <f>HYPERLINK("https://klasma.github.io/Logging_0188/tillsyn/A 28298-2024 tillsynsbegäran.docx", "A 28298-2024")</f>
        <v/>
      </c>
      <c r="Y65">
        <f>HYPERLINK("https://klasma.github.io/Logging_0188/tillsynsmail/A 28298-2024 tillsynsbegäran mail.docx", "A 28298-2024")</f>
        <v/>
      </c>
      <c r="Z65">
        <f>HYPERLINK("https://klasma.github.io/Logging_0188/fåglar/A 28298-2024 prioriterade fågelarter.docx", "A 28298-2024")</f>
        <v/>
      </c>
    </row>
    <row r="66" ht="15" customHeight="1">
      <c r="A66" t="inlineStr">
        <is>
          <t>A 46807-2024</t>
        </is>
      </c>
      <c r="B66" s="1" t="n">
        <v>45583</v>
      </c>
      <c r="C66" s="1" t="n">
        <v>45725</v>
      </c>
      <c r="D66" t="inlineStr">
        <is>
          <t>STOCKHOLMS LÄN</t>
        </is>
      </c>
      <c r="E66" t="inlineStr">
        <is>
          <t>NORRTÄLJE</t>
        </is>
      </c>
      <c r="G66" t="n">
        <v>6.5</v>
      </c>
      <c r="H66" t="n">
        <v>2</v>
      </c>
      <c r="I66" t="n">
        <v>2</v>
      </c>
      <c r="J66" t="n">
        <v>2</v>
      </c>
      <c r="K66" t="n">
        <v>0</v>
      </c>
      <c r="L66" t="n">
        <v>0</v>
      </c>
      <c r="M66" t="n">
        <v>0</v>
      </c>
      <c r="N66" t="n">
        <v>0</v>
      </c>
      <c r="O66" t="n">
        <v>2</v>
      </c>
      <c r="P66" t="n">
        <v>0</v>
      </c>
      <c r="Q66" t="n">
        <v>5</v>
      </c>
      <c r="R66" s="2" t="inlineStr">
        <is>
          <t>Loppstarr
Talltita
Rödgul trumpetsvamp
Zontaggsvamp
Blåsippa</t>
        </is>
      </c>
      <c r="S66">
        <f>HYPERLINK("https://klasma.github.io/Logging_0188/artfynd/A 46807-2024 artfynd.xlsx", "A 46807-2024")</f>
        <v/>
      </c>
      <c r="T66">
        <f>HYPERLINK("https://klasma.github.io/Logging_0188/kartor/A 46807-2024 karta.png", "A 46807-2024")</f>
        <v/>
      </c>
      <c r="V66">
        <f>HYPERLINK("https://klasma.github.io/Logging_0188/klagomål/A 46807-2024 FSC-klagomål.docx", "A 46807-2024")</f>
        <v/>
      </c>
      <c r="W66">
        <f>HYPERLINK("https://klasma.github.io/Logging_0188/klagomålsmail/A 46807-2024 FSC-klagomål mail.docx", "A 46807-2024")</f>
        <v/>
      </c>
      <c r="X66">
        <f>HYPERLINK("https://klasma.github.io/Logging_0188/tillsyn/A 46807-2024 tillsynsbegäran.docx", "A 46807-2024")</f>
        <v/>
      </c>
      <c r="Y66">
        <f>HYPERLINK("https://klasma.github.io/Logging_0188/tillsynsmail/A 46807-2024 tillsynsbegäran mail.docx", "A 46807-2024")</f>
        <v/>
      </c>
      <c r="Z66">
        <f>HYPERLINK("https://klasma.github.io/Logging_0188/fåglar/A 46807-2024 prioriterade fågelarter.docx", "A 46807-2024")</f>
        <v/>
      </c>
    </row>
    <row r="67" ht="15" customHeight="1">
      <c r="A67" t="inlineStr">
        <is>
          <t>A 9472-2025</t>
        </is>
      </c>
      <c r="B67" s="1" t="n">
        <v>45715</v>
      </c>
      <c r="C67" s="1" t="n">
        <v>45725</v>
      </c>
      <c r="D67" t="inlineStr">
        <is>
          <t>STOCKHOLMS LÄN</t>
        </is>
      </c>
      <c r="E67" t="inlineStr">
        <is>
          <t>NORRTÄLJE</t>
        </is>
      </c>
      <c r="G67" t="n">
        <v>11.9</v>
      </c>
      <c r="H67" t="n">
        <v>1</v>
      </c>
      <c r="I67" t="n">
        <v>3</v>
      </c>
      <c r="J67" t="n">
        <v>1</v>
      </c>
      <c r="K67" t="n">
        <v>1</v>
      </c>
      <c r="L67" t="n">
        <v>0</v>
      </c>
      <c r="M67" t="n">
        <v>0</v>
      </c>
      <c r="N67" t="n">
        <v>0</v>
      </c>
      <c r="O67" t="n">
        <v>2</v>
      </c>
      <c r="P67" t="n">
        <v>1</v>
      </c>
      <c r="Q67" t="n">
        <v>5</v>
      </c>
      <c r="R67" s="2" t="inlineStr">
        <is>
          <t>Knärot
Slåtterfibbla
Aprikosfingersvamp
Honungsvaxskivling
Ängsfingersvamp</t>
        </is>
      </c>
      <c r="S67">
        <f>HYPERLINK("https://klasma.github.io/Logging_0188/artfynd/A 9472-2025 artfynd.xlsx", "A 9472-2025")</f>
        <v/>
      </c>
      <c r="T67">
        <f>HYPERLINK("https://klasma.github.io/Logging_0188/kartor/A 9472-2025 karta.png", "A 9472-2025")</f>
        <v/>
      </c>
      <c r="U67">
        <f>HYPERLINK("https://klasma.github.io/Logging_0188/knärot/A 9472-2025 karta knärot.png", "A 9472-2025")</f>
        <v/>
      </c>
      <c r="V67">
        <f>HYPERLINK("https://klasma.github.io/Logging_0188/klagomål/A 9472-2025 FSC-klagomål.docx", "A 9472-2025")</f>
        <v/>
      </c>
      <c r="W67">
        <f>HYPERLINK("https://klasma.github.io/Logging_0188/klagomålsmail/A 9472-2025 FSC-klagomål mail.docx", "A 9472-2025")</f>
        <v/>
      </c>
      <c r="X67">
        <f>HYPERLINK("https://klasma.github.io/Logging_0188/tillsyn/A 9472-2025 tillsynsbegäran.docx", "A 9472-2025")</f>
        <v/>
      </c>
      <c r="Y67">
        <f>HYPERLINK("https://klasma.github.io/Logging_0188/tillsynsmail/A 9472-2025 tillsynsbegäran mail.docx", "A 9472-2025")</f>
        <v/>
      </c>
    </row>
    <row r="68" ht="15" customHeight="1">
      <c r="A68" t="inlineStr">
        <is>
          <t>A 25507-2019</t>
        </is>
      </c>
      <c r="B68" s="1" t="n">
        <v>43606</v>
      </c>
      <c r="C68" s="1" t="n">
        <v>45725</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45725</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45725</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45725</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45725</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45725</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45725</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45725</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45725</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45725</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45725</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45725</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45725</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45725</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45725</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45725</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45725</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45725</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45725</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45725</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45725</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45725</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45725</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45725</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45725</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45725</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45725</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45725</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45725</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45725</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45725</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45725</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45725</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45725</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45725</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45725</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45725</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45725</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45725</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45725</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45725</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45725</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45725</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45725</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45725</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45725</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45725</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45725</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45725</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45725</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45725</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45725</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45725</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45725</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45725</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45725</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45725</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45725</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45725</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45725</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45725</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45725</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45725</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45725</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45725</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45725</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45725</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45725</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45725</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45725</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45725</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45725</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45725</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45725</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45725</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45725</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45725</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45725</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45725</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45725</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45725</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45725</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45725</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45725</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45725</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45725</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45725</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45725</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45725</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45725</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45725</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45725</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45725</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45725</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45725</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45725</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45725</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45725</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45725</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45725</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45725</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45725</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45725</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45725</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45725</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45725</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45725</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45725</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45725</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45725</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45725</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45725</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45725</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45725</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45725</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45725</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45725</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45725</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45725</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45725</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45725</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45725</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45725</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45725</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45725</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45725</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45725</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45725</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45725</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45725</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45725</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45725</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45725</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45725</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45725</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45725</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45725</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45725</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45725</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45725</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45725</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45725</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45725</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45725</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45725</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45725</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45725</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45725</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45725</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45725</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45725</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45725</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45725</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45725</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45725</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45725</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45725</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45725</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45725</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45725</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45725</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45725</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45725</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45725</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45725</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45725</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45725</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45725</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45725</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45725</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45725</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45725</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45725</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45725</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45725</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45725</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45725</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45725</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45725</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45725</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45725</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45725</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45725</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45725</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45725</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45725</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45725</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45725</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45725</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45725</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45725</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45725</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45725</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45725</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45725</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45725</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45725</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45725</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45725</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45725</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45725</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45725</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45725</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45725</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45725</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45725</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45725</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45725</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45725</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45725</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45725</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45725</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45725</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45725</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45725</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45725</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45725</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45725</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45725</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45725</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45725</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45725</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45725</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45725</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45725</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45725</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45725</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45725</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45725</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45725</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45725</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45725</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45725</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45725</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45725</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45725</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45725</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45725</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45725</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45725</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45725</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45725</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45725</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45725</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45725</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45725</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45725</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45725</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45725</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45725</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45725</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45725</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45725</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45725</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45725</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45725</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45725</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45725</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45725</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45725</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45725</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45725</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45725</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45725</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45725</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45725</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45725</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45725</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45725</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45725</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45725</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45725</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45725</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45725</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45725</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45725</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45725</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45725</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45725</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45725</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45725</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45725</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45725</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45725</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45725</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45725</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45725</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45725</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45725</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45725</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45725</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45725</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45725</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45725</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45725</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45725</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45725</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45725</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45725</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45725</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45725</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45725</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45725</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45725</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45725</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45725</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45725</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45725</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45725</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45725</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45725</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45725</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45725</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45725</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45725</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45725</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45725</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45725</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45725</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45725</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45725</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45725</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45725</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45725</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45725</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45725</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45725</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45725</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45725</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45725</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45725</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45725</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45725</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45725</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45725</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45725</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45725</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45725</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45725</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45725</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45725</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45725</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45725</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45725</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45725</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45725</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45725</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45725</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45725</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45725</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45725</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45725</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45725</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45725</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45725</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45725</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45725</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45725</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45725</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45725</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45725</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45725</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45725</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45725</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45725</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45725</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45725</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45725</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45725</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45725</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45725</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45725</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45725</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45725</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45725</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45725</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45725</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45725</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45725</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45725</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45725</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45725</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45725</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45725</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45725</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45725</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45725</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45725</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45725</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45725</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45725</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45725</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45725</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45725</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45725</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45725</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45725</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45725</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45725</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45725</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45725</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45725</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45725</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45725</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45725</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45725</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45725</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45725</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45725</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45725</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45725</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45725</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45725</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45725</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45725</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45725</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45725</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45725</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45725</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45725</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45725</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45725</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45725</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45725</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45725</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45725</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45725</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45725</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45725</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45725</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45725</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45725</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45725</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45725</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45725</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45725</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45725</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45725</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45725</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45725</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45725</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45725</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45725</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45725</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45725</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45725</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45725</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45725</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45725</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45725</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45725</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45725</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45725</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45725</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45725</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45725</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45725</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45725</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45725</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45725</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45725</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45725</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45725</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45725</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45725</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45725</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45725</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45725</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45725</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45725</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45725</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45725</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45725</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45725</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45725</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45725</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45725</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45725</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45725</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45725</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45725</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45725</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45725</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45725</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45725</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45725</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45725</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45725</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45725</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45725</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45725</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45725</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45725</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45725</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45725</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45725</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45725</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45725</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45725</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45725</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45725</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45725</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45725</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45725</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45725</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45725</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45725</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45725</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45725</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45725</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45725</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45725</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45725</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45725</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45725</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45725</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45725</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45725</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45725</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45725</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45725</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45725</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45725</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45725</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45725</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45725</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45725</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45725</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45725</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45725</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45725</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45725</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45725</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45725</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45725</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45725</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45725</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45725</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45725</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45725</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45725</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45725</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45725</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45725</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45725</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45725</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45725</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45725</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45725</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45725</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45725</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45725</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45725</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45725</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45725</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45725</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45725</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45725</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45725</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45725</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45725</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45725</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45725</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45725</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45725</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45725</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45725</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45725</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45725</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45725</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45725</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45725</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45725</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45725</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45725</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45725</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45725</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45725</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45725</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45725</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45725</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45725</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45725</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45725</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45725</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45725</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45725</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45725</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45725</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45725</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45725</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45725</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45725</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45725</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45725</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45725</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45725</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45725</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45725</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45725</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45725</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45725</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45725</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45725</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45725</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45725</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45725</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45725</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45725</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45725</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45725</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45725</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45725</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45725</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45725</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45725</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45725</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45725</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45725</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45725</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45725</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45725</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45725</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45725</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45725</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45725</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45725</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45725</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45725</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45725</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45725</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45725</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45725</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45725</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45725</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45725</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45725</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45725</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45725</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45725</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45725</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45725</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45725</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45725</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45725</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45725</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45725</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45725</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45725</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45725</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45725</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45725</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45725</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45725</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45725</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45725</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45725</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45725</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45725</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45725</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45725</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45725</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45725</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45725</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45725</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45725</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45725</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45725</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45725</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45725</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45725</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45725</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45725</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45725</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45725</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45725</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45725</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45725</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45725</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45725</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45725</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45725</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45725</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45725</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45725</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45725</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45725</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45725</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45725</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45725</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45725</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45725</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45725</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45725</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45725</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45725</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45725</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45725</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45725</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45725</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45725</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45725</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45725</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45725</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45725</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45725</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45725</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45725</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45725</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45725</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45725</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45725</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45725</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45725</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45725</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45725</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45725</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45725</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45725</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45725</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45725</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45725</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45725</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45725</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45725</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45725</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45725</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45725</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45725</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45725</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45725</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45725</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45725</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45725</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45725</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45725</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45725</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45725</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45725</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45725</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45725</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45725</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45725</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45725</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45725</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45725</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45725</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45725</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45725</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45725</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45725</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45725</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45725</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45725</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45725</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45725</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45725</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45725</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45725</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45725</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45725</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45725</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45725</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45725</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45725</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45725</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45725</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45725</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45725</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45725</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45725</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45725</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45725</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45725</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45725</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45725</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45725</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45725</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45725</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45725</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45725</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45725</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45725</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45725</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45725</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45725</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45725</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45725</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45725</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45725</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45725</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45725</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45725</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45725</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45725</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45725</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45725</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45725</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45725</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45725</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45725</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45725</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45725</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45725</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45725</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45725</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45725</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45725</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45725</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45725</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45725</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45725</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45725</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45725</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45725</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45725</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45725</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45725</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45725</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45725</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45725</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45725</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45725</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45725</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45725</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45725</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45725</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45725</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45725</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45725</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45725</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45725</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45725</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45725</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45725</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45725</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45725</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45725</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45725</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45725</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45725</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45725</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45725</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45725</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45725</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45725</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45725</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45725</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45725</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45725</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45725</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45725</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45725</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45725</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45725</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45725</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45725</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45725</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45725</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45725</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45725</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45725</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45725</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45725</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45725</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45725</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45725</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45725</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45725</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45725</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45725</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45725</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45725</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45725</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45725</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45725</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45725</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45725</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45725</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45725</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45725</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45725</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45725</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45725</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45725</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45725</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45725</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45725</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45725</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45725</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45725</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45725</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45725</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45725</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45725</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45725</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45725</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45725</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45725</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45725</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45725</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45725</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45725</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45725</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45725</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45725</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45725</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45725</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45725</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45725</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45725</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45725</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45725</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45725</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45725</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45725</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45725</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45725</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45725</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45725</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45725</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45725</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45725</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45725</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45725</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45725</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45725</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45725</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45725</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45725</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45725</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45725</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45725</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45725</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45725</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45725</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45725</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45725</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45725</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45725</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45725</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45725</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45725</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45725</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45725</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45725</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45725</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45725</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45725</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45725</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45725</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45725</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45725</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45725</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45725</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45725</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45725</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45725</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45725</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45725</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45725</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45725</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45725</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45725</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45725</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45725</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45725</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45725</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45725</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45725</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45725</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45725</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45725</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45725</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45725</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45725</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45725</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45725</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45725</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45725</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45725</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45725</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45725</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45725</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45725</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45725</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45725</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45725</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45725</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45725</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45725</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45725</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45725</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45725</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45725</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45725</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45725</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45725</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45725</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45725</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45725</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45725</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45725</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45725</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45725</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45725</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45725</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45725</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45725</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45725</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45725</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45725</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45725</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45725</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45725</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45725</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45725</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45725</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45725</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45725</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45725</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45725</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45725</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45725</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45725</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45725</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45725</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45725</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45725</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45725</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45725</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45725</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45725</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45725</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45725</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45725</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45725</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45725</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45725</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45725</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45725</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45725</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45725</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45725</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45725</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45725</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45725</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45725</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45725</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45725</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45725</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45725</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45725</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45725</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45725</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45725</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45725</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45725</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45725</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45725</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45725</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45725</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45725</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45725</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45725</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45725</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45725</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45725</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45725</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45725</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45725</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45725</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45725</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45725</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45725</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45725</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45725</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45725</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45725</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45725</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45725</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45725</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45725</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45725</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45725</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45725</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45725</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45725</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45725</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45725</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45725</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45725</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45725</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45725</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45725</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45725</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45725</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45725</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45725</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45725</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45725</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45725</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45725</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45725</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45725</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45725</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45725</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45725</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45725</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45725</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45725</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45725</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45725</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45725</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45725</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45725</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45725</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45725</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45725</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45725</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45725</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45725</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45725</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45725</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45725</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45725</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45725</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45725</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45725</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45725</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45725</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45725</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45725</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45725</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45725</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45725</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45725</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45725</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45725</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45725</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45725</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45725</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45725</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45725</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45725</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45725</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45725</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45725</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45725</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45725</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45725</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45725</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45725</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45725</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45725</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45725</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45725</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45725</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45725</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45725</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45725</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45725</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45725</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45725</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45725</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45725</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45725</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45725</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45725</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45725</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45725</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45725</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45725</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45725</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45725</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45725</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45725</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45725</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45725</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45725</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45725</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45725</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45725</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45725</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45725</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45725</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45725</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45725</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45725</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45725</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45725</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45725</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45725</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45725</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45725</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45725</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45725</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45725</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45725</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45725</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45725</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45725</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45725</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45725</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45725</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45725</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45725</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45725</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45725</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45725</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45725</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45725</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45725</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45725</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45725</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45725</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45725</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45725</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45725</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45725</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45725</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45725</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45725</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45725</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45725</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45725</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45725</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45725</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45725</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45725</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45725</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45725</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45725</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45725</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45725</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45725</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45725</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45725</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45725</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45725</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45725</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45725</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45725</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45725</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45725</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45725</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45725</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45725</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45725</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45725</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45725</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45725</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45725</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45725</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45725</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45725</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45725</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45725</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45725</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45725</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45725</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45725</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45725</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45725</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45725</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45725</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45725</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45725</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45725</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45725</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45725</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45725</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45725</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45725</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45725</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45725</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45725</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45725</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45725</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45725</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45725</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45725</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45725</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45725</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45725</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45725</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45725</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45725</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45725</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45725</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45725</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45725</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45725</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45725</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45725</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45725</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45725</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45725</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45725</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45725</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45725</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45725</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45725</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45725</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45725</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45725</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45725</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45725</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45725</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45725</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45725</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45725</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45725</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45725</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45725</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45725</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45725</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45725</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45725</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45725</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45725</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45725</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45725</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45725</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45725</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45725</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45725</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45725</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45725</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45725</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45725</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45725</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45725</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45725</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45725</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45725</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45725</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45725</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45725</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45725</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45725</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45725</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45725</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45725</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45725</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45725</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45725</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45725</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45725</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45725</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45725</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45725</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45725</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45725</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45725</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45725</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45725</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45725</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45725</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45725</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45725</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45725</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45725</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45725</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45725</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45725</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45725</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45725</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45725</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45725</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45725</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45725</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45725</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45725</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45725</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45725</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45725</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45725</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45725</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45725</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45725</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45725</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45725</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45725</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45725</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45725</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45725</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45725</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45725</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45725</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45725</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45725</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45725</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45725</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45725</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45725</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45725</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45725</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45725</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45725</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45725</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45725</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45725</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45725</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45725</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45725</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45725</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45725</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45725</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45725</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45725</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45725</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45725</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45725</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45725</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45725</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45725</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45725</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45725</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45725</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45725</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45725</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45725</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45725</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45725</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45725</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45725</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45725</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45725</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45725</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45725</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45725</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45725</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45725</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45725</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45725</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45725</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45725</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45725</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45725</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45725</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45725</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45725</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45725</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45725</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45725</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45725</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45725</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45725</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45725</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45725</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45725</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45725</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45725</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45725</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45725</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45725</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45725</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45725</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45725</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45725</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45725</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45725</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45725</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45725</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45725</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45725</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45725</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45725</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45725</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45725</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45725</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45725</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45725</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45725</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45725</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45725</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45725</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45725</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45725</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45725</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45725</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45725</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45725</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45725</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45725</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45725</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45725</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45725</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45725</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45725</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45725</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45725</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45725</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45725</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45725</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45725</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45725</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45725</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45725</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45725</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45725</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45725</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45725</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45725</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45725</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45725</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45725</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45725</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45725</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45725</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45725</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45725</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45725</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45725</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45725</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45725</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45725</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45725</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45725</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45725</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45725</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45725</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45725</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45725</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45725</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45725</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45725</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45725</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45725</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45725</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45725</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45725</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45725</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45725</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45725</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45725</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45725</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45725</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45725</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45725</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45725</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45725</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45725</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45725</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45725</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45725</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45725</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45725</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45725</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45725</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45725</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45725</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45725</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45725</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45725</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45725</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45725</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45725</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45725</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45725</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45725</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45725</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45725</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45725</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45725</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45725</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45725</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45725</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45725</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45725</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45725</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45725</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45725</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45725</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45725</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45725</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45725</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45725</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45725</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45725</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45725</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45725</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45725</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45725</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45725</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45725</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45725</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45725</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45725</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45725</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45725</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45725</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45725</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45725</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45725</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45725</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45725</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45725</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45725</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45725</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45725</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45725</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45725</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45725</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45725</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45725</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45725</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45725</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45725</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45725</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45725</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45725</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45725</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45725</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45725</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45725</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45725</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45725</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45725</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45725</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45725</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45725</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45725</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45725</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45725</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45725</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45725</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45725</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45725</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45725</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45725</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45725</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45725</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45725</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45725</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45725</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45725</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45725</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45725</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45725</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45725</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45725</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45725</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45725</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45725</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45725</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45725</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45725</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45725</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45725</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45725</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45725</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45725</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45725</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45725</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45725</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45725</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45725</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45725</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45725</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45725</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45725</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45725</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45725</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45725</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45725</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45725</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45725</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45725</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45725</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45725</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45725</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45725</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45725</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45725</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45725</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45725</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45725</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45725</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45725</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45725</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45725</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45725</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45725</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45725</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45725</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45725</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45725</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45725</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45725</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45725</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45725</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45725</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45725</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45725</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45725</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45725</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45725</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45725</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45725</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45725</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45725</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45725</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45725</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45725</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45725</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45725</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45725</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45725</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45725</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45725</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45725</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45725</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45725</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45725</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45725</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45725</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45725</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45725</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45725</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45725</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45725</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45725</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45725</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45725</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45725</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45725</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45725</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45725</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45725</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45725</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45725</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45725</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45725</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45725</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45725</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45725</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45725</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45725</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45725</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45725</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45725</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45725</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45725</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45725</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45725</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45725</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45725</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45725</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45725</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45725</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45725</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45725</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45725</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45725</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45725</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45725</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45725</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45725</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45725</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45725</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45725</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45725</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45725</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45725</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45725</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45725</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45725</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45725</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45725</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45725</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45725</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45725</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45725</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45725</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45725</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45725</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45725</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45725</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45725</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45725</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45725</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45725</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45725</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45725</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45725</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45725</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45725</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45725</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45725</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45725</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45725</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45725</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45725</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45725</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45725</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45725</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45725</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45725</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45725</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45725</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45725</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45725</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45725</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45725</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45725</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45725</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45725</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45725</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45725</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45725</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45725</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45725</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45725</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45725</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45725</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45725</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45725</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45725</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45725</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45725</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45725</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45725</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45725</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45725</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45725</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45725</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45725</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45725</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45725</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45725</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45725</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45725</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45725</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45725</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45725</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45725</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45725</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45725</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6678-2025</t>
        </is>
      </c>
      <c r="B1908" s="1" t="n">
        <v>45700</v>
      </c>
      <c r="C1908" s="1" t="n">
        <v>45725</v>
      </c>
      <c r="D1908" t="inlineStr">
        <is>
          <t>STOCKHOLMS LÄN</t>
        </is>
      </c>
      <c r="E1908" t="inlineStr">
        <is>
          <t>NORRTÄLJE</t>
        </is>
      </c>
      <c r="F1908" t="inlineStr">
        <is>
          <t>Övriga Aktiebolag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6996-2025</t>
        </is>
      </c>
      <c r="B1909" s="1" t="n">
        <v>45701</v>
      </c>
      <c r="C1909" s="1" t="n">
        <v>45725</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45725</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45725</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45725</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45725</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7784-2025</t>
        </is>
      </c>
      <c r="B1914" s="1" t="n">
        <v>45706</v>
      </c>
      <c r="C1914" s="1" t="n">
        <v>45725</v>
      </c>
      <c r="D1914" t="inlineStr">
        <is>
          <t>STOCKHOLMS LÄN</t>
        </is>
      </c>
      <c r="E1914" t="inlineStr">
        <is>
          <t>NORRTÄLJE</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7796-2025</t>
        </is>
      </c>
      <c r="B1915" s="1" t="n">
        <v>45706</v>
      </c>
      <c r="C1915" s="1" t="n">
        <v>45725</v>
      </c>
      <c r="D1915" t="inlineStr">
        <is>
          <t>STOCKHOLMS LÄN</t>
        </is>
      </c>
      <c r="E1915" t="inlineStr">
        <is>
          <t>NORRTÄLJE</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7806-2025</t>
        </is>
      </c>
      <c r="B1916" s="1" t="n">
        <v>45706</v>
      </c>
      <c r="C1916" s="1" t="n">
        <v>45725</v>
      </c>
      <c r="D1916" t="inlineStr">
        <is>
          <t>STOCKHOLMS LÄN</t>
        </is>
      </c>
      <c r="E1916" t="inlineStr">
        <is>
          <t>NORRTÄLJE</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8071-2025</t>
        </is>
      </c>
      <c r="B1917" s="1" t="n">
        <v>45707</v>
      </c>
      <c r="C1917" s="1" t="n">
        <v>45725</v>
      </c>
      <c r="D1917" t="inlineStr">
        <is>
          <t>STOCKHOLMS LÄN</t>
        </is>
      </c>
      <c r="E1917" t="inlineStr">
        <is>
          <t>NORRTÄLJE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8134-2025</t>
        </is>
      </c>
      <c r="B1918" s="1" t="n">
        <v>45707</v>
      </c>
      <c r="C1918" s="1" t="n">
        <v>45725</v>
      </c>
      <c r="D1918" t="inlineStr">
        <is>
          <t>STOCKHOLMS LÄN</t>
        </is>
      </c>
      <c r="E1918" t="inlineStr">
        <is>
          <t>NORRTÄLJE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8133-2025</t>
        </is>
      </c>
      <c r="B1919" s="1" t="n">
        <v>45707</v>
      </c>
      <c r="C1919" s="1" t="n">
        <v>45725</v>
      </c>
      <c r="D1919" t="inlineStr">
        <is>
          <t>STOCKHOLMS LÄN</t>
        </is>
      </c>
      <c r="E1919" t="inlineStr">
        <is>
          <t>NORRTÄLJE</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8132-2025</t>
        </is>
      </c>
      <c r="B1920" s="1" t="n">
        <v>45707</v>
      </c>
      <c r="C1920" s="1" t="n">
        <v>45725</v>
      </c>
      <c r="D1920" t="inlineStr">
        <is>
          <t>STOCKHOLMS LÄN</t>
        </is>
      </c>
      <c r="E1920" t="inlineStr">
        <is>
          <t>NORRTÄLJE</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8135-2025</t>
        </is>
      </c>
      <c r="B1921" s="1" t="n">
        <v>45707</v>
      </c>
      <c r="C1921" s="1" t="n">
        <v>45725</v>
      </c>
      <c r="D1921" t="inlineStr">
        <is>
          <t>STOCKHOLMS LÄN</t>
        </is>
      </c>
      <c r="E1921" t="inlineStr">
        <is>
          <t>NORRTÄLJE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8315-2025</t>
        </is>
      </c>
      <c r="B1922" s="1" t="n">
        <v>45708</v>
      </c>
      <c r="C1922" s="1" t="n">
        <v>45725</v>
      </c>
      <c r="D1922" t="inlineStr">
        <is>
          <t>STOCKHOLMS LÄN</t>
        </is>
      </c>
      <c r="E1922" t="inlineStr">
        <is>
          <t>NORRTÄLJE</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45725</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45725</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8419-2025</t>
        </is>
      </c>
      <c r="B1925" s="1" t="n">
        <v>45709</v>
      </c>
      <c r="C1925" s="1" t="n">
        <v>45725</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8414-2025</t>
        </is>
      </c>
      <c r="B1926" s="1" t="n">
        <v>45709</v>
      </c>
      <c r="C1926" s="1" t="n">
        <v>45725</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45725</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45725</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45725</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45725</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9130-2025</t>
        </is>
      </c>
      <c r="B1931" s="1" t="n">
        <v>45713</v>
      </c>
      <c r="C1931" s="1" t="n">
        <v>45725</v>
      </c>
      <c r="D1931" t="inlineStr">
        <is>
          <t>STOCKHOLMS LÄN</t>
        </is>
      </c>
      <c r="E1931" t="inlineStr">
        <is>
          <t>NORRTÄLJE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8950-2025</t>
        </is>
      </c>
      <c r="B1932" s="1" t="n">
        <v>45713</v>
      </c>
      <c r="C1932" s="1" t="n">
        <v>45725</v>
      </c>
      <c r="D1932" t="inlineStr">
        <is>
          <t>STOCKHOLMS LÄN</t>
        </is>
      </c>
      <c r="E1932" t="inlineStr">
        <is>
          <t>NORRTÄLJE</t>
        </is>
      </c>
      <c r="F1932" t="inlineStr">
        <is>
          <t>Övriga Aktiebolag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9480-2025</t>
        </is>
      </c>
      <c r="B1933" s="1" t="n">
        <v>45715</v>
      </c>
      <c r="C1933" s="1" t="n">
        <v>45725</v>
      </c>
      <c r="D1933" t="inlineStr">
        <is>
          <t>STOCKHOLMS LÄN</t>
        </is>
      </c>
      <c r="E1933" t="inlineStr">
        <is>
          <t>NORRTÄLJE</t>
        </is>
      </c>
      <c r="F1933" t="inlineStr">
        <is>
          <t>Övriga Aktiebolag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45725</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10653-2025</t>
        </is>
      </c>
      <c r="B1935" s="1" t="n">
        <v>45721</v>
      </c>
      <c r="C1935" s="1" t="n">
        <v>45725</v>
      </c>
      <c r="D1935" t="inlineStr">
        <is>
          <t>STOCKHOLMS LÄN</t>
        </is>
      </c>
      <c r="E1935" t="inlineStr">
        <is>
          <t>NORRTÄLJE</t>
        </is>
      </c>
      <c r="F1935" t="inlineStr">
        <is>
          <t>Sveaskog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10678-2025</t>
        </is>
      </c>
      <c r="B1936" s="1" t="n">
        <v>45721</v>
      </c>
      <c r="C1936" s="1" t="n">
        <v>45725</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45725</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10642-2025</t>
        </is>
      </c>
      <c r="B1938" s="1" t="n">
        <v>45721</v>
      </c>
      <c r="C1938" s="1" t="n">
        <v>45725</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10511-2025</t>
        </is>
      </c>
      <c r="B1939" s="1" t="n">
        <v>45721</v>
      </c>
      <c r="C1939" s="1" t="n">
        <v>45725</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10676-2025</t>
        </is>
      </c>
      <c r="B1940" s="1" t="n">
        <v>45721</v>
      </c>
      <c r="C1940" s="1" t="n">
        <v>45725</v>
      </c>
      <c r="D1940" t="inlineStr">
        <is>
          <t>STOCKHOLMS LÄN</t>
        </is>
      </c>
      <c r="E1940" t="inlineStr">
        <is>
          <t>NORRTÄLJE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10973-2025</t>
        </is>
      </c>
      <c r="B1941" s="1" t="n">
        <v>45723</v>
      </c>
      <c r="C1941" s="1" t="n">
        <v>45725</v>
      </c>
      <c r="D1941" t="inlineStr">
        <is>
          <t>STOCKHOLMS LÄN</t>
        </is>
      </c>
      <c r="E1941" t="inlineStr">
        <is>
          <t>NORRTÄLJE</t>
        </is>
      </c>
      <c r="F1941" t="inlineStr">
        <is>
          <t>Övriga Aktiebolag</t>
        </is>
      </c>
      <c r="G1941" t="n">
        <v>2.7</v>
      </c>
      <c r="H1941" t="n">
        <v>0</v>
      </c>
      <c r="I1941" t="n">
        <v>0</v>
      </c>
      <c r="J1941" t="n">
        <v>0</v>
      </c>
      <c r="K1941" t="n">
        <v>0</v>
      </c>
      <c r="L1941" t="n">
        <v>0</v>
      </c>
      <c r="M1941" t="n">
        <v>0</v>
      </c>
      <c r="N1941" t="n">
        <v>0</v>
      </c>
      <c r="O1941" t="n">
        <v>0</v>
      </c>
      <c r="P1941" t="n">
        <v>0</v>
      </c>
      <c r="Q1941" t="n">
        <v>0</v>
      </c>
      <c r="R1941" s="2" t="inlineStr"/>
    </row>
    <row r="1942">
      <c r="A1942" t="inlineStr">
        <is>
          <t>A 11041-2025</t>
        </is>
      </c>
      <c r="B1942" s="1" t="n">
        <v>45723</v>
      </c>
      <c r="C1942" s="1" t="n">
        <v>45725</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2025-03-09T17:30:58Z</dcterms:created>
  <dcterms:modified xmlns:dcterms="http://purl.org/dc/terms/" xmlns:xsi="http://www.w3.org/2001/XMLSchema-instance" xsi:type="dcterms:W3CDTF">2025-03-09T17:31:07Z</dcterms:modified>
</cp:coreProperties>
</file>