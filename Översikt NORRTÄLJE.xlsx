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46004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46004</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46004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46004</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46004</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46004</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46004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46004</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46004</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46004</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46004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46004</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46004</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46004</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46004</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46004</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3472-2023</t>
        </is>
      </c>
      <c r="B20" s="1" t="n">
        <v>44949</v>
      </c>
      <c r="C20" s="1" t="n">
        <v>46004</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46004</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11231-2021</t>
        </is>
      </c>
      <c r="B22" s="1" t="n">
        <v>44263</v>
      </c>
      <c r="C22" s="1" t="n">
        <v>46004</v>
      </c>
      <c r="D22" t="inlineStr">
        <is>
          <t>STOCKHOLMS LÄN</t>
        </is>
      </c>
      <c r="E22" t="inlineStr">
        <is>
          <t>NORRTÄLJE</t>
        </is>
      </c>
      <c r="F22" t="inlineStr">
        <is>
          <t>Holmen skog AB</t>
        </is>
      </c>
      <c r="G22" t="n">
        <v>12</v>
      </c>
      <c r="H22" t="n">
        <v>6</v>
      </c>
      <c r="I22" t="n">
        <v>2</v>
      </c>
      <c r="J22" t="n">
        <v>5</v>
      </c>
      <c r="K22" t="n">
        <v>0</v>
      </c>
      <c r="L22" t="n">
        <v>2</v>
      </c>
      <c r="M22" t="n">
        <v>0</v>
      </c>
      <c r="N22" t="n">
        <v>0</v>
      </c>
      <c r="O22" t="n">
        <v>7</v>
      </c>
      <c r="P22" t="n">
        <v>2</v>
      </c>
      <c r="Q22" t="n">
        <v>10</v>
      </c>
      <c r="R22" s="2" t="inlineStr">
        <is>
          <t>Grönfink
Tornseglare
Fiskmås
Havsörn
Motaggsvamp
Talltita
Vedskivlav
Björksplintborre
Dropptaggsvamp
Tjäder</t>
        </is>
      </c>
      <c r="S22">
        <f>HYPERLINK("https://klasma.github.io/Logging_0188/artfynd/A 11231-2021 artfynd.xlsx", "A 11231-2021")</f>
        <v/>
      </c>
      <c r="T22">
        <f>HYPERLINK("https://klasma.github.io/Logging_0188/kartor/A 11231-2021 karta.png", "A 11231-2021")</f>
        <v/>
      </c>
      <c r="V22">
        <f>HYPERLINK("https://klasma.github.io/Logging_0188/klagomål/A 11231-2021 FSC-klagomål.docx", "A 11231-2021")</f>
        <v/>
      </c>
      <c r="W22">
        <f>HYPERLINK("https://klasma.github.io/Logging_0188/klagomålsmail/A 11231-2021 FSC-klagomål mail.docx", "A 11231-2021")</f>
        <v/>
      </c>
      <c r="X22">
        <f>HYPERLINK("https://klasma.github.io/Logging_0188/tillsyn/A 11231-2021 tillsynsbegäran.docx", "A 11231-2021")</f>
        <v/>
      </c>
      <c r="Y22">
        <f>HYPERLINK("https://klasma.github.io/Logging_0188/tillsynsmail/A 11231-2021 tillsynsbegäran mail.docx", "A 11231-2021")</f>
        <v/>
      </c>
      <c r="Z22">
        <f>HYPERLINK("https://klasma.github.io/Logging_0188/fåglar/A 11231-2021 prioriterade fågelarter.docx", "A 11231-2021")</f>
        <v/>
      </c>
    </row>
    <row r="23" ht="15" customHeight="1">
      <c r="A23" t="inlineStr">
        <is>
          <t>A 44847-2023</t>
        </is>
      </c>
      <c r="B23" s="1" t="n">
        <v>45190</v>
      </c>
      <c r="C23" s="1" t="n">
        <v>46004</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46004</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52815-2021</t>
        </is>
      </c>
      <c r="B25" s="1" t="n">
        <v>44467</v>
      </c>
      <c r="C25" s="1" t="n">
        <v>46004</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46004</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46004</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25732-2025</t>
        </is>
      </c>
      <c r="B28" s="1" t="n">
        <v>45800</v>
      </c>
      <c r="C28" s="1" t="n">
        <v>46004</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46004</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46004</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46004</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46004</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13933-2022</t>
        </is>
      </c>
      <c r="B33" s="1" t="n">
        <v>44650</v>
      </c>
      <c r="C33" s="1" t="n">
        <v>46004</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47346-2021</t>
        </is>
      </c>
      <c r="B34" s="1" t="n">
        <v>44447</v>
      </c>
      <c r="C34" s="1" t="n">
        <v>46004</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46004</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46004</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46004</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3444-2023</t>
        </is>
      </c>
      <c r="B38" s="1" t="n">
        <v>44949</v>
      </c>
      <c r="C38" s="1" t="n">
        <v>46004</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15804-2025</t>
        </is>
      </c>
      <c r="B39" s="1" t="n">
        <v>45748.6521875</v>
      </c>
      <c r="C39" s="1" t="n">
        <v>46004</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72111-2021</t>
        </is>
      </c>
      <c r="B40" s="1" t="n">
        <v>44544</v>
      </c>
      <c r="C40" s="1" t="n">
        <v>46004</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21922-2023</t>
        </is>
      </c>
      <c r="B41" s="1" t="n">
        <v>45068</v>
      </c>
      <c r="C41" s="1" t="n">
        <v>46004</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30687-2025</t>
        </is>
      </c>
      <c r="B42" s="1" t="n">
        <v>45831.53390046296</v>
      </c>
      <c r="C42" s="1" t="n">
        <v>46004</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56791-2025</t>
        </is>
      </c>
      <c r="B43" s="1" t="n">
        <v>45978</v>
      </c>
      <c r="C43" s="1" t="n">
        <v>46004</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22071-2022</t>
        </is>
      </c>
      <c r="B44" s="1" t="n">
        <v>44711</v>
      </c>
      <c r="C44" s="1" t="n">
        <v>46004</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72305-2021</t>
        </is>
      </c>
      <c r="B45" s="1" t="n">
        <v>44545</v>
      </c>
      <c r="C45" s="1" t="n">
        <v>46004</v>
      </c>
      <c r="D45" t="inlineStr">
        <is>
          <t>STOCKHOLMS LÄN</t>
        </is>
      </c>
      <c r="E45" t="inlineStr">
        <is>
          <t>NORRTÄLJE</t>
        </is>
      </c>
      <c r="G45" t="n">
        <v>1.5</v>
      </c>
      <c r="H45" t="n">
        <v>1</v>
      </c>
      <c r="I45" t="n">
        <v>3</v>
      </c>
      <c r="J45" t="n">
        <v>0</v>
      </c>
      <c r="K45" t="n">
        <v>0</v>
      </c>
      <c r="L45" t="n">
        <v>0</v>
      </c>
      <c r="M45" t="n">
        <v>0</v>
      </c>
      <c r="N45" t="n">
        <v>0</v>
      </c>
      <c r="O45" t="n">
        <v>0</v>
      </c>
      <c r="P45" t="n">
        <v>0</v>
      </c>
      <c r="Q45" t="n">
        <v>4</v>
      </c>
      <c r="R45" s="2" t="inlineStr">
        <is>
          <t>Svart trolldruva
Sårläka
Vårärt
Blåsippa</t>
        </is>
      </c>
      <c r="S45">
        <f>HYPERLINK("https://klasma.github.io/Logging_0188/artfynd/A 72305-2021 artfynd.xlsx", "A 72305-2021")</f>
        <v/>
      </c>
      <c r="T45">
        <f>HYPERLINK("https://klasma.github.io/Logging_0188/kartor/A 72305-2021 karta.png", "A 72305-2021")</f>
        <v/>
      </c>
      <c r="V45">
        <f>HYPERLINK("https://klasma.github.io/Logging_0188/klagomål/A 72305-2021 FSC-klagomål.docx", "A 72305-2021")</f>
        <v/>
      </c>
      <c r="W45">
        <f>HYPERLINK("https://klasma.github.io/Logging_0188/klagomålsmail/A 72305-2021 FSC-klagomål mail.docx", "A 72305-2021")</f>
        <v/>
      </c>
      <c r="X45">
        <f>HYPERLINK("https://klasma.github.io/Logging_0188/tillsyn/A 72305-2021 tillsynsbegäran.docx", "A 72305-2021")</f>
        <v/>
      </c>
      <c r="Y45">
        <f>HYPERLINK("https://klasma.github.io/Logging_0188/tillsynsmail/A 72305-2021 tillsynsbegäran mail.docx", "A 72305-2021")</f>
        <v/>
      </c>
    </row>
    <row r="46" ht="15" customHeight="1">
      <c r="A46" t="inlineStr">
        <is>
          <t>A 24052-2021</t>
        </is>
      </c>
      <c r="B46" s="1" t="n">
        <v>44336</v>
      </c>
      <c r="C46" s="1" t="n">
        <v>46004</v>
      </c>
      <c r="D46" t="inlineStr">
        <is>
          <t>STOCKHOLMS LÄN</t>
        </is>
      </c>
      <c r="E46" t="inlineStr">
        <is>
          <t>NORRTÄLJE</t>
        </is>
      </c>
      <c r="G46" t="n">
        <v>8.6</v>
      </c>
      <c r="H46" t="n">
        <v>4</v>
      </c>
      <c r="I46" t="n">
        <v>0</v>
      </c>
      <c r="J46" t="n">
        <v>2</v>
      </c>
      <c r="K46" t="n">
        <v>0</v>
      </c>
      <c r="L46" t="n">
        <v>0</v>
      </c>
      <c r="M46" t="n">
        <v>0</v>
      </c>
      <c r="N46" t="n">
        <v>0</v>
      </c>
      <c r="O46" t="n">
        <v>2</v>
      </c>
      <c r="P46" t="n">
        <v>0</v>
      </c>
      <c r="Q46" t="n">
        <v>4</v>
      </c>
      <c r="R46" s="2" t="inlineStr">
        <is>
          <t>Brunlångöra
Nordfladdermus
Dvärgpipistrell
Större brunfladdermus</t>
        </is>
      </c>
      <c r="S46">
        <f>HYPERLINK("https://klasma.github.io/Logging_0188/artfynd/A 24052-2021 artfynd.xlsx", "A 24052-2021")</f>
        <v/>
      </c>
      <c r="T46">
        <f>HYPERLINK("https://klasma.github.io/Logging_0188/kartor/A 24052-2021 karta.png", "A 24052-2021")</f>
        <v/>
      </c>
      <c r="V46">
        <f>HYPERLINK("https://klasma.github.io/Logging_0188/klagomål/A 24052-2021 FSC-klagomål.docx", "A 24052-2021")</f>
        <v/>
      </c>
      <c r="W46">
        <f>HYPERLINK("https://klasma.github.io/Logging_0188/klagomålsmail/A 24052-2021 FSC-klagomål mail.docx", "A 24052-2021")</f>
        <v/>
      </c>
      <c r="X46">
        <f>HYPERLINK("https://klasma.github.io/Logging_0188/tillsyn/A 24052-2021 tillsynsbegäran.docx", "A 24052-2021")</f>
        <v/>
      </c>
      <c r="Y46">
        <f>HYPERLINK("https://klasma.github.io/Logging_0188/tillsynsmail/A 24052-2021 tillsynsbegäran mail.docx", "A 24052-2021")</f>
        <v/>
      </c>
    </row>
    <row r="47" ht="15" customHeight="1">
      <c r="A47" t="inlineStr">
        <is>
          <t>A 44709-2022</t>
        </is>
      </c>
      <c r="B47" s="1" t="n">
        <v>44839</v>
      </c>
      <c r="C47" s="1" t="n">
        <v>46004</v>
      </c>
      <c r="D47" t="inlineStr">
        <is>
          <t>STOCKHOLMS LÄN</t>
        </is>
      </c>
      <c r="E47" t="inlineStr">
        <is>
          <t>NORRTÄLJE</t>
        </is>
      </c>
      <c r="G47" t="n">
        <v>16.3</v>
      </c>
      <c r="H47" t="n">
        <v>3</v>
      </c>
      <c r="I47" t="n">
        <v>0</v>
      </c>
      <c r="J47" t="n">
        <v>2</v>
      </c>
      <c r="K47" t="n">
        <v>0</v>
      </c>
      <c r="L47" t="n">
        <v>0</v>
      </c>
      <c r="M47" t="n">
        <v>0</v>
      </c>
      <c r="N47" t="n">
        <v>0</v>
      </c>
      <c r="O47" t="n">
        <v>2</v>
      </c>
      <c r="P47" t="n">
        <v>0</v>
      </c>
      <c r="Q47" t="n">
        <v>4</v>
      </c>
      <c r="R47" s="2" t="inlineStr">
        <is>
          <t>Asppraktbagge
Spillkråka
Enkelbeckasin
Orre</t>
        </is>
      </c>
      <c r="S47">
        <f>HYPERLINK("https://klasma.github.io/Logging_0188/artfynd/A 44709-2022 artfynd.xlsx", "A 44709-2022")</f>
        <v/>
      </c>
      <c r="T47">
        <f>HYPERLINK("https://klasma.github.io/Logging_0188/kartor/A 44709-2022 karta.png", "A 44709-2022")</f>
        <v/>
      </c>
      <c r="V47">
        <f>HYPERLINK("https://klasma.github.io/Logging_0188/klagomål/A 44709-2022 FSC-klagomål.docx", "A 44709-2022")</f>
        <v/>
      </c>
      <c r="W47">
        <f>HYPERLINK("https://klasma.github.io/Logging_0188/klagomålsmail/A 44709-2022 FSC-klagomål mail.docx", "A 44709-2022")</f>
        <v/>
      </c>
      <c r="X47">
        <f>HYPERLINK("https://klasma.github.io/Logging_0188/tillsyn/A 44709-2022 tillsynsbegäran.docx", "A 44709-2022")</f>
        <v/>
      </c>
      <c r="Y47">
        <f>HYPERLINK("https://klasma.github.io/Logging_0188/tillsynsmail/A 44709-2022 tillsynsbegäran mail.docx", "A 44709-2022")</f>
        <v/>
      </c>
      <c r="Z47">
        <f>HYPERLINK("https://klasma.github.io/Logging_0188/fåglar/A 44709-2022 prioriterade fågelarter.docx", "A 44709-2022")</f>
        <v/>
      </c>
    </row>
    <row r="48" ht="15" customHeight="1">
      <c r="A48" t="inlineStr">
        <is>
          <t>A 41276-2025</t>
        </is>
      </c>
      <c r="B48" s="1" t="n">
        <v>45898.62723379629</v>
      </c>
      <c r="C48" s="1" t="n">
        <v>46004</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46004</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21730-2025</t>
        </is>
      </c>
      <c r="B50" s="1" t="n">
        <v>45783.58123842593</v>
      </c>
      <c r="C50" s="1" t="n">
        <v>46004</v>
      </c>
      <c r="D50" t="inlineStr">
        <is>
          <t>STOCKHOLMS LÄN</t>
        </is>
      </c>
      <c r="E50" t="inlineStr">
        <is>
          <t>NORRTÄLJE</t>
        </is>
      </c>
      <c r="G50" t="n">
        <v>4.2</v>
      </c>
      <c r="H50" t="n">
        <v>2</v>
      </c>
      <c r="I50" t="n">
        <v>2</v>
      </c>
      <c r="J50" t="n">
        <v>0</v>
      </c>
      <c r="K50" t="n">
        <v>0</v>
      </c>
      <c r="L50" t="n">
        <v>0</v>
      </c>
      <c r="M50" t="n">
        <v>0</v>
      </c>
      <c r="N50" t="n">
        <v>0</v>
      </c>
      <c r="O50" t="n">
        <v>0</v>
      </c>
      <c r="P50" t="n">
        <v>0</v>
      </c>
      <c r="Q50" t="n">
        <v>4</v>
      </c>
      <c r="R50" s="2" t="inlineStr">
        <is>
          <t>Blåmossa
Brandticka
Blåsippa
Revlummer</t>
        </is>
      </c>
      <c r="S50">
        <f>HYPERLINK("https://klasma.github.io/Logging_0188/artfynd/A 21730-2025 artfynd.xlsx", "A 21730-2025")</f>
        <v/>
      </c>
      <c r="T50">
        <f>HYPERLINK("https://klasma.github.io/Logging_0188/kartor/A 21730-2025 karta.png", "A 21730-2025")</f>
        <v/>
      </c>
      <c r="V50">
        <f>HYPERLINK("https://klasma.github.io/Logging_0188/klagomål/A 21730-2025 FSC-klagomål.docx", "A 21730-2025")</f>
        <v/>
      </c>
      <c r="W50">
        <f>HYPERLINK("https://klasma.github.io/Logging_0188/klagomålsmail/A 21730-2025 FSC-klagomål mail.docx", "A 21730-2025")</f>
        <v/>
      </c>
      <c r="X50">
        <f>HYPERLINK("https://klasma.github.io/Logging_0188/tillsyn/A 21730-2025 tillsynsbegäran.docx", "A 21730-2025")</f>
        <v/>
      </c>
      <c r="Y50">
        <f>HYPERLINK("https://klasma.github.io/Logging_0188/tillsynsmail/A 21730-2025 tillsynsbegäran mail.docx", "A 21730-2025")</f>
        <v/>
      </c>
    </row>
    <row r="51" ht="15" customHeight="1">
      <c r="A51" t="inlineStr">
        <is>
          <t>A 47212-2025</t>
        </is>
      </c>
      <c r="B51" s="1" t="n">
        <v>45930</v>
      </c>
      <c r="C51" s="1" t="n">
        <v>46004</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25687-2025</t>
        </is>
      </c>
      <c r="B52" s="1" t="n">
        <v>45800</v>
      </c>
      <c r="C52" s="1" t="n">
        <v>46004</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46004</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17673-2021</t>
        </is>
      </c>
      <c r="B54" s="1" t="n">
        <v>44300</v>
      </c>
      <c r="C54" s="1" t="n">
        <v>46004</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45113-2022</t>
        </is>
      </c>
      <c r="B55" s="1" t="n">
        <v>44843</v>
      </c>
      <c r="C55" s="1" t="n">
        <v>46004</v>
      </c>
      <c r="D55" t="inlineStr">
        <is>
          <t>STOCKHOLMS LÄN</t>
        </is>
      </c>
      <c r="E55" t="inlineStr">
        <is>
          <t>NORRTÄLJE</t>
        </is>
      </c>
      <c r="G55" t="n">
        <v>1.7</v>
      </c>
      <c r="H55" t="n">
        <v>0</v>
      </c>
      <c r="I55" t="n">
        <v>1</v>
      </c>
      <c r="J55" t="n">
        <v>1</v>
      </c>
      <c r="K55" t="n">
        <v>1</v>
      </c>
      <c r="L55" t="n">
        <v>0</v>
      </c>
      <c r="M55" t="n">
        <v>0</v>
      </c>
      <c r="N55" t="n">
        <v>0</v>
      </c>
      <c r="O55" t="n">
        <v>2</v>
      </c>
      <c r="P55" t="n">
        <v>1</v>
      </c>
      <c r="Q55" t="n">
        <v>3</v>
      </c>
      <c r="R55" s="2" t="inlineStr">
        <is>
          <t>Violett fingersvamp
Kandelabersvamp
Slät lönnlav</t>
        </is>
      </c>
      <c r="S55">
        <f>HYPERLINK("https://klasma.github.io/Logging_0188/artfynd/A 45113-2022 artfynd.xlsx", "A 45113-2022")</f>
        <v/>
      </c>
      <c r="T55">
        <f>HYPERLINK("https://klasma.github.io/Logging_0188/kartor/A 45113-2022 karta.png", "A 45113-2022")</f>
        <v/>
      </c>
      <c r="V55">
        <f>HYPERLINK("https://klasma.github.io/Logging_0188/klagomål/A 45113-2022 FSC-klagomål.docx", "A 45113-2022")</f>
        <v/>
      </c>
      <c r="W55">
        <f>HYPERLINK("https://klasma.github.io/Logging_0188/klagomålsmail/A 45113-2022 FSC-klagomål mail.docx", "A 45113-2022")</f>
        <v/>
      </c>
      <c r="X55">
        <f>HYPERLINK("https://klasma.github.io/Logging_0188/tillsyn/A 45113-2022 tillsynsbegäran.docx", "A 45113-2022")</f>
        <v/>
      </c>
      <c r="Y55">
        <f>HYPERLINK("https://klasma.github.io/Logging_0188/tillsynsmail/A 45113-2022 tillsynsbegäran mail.docx", "A 45113-2022")</f>
        <v/>
      </c>
    </row>
    <row r="56" ht="15" customHeight="1">
      <c r="A56" t="inlineStr">
        <is>
          <t>A 14560-2021</t>
        </is>
      </c>
      <c r="B56" s="1" t="n">
        <v>44279</v>
      </c>
      <c r="C56" s="1" t="n">
        <v>46004</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46004</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28836-2022</t>
        </is>
      </c>
      <c r="B58" s="1" t="n">
        <v>44749</v>
      </c>
      <c r="C58" s="1" t="n">
        <v>46004</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2851-2023</t>
        </is>
      </c>
      <c r="B59" s="1" t="n">
        <v>44945</v>
      </c>
      <c r="C59" s="1" t="n">
        <v>46004</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27870-2022</t>
        </is>
      </c>
      <c r="B60" s="1" t="n">
        <v>44743.64592592593</v>
      </c>
      <c r="C60" s="1" t="n">
        <v>46004</v>
      </c>
      <c r="D60" t="inlineStr">
        <is>
          <t>STOCKHOLMS LÄN</t>
        </is>
      </c>
      <c r="E60" t="inlineStr">
        <is>
          <t>NORRTÄLJE</t>
        </is>
      </c>
      <c r="F60" t="inlineStr">
        <is>
          <t>Holmen skog AB</t>
        </is>
      </c>
      <c r="G60" t="n">
        <v>1.8</v>
      </c>
      <c r="H60" t="n">
        <v>3</v>
      </c>
      <c r="I60" t="n">
        <v>0</v>
      </c>
      <c r="J60" t="n">
        <v>1</v>
      </c>
      <c r="K60" t="n">
        <v>0</v>
      </c>
      <c r="L60" t="n">
        <v>0</v>
      </c>
      <c r="M60" t="n">
        <v>0</v>
      </c>
      <c r="N60" t="n">
        <v>0</v>
      </c>
      <c r="O60" t="n">
        <v>1</v>
      </c>
      <c r="P60" t="n">
        <v>0</v>
      </c>
      <c r="Q60" t="n">
        <v>3</v>
      </c>
      <c r="R60" s="2" t="inlineStr">
        <is>
          <t>Nordfladdermus
Dvärgpipistrell
Större brunfladdermus</t>
        </is>
      </c>
      <c r="S60">
        <f>HYPERLINK("https://klasma.github.io/Logging_0188/artfynd/A 27870-2022 artfynd.xlsx", "A 27870-2022")</f>
        <v/>
      </c>
      <c r="T60">
        <f>HYPERLINK("https://klasma.github.io/Logging_0188/kartor/A 27870-2022 karta.png", "A 27870-2022")</f>
        <v/>
      </c>
      <c r="V60">
        <f>HYPERLINK("https://klasma.github.io/Logging_0188/klagomål/A 27870-2022 FSC-klagomål.docx", "A 27870-2022")</f>
        <v/>
      </c>
      <c r="W60">
        <f>HYPERLINK("https://klasma.github.io/Logging_0188/klagomålsmail/A 27870-2022 FSC-klagomål mail.docx", "A 27870-2022")</f>
        <v/>
      </c>
      <c r="X60">
        <f>HYPERLINK("https://klasma.github.io/Logging_0188/tillsyn/A 27870-2022 tillsynsbegäran.docx", "A 27870-2022")</f>
        <v/>
      </c>
      <c r="Y60">
        <f>HYPERLINK("https://klasma.github.io/Logging_0188/tillsynsmail/A 27870-2022 tillsynsbegäran mail.docx", "A 27870-2022")</f>
        <v/>
      </c>
    </row>
    <row r="61" ht="15" customHeight="1">
      <c r="A61" t="inlineStr">
        <is>
          <t>A 50618-2022</t>
        </is>
      </c>
      <c r="B61" s="1" t="n">
        <v>44866</v>
      </c>
      <c r="C61" s="1" t="n">
        <v>46004</v>
      </c>
      <c r="D61" t="inlineStr">
        <is>
          <t>STOCKHOLMS LÄN</t>
        </is>
      </c>
      <c r="E61" t="inlineStr">
        <is>
          <t>NORRTÄLJE</t>
        </is>
      </c>
      <c r="G61" t="n">
        <v>7.8</v>
      </c>
      <c r="H61" t="n">
        <v>2</v>
      </c>
      <c r="I61" t="n">
        <v>2</v>
      </c>
      <c r="J61" t="n">
        <v>0</v>
      </c>
      <c r="K61" t="n">
        <v>0</v>
      </c>
      <c r="L61" t="n">
        <v>0</v>
      </c>
      <c r="M61" t="n">
        <v>0</v>
      </c>
      <c r="N61" t="n">
        <v>0</v>
      </c>
      <c r="O61" t="n">
        <v>0</v>
      </c>
      <c r="P61" t="n">
        <v>0</v>
      </c>
      <c r="Q61" t="n">
        <v>3</v>
      </c>
      <c r="R61" s="2" t="inlineStr">
        <is>
          <t>Skogsknipprot
Vårärt
Blåsippa</t>
        </is>
      </c>
      <c r="S61">
        <f>HYPERLINK("https://klasma.github.io/Logging_0188/artfynd/A 50618-2022 artfynd.xlsx", "A 50618-2022")</f>
        <v/>
      </c>
      <c r="T61">
        <f>HYPERLINK("https://klasma.github.io/Logging_0188/kartor/A 50618-2022 karta.png", "A 50618-2022")</f>
        <v/>
      </c>
      <c r="V61">
        <f>HYPERLINK("https://klasma.github.io/Logging_0188/klagomål/A 50618-2022 FSC-klagomål.docx", "A 50618-2022")</f>
        <v/>
      </c>
      <c r="W61">
        <f>HYPERLINK("https://klasma.github.io/Logging_0188/klagomålsmail/A 50618-2022 FSC-klagomål mail.docx", "A 50618-2022")</f>
        <v/>
      </c>
      <c r="X61">
        <f>HYPERLINK("https://klasma.github.io/Logging_0188/tillsyn/A 50618-2022 tillsynsbegäran.docx", "A 50618-2022")</f>
        <v/>
      </c>
      <c r="Y61">
        <f>HYPERLINK("https://klasma.github.io/Logging_0188/tillsynsmail/A 50618-2022 tillsynsbegäran mail.docx", "A 50618-2022")</f>
        <v/>
      </c>
    </row>
    <row r="62" ht="15" customHeight="1">
      <c r="A62" t="inlineStr">
        <is>
          <t>A 20185-2022</t>
        </is>
      </c>
      <c r="B62" s="1" t="n">
        <v>44698</v>
      </c>
      <c r="C62" s="1" t="n">
        <v>46004</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54110-2024</t>
        </is>
      </c>
      <c r="B63" s="1" t="n">
        <v>45616.54866898148</v>
      </c>
      <c r="C63" s="1" t="n">
        <v>46004</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46004</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46004</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52726-2025</t>
        </is>
      </c>
      <c r="B66" s="1" t="n">
        <v>45957.34722222222</v>
      </c>
      <c r="C66" s="1" t="n">
        <v>46004</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34524-2025</t>
        </is>
      </c>
      <c r="B67" s="1" t="n">
        <v>45847.47685185185</v>
      </c>
      <c r="C67" s="1" t="n">
        <v>46004</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52133-2022</t>
        </is>
      </c>
      <c r="B68" s="1" t="n">
        <v>44868</v>
      </c>
      <c r="C68" s="1" t="n">
        <v>46004</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4634-2021</t>
        </is>
      </c>
      <c r="B69" s="1" t="n">
        <v>44224</v>
      </c>
      <c r="C69" s="1" t="n">
        <v>46004</v>
      </c>
      <c r="D69" t="inlineStr">
        <is>
          <t>STOCKHOLMS LÄN</t>
        </is>
      </c>
      <c r="E69" t="inlineStr">
        <is>
          <t>NORRTÄLJE</t>
        </is>
      </c>
      <c r="G69" t="n">
        <v>3.7</v>
      </c>
      <c r="H69" t="n">
        <v>2</v>
      </c>
      <c r="I69" t="n">
        <v>1</v>
      </c>
      <c r="J69" t="n">
        <v>0</v>
      </c>
      <c r="K69" t="n">
        <v>0</v>
      </c>
      <c r="L69" t="n">
        <v>0</v>
      </c>
      <c r="M69" t="n">
        <v>0</v>
      </c>
      <c r="N69" t="n">
        <v>0</v>
      </c>
      <c r="O69" t="n">
        <v>0</v>
      </c>
      <c r="P69" t="n">
        <v>0</v>
      </c>
      <c r="Q69" t="n">
        <v>2</v>
      </c>
      <c r="R69" s="2" t="inlineStr">
        <is>
          <t>Grön sköldmossa
Tjäder</t>
        </is>
      </c>
      <c r="S69">
        <f>HYPERLINK("https://klasma.github.io/Logging_0188/artfynd/A 4634-2021 artfynd.xlsx", "A 4634-2021")</f>
        <v/>
      </c>
      <c r="T69">
        <f>HYPERLINK("https://klasma.github.io/Logging_0188/kartor/A 4634-2021 karta.png", "A 4634-2021")</f>
        <v/>
      </c>
      <c r="V69">
        <f>HYPERLINK("https://klasma.github.io/Logging_0188/klagomål/A 4634-2021 FSC-klagomål.docx", "A 4634-2021")</f>
        <v/>
      </c>
      <c r="W69">
        <f>HYPERLINK("https://klasma.github.io/Logging_0188/klagomålsmail/A 4634-2021 FSC-klagomål mail.docx", "A 4634-2021")</f>
        <v/>
      </c>
      <c r="X69">
        <f>HYPERLINK("https://klasma.github.io/Logging_0188/tillsyn/A 4634-2021 tillsynsbegäran.docx", "A 4634-2021")</f>
        <v/>
      </c>
      <c r="Y69">
        <f>HYPERLINK("https://klasma.github.io/Logging_0188/tillsynsmail/A 4634-2021 tillsynsbegäran mail.docx", "A 4634-2021")</f>
        <v/>
      </c>
      <c r="Z69">
        <f>HYPERLINK("https://klasma.github.io/Logging_0188/fåglar/A 4634-2021 prioriterade fågelarter.docx", "A 4634-2021")</f>
        <v/>
      </c>
    </row>
    <row r="70" ht="15" customHeight="1">
      <c r="A70" t="inlineStr">
        <is>
          <t>A 58676-2021</t>
        </is>
      </c>
      <c r="B70" s="1" t="n">
        <v>44489</v>
      </c>
      <c r="C70" s="1" t="n">
        <v>46004</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31803-2021</t>
        </is>
      </c>
      <c r="B71" s="1" t="n">
        <v>44370</v>
      </c>
      <c r="C71" s="1" t="n">
        <v>46004</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38991-2022</t>
        </is>
      </c>
      <c r="B72" s="1" t="n">
        <v>44816.89569444444</v>
      </c>
      <c r="C72" s="1" t="n">
        <v>46004</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11031-2025</t>
        </is>
      </c>
      <c r="B73" s="1" t="n">
        <v>45723</v>
      </c>
      <c r="C73" s="1" t="n">
        <v>46004</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30693-2022</t>
        </is>
      </c>
      <c r="B74" s="1" t="n">
        <v>44763</v>
      </c>
      <c r="C74" s="1" t="n">
        <v>46004</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51220-2023</t>
        </is>
      </c>
      <c r="B75" s="1" t="n">
        <v>45219</v>
      </c>
      <c r="C75" s="1" t="n">
        <v>46004</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22190-2024</t>
        </is>
      </c>
      <c r="B76" s="1" t="n">
        <v>45446.35888888889</v>
      </c>
      <c r="C76" s="1" t="n">
        <v>46004</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51980-2022</t>
        </is>
      </c>
      <c r="B77" s="1" t="n">
        <v>44872</v>
      </c>
      <c r="C77" s="1" t="n">
        <v>46004</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52124-2022</t>
        </is>
      </c>
      <c r="B78" s="1" t="n">
        <v>44868</v>
      </c>
      <c r="C78" s="1" t="n">
        <v>46004</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52825-2023</t>
        </is>
      </c>
      <c r="B79" s="1" t="n">
        <v>45226</v>
      </c>
      <c r="C79" s="1" t="n">
        <v>46004</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16260-2022</t>
        </is>
      </c>
      <c r="B80" s="1" t="n">
        <v>44670</v>
      </c>
      <c r="C80" s="1" t="n">
        <v>46004</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52360-2024</t>
        </is>
      </c>
      <c r="B81" s="1" t="n">
        <v>45609.37094907407</v>
      </c>
      <c r="C81" s="1" t="n">
        <v>46004</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50697-2025</t>
        </is>
      </c>
      <c r="B82" s="1" t="n">
        <v>45945.90854166666</v>
      </c>
      <c r="C82" s="1" t="n">
        <v>46004</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53608-2025</t>
        </is>
      </c>
      <c r="B83" s="1" t="n">
        <v>45960</v>
      </c>
      <c r="C83" s="1" t="n">
        <v>46004</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60941-2025</t>
        </is>
      </c>
      <c r="B84" s="1" t="n">
        <v>45999.64359953703</v>
      </c>
      <c r="C84" s="1" t="n">
        <v>46004</v>
      </c>
      <c r="D84" t="inlineStr">
        <is>
          <t>STOCKHOLMS LÄN</t>
        </is>
      </c>
      <c r="E84" t="inlineStr">
        <is>
          <t>NORRTÄLJE</t>
        </is>
      </c>
      <c r="G84" t="n">
        <v>4.3</v>
      </c>
      <c r="H84" t="n">
        <v>1</v>
      </c>
      <c r="I84" t="n">
        <v>1</v>
      </c>
      <c r="J84" t="n">
        <v>0</v>
      </c>
      <c r="K84" t="n">
        <v>0</v>
      </c>
      <c r="L84" t="n">
        <v>0</v>
      </c>
      <c r="M84" t="n">
        <v>0</v>
      </c>
      <c r="N84" t="n">
        <v>0</v>
      </c>
      <c r="O84" t="n">
        <v>0</v>
      </c>
      <c r="P84" t="n">
        <v>0</v>
      </c>
      <c r="Q84" t="n">
        <v>2</v>
      </c>
      <c r="R84" s="2" t="inlineStr">
        <is>
          <t>Skinnlav
Blåsippa</t>
        </is>
      </c>
      <c r="S84">
        <f>HYPERLINK("https://klasma.github.io/Logging_0188/artfynd/A 60941-2025 artfynd.xlsx", "A 60941-2025")</f>
        <v/>
      </c>
      <c r="T84">
        <f>HYPERLINK("https://klasma.github.io/Logging_0188/kartor/A 60941-2025 karta.png", "A 60941-2025")</f>
        <v/>
      </c>
      <c r="V84">
        <f>HYPERLINK("https://klasma.github.io/Logging_0188/klagomål/A 60941-2025 FSC-klagomål.docx", "A 60941-2025")</f>
        <v/>
      </c>
      <c r="W84">
        <f>HYPERLINK("https://klasma.github.io/Logging_0188/klagomålsmail/A 60941-2025 FSC-klagomål mail.docx", "A 60941-2025")</f>
        <v/>
      </c>
      <c r="X84">
        <f>HYPERLINK("https://klasma.github.io/Logging_0188/tillsyn/A 60941-2025 tillsynsbegäran.docx", "A 60941-2025")</f>
        <v/>
      </c>
      <c r="Y84">
        <f>HYPERLINK("https://klasma.github.io/Logging_0188/tillsynsmail/A 60941-2025 tillsynsbegäran mail.docx", "A 60941-2025")</f>
        <v/>
      </c>
    </row>
    <row r="85" ht="15" customHeight="1">
      <c r="A85" t="inlineStr">
        <is>
          <t>A 1547-2022</t>
        </is>
      </c>
      <c r="B85" s="1" t="n">
        <v>44573</v>
      </c>
      <c r="C85" s="1" t="n">
        <v>46004</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46004</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46004</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46004</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46004</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11429-2023</t>
        </is>
      </c>
      <c r="B90" s="1" t="n">
        <v>44993</v>
      </c>
      <c r="C90" s="1" t="n">
        <v>46004</v>
      </c>
      <c r="D90" t="inlineStr">
        <is>
          <t>STOCKHOLMS LÄN</t>
        </is>
      </c>
      <c r="E90" t="inlineStr">
        <is>
          <t>NORRTÄLJE</t>
        </is>
      </c>
      <c r="G90" t="n">
        <v>2</v>
      </c>
      <c r="H90" t="n">
        <v>0</v>
      </c>
      <c r="I90" t="n">
        <v>0</v>
      </c>
      <c r="J90" t="n">
        <v>1</v>
      </c>
      <c r="K90" t="n">
        <v>0</v>
      </c>
      <c r="L90" t="n">
        <v>0</v>
      </c>
      <c r="M90" t="n">
        <v>0</v>
      </c>
      <c r="N90" t="n">
        <v>0</v>
      </c>
      <c r="O90" t="n">
        <v>1</v>
      </c>
      <c r="P90" t="n">
        <v>0</v>
      </c>
      <c r="Q90" t="n">
        <v>1</v>
      </c>
      <c r="R90" s="2" t="inlineStr">
        <is>
          <t>Skogsklocka</t>
        </is>
      </c>
      <c r="S90">
        <f>HYPERLINK("https://klasma.github.io/Logging_0188/artfynd/A 11429-2023 artfynd.xlsx", "A 11429-2023")</f>
        <v/>
      </c>
      <c r="T90">
        <f>HYPERLINK("https://klasma.github.io/Logging_0188/kartor/A 11429-2023 karta.png", "A 11429-2023")</f>
        <v/>
      </c>
      <c r="V90">
        <f>HYPERLINK("https://klasma.github.io/Logging_0188/klagomål/A 11429-2023 FSC-klagomål.docx", "A 11429-2023")</f>
        <v/>
      </c>
      <c r="W90">
        <f>HYPERLINK("https://klasma.github.io/Logging_0188/klagomålsmail/A 11429-2023 FSC-klagomål mail.docx", "A 11429-2023")</f>
        <v/>
      </c>
      <c r="X90">
        <f>HYPERLINK("https://klasma.github.io/Logging_0188/tillsyn/A 11429-2023 tillsynsbegäran.docx", "A 11429-2023")</f>
        <v/>
      </c>
      <c r="Y90">
        <f>HYPERLINK("https://klasma.github.io/Logging_0188/tillsynsmail/A 11429-2023 tillsynsbegäran mail.docx", "A 11429-2023")</f>
        <v/>
      </c>
    </row>
    <row r="91" ht="15" customHeight="1">
      <c r="A91" t="inlineStr">
        <is>
          <t>A 50854-2022</t>
        </is>
      </c>
      <c r="B91" s="1" t="n">
        <v>44863</v>
      </c>
      <c r="C91" s="1" t="n">
        <v>46004</v>
      </c>
      <c r="D91" t="inlineStr">
        <is>
          <t>STOCKHOLMS LÄN</t>
        </is>
      </c>
      <c r="E91" t="inlineStr">
        <is>
          <t>NORRTÄLJE</t>
        </is>
      </c>
      <c r="G91" t="n">
        <v>2.9</v>
      </c>
      <c r="H91" t="n">
        <v>0</v>
      </c>
      <c r="I91" t="n">
        <v>1</v>
      </c>
      <c r="J91" t="n">
        <v>0</v>
      </c>
      <c r="K91" t="n">
        <v>0</v>
      </c>
      <c r="L91" t="n">
        <v>0</v>
      </c>
      <c r="M91" t="n">
        <v>0</v>
      </c>
      <c r="N91" t="n">
        <v>0</v>
      </c>
      <c r="O91" t="n">
        <v>0</v>
      </c>
      <c r="P91" t="n">
        <v>0</v>
      </c>
      <c r="Q91" t="n">
        <v>1</v>
      </c>
      <c r="R91" s="2" t="inlineStr">
        <is>
          <t>Tibast</t>
        </is>
      </c>
      <c r="S91">
        <f>HYPERLINK("https://klasma.github.io/Logging_0188/artfynd/A 50854-2022 artfynd.xlsx", "A 50854-2022")</f>
        <v/>
      </c>
      <c r="T91">
        <f>HYPERLINK("https://klasma.github.io/Logging_0188/kartor/A 50854-2022 karta.png", "A 50854-2022")</f>
        <v/>
      </c>
      <c r="V91">
        <f>HYPERLINK("https://klasma.github.io/Logging_0188/klagomål/A 50854-2022 FSC-klagomål.docx", "A 50854-2022")</f>
        <v/>
      </c>
      <c r="W91">
        <f>HYPERLINK("https://klasma.github.io/Logging_0188/klagomålsmail/A 50854-2022 FSC-klagomål mail.docx", "A 50854-2022")</f>
        <v/>
      </c>
      <c r="X91">
        <f>HYPERLINK("https://klasma.github.io/Logging_0188/tillsyn/A 50854-2022 tillsynsbegäran.docx", "A 50854-2022")</f>
        <v/>
      </c>
      <c r="Y91">
        <f>HYPERLINK("https://klasma.github.io/Logging_0188/tillsynsmail/A 50854-2022 tillsynsbegäran mail.docx", "A 50854-2022")</f>
        <v/>
      </c>
    </row>
    <row r="92" ht="15" customHeight="1">
      <c r="A92" t="inlineStr">
        <is>
          <t>A 24330-2023</t>
        </is>
      </c>
      <c r="B92" s="1" t="n">
        <v>45081</v>
      </c>
      <c r="C92" s="1" t="n">
        <v>46004</v>
      </c>
      <c r="D92" t="inlineStr">
        <is>
          <t>STOCKHOLMS LÄN</t>
        </is>
      </c>
      <c r="E92" t="inlineStr">
        <is>
          <t>NORRTÄLJE</t>
        </is>
      </c>
      <c r="G92" t="n">
        <v>5</v>
      </c>
      <c r="H92" t="n">
        <v>1</v>
      </c>
      <c r="I92" t="n">
        <v>0</v>
      </c>
      <c r="J92" t="n">
        <v>1</v>
      </c>
      <c r="K92" t="n">
        <v>0</v>
      </c>
      <c r="L92" t="n">
        <v>0</v>
      </c>
      <c r="M92" t="n">
        <v>0</v>
      </c>
      <c r="N92" t="n">
        <v>0</v>
      </c>
      <c r="O92" t="n">
        <v>1</v>
      </c>
      <c r="P92" t="n">
        <v>0</v>
      </c>
      <c r="Q92" t="n">
        <v>1</v>
      </c>
      <c r="R92" s="2" t="inlineStr">
        <is>
          <t>Mindre hackspett</t>
        </is>
      </c>
      <c r="S92">
        <f>HYPERLINK("https://klasma.github.io/Logging_0188/artfynd/A 24330-2023 artfynd.xlsx", "A 24330-2023")</f>
        <v/>
      </c>
      <c r="T92">
        <f>HYPERLINK("https://klasma.github.io/Logging_0188/kartor/A 24330-2023 karta.png", "A 24330-2023")</f>
        <v/>
      </c>
      <c r="V92">
        <f>HYPERLINK("https://klasma.github.io/Logging_0188/klagomål/A 24330-2023 FSC-klagomål.docx", "A 24330-2023")</f>
        <v/>
      </c>
      <c r="W92">
        <f>HYPERLINK("https://klasma.github.io/Logging_0188/klagomålsmail/A 24330-2023 FSC-klagomål mail.docx", "A 24330-2023")</f>
        <v/>
      </c>
      <c r="X92">
        <f>HYPERLINK("https://klasma.github.io/Logging_0188/tillsyn/A 24330-2023 tillsynsbegäran.docx", "A 24330-2023")</f>
        <v/>
      </c>
      <c r="Y92">
        <f>HYPERLINK("https://klasma.github.io/Logging_0188/tillsynsmail/A 24330-2023 tillsynsbegäran mail.docx", "A 24330-2023")</f>
        <v/>
      </c>
      <c r="Z92">
        <f>HYPERLINK("https://klasma.github.io/Logging_0188/fåglar/A 24330-2023 prioriterade fågelarter.docx", "A 24330-2023")</f>
        <v/>
      </c>
    </row>
    <row r="93" ht="15" customHeight="1">
      <c r="A93" t="inlineStr">
        <is>
          <t>A 21744-2023</t>
        </is>
      </c>
      <c r="B93" s="1" t="n">
        <v>45065</v>
      </c>
      <c r="C93" s="1" t="n">
        <v>46004</v>
      </c>
      <c r="D93" t="inlineStr">
        <is>
          <t>STOCKHOLMS LÄN</t>
        </is>
      </c>
      <c r="E93" t="inlineStr">
        <is>
          <t>NORRTÄLJE</t>
        </is>
      </c>
      <c r="F93" t="inlineStr">
        <is>
          <t>Holmen skog AB</t>
        </is>
      </c>
      <c r="G93" t="n">
        <v>4.2</v>
      </c>
      <c r="H93" t="n">
        <v>0</v>
      </c>
      <c r="I93" t="n">
        <v>1</v>
      </c>
      <c r="J93" t="n">
        <v>0</v>
      </c>
      <c r="K93" t="n">
        <v>0</v>
      </c>
      <c r="L93" t="n">
        <v>0</v>
      </c>
      <c r="M93" t="n">
        <v>0</v>
      </c>
      <c r="N93" t="n">
        <v>0</v>
      </c>
      <c r="O93" t="n">
        <v>0</v>
      </c>
      <c r="P93" t="n">
        <v>0</v>
      </c>
      <c r="Q93" t="n">
        <v>1</v>
      </c>
      <c r="R93" s="2" t="inlineStr">
        <is>
          <t>Korallblylav</t>
        </is>
      </c>
      <c r="S93">
        <f>HYPERLINK("https://klasma.github.io/Logging_0188/artfynd/A 21744-2023 artfynd.xlsx", "A 21744-2023")</f>
        <v/>
      </c>
      <c r="T93">
        <f>HYPERLINK("https://klasma.github.io/Logging_0188/kartor/A 21744-2023 karta.png", "A 21744-2023")</f>
        <v/>
      </c>
      <c r="V93">
        <f>HYPERLINK("https://klasma.github.io/Logging_0188/klagomål/A 21744-2023 FSC-klagomål.docx", "A 21744-2023")</f>
        <v/>
      </c>
      <c r="W93">
        <f>HYPERLINK("https://klasma.github.io/Logging_0188/klagomålsmail/A 21744-2023 FSC-klagomål mail.docx", "A 21744-2023")</f>
        <v/>
      </c>
      <c r="X93">
        <f>HYPERLINK("https://klasma.github.io/Logging_0188/tillsyn/A 21744-2023 tillsynsbegäran.docx", "A 21744-2023")</f>
        <v/>
      </c>
      <c r="Y93">
        <f>HYPERLINK("https://klasma.github.io/Logging_0188/tillsynsmail/A 21744-2023 tillsynsbegäran mail.docx", "A 21744-2023")</f>
        <v/>
      </c>
    </row>
    <row r="94" ht="15" customHeight="1">
      <c r="A94" t="inlineStr">
        <is>
          <t>A 1162-2021</t>
        </is>
      </c>
      <c r="B94" s="1" t="n">
        <v>44207</v>
      </c>
      <c r="C94" s="1" t="n">
        <v>46004</v>
      </c>
      <c r="D94" t="inlineStr">
        <is>
          <t>STOCKHOLMS LÄN</t>
        </is>
      </c>
      <c r="E94" t="inlineStr">
        <is>
          <t>NORRTÄLJE</t>
        </is>
      </c>
      <c r="G94" t="n">
        <v>2.2</v>
      </c>
      <c r="H94" t="n">
        <v>1</v>
      </c>
      <c r="I94" t="n">
        <v>0</v>
      </c>
      <c r="J94" t="n">
        <v>0</v>
      </c>
      <c r="K94" t="n">
        <v>1</v>
      </c>
      <c r="L94" t="n">
        <v>0</v>
      </c>
      <c r="M94" t="n">
        <v>0</v>
      </c>
      <c r="N94" t="n">
        <v>0</v>
      </c>
      <c r="O94" t="n">
        <v>1</v>
      </c>
      <c r="P94" t="n">
        <v>1</v>
      </c>
      <c r="Q94" t="n">
        <v>1</v>
      </c>
      <c r="R94" s="2" t="inlineStr">
        <is>
          <t>Hällebräcka</t>
        </is>
      </c>
      <c r="S94">
        <f>HYPERLINK("https://klasma.github.io/Logging_0188/artfynd/A 1162-2021 artfynd.xlsx", "A 1162-2021")</f>
        <v/>
      </c>
      <c r="T94">
        <f>HYPERLINK("https://klasma.github.io/Logging_0188/kartor/A 1162-2021 karta.png", "A 1162-2021")</f>
        <v/>
      </c>
      <c r="V94">
        <f>HYPERLINK("https://klasma.github.io/Logging_0188/klagomål/A 1162-2021 FSC-klagomål.docx", "A 1162-2021")</f>
        <v/>
      </c>
      <c r="W94">
        <f>HYPERLINK("https://klasma.github.io/Logging_0188/klagomålsmail/A 1162-2021 FSC-klagomål mail.docx", "A 1162-2021")</f>
        <v/>
      </c>
      <c r="X94">
        <f>HYPERLINK("https://klasma.github.io/Logging_0188/tillsyn/A 1162-2021 tillsynsbegäran.docx", "A 1162-2021")</f>
        <v/>
      </c>
      <c r="Y94">
        <f>HYPERLINK("https://klasma.github.io/Logging_0188/tillsynsmail/A 1162-2021 tillsynsbegäran mail.docx", "A 1162-2021")</f>
        <v/>
      </c>
    </row>
    <row r="95" ht="15" customHeight="1">
      <c r="A95" t="inlineStr">
        <is>
          <t>A 52611-2024</t>
        </is>
      </c>
      <c r="B95" s="1" t="n">
        <v>45609.83747685186</v>
      </c>
      <c r="C95" s="1" t="n">
        <v>46004</v>
      </c>
      <c r="D95" t="inlineStr">
        <is>
          <t>STOCKHOLMS LÄN</t>
        </is>
      </c>
      <c r="E95" t="inlineStr">
        <is>
          <t>NORRTÄLJE</t>
        </is>
      </c>
      <c r="G95" t="n">
        <v>10.6</v>
      </c>
      <c r="H95" t="n">
        <v>1</v>
      </c>
      <c r="I95" t="n">
        <v>0</v>
      </c>
      <c r="J95" t="n">
        <v>0</v>
      </c>
      <c r="K95" t="n">
        <v>0</v>
      </c>
      <c r="L95" t="n">
        <v>0</v>
      </c>
      <c r="M95" t="n">
        <v>0</v>
      </c>
      <c r="N95" t="n">
        <v>0</v>
      </c>
      <c r="O95" t="n">
        <v>0</v>
      </c>
      <c r="P95" t="n">
        <v>0</v>
      </c>
      <c r="Q95" t="n">
        <v>1</v>
      </c>
      <c r="R95" s="2" t="inlineStr">
        <is>
          <t>Blåsippa</t>
        </is>
      </c>
      <c r="S95">
        <f>HYPERLINK("https://klasma.github.io/Logging_0188/artfynd/A 52611-2024 artfynd.xlsx", "A 52611-2024")</f>
        <v/>
      </c>
      <c r="T95">
        <f>HYPERLINK("https://klasma.github.io/Logging_0188/kartor/A 52611-2024 karta.png", "A 52611-2024")</f>
        <v/>
      </c>
      <c r="V95">
        <f>HYPERLINK("https://klasma.github.io/Logging_0188/klagomål/A 52611-2024 FSC-klagomål.docx", "A 52611-2024")</f>
        <v/>
      </c>
      <c r="W95">
        <f>HYPERLINK("https://klasma.github.io/Logging_0188/klagomålsmail/A 52611-2024 FSC-klagomål mail.docx", "A 52611-2024")</f>
        <v/>
      </c>
      <c r="X95">
        <f>HYPERLINK("https://klasma.github.io/Logging_0188/tillsyn/A 52611-2024 tillsynsbegäran.docx", "A 52611-2024")</f>
        <v/>
      </c>
      <c r="Y95">
        <f>HYPERLINK("https://klasma.github.io/Logging_0188/tillsynsmail/A 52611-2024 tillsynsbegäran mail.docx", "A 52611-2024")</f>
        <v/>
      </c>
    </row>
    <row r="96" ht="15" customHeight="1">
      <c r="A96" t="inlineStr">
        <is>
          <t>A 47898-2022</t>
        </is>
      </c>
      <c r="B96" s="1" t="n">
        <v>44855</v>
      </c>
      <c r="C96" s="1" t="n">
        <v>46004</v>
      </c>
      <c r="D96" t="inlineStr">
        <is>
          <t>STOCKHOLMS LÄN</t>
        </is>
      </c>
      <c r="E96" t="inlineStr">
        <is>
          <t>NORRTÄLJE</t>
        </is>
      </c>
      <c r="G96" t="n">
        <v>6.7</v>
      </c>
      <c r="H96" t="n">
        <v>1</v>
      </c>
      <c r="I96" t="n">
        <v>1</v>
      </c>
      <c r="J96" t="n">
        <v>0</v>
      </c>
      <c r="K96" t="n">
        <v>0</v>
      </c>
      <c r="L96" t="n">
        <v>0</v>
      </c>
      <c r="M96" t="n">
        <v>0</v>
      </c>
      <c r="N96" t="n">
        <v>0</v>
      </c>
      <c r="O96" t="n">
        <v>0</v>
      </c>
      <c r="P96" t="n">
        <v>0</v>
      </c>
      <c r="Q96" t="n">
        <v>1</v>
      </c>
      <c r="R96" s="2" t="inlineStr">
        <is>
          <t>Guckusko</t>
        </is>
      </c>
      <c r="S96">
        <f>HYPERLINK("https://klasma.github.io/Logging_0188/artfynd/A 47898-2022 artfynd.xlsx", "A 47898-2022")</f>
        <v/>
      </c>
      <c r="T96">
        <f>HYPERLINK("https://klasma.github.io/Logging_0188/kartor/A 47898-2022 karta.png", "A 47898-2022")</f>
        <v/>
      </c>
      <c r="V96">
        <f>HYPERLINK("https://klasma.github.io/Logging_0188/klagomål/A 47898-2022 FSC-klagomål.docx", "A 47898-2022")</f>
        <v/>
      </c>
      <c r="W96">
        <f>HYPERLINK("https://klasma.github.io/Logging_0188/klagomålsmail/A 47898-2022 FSC-klagomål mail.docx", "A 47898-2022")</f>
        <v/>
      </c>
      <c r="X96">
        <f>HYPERLINK("https://klasma.github.io/Logging_0188/tillsyn/A 47898-2022 tillsynsbegäran.docx", "A 47898-2022")</f>
        <v/>
      </c>
      <c r="Y96">
        <f>HYPERLINK("https://klasma.github.io/Logging_0188/tillsynsmail/A 47898-2022 tillsynsbegäran mail.docx", "A 47898-2022")</f>
        <v/>
      </c>
    </row>
    <row r="97" ht="15" customHeight="1">
      <c r="A97" t="inlineStr">
        <is>
          <t>A 26120-2024</t>
        </is>
      </c>
      <c r="B97" s="1" t="n">
        <v>45468.45995370371</v>
      </c>
      <c r="C97" s="1" t="n">
        <v>46004</v>
      </c>
      <c r="D97" t="inlineStr">
        <is>
          <t>STOCKHOLMS LÄN</t>
        </is>
      </c>
      <c r="E97" t="inlineStr">
        <is>
          <t>NORRTÄLJE</t>
        </is>
      </c>
      <c r="G97" t="n">
        <v>1.8</v>
      </c>
      <c r="H97" t="n">
        <v>0</v>
      </c>
      <c r="I97" t="n">
        <v>0</v>
      </c>
      <c r="J97" t="n">
        <v>1</v>
      </c>
      <c r="K97" t="n">
        <v>0</v>
      </c>
      <c r="L97" t="n">
        <v>0</v>
      </c>
      <c r="M97" t="n">
        <v>0</v>
      </c>
      <c r="N97" t="n">
        <v>0</v>
      </c>
      <c r="O97" t="n">
        <v>1</v>
      </c>
      <c r="P97" t="n">
        <v>0</v>
      </c>
      <c r="Q97" t="n">
        <v>1</v>
      </c>
      <c r="R97" s="2" t="inlineStr">
        <is>
          <t>Majviva</t>
        </is>
      </c>
      <c r="S97">
        <f>HYPERLINK("https://klasma.github.io/Logging_0188/artfynd/A 26120-2024 artfynd.xlsx", "A 26120-2024")</f>
        <v/>
      </c>
      <c r="T97">
        <f>HYPERLINK("https://klasma.github.io/Logging_0188/kartor/A 26120-2024 karta.png", "A 26120-2024")</f>
        <v/>
      </c>
      <c r="V97">
        <f>HYPERLINK("https://klasma.github.io/Logging_0188/klagomål/A 26120-2024 FSC-klagomål.docx", "A 26120-2024")</f>
        <v/>
      </c>
      <c r="W97">
        <f>HYPERLINK("https://klasma.github.io/Logging_0188/klagomålsmail/A 26120-2024 FSC-klagomål mail.docx", "A 26120-2024")</f>
        <v/>
      </c>
      <c r="X97">
        <f>HYPERLINK("https://klasma.github.io/Logging_0188/tillsyn/A 26120-2024 tillsynsbegäran.docx", "A 26120-2024")</f>
        <v/>
      </c>
      <c r="Y97">
        <f>HYPERLINK("https://klasma.github.io/Logging_0188/tillsynsmail/A 26120-2024 tillsynsbegäran mail.docx", "A 26120-2024")</f>
        <v/>
      </c>
    </row>
    <row r="98" ht="15" customHeight="1">
      <c r="A98" t="inlineStr">
        <is>
          <t>A 17952-2022</t>
        </is>
      </c>
      <c r="B98" s="1" t="n">
        <v>44683</v>
      </c>
      <c r="C98" s="1" t="n">
        <v>46004</v>
      </c>
      <c r="D98" t="inlineStr">
        <is>
          <t>STOCKHOLMS LÄN</t>
        </is>
      </c>
      <c r="E98" t="inlineStr">
        <is>
          <t>NORRTÄLJE</t>
        </is>
      </c>
      <c r="G98" t="n">
        <v>51.1</v>
      </c>
      <c r="H98" t="n">
        <v>0</v>
      </c>
      <c r="I98" t="n">
        <v>0</v>
      </c>
      <c r="J98" t="n">
        <v>0</v>
      </c>
      <c r="K98" t="n">
        <v>1</v>
      </c>
      <c r="L98" t="n">
        <v>0</v>
      </c>
      <c r="M98" t="n">
        <v>0</v>
      </c>
      <c r="N98" t="n">
        <v>0</v>
      </c>
      <c r="O98" t="n">
        <v>1</v>
      </c>
      <c r="P98" t="n">
        <v>1</v>
      </c>
      <c r="Q98" t="n">
        <v>1</v>
      </c>
      <c r="R98" s="2" t="inlineStr">
        <is>
          <t>Kattunvisslare</t>
        </is>
      </c>
      <c r="S98">
        <f>HYPERLINK("https://klasma.github.io/Logging_0188/artfynd/A 17952-2022 artfynd.xlsx", "A 17952-2022")</f>
        <v/>
      </c>
      <c r="T98">
        <f>HYPERLINK("https://klasma.github.io/Logging_0188/kartor/A 17952-2022 karta.png", "A 17952-2022")</f>
        <v/>
      </c>
      <c r="V98">
        <f>HYPERLINK("https://klasma.github.io/Logging_0188/klagomål/A 17952-2022 FSC-klagomål.docx", "A 17952-2022")</f>
        <v/>
      </c>
      <c r="W98">
        <f>HYPERLINK("https://klasma.github.io/Logging_0188/klagomålsmail/A 17952-2022 FSC-klagomål mail.docx", "A 17952-2022")</f>
        <v/>
      </c>
      <c r="X98">
        <f>HYPERLINK("https://klasma.github.io/Logging_0188/tillsyn/A 17952-2022 tillsynsbegäran.docx", "A 17952-2022")</f>
        <v/>
      </c>
      <c r="Y98">
        <f>HYPERLINK("https://klasma.github.io/Logging_0188/tillsynsmail/A 17952-2022 tillsynsbegäran mail.docx", "A 17952-2022")</f>
        <v/>
      </c>
    </row>
    <row r="99" ht="15" customHeight="1">
      <c r="A99" t="inlineStr">
        <is>
          <t>A 4595-2023</t>
        </is>
      </c>
      <c r="B99" s="1" t="n">
        <v>44956</v>
      </c>
      <c r="C99" s="1" t="n">
        <v>46004</v>
      </c>
      <c r="D99" t="inlineStr">
        <is>
          <t>STOCKHOLMS LÄN</t>
        </is>
      </c>
      <c r="E99" t="inlineStr">
        <is>
          <t>NORRTÄLJE</t>
        </is>
      </c>
      <c r="G99" t="n">
        <v>0.6</v>
      </c>
      <c r="H99" t="n">
        <v>1</v>
      </c>
      <c r="I99" t="n">
        <v>0</v>
      </c>
      <c r="J99" t="n">
        <v>0</v>
      </c>
      <c r="K99" t="n">
        <v>0</v>
      </c>
      <c r="L99" t="n">
        <v>0</v>
      </c>
      <c r="M99" t="n">
        <v>0</v>
      </c>
      <c r="N99" t="n">
        <v>0</v>
      </c>
      <c r="O99" t="n">
        <v>0</v>
      </c>
      <c r="P99" t="n">
        <v>0</v>
      </c>
      <c r="Q99" t="n">
        <v>1</v>
      </c>
      <c r="R99" s="2" t="inlineStr">
        <is>
          <t>Blåsippa</t>
        </is>
      </c>
      <c r="S99">
        <f>HYPERLINK("https://klasma.github.io/Logging_0188/artfynd/A 4595-2023 artfynd.xlsx", "A 4595-2023")</f>
        <v/>
      </c>
      <c r="T99">
        <f>HYPERLINK("https://klasma.github.io/Logging_0188/kartor/A 4595-2023 karta.png", "A 4595-2023")</f>
        <v/>
      </c>
      <c r="V99">
        <f>HYPERLINK("https://klasma.github.io/Logging_0188/klagomål/A 4595-2023 FSC-klagomål.docx", "A 4595-2023")</f>
        <v/>
      </c>
      <c r="W99">
        <f>HYPERLINK("https://klasma.github.io/Logging_0188/klagomålsmail/A 4595-2023 FSC-klagomål mail.docx", "A 4595-2023")</f>
        <v/>
      </c>
      <c r="X99">
        <f>HYPERLINK("https://klasma.github.io/Logging_0188/tillsyn/A 4595-2023 tillsynsbegäran.docx", "A 4595-2023")</f>
        <v/>
      </c>
      <c r="Y99">
        <f>HYPERLINK("https://klasma.github.io/Logging_0188/tillsynsmail/A 4595-2023 tillsynsbegäran mail.docx", "A 4595-2023")</f>
        <v/>
      </c>
    </row>
    <row r="100" ht="15" customHeight="1">
      <c r="A100" t="inlineStr">
        <is>
          <t>A 64456-2023</t>
        </is>
      </c>
      <c r="B100" s="1" t="n">
        <v>45280</v>
      </c>
      <c r="C100" s="1" t="n">
        <v>46004</v>
      </c>
      <c r="D100" t="inlineStr">
        <is>
          <t>STOCKHOLMS LÄN</t>
        </is>
      </c>
      <c r="E100" t="inlineStr">
        <is>
          <t>NORRTÄLJE</t>
        </is>
      </c>
      <c r="G100" t="n">
        <v>2.5</v>
      </c>
      <c r="H100" t="n">
        <v>0</v>
      </c>
      <c r="I100" t="n">
        <v>1</v>
      </c>
      <c r="J100" t="n">
        <v>0</v>
      </c>
      <c r="K100" t="n">
        <v>0</v>
      </c>
      <c r="L100" t="n">
        <v>0</v>
      </c>
      <c r="M100" t="n">
        <v>0</v>
      </c>
      <c r="N100" t="n">
        <v>0</v>
      </c>
      <c r="O100" t="n">
        <v>0</v>
      </c>
      <c r="P100" t="n">
        <v>0</v>
      </c>
      <c r="Q100" t="n">
        <v>1</v>
      </c>
      <c r="R100" s="2" t="inlineStr">
        <is>
          <t>Rödgul trumpetsvamp</t>
        </is>
      </c>
      <c r="S100">
        <f>HYPERLINK("https://klasma.github.io/Logging_0188/artfynd/A 64456-2023 artfynd.xlsx", "A 64456-2023")</f>
        <v/>
      </c>
      <c r="T100">
        <f>HYPERLINK("https://klasma.github.io/Logging_0188/kartor/A 64456-2023 karta.png", "A 64456-2023")</f>
        <v/>
      </c>
      <c r="V100">
        <f>HYPERLINK("https://klasma.github.io/Logging_0188/klagomål/A 64456-2023 FSC-klagomål.docx", "A 64456-2023")</f>
        <v/>
      </c>
      <c r="W100">
        <f>HYPERLINK("https://klasma.github.io/Logging_0188/klagomålsmail/A 64456-2023 FSC-klagomål mail.docx", "A 64456-2023")</f>
        <v/>
      </c>
      <c r="X100">
        <f>HYPERLINK("https://klasma.github.io/Logging_0188/tillsyn/A 64456-2023 tillsynsbegäran.docx", "A 64456-2023")</f>
        <v/>
      </c>
      <c r="Y100">
        <f>HYPERLINK("https://klasma.github.io/Logging_0188/tillsynsmail/A 64456-2023 tillsynsbegäran mail.docx", "A 64456-2023")</f>
        <v/>
      </c>
    </row>
    <row r="101" ht="15" customHeight="1">
      <c r="A101" t="inlineStr">
        <is>
          <t>A 24535-2023</t>
        </is>
      </c>
      <c r="B101" s="1" t="n">
        <v>45082</v>
      </c>
      <c r="C101" s="1" t="n">
        <v>46004</v>
      </c>
      <c r="D101" t="inlineStr">
        <is>
          <t>STOCKHOLMS LÄN</t>
        </is>
      </c>
      <c r="E101" t="inlineStr">
        <is>
          <t>NORRTÄLJE</t>
        </is>
      </c>
      <c r="F101" t="inlineStr">
        <is>
          <t>Kommuner</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HYPERLINK("https://klasma.github.io/Logging_0188/artfynd/A 24535-2023 artfynd.xlsx", "A 24535-2023")</f>
        <v/>
      </c>
      <c r="T101">
        <f>HYPERLINK("https://klasma.github.io/Logging_0188/kartor/A 24535-2023 karta.png", "A 24535-2023")</f>
        <v/>
      </c>
      <c r="V101">
        <f>HYPERLINK("https://klasma.github.io/Logging_0188/klagomål/A 24535-2023 FSC-klagomål.docx", "A 24535-2023")</f>
        <v/>
      </c>
      <c r="W101">
        <f>HYPERLINK("https://klasma.github.io/Logging_0188/klagomålsmail/A 24535-2023 FSC-klagomål mail.docx", "A 24535-2023")</f>
        <v/>
      </c>
      <c r="X101">
        <f>HYPERLINK("https://klasma.github.io/Logging_0188/tillsyn/A 24535-2023 tillsynsbegäran.docx", "A 24535-2023")</f>
        <v/>
      </c>
      <c r="Y101">
        <f>HYPERLINK("https://klasma.github.io/Logging_0188/tillsynsmail/A 24535-2023 tillsynsbegäran mail.docx", "A 24535-2023")</f>
        <v/>
      </c>
    </row>
    <row r="102" ht="15" customHeight="1">
      <c r="A102" t="inlineStr">
        <is>
          <t>A 14365-2025</t>
        </is>
      </c>
      <c r="B102" s="1" t="n">
        <v>45741.38688657407</v>
      </c>
      <c r="C102" s="1" t="n">
        <v>46004</v>
      </c>
      <c r="D102" t="inlineStr">
        <is>
          <t>STOCKHOLMS LÄN</t>
        </is>
      </c>
      <c r="E102" t="inlineStr">
        <is>
          <t>NORRTÄLJE</t>
        </is>
      </c>
      <c r="G102" t="n">
        <v>2.4</v>
      </c>
      <c r="H102" t="n">
        <v>0</v>
      </c>
      <c r="I102" t="n">
        <v>0</v>
      </c>
      <c r="J102" t="n">
        <v>1</v>
      </c>
      <c r="K102" t="n">
        <v>0</v>
      </c>
      <c r="L102" t="n">
        <v>0</v>
      </c>
      <c r="M102" t="n">
        <v>0</v>
      </c>
      <c r="N102" t="n">
        <v>0</v>
      </c>
      <c r="O102" t="n">
        <v>1</v>
      </c>
      <c r="P102" t="n">
        <v>0</v>
      </c>
      <c r="Q102" t="n">
        <v>1</v>
      </c>
      <c r="R102" s="2" t="inlineStr">
        <is>
          <t>Granticka</t>
        </is>
      </c>
      <c r="S102">
        <f>HYPERLINK("https://klasma.github.io/Logging_0188/artfynd/A 14365-2025 artfynd.xlsx", "A 14365-2025")</f>
        <v/>
      </c>
      <c r="T102">
        <f>HYPERLINK("https://klasma.github.io/Logging_0188/kartor/A 14365-2025 karta.png", "A 14365-2025")</f>
        <v/>
      </c>
      <c r="V102">
        <f>HYPERLINK("https://klasma.github.io/Logging_0188/klagomål/A 14365-2025 FSC-klagomål.docx", "A 14365-2025")</f>
        <v/>
      </c>
      <c r="W102">
        <f>HYPERLINK("https://klasma.github.io/Logging_0188/klagomålsmail/A 14365-2025 FSC-klagomål mail.docx", "A 14365-2025")</f>
        <v/>
      </c>
      <c r="X102">
        <f>HYPERLINK("https://klasma.github.io/Logging_0188/tillsyn/A 14365-2025 tillsynsbegäran.docx", "A 14365-2025")</f>
        <v/>
      </c>
      <c r="Y102">
        <f>HYPERLINK("https://klasma.github.io/Logging_0188/tillsynsmail/A 14365-2025 tillsynsbegäran mail.docx", "A 14365-2025")</f>
        <v/>
      </c>
    </row>
    <row r="103" ht="15" customHeight="1">
      <c r="A103" t="inlineStr">
        <is>
          <t>A 32111-2022</t>
        </is>
      </c>
      <c r="B103" s="1" t="n">
        <v>44778.92797453704</v>
      </c>
      <c r="C103" s="1" t="n">
        <v>46004</v>
      </c>
      <c r="D103" t="inlineStr">
        <is>
          <t>STOCKHOLMS LÄN</t>
        </is>
      </c>
      <c r="E103" t="inlineStr">
        <is>
          <t>NORRTÄLJE</t>
        </is>
      </c>
      <c r="G103" t="n">
        <v>3.1</v>
      </c>
      <c r="H103" t="n">
        <v>0</v>
      </c>
      <c r="I103" t="n">
        <v>0</v>
      </c>
      <c r="J103" t="n">
        <v>1</v>
      </c>
      <c r="K103" t="n">
        <v>0</v>
      </c>
      <c r="L103" t="n">
        <v>0</v>
      </c>
      <c r="M103" t="n">
        <v>0</v>
      </c>
      <c r="N103" t="n">
        <v>0</v>
      </c>
      <c r="O103" t="n">
        <v>1</v>
      </c>
      <c r="P103" t="n">
        <v>0</v>
      </c>
      <c r="Q103" t="n">
        <v>1</v>
      </c>
      <c r="R103" s="2" t="inlineStr">
        <is>
          <t>Orange taggsvamp</t>
        </is>
      </c>
      <c r="S103">
        <f>HYPERLINK("https://klasma.github.io/Logging_0188/artfynd/A 32111-2022 artfynd.xlsx", "A 32111-2022")</f>
        <v/>
      </c>
      <c r="T103">
        <f>HYPERLINK("https://klasma.github.io/Logging_0188/kartor/A 32111-2022 karta.png", "A 32111-2022")</f>
        <v/>
      </c>
      <c r="V103">
        <f>HYPERLINK("https://klasma.github.io/Logging_0188/klagomål/A 32111-2022 FSC-klagomål.docx", "A 32111-2022")</f>
        <v/>
      </c>
      <c r="W103">
        <f>HYPERLINK("https://klasma.github.io/Logging_0188/klagomålsmail/A 32111-2022 FSC-klagomål mail.docx", "A 32111-2022")</f>
        <v/>
      </c>
      <c r="X103">
        <f>HYPERLINK("https://klasma.github.io/Logging_0188/tillsyn/A 32111-2022 tillsynsbegäran.docx", "A 32111-2022")</f>
        <v/>
      </c>
      <c r="Y103">
        <f>HYPERLINK("https://klasma.github.io/Logging_0188/tillsynsmail/A 32111-2022 tillsynsbegäran mail.docx", "A 32111-2022")</f>
        <v/>
      </c>
    </row>
    <row r="104" ht="15" customHeight="1">
      <c r="A104" t="inlineStr">
        <is>
          <t>A 4532-2025</t>
        </is>
      </c>
      <c r="B104" s="1" t="n">
        <v>45687.34177083334</v>
      </c>
      <c r="C104" s="1" t="n">
        <v>46004</v>
      </c>
      <c r="D104" t="inlineStr">
        <is>
          <t>STOCKHOLMS LÄN</t>
        </is>
      </c>
      <c r="E104" t="inlineStr">
        <is>
          <t>NORRTÄLJE</t>
        </is>
      </c>
      <c r="F104" t="inlineStr">
        <is>
          <t>Holmen skog AB</t>
        </is>
      </c>
      <c r="G104" t="n">
        <v>6.4</v>
      </c>
      <c r="H104" t="n">
        <v>1</v>
      </c>
      <c r="I104" t="n">
        <v>0</v>
      </c>
      <c r="J104" t="n">
        <v>0</v>
      </c>
      <c r="K104" t="n">
        <v>0</v>
      </c>
      <c r="L104" t="n">
        <v>1</v>
      </c>
      <c r="M104" t="n">
        <v>0</v>
      </c>
      <c r="N104" t="n">
        <v>0</v>
      </c>
      <c r="O104" t="n">
        <v>1</v>
      </c>
      <c r="P104" t="n">
        <v>1</v>
      </c>
      <c r="Q104" t="n">
        <v>1</v>
      </c>
      <c r="R104" s="2" t="inlineStr">
        <is>
          <t>Asknätfjäril</t>
        </is>
      </c>
      <c r="S104">
        <f>HYPERLINK("https://klasma.github.io/Logging_0188/artfynd/A 4532-2025 artfynd.xlsx", "A 4532-2025")</f>
        <v/>
      </c>
      <c r="T104">
        <f>HYPERLINK("https://klasma.github.io/Logging_0188/kartor/A 4532-2025 karta.png", "A 4532-2025")</f>
        <v/>
      </c>
      <c r="V104">
        <f>HYPERLINK("https://klasma.github.io/Logging_0188/klagomål/A 4532-2025 FSC-klagomål.docx", "A 4532-2025")</f>
        <v/>
      </c>
      <c r="W104">
        <f>HYPERLINK("https://klasma.github.io/Logging_0188/klagomålsmail/A 4532-2025 FSC-klagomål mail.docx", "A 4532-2025")</f>
        <v/>
      </c>
      <c r="X104">
        <f>HYPERLINK("https://klasma.github.io/Logging_0188/tillsyn/A 4532-2025 tillsynsbegäran.docx", "A 4532-2025")</f>
        <v/>
      </c>
      <c r="Y104">
        <f>HYPERLINK("https://klasma.github.io/Logging_0188/tillsynsmail/A 4532-2025 tillsynsbegäran mail.docx", "A 4532-2025")</f>
        <v/>
      </c>
    </row>
    <row r="105" ht="15" customHeight="1">
      <c r="A105" t="inlineStr">
        <is>
          <t>A 35691-2023</t>
        </is>
      </c>
      <c r="B105" s="1" t="n">
        <v>45147.65222222222</v>
      </c>
      <c r="C105" s="1" t="n">
        <v>46004</v>
      </c>
      <c r="D105" t="inlineStr">
        <is>
          <t>STOCKHOLMS LÄN</t>
        </is>
      </c>
      <c r="E105" t="inlineStr">
        <is>
          <t>NORRTÄLJE</t>
        </is>
      </c>
      <c r="G105" t="n">
        <v>2.3</v>
      </c>
      <c r="H105" t="n">
        <v>1</v>
      </c>
      <c r="I105" t="n">
        <v>0</v>
      </c>
      <c r="J105" t="n">
        <v>0</v>
      </c>
      <c r="K105" t="n">
        <v>0</v>
      </c>
      <c r="L105" t="n">
        <v>0</v>
      </c>
      <c r="M105" t="n">
        <v>0</v>
      </c>
      <c r="N105" t="n">
        <v>0</v>
      </c>
      <c r="O105" t="n">
        <v>0</v>
      </c>
      <c r="P105" t="n">
        <v>0</v>
      </c>
      <c r="Q105" t="n">
        <v>1</v>
      </c>
      <c r="R105" s="2" t="inlineStr">
        <is>
          <t>Kungsfågel</t>
        </is>
      </c>
      <c r="S105">
        <f>HYPERLINK("https://klasma.github.io/Logging_0188/artfynd/A 35691-2023 artfynd.xlsx", "A 35691-2023")</f>
        <v/>
      </c>
      <c r="T105">
        <f>HYPERLINK("https://klasma.github.io/Logging_0188/kartor/A 35691-2023 karta.png", "A 35691-2023")</f>
        <v/>
      </c>
      <c r="V105">
        <f>HYPERLINK("https://klasma.github.io/Logging_0188/klagomål/A 35691-2023 FSC-klagomål.docx", "A 35691-2023")</f>
        <v/>
      </c>
      <c r="W105">
        <f>HYPERLINK("https://klasma.github.io/Logging_0188/klagomålsmail/A 35691-2023 FSC-klagomål mail.docx", "A 35691-2023")</f>
        <v/>
      </c>
      <c r="X105">
        <f>HYPERLINK("https://klasma.github.io/Logging_0188/tillsyn/A 35691-2023 tillsynsbegäran.docx", "A 35691-2023")</f>
        <v/>
      </c>
      <c r="Y105">
        <f>HYPERLINK("https://klasma.github.io/Logging_0188/tillsynsmail/A 35691-2023 tillsynsbegäran mail.docx", "A 35691-2023")</f>
        <v/>
      </c>
      <c r="Z105">
        <f>HYPERLINK("https://klasma.github.io/Logging_0188/fåglar/A 35691-2023 prioriterade fågelarter.docx", "A 35691-2023")</f>
        <v/>
      </c>
    </row>
    <row r="106" ht="15" customHeight="1">
      <c r="A106" t="inlineStr">
        <is>
          <t>A 35693-2023</t>
        </is>
      </c>
      <c r="B106" s="1" t="n">
        <v>45147.65311342593</v>
      </c>
      <c r="C106" s="1" t="n">
        <v>46004</v>
      </c>
      <c r="D106" t="inlineStr">
        <is>
          <t>STOCKHOLMS LÄN</t>
        </is>
      </c>
      <c r="E106" t="inlineStr">
        <is>
          <t>NORRTÄLJE</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HYPERLINK("https://klasma.github.io/Logging_0188/artfynd/A 35693-2023 artfynd.xlsx", "A 35693-2023")</f>
        <v/>
      </c>
      <c r="T106">
        <f>HYPERLINK("https://klasma.github.io/Logging_0188/kartor/A 35693-2023 karta.png", "A 35693-2023")</f>
        <v/>
      </c>
      <c r="V106">
        <f>HYPERLINK("https://klasma.github.io/Logging_0188/klagomål/A 35693-2023 FSC-klagomål.docx", "A 35693-2023")</f>
        <v/>
      </c>
      <c r="W106">
        <f>HYPERLINK("https://klasma.github.io/Logging_0188/klagomålsmail/A 35693-2023 FSC-klagomål mail.docx", "A 35693-2023")</f>
        <v/>
      </c>
      <c r="X106">
        <f>HYPERLINK("https://klasma.github.io/Logging_0188/tillsyn/A 35693-2023 tillsynsbegäran.docx", "A 35693-2023")</f>
        <v/>
      </c>
      <c r="Y106">
        <f>HYPERLINK("https://klasma.github.io/Logging_0188/tillsynsmail/A 35693-2023 tillsynsbegäran mail.docx", "A 35693-2023")</f>
        <v/>
      </c>
    </row>
    <row r="107" ht="15" customHeight="1">
      <c r="A107" t="inlineStr">
        <is>
          <t>A 4385-2023</t>
        </is>
      </c>
      <c r="B107" s="1" t="n">
        <v>44955.71322916666</v>
      </c>
      <c r="C107" s="1" t="n">
        <v>46004</v>
      </c>
      <c r="D107" t="inlineStr">
        <is>
          <t>STOCKHOLMS LÄN</t>
        </is>
      </c>
      <c r="E107" t="inlineStr">
        <is>
          <t>NORRTÄLJE</t>
        </is>
      </c>
      <c r="G107" t="n">
        <v>7.8</v>
      </c>
      <c r="H107" t="n">
        <v>1</v>
      </c>
      <c r="I107" t="n">
        <v>1</v>
      </c>
      <c r="J107" t="n">
        <v>0</v>
      </c>
      <c r="K107" t="n">
        <v>0</v>
      </c>
      <c r="L107" t="n">
        <v>0</v>
      </c>
      <c r="M107" t="n">
        <v>0</v>
      </c>
      <c r="N107" t="n">
        <v>0</v>
      </c>
      <c r="O107" t="n">
        <v>0</v>
      </c>
      <c r="P107" t="n">
        <v>0</v>
      </c>
      <c r="Q107" t="n">
        <v>1</v>
      </c>
      <c r="R107" s="2" t="inlineStr">
        <is>
          <t>Skogsknipprot</t>
        </is>
      </c>
      <c r="S107">
        <f>HYPERLINK("https://klasma.github.io/Logging_0188/artfynd/A 4385-2023 artfynd.xlsx", "A 4385-2023")</f>
        <v/>
      </c>
      <c r="T107">
        <f>HYPERLINK("https://klasma.github.io/Logging_0188/kartor/A 4385-2023 karta.png", "A 4385-2023")</f>
        <v/>
      </c>
      <c r="V107">
        <f>HYPERLINK("https://klasma.github.io/Logging_0188/klagomål/A 4385-2023 FSC-klagomål.docx", "A 4385-2023")</f>
        <v/>
      </c>
      <c r="W107">
        <f>HYPERLINK("https://klasma.github.io/Logging_0188/klagomålsmail/A 4385-2023 FSC-klagomål mail.docx", "A 4385-2023")</f>
        <v/>
      </c>
      <c r="X107">
        <f>HYPERLINK("https://klasma.github.io/Logging_0188/tillsyn/A 4385-2023 tillsynsbegäran.docx", "A 4385-2023")</f>
        <v/>
      </c>
      <c r="Y107">
        <f>HYPERLINK("https://klasma.github.io/Logging_0188/tillsynsmail/A 4385-2023 tillsynsbegäran mail.docx", "A 4385-2023")</f>
        <v/>
      </c>
    </row>
    <row r="108" ht="15" customHeight="1">
      <c r="A108" t="inlineStr">
        <is>
          <t>A 4860-2022</t>
        </is>
      </c>
      <c r="B108" s="1" t="n">
        <v>44592</v>
      </c>
      <c r="C108" s="1" t="n">
        <v>46004</v>
      </c>
      <c r="D108" t="inlineStr">
        <is>
          <t>STOCKHOLMS LÄN</t>
        </is>
      </c>
      <c r="E108" t="inlineStr">
        <is>
          <t>NORRTÄLJE</t>
        </is>
      </c>
      <c r="G108" t="n">
        <v>22.3</v>
      </c>
      <c r="H108" t="n">
        <v>0</v>
      </c>
      <c r="I108" t="n">
        <v>0</v>
      </c>
      <c r="J108" t="n">
        <v>1</v>
      </c>
      <c r="K108" t="n">
        <v>0</v>
      </c>
      <c r="L108" t="n">
        <v>0</v>
      </c>
      <c r="M108" t="n">
        <v>0</v>
      </c>
      <c r="N108" t="n">
        <v>0</v>
      </c>
      <c r="O108" t="n">
        <v>1</v>
      </c>
      <c r="P108" t="n">
        <v>0</v>
      </c>
      <c r="Q108" t="n">
        <v>1</v>
      </c>
      <c r="R108" s="2" t="inlineStr">
        <is>
          <t>Igelkott</t>
        </is>
      </c>
      <c r="S108">
        <f>HYPERLINK("https://klasma.github.io/Logging_0188/artfynd/A 4860-2022 artfynd.xlsx", "A 4860-2022")</f>
        <v/>
      </c>
      <c r="T108">
        <f>HYPERLINK("https://klasma.github.io/Logging_0188/kartor/A 4860-2022 karta.png", "A 4860-2022")</f>
        <v/>
      </c>
      <c r="V108">
        <f>HYPERLINK("https://klasma.github.io/Logging_0188/klagomål/A 4860-2022 FSC-klagomål.docx", "A 4860-2022")</f>
        <v/>
      </c>
      <c r="W108">
        <f>HYPERLINK("https://klasma.github.io/Logging_0188/klagomålsmail/A 4860-2022 FSC-klagomål mail.docx", "A 4860-2022")</f>
        <v/>
      </c>
      <c r="X108">
        <f>HYPERLINK("https://klasma.github.io/Logging_0188/tillsyn/A 4860-2022 tillsynsbegäran.docx", "A 4860-2022")</f>
        <v/>
      </c>
      <c r="Y108">
        <f>HYPERLINK("https://klasma.github.io/Logging_0188/tillsynsmail/A 4860-2022 tillsynsbegäran mail.docx", "A 4860-2022")</f>
        <v/>
      </c>
    </row>
    <row r="109" ht="15" customHeight="1">
      <c r="A109" t="inlineStr">
        <is>
          <t>A 19829-2022</t>
        </is>
      </c>
      <c r="B109" s="1" t="n">
        <v>44695.43527777777</v>
      </c>
      <c r="C109" s="1" t="n">
        <v>46004</v>
      </c>
      <c r="D109" t="inlineStr">
        <is>
          <t>STOCKHOLMS LÄN</t>
        </is>
      </c>
      <c r="E109" t="inlineStr">
        <is>
          <t>NORRTÄLJE</t>
        </is>
      </c>
      <c r="G109" t="n">
        <v>2</v>
      </c>
      <c r="H109" t="n">
        <v>1</v>
      </c>
      <c r="I109" t="n">
        <v>1</v>
      </c>
      <c r="J109" t="n">
        <v>0</v>
      </c>
      <c r="K109" t="n">
        <v>0</v>
      </c>
      <c r="L109" t="n">
        <v>0</v>
      </c>
      <c r="M109" t="n">
        <v>0</v>
      </c>
      <c r="N109" t="n">
        <v>0</v>
      </c>
      <c r="O109" t="n">
        <v>0</v>
      </c>
      <c r="P109" t="n">
        <v>0</v>
      </c>
      <c r="Q109" t="n">
        <v>1</v>
      </c>
      <c r="R109" s="2" t="inlineStr">
        <is>
          <t>Guckusko</t>
        </is>
      </c>
      <c r="S109">
        <f>HYPERLINK("https://klasma.github.io/Logging_0188/artfynd/A 19829-2022 artfynd.xlsx", "A 19829-2022")</f>
        <v/>
      </c>
      <c r="T109">
        <f>HYPERLINK("https://klasma.github.io/Logging_0188/kartor/A 19829-2022 karta.png", "A 19829-2022")</f>
        <v/>
      </c>
      <c r="V109">
        <f>HYPERLINK("https://klasma.github.io/Logging_0188/klagomål/A 19829-2022 FSC-klagomål.docx", "A 19829-2022")</f>
        <v/>
      </c>
      <c r="W109">
        <f>HYPERLINK("https://klasma.github.io/Logging_0188/klagomålsmail/A 19829-2022 FSC-klagomål mail.docx", "A 19829-2022")</f>
        <v/>
      </c>
      <c r="X109">
        <f>HYPERLINK("https://klasma.github.io/Logging_0188/tillsyn/A 19829-2022 tillsynsbegäran.docx", "A 19829-2022")</f>
        <v/>
      </c>
      <c r="Y109">
        <f>HYPERLINK("https://klasma.github.io/Logging_0188/tillsynsmail/A 19829-2022 tillsynsbegäran mail.docx", "A 19829-2022")</f>
        <v/>
      </c>
    </row>
    <row r="110" ht="15" customHeight="1">
      <c r="A110" t="inlineStr">
        <is>
          <t>A 27827-2022</t>
        </is>
      </c>
      <c r="B110" s="1" t="n">
        <v>44743.59504629629</v>
      </c>
      <c r="C110" s="1" t="n">
        <v>46004</v>
      </c>
      <c r="D110" t="inlineStr">
        <is>
          <t>STOCKHOLMS LÄN</t>
        </is>
      </c>
      <c r="E110" t="inlineStr">
        <is>
          <t>NORRTÄLJE</t>
        </is>
      </c>
      <c r="F110" t="inlineStr">
        <is>
          <t>Holmen skog AB</t>
        </is>
      </c>
      <c r="G110" t="n">
        <v>4.7</v>
      </c>
      <c r="H110" t="n">
        <v>1</v>
      </c>
      <c r="I110" t="n">
        <v>0</v>
      </c>
      <c r="J110" t="n">
        <v>1</v>
      </c>
      <c r="K110" t="n">
        <v>0</v>
      </c>
      <c r="L110" t="n">
        <v>0</v>
      </c>
      <c r="M110" t="n">
        <v>0</v>
      </c>
      <c r="N110" t="n">
        <v>0</v>
      </c>
      <c r="O110" t="n">
        <v>1</v>
      </c>
      <c r="P110" t="n">
        <v>0</v>
      </c>
      <c r="Q110" t="n">
        <v>1</v>
      </c>
      <c r="R110" s="2" t="inlineStr">
        <is>
          <t>Nordfladdermus</t>
        </is>
      </c>
      <c r="S110">
        <f>HYPERLINK("https://klasma.github.io/Logging_0188/artfynd/A 27827-2022 artfynd.xlsx", "A 27827-2022")</f>
        <v/>
      </c>
      <c r="T110">
        <f>HYPERLINK("https://klasma.github.io/Logging_0188/kartor/A 27827-2022 karta.png", "A 27827-2022")</f>
        <v/>
      </c>
      <c r="V110">
        <f>HYPERLINK("https://klasma.github.io/Logging_0188/klagomål/A 27827-2022 FSC-klagomål.docx", "A 27827-2022")</f>
        <v/>
      </c>
      <c r="W110">
        <f>HYPERLINK("https://klasma.github.io/Logging_0188/klagomålsmail/A 27827-2022 FSC-klagomål mail.docx", "A 27827-2022")</f>
        <v/>
      </c>
      <c r="X110">
        <f>HYPERLINK("https://klasma.github.io/Logging_0188/tillsyn/A 27827-2022 tillsynsbegäran.docx", "A 27827-2022")</f>
        <v/>
      </c>
      <c r="Y110">
        <f>HYPERLINK("https://klasma.github.io/Logging_0188/tillsynsmail/A 27827-2022 tillsynsbegäran mail.docx", "A 27827-2022")</f>
        <v/>
      </c>
    </row>
    <row r="111" ht="15" customHeight="1">
      <c r="A111" t="inlineStr">
        <is>
          <t>A 23146-2024</t>
        </is>
      </c>
      <c r="B111" s="1" t="n">
        <v>45450.63958333333</v>
      </c>
      <c r="C111" s="1" t="n">
        <v>46004</v>
      </c>
      <c r="D111" t="inlineStr">
        <is>
          <t>STOCKHOLMS LÄN</t>
        </is>
      </c>
      <c r="E111" t="inlineStr">
        <is>
          <t>NORRTÄLJE</t>
        </is>
      </c>
      <c r="F111" t="inlineStr">
        <is>
          <t>Kommuner</t>
        </is>
      </c>
      <c r="G111" t="n">
        <v>6</v>
      </c>
      <c r="H111" t="n">
        <v>0</v>
      </c>
      <c r="I111" t="n">
        <v>0</v>
      </c>
      <c r="J111" t="n">
        <v>1</v>
      </c>
      <c r="K111" t="n">
        <v>0</v>
      </c>
      <c r="L111" t="n">
        <v>0</v>
      </c>
      <c r="M111" t="n">
        <v>0</v>
      </c>
      <c r="N111" t="n">
        <v>0</v>
      </c>
      <c r="O111" t="n">
        <v>1</v>
      </c>
      <c r="P111" t="n">
        <v>0</v>
      </c>
      <c r="Q111" t="n">
        <v>1</v>
      </c>
      <c r="R111" s="2" t="inlineStr">
        <is>
          <t>Motaggsvamp</t>
        </is>
      </c>
      <c r="S111">
        <f>HYPERLINK("https://klasma.github.io/Logging_0188/artfynd/A 23146-2024 artfynd.xlsx", "A 23146-2024")</f>
        <v/>
      </c>
      <c r="T111">
        <f>HYPERLINK("https://klasma.github.io/Logging_0188/kartor/A 23146-2024 karta.png", "A 23146-2024")</f>
        <v/>
      </c>
      <c r="V111">
        <f>HYPERLINK("https://klasma.github.io/Logging_0188/klagomål/A 23146-2024 FSC-klagomål.docx", "A 23146-2024")</f>
        <v/>
      </c>
      <c r="W111">
        <f>HYPERLINK("https://klasma.github.io/Logging_0188/klagomålsmail/A 23146-2024 FSC-klagomål mail.docx", "A 23146-2024")</f>
        <v/>
      </c>
      <c r="X111">
        <f>HYPERLINK("https://klasma.github.io/Logging_0188/tillsyn/A 23146-2024 tillsynsbegäran.docx", "A 23146-2024")</f>
        <v/>
      </c>
      <c r="Y111">
        <f>HYPERLINK("https://klasma.github.io/Logging_0188/tillsynsmail/A 23146-2024 tillsynsbegäran mail.docx", "A 23146-2024")</f>
        <v/>
      </c>
    </row>
    <row r="112" ht="15" customHeight="1">
      <c r="A112" t="inlineStr">
        <is>
          <t>A 27538-2024</t>
        </is>
      </c>
      <c r="B112" s="1" t="n">
        <v>45474</v>
      </c>
      <c r="C112" s="1" t="n">
        <v>46004</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52508-2023</t>
        </is>
      </c>
      <c r="B113" s="1" t="n">
        <v>45225</v>
      </c>
      <c r="C113" s="1" t="n">
        <v>46004</v>
      </c>
      <c r="D113" t="inlineStr">
        <is>
          <t>STOCKHOLMS LÄN</t>
        </is>
      </c>
      <c r="E113" t="inlineStr">
        <is>
          <t>NORRTÄLJE</t>
        </is>
      </c>
      <c r="G113" t="n">
        <v>19.7</v>
      </c>
      <c r="H113" t="n">
        <v>1</v>
      </c>
      <c r="I113" t="n">
        <v>0</v>
      </c>
      <c r="J113" t="n">
        <v>0</v>
      </c>
      <c r="K113" t="n">
        <v>1</v>
      </c>
      <c r="L113" t="n">
        <v>0</v>
      </c>
      <c r="M113" t="n">
        <v>0</v>
      </c>
      <c r="N113" t="n">
        <v>0</v>
      </c>
      <c r="O113" t="n">
        <v>1</v>
      </c>
      <c r="P113" t="n">
        <v>1</v>
      </c>
      <c r="Q113" t="n">
        <v>1</v>
      </c>
      <c r="R113" s="2" t="inlineStr">
        <is>
          <t>Svärta</t>
        </is>
      </c>
      <c r="S113">
        <f>HYPERLINK("https://klasma.github.io/Logging_0188/artfynd/A 52508-2023 artfynd.xlsx", "A 52508-2023")</f>
        <v/>
      </c>
      <c r="T113">
        <f>HYPERLINK("https://klasma.github.io/Logging_0188/kartor/A 52508-2023 karta.png", "A 52508-2023")</f>
        <v/>
      </c>
      <c r="V113">
        <f>HYPERLINK("https://klasma.github.io/Logging_0188/klagomål/A 52508-2023 FSC-klagomål.docx", "A 52508-2023")</f>
        <v/>
      </c>
      <c r="W113">
        <f>HYPERLINK("https://klasma.github.io/Logging_0188/klagomålsmail/A 52508-2023 FSC-klagomål mail.docx", "A 52508-2023")</f>
        <v/>
      </c>
      <c r="X113">
        <f>HYPERLINK("https://klasma.github.io/Logging_0188/tillsyn/A 52508-2023 tillsynsbegäran.docx", "A 52508-2023")</f>
        <v/>
      </c>
      <c r="Y113">
        <f>HYPERLINK("https://klasma.github.io/Logging_0188/tillsynsmail/A 52508-2023 tillsynsbegäran mail.docx", "A 52508-2023")</f>
        <v/>
      </c>
    </row>
    <row r="114" ht="15" customHeight="1">
      <c r="A114" t="inlineStr">
        <is>
          <t>A 48131-2023</t>
        </is>
      </c>
      <c r="B114" s="1" t="n">
        <v>45205</v>
      </c>
      <c r="C114" s="1" t="n">
        <v>46004</v>
      </c>
      <c r="D114" t="inlineStr">
        <is>
          <t>STOCKHOLMS LÄN</t>
        </is>
      </c>
      <c r="E114" t="inlineStr">
        <is>
          <t>NORRTÄLJE</t>
        </is>
      </c>
      <c r="G114" t="n">
        <v>2.3</v>
      </c>
      <c r="H114" t="n">
        <v>0</v>
      </c>
      <c r="I114" t="n">
        <v>0</v>
      </c>
      <c r="J114" t="n">
        <v>1</v>
      </c>
      <c r="K114" t="n">
        <v>0</v>
      </c>
      <c r="L114" t="n">
        <v>0</v>
      </c>
      <c r="M114" t="n">
        <v>0</v>
      </c>
      <c r="N114" t="n">
        <v>0</v>
      </c>
      <c r="O114" t="n">
        <v>1</v>
      </c>
      <c r="P114" t="n">
        <v>0</v>
      </c>
      <c r="Q114" t="n">
        <v>1</v>
      </c>
      <c r="R114" s="2" t="inlineStr">
        <is>
          <t>Slåtterfibbla</t>
        </is>
      </c>
      <c r="S114">
        <f>HYPERLINK("https://klasma.github.io/Logging_0188/artfynd/A 48131-2023 artfynd.xlsx", "A 48131-2023")</f>
        <v/>
      </c>
      <c r="T114">
        <f>HYPERLINK("https://klasma.github.io/Logging_0188/kartor/A 48131-2023 karta.png", "A 48131-2023")</f>
        <v/>
      </c>
      <c r="V114">
        <f>HYPERLINK("https://klasma.github.io/Logging_0188/klagomål/A 48131-2023 FSC-klagomål.docx", "A 48131-2023")</f>
        <v/>
      </c>
      <c r="W114">
        <f>HYPERLINK("https://klasma.github.io/Logging_0188/klagomålsmail/A 48131-2023 FSC-klagomål mail.docx", "A 48131-2023")</f>
        <v/>
      </c>
      <c r="X114">
        <f>HYPERLINK("https://klasma.github.io/Logging_0188/tillsyn/A 48131-2023 tillsynsbegäran.docx", "A 48131-2023")</f>
        <v/>
      </c>
      <c r="Y114">
        <f>HYPERLINK("https://klasma.github.io/Logging_0188/tillsynsmail/A 48131-2023 tillsynsbegäran mail.docx", "A 48131-2023")</f>
        <v/>
      </c>
    </row>
    <row r="115" ht="15" customHeight="1">
      <c r="A115" t="inlineStr">
        <is>
          <t>A 26635-2023</t>
        </is>
      </c>
      <c r="B115" s="1" t="n">
        <v>45092</v>
      </c>
      <c r="C115" s="1" t="n">
        <v>46004</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40861-2025</t>
        </is>
      </c>
      <c r="B116" s="1" t="n">
        <v>45897.56356481482</v>
      </c>
      <c r="C116" s="1" t="n">
        <v>46004</v>
      </c>
      <c r="D116" t="inlineStr">
        <is>
          <t>STOCKHOLMS LÄN</t>
        </is>
      </c>
      <c r="E116" t="inlineStr">
        <is>
          <t>NORRTÄLJE</t>
        </is>
      </c>
      <c r="G116" t="n">
        <v>4</v>
      </c>
      <c r="H116" t="n">
        <v>0</v>
      </c>
      <c r="I116" t="n">
        <v>0</v>
      </c>
      <c r="J116" t="n">
        <v>1</v>
      </c>
      <c r="K116" t="n">
        <v>0</v>
      </c>
      <c r="L116" t="n">
        <v>0</v>
      </c>
      <c r="M116" t="n">
        <v>0</v>
      </c>
      <c r="N116" t="n">
        <v>0</v>
      </c>
      <c r="O116" t="n">
        <v>1</v>
      </c>
      <c r="P116" t="n">
        <v>0</v>
      </c>
      <c r="Q116" t="n">
        <v>1</v>
      </c>
      <c r="R116" s="2" t="inlineStr">
        <is>
          <t>Skogsklocka</t>
        </is>
      </c>
      <c r="S116">
        <f>HYPERLINK("https://klasma.github.io/Logging_0188/artfynd/A 40861-2025 artfynd.xlsx", "A 40861-2025")</f>
        <v/>
      </c>
      <c r="T116">
        <f>HYPERLINK("https://klasma.github.io/Logging_0188/kartor/A 40861-2025 karta.png", "A 40861-2025")</f>
        <v/>
      </c>
      <c r="V116">
        <f>HYPERLINK("https://klasma.github.io/Logging_0188/klagomål/A 40861-2025 FSC-klagomål.docx", "A 40861-2025")</f>
        <v/>
      </c>
      <c r="W116">
        <f>HYPERLINK("https://klasma.github.io/Logging_0188/klagomålsmail/A 40861-2025 FSC-klagomål mail.docx", "A 40861-2025")</f>
        <v/>
      </c>
      <c r="X116">
        <f>HYPERLINK("https://klasma.github.io/Logging_0188/tillsyn/A 40861-2025 tillsynsbegäran.docx", "A 40861-2025")</f>
        <v/>
      </c>
      <c r="Y116">
        <f>HYPERLINK("https://klasma.github.io/Logging_0188/tillsynsmail/A 40861-2025 tillsynsbegäran mail.docx", "A 40861-2025")</f>
        <v/>
      </c>
    </row>
    <row r="117" ht="15" customHeight="1">
      <c r="A117" t="inlineStr">
        <is>
          <t>A 13271-2025</t>
        </is>
      </c>
      <c r="B117" s="1" t="n">
        <v>45735.54510416667</v>
      </c>
      <c r="C117" s="1" t="n">
        <v>46004</v>
      </c>
      <c r="D117" t="inlineStr">
        <is>
          <t>STOCKHOLMS LÄN</t>
        </is>
      </c>
      <c r="E117" t="inlineStr">
        <is>
          <t>NORRTÄLJE</t>
        </is>
      </c>
      <c r="G117" t="n">
        <v>7.2</v>
      </c>
      <c r="H117" t="n">
        <v>1</v>
      </c>
      <c r="I117" t="n">
        <v>0</v>
      </c>
      <c r="J117" t="n">
        <v>0</v>
      </c>
      <c r="K117" t="n">
        <v>0</v>
      </c>
      <c r="L117" t="n">
        <v>1</v>
      </c>
      <c r="M117" t="n">
        <v>0</v>
      </c>
      <c r="N117" t="n">
        <v>0</v>
      </c>
      <c r="O117" t="n">
        <v>1</v>
      </c>
      <c r="P117" t="n">
        <v>1</v>
      </c>
      <c r="Q117" t="n">
        <v>1</v>
      </c>
      <c r="R117" s="2" t="inlineStr">
        <is>
          <t>Asknätfjäril</t>
        </is>
      </c>
      <c r="S117">
        <f>HYPERLINK("https://klasma.github.io/Logging_0188/artfynd/A 13271-2025 artfynd.xlsx", "A 13271-2025")</f>
        <v/>
      </c>
      <c r="T117">
        <f>HYPERLINK("https://klasma.github.io/Logging_0188/kartor/A 13271-2025 karta.png", "A 13271-2025")</f>
        <v/>
      </c>
      <c r="V117">
        <f>HYPERLINK("https://klasma.github.io/Logging_0188/klagomål/A 13271-2025 FSC-klagomål.docx", "A 13271-2025")</f>
        <v/>
      </c>
      <c r="W117">
        <f>HYPERLINK("https://klasma.github.io/Logging_0188/klagomålsmail/A 13271-2025 FSC-klagomål mail.docx", "A 13271-2025")</f>
        <v/>
      </c>
      <c r="X117">
        <f>HYPERLINK("https://klasma.github.io/Logging_0188/tillsyn/A 13271-2025 tillsynsbegäran.docx", "A 13271-2025")</f>
        <v/>
      </c>
      <c r="Y117">
        <f>HYPERLINK("https://klasma.github.io/Logging_0188/tillsynsmail/A 13271-2025 tillsynsbegäran mail.docx", "A 13271-2025")</f>
        <v/>
      </c>
    </row>
    <row r="118" ht="15" customHeight="1">
      <c r="A118" t="inlineStr">
        <is>
          <t>A 42313-2025</t>
        </is>
      </c>
      <c r="B118" s="1" t="n">
        <v>45904.6575</v>
      </c>
      <c r="C118" s="1" t="n">
        <v>46004</v>
      </c>
      <c r="D118" t="inlineStr">
        <is>
          <t>STOCKHOLMS LÄN</t>
        </is>
      </c>
      <c r="E118" t="inlineStr">
        <is>
          <t>NORRTÄLJE</t>
        </is>
      </c>
      <c r="G118" t="n">
        <v>1.7</v>
      </c>
      <c r="H118" t="n">
        <v>1</v>
      </c>
      <c r="I118" t="n">
        <v>0</v>
      </c>
      <c r="J118" t="n">
        <v>0</v>
      </c>
      <c r="K118" t="n">
        <v>0</v>
      </c>
      <c r="L118" t="n">
        <v>0</v>
      </c>
      <c r="M118" t="n">
        <v>0</v>
      </c>
      <c r="N118" t="n">
        <v>0</v>
      </c>
      <c r="O118" t="n">
        <v>0</v>
      </c>
      <c r="P118" t="n">
        <v>0</v>
      </c>
      <c r="Q118" t="n">
        <v>1</v>
      </c>
      <c r="R118" s="2" t="inlineStr">
        <is>
          <t>Vanlig padda</t>
        </is>
      </c>
      <c r="S118">
        <f>HYPERLINK("https://klasma.github.io/Logging_0188/artfynd/A 42313-2025 artfynd.xlsx", "A 42313-2025")</f>
        <v/>
      </c>
      <c r="T118">
        <f>HYPERLINK("https://klasma.github.io/Logging_0188/kartor/A 42313-2025 karta.png", "A 42313-2025")</f>
        <v/>
      </c>
      <c r="V118">
        <f>HYPERLINK("https://klasma.github.io/Logging_0188/klagomål/A 42313-2025 FSC-klagomål.docx", "A 42313-2025")</f>
        <v/>
      </c>
      <c r="W118">
        <f>HYPERLINK("https://klasma.github.io/Logging_0188/klagomålsmail/A 42313-2025 FSC-klagomål mail.docx", "A 42313-2025")</f>
        <v/>
      </c>
      <c r="X118">
        <f>HYPERLINK("https://klasma.github.io/Logging_0188/tillsyn/A 42313-2025 tillsynsbegäran.docx", "A 42313-2025")</f>
        <v/>
      </c>
      <c r="Y118">
        <f>HYPERLINK("https://klasma.github.io/Logging_0188/tillsynsmail/A 42313-2025 tillsynsbegäran mail.docx", "A 42313-2025")</f>
        <v/>
      </c>
    </row>
    <row r="119" ht="15" customHeight="1">
      <c r="A119" t="inlineStr">
        <is>
          <t>A 21150-2022</t>
        </is>
      </c>
      <c r="B119" s="1" t="n">
        <v>44704</v>
      </c>
      <c r="C119" s="1" t="n">
        <v>46004</v>
      </c>
      <c r="D119" t="inlineStr">
        <is>
          <t>STOCKHOLMS LÄN</t>
        </is>
      </c>
      <c r="E119" t="inlineStr">
        <is>
          <t>NORRTÄLJE</t>
        </is>
      </c>
      <c r="G119" t="n">
        <v>12.5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21150-2022 artfynd.xlsx", "A 21150-2022")</f>
        <v/>
      </c>
      <c r="T119">
        <f>HYPERLINK("https://klasma.github.io/Logging_0188/kartor/A 21150-2022 karta.png", "A 21150-2022")</f>
        <v/>
      </c>
      <c r="V119">
        <f>HYPERLINK("https://klasma.github.io/Logging_0188/klagomål/A 21150-2022 FSC-klagomål.docx", "A 21150-2022")</f>
        <v/>
      </c>
      <c r="W119">
        <f>HYPERLINK("https://klasma.github.io/Logging_0188/klagomålsmail/A 21150-2022 FSC-klagomål mail.docx", "A 21150-2022")</f>
        <v/>
      </c>
      <c r="X119">
        <f>HYPERLINK("https://klasma.github.io/Logging_0188/tillsyn/A 21150-2022 tillsynsbegäran.docx", "A 21150-2022")</f>
        <v/>
      </c>
      <c r="Y119">
        <f>HYPERLINK("https://klasma.github.io/Logging_0188/tillsynsmail/A 21150-2022 tillsynsbegäran mail.docx", "A 21150-2022")</f>
        <v/>
      </c>
    </row>
    <row r="120" ht="15" customHeight="1">
      <c r="A120" t="inlineStr">
        <is>
          <t>A 58888-2021</t>
        </is>
      </c>
      <c r="B120" s="1" t="n">
        <v>44489</v>
      </c>
      <c r="C120" s="1" t="n">
        <v>46004</v>
      </c>
      <c r="D120" t="inlineStr">
        <is>
          <t>STOCKHOLMS LÄN</t>
        </is>
      </c>
      <c r="E120" t="inlineStr">
        <is>
          <t>NORRTÄLJE</t>
        </is>
      </c>
      <c r="F120" t="inlineStr">
        <is>
          <t>Holmen skog AB</t>
        </is>
      </c>
      <c r="G120" t="n">
        <v>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58888-2021 artfynd.xlsx", "A 58888-2021")</f>
        <v/>
      </c>
      <c r="T120">
        <f>HYPERLINK("https://klasma.github.io/Logging_0188/kartor/A 58888-2021 karta.png", "A 58888-2021")</f>
        <v/>
      </c>
      <c r="V120">
        <f>HYPERLINK("https://klasma.github.io/Logging_0188/klagomål/A 58888-2021 FSC-klagomål.docx", "A 58888-2021")</f>
        <v/>
      </c>
      <c r="W120">
        <f>HYPERLINK("https://klasma.github.io/Logging_0188/klagomålsmail/A 58888-2021 FSC-klagomål mail.docx", "A 58888-2021")</f>
        <v/>
      </c>
      <c r="X120">
        <f>HYPERLINK("https://klasma.github.io/Logging_0188/tillsyn/A 58888-2021 tillsynsbegäran.docx", "A 58888-2021")</f>
        <v/>
      </c>
      <c r="Y120">
        <f>HYPERLINK("https://klasma.github.io/Logging_0188/tillsynsmail/A 58888-2021 tillsynsbegäran mail.docx", "A 58888-2021")</f>
        <v/>
      </c>
    </row>
    <row r="121" ht="15" customHeight="1">
      <c r="A121" t="inlineStr">
        <is>
          <t>A 9955-2022</t>
        </is>
      </c>
      <c r="B121" s="1" t="n">
        <v>44620</v>
      </c>
      <c r="C121" s="1" t="n">
        <v>46004</v>
      </c>
      <c r="D121" t="inlineStr">
        <is>
          <t>STOCKHOLMS LÄN</t>
        </is>
      </c>
      <c r="E121" t="inlineStr">
        <is>
          <t>NORRTÄLJE</t>
        </is>
      </c>
      <c r="G121" t="n">
        <v>7.8</v>
      </c>
      <c r="H121" t="n">
        <v>1</v>
      </c>
      <c r="I121" t="n">
        <v>0</v>
      </c>
      <c r="J121" t="n">
        <v>0</v>
      </c>
      <c r="K121" t="n">
        <v>0</v>
      </c>
      <c r="L121" t="n">
        <v>0</v>
      </c>
      <c r="M121" t="n">
        <v>0</v>
      </c>
      <c r="N121" t="n">
        <v>0</v>
      </c>
      <c r="O121" t="n">
        <v>0</v>
      </c>
      <c r="P121" t="n">
        <v>0</v>
      </c>
      <c r="Q121" t="n">
        <v>1</v>
      </c>
      <c r="R121" s="2" t="inlineStr">
        <is>
          <t>Åkergroda</t>
        </is>
      </c>
      <c r="S121">
        <f>HYPERLINK("https://klasma.github.io/Logging_0188/artfynd/A 9955-2022 artfynd.xlsx", "A 9955-2022")</f>
        <v/>
      </c>
      <c r="T121">
        <f>HYPERLINK("https://klasma.github.io/Logging_0188/kartor/A 9955-2022 karta.png", "A 9955-2022")</f>
        <v/>
      </c>
      <c r="V121">
        <f>HYPERLINK("https://klasma.github.io/Logging_0188/klagomål/A 9955-2022 FSC-klagomål.docx", "A 9955-2022")</f>
        <v/>
      </c>
      <c r="W121">
        <f>HYPERLINK("https://klasma.github.io/Logging_0188/klagomålsmail/A 9955-2022 FSC-klagomål mail.docx", "A 9955-2022")</f>
        <v/>
      </c>
      <c r="X121">
        <f>HYPERLINK("https://klasma.github.io/Logging_0188/tillsyn/A 9955-2022 tillsynsbegäran.docx", "A 9955-2022")</f>
        <v/>
      </c>
      <c r="Y121">
        <f>HYPERLINK("https://klasma.github.io/Logging_0188/tillsynsmail/A 9955-2022 tillsynsbegäran mail.docx", "A 9955-2022")</f>
        <v/>
      </c>
    </row>
    <row r="122" ht="15" customHeight="1">
      <c r="A122" t="inlineStr">
        <is>
          <t>A 39158-2025</t>
        </is>
      </c>
      <c r="B122" s="1" t="n">
        <v>45888</v>
      </c>
      <c r="C122" s="1" t="n">
        <v>46004</v>
      </c>
      <c r="D122" t="inlineStr">
        <is>
          <t>STOCKHOLMS LÄN</t>
        </is>
      </c>
      <c r="E122" t="inlineStr">
        <is>
          <t>NORRTÄLJE</t>
        </is>
      </c>
      <c r="G122" t="n">
        <v>1.5</v>
      </c>
      <c r="H122" t="n">
        <v>1</v>
      </c>
      <c r="I122" t="n">
        <v>0</v>
      </c>
      <c r="J122" t="n">
        <v>0</v>
      </c>
      <c r="K122" t="n">
        <v>0</v>
      </c>
      <c r="L122" t="n">
        <v>0</v>
      </c>
      <c r="M122" t="n">
        <v>0</v>
      </c>
      <c r="N122" t="n">
        <v>0</v>
      </c>
      <c r="O122" t="n">
        <v>0</v>
      </c>
      <c r="P122" t="n">
        <v>0</v>
      </c>
      <c r="Q122" t="n">
        <v>1</v>
      </c>
      <c r="R122" s="2" t="inlineStr">
        <is>
          <t>Blåsippa</t>
        </is>
      </c>
      <c r="S122">
        <f>HYPERLINK("https://klasma.github.io/Logging_0188/artfynd/A 39158-2025 artfynd.xlsx", "A 39158-2025")</f>
        <v/>
      </c>
      <c r="T122">
        <f>HYPERLINK("https://klasma.github.io/Logging_0188/kartor/A 39158-2025 karta.png", "A 39158-2025")</f>
        <v/>
      </c>
      <c r="V122">
        <f>HYPERLINK("https://klasma.github.io/Logging_0188/klagomål/A 39158-2025 FSC-klagomål.docx", "A 39158-2025")</f>
        <v/>
      </c>
      <c r="W122">
        <f>HYPERLINK("https://klasma.github.io/Logging_0188/klagomålsmail/A 39158-2025 FSC-klagomål mail.docx", "A 39158-2025")</f>
        <v/>
      </c>
      <c r="X122">
        <f>HYPERLINK("https://klasma.github.io/Logging_0188/tillsyn/A 39158-2025 tillsynsbegäran.docx", "A 39158-2025")</f>
        <v/>
      </c>
      <c r="Y122">
        <f>HYPERLINK("https://klasma.github.io/Logging_0188/tillsynsmail/A 39158-2025 tillsynsbegäran mail.docx", "A 39158-2025")</f>
        <v/>
      </c>
    </row>
    <row r="123" ht="15" customHeight="1">
      <c r="A123" t="inlineStr">
        <is>
          <t>A 23905-2025</t>
        </is>
      </c>
      <c r="B123" s="1" t="n">
        <v>45794.63298611111</v>
      </c>
      <c r="C123" s="1" t="n">
        <v>46004</v>
      </c>
      <c r="D123" t="inlineStr">
        <is>
          <t>STOCKHOLMS LÄN</t>
        </is>
      </c>
      <c r="E123" t="inlineStr">
        <is>
          <t>NORRTÄLJE</t>
        </is>
      </c>
      <c r="G123" t="n">
        <v>8.4</v>
      </c>
      <c r="H123" t="n">
        <v>1</v>
      </c>
      <c r="I123" t="n">
        <v>0</v>
      </c>
      <c r="J123" t="n">
        <v>0</v>
      </c>
      <c r="K123" t="n">
        <v>0</v>
      </c>
      <c r="L123" t="n">
        <v>0</v>
      </c>
      <c r="M123" t="n">
        <v>0</v>
      </c>
      <c r="N123" t="n">
        <v>0</v>
      </c>
      <c r="O123" t="n">
        <v>0</v>
      </c>
      <c r="P123" t="n">
        <v>0</v>
      </c>
      <c r="Q123" t="n">
        <v>1</v>
      </c>
      <c r="R123" s="2" t="inlineStr">
        <is>
          <t>Blåsippa</t>
        </is>
      </c>
      <c r="S123">
        <f>HYPERLINK("https://klasma.github.io/Logging_0188/artfynd/A 23905-2025 artfynd.xlsx", "A 23905-2025")</f>
        <v/>
      </c>
      <c r="T123">
        <f>HYPERLINK("https://klasma.github.io/Logging_0188/kartor/A 23905-2025 karta.png", "A 23905-2025")</f>
        <v/>
      </c>
      <c r="V123">
        <f>HYPERLINK("https://klasma.github.io/Logging_0188/klagomål/A 23905-2025 FSC-klagomål.docx", "A 23905-2025")</f>
        <v/>
      </c>
      <c r="W123">
        <f>HYPERLINK("https://klasma.github.io/Logging_0188/klagomålsmail/A 23905-2025 FSC-klagomål mail.docx", "A 23905-2025")</f>
        <v/>
      </c>
      <c r="X123">
        <f>HYPERLINK("https://klasma.github.io/Logging_0188/tillsyn/A 23905-2025 tillsynsbegäran.docx", "A 23905-2025")</f>
        <v/>
      </c>
      <c r="Y123">
        <f>HYPERLINK("https://klasma.github.io/Logging_0188/tillsynsmail/A 23905-2025 tillsynsbegäran mail.docx", "A 23905-2025")</f>
        <v/>
      </c>
    </row>
    <row r="124" ht="15" customHeight="1">
      <c r="A124" t="inlineStr">
        <is>
          <t>A 25669-2025</t>
        </is>
      </c>
      <c r="B124" s="1" t="n">
        <v>45803.62766203703</v>
      </c>
      <c r="C124" s="1" t="n">
        <v>46004</v>
      </c>
      <c r="D124" t="inlineStr">
        <is>
          <t>STOCKHOLMS LÄN</t>
        </is>
      </c>
      <c r="E124" t="inlineStr">
        <is>
          <t>NORRTÄLJE</t>
        </is>
      </c>
      <c r="F124" t="inlineStr">
        <is>
          <t>Holmen skog AB</t>
        </is>
      </c>
      <c r="G124" t="n">
        <v>3.1</v>
      </c>
      <c r="H124" t="n">
        <v>1</v>
      </c>
      <c r="I124" t="n">
        <v>0</v>
      </c>
      <c r="J124" t="n">
        <v>0</v>
      </c>
      <c r="K124" t="n">
        <v>0</v>
      </c>
      <c r="L124" t="n">
        <v>0</v>
      </c>
      <c r="M124" t="n">
        <v>0</v>
      </c>
      <c r="N124" t="n">
        <v>0</v>
      </c>
      <c r="O124" t="n">
        <v>0</v>
      </c>
      <c r="P124" t="n">
        <v>0</v>
      </c>
      <c r="Q124" t="n">
        <v>1</v>
      </c>
      <c r="R124" s="2" t="inlineStr">
        <is>
          <t>Tjäder</t>
        </is>
      </c>
      <c r="S124">
        <f>HYPERLINK("https://klasma.github.io/Logging_0188/artfynd/A 25669-2025 artfynd.xlsx", "A 25669-2025")</f>
        <v/>
      </c>
      <c r="T124">
        <f>HYPERLINK("https://klasma.github.io/Logging_0188/kartor/A 25669-2025 karta.png", "A 25669-2025")</f>
        <v/>
      </c>
      <c r="V124">
        <f>HYPERLINK("https://klasma.github.io/Logging_0188/klagomål/A 25669-2025 FSC-klagomål.docx", "A 25669-2025")</f>
        <v/>
      </c>
      <c r="W124">
        <f>HYPERLINK("https://klasma.github.io/Logging_0188/klagomålsmail/A 25669-2025 FSC-klagomål mail.docx", "A 25669-2025")</f>
        <v/>
      </c>
      <c r="X124">
        <f>HYPERLINK("https://klasma.github.io/Logging_0188/tillsyn/A 25669-2025 tillsynsbegäran.docx", "A 25669-2025")</f>
        <v/>
      </c>
      <c r="Y124">
        <f>HYPERLINK("https://klasma.github.io/Logging_0188/tillsynsmail/A 25669-2025 tillsynsbegäran mail.docx", "A 25669-2025")</f>
        <v/>
      </c>
      <c r="Z124">
        <f>HYPERLINK("https://klasma.github.io/Logging_0188/fåglar/A 25669-2025 prioriterade fågelarter.docx", "A 25669-2025")</f>
        <v/>
      </c>
    </row>
    <row r="125" ht="15" customHeight="1">
      <c r="A125" t="inlineStr">
        <is>
          <t>A 35764-2024</t>
        </is>
      </c>
      <c r="B125" s="1" t="n">
        <v>45532</v>
      </c>
      <c r="C125" s="1" t="n">
        <v>46004</v>
      </c>
      <c r="D125" t="inlineStr">
        <is>
          <t>STOCKHOLMS LÄN</t>
        </is>
      </c>
      <c r="E125" t="inlineStr">
        <is>
          <t>NORRTÄLJE</t>
        </is>
      </c>
      <c r="G125" t="n">
        <v>14.2</v>
      </c>
      <c r="H125" t="n">
        <v>1</v>
      </c>
      <c r="I125" t="n">
        <v>0</v>
      </c>
      <c r="J125" t="n">
        <v>0</v>
      </c>
      <c r="K125" t="n">
        <v>1</v>
      </c>
      <c r="L125" t="n">
        <v>0</v>
      </c>
      <c r="M125" t="n">
        <v>0</v>
      </c>
      <c r="N125" t="n">
        <v>0</v>
      </c>
      <c r="O125" t="n">
        <v>1</v>
      </c>
      <c r="P125" t="n">
        <v>1</v>
      </c>
      <c r="Q125" t="n">
        <v>1</v>
      </c>
      <c r="R125" s="2" t="inlineStr">
        <is>
          <t>Knärot</t>
        </is>
      </c>
      <c r="S125">
        <f>HYPERLINK("https://klasma.github.io/Logging_0188/artfynd/A 35764-2024 artfynd.xlsx", "A 35764-2024")</f>
        <v/>
      </c>
      <c r="T125">
        <f>HYPERLINK("https://klasma.github.io/Logging_0188/kartor/A 35764-2024 karta.png", "A 35764-2024")</f>
        <v/>
      </c>
      <c r="U125">
        <f>HYPERLINK("https://klasma.github.io/Logging_0188/knärot/A 35764-2024 karta knärot.png", "A 35764-2024")</f>
        <v/>
      </c>
      <c r="V125">
        <f>HYPERLINK("https://klasma.github.io/Logging_0188/klagomål/A 35764-2024 FSC-klagomål.docx", "A 35764-2024")</f>
        <v/>
      </c>
      <c r="W125">
        <f>HYPERLINK("https://klasma.github.io/Logging_0188/klagomålsmail/A 35764-2024 FSC-klagomål mail.docx", "A 35764-2024")</f>
        <v/>
      </c>
      <c r="X125">
        <f>HYPERLINK("https://klasma.github.io/Logging_0188/tillsyn/A 35764-2024 tillsynsbegäran.docx", "A 35764-2024")</f>
        <v/>
      </c>
      <c r="Y125">
        <f>HYPERLINK("https://klasma.github.io/Logging_0188/tillsynsmail/A 35764-2024 tillsynsbegäran mail.docx", "A 35764-2024")</f>
        <v/>
      </c>
    </row>
    <row r="126" ht="15" customHeight="1">
      <c r="A126" t="inlineStr">
        <is>
          <t>A 35649-2023</t>
        </is>
      </c>
      <c r="B126" s="1" t="n">
        <v>45146</v>
      </c>
      <c r="C126" s="1" t="n">
        <v>46004</v>
      </c>
      <c r="D126" t="inlineStr">
        <is>
          <t>STOCKHOLMS LÄN</t>
        </is>
      </c>
      <c r="E126" t="inlineStr">
        <is>
          <t>NORRTÄLJE</t>
        </is>
      </c>
      <c r="G126" t="n">
        <v>25.1</v>
      </c>
      <c r="H126" t="n">
        <v>0</v>
      </c>
      <c r="I126" t="n">
        <v>0</v>
      </c>
      <c r="J126" t="n">
        <v>1</v>
      </c>
      <c r="K126" t="n">
        <v>0</v>
      </c>
      <c r="L126" t="n">
        <v>0</v>
      </c>
      <c r="M126" t="n">
        <v>0</v>
      </c>
      <c r="N126" t="n">
        <v>0</v>
      </c>
      <c r="O126" t="n">
        <v>1</v>
      </c>
      <c r="P126" t="n">
        <v>0</v>
      </c>
      <c r="Q126" t="n">
        <v>1</v>
      </c>
      <c r="R126" s="2" t="inlineStr">
        <is>
          <t>Månlåsbräken</t>
        </is>
      </c>
      <c r="S126">
        <f>HYPERLINK("https://klasma.github.io/Logging_0188/artfynd/A 35649-2023 artfynd.xlsx", "A 35649-2023")</f>
        <v/>
      </c>
      <c r="T126">
        <f>HYPERLINK("https://klasma.github.io/Logging_0188/kartor/A 35649-2023 karta.png", "A 35649-2023")</f>
        <v/>
      </c>
      <c r="V126">
        <f>HYPERLINK("https://klasma.github.io/Logging_0188/klagomål/A 35649-2023 FSC-klagomål.docx", "A 35649-2023")</f>
        <v/>
      </c>
      <c r="W126">
        <f>HYPERLINK("https://klasma.github.io/Logging_0188/klagomålsmail/A 35649-2023 FSC-klagomål mail.docx", "A 35649-2023")</f>
        <v/>
      </c>
      <c r="X126">
        <f>HYPERLINK("https://klasma.github.io/Logging_0188/tillsyn/A 35649-2023 tillsynsbegäran.docx", "A 35649-2023")</f>
        <v/>
      </c>
      <c r="Y126">
        <f>HYPERLINK("https://klasma.github.io/Logging_0188/tillsynsmail/A 35649-2023 tillsynsbegäran mail.docx", "A 35649-2023")</f>
        <v/>
      </c>
    </row>
    <row r="127" ht="15" customHeight="1">
      <c r="A127" t="inlineStr">
        <is>
          <t>A 6381-2023</t>
        </is>
      </c>
      <c r="B127" s="1" t="n">
        <v>44965</v>
      </c>
      <c r="C127" s="1" t="n">
        <v>46004</v>
      </c>
      <c r="D127" t="inlineStr">
        <is>
          <t>STOCKHOLMS LÄN</t>
        </is>
      </c>
      <c r="E127" t="inlineStr">
        <is>
          <t>NORRTÄLJE</t>
        </is>
      </c>
      <c r="G127" t="n">
        <v>3.5</v>
      </c>
      <c r="H127" t="n">
        <v>1</v>
      </c>
      <c r="I127" t="n">
        <v>1</v>
      </c>
      <c r="J127" t="n">
        <v>0</v>
      </c>
      <c r="K127" t="n">
        <v>0</v>
      </c>
      <c r="L127" t="n">
        <v>0</v>
      </c>
      <c r="M127" t="n">
        <v>0</v>
      </c>
      <c r="N127" t="n">
        <v>0</v>
      </c>
      <c r="O127" t="n">
        <v>0</v>
      </c>
      <c r="P127" t="n">
        <v>0</v>
      </c>
      <c r="Q127" t="n">
        <v>1</v>
      </c>
      <c r="R127" s="2" t="inlineStr">
        <is>
          <t>Guckusko</t>
        </is>
      </c>
      <c r="S127">
        <f>HYPERLINK("https://klasma.github.io/Logging_0188/artfynd/A 6381-2023 artfynd.xlsx", "A 6381-2023")</f>
        <v/>
      </c>
      <c r="T127">
        <f>HYPERLINK("https://klasma.github.io/Logging_0188/kartor/A 6381-2023 karta.png", "A 6381-2023")</f>
        <v/>
      </c>
      <c r="V127">
        <f>HYPERLINK("https://klasma.github.io/Logging_0188/klagomål/A 6381-2023 FSC-klagomål.docx", "A 6381-2023")</f>
        <v/>
      </c>
      <c r="W127">
        <f>HYPERLINK("https://klasma.github.io/Logging_0188/klagomålsmail/A 6381-2023 FSC-klagomål mail.docx", "A 6381-2023")</f>
        <v/>
      </c>
      <c r="X127">
        <f>HYPERLINK("https://klasma.github.io/Logging_0188/tillsyn/A 6381-2023 tillsynsbegäran.docx", "A 6381-2023")</f>
        <v/>
      </c>
      <c r="Y127">
        <f>HYPERLINK("https://klasma.github.io/Logging_0188/tillsynsmail/A 6381-2023 tillsynsbegäran mail.docx", "A 6381-2023")</f>
        <v/>
      </c>
    </row>
    <row r="128" ht="15" customHeight="1">
      <c r="A128" t="inlineStr">
        <is>
          <t>A 59682-2025</t>
        </is>
      </c>
      <c r="B128" s="1" t="n">
        <v>45992.47116898148</v>
      </c>
      <c r="C128" s="1" t="n">
        <v>46004</v>
      </c>
      <c r="D128" t="inlineStr">
        <is>
          <t>STOCKHOLMS LÄN</t>
        </is>
      </c>
      <c r="E128" t="inlineStr">
        <is>
          <t>NORRTÄLJE</t>
        </is>
      </c>
      <c r="G128" t="n">
        <v>1.6</v>
      </c>
      <c r="H128" t="n">
        <v>0</v>
      </c>
      <c r="I128" t="n">
        <v>1</v>
      </c>
      <c r="J128" t="n">
        <v>0</v>
      </c>
      <c r="K128" t="n">
        <v>0</v>
      </c>
      <c r="L128" t="n">
        <v>0</v>
      </c>
      <c r="M128" t="n">
        <v>0</v>
      </c>
      <c r="N128" t="n">
        <v>0</v>
      </c>
      <c r="O128" t="n">
        <v>0</v>
      </c>
      <c r="P128" t="n">
        <v>0</v>
      </c>
      <c r="Q128" t="n">
        <v>1</v>
      </c>
      <c r="R128" s="2" t="inlineStr">
        <is>
          <t>Grönpyrola</t>
        </is>
      </c>
      <c r="S128">
        <f>HYPERLINK("https://klasma.github.io/Logging_0188/artfynd/A 59682-2025 artfynd.xlsx", "A 59682-2025")</f>
        <v/>
      </c>
      <c r="T128">
        <f>HYPERLINK("https://klasma.github.io/Logging_0188/kartor/A 59682-2025 karta.png", "A 59682-2025")</f>
        <v/>
      </c>
      <c r="V128">
        <f>HYPERLINK("https://klasma.github.io/Logging_0188/klagomål/A 59682-2025 FSC-klagomål.docx", "A 59682-2025")</f>
        <v/>
      </c>
      <c r="W128">
        <f>HYPERLINK("https://klasma.github.io/Logging_0188/klagomålsmail/A 59682-2025 FSC-klagomål mail.docx", "A 59682-2025")</f>
        <v/>
      </c>
      <c r="X128">
        <f>HYPERLINK("https://klasma.github.io/Logging_0188/tillsyn/A 59682-2025 tillsynsbegäran.docx", "A 59682-2025")</f>
        <v/>
      </c>
      <c r="Y128">
        <f>HYPERLINK("https://klasma.github.io/Logging_0188/tillsynsmail/A 59682-2025 tillsynsbegäran mail.docx", "A 59682-2025")</f>
        <v/>
      </c>
    </row>
    <row r="129" ht="15" customHeight="1">
      <c r="A129" t="inlineStr">
        <is>
          <t>A 29946-2025</t>
        </is>
      </c>
      <c r="B129" s="1" t="n">
        <v>45826.46392361111</v>
      </c>
      <c r="C129" s="1" t="n">
        <v>46004</v>
      </c>
      <c r="D129" t="inlineStr">
        <is>
          <t>STOCKHOLMS LÄN</t>
        </is>
      </c>
      <c r="E129" t="inlineStr">
        <is>
          <t>NORRTÄLJE</t>
        </is>
      </c>
      <c r="F129" t="inlineStr">
        <is>
          <t>Holmen skog AB</t>
        </is>
      </c>
      <c r="G129" t="n">
        <v>3.6</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29946-2025 artfynd.xlsx", "A 29946-2025")</f>
        <v/>
      </c>
      <c r="T129">
        <f>HYPERLINK("https://klasma.github.io/Logging_0188/kartor/A 29946-2025 karta.png", "A 29946-2025")</f>
        <v/>
      </c>
      <c r="V129">
        <f>HYPERLINK("https://klasma.github.io/Logging_0188/klagomål/A 29946-2025 FSC-klagomål.docx", "A 29946-2025")</f>
        <v/>
      </c>
      <c r="W129">
        <f>HYPERLINK("https://klasma.github.io/Logging_0188/klagomålsmail/A 29946-2025 FSC-klagomål mail.docx", "A 29946-2025")</f>
        <v/>
      </c>
      <c r="X129">
        <f>HYPERLINK("https://klasma.github.io/Logging_0188/tillsyn/A 29946-2025 tillsynsbegäran.docx", "A 29946-2025")</f>
        <v/>
      </c>
      <c r="Y129">
        <f>HYPERLINK("https://klasma.github.io/Logging_0188/tillsynsmail/A 29946-2025 tillsynsbegäran mail.docx", "A 29946-2025")</f>
        <v/>
      </c>
    </row>
    <row r="130" ht="15" customHeight="1">
      <c r="A130" t="inlineStr">
        <is>
          <t>A 16870-2025</t>
        </is>
      </c>
      <c r="B130" s="1" t="n">
        <v>45754</v>
      </c>
      <c r="C130" s="1" t="n">
        <v>46004</v>
      </c>
      <c r="D130" t="inlineStr">
        <is>
          <t>STOCKHOLMS LÄN</t>
        </is>
      </c>
      <c r="E130" t="inlineStr">
        <is>
          <t>NORRTÄLJE</t>
        </is>
      </c>
      <c r="G130" t="n">
        <v>24.6</v>
      </c>
      <c r="H130" t="n">
        <v>1</v>
      </c>
      <c r="I130" t="n">
        <v>0</v>
      </c>
      <c r="J130" t="n">
        <v>0</v>
      </c>
      <c r="K130" t="n">
        <v>0</v>
      </c>
      <c r="L130" t="n">
        <v>0</v>
      </c>
      <c r="M130" t="n">
        <v>0</v>
      </c>
      <c r="N130" t="n">
        <v>0</v>
      </c>
      <c r="O130" t="n">
        <v>0</v>
      </c>
      <c r="P130" t="n">
        <v>0</v>
      </c>
      <c r="Q130" t="n">
        <v>1</v>
      </c>
      <c r="R130" s="2" t="inlineStr">
        <is>
          <t>Vanlig groda</t>
        </is>
      </c>
      <c r="S130">
        <f>HYPERLINK("https://klasma.github.io/Logging_0188/artfynd/A 16870-2025 artfynd.xlsx", "A 16870-2025")</f>
        <v/>
      </c>
      <c r="T130">
        <f>HYPERLINK("https://klasma.github.io/Logging_0188/kartor/A 16870-2025 karta.png", "A 16870-2025")</f>
        <v/>
      </c>
      <c r="V130">
        <f>HYPERLINK("https://klasma.github.io/Logging_0188/klagomål/A 16870-2025 FSC-klagomål.docx", "A 16870-2025")</f>
        <v/>
      </c>
      <c r="W130">
        <f>HYPERLINK("https://klasma.github.io/Logging_0188/klagomålsmail/A 16870-2025 FSC-klagomål mail.docx", "A 16870-2025")</f>
        <v/>
      </c>
      <c r="X130">
        <f>HYPERLINK("https://klasma.github.io/Logging_0188/tillsyn/A 16870-2025 tillsynsbegäran.docx", "A 16870-2025")</f>
        <v/>
      </c>
      <c r="Y130">
        <f>HYPERLINK("https://klasma.github.io/Logging_0188/tillsynsmail/A 16870-2025 tillsynsbegäran mail.docx", "A 16870-2025")</f>
        <v/>
      </c>
    </row>
    <row r="131" ht="15" customHeight="1">
      <c r="A131" t="inlineStr">
        <is>
          <t>A 33548-2025</t>
        </is>
      </c>
      <c r="B131" s="1" t="n">
        <v>45841.5721875</v>
      </c>
      <c r="C131" s="1" t="n">
        <v>46004</v>
      </c>
      <c r="D131" t="inlineStr">
        <is>
          <t>STOCKHOLMS LÄN</t>
        </is>
      </c>
      <c r="E131" t="inlineStr">
        <is>
          <t>NORRTÄLJE</t>
        </is>
      </c>
      <c r="G131" t="n">
        <v>12.2</v>
      </c>
      <c r="H131" t="n">
        <v>0</v>
      </c>
      <c r="I131" t="n">
        <v>0</v>
      </c>
      <c r="J131" t="n">
        <v>1</v>
      </c>
      <c r="K131" t="n">
        <v>0</v>
      </c>
      <c r="L131" t="n">
        <v>0</v>
      </c>
      <c r="M131" t="n">
        <v>0</v>
      </c>
      <c r="N131" t="n">
        <v>0</v>
      </c>
      <c r="O131" t="n">
        <v>1</v>
      </c>
      <c r="P131" t="n">
        <v>0</v>
      </c>
      <c r="Q131" t="n">
        <v>1</v>
      </c>
      <c r="R131" s="2" t="inlineStr">
        <is>
          <t>Dofttaggsvamp</t>
        </is>
      </c>
      <c r="S131">
        <f>HYPERLINK("https://klasma.github.io/Logging_0188/artfynd/A 33548-2025 artfynd.xlsx", "A 33548-2025")</f>
        <v/>
      </c>
      <c r="T131">
        <f>HYPERLINK("https://klasma.github.io/Logging_0188/kartor/A 33548-2025 karta.png", "A 33548-2025")</f>
        <v/>
      </c>
      <c r="V131">
        <f>HYPERLINK("https://klasma.github.io/Logging_0188/klagomål/A 33548-2025 FSC-klagomål.docx", "A 33548-2025")</f>
        <v/>
      </c>
      <c r="W131">
        <f>HYPERLINK("https://klasma.github.io/Logging_0188/klagomålsmail/A 33548-2025 FSC-klagomål mail.docx", "A 33548-2025")</f>
        <v/>
      </c>
      <c r="X131">
        <f>HYPERLINK("https://klasma.github.io/Logging_0188/tillsyn/A 33548-2025 tillsynsbegäran.docx", "A 33548-2025")</f>
        <v/>
      </c>
      <c r="Y131">
        <f>HYPERLINK("https://klasma.github.io/Logging_0188/tillsynsmail/A 33548-2025 tillsynsbegäran mail.docx", "A 33548-2025")</f>
        <v/>
      </c>
    </row>
    <row r="132" ht="15" customHeight="1">
      <c r="A132" t="inlineStr">
        <is>
          <t>A 33546-2025</t>
        </is>
      </c>
      <c r="B132" s="1" t="n">
        <v>45841.56996527778</v>
      </c>
      <c r="C132" s="1" t="n">
        <v>46004</v>
      </c>
      <c r="D132" t="inlineStr">
        <is>
          <t>STOCKHOLMS LÄN</t>
        </is>
      </c>
      <c r="E132" t="inlineStr">
        <is>
          <t>NORRTÄLJE</t>
        </is>
      </c>
      <c r="G132" t="n">
        <v>7.2</v>
      </c>
      <c r="H132" t="n">
        <v>1</v>
      </c>
      <c r="I132" t="n">
        <v>1</v>
      </c>
      <c r="J132" t="n">
        <v>0</v>
      </c>
      <c r="K132" t="n">
        <v>0</v>
      </c>
      <c r="L132" t="n">
        <v>0</v>
      </c>
      <c r="M132" t="n">
        <v>0</v>
      </c>
      <c r="N132" t="n">
        <v>0</v>
      </c>
      <c r="O132" t="n">
        <v>0</v>
      </c>
      <c r="P132" t="n">
        <v>0</v>
      </c>
      <c r="Q132" t="n">
        <v>1</v>
      </c>
      <c r="R132" s="2" t="inlineStr">
        <is>
          <t>Nästrot</t>
        </is>
      </c>
      <c r="S132">
        <f>HYPERLINK("https://klasma.github.io/Logging_0188/artfynd/A 33546-2025 artfynd.xlsx", "A 33546-2025")</f>
        <v/>
      </c>
      <c r="T132">
        <f>HYPERLINK("https://klasma.github.io/Logging_0188/kartor/A 33546-2025 karta.png", "A 33546-2025")</f>
        <v/>
      </c>
      <c r="V132">
        <f>HYPERLINK("https://klasma.github.io/Logging_0188/klagomål/A 33546-2025 FSC-klagomål.docx", "A 33546-2025")</f>
        <v/>
      </c>
      <c r="W132">
        <f>HYPERLINK("https://klasma.github.io/Logging_0188/klagomålsmail/A 33546-2025 FSC-klagomål mail.docx", "A 33546-2025")</f>
        <v/>
      </c>
      <c r="X132">
        <f>HYPERLINK("https://klasma.github.io/Logging_0188/tillsyn/A 33546-2025 tillsynsbegäran.docx", "A 33546-2025")</f>
        <v/>
      </c>
      <c r="Y132">
        <f>HYPERLINK("https://klasma.github.io/Logging_0188/tillsynsmail/A 33546-2025 tillsynsbegäran mail.docx", "A 33546-2025")</f>
        <v/>
      </c>
    </row>
    <row r="133" ht="15" customHeight="1">
      <c r="A133" t="inlineStr">
        <is>
          <t>A 52775-2025</t>
        </is>
      </c>
      <c r="B133" s="1" t="n">
        <v>45957.41608796296</v>
      </c>
      <c r="C133" s="1" t="n">
        <v>46004</v>
      </c>
      <c r="D133" t="inlineStr">
        <is>
          <t>STOCKHOLMS LÄN</t>
        </is>
      </c>
      <c r="E133" t="inlineStr">
        <is>
          <t>NORRTÄLJE</t>
        </is>
      </c>
      <c r="F133" t="inlineStr">
        <is>
          <t>Sveaskog</t>
        </is>
      </c>
      <c r="G133" t="n">
        <v>5.6</v>
      </c>
      <c r="H133" t="n">
        <v>0</v>
      </c>
      <c r="I133" t="n">
        <v>0</v>
      </c>
      <c r="J133" t="n">
        <v>1</v>
      </c>
      <c r="K133" t="n">
        <v>0</v>
      </c>
      <c r="L133" t="n">
        <v>0</v>
      </c>
      <c r="M133" t="n">
        <v>0</v>
      </c>
      <c r="N133" t="n">
        <v>0</v>
      </c>
      <c r="O133" t="n">
        <v>1</v>
      </c>
      <c r="P133" t="n">
        <v>0</v>
      </c>
      <c r="Q133" t="n">
        <v>1</v>
      </c>
      <c r="R133" s="2" t="inlineStr">
        <is>
          <t>Vedtrappmossa</t>
        </is>
      </c>
      <c r="S133">
        <f>HYPERLINK("https://klasma.github.io/Logging_0188/artfynd/A 52775-2025 artfynd.xlsx", "A 52775-2025")</f>
        <v/>
      </c>
      <c r="T133">
        <f>HYPERLINK("https://klasma.github.io/Logging_0188/kartor/A 52775-2025 karta.png", "A 52775-2025")</f>
        <v/>
      </c>
      <c r="V133">
        <f>HYPERLINK("https://klasma.github.io/Logging_0188/klagomål/A 52775-2025 FSC-klagomål.docx", "A 52775-2025")</f>
        <v/>
      </c>
      <c r="W133">
        <f>HYPERLINK("https://klasma.github.io/Logging_0188/klagomålsmail/A 52775-2025 FSC-klagomål mail.docx", "A 52775-2025")</f>
        <v/>
      </c>
      <c r="X133">
        <f>HYPERLINK("https://klasma.github.io/Logging_0188/tillsyn/A 52775-2025 tillsynsbegäran.docx", "A 52775-2025")</f>
        <v/>
      </c>
      <c r="Y133">
        <f>HYPERLINK("https://klasma.github.io/Logging_0188/tillsynsmail/A 52775-2025 tillsynsbegäran mail.docx", "A 52775-2025")</f>
        <v/>
      </c>
    </row>
    <row r="134" ht="15" customHeight="1">
      <c r="A134" t="inlineStr">
        <is>
          <t>A 53716-2025</t>
        </is>
      </c>
      <c r="B134" s="1" t="n">
        <v>45960.61782407408</v>
      </c>
      <c r="C134" s="1" t="n">
        <v>46004</v>
      </c>
      <c r="D134" t="inlineStr">
        <is>
          <t>STOCKHOLMS LÄN</t>
        </is>
      </c>
      <c r="E134" t="inlineStr">
        <is>
          <t>NORRTÄLJE</t>
        </is>
      </c>
      <c r="G134" t="n">
        <v>3.4</v>
      </c>
      <c r="H134" t="n">
        <v>0</v>
      </c>
      <c r="I134" t="n">
        <v>0</v>
      </c>
      <c r="J134" t="n">
        <v>0</v>
      </c>
      <c r="K134" t="n">
        <v>0</v>
      </c>
      <c r="L134" t="n">
        <v>1</v>
      </c>
      <c r="M134" t="n">
        <v>0</v>
      </c>
      <c r="N134" t="n">
        <v>0</v>
      </c>
      <c r="O134" t="n">
        <v>1</v>
      </c>
      <c r="P134" t="n">
        <v>1</v>
      </c>
      <c r="Q134" t="n">
        <v>1</v>
      </c>
      <c r="R134" s="2" t="inlineStr">
        <is>
          <t>Fältgentiana</t>
        </is>
      </c>
      <c r="S134">
        <f>HYPERLINK("https://klasma.github.io/Logging_0188/artfynd/A 53716-2025 artfynd.xlsx", "A 53716-2025")</f>
        <v/>
      </c>
      <c r="T134">
        <f>HYPERLINK("https://klasma.github.io/Logging_0188/kartor/A 53716-2025 karta.png", "A 53716-2025")</f>
        <v/>
      </c>
      <c r="V134">
        <f>HYPERLINK("https://klasma.github.io/Logging_0188/klagomål/A 53716-2025 FSC-klagomål.docx", "A 53716-2025")</f>
        <v/>
      </c>
      <c r="W134">
        <f>HYPERLINK("https://klasma.github.io/Logging_0188/klagomålsmail/A 53716-2025 FSC-klagomål mail.docx", "A 53716-2025")</f>
        <v/>
      </c>
      <c r="X134">
        <f>HYPERLINK("https://klasma.github.io/Logging_0188/tillsyn/A 53716-2025 tillsynsbegäran.docx", "A 53716-2025")</f>
        <v/>
      </c>
      <c r="Y134">
        <f>HYPERLINK("https://klasma.github.io/Logging_0188/tillsynsmail/A 53716-2025 tillsynsbegäran mail.docx", "A 53716-2025")</f>
        <v/>
      </c>
    </row>
    <row r="135" ht="15" customHeight="1">
      <c r="A135" t="inlineStr">
        <is>
          <t>A 8371-2025</t>
        </is>
      </c>
      <c r="B135" s="1" t="n">
        <v>45708</v>
      </c>
      <c r="C135" s="1" t="n">
        <v>46004</v>
      </c>
      <c r="D135" t="inlineStr">
        <is>
          <t>STOCKHOLMS LÄN</t>
        </is>
      </c>
      <c r="E135" t="inlineStr">
        <is>
          <t>NORRTÄLJE</t>
        </is>
      </c>
      <c r="F135" t="inlineStr">
        <is>
          <t>Övriga Aktiebolag</t>
        </is>
      </c>
      <c r="G135" t="n">
        <v>2.9</v>
      </c>
      <c r="H135" t="n">
        <v>1</v>
      </c>
      <c r="I135" t="n">
        <v>0</v>
      </c>
      <c r="J135" t="n">
        <v>1</v>
      </c>
      <c r="K135" t="n">
        <v>0</v>
      </c>
      <c r="L135" t="n">
        <v>0</v>
      </c>
      <c r="M135" t="n">
        <v>0</v>
      </c>
      <c r="N135" t="n">
        <v>0</v>
      </c>
      <c r="O135" t="n">
        <v>1</v>
      </c>
      <c r="P135" t="n">
        <v>0</v>
      </c>
      <c r="Q135" t="n">
        <v>1</v>
      </c>
      <c r="R135" s="2" t="inlineStr">
        <is>
          <t>Spillkråka</t>
        </is>
      </c>
      <c r="S135">
        <f>HYPERLINK("https://klasma.github.io/Logging_0188/artfynd/A 8371-2025 artfynd.xlsx", "A 8371-2025")</f>
        <v/>
      </c>
      <c r="T135">
        <f>HYPERLINK("https://klasma.github.io/Logging_0188/kartor/A 8371-2025 karta.png", "A 8371-2025")</f>
        <v/>
      </c>
      <c r="V135">
        <f>HYPERLINK("https://klasma.github.io/Logging_0188/klagomål/A 8371-2025 FSC-klagomål.docx", "A 8371-2025")</f>
        <v/>
      </c>
      <c r="W135">
        <f>HYPERLINK("https://klasma.github.io/Logging_0188/klagomålsmail/A 8371-2025 FSC-klagomål mail.docx", "A 8371-2025")</f>
        <v/>
      </c>
      <c r="X135">
        <f>HYPERLINK("https://klasma.github.io/Logging_0188/tillsyn/A 8371-2025 tillsynsbegäran.docx", "A 8371-2025")</f>
        <v/>
      </c>
      <c r="Y135">
        <f>HYPERLINK("https://klasma.github.io/Logging_0188/tillsynsmail/A 8371-2025 tillsynsbegäran mail.docx", "A 8371-2025")</f>
        <v/>
      </c>
      <c r="Z135">
        <f>HYPERLINK("https://klasma.github.io/Logging_0188/fåglar/A 8371-2025 prioriterade fågelarter.docx", "A 8371-2025")</f>
        <v/>
      </c>
    </row>
    <row r="136" ht="15" customHeight="1">
      <c r="A136" t="inlineStr">
        <is>
          <t>A 1970-2021</t>
        </is>
      </c>
      <c r="B136" s="1" t="n">
        <v>44210</v>
      </c>
      <c r="C136" s="1" t="n">
        <v>46004</v>
      </c>
      <c r="D136" t="inlineStr">
        <is>
          <t>STOCKHOLMS LÄN</t>
        </is>
      </c>
      <c r="E136" t="inlineStr">
        <is>
          <t>NORRTÄLJE</t>
        </is>
      </c>
      <c r="G136" t="n">
        <v>3.1</v>
      </c>
      <c r="H136" t="n">
        <v>0</v>
      </c>
      <c r="I136" t="n">
        <v>0</v>
      </c>
      <c r="J136" t="n">
        <v>0</v>
      </c>
      <c r="K136" t="n">
        <v>0</v>
      </c>
      <c r="L136" t="n">
        <v>0</v>
      </c>
      <c r="M136" t="n">
        <v>0</v>
      </c>
      <c r="N136" t="n">
        <v>0</v>
      </c>
      <c r="O136" t="n">
        <v>0</v>
      </c>
      <c r="P136" t="n">
        <v>0</v>
      </c>
      <c r="Q136" t="n">
        <v>0</v>
      </c>
      <c r="R136" s="2" t="inlineStr"/>
    </row>
    <row r="137" ht="15" customHeight="1">
      <c r="A137" t="inlineStr">
        <is>
          <t>A 1637-2021</t>
        </is>
      </c>
      <c r="B137" s="1" t="n">
        <v>44209</v>
      </c>
      <c r="C137" s="1" t="n">
        <v>46004</v>
      </c>
      <c r="D137" t="inlineStr">
        <is>
          <t>STOCKHOLMS LÄN</t>
        </is>
      </c>
      <c r="E137" t="inlineStr">
        <is>
          <t>NORRTÄLJE</t>
        </is>
      </c>
      <c r="G137" t="n">
        <v>1.6</v>
      </c>
      <c r="H137" t="n">
        <v>0</v>
      </c>
      <c r="I137" t="n">
        <v>0</v>
      </c>
      <c r="J137" t="n">
        <v>0</v>
      </c>
      <c r="K137" t="n">
        <v>0</v>
      </c>
      <c r="L137" t="n">
        <v>0</v>
      </c>
      <c r="M137" t="n">
        <v>0</v>
      </c>
      <c r="N137" t="n">
        <v>0</v>
      </c>
      <c r="O137" t="n">
        <v>0</v>
      </c>
      <c r="P137" t="n">
        <v>0</v>
      </c>
      <c r="Q137" t="n">
        <v>0</v>
      </c>
      <c r="R137" s="2" t="inlineStr"/>
    </row>
    <row r="138" ht="15" customHeight="1">
      <c r="A138" t="inlineStr">
        <is>
          <t>A 18580-2021</t>
        </is>
      </c>
      <c r="B138" s="1" t="n">
        <v>44306</v>
      </c>
      <c r="C138" s="1" t="n">
        <v>46004</v>
      </c>
      <c r="D138" t="inlineStr">
        <is>
          <t>STOCKHOLMS LÄN</t>
        </is>
      </c>
      <c r="E138" t="inlineStr">
        <is>
          <t>NORRTÄLJE</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12877-2022</t>
        </is>
      </c>
      <c r="B139" s="1" t="n">
        <v>44642</v>
      </c>
      <c r="C139" s="1" t="n">
        <v>46004</v>
      </c>
      <c r="D139" t="inlineStr">
        <is>
          <t>STOCKHOLMS LÄN</t>
        </is>
      </c>
      <c r="E139" t="inlineStr">
        <is>
          <t>NORRTÄLJE</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71543-2021</t>
        </is>
      </c>
      <c r="B140" s="1" t="n">
        <v>44540</v>
      </c>
      <c r="C140" s="1" t="n">
        <v>46004</v>
      </c>
      <c r="D140" t="inlineStr">
        <is>
          <t>STOCKHOLMS LÄN</t>
        </is>
      </c>
      <c r="E140" t="inlineStr">
        <is>
          <t>NORRTÄLJE</t>
        </is>
      </c>
      <c r="G140" t="n">
        <v>1.8</v>
      </c>
      <c r="H140" t="n">
        <v>0</v>
      </c>
      <c r="I140" t="n">
        <v>0</v>
      </c>
      <c r="J140" t="n">
        <v>0</v>
      </c>
      <c r="K140" t="n">
        <v>0</v>
      </c>
      <c r="L140" t="n">
        <v>0</v>
      </c>
      <c r="M140" t="n">
        <v>0</v>
      </c>
      <c r="N140" t="n">
        <v>0</v>
      </c>
      <c r="O140" t="n">
        <v>0</v>
      </c>
      <c r="P140" t="n">
        <v>0</v>
      </c>
      <c r="Q140" t="n">
        <v>0</v>
      </c>
      <c r="R140" s="2" t="inlineStr"/>
    </row>
    <row r="141" ht="15" customHeight="1">
      <c r="A141" t="inlineStr">
        <is>
          <t>A 14036-2022</t>
        </is>
      </c>
      <c r="B141" s="1" t="n">
        <v>44650.8699537037</v>
      </c>
      <c r="C141" s="1" t="n">
        <v>46004</v>
      </c>
      <c r="D141" t="inlineStr">
        <is>
          <t>STOCKHOLMS LÄN</t>
        </is>
      </c>
      <c r="E141" t="inlineStr">
        <is>
          <t>NORRTÄLJE</t>
        </is>
      </c>
      <c r="G141" t="n">
        <v>1.1</v>
      </c>
      <c r="H141" t="n">
        <v>0</v>
      </c>
      <c r="I141" t="n">
        <v>0</v>
      </c>
      <c r="J141" t="n">
        <v>0</v>
      </c>
      <c r="K141" t="n">
        <v>0</v>
      </c>
      <c r="L141" t="n">
        <v>0</v>
      </c>
      <c r="M141" t="n">
        <v>0</v>
      </c>
      <c r="N141" t="n">
        <v>0</v>
      </c>
      <c r="O141" t="n">
        <v>0</v>
      </c>
      <c r="P141" t="n">
        <v>0</v>
      </c>
      <c r="Q141" t="n">
        <v>0</v>
      </c>
      <c r="R141" s="2" t="inlineStr"/>
    </row>
    <row r="142" ht="15" customHeight="1">
      <c r="A142" t="inlineStr">
        <is>
          <t>A 47344-2021</t>
        </is>
      </c>
      <c r="B142" s="1" t="n">
        <v>44447</v>
      </c>
      <c r="C142" s="1" t="n">
        <v>46004</v>
      </c>
      <c r="D142" t="inlineStr">
        <is>
          <t>STOCKHOLMS LÄN</t>
        </is>
      </c>
      <c r="E142" t="inlineStr">
        <is>
          <t>NORRTÄLJE</t>
        </is>
      </c>
      <c r="G142" t="n">
        <v>3.3</v>
      </c>
      <c r="H142" t="n">
        <v>0</v>
      </c>
      <c r="I142" t="n">
        <v>0</v>
      </c>
      <c r="J142" t="n">
        <v>0</v>
      </c>
      <c r="K142" t="n">
        <v>0</v>
      </c>
      <c r="L142" t="n">
        <v>0</v>
      </c>
      <c r="M142" t="n">
        <v>0</v>
      </c>
      <c r="N142" t="n">
        <v>0</v>
      </c>
      <c r="O142" t="n">
        <v>0</v>
      </c>
      <c r="P142" t="n">
        <v>0</v>
      </c>
      <c r="Q142" t="n">
        <v>0</v>
      </c>
      <c r="R142" s="2" t="inlineStr"/>
    </row>
    <row r="143" ht="15" customHeight="1">
      <c r="A143" t="inlineStr">
        <is>
          <t>A 43036-2022</t>
        </is>
      </c>
      <c r="B143" s="1" t="n">
        <v>44833</v>
      </c>
      <c r="C143" s="1" t="n">
        <v>46004</v>
      </c>
      <c r="D143" t="inlineStr">
        <is>
          <t>STOCKHOLMS LÄN</t>
        </is>
      </c>
      <c r="E143" t="inlineStr">
        <is>
          <t>NORRTÄLJE</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15289-2021</t>
        </is>
      </c>
      <c r="B144" s="1" t="n">
        <v>44284.59546296296</v>
      </c>
      <c r="C144" s="1" t="n">
        <v>46004</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40542-2021</t>
        </is>
      </c>
      <c r="B145" s="1" t="n">
        <v>44420</v>
      </c>
      <c r="C145" s="1" t="n">
        <v>46004</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40546-2021</t>
        </is>
      </c>
      <c r="B146" s="1" t="n">
        <v>44420</v>
      </c>
      <c r="C146" s="1" t="n">
        <v>46004</v>
      </c>
      <c r="D146" t="inlineStr">
        <is>
          <t>STOCKHOLMS LÄN</t>
        </is>
      </c>
      <c r="E146" t="inlineStr">
        <is>
          <t>NORRTÄLJE</t>
        </is>
      </c>
      <c r="G146" t="n">
        <v>0.4</v>
      </c>
      <c r="H146" t="n">
        <v>0</v>
      </c>
      <c r="I146" t="n">
        <v>0</v>
      </c>
      <c r="J146" t="n">
        <v>0</v>
      </c>
      <c r="K146" t="n">
        <v>0</v>
      </c>
      <c r="L146" t="n">
        <v>0</v>
      </c>
      <c r="M146" t="n">
        <v>0</v>
      </c>
      <c r="N146" t="n">
        <v>0</v>
      </c>
      <c r="O146" t="n">
        <v>0</v>
      </c>
      <c r="P146" t="n">
        <v>0</v>
      </c>
      <c r="Q146" t="n">
        <v>0</v>
      </c>
      <c r="R146" s="2" t="inlineStr"/>
    </row>
    <row r="147" ht="15" customHeight="1">
      <c r="A147" t="inlineStr">
        <is>
          <t>A 31934-2022</t>
        </is>
      </c>
      <c r="B147" s="1" t="n">
        <v>44777</v>
      </c>
      <c r="C147" s="1" t="n">
        <v>46004</v>
      </c>
      <c r="D147" t="inlineStr">
        <is>
          <t>STOCKHOLMS LÄN</t>
        </is>
      </c>
      <c r="E147" t="inlineStr">
        <is>
          <t>NORRTÄLJE</t>
        </is>
      </c>
      <c r="G147" t="n">
        <v>1.2</v>
      </c>
      <c r="H147" t="n">
        <v>0</v>
      </c>
      <c r="I147" t="n">
        <v>0</v>
      </c>
      <c r="J147" t="n">
        <v>0</v>
      </c>
      <c r="K147" t="n">
        <v>0</v>
      </c>
      <c r="L147" t="n">
        <v>0</v>
      </c>
      <c r="M147" t="n">
        <v>0</v>
      </c>
      <c r="N147" t="n">
        <v>0</v>
      </c>
      <c r="O147" t="n">
        <v>0</v>
      </c>
      <c r="P147" t="n">
        <v>0</v>
      </c>
      <c r="Q147" t="n">
        <v>0</v>
      </c>
      <c r="R147" s="2" t="inlineStr"/>
    </row>
    <row r="148" ht="15" customHeight="1">
      <c r="A148" t="inlineStr">
        <is>
          <t>A 24977-2022</t>
        </is>
      </c>
      <c r="B148" s="1" t="n">
        <v>44728.73465277778</v>
      </c>
      <c r="C148" s="1" t="n">
        <v>46004</v>
      </c>
      <c r="D148" t="inlineStr">
        <is>
          <t>STOCKHOLMS LÄN</t>
        </is>
      </c>
      <c r="E148" t="inlineStr">
        <is>
          <t>NORRTÄLJE</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37815-2022</t>
        </is>
      </c>
      <c r="B149" s="1" t="n">
        <v>44810.85092592592</v>
      </c>
      <c r="C149" s="1" t="n">
        <v>46004</v>
      </c>
      <c r="D149" t="inlineStr">
        <is>
          <t>STOCKHOLMS LÄN</t>
        </is>
      </c>
      <c r="E149" t="inlineStr">
        <is>
          <t>NORRTÄLJE</t>
        </is>
      </c>
      <c r="G149" t="n">
        <v>1.3</v>
      </c>
      <c r="H149" t="n">
        <v>0</v>
      </c>
      <c r="I149" t="n">
        <v>0</v>
      </c>
      <c r="J149" t="n">
        <v>0</v>
      </c>
      <c r="K149" t="n">
        <v>0</v>
      </c>
      <c r="L149" t="n">
        <v>0</v>
      </c>
      <c r="M149" t="n">
        <v>0</v>
      </c>
      <c r="N149" t="n">
        <v>0</v>
      </c>
      <c r="O149" t="n">
        <v>0</v>
      </c>
      <c r="P149" t="n">
        <v>0</v>
      </c>
      <c r="Q149" t="n">
        <v>0</v>
      </c>
      <c r="R149" s="2" t="inlineStr"/>
    </row>
    <row r="150" ht="15" customHeight="1">
      <c r="A150" t="inlineStr">
        <is>
          <t>A 73855-2021</t>
        </is>
      </c>
      <c r="B150" s="1" t="n">
        <v>44552</v>
      </c>
      <c r="C150" s="1" t="n">
        <v>46004</v>
      </c>
      <c r="D150" t="inlineStr">
        <is>
          <t>STOCKHOLMS LÄN</t>
        </is>
      </c>
      <c r="E150" t="inlineStr">
        <is>
          <t>NORRTÄLJE</t>
        </is>
      </c>
      <c r="F150" t="inlineStr">
        <is>
          <t>Övriga Aktiebolag</t>
        </is>
      </c>
      <c r="G150" t="n">
        <v>4</v>
      </c>
      <c r="H150" t="n">
        <v>0</v>
      </c>
      <c r="I150" t="n">
        <v>0</v>
      </c>
      <c r="J150" t="n">
        <v>0</v>
      </c>
      <c r="K150" t="n">
        <v>0</v>
      </c>
      <c r="L150" t="n">
        <v>0</v>
      </c>
      <c r="M150" t="n">
        <v>0</v>
      </c>
      <c r="N150" t="n">
        <v>0</v>
      </c>
      <c r="O150" t="n">
        <v>0</v>
      </c>
      <c r="P150" t="n">
        <v>0</v>
      </c>
      <c r="Q150" t="n">
        <v>0</v>
      </c>
      <c r="R150" s="2" t="inlineStr"/>
    </row>
    <row r="151" ht="15" customHeight="1">
      <c r="A151" t="inlineStr">
        <is>
          <t>A 11821-2022</t>
        </is>
      </c>
      <c r="B151" s="1" t="n">
        <v>44634</v>
      </c>
      <c r="C151" s="1" t="n">
        <v>46004</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2977-2022</t>
        </is>
      </c>
      <c r="B152" s="1" t="n">
        <v>44581.75819444445</v>
      </c>
      <c r="C152" s="1" t="n">
        <v>46004</v>
      </c>
      <c r="D152" t="inlineStr">
        <is>
          <t>STOCKHOLMS LÄN</t>
        </is>
      </c>
      <c r="E152" t="inlineStr">
        <is>
          <t>NORRTÄLJE</t>
        </is>
      </c>
      <c r="G152" t="n">
        <v>0.9</v>
      </c>
      <c r="H152" t="n">
        <v>0</v>
      </c>
      <c r="I152" t="n">
        <v>0</v>
      </c>
      <c r="J152" t="n">
        <v>0</v>
      </c>
      <c r="K152" t="n">
        <v>0</v>
      </c>
      <c r="L152" t="n">
        <v>0</v>
      </c>
      <c r="M152" t="n">
        <v>0</v>
      </c>
      <c r="N152" t="n">
        <v>0</v>
      </c>
      <c r="O152" t="n">
        <v>0</v>
      </c>
      <c r="P152" t="n">
        <v>0</v>
      </c>
      <c r="Q152" t="n">
        <v>0</v>
      </c>
      <c r="R152" s="2" t="inlineStr"/>
    </row>
    <row r="153" ht="15" customHeight="1">
      <c r="A153" t="inlineStr">
        <is>
          <t>A 74468-2021</t>
        </is>
      </c>
      <c r="B153" s="1" t="n">
        <v>44560</v>
      </c>
      <c r="C153" s="1" t="n">
        <v>46004</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54272-2021</t>
        </is>
      </c>
      <c r="B154" s="1" t="n">
        <v>44470.72148148148</v>
      </c>
      <c r="C154" s="1" t="n">
        <v>46004</v>
      </c>
      <c r="D154" t="inlineStr">
        <is>
          <t>STOCKHOLMS LÄN</t>
        </is>
      </c>
      <c r="E154" t="inlineStr">
        <is>
          <t>NORRTÄLJE</t>
        </is>
      </c>
      <c r="G154" t="n">
        <v>5.8</v>
      </c>
      <c r="H154" t="n">
        <v>0</v>
      </c>
      <c r="I154" t="n">
        <v>0</v>
      </c>
      <c r="J154" t="n">
        <v>0</v>
      </c>
      <c r="K154" t="n">
        <v>0</v>
      </c>
      <c r="L154" t="n">
        <v>0</v>
      </c>
      <c r="M154" t="n">
        <v>0</v>
      </c>
      <c r="N154" t="n">
        <v>0</v>
      </c>
      <c r="O154" t="n">
        <v>0</v>
      </c>
      <c r="P154" t="n">
        <v>0</v>
      </c>
      <c r="Q154" t="n">
        <v>0</v>
      </c>
      <c r="R154" s="2" t="inlineStr"/>
    </row>
    <row r="155" ht="15" customHeight="1">
      <c r="A155" t="inlineStr">
        <is>
          <t>A 31283-2022</t>
        </is>
      </c>
      <c r="B155" s="1" t="n">
        <v>44771</v>
      </c>
      <c r="C155" s="1" t="n">
        <v>46004</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56225-2021</t>
        </is>
      </c>
      <c r="B156" s="1" t="n">
        <v>44477.94327546296</v>
      </c>
      <c r="C156" s="1" t="n">
        <v>46004</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23096-2021</t>
        </is>
      </c>
      <c r="B157" s="1" t="n">
        <v>44330</v>
      </c>
      <c r="C157" s="1" t="n">
        <v>46004</v>
      </c>
      <c r="D157" t="inlineStr">
        <is>
          <t>STOCKHOLMS LÄN</t>
        </is>
      </c>
      <c r="E157" t="inlineStr">
        <is>
          <t>NORRTÄLJE</t>
        </is>
      </c>
      <c r="G157" t="n">
        <v>0.3</v>
      </c>
      <c r="H157" t="n">
        <v>0</v>
      </c>
      <c r="I157" t="n">
        <v>0</v>
      </c>
      <c r="J157" t="n">
        <v>0</v>
      </c>
      <c r="K157" t="n">
        <v>0</v>
      </c>
      <c r="L157" t="n">
        <v>0</v>
      </c>
      <c r="M157" t="n">
        <v>0</v>
      </c>
      <c r="N157" t="n">
        <v>0</v>
      </c>
      <c r="O157" t="n">
        <v>0</v>
      </c>
      <c r="P157" t="n">
        <v>0</v>
      </c>
      <c r="Q157" t="n">
        <v>0</v>
      </c>
      <c r="R157" s="2" t="inlineStr"/>
    </row>
    <row r="158" ht="15" customHeight="1">
      <c r="A158" t="inlineStr">
        <is>
          <t>A 34436-2021</t>
        </is>
      </c>
      <c r="B158" s="1" t="n">
        <v>44380</v>
      </c>
      <c r="C158" s="1" t="n">
        <v>46004</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67525-2021</t>
        </is>
      </c>
      <c r="B159" s="1" t="n">
        <v>44524</v>
      </c>
      <c r="C159" s="1" t="n">
        <v>46004</v>
      </c>
      <c r="D159" t="inlineStr">
        <is>
          <t>STOCKHOLMS LÄN</t>
        </is>
      </c>
      <c r="E159" t="inlineStr">
        <is>
          <t>NORRTÄLJE</t>
        </is>
      </c>
      <c r="G159" t="n">
        <v>0.8</v>
      </c>
      <c r="H159" t="n">
        <v>0</v>
      </c>
      <c r="I159" t="n">
        <v>0</v>
      </c>
      <c r="J159" t="n">
        <v>0</v>
      </c>
      <c r="K159" t="n">
        <v>0</v>
      </c>
      <c r="L159" t="n">
        <v>0</v>
      </c>
      <c r="M159" t="n">
        <v>0</v>
      </c>
      <c r="N159" t="n">
        <v>0</v>
      </c>
      <c r="O159" t="n">
        <v>0</v>
      </c>
      <c r="P159" t="n">
        <v>0</v>
      </c>
      <c r="Q159" t="n">
        <v>0</v>
      </c>
      <c r="R159" s="2" t="inlineStr"/>
    </row>
    <row r="160" ht="15" customHeight="1">
      <c r="A160" t="inlineStr">
        <is>
          <t>A 10711-2022</t>
        </is>
      </c>
      <c r="B160" s="1" t="n">
        <v>44626</v>
      </c>
      <c r="C160" s="1" t="n">
        <v>46004</v>
      </c>
      <c r="D160" t="inlineStr">
        <is>
          <t>STOCKHOLMS LÄN</t>
        </is>
      </c>
      <c r="E160" t="inlineStr">
        <is>
          <t>NORRTÄLJE</t>
        </is>
      </c>
      <c r="G160" t="n">
        <v>0.4</v>
      </c>
      <c r="H160" t="n">
        <v>0</v>
      </c>
      <c r="I160" t="n">
        <v>0</v>
      </c>
      <c r="J160" t="n">
        <v>0</v>
      </c>
      <c r="K160" t="n">
        <v>0</v>
      </c>
      <c r="L160" t="n">
        <v>0</v>
      </c>
      <c r="M160" t="n">
        <v>0</v>
      </c>
      <c r="N160" t="n">
        <v>0</v>
      </c>
      <c r="O160" t="n">
        <v>0</v>
      </c>
      <c r="P160" t="n">
        <v>0</v>
      </c>
      <c r="Q160" t="n">
        <v>0</v>
      </c>
      <c r="R160" s="2" t="inlineStr"/>
    </row>
    <row r="161" ht="15" customHeight="1">
      <c r="A161" t="inlineStr">
        <is>
          <t>A 71876-2021</t>
        </is>
      </c>
      <c r="B161" s="1" t="n">
        <v>44543</v>
      </c>
      <c r="C161" s="1" t="n">
        <v>46004</v>
      </c>
      <c r="D161" t="inlineStr">
        <is>
          <t>STOCKHOLMS LÄN</t>
        </is>
      </c>
      <c r="E161" t="inlineStr">
        <is>
          <t>NORRTÄLJE</t>
        </is>
      </c>
      <c r="G161" t="n">
        <v>2.8</v>
      </c>
      <c r="H161" t="n">
        <v>0</v>
      </c>
      <c r="I161" t="n">
        <v>0</v>
      </c>
      <c r="J161" t="n">
        <v>0</v>
      </c>
      <c r="K161" t="n">
        <v>0</v>
      </c>
      <c r="L161" t="n">
        <v>0</v>
      </c>
      <c r="M161" t="n">
        <v>0</v>
      </c>
      <c r="N161" t="n">
        <v>0</v>
      </c>
      <c r="O161" t="n">
        <v>0</v>
      </c>
      <c r="P161" t="n">
        <v>0</v>
      </c>
      <c r="Q161" t="n">
        <v>0</v>
      </c>
      <c r="R161" s="2" t="inlineStr"/>
    </row>
    <row r="162" ht="15" customHeight="1">
      <c r="A162" t="inlineStr">
        <is>
          <t>A 71878-2021</t>
        </is>
      </c>
      <c r="B162" s="1" t="n">
        <v>44543</v>
      </c>
      <c r="C162" s="1" t="n">
        <v>46004</v>
      </c>
      <c r="D162" t="inlineStr">
        <is>
          <t>STOCKHOLMS LÄN</t>
        </is>
      </c>
      <c r="E162" t="inlineStr">
        <is>
          <t>NORRTÄLJE</t>
        </is>
      </c>
      <c r="G162" t="n">
        <v>1.2</v>
      </c>
      <c r="H162" t="n">
        <v>0</v>
      </c>
      <c r="I162" t="n">
        <v>0</v>
      </c>
      <c r="J162" t="n">
        <v>0</v>
      </c>
      <c r="K162" t="n">
        <v>0</v>
      </c>
      <c r="L162" t="n">
        <v>0</v>
      </c>
      <c r="M162" t="n">
        <v>0</v>
      </c>
      <c r="N162" t="n">
        <v>0</v>
      </c>
      <c r="O162" t="n">
        <v>0</v>
      </c>
      <c r="P162" t="n">
        <v>0</v>
      </c>
      <c r="Q162" t="n">
        <v>0</v>
      </c>
      <c r="R162" s="2" t="inlineStr"/>
    </row>
    <row r="163" ht="15" customHeight="1">
      <c r="A163" t="inlineStr">
        <is>
          <t>A 1704-2022</t>
        </is>
      </c>
      <c r="B163" s="1" t="n">
        <v>44574.42978009259</v>
      </c>
      <c r="C163" s="1" t="n">
        <v>46004</v>
      </c>
      <c r="D163" t="inlineStr">
        <is>
          <t>STOCKHOLMS LÄN</t>
        </is>
      </c>
      <c r="E163" t="inlineStr">
        <is>
          <t>NORRTÄLJE</t>
        </is>
      </c>
      <c r="G163" t="n">
        <v>6.2</v>
      </c>
      <c r="H163" t="n">
        <v>0</v>
      </c>
      <c r="I163" t="n">
        <v>0</v>
      </c>
      <c r="J163" t="n">
        <v>0</v>
      </c>
      <c r="K163" t="n">
        <v>0</v>
      </c>
      <c r="L163" t="n">
        <v>0</v>
      </c>
      <c r="M163" t="n">
        <v>0</v>
      </c>
      <c r="N163" t="n">
        <v>0</v>
      </c>
      <c r="O163" t="n">
        <v>0</v>
      </c>
      <c r="P163" t="n">
        <v>0</v>
      </c>
      <c r="Q163" t="n">
        <v>0</v>
      </c>
      <c r="R163" s="2" t="inlineStr"/>
    </row>
    <row r="164" ht="15" customHeight="1">
      <c r="A164" t="inlineStr">
        <is>
          <t>A 65737-2021</t>
        </is>
      </c>
      <c r="B164" s="1" t="n">
        <v>44516.72827546296</v>
      </c>
      <c r="C164" s="1" t="n">
        <v>46004</v>
      </c>
      <c r="D164" t="inlineStr">
        <is>
          <t>STOCKHOLMS LÄN</t>
        </is>
      </c>
      <c r="E164" t="inlineStr">
        <is>
          <t>NORRTÄLJE</t>
        </is>
      </c>
      <c r="G164" t="n">
        <v>3</v>
      </c>
      <c r="H164" t="n">
        <v>0</v>
      </c>
      <c r="I164" t="n">
        <v>0</v>
      </c>
      <c r="J164" t="n">
        <v>0</v>
      </c>
      <c r="K164" t="n">
        <v>0</v>
      </c>
      <c r="L164" t="n">
        <v>0</v>
      </c>
      <c r="M164" t="n">
        <v>0</v>
      </c>
      <c r="N164" t="n">
        <v>0</v>
      </c>
      <c r="O164" t="n">
        <v>0</v>
      </c>
      <c r="P164" t="n">
        <v>0</v>
      </c>
      <c r="Q164" t="n">
        <v>0</v>
      </c>
      <c r="R164" s="2" t="inlineStr"/>
    </row>
    <row r="165" ht="15" customHeight="1">
      <c r="A165" t="inlineStr">
        <is>
          <t>A 17777-2022</t>
        </is>
      </c>
      <c r="B165" s="1" t="n">
        <v>44682.79203703703</v>
      </c>
      <c r="C165" s="1" t="n">
        <v>46004</v>
      </c>
      <c r="D165" t="inlineStr">
        <is>
          <t>STOCKHOLMS LÄN</t>
        </is>
      </c>
      <c r="E165" t="inlineStr">
        <is>
          <t>NORRTÄLJE</t>
        </is>
      </c>
      <c r="G165" t="n">
        <v>3.7</v>
      </c>
      <c r="H165" t="n">
        <v>0</v>
      </c>
      <c r="I165" t="n">
        <v>0</v>
      </c>
      <c r="J165" t="n">
        <v>0</v>
      </c>
      <c r="K165" t="n">
        <v>0</v>
      </c>
      <c r="L165" t="n">
        <v>0</v>
      </c>
      <c r="M165" t="n">
        <v>0</v>
      </c>
      <c r="N165" t="n">
        <v>0</v>
      </c>
      <c r="O165" t="n">
        <v>0</v>
      </c>
      <c r="P165" t="n">
        <v>0</v>
      </c>
      <c r="Q165" t="n">
        <v>0</v>
      </c>
      <c r="R165" s="2" t="inlineStr"/>
    </row>
    <row r="166" ht="15" customHeight="1">
      <c r="A166" t="inlineStr">
        <is>
          <t>A 60186-2021</t>
        </is>
      </c>
      <c r="B166" s="1" t="n">
        <v>44495</v>
      </c>
      <c r="C166" s="1" t="n">
        <v>46004</v>
      </c>
      <c r="D166" t="inlineStr">
        <is>
          <t>STOCKHOLMS LÄN</t>
        </is>
      </c>
      <c r="E166" t="inlineStr">
        <is>
          <t>NORRTÄLJE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28959-2022</t>
        </is>
      </c>
      <c r="B167" s="1" t="n">
        <v>44749.61980324074</v>
      </c>
      <c r="C167" s="1" t="n">
        <v>46004</v>
      </c>
      <c r="D167" t="inlineStr">
        <is>
          <t>STOCKHOLMS LÄN</t>
        </is>
      </c>
      <c r="E167" t="inlineStr">
        <is>
          <t>NORRTÄLJE</t>
        </is>
      </c>
      <c r="G167" t="n">
        <v>5.2</v>
      </c>
      <c r="H167" t="n">
        <v>0</v>
      </c>
      <c r="I167" t="n">
        <v>0</v>
      </c>
      <c r="J167" t="n">
        <v>0</v>
      </c>
      <c r="K167" t="n">
        <v>0</v>
      </c>
      <c r="L167" t="n">
        <v>0</v>
      </c>
      <c r="M167" t="n">
        <v>0</v>
      </c>
      <c r="N167" t="n">
        <v>0</v>
      </c>
      <c r="O167" t="n">
        <v>0</v>
      </c>
      <c r="P167" t="n">
        <v>0</v>
      </c>
      <c r="Q167" t="n">
        <v>0</v>
      </c>
      <c r="R167" s="2" t="inlineStr"/>
    </row>
    <row r="168" ht="15" customHeight="1">
      <c r="A168" t="inlineStr">
        <is>
          <t>A 28209-2022</t>
        </is>
      </c>
      <c r="B168" s="1" t="n">
        <v>44746</v>
      </c>
      <c r="C168" s="1" t="n">
        <v>46004</v>
      </c>
      <c r="D168" t="inlineStr">
        <is>
          <t>STOCKHOLMS LÄN</t>
        </is>
      </c>
      <c r="E168" t="inlineStr">
        <is>
          <t>NORRTÄLJE</t>
        </is>
      </c>
      <c r="G168" t="n">
        <v>0.6</v>
      </c>
      <c r="H168" t="n">
        <v>0</v>
      </c>
      <c r="I168" t="n">
        <v>0</v>
      </c>
      <c r="J168" t="n">
        <v>0</v>
      </c>
      <c r="K168" t="n">
        <v>0</v>
      </c>
      <c r="L168" t="n">
        <v>0</v>
      </c>
      <c r="M168" t="n">
        <v>0</v>
      </c>
      <c r="N168" t="n">
        <v>0</v>
      </c>
      <c r="O168" t="n">
        <v>0</v>
      </c>
      <c r="P168" t="n">
        <v>0</v>
      </c>
      <c r="Q168" t="n">
        <v>0</v>
      </c>
      <c r="R168" s="2" t="inlineStr"/>
    </row>
    <row r="169" ht="15" customHeight="1">
      <c r="A169" t="inlineStr">
        <is>
          <t>A 54340-2022</t>
        </is>
      </c>
      <c r="B169" s="1" t="n">
        <v>44882.44732638889</v>
      </c>
      <c r="C169" s="1" t="n">
        <v>46004</v>
      </c>
      <c r="D169" t="inlineStr">
        <is>
          <t>STOCKHOLMS LÄN</t>
        </is>
      </c>
      <c r="E169" t="inlineStr">
        <is>
          <t>NORRTÄLJE</t>
        </is>
      </c>
      <c r="G169" t="n">
        <v>6.7</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46004</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46004</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19283-2021</t>
        </is>
      </c>
      <c r="B172" s="1" t="n">
        <v>44309.47061342592</v>
      </c>
      <c r="C172" s="1" t="n">
        <v>46004</v>
      </c>
      <c r="D172" t="inlineStr">
        <is>
          <t>STOCKHOLMS LÄN</t>
        </is>
      </c>
      <c r="E172" t="inlineStr">
        <is>
          <t>NORRTÄLJE</t>
        </is>
      </c>
      <c r="F172" t="inlineStr">
        <is>
          <t>Holmen skog AB</t>
        </is>
      </c>
      <c r="G172" t="n">
        <v>0.6</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46004</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2447-2021</t>
        </is>
      </c>
      <c r="B174" s="1" t="n">
        <v>44214</v>
      </c>
      <c r="C174" s="1" t="n">
        <v>46004</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37712-2021</t>
        </is>
      </c>
      <c r="B175" s="1" t="n">
        <v>44400</v>
      </c>
      <c r="C175" s="1" t="n">
        <v>46004</v>
      </c>
      <c r="D175" t="inlineStr">
        <is>
          <t>STOCKHOLMS LÄN</t>
        </is>
      </c>
      <c r="E175" t="inlineStr">
        <is>
          <t>NORRTÄLJE</t>
        </is>
      </c>
      <c r="G175" t="n">
        <v>22.9</v>
      </c>
      <c r="H175" t="n">
        <v>0</v>
      </c>
      <c r="I175" t="n">
        <v>0</v>
      </c>
      <c r="J175" t="n">
        <v>0</v>
      </c>
      <c r="K175" t="n">
        <v>0</v>
      </c>
      <c r="L175" t="n">
        <v>0</v>
      </c>
      <c r="M175" t="n">
        <v>0</v>
      </c>
      <c r="N175" t="n">
        <v>0</v>
      </c>
      <c r="O175" t="n">
        <v>0</v>
      </c>
      <c r="P175" t="n">
        <v>0</v>
      </c>
      <c r="Q175" t="n">
        <v>0</v>
      </c>
      <c r="R175" s="2" t="inlineStr"/>
    </row>
    <row r="176" ht="15" customHeight="1">
      <c r="A176" t="inlineStr">
        <is>
          <t>A 18609-2021</t>
        </is>
      </c>
      <c r="B176" s="1" t="n">
        <v>44306</v>
      </c>
      <c r="C176" s="1" t="n">
        <v>46004</v>
      </c>
      <c r="D176" t="inlineStr">
        <is>
          <t>STOCKHOLMS LÄN</t>
        </is>
      </c>
      <c r="E176" t="inlineStr">
        <is>
          <t>NORRTÄLJE</t>
        </is>
      </c>
      <c r="G176" t="n">
        <v>9.5</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46004</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9719-2021</t>
        </is>
      </c>
      <c r="B178" s="1" t="n">
        <v>44252</v>
      </c>
      <c r="C178" s="1" t="n">
        <v>46004</v>
      </c>
      <c r="D178" t="inlineStr">
        <is>
          <t>STOCKHOLMS LÄN</t>
        </is>
      </c>
      <c r="E178" t="inlineStr">
        <is>
          <t>NORRTÄLJE</t>
        </is>
      </c>
      <c r="F178" t="inlineStr">
        <is>
          <t>Holmen skog AB</t>
        </is>
      </c>
      <c r="G178" t="n">
        <v>2</v>
      </c>
      <c r="H178" t="n">
        <v>0</v>
      </c>
      <c r="I178" t="n">
        <v>0</v>
      </c>
      <c r="J178" t="n">
        <v>0</v>
      </c>
      <c r="K178" t="n">
        <v>0</v>
      </c>
      <c r="L178" t="n">
        <v>0</v>
      </c>
      <c r="M178" t="n">
        <v>0</v>
      </c>
      <c r="N178" t="n">
        <v>0</v>
      </c>
      <c r="O178" t="n">
        <v>0</v>
      </c>
      <c r="P178" t="n">
        <v>0</v>
      </c>
      <c r="Q178" t="n">
        <v>0</v>
      </c>
      <c r="R178" s="2" t="inlineStr"/>
    </row>
    <row r="179" ht="15" customHeight="1">
      <c r="A179" t="inlineStr">
        <is>
          <t>A 48384-2021</t>
        </is>
      </c>
      <c r="B179" s="1" t="n">
        <v>44451</v>
      </c>
      <c r="C179" s="1" t="n">
        <v>46004</v>
      </c>
      <c r="D179" t="inlineStr">
        <is>
          <t>STOCKHOLMS LÄN</t>
        </is>
      </c>
      <c r="E179" t="inlineStr">
        <is>
          <t>NORRTÄLJE</t>
        </is>
      </c>
      <c r="G179" t="n">
        <v>1.4</v>
      </c>
      <c r="H179" t="n">
        <v>0</v>
      </c>
      <c r="I179" t="n">
        <v>0</v>
      </c>
      <c r="J179" t="n">
        <v>0</v>
      </c>
      <c r="K179" t="n">
        <v>0</v>
      </c>
      <c r="L179" t="n">
        <v>0</v>
      </c>
      <c r="M179" t="n">
        <v>0</v>
      </c>
      <c r="N179" t="n">
        <v>0</v>
      </c>
      <c r="O179" t="n">
        <v>0</v>
      </c>
      <c r="P179" t="n">
        <v>0</v>
      </c>
      <c r="Q179" t="n">
        <v>0</v>
      </c>
      <c r="R179" s="2" t="inlineStr"/>
    </row>
    <row r="180" ht="15" customHeight="1">
      <c r="A180" t="inlineStr">
        <is>
          <t>A 72308-2021</t>
        </is>
      </c>
      <c r="B180" s="1" t="n">
        <v>44545.4189699074</v>
      </c>
      <c r="C180" s="1" t="n">
        <v>46004</v>
      </c>
      <c r="D180" t="inlineStr">
        <is>
          <t>STOCKHOLMS LÄN</t>
        </is>
      </c>
      <c r="E180" t="inlineStr">
        <is>
          <t>NORRTÄLJE</t>
        </is>
      </c>
      <c r="G180" t="n">
        <v>1.1</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46004</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45539-2022</t>
        </is>
      </c>
      <c r="B182" s="1" t="n">
        <v>44845.47585648148</v>
      </c>
      <c r="C182" s="1" t="n">
        <v>46004</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48492-2022</t>
        </is>
      </c>
      <c r="B183" s="1" t="n">
        <v>44858</v>
      </c>
      <c r="C183" s="1" t="n">
        <v>46004</v>
      </c>
      <c r="D183" t="inlineStr">
        <is>
          <t>STOCKHOLMS LÄN</t>
        </is>
      </c>
      <c r="E183" t="inlineStr">
        <is>
          <t>NORRTÄLJE</t>
        </is>
      </c>
      <c r="G183" t="n">
        <v>0.7</v>
      </c>
      <c r="H183" t="n">
        <v>0</v>
      </c>
      <c r="I183" t="n">
        <v>0</v>
      </c>
      <c r="J183" t="n">
        <v>0</v>
      </c>
      <c r="K183" t="n">
        <v>0</v>
      </c>
      <c r="L183" t="n">
        <v>0</v>
      </c>
      <c r="M183" t="n">
        <v>0</v>
      </c>
      <c r="N183" t="n">
        <v>0</v>
      </c>
      <c r="O183" t="n">
        <v>0</v>
      </c>
      <c r="P183" t="n">
        <v>0</v>
      </c>
      <c r="Q183" t="n">
        <v>0</v>
      </c>
      <c r="R183" s="2" t="inlineStr"/>
    </row>
    <row r="184" ht="15" customHeight="1">
      <c r="A184" t="inlineStr">
        <is>
          <t>A 8338-2021</t>
        </is>
      </c>
      <c r="B184" s="1" t="n">
        <v>44244</v>
      </c>
      <c r="C184" s="1" t="n">
        <v>46004</v>
      </c>
      <c r="D184" t="inlineStr">
        <is>
          <t>STOCKHOLMS LÄN</t>
        </is>
      </c>
      <c r="E184" t="inlineStr">
        <is>
          <t>NORRTÄLJE</t>
        </is>
      </c>
      <c r="G184" t="n">
        <v>1.4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46004</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18905-2022</t>
        </is>
      </c>
      <c r="B186" s="1" t="n">
        <v>44690</v>
      </c>
      <c r="C186" s="1" t="n">
        <v>46004</v>
      </c>
      <c r="D186" t="inlineStr">
        <is>
          <t>STOCKHOLMS LÄN</t>
        </is>
      </c>
      <c r="E186" t="inlineStr">
        <is>
          <t>NORRTÄLJE</t>
        </is>
      </c>
      <c r="G186" t="n">
        <v>0.7</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46004</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60822-2021</t>
        </is>
      </c>
      <c r="B188" s="1" t="n">
        <v>44496</v>
      </c>
      <c r="C188" s="1" t="n">
        <v>46004</v>
      </c>
      <c r="D188" t="inlineStr">
        <is>
          <t>STOCKHOLMS LÄN</t>
        </is>
      </c>
      <c r="E188" t="inlineStr">
        <is>
          <t>NORRTÄLJE</t>
        </is>
      </c>
      <c r="G188" t="n">
        <v>7.6</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46004</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46004</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46004</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46004</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64212-2021</t>
        </is>
      </c>
      <c r="B193" s="1" t="n">
        <v>44510</v>
      </c>
      <c r="C193" s="1" t="n">
        <v>46004</v>
      </c>
      <c r="D193" t="inlineStr">
        <is>
          <t>STOCKHOLMS LÄN</t>
        </is>
      </c>
      <c r="E193" t="inlineStr">
        <is>
          <t>NORRTÄLJE</t>
        </is>
      </c>
      <c r="G193" t="n">
        <v>28.7</v>
      </c>
      <c r="H193" t="n">
        <v>0</v>
      </c>
      <c r="I193" t="n">
        <v>0</v>
      </c>
      <c r="J193" t="n">
        <v>0</v>
      </c>
      <c r="K193" t="n">
        <v>0</v>
      </c>
      <c r="L193" t="n">
        <v>0</v>
      </c>
      <c r="M193" t="n">
        <v>0</v>
      </c>
      <c r="N193" t="n">
        <v>0</v>
      </c>
      <c r="O193" t="n">
        <v>0</v>
      </c>
      <c r="P193" t="n">
        <v>0</v>
      </c>
      <c r="Q193" t="n">
        <v>0</v>
      </c>
      <c r="R193" s="2" t="inlineStr"/>
    </row>
    <row r="194" ht="15" customHeight="1">
      <c r="A194" t="inlineStr">
        <is>
          <t>A 47349-2021</t>
        </is>
      </c>
      <c r="B194" s="1" t="n">
        <v>44447</v>
      </c>
      <c r="C194" s="1" t="n">
        <v>46004</v>
      </c>
      <c r="D194" t="inlineStr">
        <is>
          <t>STOCKHOLMS LÄN</t>
        </is>
      </c>
      <c r="E194" t="inlineStr">
        <is>
          <t>NORRTÄLJE</t>
        </is>
      </c>
      <c r="G194" t="n">
        <v>3.3</v>
      </c>
      <c r="H194" t="n">
        <v>0</v>
      </c>
      <c r="I194" t="n">
        <v>0</v>
      </c>
      <c r="J194" t="n">
        <v>0</v>
      </c>
      <c r="K194" t="n">
        <v>0</v>
      </c>
      <c r="L194" t="n">
        <v>0</v>
      </c>
      <c r="M194" t="n">
        <v>0</v>
      </c>
      <c r="N194" t="n">
        <v>0</v>
      </c>
      <c r="O194" t="n">
        <v>0</v>
      </c>
      <c r="P194" t="n">
        <v>0</v>
      </c>
      <c r="Q194" t="n">
        <v>0</v>
      </c>
      <c r="R194" s="2" t="inlineStr"/>
    </row>
    <row r="195" ht="15" customHeight="1">
      <c r="A195" t="inlineStr">
        <is>
          <t>A 23770-2022</t>
        </is>
      </c>
      <c r="B195" s="1" t="n">
        <v>44722</v>
      </c>
      <c r="C195" s="1" t="n">
        <v>46004</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46004</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46004</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46004</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46004</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31807-2022</t>
        </is>
      </c>
      <c r="B200" s="1" t="n">
        <v>44776</v>
      </c>
      <c r="C200" s="1" t="n">
        <v>46004</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17803-2022</t>
        </is>
      </c>
      <c r="B201" s="1" t="n">
        <v>44683</v>
      </c>
      <c r="C201" s="1" t="n">
        <v>46004</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46004</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46004</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348-2021</t>
        </is>
      </c>
      <c r="B204" s="1" t="n">
        <v>44201</v>
      </c>
      <c r="C204" s="1" t="n">
        <v>46004</v>
      </c>
      <c r="D204" t="inlineStr">
        <is>
          <t>STOCKHOLMS LÄN</t>
        </is>
      </c>
      <c r="E204" t="inlineStr">
        <is>
          <t>NORRTÄLJE</t>
        </is>
      </c>
      <c r="G204" t="n">
        <v>0.1</v>
      </c>
      <c r="H204" t="n">
        <v>0</v>
      </c>
      <c r="I204" t="n">
        <v>0</v>
      </c>
      <c r="J204" t="n">
        <v>0</v>
      </c>
      <c r="K204" t="n">
        <v>0</v>
      </c>
      <c r="L204" t="n">
        <v>0</v>
      </c>
      <c r="M204" t="n">
        <v>0</v>
      </c>
      <c r="N204" t="n">
        <v>0</v>
      </c>
      <c r="O204" t="n">
        <v>0</v>
      </c>
      <c r="P204" t="n">
        <v>0</v>
      </c>
      <c r="Q204" t="n">
        <v>0</v>
      </c>
      <c r="R204" s="2" t="inlineStr"/>
    </row>
    <row r="205" ht="15" customHeight="1">
      <c r="A205" t="inlineStr">
        <is>
          <t>A 367-2021</t>
        </is>
      </c>
      <c r="B205" s="1" t="n">
        <v>44201</v>
      </c>
      <c r="C205" s="1" t="n">
        <v>46004</v>
      </c>
      <c r="D205" t="inlineStr">
        <is>
          <t>STOCKHOLMS LÄN</t>
        </is>
      </c>
      <c r="E205" t="inlineStr">
        <is>
          <t>NORRTÄLJE</t>
        </is>
      </c>
      <c r="G205" t="n">
        <v>0.1</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46004</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46004</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36975-2022</t>
        </is>
      </c>
      <c r="B208" s="1" t="n">
        <v>44806.34577546296</v>
      </c>
      <c r="C208" s="1" t="n">
        <v>46004</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16668-2021</t>
        </is>
      </c>
      <c r="B209" s="1" t="n">
        <v>44294</v>
      </c>
      <c r="C209" s="1" t="n">
        <v>46004</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46004</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23122-2021</t>
        </is>
      </c>
      <c r="B211" s="1" t="n">
        <v>44330</v>
      </c>
      <c r="C211" s="1" t="n">
        <v>46004</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46004</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50970-2022</t>
        </is>
      </c>
      <c r="B213" s="1" t="n">
        <v>44867</v>
      </c>
      <c r="C213" s="1" t="n">
        <v>46004</v>
      </c>
      <c r="D213" t="inlineStr">
        <is>
          <t>STOCKHOLMS LÄN</t>
        </is>
      </c>
      <c r="E213" t="inlineStr">
        <is>
          <t>NORRTÄLJE</t>
        </is>
      </c>
      <c r="G213" t="n">
        <v>9</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46004</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9467-2021</t>
        </is>
      </c>
      <c r="B215" s="1" t="n">
        <v>44251.43971064815</v>
      </c>
      <c r="C215" s="1" t="n">
        <v>46004</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17460-2021</t>
        </is>
      </c>
      <c r="B216" s="1" t="n">
        <v>44299</v>
      </c>
      <c r="C216" s="1" t="n">
        <v>46004</v>
      </c>
      <c r="D216" t="inlineStr">
        <is>
          <t>STOCKHOLMS LÄN</t>
        </is>
      </c>
      <c r="E216" t="inlineStr">
        <is>
          <t>NORRTÄLJE</t>
        </is>
      </c>
      <c r="G216" t="n">
        <v>3.2</v>
      </c>
      <c r="H216" t="n">
        <v>0</v>
      </c>
      <c r="I216" t="n">
        <v>0</v>
      </c>
      <c r="J216" t="n">
        <v>0</v>
      </c>
      <c r="K216" t="n">
        <v>0</v>
      </c>
      <c r="L216" t="n">
        <v>0</v>
      </c>
      <c r="M216" t="n">
        <v>0</v>
      </c>
      <c r="N216" t="n">
        <v>0</v>
      </c>
      <c r="O216" t="n">
        <v>0</v>
      </c>
      <c r="P216" t="n">
        <v>0</v>
      </c>
      <c r="Q216" t="n">
        <v>0</v>
      </c>
      <c r="R216" s="2" t="inlineStr"/>
    </row>
    <row r="217" ht="15" customHeight="1">
      <c r="A217" t="inlineStr">
        <is>
          <t>A 53884-2022</t>
        </is>
      </c>
      <c r="B217" s="1" t="n">
        <v>44880.68423611111</v>
      </c>
      <c r="C217" s="1" t="n">
        <v>46004</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12357-2022</t>
        </is>
      </c>
      <c r="B218" s="1" t="n">
        <v>44637</v>
      </c>
      <c r="C218" s="1" t="n">
        <v>46004</v>
      </c>
      <c r="D218" t="inlineStr">
        <is>
          <t>STOCKHOLMS LÄN</t>
        </is>
      </c>
      <c r="E218" t="inlineStr">
        <is>
          <t>NORRTÄLJE</t>
        </is>
      </c>
      <c r="G218" t="n">
        <v>1</v>
      </c>
      <c r="H218" t="n">
        <v>0</v>
      </c>
      <c r="I218" t="n">
        <v>0</v>
      </c>
      <c r="J218" t="n">
        <v>0</v>
      </c>
      <c r="K218" t="n">
        <v>0</v>
      </c>
      <c r="L218" t="n">
        <v>0</v>
      </c>
      <c r="M218" t="n">
        <v>0</v>
      </c>
      <c r="N218" t="n">
        <v>0</v>
      </c>
      <c r="O218" t="n">
        <v>0</v>
      </c>
      <c r="P218" t="n">
        <v>0</v>
      </c>
      <c r="Q218" t="n">
        <v>0</v>
      </c>
      <c r="R218" s="2" t="inlineStr"/>
    </row>
    <row r="219" ht="15" customHeight="1">
      <c r="A219" t="inlineStr">
        <is>
          <t>A 26335-2022</t>
        </is>
      </c>
      <c r="B219" s="1" t="n">
        <v>44735</v>
      </c>
      <c r="C219" s="1" t="n">
        <v>46004</v>
      </c>
      <c r="D219" t="inlineStr">
        <is>
          <t>STOCKHOLMS LÄN</t>
        </is>
      </c>
      <c r="E219" t="inlineStr">
        <is>
          <t>NORRTÄLJE</t>
        </is>
      </c>
      <c r="G219" t="n">
        <v>3.3</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46004</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46004</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34431-2021</t>
        </is>
      </c>
      <c r="B222" s="1" t="n">
        <v>44380</v>
      </c>
      <c r="C222" s="1" t="n">
        <v>46004</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30624-2022</t>
        </is>
      </c>
      <c r="B223" s="1" t="n">
        <v>44763.4182175926</v>
      </c>
      <c r="C223" s="1" t="n">
        <v>46004</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46004</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46004</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5351-2022</t>
        </is>
      </c>
      <c r="B226" s="1" t="n">
        <v>44594.75950231482</v>
      </c>
      <c r="C226" s="1" t="n">
        <v>46004</v>
      </c>
      <c r="D226" t="inlineStr">
        <is>
          <t>STOCKHOLMS LÄN</t>
        </is>
      </c>
      <c r="E226" t="inlineStr">
        <is>
          <t>NORRTÄLJE</t>
        </is>
      </c>
      <c r="G226" t="n">
        <v>4</v>
      </c>
      <c r="H226" t="n">
        <v>0</v>
      </c>
      <c r="I226" t="n">
        <v>0</v>
      </c>
      <c r="J226" t="n">
        <v>0</v>
      </c>
      <c r="K226" t="n">
        <v>0</v>
      </c>
      <c r="L226" t="n">
        <v>0</v>
      </c>
      <c r="M226" t="n">
        <v>0</v>
      </c>
      <c r="N226" t="n">
        <v>0</v>
      </c>
      <c r="O226" t="n">
        <v>0</v>
      </c>
      <c r="P226" t="n">
        <v>0</v>
      </c>
      <c r="Q226" t="n">
        <v>0</v>
      </c>
      <c r="R226" s="2" t="inlineStr"/>
    </row>
    <row r="227" ht="15" customHeight="1">
      <c r="A227" t="inlineStr">
        <is>
          <t>A 52449-2021</t>
        </is>
      </c>
      <c r="B227" s="1" t="n">
        <v>44466.37496527778</v>
      </c>
      <c r="C227" s="1" t="n">
        <v>46004</v>
      </c>
      <c r="D227" t="inlineStr">
        <is>
          <t>STOCKHOLMS LÄN</t>
        </is>
      </c>
      <c r="E227" t="inlineStr">
        <is>
          <t>NORRTÄLJE</t>
        </is>
      </c>
      <c r="F227" t="inlineStr">
        <is>
          <t>Holmen skog AB</t>
        </is>
      </c>
      <c r="G227" t="n">
        <v>1.8</v>
      </c>
      <c r="H227" t="n">
        <v>0</v>
      </c>
      <c r="I227" t="n">
        <v>0</v>
      </c>
      <c r="J227" t="n">
        <v>0</v>
      </c>
      <c r="K227" t="n">
        <v>0</v>
      </c>
      <c r="L227" t="n">
        <v>0</v>
      </c>
      <c r="M227" t="n">
        <v>0</v>
      </c>
      <c r="N227" t="n">
        <v>0</v>
      </c>
      <c r="O227" t="n">
        <v>0</v>
      </c>
      <c r="P227" t="n">
        <v>0</v>
      </c>
      <c r="Q227" t="n">
        <v>0</v>
      </c>
      <c r="R227" s="2" t="inlineStr"/>
    </row>
    <row r="228" ht="15" customHeight="1">
      <c r="A228" t="inlineStr">
        <is>
          <t>A 33046-2021</t>
        </is>
      </c>
      <c r="B228" s="1" t="n">
        <v>44376</v>
      </c>
      <c r="C228" s="1" t="n">
        <v>46004</v>
      </c>
      <c r="D228" t="inlineStr">
        <is>
          <t>STOCKHOLMS LÄN</t>
        </is>
      </c>
      <c r="E228" t="inlineStr">
        <is>
          <t>NORRTÄLJE</t>
        </is>
      </c>
      <c r="G228" t="n">
        <v>2.1</v>
      </c>
      <c r="H228" t="n">
        <v>0</v>
      </c>
      <c r="I228" t="n">
        <v>0</v>
      </c>
      <c r="J228" t="n">
        <v>0</v>
      </c>
      <c r="K228" t="n">
        <v>0</v>
      </c>
      <c r="L228" t="n">
        <v>0</v>
      </c>
      <c r="M228" t="n">
        <v>0</v>
      </c>
      <c r="N228" t="n">
        <v>0</v>
      </c>
      <c r="O228" t="n">
        <v>0</v>
      </c>
      <c r="P228" t="n">
        <v>0</v>
      </c>
      <c r="Q228" t="n">
        <v>0</v>
      </c>
      <c r="R228" s="2" t="inlineStr"/>
    </row>
    <row r="229" ht="15" customHeight="1">
      <c r="A229" t="inlineStr">
        <is>
          <t>A 9988-2022</t>
        </is>
      </c>
      <c r="B229" s="1" t="n">
        <v>44621</v>
      </c>
      <c r="C229" s="1" t="n">
        <v>46004</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60733-2021</t>
        </is>
      </c>
      <c r="B230" s="1" t="n">
        <v>44496.77542824074</v>
      </c>
      <c r="C230" s="1" t="n">
        <v>46004</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15441-2021</t>
        </is>
      </c>
      <c r="B231" s="1" t="n">
        <v>44284</v>
      </c>
      <c r="C231" s="1" t="n">
        <v>46004</v>
      </c>
      <c r="D231" t="inlineStr">
        <is>
          <t>STOCKHOLMS LÄN</t>
        </is>
      </c>
      <c r="E231" t="inlineStr">
        <is>
          <t>NORRTÄLJE</t>
        </is>
      </c>
      <c r="G231" t="n">
        <v>27</v>
      </c>
      <c r="H231" t="n">
        <v>0</v>
      </c>
      <c r="I231" t="n">
        <v>0</v>
      </c>
      <c r="J231" t="n">
        <v>0</v>
      </c>
      <c r="K231" t="n">
        <v>0</v>
      </c>
      <c r="L231" t="n">
        <v>0</v>
      </c>
      <c r="M231" t="n">
        <v>0</v>
      </c>
      <c r="N231" t="n">
        <v>0</v>
      </c>
      <c r="O231" t="n">
        <v>0</v>
      </c>
      <c r="P231" t="n">
        <v>0</v>
      </c>
      <c r="Q231" t="n">
        <v>0</v>
      </c>
      <c r="R231" s="2" t="inlineStr"/>
    </row>
    <row r="232" ht="15" customHeight="1">
      <c r="A232" t="inlineStr">
        <is>
          <t>A 30129-2021</t>
        </is>
      </c>
      <c r="B232" s="1" t="n">
        <v>44363.5784375</v>
      </c>
      <c r="C232" s="1" t="n">
        <v>46004</v>
      </c>
      <c r="D232" t="inlineStr">
        <is>
          <t>STOCKHOLMS LÄN</t>
        </is>
      </c>
      <c r="E232" t="inlineStr">
        <is>
          <t>NORRTÄLJE</t>
        </is>
      </c>
      <c r="G232" t="n">
        <v>0.4</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46004</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22316-2022</t>
        </is>
      </c>
      <c r="B234" s="1" t="n">
        <v>44712.83118055556</v>
      </c>
      <c r="C234" s="1" t="n">
        <v>46004</v>
      </c>
      <c r="D234" t="inlineStr">
        <is>
          <t>STOCKHOLMS LÄN</t>
        </is>
      </c>
      <c r="E234" t="inlineStr">
        <is>
          <t>NORRTÄLJE</t>
        </is>
      </c>
      <c r="G234" t="n">
        <v>6.3</v>
      </c>
      <c r="H234" t="n">
        <v>0</v>
      </c>
      <c r="I234" t="n">
        <v>0</v>
      </c>
      <c r="J234" t="n">
        <v>0</v>
      </c>
      <c r="K234" t="n">
        <v>0</v>
      </c>
      <c r="L234" t="n">
        <v>0</v>
      </c>
      <c r="M234" t="n">
        <v>0</v>
      </c>
      <c r="N234" t="n">
        <v>0</v>
      </c>
      <c r="O234" t="n">
        <v>0</v>
      </c>
      <c r="P234" t="n">
        <v>0</v>
      </c>
      <c r="Q234" t="n">
        <v>0</v>
      </c>
      <c r="R234" s="2" t="inlineStr"/>
    </row>
    <row r="235" ht="15" customHeight="1">
      <c r="A235" t="inlineStr">
        <is>
          <t>A 31092-2022</t>
        </is>
      </c>
      <c r="B235" s="1" t="n">
        <v>44769.62320601852</v>
      </c>
      <c r="C235" s="1" t="n">
        <v>46004</v>
      </c>
      <c r="D235" t="inlineStr">
        <is>
          <t>STOCKHOLMS LÄN</t>
        </is>
      </c>
      <c r="E235" t="inlineStr">
        <is>
          <t>NORRTÄLJE</t>
        </is>
      </c>
      <c r="G235" t="n">
        <v>1.6</v>
      </c>
      <c r="H235" t="n">
        <v>0</v>
      </c>
      <c r="I235" t="n">
        <v>0</v>
      </c>
      <c r="J235" t="n">
        <v>0</v>
      </c>
      <c r="K235" t="n">
        <v>0</v>
      </c>
      <c r="L235" t="n">
        <v>0</v>
      </c>
      <c r="M235" t="n">
        <v>0</v>
      </c>
      <c r="N235" t="n">
        <v>0</v>
      </c>
      <c r="O235" t="n">
        <v>0</v>
      </c>
      <c r="P235" t="n">
        <v>0</v>
      </c>
      <c r="Q235" t="n">
        <v>0</v>
      </c>
      <c r="R235" s="2" t="inlineStr"/>
    </row>
    <row r="236" ht="15" customHeight="1">
      <c r="A236" t="inlineStr">
        <is>
          <t>A 67598-2021</t>
        </is>
      </c>
      <c r="B236" s="1" t="n">
        <v>44524</v>
      </c>
      <c r="C236" s="1" t="n">
        <v>46004</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46004</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46004</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46004</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34520-2021</t>
        </is>
      </c>
      <c r="B240" s="1" t="n">
        <v>44379</v>
      </c>
      <c r="C240" s="1" t="n">
        <v>46004</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46004</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46004</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12270-2022</t>
        </is>
      </c>
      <c r="B243" s="1" t="n">
        <v>44637</v>
      </c>
      <c r="C243" s="1" t="n">
        <v>46004</v>
      </c>
      <c r="D243" t="inlineStr">
        <is>
          <t>STOCKHOLMS LÄN</t>
        </is>
      </c>
      <c r="E243" t="inlineStr">
        <is>
          <t>NORRTÄLJE</t>
        </is>
      </c>
      <c r="G243" t="n">
        <v>2.3</v>
      </c>
      <c r="H243" t="n">
        <v>0</v>
      </c>
      <c r="I243" t="n">
        <v>0</v>
      </c>
      <c r="J243" t="n">
        <v>0</v>
      </c>
      <c r="K243" t="n">
        <v>0</v>
      </c>
      <c r="L243" t="n">
        <v>0</v>
      </c>
      <c r="M243" t="n">
        <v>0</v>
      </c>
      <c r="N243" t="n">
        <v>0</v>
      </c>
      <c r="O243" t="n">
        <v>0</v>
      </c>
      <c r="P243" t="n">
        <v>0</v>
      </c>
      <c r="Q243" t="n">
        <v>0</v>
      </c>
      <c r="R243" s="2" t="inlineStr"/>
    </row>
    <row r="244" ht="15" customHeight="1">
      <c r="A244" t="inlineStr">
        <is>
          <t>A 14543-2022</t>
        </is>
      </c>
      <c r="B244" s="1" t="n">
        <v>44655.45373842592</v>
      </c>
      <c r="C244" s="1" t="n">
        <v>46004</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24167-2022</t>
        </is>
      </c>
      <c r="B245" s="1" t="n">
        <v>44725.49491898148</v>
      </c>
      <c r="C245" s="1" t="n">
        <v>46004</v>
      </c>
      <c r="D245" t="inlineStr">
        <is>
          <t>STOCKHOLMS LÄN</t>
        </is>
      </c>
      <c r="E245" t="inlineStr">
        <is>
          <t>NORRTÄLJE</t>
        </is>
      </c>
      <c r="G245" t="n">
        <v>3.4</v>
      </c>
      <c r="H245" t="n">
        <v>0</v>
      </c>
      <c r="I245" t="n">
        <v>0</v>
      </c>
      <c r="J245" t="n">
        <v>0</v>
      </c>
      <c r="K245" t="n">
        <v>0</v>
      </c>
      <c r="L245" t="n">
        <v>0</v>
      </c>
      <c r="M245" t="n">
        <v>0</v>
      </c>
      <c r="N245" t="n">
        <v>0</v>
      </c>
      <c r="O245" t="n">
        <v>0</v>
      </c>
      <c r="P245" t="n">
        <v>0</v>
      </c>
      <c r="Q245" t="n">
        <v>0</v>
      </c>
      <c r="R245" s="2" t="inlineStr"/>
    </row>
    <row r="246" ht="15" customHeight="1">
      <c r="A246" t="inlineStr">
        <is>
          <t>A 42396-2021</t>
        </is>
      </c>
      <c r="B246" s="1" t="n">
        <v>44427</v>
      </c>
      <c r="C246" s="1" t="n">
        <v>46004</v>
      </c>
      <c r="D246" t="inlineStr">
        <is>
          <t>STOCKHOLMS LÄN</t>
        </is>
      </c>
      <c r="E246" t="inlineStr">
        <is>
          <t>NORRTÄLJE</t>
        </is>
      </c>
      <c r="G246" t="n">
        <v>2</v>
      </c>
      <c r="H246" t="n">
        <v>0</v>
      </c>
      <c r="I246" t="n">
        <v>0</v>
      </c>
      <c r="J246" t="n">
        <v>0</v>
      </c>
      <c r="K246" t="n">
        <v>0</v>
      </c>
      <c r="L246" t="n">
        <v>0</v>
      </c>
      <c r="M246" t="n">
        <v>0</v>
      </c>
      <c r="N246" t="n">
        <v>0</v>
      </c>
      <c r="O246" t="n">
        <v>0</v>
      </c>
      <c r="P246" t="n">
        <v>0</v>
      </c>
      <c r="Q246" t="n">
        <v>0</v>
      </c>
      <c r="R246" s="2" t="inlineStr"/>
    </row>
    <row r="247" ht="15" customHeight="1">
      <c r="A247" t="inlineStr">
        <is>
          <t>A 41398-2022</t>
        </is>
      </c>
      <c r="B247" s="1" t="n">
        <v>44826</v>
      </c>
      <c r="C247" s="1" t="n">
        <v>46004</v>
      </c>
      <c r="D247" t="inlineStr">
        <is>
          <t>STOCKHOLMS LÄN</t>
        </is>
      </c>
      <c r="E247" t="inlineStr">
        <is>
          <t>NORRTÄLJE</t>
        </is>
      </c>
      <c r="G247" t="n">
        <v>1.4</v>
      </c>
      <c r="H247" t="n">
        <v>0</v>
      </c>
      <c r="I247" t="n">
        <v>0</v>
      </c>
      <c r="J247" t="n">
        <v>0</v>
      </c>
      <c r="K247" t="n">
        <v>0</v>
      </c>
      <c r="L247" t="n">
        <v>0</v>
      </c>
      <c r="M247" t="n">
        <v>0</v>
      </c>
      <c r="N247" t="n">
        <v>0</v>
      </c>
      <c r="O247" t="n">
        <v>0</v>
      </c>
      <c r="P247" t="n">
        <v>0</v>
      </c>
      <c r="Q247" t="n">
        <v>0</v>
      </c>
      <c r="R247" s="2" t="inlineStr"/>
    </row>
    <row r="248" ht="15" customHeight="1">
      <c r="A248" t="inlineStr">
        <is>
          <t>A 22369-2021</t>
        </is>
      </c>
      <c r="B248" s="1" t="n">
        <v>44326</v>
      </c>
      <c r="C248" s="1" t="n">
        <v>46004</v>
      </c>
      <c r="D248" t="inlineStr">
        <is>
          <t>STOCKHOLMS LÄN</t>
        </is>
      </c>
      <c r="E248" t="inlineStr">
        <is>
          <t>NORRTÄLJE</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46004</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46004</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1968-2022</t>
        </is>
      </c>
      <c r="B251" s="1" t="n">
        <v>44575.52831018518</v>
      </c>
      <c r="C251" s="1" t="n">
        <v>46004</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2732-2022</t>
        </is>
      </c>
      <c r="B252" s="1" t="n">
        <v>44580</v>
      </c>
      <c r="C252" s="1" t="n">
        <v>46004</v>
      </c>
      <c r="D252" t="inlineStr">
        <is>
          <t>STOCKHOLMS LÄN</t>
        </is>
      </c>
      <c r="E252" t="inlineStr">
        <is>
          <t>NORRTÄLJE</t>
        </is>
      </c>
      <c r="G252" t="n">
        <v>0.5</v>
      </c>
      <c r="H252" t="n">
        <v>0</v>
      </c>
      <c r="I252" t="n">
        <v>0</v>
      </c>
      <c r="J252" t="n">
        <v>0</v>
      </c>
      <c r="K252" t="n">
        <v>0</v>
      </c>
      <c r="L252" t="n">
        <v>0</v>
      </c>
      <c r="M252" t="n">
        <v>0</v>
      </c>
      <c r="N252" t="n">
        <v>0</v>
      </c>
      <c r="O252" t="n">
        <v>0</v>
      </c>
      <c r="P252" t="n">
        <v>0</v>
      </c>
      <c r="Q252" t="n">
        <v>0</v>
      </c>
      <c r="R252" s="2" t="inlineStr"/>
    </row>
    <row r="253" ht="15" customHeight="1">
      <c r="A253" t="inlineStr">
        <is>
          <t>A 45541-2022</t>
        </is>
      </c>
      <c r="B253" s="1" t="n">
        <v>44845.47672453704</v>
      </c>
      <c r="C253" s="1" t="n">
        <v>46004</v>
      </c>
      <c r="D253" t="inlineStr">
        <is>
          <t>STOCKHOLMS LÄN</t>
        </is>
      </c>
      <c r="E253" t="inlineStr">
        <is>
          <t>NORRTÄLJE</t>
        </is>
      </c>
      <c r="G253" t="n">
        <v>0.4</v>
      </c>
      <c r="H253" t="n">
        <v>0</v>
      </c>
      <c r="I253" t="n">
        <v>0</v>
      </c>
      <c r="J253" t="n">
        <v>0</v>
      </c>
      <c r="K253" t="n">
        <v>0</v>
      </c>
      <c r="L253" t="n">
        <v>0</v>
      </c>
      <c r="M253" t="n">
        <v>0</v>
      </c>
      <c r="N253" t="n">
        <v>0</v>
      </c>
      <c r="O253" t="n">
        <v>0</v>
      </c>
      <c r="P253" t="n">
        <v>0</v>
      </c>
      <c r="Q253" t="n">
        <v>0</v>
      </c>
      <c r="R253" s="2" t="inlineStr"/>
    </row>
    <row r="254" ht="15" customHeight="1">
      <c r="A254" t="inlineStr">
        <is>
          <t>A 12779-2021</t>
        </is>
      </c>
      <c r="B254" s="1" t="n">
        <v>44270</v>
      </c>
      <c r="C254" s="1" t="n">
        <v>46004</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12782-2021</t>
        </is>
      </c>
      <c r="B255" s="1" t="n">
        <v>44270</v>
      </c>
      <c r="C255" s="1" t="n">
        <v>46004</v>
      </c>
      <c r="D255" t="inlineStr">
        <is>
          <t>STOCKHOLMS LÄN</t>
        </is>
      </c>
      <c r="E255" t="inlineStr">
        <is>
          <t>NORRTÄLJE</t>
        </is>
      </c>
      <c r="G255" t="n">
        <v>3.8</v>
      </c>
      <c r="H255" t="n">
        <v>0</v>
      </c>
      <c r="I255" t="n">
        <v>0</v>
      </c>
      <c r="J255" t="n">
        <v>0</v>
      </c>
      <c r="K255" t="n">
        <v>0</v>
      </c>
      <c r="L255" t="n">
        <v>0</v>
      </c>
      <c r="M255" t="n">
        <v>0</v>
      </c>
      <c r="N255" t="n">
        <v>0</v>
      </c>
      <c r="O255" t="n">
        <v>0</v>
      </c>
      <c r="P255" t="n">
        <v>0</v>
      </c>
      <c r="Q255" t="n">
        <v>0</v>
      </c>
      <c r="R255" s="2" t="inlineStr"/>
    </row>
    <row r="256" ht="15" customHeight="1">
      <c r="A256" t="inlineStr">
        <is>
          <t>A 17673-2021</t>
        </is>
      </c>
      <c r="B256" s="1" t="n">
        <v>44300</v>
      </c>
      <c r="C256" s="1" t="n">
        <v>46004</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c r="T256">
        <f>HYPERLINK("https://klasma.github.io/Logging_0188/kartor/A 17673-2021 karta.png", "A 17673-2021")</f>
        <v/>
      </c>
      <c r="V256">
        <f>HYPERLINK("https://klasma.github.io/Logging_0188/klagomål/A 17673-2021 FSC-klagomål.docx", "A 17673-2021")</f>
        <v/>
      </c>
      <c r="W256">
        <f>HYPERLINK("https://klasma.github.io/Logging_0188/klagomålsmail/A 17673-2021 FSC-klagomål mail.docx", "A 17673-2021")</f>
        <v/>
      </c>
      <c r="X256">
        <f>HYPERLINK("https://klasma.github.io/Logging_0188/tillsyn/A 17673-2021 tillsynsbegäran.docx", "A 17673-2021")</f>
        <v/>
      </c>
      <c r="Y256">
        <f>HYPERLINK("https://klasma.github.io/Logging_0188/tillsynsmail/A 17673-2021 tillsynsbegäran mail.docx", "A 17673-2021")</f>
        <v/>
      </c>
      <c r="Z256">
        <f>HYPERLINK("https://klasma.github.io/Logging_0188/fåglar/A 17673-2021 prioriterade fågelarter.docx", "A 17673-2021")</f>
        <v/>
      </c>
    </row>
    <row r="257" ht="15" customHeight="1">
      <c r="A257" t="inlineStr">
        <is>
          <t>A 68273-2021</t>
        </is>
      </c>
      <c r="B257" s="1" t="n">
        <v>44526</v>
      </c>
      <c r="C257" s="1" t="n">
        <v>46004</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46004</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27217-2021</t>
        </is>
      </c>
      <c r="B259" s="1" t="n">
        <v>44350</v>
      </c>
      <c r="C259" s="1" t="n">
        <v>46004</v>
      </c>
      <c r="D259" t="inlineStr">
        <is>
          <t>STOCKHOLMS LÄN</t>
        </is>
      </c>
      <c r="E259" t="inlineStr">
        <is>
          <t>NORRTÄLJE</t>
        </is>
      </c>
      <c r="G259" t="n">
        <v>5.5</v>
      </c>
      <c r="H259" t="n">
        <v>0</v>
      </c>
      <c r="I259" t="n">
        <v>0</v>
      </c>
      <c r="J259" t="n">
        <v>0</v>
      </c>
      <c r="K259" t="n">
        <v>0</v>
      </c>
      <c r="L259" t="n">
        <v>0</v>
      </c>
      <c r="M259" t="n">
        <v>0</v>
      </c>
      <c r="N259" t="n">
        <v>0</v>
      </c>
      <c r="O259" t="n">
        <v>0</v>
      </c>
      <c r="P259" t="n">
        <v>0</v>
      </c>
      <c r="Q259" t="n">
        <v>0</v>
      </c>
      <c r="R259" s="2" t="inlineStr"/>
    </row>
    <row r="260" ht="15" customHeight="1">
      <c r="A260" t="inlineStr">
        <is>
          <t>A 62030-2021</t>
        </is>
      </c>
      <c r="B260" s="1" t="n">
        <v>44502</v>
      </c>
      <c r="C260" s="1" t="n">
        <v>46004</v>
      </c>
      <c r="D260" t="inlineStr">
        <is>
          <t>STOCKHOLMS LÄN</t>
        </is>
      </c>
      <c r="E260" t="inlineStr">
        <is>
          <t>NORRTÄLJE</t>
        </is>
      </c>
      <c r="G260" t="n">
        <v>4.7</v>
      </c>
      <c r="H260" t="n">
        <v>0</v>
      </c>
      <c r="I260" t="n">
        <v>0</v>
      </c>
      <c r="J260" t="n">
        <v>0</v>
      </c>
      <c r="K260" t="n">
        <v>0</v>
      </c>
      <c r="L260" t="n">
        <v>0</v>
      </c>
      <c r="M260" t="n">
        <v>0</v>
      </c>
      <c r="N260" t="n">
        <v>0</v>
      </c>
      <c r="O260" t="n">
        <v>0</v>
      </c>
      <c r="P260" t="n">
        <v>0</v>
      </c>
      <c r="Q260" t="n">
        <v>0</v>
      </c>
      <c r="R260" s="2" t="inlineStr"/>
    </row>
    <row r="261" ht="15" customHeight="1">
      <c r="A261" t="inlineStr">
        <is>
          <t>A 27214-2021</t>
        </is>
      </c>
      <c r="B261" s="1" t="n">
        <v>44350</v>
      </c>
      <c r="C261" s="1" t="n">
        <v>46004</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20295-2022</t>
        </is>
      </c>
      <c r="B262" s="1" t="n">
        <v>44698</v>
      </c>
      <c r="C262" s="1" t="n">
        <v>46004</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12355-2022</t>
        </is>
      </c>
      <c r="B263" s="1" t="n">
        <v>44637</v>
      </c>
      <c r="C263" s="1" t="n">
        <v>46004</v>
      </c>
      <c r="D263" t="inlineStr">
        <is>
          <t>STOCKHOLMS LÄN</t>
        </is>
      </c>
      <c r="E263" t="inlineStr">
        <is>
          <t>NORRTÄLJE</t>
        </is>
      </c>
      <c r="G263" t="n">
        <v>10.4</v>
      </c>
      <c r="H263" t="n">
        <v>0</v>
      </c>
      <c r="I263" t="n">
        <v>0</v>
      </c>
      <c r="J263" t="n">
        <v>0</v>
      </c>
      <c r="K263" t="n">
        <v>0</v>
      </c>
      <c r="L263" t="n">
        <v>0</v>
      </c>
      <c r="M263" t="n">
        <v>0</v>
      </c>
      <c r="N263" t="n">
        <v>0</v>
      </c>
      <c r="O263" t="n">
        <v>0</v>
      </c>
      <c r="P263" t="n">
        <v>0</v>
      </c>
      <c r="Q263" t="n">
        <v>0</v>
      </c>
      <c r="R263" s="2" t="inlineStr"/>
    </row>
    <row r="264" ht="15" customHeight="1">
      <c r="A264" t="inlineStr">
        <is>
          <t>A 5562-2021</t>
        </is>
      </c>
      <c r="B264" s="1" t="n">
        <v>44230</v>
      </c>
      <c r="C264" s="1" t="n">
        <v>46004</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5566-2021</t>
        </is>
      </c>
      <c r="B265" s="1" t="n">
        <v>44230</v>
      </c>
      <c r="C265" s="1" t="n">
        <v>46004</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7565-2022</t>
        </is>
      </c>
      <c r="B266" s="1" t="n">
        <v>44607</v>
      </c>
      <c r="C266" s="1" t="n">
        <v>46004</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12875-2022</t>
        </is>
      </c>
      <c r="B267" s="1" t="n">
        <v>44642.55565972222</v>
      </c>
      <c r="C267" s="1" t="n">
        <v>46004</v>
      </c>
      <c r="D267" t="inlineStr">
        <is>
          <t>STOCKHOLMS LÄN</t>
        </is>
      </c>
      <c r="E267" t="inlineStr">
        <is>
          <t>NORRTÄLJE</t>
        </is>
      </c>
      <c r="G267" t="n">
        <v>1.6</v>
      </c>
      <c r="H267" t="n">
        <v>0</v>
      </c>
      <c r="I267" t="n">
        <v>0</v>
      </c>
      <c r="J267" t="n">
        <v>0</v>
      </c>
      <c r="K267" t="n">
        <v>0</v>
      </c>
      <c r="L267" t="n">
        <v>0</v>
      </c>
      <c r="M267" t="n">
        <v>0</v>
      </c>
      <c r="N267" t="n">
        <v>0</v>
      </c>
      <c r="O267" t="n">
        <v>0</v>
      </c>
      <c r="P267" t="n">
        <v>0</v>
      </c>
      <c r="Q267" t="n">
        <v>0</v>
      </c>
      <c r="R267" s="2" t="inlineStr"/>
    </row>
    <row r="268" ht="15" customHeight="1">
      <c r="A268" t="inlineStr">
        <is>
          <t>A 41822-2021</t>
        </is>
      </c>
      <c r="B268" s="1" t="n">
        <v>44425</v>
      </c>
      <c r="C268" s="1" t="n">
        <v>46004</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41823-2021</t>
        </is>
      </c>
      <c r="B269" s="1" t="n">
        <v>44425</v>
      </c>
      <c r="C269" s="1" t="n">
        <v>46004</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37415-2021</t>
        </is>
      </c>
      <c r="B270" s="1" t="n">
        <v>44397</v>
      </c>
      <c r="C270" s="1" t="n">
        <v>46004</v>
      </c>
      <c r="D270" t="inlineStr">
        <is>
          <t>STOCKHOLMS LÄN</t>
        </is>
      </c>
      <c r="E270" t="inlineStr">
        <is>
          <t>NORRTÄLJE</t>
        </is>
      </c>
      <c r="F270" t="inlineStr">
        <is>
          <t>Övriga Aktiebolag</t>
        </is>
      </c>
      <c r="G270" t="n">
        <v>3</v>
      </c>
      <c r="H270" t="n">
        <v>0</v>
      </c>
      <c r="I270" t="n">
        <v>0</v>
      </c>
      <c r="J270" t="n">
        <v>0</v>
      </c>
      <c r="K270" t="n">
        <v>0</v>
      </c>
      <c r="L270" t="n">
        <v>0</v>
      </c>
      <c r="M270" t="n">
        <v>0</v>
      </c>
      <c r="N270" t="n">
        <v>0</v>
      </c>
      <c r="O270" t="n">
        <v>0</v>
      </c>
      <c r="P270" t="n">
        <v>0</v>
      </c>
      <c r="Q270" t="n">
        <v>0</v>
      </c>
      <c r="R270" s="2" t="inlineStr"/>
    </row>
    <row r="271" ht="15" customHeight="1">
      <c r="A271" t="inlineStr">
        <is>
          <t>A 52139-2022</t>
        </is>
      </c>
      <c r="B271" s="1" t="n">
        <v>44868</v>
      </c>
      <c r="C271" s="1" t="n">
        <v>46004</v>
      </c>
      <c r="D271" t="inlineStr">
        <is>
          <t>STOCKHOLMS LÄN</t>
        </is>
      </c>
      <c r="E271" t="inlineStr">
        <is>
          <t>NORRTÄLJE</t>
        </is>
      </c>
      <c r="G271" t="n">
        <v>3.2</v>
      </c>
      <c r="H271" t="n">
        <v>0</v>
      </c>
      <c r="I271" t="n">
        <v>0</v>
      </c>
      <c r="J271" t="n">
        <v>0</v>
      </c>
      <c r="K271" t="n">
        <v>0</v>
      </c>
      <c r="L271" t="n">
        <v>0</v>
      </c>
      <c r="M271" t="n">
        <v>0</v>
      </c>
      <c r="N271" t="n">
        <v>0</v>
      </c>
      <c r="O271" t="n">
        <v>0</v>
      </c>
      <c r="P271" t="n">
        <v>0</v>
      </c>
      <c r="Q271" t="n">
        <v>0</v>
      </c>
      <c r="R271" s="2" t="inlineStr"/>
      <c r="U271">
        <f>HYPERLINK("https://klasma.github.io/Logging_0188/knärot/A 52139-2022 karta knärot.png", "A 52139-2022")</f>
        <v/>
      </c>
      <c r="V271">
        <f>HYPERLINK("https://klasma.github.io/Logging_0188/klagomål/A 52139-2022 FSC-klagomål.docx", "A 52139-2022")</f>
        <v/>
      </c>
      <c r="W271">
        <f>HYPERLINK("https://klasma.github.io/Logging_0188/klagomålsmail/A 52139-2022 FSC-klagomål mail.docx", "A 52139-2022")</f>
        <v/>
      </c>
      <c r="X271">
        <f>HYPERLINK("https://klasma.github.io/Logging_0188/tillsyn/A 52139-2022 tillsynsbegäran.docx", "A 52139-2022")</f>
        <v/>
      </c>
      <c r="Y271">
        <f>HYPERLINK("https://klasma.github.io/Logging_0188/tillsynsmail/A 52139-2022 tillsynsbegäran mail.docx", "A 52139-2022")</f>
        <v/>
      </c>
    </row>
    <row r="272" ht="15" customHeight="1">
      <c r="A272" t="inlineStr">
        <is>
          <t>A 9446-2021</t>
        </is>
      </c>
      <c r="B272" s="1" t="n">
        <v>44251</v>
      </c>
      <c r="C272" s="1" t="n">
        <v>46004</v>
      </c>
      <c r="D272" t="inlineStr">
        <is>
          <t>STOCKHOLMS LÄN</t>
        </is>
      </c>
      <c r="E272" t="inlineStr">
        <is>
          <t>NORRTÄLJE</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16117-2022</t>
        </is>
      </c>
      <c r="B273" s="1" t="n">
        <v>44665.65474537037</v>
      </c>
      <c r="C273" s="1" t="n">
        <v>46004</v>
      </c>
      <c r="D273" t="inlineStr">
        <is>
          <t>STOCKHOLMS LÄN</t>
        </is>
      </c>
      <c r="E273" t="inlineStr">
        <is>
          <t>NORRTÄLJE</t>
        </is>
      </c>
      <c r="G273" t="n">
        <v>8.1</v>
      </c>
      <c r="H273" t="n">
        <v>0</v>
      </c>
      <c r="I273" t="n">
        <v>0</v>
      </c>
      <c r="J273" t="n">
        <v>0</v>
      </c>
      <c r="K273" t="n">
        <v>0</v>
      </c>
      <c r="L273" t="n">
        <v>0</v>
      </c>
      <c r="M273" t="n">
        <v>0</v>
      </c>
      <c r="N273" t="n">
        <v>0</v>
      </c>
      <c r="O273" t="n">
        <v>0</v>
      </c>
      <c r="P273" t="n">
        <v>0</v>
      </c>
      <c r="Q273" t="n">
        <v>0</v>
      </c>
      <c r="R273" s="2" t="inlineStr"/>
    </row>
    <row r="274" ht="15" customHeight="1">
      <c r="A274" t="inlineStr">
        <is>
          <t>A 16132-2022</t>
        </is>
      </c>
      <c r="B274" s="1" t="n">
        <v>44665.78351851852</v>
      </c>
      <c r="C274" s="1" t="n">
        <v>46004</v>
      </c>
      <c r="D274" t="inlineStr">
        <is>
          <t>STOCKHOLMS LÄN</t>
        </is>
      </c>
      <c r="E274" t="inlineStr">
        <is>
          <t>NORRTÄLJE</t>
        </is>
      </c>
      <c r="G274" t="n">
        <v>4.4</v>
      </c>
      <c r="H274" t="n">
        <v>0</v>
      </c>
      <c r="I274" t="n">
        <v>0</v>
      </c>
      <c r="J274" t="n">
        <v>0</v>
      </c>
      <c r="K274" t="n">
        <v>0</v>
      </c>
      <c r="L274" t="n">
        <v>0</v>
      </c>
      <c r="M274" t="n">
        <v>0</v>
      </c>
      <c r="N274" t="n">
        <v>0</v>
      </c>
      <c r="O274" t="n">
        <v>0</v>
      </c>
      <c r="P274" t="n">
        <v>0</v>
      </c>
      <c r="Q274" t="n">
        <v>0</v>
      </c>
      <c r="R274" s="2" t="inlineStr"/>
    </row>
    <row r="275" ht="15" customHeight="1">
      <c r="A275" t="inlineStr">
        <is>
          <t>A 15226-2022</t>
        </is>
      </c>
      <c r="B275" s="1" t="n">
        <v>44658</v>
      </c>
      <c r="C275" s="1" t="n">
        <v>46004</v>
      </c>
      <c r="D275" t="inlineStr">
        <is>
          <t>STOCKHOLMS LÄN</t>
        </is>
      </c>
      <c r="E275" t="inlineStr">
        <is>
          <t>NORRTÄLJE</t>
        </is>
      </c>
      <c r="G275" t="n">
        <v>1.1</v>
      </c>
      <c r="H275" t="n">
        <v>0</v>
      </c>
      <c r="I275" t="n">
        <v>0</v>
      </c>
      <c r="J275" t="n">
        <v>0</v>
      </c>
      <c r="K275" t="n">
        <v>0</v>
      </c>
      <c r="L275" t="n">
        <v>0</v>
      </c>
      <c r="M275" t="n">
        <v>0</v>
      </c>
      <c r="N275" t="n">
        <v>0</v>
      </c>
      <c r="O275" t="n">
        <v>0</v>
      </c>
      <c r="P275" t="n">
        <v>0</v>
      </c>
      <c r="Q275" t="n">
        <v>0</v>
      </c>
      <c r="R275" s="2" t="inlineStr"/>
    </row>
    <row r="276" ht="15" customHeight="1">
      <c r="A276" t="inlineStr">
        <is>
          <t>A 3300-2022</t>
        </is>
      </c>
      <c r="B276" s="1" t="n">
        <v>44584.91538194445</v>
      </c>
      <c r="C276" s="1" t="n">
        <v>46004</v>
      </c>
      <c r="D276" t="inlineStr">
        <is>
          <t>STOCKHOLMS LÄN</t>
        </is>
      </c>
      <c r="E276" t="inlineStr">
        <is>
          <t>NORRTÄLJE</t>
        </is>
      </c>
      <c r="G276" t="n">
        <v>0.4</v>
      </c>
      <c r="H276" t="n">
        <v>0</v>
      </c>
      <c r="I276" t="n">
        <v>0</v>
      </c>
      <c r="J276" t="n">
        <v>0</v>
      </c>
      <c r="K276" t="n">
        <v>0</v>
      </c>
      <c r="L276" t="n">
        <v>0</v>
      </c>
      <c r="M276" t="n">
        <v>0</v>
      </c>
      <c r="N276" t="n">
        <v>0</v>
      </c>
      <c r="O276" t="n">
        <v>0</v>
      </c>
      <c r="P276" t="n">
        <v>0</v>
      </c>
      <c r="Q276" t="n">
        <v>0</v>
      </c>
      <c r="R276" s="2" t="inlineStr"/>
    </row>
    <row r="277" ht="15" customHeight="1">
      <c r="A277" t="inlineStr">
        <is>
          <t>A 17388-2022</t>
        </is>
      </c>
      <c r="B277" s="1" t="n">
        <v>44678</v>
      </c>
      <c r="C277" s="1" t="n">
        <v>46004</v>
      </c>
      <c r="D277" t="inlineStr">
        <is>
          <t>STOCKHOLMS LÄN</t>
        </is>
      </c>
      <c r="E277" t="inlineStr">
        <is>
          <t>NORRTÄLJE</t>
        </is>
      </c>
      <c r="G277" t="n">
        <v>2.4</v>
      </c>
      <c r="H277" t="n">
        <v>0</v>
      </c>
      <c r="I277" t="n">
        <v>0</v>
      </c>
      <c r="J277" t="n">
        <v>0</v>
      </c>
      <c r="K277" t="n">
        <v>0</v>
      </c>
      <c r="L277" t="n">
        <v>0</v>
      </c>
      <c r="M277" t="n">
        <v>0</v>
      </c>
      <c r="N277" t="n">
        <v>0</v>
      </c>
      <c r="O277" t="n">
        <v>0</v>
      </c>
      <c r="P277" t="n">
        <v>0</v>
      </c>
      <c r="Q277" t="n">
        <v>0</v>
      </c>
      <c r="R277" s="2" t="inlineStr"/>
    </row>
    <row r="278" ht="15" customHeight="1">
      <c r="A278" t="inlineStr">
        <is>
          <t>A 17771-2022</t>
        </is>
      </c>
      <c r="B278" s="1" t="n">
        <v>44682.75924768519</v>
      </c>
      <c r="C278" s="1" t="n">
        <v>46004</v>
      </c>
      <c r="D278" t="inlineStr">
        <is>
          <t>STOCKHOLMS LÄN</t>
        </is>
      </c>
      <c r="E278" t="inlineStr">
        <is>
          <t>NORRTÄLJE</t>
        </is>
      </c>
      <c r="G278" t="n">
        <v>13.3</v>
      </c>
      <c r="H278" t="n">
        <v>0</v>
      </c>
      <c r="I278" t="n">
        <v>0</v>
      </c>
      <c r="J278" t="n">
        <v>0</v>
      </c>
      <c r="K278" t="n">
        <v>0</v>
      </c>
      <c r="L278" t="n">
        <v>0</v>
      </c>
      <c r="M278" t="n">
        <v>0</v>
      </c>
      <c r="N278" t="n">
        <v>0</v>
      </c>
      <c r="O278" t="n">
        <v>0</v>
      </c>
      <c r="P278" t="n">
        <v>0</v>
      </c>
      <c r="Q278" t="n">
        <v>0</v>
      </c>
      <c r="R278" s="2" t="inlineStr"/>
    </row>
    <row r="279" ht="15" customHeight="1">
      <c r="A279" t="inlineStr">
        <is>
          <t>A 17773-2022</t>
        </is>
      </c>
      <c r="B279" s="1" t="n">
        <v>44682.77616898148</v>
      </c>
      <c r="C279" s="1" t="n">
        <v>46004</v>
      </c>
      <c r="D279" t="inlineStr">
        <is>
          <t>STOCKHOLMS LÄN</t>
        </is>
      </c>
      <c r="E279" t="inlineStr">
        <is>
          <t>NORRTÄLJE</t>
        </is>
      </c>
      <c r="G279" t="n">
        <v>10.8</v>
      </c>
      <c r="H279" t="n">
        <v>0</v>
      </c>
      <c r="I279" t="n">
        <v>0</v>
      </c>
      <c r="J279" t="n">
        <v>0</v>
      </c>
      <c r="K279" t="n">
        <v>0</v>
      </c>
      <c r="L279" t="n">
        <v>0</v>
      </c>
      <c r="M279" t="n">
        <v>0</v>
      </c>
      <c r="N279" t="n">
        <v>0</v>
      </c>
      <c r="O279" t="n">
        <v>0</v>
      </c>
      <c r="P279" t="n">
        <v>0</v>
      </c>
      <c r="Q279" t="n">
        <v>0</v>
      </c>
      <c r="R279" s="2" t="inlineStr"/>
    </row>
    <row r="280" ht="15" customHeight="1">
      <c r="A280" t="inlineStr">
        <is>
          <t>A 70170-2021</t>
        </is>
      </c>
      <c r="B280" s="1" t="n">
        <v>44533</v>
      </c>
      <c r="C280" s="1" t="n">
        <v>46004</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46004</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25463-2021</t>
        </is>
      </c>
      <c r="B282" s="1" t="n">
        <v>44342</v>
      </c>
      <c r="C282" s="1" t="n">
        <v>46004</v>
      </c>
      <c r="D282" t="inlineStr">
        <is>
          <t>STOCKHOLMS LÄN</t>
        </is>
      </c>
      <c r="E282" t="inlineStr">
        <is>
          <t>NORRTÄLJE</t>
        </is>
      </c>
      <c r="F282" t="inlineStr">
        <is>
          <t>Holmen skog AB</t>
        </is>
      </c>
      <c r="G282" t="n">
        <v>1.5</v>
      </c>
      <c r="H282" t="n">
        <v>0</v>
      </c>
      <c r="I282" t="n">
        <v>0</v>
      </c>
      <c r="J282" t="n">
        <v>0</v>
      </c>
      <c r="K282" t="n">
        <v>0</v>
      </c>
      <c r="L282" t="n">
        <v>0</v>
      </c>
      <c r="M282" t="n">
        <v>0</v>
      </c>
      <c r="N282" t="n">
        <v>0</v>
      </c>
      <c r="O282" t="n">
        <v>0</v>
      </c>
      <c r="P282" t="n">
        <v>0</v>
      </c>
      <c r="Q282" t="n">
        <v>0</v>
      </c>
      <c r="R282" s="2" t="inlineStr"/>
    </row>
    <row r="283" ht="15" customHeight="1">
      <c r="A283" t="inlineStr">
        <is>
          <t>A 21102-2022</t>
        </is>
      </c>
      <c r="B283" s="1" t="n">
        <v>44704</v>
      </c>
      <c r="C283" s="1" t="n">
        <v>46004</v>
      </c>
      <c r="D283" t="inlineStr">
        <is>
          <t>STOCKHOLMS LÄN</t>
        </is>
      </c>
      <c r="E283" t="inlineStr">
        <is>
          <t>NORRTÄLJE</t>
        </is>
      </c>
      <c r="G283" t="n">
        <v>0.2</v>
      </c>
      <c r="H283" t="n">
        <v>0</v>
      </c>
      <c r="I283" t="n">
        <v>0</v>
      </c>
      <c r="J283" t="n">
        <v>0</v>
      </c>
      <c r="K283" t="n">
        <v>0</v>
      </c>
      <c r="L283" t="n">
        <v>0</v>
      </c>
      <c r="M283" t="n">
        <v>0</v>
      </c>
      <c r="N283" t="n">
        <v>0</v>
      </c>
      <c r="O283" t="n">
        <v>0</v>
      </c>
      <c r="P283" t="n">
        <v>0</v>
      </c>
      <c r="Q283" t="n">
        <v>0</v>
      </c>
      <c r="R283" s="2" t="inlineStr"/>
    </row>
    <row r="284" ht="15" customHeight="1">
      <c r="A284" t="inlineStr">
        <is>
          <t>A 71880-2021</t>
        </is>
      </c>
      <c r="B284" s="1" t="n">
        <v>44543</v>
      </c>
      <c r="C284" s="1" t="n">
        <v>46004</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17772-2022</t>
        </is>
      </c>
      <c r="B285" s="1" t="n">
        <v>44682.76528935185</v>
      </c>
      <c r="C285" s="1" t="n">
        <v>46004</v>
      </c>
      <c r="D285" t="inlineStr">
        <is>
          <t>STOCKHOLMS LÄN</t>
        </is>
      </c>
      <c r="E285" t="inlineStr">
        <is>
          <t>NORRTÄLJE</t>
        </is>
      </c>
      <c r="G285" t="n">
        <v>4</v>
      </c>
      <c r="H285" t="n">
        <v>0</v>
      </c>
      <c r="I285" t="n">
        <v>0</v>
      </c>
      <c r="J285" t="n">
        <v>0</v>
      </c>
      <c r="K285" t="n">
        <v>0</v>
      </c>
      <c r="L285" t="n">
        <v>0</v>
      </c>
      <c r="M285" t="n">
        <v>0</v>
      </c>
      <c r="N285" t="n">
        <v>0</v>
      </c>
      <c r="O285" t="n">
        <v>0</v>
      </c>
      <c r="P285" t="n">
        <v>0</v>
      </c>
      <c r="Q285" t="n">
        <v>0</v>
      </c>
      <c r="R285" s="2" t="inlineStr"/>
    </row>
    <row r="286" ht="15" customHeight="1">
      <c r="A286" t="inlineStr">
        <is>
          <t>A 12268-2022</t>
        </is>
      </c>
      <c r="B286" s="1" t="n">
        <v>44637</v>
      </c>
      <c r="C286" s="1" t="n">
        <v>46004</v>
      </c>
      <c r="D286" t="inlineStr">
        <is>
          <t>STOCKHOLMS LÄN</t>
        </is>
      </c>
      <c r="E286" t="inlineStr">
        <is>
          <t>NORRTÄLJE</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67285-2021</t>
        </is>
      </c>
      <c r="B287" s="1" t="n">
        <v>44523.61635416667</v>
      </c>
      <c r="C287" s="1" t="n">
        <v>46004</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2982-2023</t>
        </is>
      </c>
      <c r="B288" s="1" t="n">
        <v>44945.67409722223</v>
      </c>
      <c r="C288" s="1" t="n">
        <v>46004</v>
      </c>
      <c r="D288" t="inlineStr">
        <is>
          <t>STOCKHOLMS LÄN</t>
        </is>
      </c>
      <c r="E288" t="inlineStr">
        <is>
          <t>NORRTÄLJE</t>
        </is>
      </c>
      <c r="G288" t="n">
        <v>3.3</v>
      </c>
      <c r="H288" t="n">
        <v>0</v>
      </c>
      <c r="I288" t="n">
        <v>0</v>
      </c>
      <c r="J288" t="n">
        <v>0</v>
      </c>
      <c r="K288" t="n">
        <v>0</v>
      </c>
      <c r="L288" t="n">
        <v>0</v>
      </c>
      <c r="M288" t="n">
        <v>0</v>
      </c>
      <c r="N288" t="n">
        <v>0</v>
      </c>
      <c r="O288" t="n">
        <v>0</v>
      </c>
      <c r="P288" t="n">
        <v>0</v>
      </c>
      <c r="Q288" t="n">
        <v>0</v>
      </c>
      <c r="R288" s="2" t="inlineStr"/>
    </row>
    <row r="289" ht="15" customHeight="1">
      <c r="A289" t="inlineStr">
        <is>
          <t>A 5611-2022</t>
        </is>
      </c>
      <c r="B289" s="1" t="n">
        <v>44595</v>
      </c>
      <c r="C289" s="1" t="n">
        <v>46004</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32055-2021</t>
        </is>
      </c>
      <c r="B290" s="1" t="n">
        <v>44370.72197916666</v>
      </c>
      <c r="C290" s="1" t="n">
        <v>46004</v>
      </c>
      <c r="D290" t="inlineStr">
        <is>
          <t>STOCKHOLMS LÄN</t>
        </is>
      </c>
      <c r="E290" t="inlineStr">
        <is>
          <t>NORRTÄLJE</t>
        </is>
      </c>
      <c r="G290" t="n">
        <v>1.2</v>
      </c>
      <c r="H290" t="n">
        <v>0</v>
      </c>
      <c r="I290" t="n">
        <v>0</v>
      </c>
      <c r="J290" t="n">
        <v>0</v>
      </c>
      <c r="K290" t="n">
        <v>0</v>
      </c>
      <c r="L290" t="n">
        <v>0</v>
      </c>
      <c r="M290" t="n">
        <v>0</v>
      </c>
      <c r="N290" t="n">
        <v>0</v>
      </c>
      <c r="O290" t="n">
        <v>0</v>
      </c>
      <c r="P290" t="n">
        <v>0</v>
      </c>
      <c r="Q290" t="n">
        <v>0</v>
      </c>
      <c r="R290" s="2" t="inlineStr"/>
    </row>
    <row r="291" ht="15" customHeight="1">
      <c r="A291" t="inlineStr">
        <is>
          <t>A 24101-2022</t>
        </is>
      </c>
      <c r="B291" s="1" t="n">
        <v>44725</v>
      </c>
      <c r="C291" s="1" t="n">
        <v>46004</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20015-2023</t>
        </is>
      </c>
      <c r="B292" s="1" t="n">
        <v>45054</v>
      </c>
      <c r="C292" s="1" t="n">
        <v>46004</v>
      </c>
      <c r="D292" t="inlineStr">
        <is>
          <t>STOCKHOLMS LÄN</t>
        </is>
      </c>
      <c r="E292" t="inlineStr">
        <is>
          <t>NORRTÄLJE</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3273-2025</t>
        </is>
      </c>
      <c r="B293" s="1" t="n">
        <v>45679</v>
      </c>
      <c r="C293" s="1" t="n">
        <v>46004</v>
      </c>
      <c r="D293" t="inlineStr">
        <is>
          <t>STOCKHOLMS LÄN</t>
        </is>
      </c>
      <c r="E293" t="inlineStr">
        <is>
          <t>NORRTÄLJE</t>
        </is>
      </c>
      <c r="G293" t="n">
        <v>1.2</v>
      </c>
      <c r="H293" t="n">
        <v>0</v>
      </c>
      <c r="I293" t="n">
        <v>0</v>
      </c>
      <c r="J293" t="n">
        <v>0</v>
      </c>
      <c r="K293" t="n">
        <v>0</v>
      </c>
      <c r="L293" t="n">
        <v>0</v>
      </c>
      <c r="M293" t="n">
        <v>0</v>
      </c>
      <c r="N293" t="n">
        <v>0</v>
      </c>
      <c r="O293" t="n">
        <v>0</v>
      </c>
      <c r="P293" t="n">
        <v>0</v>
      </c>
      <c r="Q293" t="n">
        <v>0</v>
      </c>
      <c r="R293" s="2" t="inlineStr"/>
    </row>
    <row r="294" ht="15" customHeight="1">
      <c r="A294" t="inlineStr">
        <is>
          <t>A 12535-2025</t>
        </is>
      </c>
      <c r="B294" s="1" t="n">
        <v>45730.69502314815</v>
      </c>
      <c r="C294" s="1" t="n">
        <v>46004</v>
      </c>
      <c r="D294" t="inlineStr">
        <is>
          <t>STOCKHOLMS LÄN</t>
        </is>
      </c>
      <c r="E294" t="inlineStr">
        <is>
          <t>NORRTÄLJE</t>
        </is>
      </c>
      <c r="G294" t="n">
        <v>7.1</v>
      </c>
      <c r="H294" t="n">
        <v>0</v>
      </c>
      <c r="I294" t="n">
        <v>0</v>
      </c>
      <c r="J294" t="n">
        <v>0</v>
      </c>
      <c r="K294" t="n">
        <v>0</v>
      </c>
      <c r="L294" t="n">
        <v>0</v>
      </c>
      <c r="M294" t="n">
        <v>0</v>
      </c>
      <c r="N294" t="n">
        <v>0</v>
      </c>
      <c r="O294" t="n">
        <v>0</v>
      </c>
      <c r="P294" t="n">
        <v>0</v>
      </c>
      <c r="Q294" t="n">
        <v>0</v>
      </c>
      <c r="R294" s="2" t="inlineStr"/>
    </row>
    <row r="295" ht="15" customHeight="1">
      <c r="A295" t="inlineStr">
        <is>
          <t>A 24245-2024</t>
        </is>
      </c>
      <c r="B295" s="1" t="n">
        <v>45457</v>
      </c>
      <c r="C295" s="1" t="n">
        <v>46004</v>
      </c>
      <c r="D295" t="inlineStr">
        <is>
          <t>STOCKHOLMS LÄN</t>
        </is>
      </c>
      <c r="E295" t="inlineStr">
        <is>
          <t>NORRTÄLJE</t>
        </is>
      </c>
      <c r="F295" t="inlineStr">
        <is>
          <t>Holmen skog AB</t>
        </is>
      </c>
      <c r="G295" t="n">
        <v>3.4</v>
      </c>
      <c r="H295" t="n">
        <v>0</v>
      </c>
      <c r="I295" t="n">
        <v>0</v>
      </c>
      <c r="J295" t="n">
        <v>0</v>
      </c>
      <c r="K295" t="n">
        <v>0</v>
      </c>
      <c r="L295" t="n">
        <v>0</v>
      </c>
      <c r="M295" t="n">
        <v>0</v>
      </c>
      <c r="N295" t="n">
        <v>0</v>
      </c>
      <c r="O295" t="n">
        <v>0</v>
      </c>
      <c r="P295" t="n">
        <v>0</v>
      </c>
      <c r="Q295" t="n">
        <v>0</v>
      </c>
      <c r="R295" s="2" t="inlineStr"/>
    </row>
    <row r="296" ht="15" customHeight="1">
      <c r="A296" t="inlineStr">
        <is>
          <t>A 21291-2021</t>
        </is>
      </c>
      <c r="B296" s="1" t="n">
        <v>44319</v>
      </c>
      <c r="C296" s="1" t="n">
        <v>46004</v>
      </c>
      <c r="D296" t="inlineStr">
        <is>
          <t>STOCKHOLMS LÄN</t>
        </is>
      </c>
      <c r="E296" t="inlineStr">
        <is>
          <t>NORRTÄLJE</t>
        </is>
      </c>
      <c r="G296" t="n">
        <v>12.7</v>
      </c>
      <c r="H296" t="n">
        <v>0</v>
      </c>
      <c r="I296" t="n">
        <v>0</v>
      </c>
      <c r="J296" t="n">
        <v>0</v>
      </c>
      <c r="K296" t="n">
        <v>0</v>
      </c>
      <c r="L296" t="n">
        <v>0</v>
      </c>
      <c r="M296" t="n">
        <v>0</v>
      </c>
      <c r="N296" t="n">
        <v>0</v>
      </c>
      <c r="O296" t="n">
        <v>0</v>
      </c>
      <c r="P296" t="n">
        <v>0</v>
      </c>
      <c r="Q296" t="n">
        <v>0</v>
      </c>
      <c r="R296" s="2" t="inlineStr"/>
    </row>
    <row r="297" ht="15" customHeight="1">
      <c r="A297" t="inlineStr">
        <is>
          <t>A 37136-2023</t>
        </is>
      </c>
      <c r="B297" s="1" t="n">
        <v>45155</v>
      </c>
      <c r="C297" s="1" t="n">
        <v>46004</v>
      </c>
      <c r="D297" t="inlineStr">
        <is>
          <t>STOCKHOLMS LÄN</t>
        </is>
      </c>
      <c r="E297" t="inlineStr">
        <is>
          <t>NORRTÄLJE</t>
        </is>
      </c>
      <c r="G297" t="n">
        <v>2.5</v>
      </c>
      <c r="H297" t="n">
        <v>0</v>
      </c>
      <c r="I297" t="n">
        <v>0</v>
      </c>
      <c r="J297" t="n">
        <v>0</v>
      </c>
      <c r="K297" t="n">
        <v>0</v>
      </c>
      <c r="L297" t="n">
        <v>0</v>
      </c>
      <c r="M297" t="n">
        <v>0</v>
      </c>
      <c r="N297" t="n">
        <v>0</v>
      </c>
      <c r="O297" t="n">
        <v>0</v>
      </c>
      <c r="P297" t="n">
        <v>0</v>
      </c>
      <c r="Q297" t="n">
        <v>0</v>
      </c>
      <c r="R297" s="2" t="inlineStr"/>
    </row>
    <row r="298" ht="15" customHeight="1">
      <c r="A298" t="inlineStr">
        <is>
          <t>A 15256-2023</t>
        </is>
      </c>
      <c r="B298" s="1" t="n">
        <v>45019.3959837963</v>
      </c>
      <c r="C298" s="1" t="n">
        <v>46004</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20428-2024</t>
        </is>
      </c>
      <c r="B299" s="1" t="n">
        <v>45435</v>
      </c>
      <c r="C299" s="1" t="n">
        <v>46004</v>
      </c>
      <c r="D299" t="inlineStr">
        <is>
          <t>STOCKHOLMS LÄN</t>
        </is>
      </c>
      <c r="E299" t="inlineStr">
        <is>
          <t>NORRTÄLJE</t>
        </is>
      </c>
      <c r="G299" t="n">
        <v>3.7</v>
      </c>
      <c r="H299" t="n">
        <v>0</v>
      </c>
      <c r="I299" t="n">
        <v>0</v>
      </c>
      <c r="J299" t="n">
        <v>0</v>
      </c>
      <c r="K299" t="n">
        <v>0</v>
      </c>
      <c r="L299" t="n">
        <v>0</v>
      </c>
      <c r="M299" t="n">
        <v>0</v>
      </c>
      <c r="N299" t="n">
        <v>0</v>
      </c>
      <c r="O299" t="n">
        <v>0</v>
      </c>
      <c r="P299" t="n">
        <v>0</v>
      </c>
      <c r="Q299" t="n">
        <v>0</v>
      </c>
      <c r="R299" s="2" t="inlineStr"/>
    </row>
    <row r="300" ht="15" customHeight="1">
      <c r="A300" t="inlineStr">
        <is>
          <t>A 30286-2022</t>
        </is>
      </c>
      <c r="B300" s="1" t="n">
        <v>44760</v>
      </c>
      <c r="C300" s="1" t="n">
        <v>46004</v>
      </c>
      <c r="D300" t="inlineStr">
        <is>
          <t>STOCKHOLMS LÄN</t>
        </is>
      </c>
      <c r="E300" t="inlineStr">
        <is>
          <t>NORRTÄLJE</t>
        </is>
      </c>
      <c r="G300" t="n">
        <v>0.3</v>
      </c>
      <c r="H300" t="n">
        <v>0</v>
      </c>
      <c r="I300" t="n">
        <v>0</v>
      </c>
      <c r="J300" t="n">
        <v>0</v>
      </c>
      <c r="K300" t="n">
        <v>0</v>
      </c>
      <c r="L300" t="n">
        <v>0</v>
      </c>
      <c r="M300" t="n">
        <v>0</v>
      </c>
      <c r="N300" t="n">
        <v>0</v>
      </c>
      <c r="O300" t="n">
        <v>0</v>
      </c>
      <c r="P300" t="n">
        <v>0</v>
      </c>
      <c r="Q300" t="n">
        <v>0</v>
      </c>
      <c r="R300" s="2" t="inlineStr"/>
    </row>
    <row r="301" ht="15" customHeight="1">
      <c r="A301" t="inlineStr">
        <is>
          <t>A 18787-2022</t>
        </is>
      </c>
      <c r="B301" s="1" t="n">
        <v>44687</v>
      </c>
      <c r="C301" s="1" t="n">
        <v>46004</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13718-2022</t>
        </is>
      </c>
      <c r="B302" s="1" t="n">
        <v>44649</v>
      </c>
      <c r="C302" s="1" t="n">
        <v>46004</v>
      </c>
      <c r="D302" t="inlineStr">
        <is>
          <t>STOCKHOLMS LÄN</t>
        </is>
      </c>
      <c r="E302" t="inlineStr">
        <is>
          <t>NORRTÄLJE</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8160-2022</t>
        </is>
      </c>
      <c r="B303" s="1" t="n">
        <v>44609</v>
      </c>
      <c r="C303" s="1" t="n">
        <v>46004</v>
      </c>
      <c r="D303" t="inlineStr">
        <is>
          <t>STOCKHOLMS LÄN</t>
        </is>
      </c>
      <c r="E303" t="inlineStr">
        <is>
          <t>NORRTÄLJE</t>
        </is>
      </c>
      <c r="G303" t="n">
        <v>3.9</v>
      </c>
      <c r="H303" t="n">
        <v>0</v>
      </c>
      <c r="I303" t="n">
        <v>0</v>
      </c>
      <c r="J303" t="n">
        <v>0</v>
      </c>
      <c r="K303" t="n">
        <v>0</v>
      </c>
      <c r="L303" t="n">
        <v>0</v>
      </c>
      <c r="M303" t="n">
        <v>0</v>
      </c>
      <c r="N303" t="n">
        <v>0</v>
      </c>
      <c r="O303" t="n">
        <v>0</v>
      </c>
      <c r="P303" t="n">
        <v>0</v>
      </c>
      <c r="Q303" t="n">
        <v>0</v>
      </c>
      <c r="R303" s="2" t="inlineStr"/>
    </row>
    <row r="304" ht="15" customHeight="1">
      <c r="A304" t="inlineStr">
        <is>
          <t>A 25621-2022</t>
        </is>
      </c>
      <c r="B304" s="1" t="n">
        <v>44732</v>
      </c>
      <c r="C304" s="1" t="n">
        <v>46004</v>
      </c>
      <c r="D304" t="inlineStr">
        <is>
          <t>STOCKHOLMS LÄN</t>
        </is>
      </c>
      <c r="E304" t="inlineStr">
        <is>
          <t>NORRTÄLJE</t>
        </is>
      </c>
      <c r="G304" t="n">
        <v>3.1</v>
      </c>
      <c r="H304" t="n">
        <v>0</v>
      </c>
      <c r="I304" t="n">
        <v>0</v>
      </c>
      <c r="J304" t="n">
        <v>0</v>
      </c>
      <c r="K304" t="n">
        <v>0</v>
      </c>
      <c r="L304" t="n">
        <v>0</v>
      </c>
      <c r="M304" t="n">
        <v>0</v>
      </c>
      <c r="N304" t="n">
        <v>0</v>
      </c>
      <c r="O304" t="n">
        <v>0</v>
      </c>
      <c r="P304" t="n">
        <v>0</v>
      </c>
      <c r="Q304" t="n">
        <v>0</v>
      </c>
      <c r="R304" s="2" t="inlineStr"/>
    </row>
    <row r="305" ht="15" customHeight="1">
      <c r="A305" t="inlineStr">
        <is>
          <t>A 38721-2022</t>
        </is>
      </c>
      <c r="B305" s="1" t="n">
        <v>44815</v>
      </c>
      <c r="C305" s="1" t="n">
        <v>46004</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13172-2025</t>
        </is>
      </c>
      <c r="B306" s="1" t="n">
        <v>45735.36873842592</v>
      </c>
      <c r="C306" s="1" t="n">
        <v>46004</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60184-2021</t>
        </is>
      </c>
      <c r="B307" s="1" t="n">
        <v>44495</v>
      </c>
      <c r="C307" s="1" t="n">
        <v>46004</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36269-2022</t>
        </is>
      </c>
      <c r="B308" s="1" t="n">
        <v>44803</v>
      </c>
      <c r="C308" s="1" t="n">
        <v>46004</v>
      </c>
      <c r="D308" t="inlineStr">
        <is>
          <t>STOCKHOLMS LÄN</t>
        </is>
      </c>
      <c r="E308" t="inlineStr">
        <is>
          <t>NORRTÄLJE</t>
        </is>
      </c>
      <c r="G308" t="n">
        <v>2.3</v>
      </c>
      <c r="H308" t="n">
        <v>0</v>
      </c>
      <c r="I308" t="n">
        <v>0</v>
      </c>
      <c r="J308" t="n">
        <v>0</v>
      </c>
      <c r="K308" t="n">
        <v>0</v>
      </c>
      <c r="L308" t="n">
        <v>0</v>
      </c>
      <c r="M308" t="n">
        <v>0</v>
      </c>
      <c r="N308" t="n">
        <v>0</v>
      </c>
      <c r="O308" t="n">
        <v>0</v>
      </c>
      <c r="P308" t="n">
        <v>0</v>
      </c>
      <c r="Q308" t="n">
        <v>0</v>
      </c>
      <c r="R308" s="2" t="inlineStr"/>
    </row>
    <row r="309" ht="15" customHeight="1">
      <c r="A309" t="inlineStr">
        <is>
          <t>A 36308-2022</t>
        </is>
      </c>
      <c r="B309" s="1" t="n">
        <v>44803</v>
      </c>
      <c r="C309" s="1" t="n">
        <v>46004</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39319-2022</t>
        </is>
      </c>
      <c r="B310" s="1" t="n">
        <v>44817.70516203704</v>
      </c>
      <c r="C310" s="1" t="n">
        <v>46004</v>
      </c>
      <c r="D310" t="inlineStr">
        <is>
          <t>STOCKHOLMS LÄN</t>
        </is>
      </c>
      <c r="E310" t="inlineStr">
        <is>
          <t>NORRTÄLJE</t>
        </is>
      </c>
      <c r="G310" t="n">
        <v>1.4</v>
      </c>
      <c r="H310" t="n">
        <v>0</v>
      </c>
      <c r="I310" t="n">
        <v>0</v>
      </c>
      <c r="J310" t="n">
        <v>0</v>
      </c>
      <c r="K310" t="n">
        <v>0</v>
      </c>
      <c r="L310" t="n">
        <v>0</v>
      </c>
      <c r="M310" t="n">
        <v>0</v>
      </c>
      <c r="N310" t="n">
        <v>0</v>
      </c>
      <c r="O310" t="n">
        <v>0</v>
      </c>
      <c r="P310" t="n">
        <v>0</v>
      </c>
      <c r="Q310" t="n">
        <v>0</v>
      </c>
      <c r="R310" s="2" t="inlineStr"/>
    </row>
    <row r="311" ht="15" customHeight="1">
      <c r="A311" t="inlineStr">
        <is>
          <t>A 6919-2025</t>
        </is>
      </c>
      <c r="B311" s="1" t="n">
        <v>45701.44372685185</v>
      </c>
      <c r="C311" s="1" t="n">
        <v>46004</v>
      </c>
      <c r="D311" t="inlineStr">
        <is>
          <t>STOCKHOLMS LÄN</t>
        </is>
      </c>
      <c r="E311" t="inlineStr">
        <is>
          <t>NORRTÄLJE</t>
        </is>
      </c>
      <c r="G311" t="n">
        <v>3.5</v>
      </c>
      <c r="H311" t="n">
        <v>0</v>
      </c>
      <c r="I311" t="n">
        <v>0</v>
      </c>
      <c r="J311" t="n">
        <v>0</v>
      </c>
      <c r="K311" t="n">
        <v>0</v>
      </c>
      <c r="L311" t="n">
        <v>0</v>
      </c>
      <c r="M311" t="n">
        <v>0</v>
      </c>
      <c r="N311" t="n">
        <v>0</v>
      </c>
      <c r="O311" t="n">
        <v>0</v>
      </c>
      <c r="P311" t="n">
        <v>0</v>
      </c>
      <c r="Q311" t="n">
        <v>0</v>
      </c>
      <c r="R311" s="2" t="inlineStr"/>
    </row>
    <row r="312" ht="15" customHeight="1">
      <c r="A312" t="inlineStr">
        <is>
          <t>A 32100-2022</t>
        </is>
      </c>
      <c r="B312" s="1" t="n">
        <v>44778</v>
      </c>
      <c r="C312" s="1" t="n">
        <v>46004</v>
      </c>
      <c r="D312" t="inlineStr">
        <is>
          <t>STOCKHOLMS LÄN</t>
        </is>
      </c>
      <c r="E312" t="inlineStr">
        <is>
          <t>NORRTÄLJE</t>
        </is>
      </c>
      <c r="G312" t="n">
        <v>3.3</v>
      </c>
      <c r="H312" t="n">
        <v>0</v>
      </c>
      <c r="I312" t="n">
        <v>0</v>
      </c>
      <c r="J312" t="n">
        <v>0</v>
      </c>
      <c r="K312" t="n">
        <v>0</v>
      </c>
      <c r="L312" t="n">
        <v>0</v>
      </c>
      <c r="M312" t="n">
        <v>0</v>
      </c>
      <c r="N312" t="n">
        <v>0</v>
      </c>
      <c r="O312" t="n">
        <v>0</v>
      </c>
      <c r="P312" t="n">
        <v>0</v>
      </c>
      <c r="Q312" t="n">
        <v>0</v>
      </c>
      <c r="R312" s="2" t="inlineStr"/>
    </row>
    <row r="313" ht="15" customHeight="1">
      <c r="A313" t="inlineStr">
        <is>
          <t>A 11332-2025</t>
        </is>
      </c>
      <c r="B313" s="1" t="n">
        <v>45726.48152777777</v>
      </c>
      <c r="C313" s="1" t="n">
        <v>46004</v>
      </c>
      <c r="D313" t="inlineStr">
        <is>
          <t>STOCKHOLMS LÄN</t>
        </is>
      </c>
      <c r="E313" t="inlineStr">
        <is>
          <t>NORRTÄLJE</t>
        </is>
      </c>
      <c r="G313" t="n">
        <v>4.6</v>
      </c>
      <c r="H313" t="n">
        <v>0</v>
      </c>
      <c r="I313" t="n">
        <v>0</v>
      </c>
      <c r="J313" t="n">
        <v>0</v>
      </c>
      <c r="K313" t="n">
        <v>0</v>
      </c>
      <c r="L313" t="n">
        <v>0</v>
      </c>
      <c r="M313" t="n">
        <v>0</v>
      </c>
      <c r="N313" t="n">
        <v>0</v>
      </c>
      <c r="O313" t="n">
        <v>0</v>
      </c>
      <c r="P313" t="n">
        <v>0</v>
      </c>
      <c r="Q313" t="n">
        <v>0</v>
      </c>
      <c r="R313" s="2" t="inlineStr"/>
    </row>
    <row r="314" ht="15" customHeight="1">
      <c r="A314" t="inlineStr">
        <is>
          <t>A 37444-2021</t>
        </is>
      </c>
      <c r="B314" s="1" t="n">
        <v>44398</v>
      </c>
      <c r="C314" s="1" t="n">
        <v>46004</v>
      </c>
      <c r="D314" t="inlineStr">
        <is>
          <t>STOCKHOLMS LÄN</t>
        </is>
      </c>
      <c r="E314" t="inlineStr">
        <is>
          <t>NORRTÄLJE</t>
        </is>
      </c>
      <c r="F314" t="inlineStr">
        <is>
          <t>Holmen skog AB</t>
        </is>
      </c>
      <c r="G314" t="n">
        <v>3.2</v>
      </c>
      <c r="H314" t="n">
        <v>0</v>
      </c>
      <c r="I314" t="n">
        <v>0</v>
      </c>
      <c r="J314" t="n">
        <v>0</v>
      </c>
      <c r="K314" t="n">
        <v>0</v>
      </c>
      <c r="L314" t="n">
        <v>0</v>
      </c>
      <c r="M314" t="n">
        <v>0</v>
      </c>
      <c r="N314" t="n">
        <v>0</v>
      </c>
      <c r="O314" t="n">
        <v>0</v>
      </c>
      <c r="P314" t="n">
        <v>0</v>
      </c>
      <c r="Q314" t="n">
        <v>0</v>
      </c>
      <c r="R314" s="2" t="inlineStr"/>
    </row>
    <row r="315" ht="15" customHeight="1">
      <c r="A315" t="inlineStr">
        <is>
          <t>A 30886-2022</t>
        </is>
      </c>
      <c r="B315" s="1" t="n">
        <v>44767.60601851852</v>
      </c>
      <c r="C315" s="1" t="n">
        <v>46004</v>
      </c>
      <c r="D315" t="inlineStr">
        <is>
          <t>STOCKHOLMS LÄN</t>
        </is>
      </c>
      <c r="E315" t="inlineStr">
        <is>
          <t>NORRTÄLJE</t>
        </is>
      </c>
      <c r="G315" t="n">
        <v>2.6</v>
      </c>
      <c r="H315" t="n">
        <v>0</v>
      </c>
      <c r="I315" t="n">
        <v>0</v>
      </c>
      <c r="J315" t="n">
        <v>0</v>
      </c>
      <c r="K315" t="n">
        <v>0</v>
      </c>
      <c r="L315" t="n">
        <v>0</v>
      </c>
      <c r="M315" t="n">
        <v>0</v>
      </c>
      <c r="N315" t="n">
        <v>0</v>
      </c>
      <c r="O315" t="n">
        <v>0</v>
      </c>
      <c r="P315" t="n">
        <v>0</v>
      </c>
      <c r="Q315" t="n">
        <v>0</v>
      </c>
      <c r="R315" s="2" t="inlineStr"/>
    </row>
    <row r="316" ht="15" customHeight="1">
      <c r="A316" t="inlineStr">
        <is>
          <t>A 27828-2022</t>
        </is>
      </c>
      <c r="B316" s="1" t="n">
        <v>44743.59765046297</v>
      </c>
      <c r="C316" s="1" t="n">
        <v>46004</v>
      </c>
      <c r="D316" t="inlineStr">
        <is>
          <t>STOCKHOLMS LÄN</t>
        </is>
      </c>
      <c r="E316" t="inlineStr">
        <is>
          <t>NORRTÄLJE</t>
        </is>
      </c>
      <c r="F316" t="inlineStr">
        <is>
          <t>Kommuner</t>
        </is>
      </c>
      <c r="G316" t="n">
        <v>1.6</v>
      </c>
      <c r="H316" t="n">
        <v>0</v>
      </c>
      <c r="I316" t="n">
        <v>0</v>
      </c>
      <c r="J316" t="n">
        <v>0</v>
      </c>
      <c r="K316" t="n">
        <v>0</v>
      </c>
      <c r="L316" t="n">
        <v>0</v>
      </c>
      <c r="M316" t="n">
        <v>0</v>
      </c>
      <c r="N316" t="n">
        <v>0</v>
      </c>
      <c r="O316" t="n">
        <v>0</v>
      </c>
      <c r="P316" t="n">
        <v>0</v>
      </c>
      <c r="Q316" t="n">
        <v>0</v>
      </c>
      <c r="R316" s="2" t="inlineStr"/>
    </row>
    <row r="317" ht="15" customHeight="1">
      <c r="A317" t="inlineStr">
        <is>
          <t>A 64145-2021</t>
        </is>
      </c>
      <c r="B317" s="1" t="n">
        <v>44510</v>
      </c>
      <c r="C317" s="1" t="n">
        <v>46004</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16229-2022</t>
        </is>
      </c>
      <c r="B318" s="1" t="n">
        <v>44670.4190162037</v>
      </c>
      <c r="C318" s="1" t="n">
        <v>46004</v>
      </c>
      <c r="D318" t="inlineStr">
        <is>
          <t>STOCKHOLMS LÄN</t>
        </is>
      </c>
      <c r="E318" t="inlineStr">
        <is>
          <t>NORRTÄLJE</t>
        </is>
      </c>
      <c r="G318" t="n">
        <v>7.4</v>
      </c>
      <c r="H318" t="n">
        <v>0</v>
      </c>
      <c r="I318" t="n">
        <v>0</v>
      </c>
      <c r="J318" t="n">
        <v>0</v>
      </c>
      <c r="K318" t="n">
        <v>0</v>
      </c>
      <c r="L318" t="n">
        <v>0</v>
      </c>
      <c r="M318" t="n">
        <v>0</v>
      </c>
      <c r="N318" t="n">
        <v>0</v>
      </c>
      <c r="O318" t="n">
        <v>0</v>
      </c>
      <c r="P318" t="n">
        <v>0</v>
      </c>
      <c r="Q318" t="n">
        <v>0</v>
      </c>
      <c r="R318" s="2" t="inlineStr"/>
    </row>
    <row r="319" ht="15" customHeight="1">
      <c r="A319" t="inlineStr">
        <is>
          <t>A 1740-2023</t>
        </is>
      </c>
      <c r="B319" s="1" t="n">
        <v>44938</v>
      </c>
      <c r="C319" s="1" t="n">
        <v>46004</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4596-2023</t>
        </is>
      </c>
      <c r="B320" s="1" t="n">
        <v>44956</v>
      </c>
      <c r="C320" s="1" t="n">
        <v>46004</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9654-2022</t>
        </is>
      </c>
      <c r="B321" s="1" t="n">
        <v>44617</v>
      </c>
      <c r="C321" s="1" t="n">
        <v>46004</v>
      </c>
      <c r="D321" t="inlineStr">
        <is>
          <t>STOCKHOLMS LÄN</t>
        </is>
      </c>
      <c r="E321" t="inlineStr">
        <is>
          <t>NORRTÄLJE</t>
        </is>
      </c>
      <c r="G321" t="n">
        <v>6.4</v>
      </c>
      <c r="H321" t="n">
        <v>0</v>
      </c>
      <c r="I321" t="n">
        <v>0</v>
      </c>
      <c r="J321" t="n">
        <v>0</v>
      </c>
      <c r="K321" t="n">
        <v>0</v>
      </c>
      <c r="L321" t="n">
        <v>0</v>
      </c>
      <c r="M321" t="n">
        <v>0</v>
      </c>
      <c r="N321" t="n">
        <v>0</v>
      </c>
      <c r="O321" t="n">
        <v>0</v>
      </c>
      <c r="P321" t="n">
        <v>0</v>
      </c>
      <c r="Q321" t="n">
        <v>0</v>
      </c>
      <c r="R321" s="2" t="inlineStr"/>
    </row>
    <row r="322" ht="15" customHeight="1">
      <c r="A322" t="inlineStr">
        <is>
          <t>A 33226-2024</t>
        </is>
      </c>
      <c r="B322" s="1" t="n">
        <v>45518</v>
      </c>
      <c r="C322" s="1" t="n">
        <v>46004</v>
      </c>
      <c r="D322" t="inlineStr">
        <is>
          <t>STOCKHOLMS LÄN</t>
        </is>
      </c>
      <c r="E322" t="inlineStr">
        <is>
          <t>NORRTÄLJE</t>
        </is>
      </c>
      <c r="G322" t="n">
        <v>13.8</v>
      </c>
      <c r="H322" t="n">
        <v>0</v>
      </c>
      <c r="I322" t="n">
        <v>0</v>
      </c>
      <c r="J322" t="n">
        <v>0</v>
      </c>
      <c r="K322" t="n">
        <v>0</v>
      </c>
      <c r="L322" t="n">
        <v>0</v>
      </c>
      <c r="M322" t="n">
        <v>0</v>
      </c>
      <c r="N322" t="n">
        <v>0</v>
      </c>
      <c r="O322" t="n">
        <v>0</v>
      </c>
      <c r="P322" t="n">
        <v>0</v>
      </c>
      <c r="Q322" t="n">
        <v>0</v>
      </c>
      <c r="R322" s="2" t="inlineStr"/>
    </row>
    <row r="323" ht="15" customHeight="1">
      <c r="A323" t="inlineStr">
        <is>
          <t>A 1453-2025</t>
        </is>
      </c>
      <c r="B323" s="1" t="n">
        <v>45670.3079050926</v>
      </c>
      <c r="C323" s="1" t="n">
        <v>46004</v>
      </c>
      <c r="D323" t="inlineStr">
        <is>
          <t>STOCKHOLMS LÄN</t>
        </is>
      </c>
      <c r="E323" t="inlineStr">
        <is>
          <t>NORRTÄLJE</t>
        </is>
      </c>
      <c r="G323" t="n">
        <v>2.6</v>
      </c>
      <c r="H323" t="n">
        <v>0</v>
      </c>
      <c r="I323" t="n">
        <v>0</v>
      </c>
      <c r="J323" t="n">
        <v>0</v>
      </c>
      <c r="K323" t="n">
        <v>0</v>
      </c>
      <c r="L323" t="n">
        <v>0</v>
      </c>
      <c r="M323" t="n">
        <v>0</v>
      </c>
      <c r="N323" t="n">
        <v>0</v>
      </c>
      <c r="O323" t="n">
        <v>0</v>
      </c>
      <c r="P323" t="n">
        <v>0</v>
      </c>
      <c r="Q323" t="n">
        <v>0</v>
      </c>
      <c r="R323" s="2" t="inlineStr"/>
    </row>
    <row r="324" ht="15" customHeight="1">
      <c r="A324" t="inlineStr">
        <is>
          <t>A 22008-2024</t>
        </is>
      </c>
      <c r="B324" s="1" t="n">
        <v>45443</v>
      </c>
      <c r="C324" s="1" t="n">
        <v>46004</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10676-2025</t>
        </is>
      </c>
      <c r="B325" s="1" t="n">
        <v>45721.88684027778</v>
      </c>
      <c r="C325" s="1" t="n">
        <v>46004</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5804-2025</t>
        </is>
      </c>
      <c r="B326" s="1" t="n">
        <v>45694.68207175926</v>
      </c>
      <c r="C326" s="1" t="n">
        <v>46004</v>
      </c>
      <c r="D326" t="inlineStr">
        <is>
          <t>STOCKHOLMS LÄN</t>
        </is>
      </c>
      <c r="E326" t="inlineStr">
        <is>
          <t>NORRTÄLJE</t>
        </is>
      </c>
      <c r="F326" t="inlineStr">
        <is>
          <t>Holmen skog AB</t>
        </is>
      </c>
      <c r="G326" t="n">
        <v>2.6</v>
      </c>
      <c r="H326" t="n">
        <v>0</v>
      </c>
      <c r="I326" t="n">
        <v>0</v>
      </c>
      <c r="J326" t="n">
        <v>0</v>
      </c>
      <c r="K326" t="n">
        <v>0</v>
      </c>
      <c r="L326" t="n">
        <v>0</v>
      </c>
      <c r="M326" t="n">
        <v>0</v>
      </c>
      <c r="N326" t="n">
        <v>0</v>
      </c>
      <c r="O326" t="n">
        <v>0</v>
      </c>
      <c r="P326" t="n">
        <v>0</v>
      </c>
      <c r="Q326" t="n">
        <v>0</v>
      </c>
      <c r="R326" s="2" t="inlineStr"/>
    </row>
    <row r="327" ht="15" customHeight="1">
      <c r="A327" t="inlineStr">
        <is>
          <t>A 20852-2023</t>
        </is>
      </c>
      <c r="B327" s="1" t="n">
        <v>45058.78607638889</v>
      </c>
      <c r="C327" s="1" t="n">
        <v>46004</v>
      </c>
      <c r="D327" t="inlineStr">
        <is>
          <t>STOCKHOLMS LÄN</t>
        </is>
      </c>
      <c r="E327" t="inlineStr">
        <is>
          <t>NORRTÄLJE</t>
        </is>
      </c>
      <c r="G327" t="n">
        <v>3.5</v>
      </c>
      <c r="H327" t="n">
        <v>0</v>
      </c>
      <c r="I327" t="n">
        <v>0</v>
      </c>
      <c r="J327" t="n">
        <v>0</v>
      </c>
      <c r="K327" t="n">
        <v>0</v>
      </c>
      <c r="L327" t="n">
        <v>0</v>
      </c>
      <c r="M327" t="n">
        <v>0</v>
      </c>
      <c r="N327" t="n">
        <v>0</v>
      </c>
      <c r="O327" t="n">
        <v>0</v>
      </c>
      <c r="P327" t="n">
        <v>0</v>
      </c>
      <c r="Q327" t="n">
        <v>0</v>
      </c>
      <c r="R327" s="2" t="inlineStr"/>
    </row>
    <row r="328" ht="15" customHeight="1">
      <c r="A328" t="inlineStr">
        <is>
          <t>A 56219-2021</t>
        </is>
      </c>
      <c r="B328" s="1" t="n">
        <v>44477</v>
      </c>
      <c r="C328" s="1" t="n">
        <v>46004</v>
      </c>
      <c r="D328" t="inlineStr">
        <is>
          <t>STOCKHOLMS LÄN</t>
        </is>
      </c>
      <c r="E328" t="inlineStr">
        <is>
          <t>NORRTÄLJE</t>
        </is>
      </c>
      <c r="F328" t="inlineStr">
        <is>
          <t>Kommuner</t>
        </is>
      </c>
      <c r="G328" t="n">
        <v>2.3</v>
      </c>
      <c r="H328" t="n">
        <v>0</v>
      </c>
      <c r="I328" t="n">
        <v>0</v>
      </c>
      <c r="J328" t="n">
        <v>0</v>
      </c>
      <c r="K328" t="n">
        <v>0</v>
      </c>
      <c r="L328" t="n">
        <v>0</v>
      </c>
      <c r="M328" t="n">
        <v>0</v>
      </c>
      <c r="N328" t="n">
        <v>0</v>
      </c>
      <c r="O328" t="n">
        <v>0</v>
      </c>
      <c r="P328" t="n">
        <v>0</v>
      </c>
      <c r="Q328" t="n">
        <v>0</v>
      </c>
      <c r="R328" s="2" t="inlineStr"/>
    </row>
    <row r="329" ht="15" customHeight="1">
      <c r="A329" t="inlineStr">
        <is>
          <t>A 50907-2022</t>
        </is>
      </c>
      <c r="B329" s="1" t="n">
        <v>44867.62090277778</v>
      </c>
      <c r="C329" s="1" t="n">
        <v>46004</v>
      </c>
      <c r="D329" t="inlineStr">
        <is>
          <t>STOCKHOLMS LÄN</t>
        </is>
      </c>
      <c r="E329" t="inlineStr">
        <is>
          <t>NORRTÄLJE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29003-2023</t>
        </is>
      </c>
      <c r="B330" s="1" t="n">
        <v>45104</v>
      </c>
      <c r="C330" s="1" t="n">
        <v>46004</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55243-2023</t>
        </is>
      </c>
      <c r="B331" s="1" t="n">
        <v>45237</v>
      </c>
      <c r="C331" s="1" t="n">
        <v>46004</v>
      </c>
      <c r="D331" t="inlineStr">
        <is>
          <t>STOCKHOLMS LÄN</t>
        </is>
      </c>
      <c r="E331" t="inlineStr">
        <is>
          <t>NORRTÄLJE</t>
        </is>
      </c>
      <c r="G331" t="n">
        <v>6.5</v>
      </c>
      <c r="H331" t="n">
        <v>0</v>
      </c>
      <c r="I331" t="n">
        <v>0</v>
      </c>
      <c r="J331" t="n">
        <v>0</v>
      </c>
      <c r="K331" t="n">
        <v>0</v>
      </c>
      <c r="L331" t="n">
        <v>0</v>
      </c>
      <c r="M331" t="n">
        <v>0</v>
      </c>
      <c r="N331" t="n">
        <v>0</v>
      </c>
      <c r="O331" t="n">
        <v>0</v>
      </c>
      <c r="P331" t="n">
        <v>0</v>
      </c>
      <c r="Q331" t="n">
        <v>0</v>
      </c>
      <c r="R331" s="2" t="inlineStr"/>
    </row>
    <row r="332" ht="15" customHeight="1">
      <c r="A332" t="inlineStr">
        <is>
          <t>A 22456-2023</t>
        </is>
      </c>
      <c r="B332" s="1" t="n">
        <v>45070</v>
      </c>
      <c r="C332" s="1" t="n">
        <v>46004</v>
      </c>
      <c r="D332" t="inlineStr">
        <is>
          <t>STOCKHOLMS LÄN</t>
        </is>
      </c>
      <c r="E332" t="inlineStr">
        <is>
          <t>NORRTÄLJE</t>
        </is>
      </c>
      <c r="G332" t="n">
        <v>3.1</v>
      </c>
      <c r="H332" t="n">
        <v>0</v>
      </c>
      <c r="I332" t="n">
        <v>0</v>
      </c>
      <c r="J332" t="n">
        <v>0</v>
      </c>
      <c r="K332" t="n">
        <v>0</v>
      </c>
      <c r="L332" t="n">
        <v>0</v>
      </c>
      <c r="M332" t="n">
        <v>0</v>
      </c>
      <c r="N332" t="n">
        <v>0</v>
      </c>
      <c r="O332" t="n">
        <v>0</v>
      </c>
      <c r="P332" t="n">
        <v>0</v>
      </c>
      <c r="Q332" t="n">
        <v>0</v>
      </c>
      <c r="R332" s="2" t="inlineStr"/>
    </row>
    <row r="333" ht="15" customHeight="1">
      <c r="A333" t="inlineStr">
        <is>
          <t>A 17785-2024</t>
        </is>
      </c>
      <c r="B333" s="1" t="n">
        <v>45418.6968287037</v>
      </c>
      <c r="C333" s="1" t="n">
        <v>46004</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52260-2022</t>
        </is>
      </c>
      <c r="B334" s="1" t="n">
        <v>44869</v>
      </c>
      <c r="C334" s="1" t="n">
        <v>46004</v>
      </c>
      <c r="D334" t="inlineStr">
        <is>
          <t>STOCKHOLMS LÄN</t>
        </is>
      </c>
      <c r="E334" t="inlineStr">
        <is>
          <t>NORRTÄLJE</t>
        </is>
      </c>
      <c r="G334" t="n">
        <v>3.1</v>
      </c>
      <c r="H334" t="n">
        <v>0</v>
      </c>
      <c r="I334" t="n">
        <v>0</v>
      </c>
      <c r="J334" t="n">
        <v>0</v>
      </c>
      <c r="K334" t="n">
        <v>0</v>
      </c>
      <c r="L334" t="n">
        <v>0</v>
      </c>
      <c r="M334" t="n">
        <v>0</v>
      </c>
      <c r="N334" t="n">
        <v>0</v>
      </c>
      <c r="O334" t="n">
        <v>0</v>
      </c>
      <c r="P334" t="n">
        <v>0</v>
      </c>
      <c r="Q334" t="n">
        <v>0</v>
      </c>
      <c r="R334" s="2" t="inlineStr"/>
    </row>
    <row r="335" ht="15" customHeight="1">
      <c r="A335" t="inlineStr">
        <is>
          <t>A 33295-2023</t>
        </is>
      </c>
      <c r="B335" s="1" t="n">
        <v>45127.69371527778</v>
      </c>
      <c r="C335" s="1" t="n">
        <v>46004</v>
      </c>
      <c r="D335" t="inlineStr">
        <is>
          <t>STOCKHOLMS LÄN</t>
        </is>
      </c>
      <c r="E335" t="inlineStr">
        <is>
          <t>NORRTÄLJE</t>
        </is>
      </c>
      <c r="F335" t="inlineStr">
        <is>
          <t>Holmen skog AB</t>
        </is>
      </c>
      <c r="G335" t="n">
        <v>2</v>
      </c>
      <c r="H335" t="n">
        <v>0</v>
      </c>
      <c r="I335" t="n">
        <v>0</v>
      </c>
      <c r="J335" t="n">
        <v>0</v>
      </c>
      <c r="K335" t="n">
        <v>0</v>
      </c>
      <c r="L335" t="n">
        <v>0</v>
      </c>
      <c r="M335" t="n">
        <v>0</v>
      </c>
      <c r="N335" t="n">
        <v>0</v>
      </c>
      <c r="O335" t="n">
        <v>0</v>
      </c>
      <c r="P335" t="n">
        <v>0</v>
      </c>
      <c r="Q335" t="n">
        <v>0</v>
      </c>
      <c r="R335" s="2" t="inlineStr"/>
    </row>
    <row r="336" ht="15" customHeight="1">
      <c r="A336" t="inlineStr">
        <is>
          <t>A 14127-2025</t>
        </is>
      </c>
      <c r="B336" s="1" t="n">
        <v>45740.47055555556</v>
      </c>
      <c r="C336" s="1" t="n">
        <v>46004</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25557-2023</t>
        </is>
      </c>
      <c r="B337" s="1" t="n">
        <v>45089</v>
      </c>
      <c r="C337" s="1" t="n">
        <v>46004</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27715-2022</t>
        </is>
      </c>
      <c r="B338" s="1" t="n">
        <v>44743.47407407407</v>
      </c>
      <c r="C338" s="1" t="n">
        <v>46004</v>
      </c>
      <c r="D338" t="inlineStr">
        <is>
          <t>STOCKHOLMS LÄN</t>
        </is>
      </c>
      <c r="E338" t="inlineStr">
        <is>
          <t>NORRTÄLJE</t>
        </is>
      </c>
      <c r="G338" t="n">
        <v>2.2</v>
      </c>
      <c r="H338" t="n">
        <v>0</v>
      </c>
      <c r="I338" t="n">
        <v>0</v>
      </c>
      <c r="J338" t="n">
        <v>0</v>
      </c>
      <c r="K338" t="n">
        <v>0</v>
      </c>
      <c r="L338" t="n">
        <v>0</v>
      </c>
      <c r="M338" t="n">
        <v>0</v>
      </c>
      <c r="N338" t="n">
        <v>0</v>
      </c>
      <c r="O338" t="n">
        <v>0</v>
      </c>
      <c r="P338" t="n">
        <v>0</v>
      </c>
      <c r="Q338" t="n">
        <v>0</v>
      </c>
      <c r="R338" s="2" t="inlineStr"/>
    </row>
    <row r="339" ht="15" customHeight="1">
      <c r="A339" t="inlineStr">
        <is>
          <t>A 16980-2023</t>
        </is>
      </c>
      <c r="B339" s="1" t="n">
        <v>45033</v>
      </c>
      <c r="C339" s="1" t="n">
        <v>46004</v>
      </c>
      <c r="D339" t="inlineStr">
        <is>
          <t>STOCKHOLMS LÄN</t>
        </is>
      </c>
      <c r="E339" t="inlineStr">
        <is>
          <t>NORRTÄLJE</t>
        </is>
      </c>
      <c r="G339" t="n">
        <v>2.3</v>
      </c>
      <c r="H339" t="n">
        <v>0</v>
      </c>
      <c r="I339" t="n">
        <v>0</v>
      </c>
      <c r="J339" t="n">
        <v>0</v>
      </c>
      <c r="K339" t="n">
        <v>0</v>
      </c>
      <c r="L339" t="n">
        <v>0</v>
      </c>
      <c r="M339" t="n">
        <v>0</v>
      </c>
      <c r="N339" t="n">
        <v>0</v>
      </c>
      <c r="O339" t="n">
        <v>0</v>
      </c>
      <c r="P339" t="n">
        <v>0</v>
      </c>
      <c r="Q339" t="n">
        <v>0</v>
      </c>
      <c r="R339" s="2" t="inlineStr"/>
    </row>
    <row r="340" ht="15" customHeight="1">
      <c r="A340" t="inlineStr">
        <is>
          <t>A 6678-2025</t>
        </is>
      </c>
      <c r="B340" s="1" t="n">
        <v>45700</v>
      </c>
      <c r="C340" s="1" t="n">
        <v>46004</v>
      </c>
      <c r="D340" t="inlineStr">
        <is>
          <t>STOCKHOLMS LÄN</t>
        </is>
      </c>
      <c r="E340" t="inlineStr">
        <is>
          <t>NORRTÄLJE</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32595-2023</t>
        </is>
      </c>
      <c r="B341" s="1" t="n">
        <v>45121</v>
      </c>
      <c r="C341" s="1" t="n">
        <v>46004</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55696-2022</t>
        </is>
      </c>
      <c r="B342" s="1" t="n">
        <v>44888</v>
      </c>
      <c r="C342" s="1" t="n">
        <v>46004</v>
      </c>
      <c r="D342" t="inlineStr">
        <is>
          <t>STOCKHOLMS LÄN</t>
        </is>
      </c>
      <c r="E342" t="inlineStr">
        <is>
          <t>NORRTÄLJE</t>
        </is>
      </c>
      <c r="G342" t="n">
        <v>2.2</v>
      </c>
      <c r="H342" t="n">
        <v>0</v>
      </c>
      <c r="I342" t="n">
        <v>0</v>
      </c>
      <c r="J342" t="n">
        <v>0</v>
      </c>
      <c r="K342" t="n">
        <v>0</v>
      </c>
      <c r="L342" t="n">
        <v>0</v>
      </c>
      <c r="M342" t="n">
        <v>0</v>
      </c>
      <c r="N342" t="n">
        <v>0</v>
      </c>
      <c r="O342" t="n">
        <v>0</v>
      </c>
      <c r="P342" t="n">
        <v>0</v>
      </c>
      <c r="Q342" t="n">
        <v>0</v>
      </c>
      <c r="R342" s="2" t="inlineStr"/>
    </row>
    <row r="343" ht="15" customHeight="1">
      <c r="A343" t="inlineStr">
        <is>
          <t>A 22412-2021</t>
        </is>
      </c>
      <c r="B343" s="1" t="n">
        <v>44326.61967592593</v>
      </c>
      <c r="C343" s="1" t="n">
        <v>46004</v>
      </c>
      <c r="D343" t="inlineStr">
        <is>
          <t>STOCKHOLMS LÄN</t>
        </is>
      </c>
      <c r="E343" t="inlineStr">
        <is>
          <t>NORRTÄLJE</t>
        </is>
      </c>
      <c r="G343" t="n">
        <v>1.7</v>
      </c>
      <c r="H343" t="n">
        <v>0</v>
      </c>
      <c r="I343" t="n">
        <v>0</v>
      </c>
      <c r="J343" t="n">
        <v>0</v>
      </c>
      <c r="K343" t="n">
        <v>0</v>
      </c>
      <c r="L343" t="n">
        <v>0</v>
      </c>
      <c r="M343" t="n">
        <v>0</v>
      </c>
      <c r="N343" t="n">
        <v>0</v>
      </c>
      <c r="O343" t="n">
        <v>0</v>
      </c>
      <c r="P343" t="n">
        <v>0</v>
      </c>
      <c r="Q343" t="n">
        <v>0</v>
      </c>
      <c r="R343" s="2" t="inlineStr"/>
    </row>
    <row r="344" ht="15" customHeight="1">
      <c r="A344" t="inlineStr">
        <is>
          <t>A 13053-2022</t>
        </is>
      </c>
      <c r="B344" s="1" t="n">
        <v>44643</v>
      </c>
      <c r="C344" s="1" t="n">
        <v>46004</v>
      </c>
      <c r="D344" t="inlineStr">
        <is>
          <t>STOCKHOLMS LÄN</t>
        </is>
      </c>
      <c r="E344" t="inlineStr">
        <is>
          <t>NORRTÄLJE</t>
        </is>
      </c>
      <c r="G344" t="n">
        <v>2.8</v>
      </c>
      <c r="H344" t="n">
        <v>0</v>
      </c>
      <c r="I344" t="n">
        <v>0</v>
      </c>
      <c r="J344" t="n">
        <v>0</v>
      </c>
      <c r="K344" t="n">
        <v>0</v>
      </c>
      <c r="L344" t="n">
        <v>0</v>
      </c>
      <c r="M344" t="n">
        <v>0</v>
      </c>
      <c r="N344" t="n">
        <v>0</v>
      </c>
      <c r="O344" t="n">
        <v>0</v>
      </c>
      <c r="P344" t="n">
        <v>0</v>
      </c>
      <c r="Q344" t="n">
        <v>0</v>
      </c>
      <c r="R344" s="2" t="inlineStr"/>
    </row>
    <row r="345" ht="15" customHeight="1">
      <c r="A345" t="inlineStr">
        <is>
          <t>A 15915-2023</t>
        </is>
      </c>
      <c r="B345" s="1" t="n">
        <v>45022</v>
      </c>
      <c r="C345" s="1" t="n">
        <v>46004</v>
      </c>
      <c r="D345" t="inlineStr">
        <is>
          <t>STOCKHOLMS LÄN</t>
        </is>
      </c>
      <c r="E345" t="inlineStr">
        <is>
          <t>NORRTÄLJE</t>
        </is>
      </c>
      <c r="G345" t="n">
        <v>2.9</v>
      </c>
      <c r="H345" t="n">
        <v>0</v>
      </c>
      <c r="I345" t="n">
        <v>0</v>
      </c>
      <c r="J345" t="n">
        <v>0</v>
      </c>
      <c r="K345" t="n">
        <v>0</v>
      </c>
      <c r="L345" t="n">
        <v>0</v>
      </c>
      <c r="M345" t="n">
        <v>0</v>
      </c>
      <c r="N345" t="n">
        <v>0</v>
      </c>
      <c r="O345" t="n">
        <v>0</v>
      </c>
      <c r="P345" t="n">
        <v>0</v>
      </c>
      <c r="Q345" t="n">
        <v>0</v>
      </c>
      <c r="R345" s="2" t="inlineStr"/>
    </row>
    <row r="346" ht="15" customHeight="1">
      <c r="A346" t="inlineStr">
        <is>
          <t>A 55018-2024</t>
        </is>
      </c>
      <c r="B346" s="1" t="n">
        <v>45621.35712962963</v>
      </c>
      <c r="C346" s="1" t="n">
        <v>46004</v>
      </c>
      <c r="D346" t="inlineStr">
        <is>
          <t>STOCKHOLMS LÄN</t>
        </is>
      </c>
      <c r="E346" t="inlineStr">
        <is>
          <t>NORRTÄLJE</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37550-2022</t>
        </is>
      </c>
      <c r="B347" s="1" t="n">
        <v>44809</v>
      </c>
      <c r="C347" s="1" t="n">
        <v>46004</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19982-2022</t>
        </is>
      </c>
      <c r="B348" s="1" t="n">
        <v>44697</v>
      </c>
      <c r="C348" s="1" t="n">
        <v>46004</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42075-2023</t>
        </is>
      </c>
      <c r="B349" s="1" t="n">
        <v>45177</v>
      </c>
      <c r="C349" s="1" t="n">
        <v>46004</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50136-2023</t>
        </is>
      </c>
      <c r="B350" s="1" t="n">
        <v>45215</v>
      </c>
      <c r="C350" s="1" t="n">
        <v>46004</v>
      </c>
      <c r="D350" t="inlineStr">
        <is>
          <t>STOCKHOLMS LÄN</t>
        </is>
      </c>
      <c r="E350" t="inlineStr">
        <is>
          <t>NORRTÄLJE</t>
        </is>
      </c>
      <c r="G350" t="n">
        <v>5.2</v>
      </c>
      <c r="H350" t="n">
        <v>0</v>
      </c>
      <c r="I350" t="n">
        <v>0</v>
      </c>
      <c r="J350" t="n">
        <v>0</v>
      </c>
      <c r="K350" t="n">
        <v>0</v>
      </c>
      <c r="L350" t="n">
        <v>0</v>
      </c>
      <c r="M350" t="n">
        <v>0</v>
      </c>
      <c r="N350" t="n">
        <v>0</v>
      </c>
      <c r="O350" t="n">
        <v>0</v>
      </c>
      <c r="P350" t="n">
        <v>0</v>
      </c>
      <c r="Q350" t="n">
        <v>0</v>
      </c>
      <c r="R350" s="2" t="inlineStr"/>
    </row>
    <row r="351" ht="15" customHeight="1">
      <c r="A351" t="inlineStr">
        <is>
          <t>A 50108-2021</t>
        </is>
      </c>
      <c r="B351" s="1" t="n">
        <v>44456</v>
      </c>
      <c r="C351" s="1" t="n">
        <v>46004</v>
      </c>
      <c r="D351" t="inlineStr">
        <is>
          <t>STOCKHOLMS LÄN</t>
        </is>
      </c>
      <c r="E351" t="inlineStr">
        <is>
          <t>NORRTÄLJE</t>
        </is>
      </c>
      <c r="G351" t="n">
        <v>0.7</v>
      </c>
      <c r="H351" t="n">
        <v>0</v>
      </c>
      <c r="I351" t="n">
        <v>0</v>
      </c>
      <c r="J351" t="n">
        <v>0</v>
      </c>
      <c r="K351" t="n">
        <v>0</v>
      </c>
      <c r="L351" t="n">
        <v>0</v>
      </c>
      <c r="M351" t="n">
        <v>0</v>
      </c>
      <c r="N351" t="n">
        <v>0</v>
      </c>
      <c r="O351" t="n">
        <v>0</v>
      </c>
      <c r="P351" t="n">
        <v>0</v>
      </c>
      <c r="Q351" t="n">
        <v>0</v>
      </c>
      <c r="R351" s="2" t="inlineStr"/>
    </row>
    <row r="352" ht="15" customHeight="1">
      <c r="A352" t="inlineStr">
        <is>
          <t>A 25656-2023</t>
        </is>
      </c>
      <c r="B352" s="1" t="n">
        <v>45089</v>
      </c>
      <c r="C352" s="1" t="n">
        <v>46004</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6003-2025</t>
        </is>
      </c>
      <c r="B353" s="1" t="n">
        <v>45695.57881944445</v>
      </c>
      <c r="C353" s="1" t="n">
        <v>46004</v>
      </c>
      <c r="D353" t="inlineStr">
        <is>
          <t>STOCKHOLMS LÄN</t>
        </is>
      </c>
      <c r="E353" t="inlineStr">
        <is>
          <t>NORRTÄLJE</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48161-2022</t>
        </is>
      </c>
      <c r="B354" s="1" t="n">
        <v>44858</v>
      </c>
      <c r="C354" s="1" t="n">
        <v>46004</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48798-2021</t>
        </is>
      </c>
      <c r="B355" s="1" t="n">
        <v>44452</v>
      </c>
      <c r="C355" s="1" t="n">
        <v>46004</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29972-2024</t>
        </is>
      </c>
      <c r="B356" s="1" t="n">
        <v>45485</v>
      </c>
      <c r="C356" s="1" t="n">
        <v>46004</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12111-2021</t>
        </is>
      </c>
      <c r="B357" s="1" t="n">
        <v>44266</v>
      </c>
      <c r="C357" s="1" t="n">
        <v>46004</v>
      </c>
      <c r="D357" t="inlineStr">
        <is>
          <t>STOCKHOLMS LÄN</t>
        </is>
      </c>
      <c r="E357" t="inlineStr">
        <is>
          <t>NORRTÄLJE</t>
        </is>
      </c>
      <c r="G357" t="n">
        <v>5.5</v>
      </c>
      <c r="H357" t="n">
        <v>0</v>
      </c>
      <c r="I357" t="n">
        <v>0</v>
      </c>
      <c r="J357" t="n">
        <v>0</v>
      </c>
      <c r="K357" t="n">
        <v>0</v>
      </c>
      <c r="L357" t="n">
        <v>0</v>
      </c>
      <c r="M357" t="n">
        <v>0</v>
      </c>
      <c r="N357" t="n">
        <v>0</v>
      </c>
      <c r="O357" t="n">
        <v>0</v>
      </c>
      <c r="P357" t="n">
        <v>0</v>
      </c>
      <c r="Q357" t="n">
        <v>0</v>
      </c>
      <c r="R357" s="2" t="inlineStr"/>
    </row>
    <row r="358" ht="15" customHeight="1">
      <c r="A358" t="inlineStr">
        <is>
          <t>A 48716-2023</t>
        </is>
      </c>
      <c r="B358" s="1" t="n">
        <v>45208.69671296296</v>
      </c>
      <c r="C358" s="1" t="n">
        <v>46004</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5027-2025</t>
        </is>
      </c>
      <c r="B359" s="1" t="n">
        <v>45691.41101851852</v>
      </c>
      <c r="C359" s="1" t="n">
        <v>46004</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54776-2023</t>
        </is>
      </c>
      <c r="B360" s="1" t="n">
        <v>45236.46369212963</v>
      </c>
      <c r="C360" s="1" t="n">
        <v>46004</v>
      </c>
      <c r="D360" t="inlineStr">
        <is>
          <t>STOCKHOLMS LÄN</t>
        </is>
      </c>
      <c r="E360" t="inlineStr">
        <is>
          <t>NORRTÄLJE</t>
        </is>
      </c>
      <c r="G360" t="n">
        <v>0.3</v>
      </c>
      <c r="H360" t="n">
        <v>0</v>
      </c>
      <c r="I360" t="n">
        <v>0</v>
      </c>
      <c r="J360" t="n">
        <v>0</v>
      </c>
      <c r="K360" t="n">
        <v>0</v>
      </c>
      <c r="L360" t="n">
        <v>0</v>
      </c>
      <c r="M360" t="n">
        <v>0</v>
      </c>
      <c r="N360" t="n">
        <v>0</v>
      </c>
      <c r="O360" t="n">
        <v>0</v>
      </c>
      <c r="P360" t="n">
        <v>0</v>
      </c>
      <c r="Q360" t="n">
        <v>0</v>
      </c>
      <c r="R360" s="2" t="inlineStr"/>
    </row>
    <row r="361" ht="15" customHeight="1">
      <c r="A361" t="inlineStr">
        <is>
          <t>A 64137-2021</t>
        </is>
      </c>
      <c r="B361" s="1" t="n">
        <v>44510.51422453704</v>
      </c>
      <c r="C361" s="1" t="n">
        <v>46004</v>
      </c>
      <c r="D361" t="inlineStr">
        <is>
          <t>STOCKHOLMS LÄN</t>
        </is>
      </c>
      <c r="E361" t="inlineStr">
        <is>
          <t>NORRTÄLJE</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57442-2021</t>
        </is>
      </c>
      <c r="B362" s="1" t="n">
        <v>44483</v>
      </c>
      <c r="C362" s="1" t="n">
        <v>46004</v>
      </c>
      <c r="D362" t="inlineStr">
        <is>
          <t>STOCKHOLMS LÄN</t>
        </is>
      </c>
      <c r="E362" t="inlineStr">
        <is>
          <t>NORRTÄLJE</t>
        </is>
      </c>
      <c r="G362" t="n">
        <v>3.3</v>
      </c>
      <c r="H362" t="n">
        <v>0</v>
      </c>
      <c r="I362" t="n">
        <v>0</v>
      </c>
      <c r="J362" t="n">
        <v>0</v>
      </c>
      <c r="K362" t="n">
        <v>0</v>
      </c>
      <c r="L362" t="n">
        <v>0</v>
      </c>
      <c r="M362" t="n">
        <v>0</v>
      </c>
      <c r="N362" t="n">
        <v>0</v>
      </c>
      <c r="O362" t="n">
        <v>0</v>
      </c>
      <c r="P362" t="n">
        <v>0</v>
      </c>
      <c r="Q362" t="n">
        <v>0</v>
      </c>
      <c r="R362" s="2" t="inlineStr"/>
    </row>
    <row r="363" ht="15" customHeight="1">
      <c r="A363" t="inlineStr">
        <is>
          <t>A 50355-2024</t>
        </is>
      </c>
      <c r="B363" s="1" t="n">
        <v>45600.86128472222</v>
      </c>
      <c r="C363" s="1" t="n">
        <v>46004</v>
      </c>
      <c r="D363" t="inlineStr">
        <is>
          <t>STOCKHOLMS LÄN</t>
        </is>
      </c>
      <c r="E363" t="inlineStr">
        <is>
          <t>NORRTÄLJE</t>
        </is>
      </c>
      <c r="F363" t="inlineStr">
        <is>
          <t>Kommuner</t>
        </is>
      </c>
      <c r="G363" t="n">
        <v>1</v>
      </c>
      <c r="H363" t="n">
        <v>0</v>
      </c>
      <c r="I363" t="n">
        <v>0</v>
      </c>
      <c r="J363" t="n">
        <v>0</v>
      </c>
      <c r="K363" t="n">
        <v>0</v>
      </c>
      <c r="L363" t="n">
        <v>0</v>
      </c>
      <c r="M363" t="n">
        <v>0</v>
      </c>
      <c r="N363" t="n">
        <v>0</v>
      </c>
      <c r="O363" t="n">
        <v>0</v>
      </c>
      <c r="P363" t="n">
        <v>0</v>
      </c>
      <c r="Q363" t="n">
        <v>0</v>
      </c>
      <c r="R363" s="2" t="inlineStr"/>
    </row>
    <row r="364" ht="15" customHeight="1">
      <c r="A364" t="inlineStr">
        <is>
          <t>A 68081-2020</t>
        </is>
      </c>
      <c r="B364" s="1" t="n">
        <v>44183</v>
      </c>
      <c r="C364" s="1" t="n">
        <v>46004</v>
      </c>
      <c r="D364" t="inlineStr">
        <is>
          <t>STOCKHOLMS LÄN</t>
        </is>
      </c>
      <c r="E364" t="inlineStr">
        <is>
          <t>NORRTÄLJE</t>
        </is>
      </c>
      <c r="G364" t="n">
        <v>2.1</v>
      </c>
      <c r="H364" t="n">
        <v>0</v>
      </c>
      <c r="I364" t="n">
        <v>0</v>
      </c>
      <c r="J364" t="n">
        <v>0</v>
      </c>
      <c r="K364" t="n">
        <v>0</v>
      </c>
      <c r="L364" t="n">
        <v>0</v>
      </c>
      <c r="M364" t="n">
        <v>0</v>
      </c>
      <c r="N364" t="n">
        <v>0</v>
      </c>
      <c r="O364" t="n">
        <v>0</v>
      </c>
      <c r="P364" t="n">
        <v>0</v>
      </c>
      <c r="Q364" t="n">
        <v>0</v>
      </c>
      <c r="R364" s="2" t="inlineStr"/>
    </row>
    <row r="365" ht="15" customHeight="1">
      <c r="A365" t="inlineStr">
        <is>
          <t>A 44917-2022</t>
        </is>
      </c>
      <c r="B365" s="1" t="n">
        <v>44841.52804398148</v>
      </c>
      <c r="C365" s="1" t="n">
        <v>46004</v>
      </c>
      <c r="D365" t="inlineStr">
        <is>
          <t>STOCKHOLMS LÄN</t>
        </is>
      </c>
      <c r="E365" t="inlineStr">
        <is>
          <t>NORRTÄLJE</t>
        </is>
      </c>
      <c r="F365" t="inlineStr">
        <is>
          <t>Holmen skog AB</t>
        </is>
      </c>
      <c r="G365" t="n">
        <v>3.3</v>
      </c>
      <c r="H365" t="n">
        <v>0</v>
      </c>
      <c r="I365" t="n">
        <v>0</v>
      </c>
      <c r="J365" t="n">
        <v>0</v>
      </c>
      <c r="K365" t="n">
        <v>0</v>
      </c>
      <c r="L365" t="n">
        <v>0</v>
      </c>
      <c r="M365" t="n">
        <v>0</v>
      </c>
      <c r="N365" t="n">
        <v>0</v>
      </c>
      <c r="O365" t="n">
        <v>0</v>
      </c>
      <c r="P365" t="n">
        <v>0</v>
      </c>
      <c r="Q365" t="n">
        <v>0</v>
      </c>
      <c r="R365" s="2" t="inlineStr"/>
    </row>
    <row r="366" ht="15" customHeight="1">
      <c r="A366" t="inlineStr">
        <is>
          <t>A 11902-2024</t>
        </is>
      </c>
      <c r="B366" s="1" t="n">
        <v>45376.55704861111</v>
      </c>
      <c r="C366" s="1" t="n">
        <v>46004</v>
      </c>
      <c r="D366" t="inlineStr">
        <is>
          <t>STOCKHOLMS LÄN</t>
        </is>
      </c>
      <c r="E366" t="inlineStr">
        <is>
          <t>NORRTÄLJE</t>
        </is>
      </c>
      <c r="G366" t="n">
        <v>2.5</v>
      </c>
      <c r="H366" t="n">
        <v>0</v>
      </c>
      <c r="I366" t="n">
        <v>0</v>
      </c>
      <c r="J366" t="n">
        <v>0</v>
      </c>
      <c r="K366" t="n">
        <v>0</v>
      </c>
      <c r="L366" t="n">
        <v>0</v>
      </c>
      <c r="M366" t="n">
        <v>0</v>
      </c>
      <c r="N366" t="n">
        <v>0</v>
      </c>
      <c r="O366" t="n">
        <v>0</v>
      </c>
      <c r="P366" t="n">
        <v>0</v>
      </c>
      <c r="Q366" t="n">
        <v>0</v>
      </c>
      <c r="R366" s="2" t="inlineStr"/>
    </row>
    <row r="367" ht="15" customHeight="1">
      <c r="A367" t="inlineStr">
        <is>
          <t>A 55952-2024</t>
        </is>
      </c>
      <c r="B367" s="1" t="n">
        <v>45623.62563657408</v>
      </c>
      <c r="C367" s="1" t="n">
        <v>46004</v>
      </c>
      <c r="D367" t="inlineStr">
        <is>
          <t>STOCKHOLMS LÄN</t>
        </is>
      </c>
      <c r="E367" t="inlineStr">
        <is>
          <t>NORRTÄLJE</t>
        </is>
      </c>
      <c r="F367" t="inlineStr">
        <is>
          <t>Holmen skog AB</t>
        </is>
      </c>
      <c r="G367" t="n">
        <v>2.8</v>
      </c>
      <c r="H367" t="n">
        <v>0</v>
      </c>
      <c r="I367" t="n">
        <v>0</v>
      </c>
      <c r="J367" t="n">
        <v>0</v>
      </c>
      <c r="K367" t="n">
        <v>0</v>
      </c>
      <c r="L367" t="n">
        <v>0</v>
      </c>
      <c r="M367" t="n">
        <v>0</v>
      </c>
      <c r="N367" t="n">
        <v>0</v>
      </c>
      <c r="O367" t="n">
        <v>0</v>
      </c>
      <c r="P367" t="n">
        <v>0</v>
      </c>
      <c r="Q367" t="n">
        <v>0</v>
      </c>
      <c r="R367" s="2" t="inlineStr"/>
    </row>
    <row r="368" ht="15" customHeight="1">
      <c r="A368" t="inlineStr">
        <is>
          <t>A 8135-2025</t>
        </is>
      </c>
      <c r="B368" s="1" t="n">
        <v>45707.84997685185</v>
      </c>
      <c r="C368" s="1" t="n">
        <v>46004</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55058-2021</t>
        </is>
      </c>
      <c r="B369" s="1" t="n">
        <v>44474.62141203704</v>
      </c>
      <c r="C369" s="1" t="n">
        <v>46004</v>
      </c>
      <c r="D369" t="inlineStr">
        <is>
          <t>STOCKHOLMS LÄN</t>
        </is>
      </c>
      <c r="E369" t="inlineStr">
        <is>
          <t>NORRTÄLJE</t>
        </is>
      </c>
      <c r="G369" t="n">
        <v>1.9</v>
      </c>
      <c r="H369" t="n">
        <v>0</v>
      </c>
      <c r="I369" t="n">
        <v>0</v>
      </c>
      <c r="J369" t="n">
        <v>0</v>
      </c>
      <c r="K369" t="n">
        <v>0</v>
      </c>
      <c r="L369" t="n">
        <v>0</v>
      </c>
      <c r="M369" t="n">
        <v>0</v>
      </c>
      <c r="N369" t="n">
        <v>0</v>
      </c>
      <c r="O369" t="n">
        <v>0</v>
      </c>
      <c r="P369" t="n">
        <v>0</v>
      </c>
      <c r="Q369" t="n">
        <v>0</v>
      </c>
      <c r="R369" s="2" t="inlineStr"/>
    </row>
    <row r="370" ht="15" customHeight="1">
      <c r="A370" t="inlineStr">
        <is>
          <t>A 3383-2023</t>
        </is>
      </c>
      <c r="B370" s="1" t="n">
        <v>44949</v>
      </c>
      <c r="C370" s="1" t="n">
        <v>46004</v>
      </c>
      <c r="D370" t="inlineStr">
        <is>
          <t>STOCKHOLMS LÄN</t>
        </is>
      </c>
      <c r="E370" t="inlineStr">
        <is>
          <t>NORRTÄLJE</t>
        </is>
      </c>
      <c r="G370" t="n">
        <v>14.6</v>
      </c>
      <c r="H370" t="n">
        <v>0</v>
      </c>
      <c r="I370" t="n">
        <v>0</v>
      </c>
      <c r="J370" t="n">
        <v>0</v>
      </c>
      <c r="K370" t="n">
        <v>0</v>
      </c>
      <c r="L370" t="n">
        <v>0</v>
      </c>
      <c r="M370" t="n">
        <v>0</v>
      </c>
      <c r="N370" t="n">
        <v>0</v>
      </c>
      <c r="O370" t="n">
        <v>0</v>
      </c>
      <c r="P370" t="n">
        <v>0</v>
      </c>
      <c r="Q370" t="n">
        <v>0</v>
      </c>
      <c r="R370" s="2" t="inlineStr"/>
    </row>
    <row r="371" ht="15" customHeight="1">
      <c r="A371" t="inlineStr">
        <is>
          <t>A 11122-2021</t>
        </is>
      </c>
      <c r="B371" s="1" t="n">
        <v>44260</v>
      </c>
      <c r="C371" s="1" t="n">
        <v>46004</v>
      </c>
      <c r="D371" t="inlineStr">
        <is>
          <t>STOCKHOLMS LÄN</t>
        </is>
      </c>
      <c r="E371" t="inlineStr">
        <is>
          <t>NORRTÄLJE</t>
        </is>
      </c>
      <c r="F371" t="inlineStr">
        <is>
          <t>Holmen skog AB</t>
        </is>
      </c>
      <c r="G371" t="n">
        <v>2.1</v>
      </c>
      <c r="H371" t="n">
        <v>0</v>
      </c>
      <c r="I371" t="n">
        <v>0</v>
      </c>
      <c r="J371" t="n">
        <v>0</v>
      </c>
      <c r="K371" t="n">
        <v>0</v>
      </c>
      <c r="L371" t="n">
        <v>0</v>
      </c>
      <c r="M371" t="n">
        <v>0</v>
      </c>
      <c r="N371" t="n">
        <v>0</v>
      </c>
      <c r="O371" t="n">
        <v>0</v>
      </c>
      <c r="P371" t="n">
        <v>0</v>
      </c>
      <c r="Q371" t="n">
        <v>0</v>
      </c>
      <c r="R371" s="2" t="inlineStr"/>
    </row>
    <row r="372" ht="15" customHeight="1">
      <c r="A372" t="inlineStr">
        <is>
          <t>A 13148-2021</t>
        </is>
      </c>
      <c r="B372" s="1" t="n">
        <v>44272</v>
      </c>
      <c r="C372" s="1" t="n">
        <v>46004</v>
      </c>
      <c r="D372" t="inlineStr">
        <is>
          <t>STOCKHOLMS LÄN</t>
        </is>
      </c>
      <c r="E372" t="inlineStr">
        <is>
          <t>NORRTÄLJE</t>
        </is>
      </c>
      <c r="G372" t="n">
        <v>12.4</v>
      </c>
      <c r="H372" t="n">
        <v>0</v>
      </c>
      <c r="I372" t="n">
        <v>0</v>
      </c>
      <c r="J372" t="n">
        <v>0</v>
      </c>
      <c r="K372" t="n">
        <v>0</v>
      </c>
      <c r="L372" t="n">
        <v>0</v>
      </c>
      <c r="M372" t="n">
        <v>0</v>
      </c>
      <c r="N372" t="n">
        <v>0</v>
      </c>
      <c r="O372" t="n">
        <v>0</v>
      </c>
      <c r="P372" t="n">
        <v>0</v>
      </c>
      <c r="Q372" t="n">
        <v>0</v>
      </c>
      <c r="R372" s="2" t="inlineStr"/>
    </row>
    <row r="373" ht="15" customHeight="1">
      <c r="A373" t="inlineStr">
        <is>
          <t>A 38049-2023</t>
        </is>
      </c>
      <c r="B373" s="1" t="n">
        <v>45159</v>
      </c>
      <c r="C373" s="1" t="n">
        <v>46004</v>
      </c>
      <c r="D373" t="inlineStr">
        <is>
          <t>STOCKHOLMS LÄN</t>
        </is>
      </c>
      <c r="E373" t="inlineStr">
        <is>
          <t>NORRTÄLJE</t>
        </is>
      </c>
      <c r="G373" t="n">
        <v>3.6</v>
      </c>
      <c r="H373" t="n">
        <v>0</v>
      </c>
      <c r="I373" t="n">
        <v>0</v>
      </c>
      <c r="J373" t="n">
        <v>0</v>
      </c>
      <c r="K373" t="n">
        <v>0</v>
      </c>
      <c r="L373" t="n">
        <v>0</v>
      </c>
      <c r="M373" t="n">
        <v>0</v>
      </c>
      <c r="N373" t="n">
        <v>0</v>
      </c>
      <c r="O373" t="n">
        <v>0</v>
      </c>
      <c r="P373" t="n">
        <v>0</v>
      </c>
      <c r="Q373" t="n">
        <v>0</v>
      </c>
      <c r="R373" s="2" t="inlineStr"/>
    </row>
    <row r="374" ht="15" customHeight="1">
      <c r="A374" t="inlineStr">
        <is>
          <t>A 21732-2023</t>
        </is>
      </c>
      <c r="B374" s="1" t="n">
        <v>45063</v>
      </c>
      <c r="C374" s="1" t="n">
        <v>46004</v>
      </c>
      <c r="D374" t="inlineStr">
        <is>
          <t>STOCKHOLMS LÄN</t>
        </is>
      </c>
      <c r="E374" t="inlineStr">
        <is>
          <t>NORRTÄLJE</t>
        </is>
      </c>
      <c r="G374" t="n">
        <v>1.7</v>
      </c>
      <c r="H374" t="n">
        <v>0</v>
      </c>
      <c r="I374" t="n">
        <v>0</v>
      </c>
      <c r="J374" t="n">
        <v>0</v>
      </c>
      <c r="K374" t="n">
        <v>0</v>
      </c>
      <c r="L374" t="n">
        <v>0</v>
      </c>
      <c r="M374" t="n">
        <v>0</v>
      </c>
      <c r="N374" t="n">
        <v>0</v>
      </c>
      <c r="O374" t="n">
        <v>0</v>
      </c>
      <c r="P374" t="n">
        <v>0</v>
      </c>
      <c r="Q374" t="n">
        <v>0</v>
      </c>
      <c r="R374" s="2" t="inlineStr"/>
    </row>
    <row r="375" ht="15" customHeight="1">
      <c r="A375" t="inlineStr">
        <is>
          <t>A 55012-2024</t>
        </is>
      </c>
      <c r="B375" s="1" t="n">
        <v>45621.34813657407</v>
      </c>
      <c r="C375" s="1" t="n">
        <v>46004</v>
      </c>
      <c r="D375" t="inlineStr">
        <is>
          <t>STOCKHOLMS LÄN</t>
        </is>
      </c>
      <c r="E375" t="inlineStr">
        <is>
          <t>NORRTÄLJE</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23307-2024</t>
        </is>
      </c>
      <c r="B376" s="1" t="n">
        <v>45453</v>
      </c>
      <c r="C376" s="1" t="n">
        <v>46004</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59535-2024</t>
        </is>
      </c>
      <c r="B377" s="1" t="n">
        <v>45638.59979166667</v>
      </c>
      <c r="C377" s="1" t="n">
        <v>46004</v>
      </c>
      <c r="D377" t="inlineStr">
        <is>
          <t>STOCKHOLMS LÄN</t>
        </is>
      </c>
      <c r="E377" t="inlineStr">
        <is>
          <t>NORRTÄLJE</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31926-2022</t>
        </is>
      </c>
      <c r="B378" s="1" t="n">
        <v>44777</v>
      </c>
      <c r="C378" s="1" t="n">
        <v>46004</v>
      </c>
      <c r="D378" t="inlineStr">
        <is>
          <t>STOCKHOLMS LÄN</t>
        </is>
      </c>
      <c r="E378" t="inlineStr">
        <is>
          <t>NORRTÄLJE</t>
        </is>
      </c>
      <c r="G378" t="n">
        <v>5.2</v>
      </c>
      <c r="H378" t="n">
        <v>0</v>
      </c>
      <c r="I378" t="n">
        <v>0</v>
      </c>
      <c r="J378" t="n">
        <v>0</v>
      </c>
      <c r="K378" t="n">
        <v>0</v>
      </c>
      <c r="L378" t="n">
        <v>0</v>
      </c>
      <c r="M378" t="n">
        <v>0</v>
      </c>
      <c r="N378" t="n">
        <v>0</v>
      </c>
      <c r="O378" t="n">
        <v>0</v>
      </c>
      <c r="P378" t="n">
        <v>0</v>
      </c>
      <c r="Q378" t="n">
        <v>0</v>
      </c>
      <c r="R378" s="2" t="inlineStr"/>
    </row>
    <row r="379" ht="15" customHeight="1">
      <c r="A379" t="inlineStr">
        <is>
          <t>A 21480-2022</t>
        </is>
      </c>
      <c r="B379" s="1" t="n">
        <v>44704</v>
      </c>
      <c r="C379" s="1" t="n">
        <v>46004</v>
      </c>
      <c r="D379" t="inlineStr">
        <is>
          <t>STOCKHOLMS LÄN</t>
        </is>
      </c>
      <c r="E379" t="inlineStr">
        <is>
          <t>NORRTÄLJE</t>
        </is>
      </c>
      <c r="G379" t="n">
        <v>2.8</v>
      </c>
      <c r="H379" t="n">
        <v>0</v>
      </c>
      <c r="I379" t="n">
        <v>0</v>
      </c>
      <c r="J379" t="n">
        <v>0</v>
      </c>
      <c r="K379" t="n">
        <v>0</v>
      </c>
      <c r="L379" t="n">
        <v>0</v>
      </c>
      <c r="M379" t="n">
        <v>0</v>
      </c>
      <c r="N379" t="n">
        <v>0</v>
      </c>
      <c r="O379" t="n">
        <v>0</v>
      </c>
      <c r="P379" t="n">
        <v>0</v>
      </c>
      <c r="Q379" t="n">
        <v>0</v>
      </c>
      <c r="R379" s="2" t="inlineStr"/>
    </row>
    <row r="380" ht="15" customHeight="1">
      <c r="A380" t="inlineStr">
        <is>
          <t>A 11041-2025</t>
        </is>
      </c>
      <c r="B380" s="1" t="n">
        <v>45723</v>
      </c>
      <c r="C380" s="1" t="n">
        <v>46004</v>
      </c>
      <c r="D380" t="inlineStr">
        <is>
          <t>STOCKHOLMS LÄN</t>
        </is>
      </c>
      <c r="E380" t="inlineStr">
        <is>
          <t>NORRTÄLJE</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9469-2021</t>
        </is>
      </c>
      <c r="B381" s="1" t="n">
        <v>44251</v>
      </c>
      <c r="C381" s="1" t="n">
        <v>46004</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24024-2024</t>
        </is>
      </c>
      <c r="B382" s="1" t="n">
        <v>45456</v>
      </c>
      <c r="C382" s="1" t="n">
        <v>46004</v>
      </c>
      <c r="D382" t="inlineStr">
        <is>
          <t>STOCKHOLMS LÄN</t>
        </is>
      </c>
      <c r="E382" t="inlineStr">
        <is>
          <t>NORRTÄLJE</t>
        </is>
      </c>
      <c r="G382" t="n">
        <v>1.9</v>
      </c>
      <c r="H382" t="n">
        <v>0</v>
      </c>
      <c r="I382" t="n">
        <v>0</v>
      </c>
      <c r="J382" t="n">
        <v>0</v>
      </c>
      <c r="K382" t="n">
        <v>0</v>
      </c>
      <c r="L382" t="n">
        <v>0</v>
      </c>
      <c r="M382" t="n">
        <v>0</v>
      </c>
      <c r="N382" t="n">
        <v>0</v>
      </c>
      <c r="O382" t="n">
        <v>0</v>
      </c>
      <c r="P382" t="n">
        <v>0</v>
      </c>
      <c r="Q382" t="n">
        <v>0</v>
      </c>
      <c r="R382" s="2" t="inlineStr"/>
    </row>
    <row r="383" ht="15" customHeight="1">
      <c r="A383" t="inlineStr">
        <is>
          <t>A 28809-2023</t>
        </is>
      </c>
      <c r="B383" s="1" t="n">
        <v>45104</v>
      </c>
      <c r="C383" s="1" t="n">
        <v>46004</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28813-2023</t>
        </is>
      </c>
      <c r="B384" s="1" t="n">
        <v>45104</v>
      </c>
      <c r="C384" s="1" t="n">
        <v>46004</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3386-2021</t>
        </is>
      </c>
      <c r="B385" s="1" t="n">
        <v>44218</v>
      </c>
      <c r="C385" s="1" t="n">
        <v>46004</v>
      </c>
      <c r="D385" t="inlineStr">
        <is>
          <t>STOCKHOLMS LÄN</t>
        </is>
      </c>
      <c r="E385" t="inlineStr">
        <is>
          <t>NORRTÄLJE</t>
        </is>
      </c>
      <c r="G385" t="n">
        <v>8</v>
      </c>
      <c r="H385" t="n">
        <v>0</v>
      </c>
      <c r="I385" t="n">
        <v>0</v>
      </c>
      <c r="J385" t="n">
        <v>0</v>
      </c>
      <c r="K385" t="n">
        <v>0</v>
      </c>
      <c r="L385" t="n">
        <v>0</v>
      </c>
      <c r="M385" t="n">
        <v>0</v>
      </c>
      <c r="N385" t="n">
        <v>0</v>
      </c>
      <c r="O385" t="n">
        <v>0</v>
      </c>
      <c r="P385" t="n">
        <v>0</v>
      </c>
      <c r="Q385" t="n">
        <v>0</v>
      </c>
      <c r="R385" s="2" t="inlineStr"/>
    </row>
    <row r="386" ht="15" customHeight="1">
      <c r="A386" t="inlineStr">
        <is>
          <t>A 40656-2022</t>
        </is>
      </c>
      <c r="B386" s="1" t="n">
        <v>44824.36069444445</v>
      </c>
      <c r="C386" s="1" t="n">
        <v>46004</v>
      </c>
      <c r="D386" t="inlineStr">
        <is>
          <t>STOCKHOLMS LÄN</t>
        </is>
      </c>
      <c r="E386" t="inlineStr">
        <is>
          <t>NORRTÄLJE</t>
        </is>
      </c>
      <c r="G386" t="n">
        <v>2.7</v>
      </c>
      <c r="H386" t="n">
        <v>0</v>
      </c>
      <c r="I386" t="n">
        <v>0</v>
      </c>
      <c r="J386" t="n">
        <v>0</v>
      </c>
      <c r="K386" t="n">
        <v>0</v>
      </c>
      <c r="L386" t="n">
        <v>0</v>
      </c>
      <c r="M386" t="n">
        <v>0</v>
      </c>
      <c r="N386" t="n">
        <v>0</v>
      </c>
      <c r="O386" t="n">
        <v>0</v>
      </c>
      <c r="P386" t="n">
        <v>0</v>
      </c>
      <c r="Q386" t="n">
        <v>0</v>
      </c>
      <c r="R386" s="2" t="inlineStr"/>
    </row>
    <row r="387" ht="15" customHeight="1">
      <c r="A387" t="inlineStr">
        <is>
          <t>A 37085-2021</t>
        </is>
      </c>
      <c r="B387" s="1" t="n">
        <v>44395</v>
      </c>
      <c r="C387" s="1" t="n">
        <v>46004</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56428-2023</t>
        </is>
      </c>
      <c r="B388" s="1" t="n">
        <v>45243.45289351852</v>
      </c>
      <c r="C388" s="1" t="n">
        <v>46004</v>
      </c>
      <c r="D388" t="inlineStr">
        <is>
          <t>STOCKHOLMS LÄN</t>
        </is>
      </c>
      <c r="E388" t="inlineStr">
        <is>
          <t>NORRTÄLJE</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7413-2024</t>
        </is>
      </c>
      <c r="B389" s="1" t="n">
        <v>45345.6059837963</v>
      </c>
      <c r="C389" s="1" t="n">
        <v>46004</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12251-2025</t>
        </is>
      </c>
      <c r="B390" s="1" t="n">
        <v>45729.60859953704</v>
      </c>
      <c r="C390" s="1" t="n">
        <v>46004</v>
      </c>
      <c r="D390" t="inlineStr">
        <is>
          <t>STOCKHOLMS LÄN</t>
        </is>
      </c>
      <c r="E390" t="inlineStr">
        <is>
          <t>NORRTÄLJE</t>
        </is>
      </c>
      <c r="F390" t="inlineStr">
        <is>
          <t>Holmen skog AB</t>
        </is>
      </c>
      <c r="G390" t="n">
        <v>5.9</v>
      </c>
      <c r="H390" t="n">
        <v>0</v>
      </c>
      <c r="I390" t="n">
        <v>0</v>
      </c>
      <c r="J390" t="n">
        <v>0</v>
      </c>
      <c r="K390" t="n">
        <v>0</v>
      </c>
      <c r="L390" t="n">
        <v>0</v>
      </c>
      <c r="M390" t="n">
        <v>0</v>
      </c>
      <c r="N390" t="n">
        <v>0</v>
      </c>
      <c r="O390" t="n">
        <v>0</v>
      </c>
      <c r="P390" t="n">
        <v>0</v>
      </c>
      <c r="Q390" t="n">
        <v>0</v>
      </c>
      <c r="R390" s="2" t="inlineStr"/>
    </row>
    <row r="391" ht="15" customHeight="1">
      <c r="A391" t="inlineStr">
        <is>
          <t>A 58863-2024</t>
        </is>
      </c>
      <c r="B391" s="1" t="n">
        <v>45636.41572916666</v>
      </c>
      <c r="C391" s="1" t="n">
        <v>46004</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60694-2024</t>
        </is>
      </c>
      <c r="B392" s="1" t="n">
        <v>45644.47878472223</v>
      </c>
      <c r="C392" s="1" t="n">
        <v>46004</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17556-2025</t>
        </is>
      </c>
      <c r="B393" s="1" t="n">
        <v>45757.62482638889</v>
      </c>
      <c r="C393" s="1" t="n">
        <v>46004</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50154-2024</t>
        </is>
      </c>
      <c r="B394" s="1" t="n">
        <v>45600.4558912037</v>
      </c>
      <c r="C394" s="1" t="n">
        <v>46004</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4183-2025</t>
        </is>
      </c>
      <c r="B395" s="1" t="n">
        <v>45685.44592592592</v>
      </c>
      <c r="C395" s="1" t="n">
        <v>46004</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42094-2023</t>
        </is>
      </c>
      <c r="B396" s="1" t="n">
        <v>45177.61498842593</v>
      </c>
      <c r="C396" s="1" t="n">
        <v>46004</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9480-2025</t>
        </is>
      </c>
      <c r="B397" s="1" t="n">
        <v>45715</v>
      </c>
      <c r="C397" s="1" t="n">
        <v>46004</v>
      </c>
      <c r="D397" t="inlineStr">
        <is>
          <t>STOCKHOLMS LÄN</t>
        </is>
      </c>
      <c r="E397" t="inlineStr">
        <is>
          <t>NORRTÄLJE</t>
        </is>
      </c>
      <c r="F397" t="inlineStr">
        <is>
          <t>Övriga Aktiebolag</t>
        </is>
      </c>
      <c r="G397" t="n">
        <v>3.9</v>
      </c>
      <c r="H397" t="n">
        <v>0</v>
      </c>
      <c r="I397" t="n">
        <v>0</v>
      </c>
      <c r="J397" t="n">
        <v>0</v>
      </c>
      <c r="K397" t="n">
        <v>0</v>
      </c>
      <c r="L397" t="n">
        <v>0</v>
      </c>
      <c r="M397" t="n">
        <v>0</v>
      </c>
      <c r="N397" t="n">
        <v>0</v>
      </c>
      <c r="O397" t="n">
        <v>0</v>
      </c>
      <c r="P397" t="n">
        <v>0</v>
      </c>
      <c r="Q397" t="n">
        <v>0</v>
      </c>
      <c r="R397" s="2" t="inlineStr"/>
    </row>
    <row r="398" ht="15" customHeight="1">
      <c r="A398" t="inlineStr">
        <is>
          <t>A 11900-2024</t>
        </is>
      </c>
      <c r="B398" s="1" t="n">
        <v>45376.55484953704</v>
      </c>
      <c r="C398" s="1" t="n">
        <v>46004</v>
      </c>
      <c r="D398" t="inlineStr">
        <is>
          <t>STOCKHOLMS LÄN</t>
        </is>
      </c>
      <c r="E398" t="inlineStr">
        <is>
          <t>NORRTÄLJE</t>
        </is>
      </c>
      <c r="G398" t="n">
        <v>4.2</v>
      </c>
      <c r="H398" t="n">
        <v>0</v>
      </c>
      <c r="I398" t="n">
        <v>0</v>
      </c>
      <c r="J398" t="n">
        <v>0</v>
      </c>
      <c r="K398" t="n">
        <v>0</v>
      </c>
      <c r="L398" t="n">
        <v>0</v>
      </c>
      <c r="M398" t="n">
        <v>0</v>
      </c>
      <c r="N398" t="n">
        <v>0</v>
      </c>
      <c r="O398" t="n">
        <v>0</v>
      </c>
      <c r="P398" t="n">
        <v>0</v>
      </c>
      <c r="Q398" t="n">
        <v>0</v>
      </c>
      <c r="R398" s="2" t="inlineStr"/>
    </row>
    <row r="399" ht="15" customHeight="1">
      <c r="A399" t="inlineStr">
        <is>
          <t>A 19450-2025</t>
        </is>
      </c>
      <c r="B399" s="1" t="n">
        <v>45770</v>
      </c>
      <c r="C399" s="1" t="n">
        <v>46004</v>
      </c>
      <c r="D399" t="inlineStr">
        <is>
          <t>STOCKHOLMS LÄN</t>
        </is>
      </c>
      <c r="E399" t="inlineStr">
        <is>
          <t>NORRTÄLJE</t>
        </is>
      </c>
      <c r="G399" t="n">
        <v>5.3</v>
      </c>
      <c r="H399" t="n">
        <v>0</v>
      </c>
      <c r="I399" t="n">
        <v>0</v>
      </c>
      <c r="J399" t="n">
        <v>0</v>
      </c>
      <c r="K399" t="n">
        <v>0</v>
      </c>
      <c r="L399" t="n">
        <v>0</v>
      </c>
      <c r="M399" t="n">
        <v>0</v>
      </c>
      <c r="N399" t="n">
        <v>0</v>
      </c>
      <c r="O399" t="n">
        <v>0</v>
      </c>
      <c r="P399" t="n">
        <v>0</v>
      </c>
      <c r="Q399" t="n">
        <v>0</v>
      </c>
      <c r="R399" s="2" t="inlineStr"/>
    </row>
    <row r="400" ht="15" customHeight="1">
      <c r="A400" t="inlineStr">
        <is>
          <t>A 24522-2023</t>
        </is>
      </c>
      <c r="B400" s="1" t="n">
        <v>45082.69179398148</v>
      </c>
      <c r="C400" s="1" t="n">
        <v>46004</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25625-2023</t>
        </is>
      </c>
      <c r="B401" s="1" t="n">
        <v>45089</v>
      </c>
      <c r="C401" s="1" t="n">
        <v>46004</v>
      </c>
      <c r="D401" t="inlineStr">
        <is>
          <t>STOCKHOLMS LÄN</t>
        </is>
      </c>
      <c r="E401" t="inlineStr">
        <is>
          <t>NORRTÄLJE</t>
        </is>
      </c>
      <c r="G401" t="n">
        <v>5.5</v>
      </c>
      <c r="H401" t="n">
        <v>0</v>
      </c>
      <c r="I401" t="n">
        <v>0</v>
      </c>
      <c r="J401" t="n">
        <v>0</v>
      </c>
      <c r="K401" t="n">
        <v>0</v>
      </c>
      <c r="L401" t="n">
        <v>0</v>
      </c>
      <c r="M401" t="n">
        <v>0</v>
      </c>
      <c r="N401" t="n">
        <v>0</v>
      </c>
      <c r="O401" t="n">
        <v>0</v>
      </c>
      <c r="P401" t="n">
        <v>0</v>
      </c>
      <c r="Q401" t="n">
        <v>0</v>
      </c>
      <c r="R401" s="2" t="inlineStr"/>
    </row>
    <row r="402" ht="15" customHeight="1">
      <c r="A402" t="inlineStr">
        <is>
          <t>A 37147-2023</t>
        </is>
      </c>
      <c r="B402" s="1" t="n">
        <v>45155</v>
      </c>
      <c r="C402" s="1" t="n">
        <v>46004</v>
      </c>
      <c r="D402" t="inlineStr">
        <is>
          <t>STOCKHOLMS LÄN</t>
        </is>
      </c>
      <c r="E402" t="inlineStr">
        <is>
          <t>NORRTÄLJE</t>
        </is>
      </c>
      <c r="G402" t="n">
        <v>8</v>
      </c>
      <c r="H402" t="n">
        <v>0</v>
      </c>
      <c r="I402" t="n">
        <v>0</v>
      </c>
      <c r="J402" t="n">
        <v>0</v>
      </c>
      <c r="K402" t="n">
        <v>0</v>
      </c>
      <c r="L402" t="n">
        <v>0</v>
      </c>
      <c r="M402" t="n">
        <v>0</v>
      </c>
      <c r="N402" t="n">
        <v>0</v>
      </c>
      <c r="O402" t="n">
        <v>0</v>
      </c>
      <c r="P402" t="n">
        <v>0</v>
      </c>
      <c r="Q402" t="n">
        <v>0</v>
      </c>
      <c r="R402" s="2" t="inlineStr"/>
    </row>
    <row r="403" ht="15" customHeight="1">
      <c r="A403" t="inlineStr">
        <is>
          <t>A 7186-2024</t>
        </is>
      </c>
      <c r="B403" s="1" t="n">
        <v>45344</v>
      </c>
      <c r="C403" s="1" t="n">
        <v>46004</v>
      </c>
      <c r="D403" t="inlineStr">
        <is>
          <t>STOCKHOLMS LÄN</t>
        </is>
      </c>
      <c r="E403" t="inlineStr">
        <is>
          <t>NORRTÄLJE</t>
        </is>
      </c>
      <c r="G403" t="n">
        <v>4.9</v>
      </c>
      <c r="H403" t="n">
        <v>0</v>
      </c>
      <c r="I403" t="n">
        <v>0</v>
      </c>
      <c r="J403" t="n">
        <v>0</v>
      </c>
      <c r="K403" t="n">
        <v>0</v>
      </c>
      <c r="L403" t="n">
        <v>0</v>
      </c>
      <c r="M403" t="n">
        <v>0</v>
      </c>
      <c r="N403" t="n">
        <v>0</v>
      </c>
      <c r="O403" t="n">
        <v>0</v>
      </c>
      <c r="P403" t="n">
        <v>0</v>
      </c>
      <c r="Q403" t="n">
        <v>0</v>
      </c>
      <c r="R403" s="2" t="inlineStr"/>
    </row>
    <row r="404" ht="15" customHeight="1">
      <c r="A404" t="inlineStr">
        <is>
          <t>A 57602-2024</t>
        </is>
      </c>
      <c r="B404" s="1" t="n">
        <v>45630.52866898148</v>
      </c>
      <c r="C404" s="1" t="n">
        <v>46004</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64600-2021</t>
        </is>
      </c>
      <c r="B405" s="1" t="n">
        <v>44511.70518518519</v>
      </c>
      <c r="C405" s="1" t="n">
        <v>46004</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42867-2022</t>
        </is>
      </c>
      <c r="B406" s="1" t="n">
        <v>44832</v>
      </c>
      <c r="C406" s="1" t="n">
        <v>46004</v>
      </c>
      <c r="D406" t="inlineStr">
        <is>
          <t>STOCKHOLMS LÄN</t>
        </is>
      </c>
      <c r="E406" t="inlineStr">
        <is>
          <t>NORRTÄLJE</t>
        </is>
      </c>
      <c r="G406" t="n">
        <v>6.4</v>
      </c>
      <c r="H406" t="n">
        <v>0</v>
      </c>
      <c r="I406" t="n">
        <v>0</v>
      </c>
      <c r="J406" t="n">
        <v>0</v>
      </c>
      <c r="K406" t="n">
        <v>0</v>
      </c>
      <c r="L406" t="n">
        <v>0</v>
      </c>
      <c r="M406" t="n">
        <v>0</v>
      </c>
      <c r="N406" t="n">
        <v>0</v>
      </c>
      <c r="O406" t="n">
        <v>0</v>
      </c>
      <c r="P406" t="n">
        <v>0</v>
      </c>
      <c r="Q406" t="n">
        <v>0</v>
      </c>
      <c r="R406" s="2" t="inlineStr"/>
    </row>
    <row r="407" ht="15" customHeight="1">
      <c r="A407" t="inlineStr">
        <is>
          <t>A 50602-2021</t>
        </is>
      </c>
      <c r="B407" s="1" t="n">
        <v>44459</v>
      </c>
      <c r="C407" s="1" t="n">
        <v>46004</v>
      </c>
      <c r="D407" t="inlineStr">
        <is>
          <t>STOCKHOLMS LÄN</t>
        </is>
      </c>
      <c r="E407" t="inlineStr">
        <is>
          <t>NORRTÄLJE</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26365-2024</t>
        </is>
      </c>
      <c r="B408" s="1" t="n">
        <v>45469</v>
      </c>
      <c r="C408" s="1" t="n">
        <v>46004</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8370-2025</t>
        </is>
      </c>
      <c r="B409" s="1" t="n">
        <v>45708</v>
      </c>
      <c r="C409" s="1" t="n">
        <v>46004</v>
      </c>
      <c r="D409" t="inlineStr">
        <is>
          <t>STOCKHOLMS LÄN</t>
        </is>
      </c>
      <c r="E409" t="inlineStr">
        <is>
          <t>NORRTÄLJE</t>
        </is>
      </c>
      <c r="F409" t="inlineStr">
        <is>
          <t>Övriga Aktiebolag</t>
        </is>
      </c>
      <c r="G409" t="n">
        <v>5.6</v>
      </c>
      <c r="H409" t="n">
        <v>0</v>
      </c>
      <c r="I409" t="n">
        <v>0</v>
      </c>
      <c r="J409" t="n">
        <v>0</v>
      </c>
      <c r="K409" t="n">
        <v>0</v>
      </c>
      <c r="L409" t="n">
        <v>0</v>
      </c>
      <c r="M409" t="n">
        <v>0</v>
      </c>
      <c r="N409" t="n">
        <v>0</v>
      </c>
      <c r="O409" t="n">
        <v>0</v>
      </c>
      <c r="P409" t="n">
        <v>0</v>
      </c>
      <c r="Q409" t="n">
        <v>0</v>
      </c>
      <c r="R409" s="2" t="inlineStr"/>
    </row>
    <row r="410" ht="15" customHeight="1">
      <c r="A410" t="inlineStr">
        <is>
          <t>A 3299-2022</t>
        </is>
      </c>
      <c r="B410" s="1" t="n">
        <v>44584.91001157407</v>
      </c>
      <c r="C410" s="1" t="n">
        <v>46004</v>
      </c>
      <c r="D410" t="inlineStr">
        <is>
          <t>STOCKHOLMS LÄN</t>
        </is>
      </c>
      <c r="E410" t="inlineStr">
        <is>
          <t>NORRTÄLJE</t>
        </is>
      </c>
      <c r="G410" t="n">
        <v>2.7</v>
      </c>
      <c r="H410" t="n">
        <v>0</v>
      </c>
      <c r="I410" t="n">
        <v>0</v>
      </c>
      <c r="J410" t="n">
        <v>0</v>
      </c>
      <c r="K410" t="n">
        <v>0</v>
      </c>
      <c r="L410" t="n">
        <v>0</v>
      </c>
      <c r="M410" t="n">
        <v>0</v>
      </c>
      <c r="N410" t="n">
        <v>0</v>
      </c>
      <c r="O410" t="n">
        <v>0</v>
      </c>
      <c r="P410" t="n">
        <v>0</v>
      </c>
      <c r="Q410" t="n">
        <v>0</v>
      </c>
      <c r="R410" s="2" t="inlineStr"/>
    </row>
    <row r="411" ht="15" customHeight="1">
      <c r="A411" t="inlineStr">
        <is>
          <t>A 26640-2023</t>
        </is>
      </c>
      <c r="B411" s="1" t="n">
        <v>45092</v>
      </c>
      <c r="C411" s="1" t="n">
        <v>46004</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31827-2023</t>
        </is>
      </c>
      <c r="B412" s="1" t="n">
        <v>45118</v>
      </c>
      <c r="C412" s="1" t="n">
        <v>46004</v>
      </c>
      <c r="D412" t="inlineStr">
        <is>
          <t>STOCKHOLMS LÄN</t>
        </is>
      </c>
      <c r="E412" t="inlineStr">
        <is>
          <t>NORRTÄLJE</t>
        </is>
      </c>
      <c r="F412" t="inlineStr">
        <is>
          <t>Kyrkan</t>
        </is>
      </c>
      <c r="G412" t="n">
        <v>4.9</v>
      </c>
      <c r="H412" t="n">
        <v>0</v>
      </c>
      <c r="I412" t="n">
        <v>0</v>
      </c>
      <c r="J412" t="n">
        <v>0</v>
      </c>
      <c r="K412" t="n">
        <v>0</v>
      </c>
      <c r="L412" t="n">
        <v>0</v>
      </c>
      <c r="M412" t="n">
        <v>0</v>
      </c>
      <c r="N412" t="n">
        <v>0</v>
      </c>
      <c r="O412" t="n">
        <v>0</v>
      </c>
      <c r="P412" t="n">
        <v>0</v>
      </c>
      <c r="Q412" t="n">
        <v>0</v>
      </c>
      <c r="R412" s="2" t="inlineStr"/>
    </row>
    <row r="413" ht="15" customHeight="1">
      <c r="A413" t="inlineStr">
        <is>
          <t>A 58993-2022</t>
        </is>
      </c>
      <c r="B413" s="1" t="n">
        <v>44903</v>
      </c>
      <c r="C413" s="1" t="n">
        <v>46004</v>
      </c>
      <c r="D413" t="inlineStr">
        <is>
          <t>STOCKHOLMS LÄN</t>
        </is>
      </c>
      <c r="E413" t="inlineStr">
        <is>
          <t>NORRTÄLJE</t>
        </is>
      </c>
      <c r="G413" t="n">
        <v>2.3</v>
      </c>
      <c r="H413" t="n">
        <v>0</v>
      </c>
      <c r="I413" t="n">
        <v>0</v>
      </c>
      <c r="J413" t="n">
        <v>0</v>
      </c>
      <c r="K413" t="n">
        <v>0</v>
      </c>
      <c r="L413" t="n">
        <v>0</v>
      </c>
      <c r="M413" t="n">
        <v>0</v>
      </c>
      <c r="N413" t="n">
        <v>0</v>
      </c>
      <c r="O413" t="n">
        <v>0</v>
      </c>
      <c r="P413" t="n">
        <v>0</v>
      </c>
      <c r="Q413" t="n">
        <v>0</v>
      </c>
      <c r="R413" s="2" t="inlineStr"/>
    </row>
    <row r="414" ht="15" customHeight="1">
      <c r="A414" t="inlineStr">
        <is>
          <t>A 28900-2022</t>
        </is>
      </c>
      <c r="B414" s="1" t="n">
        <v>44749.55258101852</v>
      </c>
      <c r="C414" s="1" t="n">
        <v>46004</v>
      </c>
      <c r="D414" t="inlineStr">
        <is>
          <t>STOCKHOLMS LÄN</t>
        </is>
      </c>
      <c r="E414" t="inlineStr">
        <is>
          <t>NORRTÄLJE</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17574-2025</t>
        </is>
      </c>
      <c r="B415" s="1" t="n">
        <v>45757.65178240741</v>
      </c>
      <c r="C415" s="1" t="n">
        <v>46004</v>
      </c>
      <c r="D415" t="inlineStr">
        <is>
          <t>STOCKHOLMS LÄN</t>
        </is>
      </c>
      <c r="E415" t="inlineStr">
        <is>
          <t>NORRTÄLJE</t>
        </is>
      </c>
      <c r="G415" t="n">
        <v>1.8</v>
      </c>
      <c r="H415" t="n">
        <v>0</v>
      </c>
      <c r="I415" t="n">
        <v>0</v>
      </c>
      <c r="J415" t="n">
        <v>0</v>
      </c>
      <c r="K415" t="n">
        <v>0</v>
      </c>
      <c r="L415" t="n">
        <v>0</v>
      </c>
      <c r="M415" t="n">
        <v>0</v>
      </c>
      <c r="N415" t="n">
        <v>0</v>
      </c>
      <c r="O415" t="n">
        <v>0</v>
      </c>
      <c r="P415" t="n">
        <v>0</v>
      </c>
      <c r="Q415" t="n">
        <v>0</v>
      </c>
      <c r="R415" s="2" t="inlineStr"/>
    </row>
    <row r="416" ht="15" customHeight="1">
      <c r="A416" t="inlineStr">
        <is>
          <t>A 12348-2025</t>
        </is>
      </c>
      <c r="B416" s="1" t="n">
        <v>45730.35026620371</v>
      </c>
      <c r="C416" s="1" t="n">
        <v>46004</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23749-2024</t>
        </is>
      </c>
      <c r="B417" s="1" t="n">
        <v>45455.33037037037</v>
      </c>
      <c r="C417" s="1" t="n">
        <v>46004</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17545-2025</t>
        </is>
      </c>
      <c r="B418" s="1" t="n">
        <v>45757.60658564815</v>
      </c>
      <c r="C418" s="1" t="n">
        <v>46004</v>
      </c>
      <c r="D418" t="inlineStr">
        <is>
          <t>STOCKHOLMS LÄN</t>
        </is>
      </c>
      <c r="E418" t="inlineStr">
        <is>
          <t>NORRTÄLJE</t>
        </is>
      </c>
      <c r="G418" t="n">
        <v>1.6</v>
      </c>
      <c r="H418" t="n">
        <v>0</v>
      </c>
      <c r="I418" t="n">
        <v>0</v>
      </c>
      <c r="J418" t="n">
        <v>0</v>
      </c>
      <c r="K418" t="n">
        <v>0</v>
      </c>
      <c r="L418" t="n">
        <v>0</v>
      </c>
      <c r="M418" t="n">
        <v>0</v>
      </c>
      <c r="N418" t="n">
        <v>0</v>
      </c>
      <c r="O418" t="n">
        <v>0</v>
      </c>
      <c r="P418" t="n">
        <v>0</v>
      </c>
      <c r="Q418" t="n">
        <v>0</v>
      </c>
      <c r="R418" s="2" t="inlineStr"/>
    </row>
    <row r="419" ht="15" customHeight="1">
      <c r="A419" t="inlineStr">
        <is>
          <t>A 58297-2023</t>
        </is>
      </c>
      <c r="B419" s="1" t="n">
        <v>45245</v>
      </c>
      <c r="C419" s="1" t="n">
        <v>46004</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20304-2023</t>
        </is>
      </c>
      <c r="B420" s="1" t="n">
        <v>45056</v>
      </c>
      <c r="C420" s="1" t="n">
        <v>46004</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12299-2025</t>
        </is>
      </c>
      <c r="B421" s="1" t="n">
        <v>45729.71065972222</v>
      </c>
      <c r="C421" s="1" t="n">
        <v>46004</v>
      </c>
      <c r="D421" t="inlineStr">
        <is>
          <t>STOCKHOLMS LÄN</t>
        </is>
      </c>
      <c r="E421" t="inlineStr">
        <is>
          <t>NORRTÄLJE</t>
        </is>
      </c>
      <c r="F421" t="inlineStr">
        <is>
          <t>Holmen skog AB</t>
        </is>
      </c>
      <c r="G421" t="n">
        <v>6.9</v>
      </c>
      <c r="H421" t="n">
        <v>0</v>
      </c>
      <c r="I421" t="n">
        <v>0</v>
      </c>
      <c r="J421" t="n">
        <v>0</v>
      </c>
      <c r="K421" t="n">
        <v>0</v>
      </c>
      <c r="L421" t="n">
        <v>0</v>
      </c>
      <c r="M421" t="n">
        <v>0</v>
      </c>
      <c r="N421" t="n">
        <v>0</v>
      </c>
      <c r="O421" t="n">
        <v>0</v>
      </c>
      <c r="P421" t="n">
        <v>0</v>
      </c>
      <c r="Q421" t="n">
        <v>0</v>
      </c>
      <c r="R421" s="2" t="inlineStr"/>
    </row>
    <row r="422" ht="15" customHeight="1">
      <c r="A422" t="inlineStr">
        <is>
          <t>A 22157-2023</t>
        </is>
      </c>
      <c r="B422" s="1" t="n">
        <v>45069</v>
      </c>
      <c r="C422" s="1" t="n">
        <v>46004</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c r="U422">
        <f>HYPERLINK("https://klasma.github.io/Logging_0188/knärot/A 22157-2023 karta knärot.png", "A 22157-2023")</f>
        <v/>
      </c>
      <c r="V422">
        <f>HYPERLINK("https://klasma.github.io/Logging_0188/klagomål/A 22157-2023 FSC-klagomål.docx", "A 22157-2023")</f>
        <v/>
      </c>
      <c r="W422">
        <f>HYPERLINK("https://klasma.github.io/Logging_0188/klagomålsmail/A 22157-2023 FSC-klagomål mail.docx", "A 22157-2023")</f>
        <v/>
      </c>
      <c r="X422">
        <f>HYPERLINK("https://klasma.github.io/Logging_0188/tillsyn/A 22157-2023 tillsynsbegäran.docx", "A 22157-2023")</f>
        <v/>
      </c>
      <c r="Y422">
        <f>HYPERLINK("https://klasma.github.io/Logging_0188/tillsynsmail/A 22157-2023 tillsynsbegäran mail.docx", "A 22157-2023")</f>
        <v/>
      </c>
    </row>
    <row r="423" ht="15" customHeight="1">
      <c r="A423" t="inlineStr">
        <is>
          <t>A 58277-2023</t>
        </is>
      </c>
      <c r="B423" s="1" t="n">
        <v>45245</v>
      </c>
      <c r="C423" s="1" t="n">
        <v>46004</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25094-2023</t>
        </is>
      </c>
      <c r="B424" s="1" t="n">
        <v>45086.3629050926</v>
      </c>
      <c r="C424" s="1" t="n">
        <v>46004</v>
      </c>
      <c r="D424" t="inlineStr">
        <is>
          <t>STOCKHOLMS LÄN</t>
        </is>
      </c>
      <c r="E424" t="inlineStr">
        <is>
          <t>NORRTÄLJE</t>
        </is>
      </c>
      <c r="G424" t="n">
        <v>0.6</v>
      </c>
      <c r="H424" t="n">
        <v>0</v>
      </c>
      <c r="I424" t="n">
        <v>0</v>
      </c>
      <c r="J424" t="n">
        <v>0</v>
      </c>
      <c r="K424" t="n">
        <v>0</v>
      </c>
      <c r="L424" t="n">
        <v>0</v>
      </c>
      <c r="M424" t="n">
        <v>0</v>
      </c>
      <c r="N424" t="n">
        <v>0</v>
      </c>
      <c r="O424" t="n">
        <v>0</v>
      </c>
      <c r="P424" t="n">
        <v>0</v>
      </c>
      <c r="Q424" t="n">
        <v>0</v>
      </c>
      <c r="R424" s="2" t="inlineStr"/>
    </row>
    <row r="425" ht="15" customHeight="1">
      <c r="A425" t="inlineStr">
        <is>
          <t>A 36157-2024</t>
        </is>
      </c>
      <c r="B425" s="1" t="n">
        <v>45534.38240740741</v>
      </c>
      <c r="C425" s="1" t="n">
        <v>46004</v>
      </c>
      <c r="D425" t="inlineStr">
        <is>
          <t>STOCKHOLMS LÄN</t>
        </is>
      </c>
      <c r="E425" t="inlineStr">
        <is>
          <t>NORRTÄLJE</t>
        </is>
      </c>
      <c r="F425" t="inlineStr">
        <is>
          <t>Övriga Aktiebolag</t>
        </is>
      </c>
      <c r="G425" t="n">
        <v>1.1</v>
      </c>
      <c r="H425" t="n">
        <v>0</v>
      </c>
      <c r="I425" t="n">
        <v>0</v>
      </c>
      <c r="J425" t="n">
        <v>0</v>
      </c>
      <c r="K425" t="n">
        <v>0</v>
      </c>
      <c r="L425" t="n">
        <v>0</v>
      </c>
      <c r="M425" t="n">
        <v>0</v>
      </c>
      <c r="N425" t="n">
        <v>0</v>
      </c>
      <c r="O425" t="n">
        <v>0</v>
      </c>
      <c r="P425" t="n">
        <v>0</v>
      </c>
      <c r="Q425" t="n">
        <v>0</v>
      </c>
      <c r="R425" s="2" t="inlineStr"/>
    </row>
    <row r="426" ht="15" customHeight="1">
      <c r="A426" t="inlineStr">
        <is>
          <t>A 11929-2024</t>
        </is>
      </c>
      <c r="B426" s="1" t="n">
        <v>45376.64532407407</v>
      </c>
      <c r="C426" s="1" t="n">
        <v>46004</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47694-2023</t>
        </is>
      </c>
      <c r="B427" s="1" t="n">
        <v>45203.63303240741</v>
      </c>
      <c r="C427" s="1" t="n">
        <v>46004</v>
      </c>
      <c r="D427" t="inlineStr">
        <is>
          <t>STOCKHOLMS LÄN</t>
        </is>
      </c>
      <c r="E427" t="inlineStr">
        <is>
          <t>NORRTÄLJE</t>
        </is>
      </c>
      <c r="G427" t="n">
        <v>5.2</v>
      </c>
      <c r="H427" t="n">
        <v>0</v>
      </c>
      <c r="I427" t="n">
        <v>0</v>
      </c>
      <c r="J427" t="n">
        <v>0</v>
      </c>
      <c r="K427" t="n">
        <v>0</v>
      </c>
      <c r="L427" t="n">
        <v>0</v>
      </c>
      <c r="M427" t="n">
        <v>0</v>
      </c>
      <c r="N427" t="n">
        <v>0</v>
      </c>
      <c r="O427" t="n">
        <v>0</v>
      </c>
      <c r="P427" t="n">
        <v>0</v>
      </c>
      <c r="Q427" t="n">
        <v>0</v>
      </c>
      <c r="R427" s="2" t="inlineStr"/>
    </row>
    <row r="428" ht="15" customHeight="1">
      <c r="A428" t="inlineStr">
        <is>
          <t>A 32705-2022</t>
        </is>
      </c>
      <c r="B428" s="1" t="n">
        <v>44783</v>
      </c>
      <c r="C428" s="1" t="n">
        <v>46004</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35532-2024</t>
        </is>
      </c>
      <c r="B429" s="1" t="n">
        <v>45531</v>
      </c>
      <c r="C429" s="1" t="n">
        <v>46004</v>
      </c>
      <c r="D429" t="inlineStr">
        <is>
          <t>STOCKHOLMS LÄN</t>
        </is>
      </c>
      <c r="E429" t="inlineStr">
        <is>
          <t>NORRTÄLJE</t>
        </is>
      </c>
      <c r="G429" t="n">
        <v>2.3</v>
      </c>
      <c r="H429" t="n">
        <v>0</v>
      </c>
      <c r="I429" t="n">
        <v>0</v>
      </c>
      <c r="J429" t="n">
        <v>0</v>
      </c>
      <c r="K429" t="n">
        <v>0</v>
      </c>
      <c r="L429" t="n">
        <v>0</v>
      </c>
      <c r="M429" t="n">
        <v>0</v>
      </c>
      <c r="N429" t="n">
        <v>0</v>
      </c>
      <c r="O429" t="n">
        <v>0</v>
      </c>
      <c r="P429" t="n">
        <v>0</v>
      </c>
      <c r="Q429" t="n">
        <v>0</v>
      </c>
      <c r="R429" s="2" t="inlineStr"/>
    </row>
    <row r="430" ht="15" customHeight="1">
      <c r="A430" t="inlineStr">
        <is>
          <t>A 33353-2023</t>
        </is>
      </c>
      <c r="B430" s="1" t="n">
        <v>45128</v>
      </c>
      <c r="C430" s="1" t="n">
        <v>46004</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1654-2025</t>
        </is>
      </c>
      <c r="B431" s="1" t="n">
        <v>45670.65921296296</v>
      </c>
      <c r="C431" s="1" t="n">
        <v>46004</v>
      </c>
      <c r="D431" t="inlineStr">
        <is>
          <t>STOCKHOLMS LÄN</t>
        </is>
      </c>
      <c r="E431" t="inlineStr">
        <is>
          <t>NORRTÄLJE</t>
        </is>
      </c>
      <c r="G431" t="n">
        <v>2.5</v>
      </c>
      <c r="H431" t="n">
        <v>0</v>
      </c>
      <c r="I431" t="n">
        <v>0</v>
      </c>
      <c r="J431" t="n">
        <v>0</v>
      </c>
      <c r="K431" t="n">
        <v>0</v>
      </c>
      <c r="L431" t="n">
        <v>0</v>
      </c>
      <c r="M431" t="n">
        <v>0</v>
      </c>
      <c r="N431" t="n">
        <v>0</v>
      </c>
      <c r="O431" t="n">
        <v>0</v>
      </c>
      <c r="P431" t="n">
        <v>0</v>
      </c>
      <c r="Q431" t="n">
        <v>0</v>
      </c>
      <c r="R431" s="2" t="inlineStr"/>
    </row>
    <row r="432" ht="15" customHeight="1">
      <c r="A432" t="inlineStr">
        <is>
          <t>A 62644-2023</t>
        </is>
      </c>
      <c r="B432" s="1" t="n">
        <v>45271</v>
      </c>
      <c r="C432" s="1" t="n">
        <v>46004</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47481-2024</t>
        </is>
      </c>
      <c r="B433" s="1" t="n">
        <v>45587</v>
      </c>
      <c r="C433" s="1" t="n">
        <v>46004</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57037-2022</t>
        </is>
      </c>
      <c r="B434" s="1" t="n">
        <v>44895</v>
      </c>
      <c r="C434" s="1" t="n">
        <v>46004</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11940-2023</t>
        </is>
      </c>
      <c r="B435" s="1" t="n">
        <v>44995</v>
      </c>
      <c r="C435" s="1" t="n">
        <v>46004</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3966-2024</t>
        </is>
      </c>
      <c r="B436" s="1" t="n">
        <v>45322</v>
      </c>
      <c r="C436" s="1" t="n">
        <v>46004</v>
      </c>
      <c r="D436" t="inlineStr">
        <is>
          <t>STOCKHOLMS LÄN</t>
        </is>
      </c>
      <c r="E436" t="inlineStr">
        <is>
          <t>NORRTÄLJE</t>
        </is>
      </c>
      <c r="G436" t="n">
        <v>5.3</v>
      </c>
      <c r="H436" t="n">
        <v>0</v>
      </c>
      <c r="I436" t="n">
        <v>0</v>
      </c>
      <c r="J436" t="n">
        <v>0</v>
      </c>
      <c r="K436" t="n">
        <v>0</v>
      </c>
      <c r="L436" t="n">
        <v>0</v>
      </c>
      <c r="M436" t="n">
        <v>0</v>
      </c>
      <c r="N436" t="n">
        <v>0</v>
      </c>
      <c r="O436" t="n">
        <v>0</v>
      </c>
      <c r="P436" t="n">
        <v>0</v>
      </c>
      <c r="Q436" t="n">
        <v>0</v>
      </c>
      <c r="R436" s="2" t="inlineStr"/>
    </row>
    <row r="437" ht="15" customHeight="1">
      <c r="A437" t="inlineStr">
        <is>
          <t>A 11229-2022</t>
        </is>
      </c>
      <c r="B437" s="1" t="n">
        <v>44629</v>
      </c>
      <c r="C437" s="1" t="n">
        <v>46004</v>
      </c>
      <c r="D437" t="inlineStr">
        <is>
          <t>STOCKHOLMS LÄN</t>
        </is>
      </c>
      <c r="E437" t="inlineStr">
        <is>
          <t>NORRTÄLJE</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2281-2024</t>
        </is>
      </c>
      <c r="B438" s="1" t="n">
        <v>45310.40628472222</v>
      </c>
      <c r="C438" s="1" t="n">
        <v>46004</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60525-2022</t>
        </is>
      </c>
      <c r="B439" s="1" t="n">
        <v>44904</v>
      </c>
      <c r="C439" s="1" t="n">
        <v>46004</v>
      </c>
      <c r="D439" t="inlineStr">
        <is>
          <t>STOCKHOLMS LÄN</t>
        </is>
      </c>
      <c r="E439" t="inlineStr">
        <is>
          <t>NORRTÄLJE</t>
        </is>
      </c>
      <c r="G439" t="n">
        <v>13.4</v>
      </c>
      <c r="H439" t="n">
        <v>0</v>
      </c>
      <c r="I439" t="n">
        <v>0</v>
      </c>
      <c r="J439" t="n">
        <v>0</v>
      </c>
      <c r="K439" t="n">
        <v>0</v>
      </c>
      <c r="L439" t="n">
        <v>0</v>
      </c>
      <c r="M439" t="n">
        <v>0</v>
      </c>
      <c r="N439" t="n">
        <v>0</v>
      </c>
      <c r="O439" t="n">
        <v>0</v>
      </c>
      <c r="P439" t="n">
        <v>0</v>
      </c>
      <c r="Q439" t="n">
        <v>0</v>
      </c>
      <c r="R439" s="2" t="inlineStr"/>
    </row>
    <row r="440" ht="15" customHeight="1">
      <c r="A440" t="inlineStr">
        <is>
          <t>A 57353-2024</t>
        </is>
      </c>
      <c r="B440" s="1" t="n">
        <v>45629.65143518519</v>
      </c>
      <c r="C440" s="1" t="n">
        <v>46004</v>
      </c>
      <c r="D440" t="inlineStr">
        <is>
          <t>STOCKHOLMS LÄN</t>
        </is>
      </c>
      <c r="E440" t="inlineStr">
        <is>
          <t>NORRTÄLJE</t>
        </is>
      </c>
      <c r="F440" t="inlineStr">
        <is>
          <t>Holmen skog AB</t>
        </is>
      </c>
      <c r="G440" t="n">
        <v>0.9</v>
      </c>
      <c r="H440" t="n">
        <v>0</v>
      </c>
      <c r="I440" t="n">
        <v>0</v>
      </c>
      <c r="J440" t="n">
        <v>0</v>
      </c>
      <c r="K440" t="n">
        <v>0</v>
      </c>
      <c r="L440" t="n">
        <v>0</v>
      </c>
      <c r="M440" t="n">
        <v>0</v>
      </c>
      <c r="N440" t="n">
        <v>0</v>
      </c>
      <c r="O440" t="n">
        <v>0</v>
      </c>
      <c r="P440" t="n">
        <v>0</v>
      </c>
      <c r="Q440" t="n">
        <v>0</v>
      </c>
      <c r="R440" s="2" t="inlineStr"/>
    </row>
    <row r="441" ht="15" customHeight="1">
      <c r="A441" t="inlineStr">
        <is>
          <t>A 48587-2023</t>
        </is>
      </c>
      <c r="B441" s="1" t="n">
        <v>45208</v>
      </c>
      <c r="C441" s="1" t="n">
        <v>46004</v>
      </c>
      <c r="D441" t="inlineStr">
        <is>
          <t>STOCKHOLMS LÄN</t>
        </is>
      </c>
      <c r="E441" t="inlineStr">
        <is>
          <t>NORRTÄLJE</t>
        </is>
      </c>
      <c r="G441" t="n">
        <v>7</v>
      </c>
      <c r="H441" t="n">
        <v>0</v>
      </c>
      <c r="I441" t="n">
        <v>0</v>
      </c>
      <c r="J441" t="n">
        <v>0</v>
      </c>
      <c r="K441" t="n">
        <v>0</v>
      </c>
      <c r="L441" t="n">
        <v>0</v>
      </c>
      <c r="M441" t="n">
        <v>0</v>
      </c>
      <c r="N441" t="n">
        <v>0</v>
      </c>
      <c r="O441" t="n">
        <v>0</v>
      </c>
      <c r="P441" t="n">
        <v>0</v>
      </c>
      <c r="Q441" t="n">
        <v>0</v>
      </c>
      <c r="R441" s="2" t="inlineStr"/>
    </row>
    <row r="442" ht="15" customHeight="1">
      <c r="A442" t="inlineStr">
        <is>
          <t>A 13291-2025</t>
        </is>
      </c>
      <c r="B442" s="1" t="n">
        <v>45735</v>
      </c>
      <c r="C442" s="1" t="n">
        <v>46004</v>
      </c>
      <c r="D442" t="inlineStr">
        <is>
          <t>STOCKHOLMS LÄN</t>
        </is>
      </c>
      <c r="E442" t="inlineStr">
        <is>
          <t>NORRTÄLJE</t>
        </is>
      </c>
      <c r="G442" t="n">
        <v>3.8</v>
      </c>
      <c r="H442" t="n">
        <v>0</v>
      </c>
      <c r="I442" t="n">
        <v>0</v>
      </c>
      <c r="J442" t="n">
        <v>0</v>
      </c>
      <c r="K442" t="n">
        <v>0</v>
      </c>
      <c r="L442" t="n">
        <v>0</v>
      </c>
      <c r="M442" t="n">
        <v>0</v>
      </c>
      <c r="N442" t="n">
        <v>0</v>
      </c>
      <c r="O442" t="n">
        <v>0</v>
      </c>
      <c r="P442" t="n">
        <v>0</v>
      </c>
      <c r="Q442" t="n">
        <v>0</v>
      </c>
      <c r="R442" s="2" t="inlineStr"/>
    </row>
    <row r="443" ht="15" customHeight="1">
      <c r="A443" t="inlineStr">
        <is>
          <t>A 7903-2021</t>
        </is>
      </c>
      <c r="B443" s="1" t="n">
        <v>44243.33587962963</v>
      </c>
      <c r="C443" s="1" t="n">
        <v>46004</v>
      </c>
      <c r="D443" t="inlineStr">
        <is>
          <t>STOCKHOLMS LÄN</t>
        </is>
      </c>
      <c r="E443" t="inlineStr">
        <is>
          <t>NORRTÄLJE</t>
        </is>
      </c>
      <c r="G443" t="n">
        <v>3.5</v>
      </c>
      <c r="H443" t="n">
        <v>0</v>
      </c>
      <c r="I443" t="n">
        <v>0</v>
      </c>
      <c r="J443" t="n">
        <v>0</v>
      </c>
      <c r="K443" t="n">
        <v>0</v>
      </c>
      <c r="L443" t="n">
        <v>0</v>
      </c>
      <c r="M443" t="n">
        <v>0</v>
      </c>
      <c r="N443" t="n">
        <v>0</v>
      </c>
      <c r="O443" t="n">
        <v>0</v>
      </c>
      <c r="P443" t="n">
        <v>0</v>
      </c>
      <c r="Q443" t="n">
        <v>0</v>
      </c>
      <c r="R443" s="2" t="inlineStr"/>
    </row>
    <row r="444" ht="15" customHeight="1">
      <c r="A444" t="inlineStr">
        <is>
          <t>A 2549-2022</t>
        </is>
      </c>
      <c r="B444" s="1" t="n">
        <v>44580</v>
      </c>
      <c r="C444" s="1" t="n">
        <v>46004</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4438-2023</t>
        </is>
      </c>
      <c r="B445" s="1" t="n">
        <v>44956</v>
      </c>
      <c r="C445" s="1" t="n">
        <v>46004</v>
      </c>
      <c r="D445" t="inlineStr">
        <is>
          <t>STOCKHOLMS LÄN</t>
        </is>
      </c>
      <c r="E445" t="inlineStr">
        <is>
          <t>NORRTÄLJE</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39213-2022</t>
        </is>
      </c>
      <c r="B446" s="1" t="n">
        <v>44817.56120370371</v>
      </c>
      <c r="C446" s="1" t="n">
        <v>46004</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23262-2023</t>
        </is>
      </c>
      <c r="B447" s="1" t="n">
        <v>45075.90270833333</v>
      </c>
      <c r="C447" s="1" t="n">
        <v>46004</v>
      </c>
      <c r="D447" t="inlineStr">
        <is>
          <t>STOCKHOLMS LÄN</t>
        </is>
      </c>
      <c r="E447" t="inlineStr">
        <is>
          <t>NORRTÄLJE</t>
        </is>
      </c>
      <c r="F447" t="inlineStr">
        <is>
          <t>Kommuner</t>
        </is>
      </c>
      <c r="G447" t="n">
        <v>1.9</v>
      </c>
      <c r="H447" t="n">
        <v>0</v>
      </c>
      <c r="I447" t="n">
        <v>0</v>
      </c>
      <c r="J447" t="n">
        <v>0</v>
      </c>
      <c r="K447" t="n">
        <v>0</v>
      </c>
      <c r="L447" t="n">
        <v>0</v>
      </c>
      <c r="M447" t="n">
        <v>0</v>
      </c>
      <c r="N447" t="n">
        <v>0</v>
      </c>
      <c r="O447" t="n">
        <v>0</v>
      </c>
      <c r="P447" t="n">
        <v>0</v>
      </c>
      <c r="Q447" t="n">
        <v>0</v>
      </c>
      <c r="R447" s="2" t="inlineStr"/>
    </row>
    <row r="448" ht="15" customHeight="1">
      <c r="A448" t="inlineStr">
        <is>
          <t>A 23268-2023</t>
        </is>
      </c>
      <c r="B448" s="1" t="n">
        <v>45075.91042824074</v>
      </c>
      <c r="C448" s="1" t="n">
        <v>46004</v>
      </c>
      <c r="D448" t="inlineStr">
        <is>
          <t>STOCKHOLMS LÄN</t>
        </is>
      </c>
      <c r="E448" t="inlineStr">
        <is>
          <t>NORRTÄLJE</t>
        </is>
      </c>
      <c r="G448" t="n">
        <v>3.3</v>
      </c>
      <c r="H448" t="n">
        <v>0</v>
      </c>
      <c r="I448" t="n">
        <v>0</v>
      </c>
      <c r="J448" t="n">
        <v>0</v>
      </c>
      <c r="K448" t="n">
        <v>0</v>
      </c>
      <c r="L448" t="n">
        <v>0</v>
      </c>
      <c r="M448" t="n">
        <v>0</v>
      </c>
      <c r="N448" t="n">
        <v>0</v>
      </c>
      <c r="O448" t="n">
        <v>0</v>
      </c>
      <c r="P448" t="n">
        <v>0</v>
      </c>
      <c r="Q448" t="n">
        <v>0</v>
      </c>
      <c r="R448" s="2" t="inlineStr"/>
    </row>
    <row r="449" ht="15" customHeight="1">
      <c r="A449" t="inlineStr">
        <is>
          <t>A 23270-2023</t>
        </is>
      </c>
      <c r="B449" s="1" t="n">
        <v>45075.91265046296</v>
      </c>
      <c r="C449" s="1" t="n">
        <v>46004</v>
      </c>
      <c r="D449" t="inlineStr">
        <is>
          <t>STOCKHOLMS LÄN</t>
        </is>
      </c>
      <c r="E449" t="inlineStr">
        <is>
          <t>NORRTÄLJE</t>
        </is>
      </c>
      <c r="G449" t="n">
        <v>12.3</v>
      </c>
      <c r="H449" t="n">
        <v>0</v>
      </c>
      <c r="I449" t="n">
        <v>0</v>
      </c>
      <c r="J449" t="n">
        <v>0</v>
      </c>
      <c r="K449" t="n">
        <v>0</v>
      </c>
      <c r="L449" t="n">
        <v>0</v>
      </c>
      <c r="M449" t="n">
        <v>0</v>
      </c>
      <c r="N449" t="n">
        <v>0</v>
      </c>
      <c r="O449" t="n">
        <v>0</v>
      </c>
      <c r="P449" t="n">
        <v>0</v>
      </c>
      <c r="Q449" t="n">
        <v>0</v>
      </c>
      <c r="R449" s="2" t="inlineStr"/>
    </row>
    <row r="450" ht="15" customHeight="1">
      <c r="A450" t="inlineStr">
        <is>
          <t>A 23274-2023</t>
        </is>
      </c>
      <c r="B450" s="1" t="n">
        <v>45075.92153935185</v>
      </c>
      <c r="C450" s="1" t="n">
        <v>46004</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41976-2024</t>
        </is>
      </c>
      <c r="B451" s="1" t="n">
        <v>45561.62141203704</v>
      </c>
      <c r="C451" s="1" t="n">
        <v>46004</v>
      </c>
      <c r="D451" t="inlineStr">
        <is>
          <t>STOCKHOLMS LÄN</t>
        </is>
      </c>
      <c r="E451" t="inlineStr">
        <is>
          <t>NORRTÄLJE</t>
        </is>
      </c>
      <c r="G451" t="n">
        <v>2.5</v>
      </c>
      <c r="H451" t="n">
        <v>0</v>
      </c>
      <c r="I451" t="n">
        <v>0</v>
      </c>
      <c r="J451" t="n">
        <v>0</v>
      </c>
      <c r="K451" t="n">
        <v>0</v>
      </c>
      <c r="L451" t="n">
        <v>0</v>
      </c>
      <c r="M451" t="n">
        <v>0</v>
      </c>
      <c r="N451" t="n">
        <v>0</v>
      </c>
      <c r="O451" t="n">
        <v>0</v>
      </c>
      <c r="P451" t="n">
        <v>0</v>
      </c>
      <c r="Q451" t="n">
        <v>0</v>
      </c>
      <c r="R451" s="2" t="inlineStr"/>
    </row>
    <row r="452" ht="15" customHeight="1">
      <c r="A452" t="inlineStr">
        <is>
          <t>A 47758-2023</t>
        </is>
      </c>
      <c r="B452" s="1" t="n">
        <v>45203.83891203703</v>
      </c>
      <c r="C452" s="1" t="n">
        <v>46004</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17843-2024</t>
        </is>
      </c>
      <c r="B453" s="1" t="n">
        <v>45418</v>
      </c>
      <c r="C453" s="1" t="n">
        <v>46004</v>
      </c>
      <c r="D453" t="inlineStr">
        <is>
          <t>STOCKHOLMS LÄN</t>
        </is>
      </c>
      <c r="E453" t="inlineStr">
        <is>
          <t>NORRTÄLJE</t>
        </is>
      </c>
      <c r="G453" t="n">
        <v>5.4</v>
      </c>
      <c r="H453" t="n">
        <v>0</v>
      </c>
      <c r="I453" t="n">
        <v>0</v>
      </c>
      <c r="J453" t="n">
        <v>0</v>
      </c>
      <c r="K453" t="n">
        <v>0</v>
      </c>
      <c r="L453" t="n">
        <v>0</v>
      </c>
      <c r="M453" t="n">
        <v>0</v>
      </c>
      <c r="N453" t="n">
        <v>0</v>
      </c>
      <c r="O453" t="n">
        <v>0</v>
      </c>
      <c r="P453" t="n">
        <v>0</v>
      </c>
      <c r="Q453" t="n">
        <v>0</v>
      </c>
      <c r="R453" s="2" t="inlineStr"/>
    </row>
    <row r="454" ht="15" customHeight="1">
      <c r="A454" t="inlineStr">
        <is>
          <t>A 51325-2023</t>
        </is>
      </c>
      <c r="B454" s="1" t="n">
        <v>45219</v>
      </c>
      <c r="C454" s="1" t="n">
        <v>46004</v>
      </c>
      <c r="D454" t="inlineStr">
        <is>
          <t>STOCKHOLMS LÄN</t>
        </is>
      </c>
      <c r="E454" t="inlineStr">
        <is>
          <t>NORRTÄLJE</t>
        </is>
      </c>
      <c r="G454" t="n">
        <v>2.2</v>
      </c>
      <c r="H454" t="n">
        <v>0</v>
      </c>
      <c r="I454" t="n">
        <v>0</v>
      </c>
      <c r="J454" t="n">
        <v>0</v>
      </c>
      <c r="K454" t="n">
        <v>0</v>
      </c>
      <c r="L454" t="n">
        <v>0</v>
      </c>
      <c r="M454" t="n">
        <v>0</v>
      </c>
      <c r="N454" t="n">
        <v>0</v>
      </c>
      <c r="O454" t="n">
        <v>0</v>
      </c>
      <c r="P454" t="n">
        <v>0</v>
      </c>
      <c r="Q454" t="n">
        <v>0</v>
      </c>
      <c r="R454" s="2" t="inlineStr"/>
    </row>
    <row r="455" ht="15" customHeight="1">
      <c r="A455" t="inlineStr">
        <is>
          <t>A 8296-2023</t>
        </is>
      </c>
      <c r="B455" s="1" t="n">
        <v>44974</v>
      </c>
      <c r="C455" s="1" t="n">
        <v>46004</v>
      </c>
      <c r="D455" t="inlineStr">
        <is>
          <t>STOCKHOLMS LÄN</t>
        </is>
      </c>
      <c r="E455" t="inlineStr">
        <is>
          <t>NORRTÄLJE</t>
        </is>
      </c>
      <c r="G455" t="n">
        <v>3.8</v>
      </c>
      <c r="H455" t="n">
        <v>0</v>
      </c>
      <c r="I455" t="n">
        <v>0</v>
      </c>
      <c r="J455" t="n">
        <v>0</v>
      </c>
      <c r="K455" t="n">
        <v>0</v>
      </c>
      <c r="L455" t="n">
        <v>0</v>
      </c>
      <c r="M455" t="n">
        <v>0</v>
      </c>
      <c r="N455" t="n">
        <v>0</v>
      </c>
      <c r="O455" t="n">
        <v>0</v>
      </c>
      <c r="P455" t="n">
        <v>0</v>
      </c>
      <c r="Q455" t="n">
        <v>0</v>
      </c>
      <c r="R455" s="2" t="inlineStr"/>
    </row>
    <row r="456" ht="15" customHeight="1">
      <c r="A456" t="inlineStr">
        <is>
          <t>A 59534-2024</t>
        </is>
      </c>
      <c r="B456" s="1" t="n">
        <v>45638.5987037037</v>
      </c>
      <c r="C456" s="1" t="n">
        <v>46004</v>
      </c>
      <c r="D456" t="inlineStr">
        <is>
          <t>STOCKHOLMS LÄN</t>
        </is>
      </c>
      <c r="E456" t="inlineStr">
        <is>
          <t>NORRTÄLJE</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31107-2022</t>
        </is>
      </c>
      <c r="B457" s="1" t="n">
        <v>44769.66864583334</v>
      </c>
      <c r="C457" s="1" t="n">
        <v>46004</v>
      </c>
      <c r="D457" t="inlineStr">
        <is>
          <t>STOCKHOLMS LÄN</t>
        </is>
      </c>
      <c r="E457" t="inlineStr">
        <is>
          <t>NORRTÄLJE</t>
        </is>
      </c>
      <c r="G457" t="n">
        <v>3.8</v>
      </c>
      <c r="H457" t="n">
        <v>0</v>
      </c>
      <c r="I457" t="n">
        <v>0</v>
      </c>
      <c r="J457" t="n">
        <v>0</v>
      </c>
      <c r="K457" t="n">
        <v>0</v>
      </c>
      <c r="L457" t="n">
        <v>0</v>
      </c>
      <c r="M457" t="n">
        <v>0</v>
      </c>
      <c r="N457" t="n">
        <v>0</v>
      </c>
      <c r="O457" t="n">
        <v>0</v>
      </c>
      <c r="P457" t="n">
        <v>0</v>
      </c>
      <c r="Q457" t="n">
        <v>0</v>
      </c>
      <c r="R457" s="2" t="inlineStr"/>
    </row>
    <row r="458" ht="15" customHeight="1">
      <c r="A458" t="inlineStr">
        <is>
          <t>A 26636-2023</t>
        </is>
      </c>
      <c r="B458" s="1" t="n">
        <v>45092</v>
      </c>
      <c r="C458" s="1" t="n">
        <v>46004</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26637-2023</t>
        </is>
      </c>
      <c r="B459" s="1" t="n">
        <v>45092</v>
      </c>
      <c r="C459" s="1" t="n">
        <v>46004</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13860-2023</t>
        </is>
      </c>
      <c r="B460" s="1" t="n">
        <v>45007</v>
      </c>
      <c r="C460" s="1" t="n">
        <v>46004</v>
      </c>
      <c r="D460" t="inlineStr">
        <is>
          <t>STOCKHOLMS LÄN</t>
        </is>
      </c>
      <c r="E460" t="inlineStr">
        <is>
          <t>NORRTÄLJE</t>
        </is>
      </c>
      <c r="G460" t="n">
        <v>1.6</v>
      </c>
      <c r="H460" t="n">
        <v>0</v>
      </c>
      <c r="I460" t="n">
        <v>0</v>
      </c>
      <c r="J460" t="n">
        <v>0</v>
      </c>
      <c r="K460" t="n">
        <v>0</v>
      </c>
      <c r="L460" t="n">
        <v>0</v>
      </c>
      <c r="M460" t="n">
        <v>0</v>
      </c>
      <c r="N460" t="n">
        <v>0</v>
      </c>
      <c r="O460" t="n">
        <v>0</v>
      </c>
      <c r="P460" t="n">
        <v>0</v>
      </c>
      <c r="Q460" t="n">
        <v>0</v>
      </c>
      <c r="R460" s="2" t="inlineStr"/>
    </row>
    <row r="461" ht="15" customHeight="1">
      <c r="A461" t="inlineStr">
        <is>
          <t>A 6855-2025</t>
        </is>
      </c>
      <c r="B461" s="1" t="n">
        <v>45700</v>
      </c>
      <c r="C461" s="1" t="n">
        <v>46004</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24575-2024</t>
        </is>
      </c>
      <c r="B462" s="1" t="n">
        <v>45460.45523148148</v>
      </c>
      <c r="C462" s="1" t="n">
        <v>46004</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51061-2023</t>
        </is>
      </c>
      <c r="B463" s="1" t="n">
        <v>45218.65849537037</v>
      </c>
      <c r="C463" s="1" t="n">
        <v>46004</v>
      </c>
      <c r="D463" t="inlineStr">
        <is>
          <t>STOCKHOLMS LÄN</t>
        </is>
      </c>
      <c r="E463" t="inlineStr">
        <is>
          <t>NORRTÄLJE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64899-2023</t>
        </is>
      </c>
      <c r="B464" s="1" t="n">
        <v>45282</v>
      </c>
      <c r="C464" s="1" t="n">
        <v>46004</v>
      </c>
      <c r="D464" t="inlineStr">
        <is>
          <t>STOCKHOLMS LÄN</t>
        </is>
      </c>
      <c r="E464" t="inlineStr">
        <is>
          <t>NORRTÄLJE</t>
        </is>
      </c>
      <c r="G464" t="n">
        <v>6.3</v>
      </c>
      <c r="H464" t="n">
        <v>0</v>
      </c>
      <c r="I464" t="n">
        <v>0</v>
      </c>
      <c r="J464" t="n">
        <v>0</v>
      </c>
      <c r="K464" t="n">
        <v>0</v>
      </c>
      <c r="L464" t="n">
        <v>0</v>
      </c>
      <c r="M464" t="n">
        <v>0</v>
      </c>
      <c r="N464" t="n">
        <v>0</v>
      </c>
      <c r="O464" t="n">
        <v>0</v>
      </c>
      <c r="P464" t="n">
        <v>0</v>
      </c>
      <c r="Q464" t="n">
        <v>0</v>
      </c>
      <c r="R464" s="2" t="inlineStr"/>
    </row>
    <row r="465" ht="15" customHeight="1">
      <c r="A465" t="inlineStr">
        <is>
          <t>A 22697-2022</t>
        </is>
      </c>
      <c r="B465" s="1" t="n">
        <v>44714.56040509259</v>
      </c>
      <c r="C465" s="1" t="n">
        <v>46004</v>
      </c>
      <c r="D465" t="inlineStr">
        <is>
          <t>STOCKHOLMS LÄN</t>
        </is>
      </c>
      <c r="E465" t="inlineStr">
        <is>
          <t>NORRTÄLJE</t>
        </is>
      </c>
      <c r="G465" t="n">
        <v>5.6</v>
      </c>
      <c r="H465" t="n">
        <v>0</v>
      </c>
      <c r="I465" t="n">
        <v>0</v>
      </c>
      <c r="J465" t="n">
        <v>0</v>
      </c>
      <c r="K465" t="n">
        <v>0</v>
      </c>
      <c r="L465" t="n">
        <v>0</v>
      </c>
      <c r="M465" t="n">
        <v>0</v>
      </c>
      <c r="N465" t="n">
        <v>0</v>
      </c>
      <c r="O465" t="n">
        <v>0</v>
      </c>
      <c r="P465" t="n">
        <v>0</v>
      </c>
      <c r="Q465" t="n">
        <v>0</v>
      </c>
      <c r="R465" s="2" t="inlineStr"/>
    </row>
    <row r="466" ht="15" customHeight="1">
      <c r="A466" t="inlineStr">
        <is>
          <t>A 72704-2021</t>
        </is>
      </c>
      <c r="B466" s="1" t="n">
        <v>44546</v>
      </c>
      <c r="C466" s="1" t="n">
        <v>46004</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13314-2025</t>
        </is>
      </c>
      <c r="B467" s="1" t="n">
        <v>45735.59287037037</v>
      </c>
      <c r="C467" s="1" t="n">
        <v>46004</v>
      </c>
      <c r="D467" t="inlineStr">
        <is>
          <t>STOCKHOLMS LÄN</t>
        </is>
      </c>
      <c r="E467" t="inlineStr">
        <is>
          <t>NORRTÄLJE</t>
        </is>
      </c>
      <c r="G467" t="n">
        <v>2.4</v>
      </c>
      <c r="H467" t="n">
        <v>0</v>
      </c>
      <c r="I467" t="n">
        <v>0</v>
      </c>
      <c r="J467" t="n">
        <v>0</v>
      </c>
      <c r="K467" t="n">
        <v>0</v>
      </c>
      <c r="L467" t="n">
        <v>0</v>
      </c>
      <c r="M467" t="n">
        <v>0</v>
      </c>
      <c r="N467" t="n">
        <v>0</v>
      </c>
      <c r="O467" t="n">
        <v>0</v>
      </c>
      <c r="P467" t="n">
        <v>0</v>
      </c>
      <c r="Q467" t="n">
        <v>0</v>
      </c>
      <c r="R467" s="2" t="inlineStr"/>
    </row>
    <row r="468" ht="15" customHeight="1">
      <c r="A468" t="inlineStr">
        <is>
          <t>A 52743-2024</t>
        </is>
      </c>
      <c r="B468" s="1" t="n">
        <v>45610.47414351852</v>
      </c>
      <c r="C468" s="1" t="n">
        <v>46004</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16852-2024</t>
        </is>
      </c>
      <c r="B469" s="1" t="n">
        <v>45411.54768518519</v>
      </c>
      <c r="C469" s="1" t="n">
        <v>46004</v>
      </c>
      <c r="D469" t="inlineStr">
        <is>
          <t>STOCKHOLMS LÄN</t>
        </is>
      </c>
      <c r="E469" t="inlineStr">
        <is>
          <t>NORRTÄLJE</t>
        </is>
      </c>
      <c r="F469" t="inlineStr">
        <is>
          <t>Holmen skog AB</t>
        </is>
      </c>
      <c r="G469" t="n">
        <v>1.2</v>
      </c>
      <c r="H469" t="n">
        <v>0</v>
      </c>
      <c r="I469" t="n">
        <v>0</v>
      </c>
      <c r="J469" t="n">
        <v>0</v>
      </c>
      <c r="K469" t="n">
        <v>0</v>
      </c>
      <c r="L469" t="n">
        <v>0</v>
      </c>
      <c r="M469" t="n">
        <v>0</v>
      </c>
      <c r="N469" t="n">
        <v>0</v>
      </c>
      <c r="O469" t="n">
        <v>0</v>
      </c>
      <c r="P469" t="n">
        <v>0</v>
      </c>
      <c r="Q469" t="n">
        <v>0</v>
      </c>
      <c r="R469" s="2" t="inlineStr"/>
    </row>
    <row r="470" ht="15" customHeight="1">
      <c r="A470" t="inlineStr">
        <is>
          <t>A 45549-2022</t>
        </is>
      </c>
      <c r="B470" s="1" t="n">
        <v>44845.48064814815</v>
      </c>
      <c r="C470" s="1" t="n">
        <v>46004</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54396-2021</t>
        </is>
      </c>
      <c r="B471" s="1" t="n">
        <v>44472</v>
      </c>
      <c r="C471" s="1" t="n">
        <v>46004</v>
      </c>
      <c r="D471" t="inlineStr">
        <is>
          <t>STOCKHOLMS LÄN</t>
        </is>
      </c>
      <c r="E471" t="inlineStr">
        <is>
          <t>NORRTÄLJE</t>
        </is>
      </c>
      <c r="G471" t="n">
        <v>2.6</v>
      </c>
      <c r="H471" t="n">
        <v>0</v>
      </c>
      <c r="I471" t="n">
        <v>0</v>
      </c>
      <c r="J471" t="n">
        <v>0</v>
      </c>
      <c r="K471" t="n">
        <v>0</v>
      </c>
      <c r="L471" t="n">
        <v>0</v>
      </c>
      <c r="M471" t="n">
        <v>0</v>
      </c>
      <c r="N471" t="n">
        <v>0</v>
      </c>
      <c r="O471" t="n">
        <v>0</v>
      </c>
      <c r="P471" t="n">
        <v>0</v>
      </c>
      <c r="Q471" t="n">
        <v>0</v>
      </c>
      <c r="R471" s="2" t="inlineStr"/>
    </row>
    <row r="472" ht="15" customHeight="1">
      <c r="A472" t="inlineStr">
        <is>
          <t>A 24727-2023</t>
        </is>
      </c>
      <c r="B472" s="1" t="n">
        <v>45084.57695601852</v>
      </c>
      <c r="C472" s="1" t="n">
        <v>46004</v>
      </c>
      <c r="D472" t="inlineStr">
        <is>
          <t>STOCKHOLMS LÄN</t>
        </is>
      </c>
      <c r="E472" t="inlineStr">
        <is>
          <t>NORRTÄLJE</t>
        </is>
      </c>
      <c r="F472" t="inlineStr">
        <is>
          <t>Holmen skog AB</t>
        </is>
      </c>
      <c r="G472" t="n">
        <v>2.2</v>
      </c>
      <c r="H472" t="n">
        <v>0</v>
      </c>
      <c r="I472" t="n">
        <v>0</v>
      </c>
      <c r="J472" t="n">
        <v>0</v>
      </c>
      <c r="K472" t="n">
        <v>0</v>
      </c>
      <c r="L472" t="n">
        <v>0</v>
      </c>
      <c r="M472" t="n">
        <v>0</v>
      </c>
      <c r="N472" t="n">
        <v>0</v>
      </c>
      <c r="O472" t="n">
        <v>0</v>
      </c>
      <c r="P472" t="n">
        <v>0</v>
      </c>
      <c r="Q472" t="n">
        <v>0</v>
      </c>
      <c r="R472" s="2" t="inlineStr"/>
    </row>
    <row r="473" ht="15" customHeight="1">
      <c r="A473" t="inlineStr">
        <is>
          <t>A 52593-2024</t>
        </is>
      </c>
      <c r="B473" s="1" t="n">
        <v>45609.70778935185</v>
      </c>
      <c r="C473" s="1" t="n">
        <v>46004</v>
      </c>
      <c r="D473" t="inlineStr">
        <is>
          <t>STOCKHOLMS LÄN</t>
        </is>
      </c>
      <c r="E473" t="inlineStr">
        <is>
          <t>NORRTÄLJE</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52617-2024</t>
        </is>
      </c>
      <c r="B474" s="1" t="n">
        <v>45609.85146990741</v>
      </c>
      <c r="C474" s="1" t="n">
        <v>46004</v>
      </c>
      <c r="D474" t="inlineStr">
        <is>
          <t>STOCKHOLMS LÄN</t>
        </is>
      </c>
      <c r="E474" t="inlineStr">
        <is>
          <t>NORRTÄLJE</t>
        </is>
      </c>
      <c r="G474" t="n">
        <v>0.8</v>
      </c>
      <c r="H474" t="n">
        <v>0</v>
      </c>
      <c r="I474" t="n">
        <v>0</v>
      </c>
      <c r="J474" t="n">
        <v>0</v>
      </c>
      <c r="K474" t="n">
        <v>0</v>
      </c>
      <c r="L474" t="n">
        <v>0</v>
      </c>
      <c r="M474" t="n">
        <v>0</v>
      </c>
      <c r="N474" t="n">
        <v>0</v>
      </c>
      <c r="O474" t="n">
        <v>0</v>
      </c>
      <c r="P474" t="n">
        <v>0</v>
      </c>
      <c r="Q474" t="n">
        <v>0</v>
      </c>
      <c r="R474" s="2" t="inlineStr"/>
    </row>
    <row r="475" ht="15" customHeight="1">
      <c r="A475" t="inlineStr">
        <is>
          <t>A 34432-2021</t>
        </is>
      </c>
      <c r="B475" s="1" t="n">
        <v>44380.77346064815</v>
      </c>
      <c r="C475" s="1" t="n">
        <v>46004</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48722-2023</t>
        </is>
      </c>
      <c r="B476" s="1" t="n">
        <v>45208.70996527778</v>
      </c>
      <c r="C476" s="1" t="n">
        <v>46004</v>
      </c>
      <c r="D476" t="inlineStr">
        <is>
          <t>STOCKHOLMS LÄN</t>
        </is>
      </c>
      <c r="E476" t="inlineStr">
        <is>
          <t>NORRTÄLJE</t>
        </is>
      </c>
      <c r="G476" t="n">
        <v>0.3</v>
      </c>
      <c r="H476" t="n">
        <v>0</v>
      </c>
      <c r="I476" t="n">
        <v>0</v>
      </c>
      <c r="J476" t="n">
        <v>0</v>
      </c>
      <c r="K476" t="n">
        <v>0</v>
      </c>
      <c r="L476" t="n">
        <v>0</v>
      </c>
      <c r="M476" t="n">
        <v>0</v>
      </c>
      <c r="N476" t="n">
        <v>0</v>
      </c>
      <c r="O476" t="n">
        <v>0</v>
      </c>
      <c r="P476" t="n">
        <v>0</v>
      </c>
      <c r="Q476" t="n">
        <v>0</v>
      </c>
      <c r="R476" s="2" t="inlineStr"/>
    </row>
    <row r="477" ht="15" customHeight="1">
      <c r="A477" t="inlineStr">
        <is>
          <t>A 35235-2024</t>
        </is>
      </c>
      <c r="B477" s="1" t="n">
        <v>45530</v>
      </c>
      <c r="C477" s="1" t="n">
        <v>46004</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1448-2023</t>
        </is>
      </c>
      <c r="B478" s="1" t="n">
        <v>44937</v>
      </c>
      <c r="C478" s="1" t="n">
        <v>46004</v>
      </c>
      <c r="D478" t="inlineStr">
        <is>
          <t>STOCKHOLMS LÄN</t>
        </is>
      </c>
      <c r="E478" t="inlineStr">
        <is>
          <t>NORRTÄLJE</t>
        </is>
      </c>
      <c r="G478" t="n">
        <v>1.9</v>
      </c>
      <c r="H478" t="n">
        <v>0</v>
      </c>
      <c r="I478" t="n">
        <v>0</v>
      </c>
      <c r="J478" t="n">
        <v>0</v>
      </c>
      <c r="K478" t="n">
        <v>0</v>
      </c>
      <c r="L478" t="n">
        <v>0</v>
      </c>
      <c r="M478" t="n">
        <v>0</v>
      </c>
      <c r="N478" t="n">
        <v>0</v>
      </c>
      <c r="O478" t="n">
        <v>0</v>
      </c>
      <c r="P478" t="n">
        <v>0</v>
      </c>
      <c r="Q478" t="n">
        <v>0</v>
      </c>
      <c r="R478" s="2" t="inlineStr"/>
    </row>
    <row r="479" ht="15" customHeight="1">
      <c r="A479" t="inlineStr">
        <is>
          <t>A 8736-2024</t>
        </is>
      </c>
      <c r="B479" s="1" t="n">
        <v>45356.4722800926</v>
      </c>
      <c r="C479" s="1" t="n">
        <v>46004</v>
      </c>
      <c r="D479" t="inlineStr">
        <is>
          <t>STOCKHOLMS LÄN</t>
        </is>
      </c>
      <c r="E479" t="inlineStr">
        <is>
          <t>NORRTÄLJE</t>
        </is>
      </c>
      <c r="G479" t="n">
        <v>8.9</v>
      </c>
      <c r="H479" t="n">
        <v>0</v>
      </c>
      <c r="I479" t="n">
        <v>0</v>
      </c>
      <c r="J479" t="n">
        <v>0</v>
      </c>
      <c r="K479" t="n">
        <v>0</v>
      </c>
      <c r="L479" t="n">
        <v>0</v>
      </c>
      <c r="M479" t="n">
        <v>0</v>
      </c>
      <c r="N479" t="n">
        <v>0</v>
      </c>
      <c r="O479" t="n">
        <v>0</v>
      </c>
      <c r="P479" t="n">
        <v>0</v>
      </c>
      <c r="Q479" t="n">
        <v>0</v>
      </c>
      <c r="R479" s="2" t="inlineStr"/>
    </row>
    <row r="480" ht="15" customHeight="1">
      <c r="A480" t="inlineStr">
        <is>
          <t>A 33149-2022</t>
        </is>
      </c>
      <c r="B480" s="1" t="n">
        <v>44785</v>
      </c>
      <c r="C480" s="1" t="n">
        <v>46004</v>
      </c>
      <c r="D480" t="inlineStr">
        <is>
          <t>STOCKHOLMS LÄN</t>
        </is>
      </c>
      <c r="E480" t="inlineStr">
        <is>
          <t>NORRTÄLJE</t>
        </is>
      </c>
      <c r="F480" t="inlineStr">
        <is>
          <t>Holmen skog AB</t>
        </is>
      </c>
      <c r="G480" t="n">
        <v>4.4</v>
      </c>
      <c r="H480" t="n">
        <v>0</v>
      </c>
      <c r="I480" t="n">
        <v>0</v>
      </c>
      <c r="J480" t="n">
        <v>0</v>
      </c>
      <c r="K480" t="n">
        <v>0</v>
      </c>
      <c r="L480" t="n">
        <v>0</v>
      </c>
      <c r="M480" t="n">
        <v>0</v>
      </c>
      <c r="N480" t="n">
        <v>0</v>
      </c>
      <c r="O480" t="n">
        <v>0</v>
      </c>
      <c r="P480" t="n">
        <v>0</v>
      </c>
      <c r="Q480" t="n">
        <v>0</v>
      </c>
      <c r="R480" s="2" t="inlineStr"/>
    </row>
    <row r="481" ht="15" customHeight="1">
      <c r="A481" t="inlineStr">
        <is>
          <t>A 22816-2021</t>
        </is>
      </c>
      <c r="B481" s="1" t="n">
        <v>44325</v>
      </c>
      <c r="C481" s="1" t="n">
        <v>46004</v>
      </c>
      <c r="D481" t="inlineStr">
        <is>
          <t>STOCKHOLMS LÄN</t>
        </is>
      </c>
      <c r="E481" t="inlineStr">
        <is>
          <t>NORRTÄLJE</t>
        </is>
      </c>
      <c r="G481" t="n">
        <v>4.5</v>
      </c>
      <c r="H481" t="n">
        <v>0</v>
      </c>
      <c r="I481" t="n">
        <v>0</v>
      </c>
      <c r="J481" t="n">
        <v>0</v>
      </c>
      <c r="K481" t="n">
        <v>0</v>
      </c>
      <c r="L481" t="n">
        <v>0</v>
      </c>
      <c r="M481" t="n">
        <v>0</v>
      </c>
      <c r="N481" t="n">
        <v>0</v>
      </c>
      <c r="O481" t="n">
        <v>0</v>
      </c>
      <c r="P481" t="n">
        <v>0</v>
      </c>
      <c r="Q481" t="n">
        <v>0</v>
      </c>
      <c r="R481" s="2" t="inlineStr"/>
    </row>
    <row r="482" ht="15" customHeight="1">
      <c r="A482" t="inlineStr">
        <is>
          <t>A 55755-2023</t>
        </is>
      </c>
      <c r="B482" s="1" t="n">
        <v>45239</v>
      </c>
      <c r="C482" s="1" t="n">
        <v>46004</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59904-2023</t>
        </is>
      </c>
      <c r="B483" s="1" t="n">
        <v>45257</v>
      </c>
      <c r="C483" s="1" t="n">
        <v>46004</v>
      </c>
      <c r="D483" t="inlineStr">
        <is>
          <t>STOCKHOLMS LÄN</t>
        </is>
      </c>
      <c r="E483" t="inlineStr">
        <is>
          <t>NORRTÄLJE</t>
        </is>
      </c>
      <c r="G483" t="n">
        <v>17.4</v>
      </c>
      <c r="H483" t="n">
        <v>0</v>
      </c>
      <c r="I483" t="n">
        <v>0</v>
      </c>
      <c r="J483" t="n">
        <v>0</v>
      </c>
      <c r="K483" t="n">
        <v>0</v>
      </c>
      <c r="L483" t="n">
        <v>0</v>
      </c>
      <c r="M483" t="n">
        <v>0</v>
      </c>
      <c r="N483" t="n">
        <v>0</v>
      </c>
      <c r="O483" t="n">
        <v>0</v>
      </c>
      <c r="P483" t="n">
        <v>0</v>
      </c>
      <c r="Q483" t="n">
        <v>0</v>
      </c>
      <c r="R483" s="2" t="inlineStr"/>
    </row>
    <row r="484" ht="15" customHeight="1">
      <c r="A484" t="inlineStr">
        <is>
          <t>A 9914-2023</t>
        </is>
      </c>
      <c r="B484" s="1" t="n">
        <v>44985</v>
      </c>
      <c r="C484" s="1" t="n">
        <v>46004</v>
      </c>
      <c r="D484" t="inlineStr">
        <is>
          <t>STOCKHOLMS LÄN</t>
        </is>
      </c>
      <c r="E484" t="inlineStr">
        <is>
          <t>NORRTÄLJE</t>
        </is>
      </c>
      <c r="G484" t="n">
        <v>4.2</v>
      </c>
      <c r="H484" t="n">
        <v>0</v>
      </c>
      <c r="I484" t="n">
        <v>0</v>
      </c>
      <c r="J484" t="n">
        <v>0</v>
      </c>
      <c r="K484" t="n">
        <v>0</v>
      </c>
      <c r="L484" t="n">
        <v>0</v>
      </c>
      <c r="M484" t="n">
        <v>0</v>
      </c>
      <c r="N484" t="n">
        <v>0</v>
      </c>
      <c r="O484" t="n">
        <v>0</v>
      </c>
      <c r="P484" t="n">
        <v>0</v>
      </c>
      <c r="Q484" t="n">
        <v>0</v>
      </c>
      <c r="R484" s="2" t="inlineStr"/>
    </row>
    <row r="485" ht="15" customHeight="1">
      <c r="A485" t="inlineStr">
        <is>
          <t>A 23149-2024</t>
        </is>
      </c>
      <c r="B485" s="1" t="n">
        <v>45450.64208333333</v>
      </c>
      <c r="C485" s="1" t="n">
        <v>46004</v>
      </c>
      <c r="D485" t="inlineStr">
        <is>
          <t>STOCKHOLMS LÄN</t>
        </is>
      </c>
      <c r="E485" t="inlineStr">
        <is>
          <t>NORRTÄLJE</t>
        </is>
      </c>
      <c r="F485" t="inlineStr">
        <is>
          <t>Kommuner</t>
        </is>
      </c>
      <c r="G485" t="n">
        <v>1.3</v>
      </c>
      <c r="H485" t="n">
        <v>0</v>
      </c>
      <c r="I485" t="n">
        <v>0</v>
      </c>
      <c r="J485" t="n">
        <v>0</v>
      </c>
      <c r="K485" t="n">
        <v>0</v>
      </c>
      <c r="L485" t="n">
        <v>0</v>
      </c>
      <c r="M485" t="n">
        <v>0</v>
      </c>
      <c r="N485" t="n">
        <v>0</v>
      </c>
      <c r="O485" t="n">
        <v>0</v>
      </c>
      <c r="P485" t="n">
        <v>0</v>
      </c>
      <c r="Q485" t="n">
        <v>0</v>
      </c>
      <c r="R485" s="2" t="inlineStr"/>
    </row>
    <row r="486" ht="15" customHeight="1">
      <c r="A486" t="inlineStr">
        <is>
          <t>A 23151-2024</t>
        </is>
      </c>
      <c r="B486" s="1" t="n">
        <v>45450</v>
      </c>
      <c r="C486" s="1" t="n">
        <v>46004</v>
      </c>
      <c r="D486" t="inlineStr">
        <is>
          <t>STOCKHOLMS LÄN</t>
        </is>
      </c>
      <c r="E486" t="inlineStr">
        <is>
          <t>NORRTÄLJE</t>
        </is>
      </c>
      <c r="F486" t="inlineStr">
        <is>
          <t>Kommuner</t>
        </is>
      </c>
      <c r="G486" t="n">
        <v>1.2</v>
      </c>
      <c r="H486" t="n">
        <v>0</v>
      </c>
      <c r="I486" t="n">
        <v>0</v>
      </c>
      <c r="J486" t="n">
        <v>0</v>
      </c>
      <c r="K486" t="n">
        <v>0</v>
      </c>
      <c r="L486" t="n">
        <v>0</v>
      </c>
      <c r="M486" t="n">
        <v>0</v>
      </c>
      <c r="N486" t="n">
        <v>0</v>
      </c>
      <c r="O486" t="n">
        <v>0</v>
      </c>
      <c r="P486" t="n">
        <v>0</v>
      </c>
      <c r="Q486" t="n">
        <v>0</v>
      </c>
      <c r="R486" s="2" t="inlineStr"/>
    </row>
    <row r="487" ht="15" customHeight="1">
      <c r="A487" t="inlineStr">
        <is>
          <t>A 52001-2023</t>
        </is>
      </c>
      <c r="B487" s="1" t="n">
        <v>45223</v>
      </c>
      <c r="C487" s="1" t="n">
        <v>46004</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11062-2024</t>
        </is>
      </c>
      <c r="B488" s="1" t="n">
        <v>45370</v>
      </c>
      <c r="C488" s="1" t="n">
        <v>46004</v>
      </c>
      <c r="D488" t="inlineStr">
        <is>
          <t>STOCKHOLMS LÄN</t>
        </is>
      </c>
      <c r="E488" t="inlineStr">
        <is>
          <t>NORRTÄLJE</t>
        </is>
      </c>
      <c r="G488" t="n">
        <v>3.2</v>
      </c>
      <c r="H488" t="n">
        <v>0</v>
      </c>
      <c r="I488" t="n">
        <v>0</v>
      </c>
      <c r="J488" t="n">
        <v>0</v>
      </c>
      <c r="K488" t="n">
        <v>0</v>
      </c>
      <c r="L488" t="n">
        <v>0</v>
      </c>
      <c r="M488" t="n">
        <v>0</v>
      </c>
      <c r="N488" t="n">
        <v>0</v>
      </c>
      <c r="O488" t="n">
        <v>0</v>
      </c>
      <c r="P488" t="n">
        <v>0</v>
      </c>
      <c r="Q488" t="n">
        <v>0</v>
      </c>
      <c r="R488" s="2" t="inlineStr"/>
    </row>
    <row r="489" ht="15" customHeight="1">
      <c r="A489" t="inlineStr">
        <is>
          <t>A 60185-2024</t>
        </is>
      </c>
      <c r="B489" s="1" t="n">
        <v>45642.64634259259</v>
      </c>
      <c r="C489" s="1" t="n">
        <v>46004</v>
      </c>
      <c r="D489" t="inlineStr">
        <is>
          <t>STOCKHOLMS LÄN</t>
        </is>
      </c>
      <c r="E489" t="inlineStr">
        <is>
          <t>NORRTÄLJE</t>
        </is>
      </c>
      <c r="G489" t="n">
        <v>0.3</v>
      </c>
      <c r="H489" t="n">
        <v>0</v>
      </c>
      <c r="I489" t="n">
        <v>0</v>
      </c>
      <c r="J489" t="n">
        <v>0</v>
      </c>
      <c r="K489" t="n">
        <v>0</v>
      </c>
      <c r="L489" t="n">
        <v>0</v>
      </c>
      <c r="M489" t="n">
        <v>0</v>
      </c>
      <c r="N489" t="n">
        <v>0</v>
      </c>
      <c r="O489" t="n">
        <v>0</v>
      </c>
      <c r="P489" t="n">
        <v>0</v>
      </c>
      <c r="Q489" t="n">
        <v>0</v>
      </c>
      <c r="R489" s="2" t="inlineStr"/>
    </row>
    <row r="490" ht="15" customHeight="1">
      <c r="A490" t="inlineStr">
        <is>
          <t>A 17348-2024</t>
        </is>
      </c>
      <c r="B490" s="1" t="n">
        <v>45414.58650462963</v>
      </c>
      <c r="C490" s="1" t="n">
        <v>46004</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48686-2023</t>
        </is>
      </c>
      <c r="B491" s="1" t="n">
        <v>45208</v>
      </c>
      <c r="C491" s="1" t="n">
        <v>46004</v>
      </c>
      <c r="D491" t="inlineStr">
        <is>
          <t>STOCKHOLMS LÄN</t>
        </is>
      </c>
      <c r="E491" t="inlineStr">
        <is>
          <t>NORRTÄLJE</t>
        </is>
      </c>
      <c r="G491" t="n">
        <v>6</v>
      </c>
      <c r="H491" t="n">
        <v>0</v>
      </c>
      <c r="I491" t="n">
        <v>0</v>
      </c>
      <c r="J491" t="n">
        <v>0</v>
      </c>
      <c r="K491" t="n">
        <v>0</v>
      </c>
      <c r="L491" t="n">
        <v>0</v>
      </c>
      <c r="M491" t="n">
        <v>0</v>
      </c>
      <c r="N491" t="n">
        <v>0</v>
      </c>
      <c r="O491" t="n">
        <v>0</v>
      </c>
      <c r="P491" t="n">
        <v>0</v>
      </c>
      <c r="Q491" t="n">
        <v>0</v>
      </c>
      <c r="R491" s="2" t="inlineStr"/>
    </row>
    <row r="492" ht="15" customHeight="1">
      <c r="A492" t="inlineStr">
        <is>
          <t>A 48691-2023</t>
        </is>
      </c>
      <c r="B492" s="1" t="n">
        <v>45208</v>
      </c>
      <c r="C492" s="1" t="n">
        <v>46004</v>
      </c>
      <c r="D492" t="inlineStr">
        <is>
          <t>STOCKHOLMS LÄN</t>
        </is>
      </c>
      <c r="E492" t="inlineStr">
        <is>
          <t>NORRTÄLJE</t>
        </is>
      </c>
      <c r="G492" t="n">
        <v>5.8</v>
      </c>
      <c r="H492" t="n">
        <v>0</v>
      </c>
      <c r="I492" t="n">
        <v>0</v>
      </c>
      <c r="J492" t="n">
        <v>0</v>
      </c>
      <c r="K492" t="n">
        <v>0</v>
      </c>
      <c r="L492" t="n">
        <v>0</v>
      </c>
      <c r="M492" t="n">
        <v>0</v>
      </c>
      <c r="N492" t="n">
        <v>0</v>
      </c>
      <c r="O492" t="n">
        <v>0</v>
      </c>
      <c r="P492" t="n">
        <v>0</v>
      </c>
      <c r="Q492" t="n">
        <v>0</v>
      </c>
      <c r="R492" s="2" t="inlineStr"/>
    </row>
    <row r="493" ht="15" customHeight="1">
      <c r="A493" t="inlineStr">
        <is>
          <t>A 33569-2023</t>
        </is>
      </c>
      <c r="B493" s="1" t="n">
        <v>45131.666875</v>
      </c>
      <c r="C493" s="1" t="n">
        <v>46004</v>
      </c>
      <c r="D493" t="inlineStr">
        <is>
          <t>STOCKHOLMS LÄN</t>
        </is>
      </c>
      <c r="E493" t="inlineStr">
        <is>
          <t>NORRTÄLJE</t>
        </is>
      </c>
      <c r="G493" t="n">
        <v>2.3</v>
      </c>
      <c r="H493" t="n">
        <v>0</v>
      </c>
      <c r="I493" t="n">
        <v>0</v>
      </c>
      <c r="J493" t="n">
        <v>0</v>
      </c>
      <c r="K493" t="n">
        <v>0</v>
      </c>
      <c r="L493" t="n">
        <v>0</v>
      </c>
      <c r="M493" t="n">
        <v>0</v>
      </c>
      <c r="N493" t="n">
        <v>0</v>
      </c>
      <c r="O493" t="n">
        <v>0</v>
      </c>
      <c r="P493" t="n">
        <v>0</v>
      </c>
      <c r="Q493" t="n">
        <v>0</v>
      </c>
      <c r="R493" s="2" t="inlineStr"/>
    </row>
    <row r="494" ht="15" customHeight="1">
      <c r="A494" t="inlineStr">
        <is>
          <t>A 15905-2023</t>
        </is>
      </c>
      <c r="B494" s="1" t="n">
        <v>45022</v>
      </c>
      <c r="C494" s="1" t="n">
        <v>46004</v>
      </c>
      <c r="D494" t="inlineStr">
        <is>
          <t>STOCKHOLMS LÄN</t>
        </is>
      </c>
      <c r="E494" t="inlineStr">
        <is>
          <t>NORRTÄLJE</t>
        </is>
      </c>
      <c r="G494" t="n">
        <v>3.2</v>
      </c>
      <c r="H494" t="n">
        <v>0</v>
      </c>
      <c r="I494" t="n">
        <v>0</v>
      </c>
      <c r="J494" t="n">
        <v>0</v>
      </c>
      <c r="K494" t="n">
        <v>0</v>
      </c>
      <c r="L494" t="n">
        <v>0</v>
      </c>
      <c r="M494" t="n">
        <v>0</v>
      </c>
      <c r="N494" t="n">
        <v>0</v>
      </c>
      <c r="O494" t="n">
        <v>0</v>
      </c>
      <c r="P494" t="n">
        <v>0</v>
      </c>
      <c r="Q494" t="n">
        <v>0</v>
      </c>
      <c r="R494" s="2" t="inlineStr"/>
    </row>
    <row r="495" ht="15" customHeight="1">
      <c r="A495" t="inlineStr">
        <is>
          <t>A 21726-2022</t>
        </is>
      </c>
      <c r="B495" s="1" t="n">
        <v>44708</v>
      </c>
      <c r="C495" s="1" t="n">
        <v>46004</v>
      </c>
      <c r="D495" t="inlineStr">
        <is>
          <t>STOCKHOLMS LÄN</t>
        </is>
      </c>
      <c r="E495" t="inlineStr">
        <is>
          <t>NORRTÄLJE</t>
        </is>
      </c>
      <c r="G495" t="n">
        <v>0.2</v>
      </c>
      <c r="H495" t="n">
        <v>0</v>
      </c>
      <c r="I495" t="n">
        <v>0</v>
      </c>
      <c r="J495" t="n">
        <v>0</v>
      </c>
      <c r="K495" t="n">
        <v>0</v>
      </c>
      <c r="L495" t="n">
        <v>0</v>
      </c>
      <c r="M495" t="n">
        <v>0</v>
      </c>
      <c r="N495" t="n">
        <v>0</v>
      </c>
      <c r="O495" t="n">
        <v>0</v>
      </c>
      <c r="P495" t="n">
        <v>0</v>
      </c>
      <c r="Q495" t="n">
        <v>0</v>
      </c>
      <c r="R495" s="2" t="inlineStr"/>
    </row>
    <row r="496" ht="15" customHeight="1">
      <c r="A496" t="inlineStr">
        <is>
          <t>A 21739-2022</t>
        </is>
      </c>
      <c r="B496" s="1" t="n">
        <v>44708.36708333333</v>
      </c>
      <c r="C496" s="1" t="n">
        <v>46004</v>
      </c>
      <c r="D496" t="inlineStr">
        <is>
          <t>STOCKHOLMS LÄN</t>
        </is>
      </c>
      <c r="E496" t="inlineStr">
        <is>
          <t>NORRTÄLJE</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6537-2024</t>
        </is>
      </c>
      <c r="B497" s="1" t="n">
        <v>45341.39853009259</v>
      </c>
      <c r="C497" s="1" t="n">
        <v>46004</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35210-2023</t>
        </is>
      </c>
      <c r="B498" s="1" t="n">
        <v>45145.63584490741</v>
      </c>
      <c r="C498" s="1" t="n">
        <v>46004</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13089-2022</t>
        </is>
      </c>
      <c r="B499" s="1" t="n">
        <v>44643</v>
      </c>
      <c r="C499" s="1" t="n">
        <v>46004</v>
      </c>
      <c r="D499" t="inlineStr">
        <is>
          <t>STOCKHOLMS LÄN</t>
        </is>
      </c>
      <c r="E499" t="inlineStr">
        <is>
          <t>NORRTÄLJE</t>
        </is>
      </c>
      <c r="G499" t="n">
        <v>4.5</v>
      </c>
      <c r="H499" t="n">
        <v>0</v>
      </c>
      <c r="I499" t="n">
        <v>0</v>
      </c>
      <c r="J499" t="n">
        <v>0</v>
      </c>
      <c r="K499" t="n">
        <v>0</v>
      </c>
      <c r="L499" t="n">
        <v>0</v>
      </c>
      <c r="M499" t="n">
        <v>0</v>
      </c>
      <c r="N499" t="n">
        <v>0</v>
      </c>
      <c r="O499" t="n">
        <v>0</v>
      </c>
      <c r="P499" t="n">
        <v>0</v>
      </c>
      <c r="Q499" t="n">
        <v>0</v>
      </c>
      <c r="R499" s="2" t="inlineStr"/>
    </row>
    <row r="500" ht="15" customHeight="1">
      <c r="A500" t="inlineStr">
        <is>
          <t>A 40175-2024</t>
        </is>
      </c>
      <c r="B500" s="1" t="n">
        <v>45554.55707175926</v>
      </c>
      <c r="C500" s="1" t="n">
        <v>46004</v>
      </c>
      <c r="D500" t="inlineStr">
        <is>
          <t>STOCKHOLMS LÄN</t>
        </is>
      </c>
      <c r="E500" t="inlineStr">
        <is>
          <t>NORRTÄLJE</t>
        </is>
      </c>
      <c r="G500" t="n">
        <v>7.7</v>
      </c>
      <c r="H500" t="n">
        <v>0</v>
      </c>
      <c r="I500" t="n">
        <v>0</v>
      </c>
      <c r="J500" t="n">
        <v>0</v>
      </c>
      <c r="K500" t="n">
        <v>0</v>
      </c>
      <c r="L500" t="n">
        <v>0</v>
      </c>
      <c r="M500" t="n">
        <v>0</v>
      </c>
      <c r="N500" t="n">
        <v>0</v>
      </c>
      <c r="O500" t="n">
        <v>0</v>
      </c>
      <c r="P500" t="n">
        <v>0</v>
      </c>
      <c r="Q500" t="n">
        <v>0</v>
      </c>
      <c r="R500" s="2" t="inlineStr"/>
    </row>
    <row r="501" ht="15" customHeight="1">
      <c r="A501" t="inlineStr">
        <is>
          <t>A 15956-2023</t>
        </is>
      </c>
      <c r="B501" s="1" t="n">
        <v>45022.61003472222</v>
      </c>
      <c r="C501" s="1" t="n">
        <v>46004</v>
      </c>
      <c r="D501" t="inlineStr">
        <is>
          <t>STOCKHOLMS LÄN</t>
        </is>
      </c>
      <c r="E501" t="inlineStr">
        <is>
          <t>NORRTÄLJE</t>
        </is>
      </c>
      <c r="G501" t="n">
        <v>2.3</v>
      </c>
      <c r="H501" t="n">
        <v>0</v>
      </c>
      <c r="I501" t="n">
        <v>0</v>
      </c>
      <c r="J501" t="n">
        <v>0</v>
      </c>
      <c r="K501" t="n">
        <v>0</v>
      </c>
      <c r="L501" t="n">
        <v>0</v>
      </c>
      <c r="M501" t="n">
        <v>0</v>
      </c>
      <c r="N501" t="n">
        <v>0</v>
      </c>
      <c r="O501" t="n">
        <v>0</v>
      </c>
      <c r="P501" t="n">
        <v>0</v>
      </c>
      <c r="Q501" t="n">
        <v>0</v>
      </c>
      <c r="R501" s="2" t="inlineStr"/>
    </row>
    <row r="502" ht="15" customHeight="1">
      <c r="A502" t="inlineStr">
        <is>
          <t>A 54558-2024</t>
        </is>
      </c>
      <c r="B502" s="1" t="n">
        <v>45617.62358796296</v>
      </c>
      <c r="C502" s="1" t="n">
        <v>46004</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59767-2022</t>
        </is>
      </c>
      <c r="B503" s="1" t="n">
        <v>44900</v>
      </c>
      <c r="C503" s="1" t="n">
        <v>46004</v>
      </c>
      <c r="D503" t="inlineStr">
        <is>
          <t>STOCKHOLMS LÄN</t>
        </is>
      </c>
      <c r="E503" t="inlineStr">
        <is>
          <t>NORRTÄLJE</t>
        </is>
      </c>
      <c r="G503" t="n">
        <v>2.2</v>
      </c>
      <c r="H503" t="n">
        <v>0</v>
      </c>
      <c r="I503" t="n">
        <v>0</v>
      </c>
      <c r="J503" t="n">
        <v>0</v>
      </c>
      <c r="K503" t="n">
        <v>0</v>
      </c>
      <c r="L503" t="n">
        <v>0</v>
      </c>
      <c r="M503" t="n">
        <v>0</v>
      </c>
      <c r="N503" t="n">
        <v>0</v>
      </c>
      <c r="O503" t="n">
        <v>0</v>
      </c>
      <c r="P503" t="n">
        <v>0</v>
      </c>
      <c r="Q503" t="n">
        <v>0</v>
      </c>
      <c r="R503" s="2" t="inlineStr"/>
    </row>
    <row r="504" ht="15" customHeight="1">
      <c r="A504" t="inlineStr">
        <is>
          <t>A 48145-2024</t>
        </is>
      </c>
      <c r="B504" s="1" t="n">
        <v>45589.6756712963</v>
      </c>
      <c r="C504" s="1" t="n">
        <v>46004</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23998-2024</t>
        </is>
      </c>
      <c r="B505" s="1" t="n">
        <v>45456</v>
      </c>
      <c r="C505" s="1" t="n">
        <v>46004</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23056-2023</t>
        </is>
      </c>
      <c r="B506" s="1" t="n">
        <v>45075</v>
      </c>
      <c r="C506" s="1" t="n">
        <v>46004</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5823-2023</t>
        </is>
      </c>
      <c r="B507" s="1" t="n">
        <v>44963</v>
      </c>
      <c r="C507" s="1" t="n">
        <v>46004</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67393-2020</t>
        </is>
      </c>
      <c r="B508" s="1" t="n">
        <v>44181</v>
      </c>
      <c r="C508" s="1" t="n">
        <v>46004</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19915-2024</t>
        </is>
      </c>
      <c r="B509" s="1" t="n">
        <v>45433.58431712963</v>
      </c>
      <c r="C509" s="1" t="n">
        <v>46004</v>
      </c>
      <c r="D509" t="inlineStr">
        <is>
          <t>STOCKHOLMS LÄN</t>
        </is>
      </c>
      <c r="E509" t="inlineStr">
        <is>
          <t>NORRTÄLJE</t>
        </is>
      </c>
      <c r="G509" t="n">
        <v>2</v>
      </c>
      <c r="H509" t="n">
        <v>0</v>
      </c>
      <c r="I509" t="n">
        <v>0</v>
      </c>
      <c r="J509" t="n">
        <v>0</v>
      </c>
      <c r="K509" t="n">
        <v>0</v>
      </c>
      <c r="L509" t="n">
        <v>0</v>
      </c>
      <c r="M509" t="n">
        <v>0</v>
      </c>
      <c r="N509" t="n">
        <v>0</v>
      </c>
      <c r="O509" t="n">
        <v>0</v>
      </c>
      <c r="P509" t="n">
        <v>0</v>
      </c>
      <c r="Q509" t="n">
        <v>0</v>
      </c>
      <c r="R509" s="2" t="inlineStr"/>
    </row>
    <row r="510" ht="15" customHeight="1">
      <c r="A510" t="inlineStr">
        <is>
          <t>A 15217-2023</t>
        </is>
      </c>
      <c r="B510" s="1" t="n">
        <v>45019.28847222222</v>
      </c>
      <c r="C510" s="1" t="n">
        <v>46004</v>
      </c>
      <c r="D510" t="inlineStr">
        <is>
          <t>STOCKHOLMS LÄN</t>
        </is>
      </c>
      <c r="E510" t="inlineStr">
        <is>
          <t>NORRTÄLJE</t>
        </is>
      </c>
      <c r="G510" t="n">
        <v>3.6</v>
      </c>
      <c r="H510" t="n">
        <v>0</v>
      </c>
      <c r="I510" t="n">
        <v>0</v>
      </c>
      <c r="J510" t="n">
        <v>0</v>
      </c>
      <c r="K510" t="n">
        <v>0</v>
      </c>
      <c r="L510" t="n">
        <v>0</v>
      </c>
      <c r="M510" t="n">
        <v>0</v>
      </c>
      <c r="N510" t="n">
        <v>0</v>
      </c>
      <c r="O510" t="n">
        <v>0</v>
      </c>
      <c r="P510" t="n">
        <v>0</v>
      </c>
      <c r="Q510" t="n">
        <v>0</v>
      </c>
      <c r="R510" s="2" t="inlineStr"/>
    </row>
    <row r="511" ht="15" customHeight="1">
      <c r="A511" t="inlineStr">
        <is>
          <t>A 15447-2023</t>
        </is>
      </c>
      <c r="B511" s="1" t="n">
        <v>45020</v>
      </c>
      <c r="C511" s="1" t="n">
        <v>46004</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47431-2023</t>
        </is>
      </c>
      <c r="B512" s="1" t="n">
        <v>45202</v>
      </c>
      <c r="C512" s="1" t="n">
        <v>46004</v>
      </c>
      <c r="D512" t="inlineStr">
        <is>
          <t>STOCKHOLMS LÄN</t>
        </is>
      </c>
      <c r="E512" t="inlineStr">
        <is>
          <t>NORRTÄLJE</t>
        </is>
      </c>
      <c r="F512" t="inlineStr">
        <is>
          <t>Naturvårdsverket</t>
        </is>
      </c>
      <c r="G512" t="n">
        <v>1.2</v>
      </c>
      <c r="H512" t="n">
        <v>0</v>
      </c>
      <c r="I512" t="n">
        <v>0</v>
      </c>
      <c r="J512" t="n">
        <v>0</v>
      </c>
      <c r="K512" t="n">
        <v>0</v>
      </c>
      <c r="L512" t="n">
        <v>0</v>
      </c>
      <c r="M512" t="n">
        <v>0</v>
      </c>
      <c r="N512" t="n">
        <v>0</v>
      </c>
      <c r="O512" t="n">
        <v>0</v>
      </c>
      <c r="P512" t="n">
        <v>0</v>
      </c>
      <c r="Q512" t="n">
        <v>0</v>
      </c>
      <c r="R512" s="2" t="inlineStr"/>
    </row>
    <row r="513" ht="15" customHeight="1">
      <c r="A513" t="inlineStr">
        <is>
          <t>A 59499-2023</t>
        </is>
      </c>
      <c r="B513" s="1" t="n">
        <v>45254</v>
      </c>
      <c r="C513" s="1" t="n">
        <v>46004</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59468-2023</t>
        </is>
      </c>
      <c r="B514" s="1" t="n">
        <v>45254.41509259259</v>
      </c>
      <c r="C514" s="1" t="n">
        <v>46004</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47626-2022</t>
        </is>
      </c>
      <c r="B515" s="1" t="n">
        <v>44854</v>
      </c>
      <c r="C515" s="1" t="n">
        <v>46004</v>
      </c>
      <c r="D515" t="inlineStr">
        <is>
          <t>STOCKHOLMS LÄN</t>
        </is>
      </c>
      <c r="E515" t="inlineStr">
        <is>
          <t>NORRTÄLJE</t>
        </is>
      </c>
      <c r="G515" t="n">
        <v>2</v>
      </c>
      <c r="H515" t="n">
        <v>0</v>
      </c>
      <c r="I515" t="n">
        <v>0</v>
      </c>
      <c r="J515" t="n">
        <v>0</v>
      </c>
      <c r="K515" t="n">
        <v>0</v>
      </c>
      <c r="L515" t="n">
        <v>0</v>
      </c>
      <c r="M515" t="n">
        <v>0</v>
      </c>
      <c r="N515" t="n">
        <v>0</v>
      </c>
      <c r="O515" t="n">
        <v>0</v>
      </c>
      <c r="P515" t="n">
        <v>0</v>
      </c>
      <c r="Q515" t="n">
        <v>0</v>
      </c>
      <c r="R515" s="2" t="inlineStr"/>
    </row>
    <row r="516" ht="15" customHeight="1">
      <c r="A516" t="inlineStr">
        <is>
          <t>A 50143-2023</t>
        </is>
      </c>
      <c r="B516" s="1" t="n">
        <v>45215</v>
      </c>
      <c r="C516" s="1" t="n">
        <v>46004</v>
      </c>
      <c r="D516" t="inlineStr">
        <is>
          <t>STOCKHOLMS LÄN</t>
        </is>
      </c>
      <c r="E516" t="inlineStr">
        <is>
          <t>NORRTÄLJE</t>
        </is>
      </c>
      <c r="G516" t="n">
        <v>10.3</v>
      </c>
      <c r="H516" t="n">
        <v>0</v>
      </c>
      <c r="I516" t="n">
        <v>0</v>
      </c>
      <c r="J516" t="n">
        <v>0</v>
      </c>
      <c r="K516" t="n">
        <v>0</v>
      </c>
      <c r="L516" t="n">
        <v>0</v>
      </c>
      <c r="M516" t="n">
        <v>0</v>
      </c>
      <c r="N516" t="n">
        <v>0</v>
      </c>
      <c r="O516" t="n">
        <v>0</v>
      </c>
      <c r="P516" t="n">
        <v>0</v>
      </c>
      <c r="Q516" t="n">
        <v>0</v>
      </c>
      <c r="R516" s="2" t="inlineStr"/>
    </row>
    <row r="517" ht="15" customHeight="1">
      <c r="A517" t="inlineStr">
        <is>
          <t>A 29176-2024</t>
        </is>
      </c>
      <c r="B517" s="1" t="n">
        <v>45482.53388888889</v>
      </c>
      <c r="C517" s="1" t="n">
        <v>46004</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36430-2024</t>
        </is>
      </c>
      <c r="B518" s="1" t="n">
        <v>45536</v>
      </c>
      <c r="C518" s="1" t="n">
        <v>46004</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12532-2025</t>
        </is>
      </c>
      <c r="B519" s="1" t="n">
        <v>45730.69143518519</v>
      </c>
      <c r="C519" s="1" t="n">
        <v>46004</v>
      </c>
      <c r="D519" t="inlineStr">
        <is>
          <t>STOCKHOLMS LÄN</t>
        </is>
      </c>
      <c r="E519" t="inlineStr">
        <is>
          <t>NORRTÄLJE</t>
        </is>
      </c>
      <c r="G519" t="n">
        <v>1</v>
      </c>
      <c r="H519" t="n">
        <v>0</v>
      </c>
      <c r="I519" t="n">
        <v>0</v>
      </c>
      <c r="J519" t="n">
        <v>0</v>
      </c>
      <c r="K519" t="n">
        <v>0</v>
      </c>
      <c r="L519" t="n">
        <v>0</v>
      </c>
      <c r="M519" t="n">
        <v>0</v>
      </c>
      <c r="N519" t="n">
        <v>0</v>
      </c>
      <c r="O519" t="n">
        <v>0</v>
      </c>
      <c r="P519" t="n">
        <v>0</v>
      </c>
      <c r="Q519" t="n">
        <v>0</v>
      </c>
      <c r="R519" s="2" t="inlineStr"/>
    </row>
    <row r="520" ht="15" customHeight="1">
      <c r="A520" t="inlineStr">
        <is>
          <t>A 5732-2023</t>
        </is>
      </c>
      <c r="B520" s="1" t="n">
        <v>44962</v>
      </c>
      <c r="C520" s="1" t="n">
        <v>46004</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51312-2023</t>
        </is>
      </c>
      <c r="B521" s="1" t="n">
        <v>45219.56697916667</v>
      </c>
      <c r="C521" s="1" t="n">
        <v>46004</v>
      </c>
      <c r="D521" t="inlineStr">
        <is>
          <t>STOCKHOLMS LÄN</t>
        </is>
      </c>
      <c r="E521" t="inlineStr">
        <is>
          <t>NORRTÄLJE</t>
        </is>
      </c>
      <c r="G521" t="n">
        <v>1.9</v>
      </c>
      <c r="H521" t="n">
        <v>0</v>
      </c>
      <c r="I521" t="n">
        <v>0</v>
      </c>
      <c r="J521" t="n">
        <v>0</v>
      </c>
      <c r="K521" t="n">
        <v>0</v>
      </c>
      <c r="L521" t="n">
        <v>0</v>
      </c>
      <c r="M521" t="n">
        <v>0</v>
      </c>
      <c r="N521" t="n">
        <v>0</v>
      </c>
      <c r="O521" t="n">
        <v>0</v>
      </c>
      <c r="P521" t="n">
        <v>0</v>
      </c>
      <c r="Q521" t="n">
        <v>0</v>
      </c>
      <c r="R521" s="2" t="inlineStr"/>
    </row>
    <row r="522" ht="15" customHeight="1">
      <c r="A522" t="inlineStr">
        <is>
          <t>A 10653-2022</t>
        </is>
      </c>
      <c r="B522" s="1" t="n">
        <v>44624.59434027778</v>
      </c>
      <c r="C522" s="1" t="n">
        <v>46004</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35640-2024</t>
        </is>
      </c>
      <c r="B523" s="1" t="n">
        <v>45531</v>
      </c>
      <c r="C523" s="1" t="n">
        <v>46004</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54358-2022</t>
        </is>
      </c>
      <c r="B524" s="1" t="n">
        <v>44882</v>
      </c>
      <c r="C524" s="1" t="n">
        <v>46004</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62206-2022</t>
        </is>
      </c>
      <c r="B525" s="1" t="n">
        <v>44922</v>
      </c>
      <c r="C525" s="1" t="n">
        <v>46004</v>
      </c>
      <c r="D525" t="inlineStr">
        <is>
          <t>STOCKHOLMS LÄN</t>
        </is>
      </c>
      <c r="E525" t="inlineStr">
        <is>
          <t>NORRTÄLJE</t>
        </is>
      </c>
      <c r="G525" t="n">
        <v>2.9</v>
      </c>
      <c r="H525" t="n">
        <v>0</v>
      </c>
      <c r="I525" t="n">
        <v>0</v>
      </c>
      <c r="J525" t="n">
        <v>0</v>
      </c>
      <c r="K525" t="n">
        <v>0</v>
      </c>
      <c r="L525" t="n">
        <v>0</v>
      </c>
      <c r="M525" t="n">
        <v>0</v>
      </c>
      <c r="N525" t="n">
        <v>0</v>
      </c>
      <c r="O525" t="n">
        <v>0</v>
      </c>
      <c r="P525" t="n">
        <v>0</v>
      </c>
      <c r="Q525" t="n">
        <v>0</v>
      </c>
      <c r="R525" s="2" t="inlineStr"/>
    </row>
    <row r="526" ht="15" customHeight="1">
      <c r="A526" t="inlineStr">
        <is>
          <t>A 21729-2024</t>
        </is>
      </c>
      <c r="B526" s="1" t="n">
        <v>45442</v>
      </c>
      <c r="C526" s="1" t="n">
        <v>46004</v>
      </c>
      <c r="D526" t="inlineStr">
        <is>
          <t>STOCKHOLMS LÄN</t>
        </is>
      </c>
      <c r="E526" t="inlineStr">
        <is>
          <t>NORRTÄLJE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23263-2023</t>
        </is>
      </c>
      <c r="B527" s="1" t="n">
        <v>45075</v>
      </c>
      <c r="C527" s="1" t="n">
        <v>46004</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23264-2023</t>
        </is>
      </c>
      <c r="B528" s="1" t="n">
        <v>45075</v>
      </c>
      <c r="C528" s="1" t="n">
        <v>46004</v>
      </c>
      <c r="D528" t="inlineStr">
        <is>
          <t>STOCKHOLMS LÄN</t>
        </is>
      </c>
      <c r="E528" t="inlineStr">
        <is>
          <t>NORRTÄLJE</t>
        </is>
      </c>
      <c r="G528" t="n">
        <v>2.9</v>
      </c>
      <c r="H528" t="n">
        <v>0</v>
      </c>
      <c r="I528" t="n">
        <v>0</v>
      </c>
      <c r="J528" t="n">
        <v>0</v>
      </c>
      <c r="K528" t="n">
        <v>0</v>
      </c>
      <c r="L528" t="n">
        <v>0</v>
      </c>
      <c r="M528" t="n">
        <v>0</v>
      </c>
      <c r="N528" t="n">
        <v>0</v>
      </c>
      <c r="O528" t="n">
        <v>0</v>
      </c>
      <c r="P528" t="n">
        <v>0</v>
      </c>
      <c r="Q528" t="n">
        <v>0</v>
      </c>
      <c r="R528" s="2" t="inlineStr"/>
    </row>
    <row r="529" ht="15" customHeight="1">
      <c r="A529" t="inlineStr">
        <is>
          <t>A 23267-2023</t>
        </is>
      </c>
      <c r="B529" s="1" t="n">
        <v>45075.90934027778</v>
      </c>
      <c r="C529" s="1" t="n">
        <v>46004</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23269-2023</t>
        </is>
      </c>
      <c r="B530" s="1" t="n">
        <v>45075.91148148148</v>
      </c>
      <c r="C530" s="1" t="n">
        <v>46004</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11854-2025</t>
        </is>
      </c>
      <c r="B531" s="1" t="n">
        <v>45728.38924768518</v>
      </c>
      <c r="C531" s="1" t="n">
        <v>46004</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19911-2025</t>
        </is>
      </c>
      <c r="B532" s="1" t="n">
        <v>45771</v>
      </c>
      <c r="C532" s="1" t="n">
        <v>46004</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14762-2024</t>
        </is>
      </c>
      <c r="B533" s="1" t="n">
        <v>45397</v>
      </c>
      <c r="C533" s="1" t="n">
        <v>46004</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5831-2022</t>
        </is>
      </c>
      <c r="B534" s="1" t="n">
        <v>44596</v>
      </c>
      <c r="C534" s="1" t="n">
        <v>46004</v>
      </c>
      <c r="D534" t="inlineStr">
        <is>
          <t>STOCKHOLMS LÄN</t>
        </is>
      </c>
      <c r="E534" t="inlineStr">
        <is>
          <t>NORRTÄLJE</t>
        </is>
      </c>
      <c r="G534" t="n">
        <v>4.8</v>
      </c>
      <c r="H534" t="n">
        <v>0</v>
      </c>
      <c r="I534" t="n">
        <v>0</v>
      </c>
      <c r="J534" t="n">
        <v>0</v>
      </c>
      <c r="K534" t="n">
        <v>0</v>
      </c>
      <c r="L534" t="n">
        <v>0</v>
      </c>
      <c r="M534" t="n">
        <v>0</v>
      </c>
      <c r="N534" t="n">
        <v>0</v>
      </c>
      <c r="O534" t="n">
        <v>0</v>
      </c>
      <c r="P534" t="n">
        <v>0</v>
      </c>
      <c r="Q534" t="n">
        <v>0</v>
      </c>
      <c r="R534" s="2" t="inlineStr"/>
    </row>
    <row r="535" ht="15" customHeight="1">
      <c r="A535" t="inlineStr">
        <is>
          <t>A 5867-2022</t>
        </is>
      </c>
      <c r="B535" s="1" t="n">
        <v>44596.66335648148</v>
      </c>
      <c r="C535" s="1" t="n">
        <v>46004</v>
      </c>
      <c r="D535" t="inlineStr">
        <is>
          <t>STOCKHOLMS LÄN</t>
        </is>
      </c>
      <c r="E535" t="inlineStr">
        <is>
          <t>NORRTÄLJE</t>
        </is>
      </c>
      <c r="F535" t="inlineStr">
        <is>
          <t>Naturvårdsverket</t>
        </is>
      </c>
      <c r="G535" t="n">
        <v>1.6</v>
      </c>
      <c r="H535" t="n">
        <v>0</v>
      </c>
      <c r="I535" t="n">
        <v>0</v>
      </c>
      <c r="J535" t="n">
        <v>0</v>
      </c>
      <c r="K535" t="n">
        <v>0</v>
      </c>
      <c r="L535" t="n">
        <v>0</v>
      </c>
      <c r="M535" t="n">
        <v>0</v>
      </c>
      <c r="N535" t="n">
        <v>0</v>
      </c>
      <c r="O535" t="n">
        <v>0</v>
      </c>
      <c r="P535" t="n">
        <v>0</v>
      </c>
      <c r="Q535" t="n">
        <v>0</v>
      </c>
      <c r="R535" s="2" t="inlineStr"/>
    </row>
    <row r="536" ht="15" customHeight="1">
      <c r="A536" t="inlineStr">
        <is>
          <t>A 43212-2022</t>
        </is>
      </c>
      <c r="B536" s="1" t="n">
        <v>44834.38636574074</v>
      </c>
      <c r="C536" s="1" t="n">
        <v>46004</v>
      </c>
      <c r="D536" t="inlineStr">
        <is>
          <t>STOCKHOLMS LÄN</t>
        </is>
      </c>
      <c r="E536" t="inlineStr">
        <is>
          <t>NORRTÄLJE</t>
        </is>
      </c>
      <c r="G536" t="n">
        <v>1.3</v>
      </c>
      <c r="H536" t="n">
        <v>0</v>
      </c>
      <c r="I536" t="n">
        <v>0</v>
      </c>
      <c r="J536" t="n">
        <v>0</v>
      </c>
      <c r="K536" t="n">
        <v>0</v>
      </c>
      <c r="L536" t="n">
        <v>0</v>
      </c>
      <c r="M536" t="n">
        <v>0</v>
      </c>
      <c r="N536" t="n">
        <v>0</v>
      </c>
      <c r="O536" t="n">
        <v>0</v>
      </c>
      <c r="P536" t="n">
        <v>0</v>
      </c>
      <c r="Q536" t="n">
        <v>0</v>
      </c>
      <c r="R536" s="2" t="inlineStr"/>
    </row>
    <row r="537" ht="15" customHeight="1">
      <c r="A537" t="inlineStr">
        <is>
          <t>A 51653-2022</t>
        </is>
      </c>
      <c r="B537" s="1" t="n">
        <v>44867</v>
      </c>
      <c r="C537" s="1" t="n">
        <v>46004</v>
      </c>
      <c r="D537" t="inlineStr">
        <is>
          <t>STOCKHOLMS LÄN</t>
        </is>
      </c>
      <c r="E537" t="inlineStr">
        <is>
          <t>NORRTÄLJE</t>
        </is>
      </c>
      <c r="G537" t="n">
        <v>6.6</v>
      </c>
      <c r="H537" t="n">
        <v>0</v>
      </c>
      <c r="I537" t="n">
        <v>0</v>
      </c>
      <c r="J537" t="n">
        <v>0</v>
      </c>
      <c r="K537" t="n">
        <v>0</v>
      </c>
      <c r="L537" t="n">
        <v>0</v>
      </c>
      <c r="M537" t="n">
        <v>0</v>
      </c>
      <c r="N537" t="n">
        <v>0</v>
      </c>
      <c r="O537" t="n">
        <v>0</v>
      </c>
      <c r="P537" t="n">
        <v>0</v>
      </c>
      <c r="Q537" t="n">
        <v>0</v>
      </c>
      <c r="R537" s="2" t="inlineStr"/>
    </row>
    <row r="538" ht="15" customHeight="1">
      <c r="A538" t="inlineStr">
        <is>
          <t>A 20618-2022</t>
        </is>
      </c>
      <c r="B538" s="1" t="n">
        <v>44700.50659722222</v>
      </c>
      <c r="C538" s="1" t="n">
        <v>46004</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40192-2023</t>
        </is>
      </c>
      <c r="B539" s="1" t="n">
        <v>45169</v>
      </c>
      <c r="C539" s="1" t="n">
        <v>46004</v>
      </c>
      <c r="D539" t="inlineStr">
        <is>
          <t>STOCKHOLMS LÄN</t>
        </is>
      </c>
      <c r="E539" t="inlineStr">
        <is>
          <t>NORRTÄLJE</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20244-2025</t>
        </is>
      </c>
      <c r="B540" s="1" t="n">
        <v>45772.71221064815</v>
      </c>
      <c r="C540" s="1" t="n">
        <v>46004</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48633-2023</t>
        </is>
      </c>
      <c r="B541" s="1" t="n">
        <v>45208.58004629629</v>
      </c>
      <c r="C541" s="1" t="n">
        <v>46004</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4322-2023</t>
        </is>
      </c>
      <c r="B542" s="1" t="n">
        <v>44953.69298611111</v>
      </c>
      <c r="C542" s="1" t="n">
        <v>46004</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11900-2022</t>
        </is>
      </c>
      <c r="B543" s="1" t="n">
        <v>44635</v>
      </c>
      <c r="C543" s="1" t="n">
        <v>46004</v>
      </c>
      <c r="D543" t="inlineStr">
        <is>
          <t>STOCKHOLMS LÄN</t>
        </is>
      </c>
      <c r="E543" t="inlineStr">
        <is>
          <t>NORRTÄLJE</t>
        </is>
      </c>
      <c r="G543" t="n">
        <v>2.4</v>
      </c>
      <c r="H543" t="n">
        <v>0</v>
      </c>
      <c r="I543" t="n">
        <v>0</v>
      </c>
      <c r="J543" t="n">
        <v>0</v>
      </c>
      <c r="K543" t="n">
        <v>0</v>
      </c>
      <c r="L543" t="n">
        <v>0</v>
      </c>
      <c r="M543" t="n">
        <v>0</v>
      </c>
      <c r="N543" t="n">
        <v>0</v>
      </c>
      <c r="O543" t="n">
        <v>0</v>
      </c>
      <c r="P543" t="n">
        <v>0</v>
      </c>
      <c r="Q543" t="n">
        <v>0</v>
      </c>
      <c r="R543" s="2" t="inlineStr"/>
    </row>
    <row r="544" ht="15" customHeight="1">
      <c r="A544" t="inlineStr">
        <is>
          <t>A 39669-2024</t>
        </is>
      </c>
      <c r="B544" s="1" t="n">
        <v>45552.52827546297</v>
      </c>
      <c r="C544" s="1" t="n">
        <v>46004</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10973-2025</t>
        </is>
      </c>
      <c r="B545" s="1" t="n">
        <v>45723</v>
      </c>
      <c r="C545" s="1" t="n">
        <v>46004</v>
      </c>
      <c r="D545" t="inlineStr">
        <is>
          <t>STOCKHOLMS LÄN</t>
        </is>
      </c>
      <c r="E545" t="inlineStr">
        <is>
          <t>NORRTÄLJE</t>
        </is>
      </c>
      <c r="F545" t="inlineStr">
        <is>
          <t>Övriga Aktiebolag</t>
        </is>
      </c>
      <c r="G545" t="n">
        <v>2.7</v>
      </c>
      <c r="H545" t="n">
        <v>0</v>
      </c>
      <c r="I545" t="n">
        <v>0</v>
      </c>
      <c r="J545" t="n">
        <v>0</v>
      </c>
      <c r="K545" t="n">
        <v>0</v>
      </c>
      <c r="L545" t="n">
        <v>0</v>
      </c>
      <c r="M545" t="n">
        <v>0</v>
      </c>
      <c r="N545" t="n">
        <v>0</v>
      </c>
      <c r="O545" t="n">
        <v>0</v>
      </c>
      <c r="P545" t="n">
        <v>0</v>
      </c>
      <c r="Q545" t="n">
        <v>0</v>
      </c>
      <c r="R545" s="2" t="inlineStr"/>
    </row>
    <row r="546" ht="15" customHeight="1">
      <c r="A546" t="inlineStr">
        <is>
          <t>A 38990-2022</t>
        </is>
      </c>
      <c r="B546" s="1" t="n">
        <v>44816</v>
      </c>
      <c r="C546" s="1" t="n">
        <v>46004</v>
      </c>
      <c r="D546" t="inlineStr">
        <is>
          <t>STOCKHOLMS LÄN</t>
        </is>
      </c>
      <c r="E546" t="inlineStr">
        <is>
          <t>NORRTÄLJE</t>
        </is>
      </c>
      <c r="G546" t="n">
        <v>5.7</v>
      </c>
      <c r="H546" t="n">
        <v>0</v>
      </c>
      <c r="I546" t="n">
        <v>0</v>
      </c>
      <c r="J546" t="n">
        <v>0</v>
      </c>
      <c r="K546" t="n">
        <v>0</v>
      </c>
      <c r="L546" t="n">
        <v>0</v>
      </c>
      <c r="M546" t="n">
        <v>0</v>
      </c>
      <c r="N546" t="n">
        <v>0</v>
      </c>
      <c r="O546" t="n">
        <v>0</v>
      </c>
      <c r="P546" t="n">
        <v>0</v>
      </c>
      <c r="Q546" t="n">
        <v>0</v>
      </c>
      <c r="R546" s="2" t="inlineStr"/>
    </row>
    <row r="547" ht="15" customHeight="1">
      <c r="A547" t="inlineStr">
        <is>
          <t>A 59712-2024</t>
        </is>
      </c>
      <c r="B547" s="1" t="n">
        <v>45639.45166666667</v>
      </c>
      <c r="C547" s="1" t="n">
        <v>46004</v>
      </c>
      <c r="D547" t="inlineStr">
        <is>
          <t>STOCKHOLMS LÄN</t>
        </is>
      </c>
      <c r="E547" t="inlineStr">
        <is>
          <t>NORRTÄLJE</t>
        </is>
      </c>
      <c r="G547" t="n">
        <v>4.4</v>
      </c>
      <c r="H547" t="n">
        <v>0</v>
      </c>
      <c r="I547" t="n">
        <v>0</v>
      </c>
      <c r="J547" t="n">
        <v>0</v>
      </c>
      <c r="K547" t="n">
        <v>0</v>
      </c>
      <c r="L547" t="n">
        <v>0</v>
      </c>
      <c r="M547" t="n">
        <v>0</v>
      </c>
      <c r="N547" t="n">
        <v>0</v>
      </c>
      <c r="O547" t="n">
        <v>0</v>
      </c>
      <c r="P547" t="n">
        <v>0</v>
      </c>
      <c r="Q547" t="n">
        <v>0</v>
      </c>
      <c r="R547" s="2" t="inlineStr"/>
    </row>
    <row r="548" ht="15" customHeight="1">
      <c r="A548" t="inlineStr">
        <is>
          <t>A 17956-2025</t>
        </is>
      </c>
      <c r="B548" s="1" t="n">
        <v>45760.91174768518</v>
      </c>
      <c r="C548" s="1" t="n">
        <v>46004</v>
      </c>
      <c r="D548" t="inlineStr">
        <is>
          <t>STOCKHOLMS LÄN</t>
        </is>
      </c>
      <c r="E548" t="inlineStr">
        <is>
          <t>NORRTÄLJE</t>
        </is>
      </c>
      <c r="G548" t="n">
        <v>4.3</v>
      </c>
      <c r="H548" t="n">
        <v>0</v>
      </c>
      <c r="I548" t="n">
        <v>0</v>
      </c>
      <c r="J548" t="n">
        <v>0</v>
      </c>
      <c r="K548" t="n">
        <v>0</v>
      </c>
      <c r="L548" t="n">
        <v>0</v>
      </c>
      <c r="M548" t="n">
        <v>0</v>
      </c>
      <c r="N548" t="n">
        <v>0</v>
      </c>
      <c r="O548" t="n">
        <v>0</v>
      </c>
      <c r="P548" t="n">
        <v>0</v>
      </c>
      <c r="Q548" t="n">
        <v>0</v>
      </c>
      <c r="R548" s="2" t="inlineStr"/>
    </row>
    <row r="549" ht="15" customHeight="1">
      <c r="A549" t="inlineStr">
        <is>
          <t>A 875-2023</t>
        </is>
      </c>
      <c r="B549" s="1" t="n">
        <v>44931.65626157408</v>
      </c>
      <c r="C549" s="1" t="n">
        <v>46004</v>
      </c>
      <c r="D549" t="inlineStr">
        <is>
          <t>STOCKHOLMS LÄN</t>
        </is>
      </c>
      <c r="E549" t="inlineStr">
        <is>
          <t>NORRTÄLJE</t>
        </is>
      </c>
      <c r="G549" t="n">
        <v>2.2</v>
      </c>
      <c r="H549" t="n">
        <v>0</v>
      </c>
      <c r="I549" t="n">
        <v>0</v>
      </c>
      <c r="J549" t="n">
        <v>0</v>
      </c>
      <c r="K549" t="n">
        <v>0</v>
      </c>
      <c r="L549" t="n">
        <v>0</v>
      </c>
      <c r="M549" t="n">
        <v>0</v>
      </c>
      <c r="N549" t="n">
        <v>0</v>
      </c>
      <c r="O549" t="n">
        <v>0</v>
      </c>
      <c r="P549" t="n">
        <v>0</v>
      </c>
      <c r="Q549" t="n">
        <v>0</v>
      </c>
      <c r="R549" s="2" t="inlineStr"/>
    </row>
    <row r="550" ht="15" customHeight="1">
      <c r="A550" t="inlineStr">
        <is>
          <t>A 31236-2022</t>
        </is>
      </c>
      <c r="B550" s="1" t="n">
        <v>44771</v>
      </c>
      <c r="C550" s="1" t="n">
        <v>46004</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8315-2025</t>
        </is>
      </c>
      <c r="B551" s="1" t="n">
        <v>45708.61761574074</v>
      </c>
      <c r="C551" s="1" t="n">
        <v>46004</v>
      </c>
      <c r="D551" t="inlineStr">
        <is>
          <t>STOCKHOLMS LÄN</t>
        </is>
      </c>
      <c r="E551" t="inlineStr">
        <is>
          <t>NORRTÄLJE</t>
        </is>
      </c>
      <c r="G551" t="n">
        <v>3.9</v>
      </c>
      <c r="H551" t="n">
        <v>0</v>
      </c>
      <c r="I551" t="n">
        <v>0</v>
      </c>
      <c r="J551" t="n">
        <v>0</v>
      </c>
      <c r="K551" t="n">
        <v>0</v>
      </c>
      <c r="L551" t="n">
        <v>0</v>
      </c>
      <c r="M551" t="n">
        <v>0</v>
      </c>
      <c r="N551" t="n">
        <v>0</v>
      </c>
      <c r="O551" t="n">
        <v>0</v>
      </c>
      <c r="P551" t="n">
        <v>0</v>
      </c>
      <c r="Q551" t="n">
        <v>0</v>
      </c>
      <c r="R551" s="2" t="inlineStr"/>
    </row>
    <row r="552" ht="15" customHeight="1">
      <c r="A552" t="inlineStr">
        <is>
          <t>A 31281-2022</t>
        </is>
      </c>
      <c r="B552" s="1" t="n">
        <v>44771</v>
      </c>
      <c r="C552" s="1" t="n">
        <v>46004</v>
      </c>
      <c r="D552" t="inlineStr">
        <is>
          <t>STOCKHOLMS LÄN</t>
        </is>
      </c>
      <c r="E552" t="inlineStr">
        <is>
          <t>NORRTÄLJE</t>
        </is>
      </c>
      <c r="F552" t="inlineStr">
        <is>
          <t>Holmen skog AB</t>
        </is>
      </c>
      <c r="G552" t="n">
        <v>5.2</v>
      </c>
      <c r="H552" t="n">
        <v>0</v>
      </c>
      <c r="I552" t="n">
        <v>0</v>
      </c>
      <c r="J552" t="n">
        <v>0</v>
      </c>
      <c r="K552" t="n">
        <v>0</v>
      </c>
      <c r="L552" t="n">
        <v>0</v>
      </c>
      <c r="M552" t="n">
        <v>0</v>
      </c>
      <c r="N552" t="n">
        <v>0</v>
      </c>
      <c r="O552" t="n">
        <v>0</v>
      </c>
      <c r="P552" t="n">
        <v>0</v>
      </c>
      <c r="Q552" t="n">
        <v>0</v>
      </c>
      <c r="R552" s="2" t="inlineStr"/>
    </row>
    <row r="553" ht="15" customHeight="1">
      <c r="A553" t="inlineStr">
        <is>
          <t>A 27885-2022</t>
        </is>
      </c>
      <c r="B553" s="1" t="n">
        <v>44743.67418981482</v>
      </c>
      <c r="C553" s="1" t="n">
        <v>46004</v>
      </c>
      <c r="D553" t="inlineStr">
        <is>
          <t>STOCKHOLMS LÄN</t>
        </is>
      </c>
      <c r="E553" t="inlineStr">
        <is>
          <t>NORRTÄLJE</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35127-2023</t>
        </is>
      </c>
      <c r="B554" s="1" t="n">
        <v>45145.51</v>
      </c>
      <c r="C554" s="1" t="n">
        <v>46004</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43170-2023</t>
        </is>
      </c>
      <c r="B555" s="1" t="n">
        <v>45183</v>
      </c>
      <c r="C555" s="1" t="n">
        <v>46004</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9-2024</t>
        </is>
      </c>
      <c r="B556" s="1" t="n">
        <v>45293</v>
      </c>
      <c r="C556" s="1" t="n">
        <v>46004</v>
      </c>
      <c r="D556" t="inlineStr">
        <is>
          <t>STOCKHOLMS LÄN</t>
        </is>
      </c>
      <c r="E556" t="inlineStr">
        <is>
          <t>NORRTÄLJE</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18665-2022</t>
        </is>
      </c>
      <c r="B557" s="1" t="n">
        <v>44687</v>
      </c>
      <c r="C557" s="1" t="n">
        <v>46004</v>
      </c>
      <c r="D557" t="inlineStr">
        <is>
          <t>STOCKHOLMS LÄN</t>
        </is>
      </c>
      <c r="E557" t="inlineStr">
        <is>
          <t>NORRTÄLJE</t>
        </is>
      </c>
      <c r="F557" t="inlineStr">
        <is>
          <t>Kyrkan</t>
        </is>
      </c>
      <c r="G557" t="n">
        <v>1.1</v>
      </c>
      <c r="H557" t="n">
        <v>0</v>
      </c>
      <c r="I557" t="n">
        <v>0</v>
      </c>
      <c r="J557" t="n">
        <v>0</v>
      </c>
      <c r="K557" t="n">
        <v>0</v>
      </c>
      <c r="L557" t="n">
        <v>0</v>
      </c>
      <c r="M557" t="n">
        <v>0</v>
      </c>
      <c r="N557" t="n">
        <v>0</v>
      </c>
      <c r="O557" t="n">
        <v>0</v>
      </c>
      <c r="P557" t="n">
        <v>0</v>
      </c>
      <c r="Q557" t="n">
        <v>0</v>
      </c>
      <c r="R557" s="2" t="inlineStr"/>
    </row>
    <row r="558" ht="15" customHeight="1">
      <c r="A558" t="inlineStr">
        <is>
          <t>A 22832-2021</t>
        </is>
      </c>
      <c r="B558" s="1" t="n">
        <v>44325</v>
      </c>
      <c r="C558" s="1" t="n">
        <v>46004</v>
      </c>
      <c r="D558" t="inlineStr">
        <is>
          <t>STOCKHOLMS LÄN</t>
        </is>
      </c>
      <c r="E558" t="inlineStr">
        <is>
          <t>NORRTÄLJE</t>
        </is>
      </c>
      <c r="G558" t="n">
        <v>6.8</v>
      </c>
      <c r="H558" t="n">
        <v>0</v>
      </c>
      <c r="I558" t="n">
        <v>0</v>
      </c>
      <c r="J558" t="n">
        <v>0</v>
      </c>
      <c r="K558" t="n">
        <v>0</v>
      </c>
      <c r="L558" t="n">
        <v>0</v>
      </c>
      <c r="M558" t="n">
        <v>0</v>
      </c>
      <c r="N558" t="n">
        <v>0</v>
      </c>
      <c r="O558" t="n">
        <v>0</v>
      </c>
      <c r="P558" t="n">
        <v>0</v>
      </c>
      <c r="Q558" t="n">
        <v>0</v>
      </c>
      <c r="R558" s="2" t="inlineStr"/>
    </row>
    <row r="559" ht="15" customHeight="1">
      <c r="A559" t="inlineStr">
        <is>
          <t>A 45255-2022</t>
        </is>
      </c>
      <c r="B559" s="1" t="n">
        <v>44840</v>
      </c>
      <c r="C559" s="1" t="n">
        <v>46004</v>
      </c>
      <c r="D559" t="inlineStr">
        <is>
          <t>STOCKHOLMS LÄN</t>
        </is>
      </c>
      <c r="E559" t="inlineStr">
        <is>
          <t>NORRTÄLJE</t>
        </is>
      </c>
      <c r="G559" t="n">
        <v>4.1</v>
      </c>
      <c r="H559" t="n">
        <v>0</v>
      </c>
      <c r="I559" t="n">
        <v>0</v>
      </c>
      <c r="J559" t="n">
        <v>0</v>
      </c>
      <c r="K559" t="n">
        <v>0</v>
      </c>
      <c r="L559" t="n">
        <v>0</v>
      </c>
      <c r="M559" t="n">
        <v>0</v>
      </c>
      <c r="N559" t="n">
        <v>0</v>
      </c>
      <c r="O559" t="n">
        <v>0</v>
      </c>
      <c r="P559" t="n">
        <v>0</v>
      </c>
      <c r="Q559" t="n">
        <v>0</v>
      </c>
      <c r="R559" s="2" t="inlineStr"/>
    </row>
    <row r="560" ht="15" customHeight="1">
      <c r="A560" t="inlineStr">
        <is>
          <t>A 16913-2025</t>
        </is>
      </c>
      <c r="B560" s="1" t="n">
        <v>45755.36583333334</v>
      </c>
      <c r="C560" s="1" t="n">
        <v>46004</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4035-2023</t>
        </is>
      </c>
      <c r="B561" s="1" t="n">
        <v>44952.57989583333</v>
      </c>
      <c r="C561" s="1" t="n">
        <v>46004</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33793-2022</t>
        </is>
      </c>
      <c r="B562" s="1" t="n">
        <v>44790</v>
      </c>
      <c r="C562" s="1" t="n">
        <v>46004</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53600-2022</t>
        </is>
      </c>
      <c r="B563" s="1" t="n">
        <v>44879.70518518519</v>
      </c>
      <c r="C563" s="1" t="n">
        <v>46004</v>
      </c>
      <c r="D563" t="inlineStr">
        <is>
          <t>STOCKHOLMS LÄN</t>
        </is>
      </c>
      <c r="E563" t="inlineStr">
        <is>
          <t>NORRTÄLJE</t>
        </is>
      </c>
      <c r="G563" t="n">
        <v>4.3</v>
      </c>
      <c r="H563" t="n">
        <v>0</v>
      </c>
      <c r="I563" t="n">
        <v>0</v>
      </c>
      <c r="J563" t="n">
        <v>0</v>
      </c>
      <c r="K563" t="n">
        <v>0</v>
      </c>
      <c r="L563" t="n">
        <v>0</v>
      </c>
      <c r="M563" t="n">
        <v>0</v>
      </c>
      <c r="N563" t="n">
        <v>0</v>
      </c>
      <c r="O563" t="n">
        <v>0</v>
      </c>
      <c r="P563" t="n">
        <v>0</v>
      </c>
      <c r="Q563" t="n">
        <v>0</v>
      </c>
      <c r="R563" s="2" t="inlineStr"/>
    </row>
    <row r="564" ht="15" customHeight="1">
      <c r="A564" t="inlineStr">
        <is>
          <t>A 7697-2025</t>
        </is>
      </c>
      <c r="B564" s="1" t="n">
        <v>45706.40086805556</v>
      </c>
      <c r="C564" s="1" t="n">
        <v>46004</v>
      </c>
      <c r="D564" t="inlineStr">
        <is>
          <t>STOCKHOLMS LÄN</t>
        </is>
      </c>
      <c r="E564" t="inlineStr">
        <is>
          <t>NORRTÄLJE</t>
        </is>
      </c>
      <c r="F564" t="inlineStr">
        <is>
          <t>Holmen skog AB</t>
        </is>
      </c>
      <c r="G564" t="n">
        <v>1.8</v>
      </c>
      <c r="H564" t="n">
        <v>0</v>
      </c>
      <c r="I564" t="n">
        <v>0</v>
      </c>
      <c r="J564" t="n">
        <v>0</v>
      </c>
      <c r="K564" t="n">
        <v>0</v>
      </c>
      <c r="L564" t="n">
        <v>0</v>
      </c>
      <c r="M564" t="n">
        <v>0</v>
      </c>
      <c r="N564" t="n">
        <v>0</v>
      </c>
      <c r="O564" t="n">
        <v>0</v>
      </c>
      <c r="P564" t="n">
        <v>0</v>
      </c>
      <c r="Q564" t="n">
        <v>0</v>
      </c>
      <c r="R564" s="2" t="inlineStr"/>
    </row>
    <row r="565" ht="15" customHeight="1">
      <c r="A565" t="inlineStr">
        <is>
          <t>A 30221-2024</t>
        </is>
      </c>
      <c r="B565" s="1" t="n">
        <v>45490.45342592592</v>
      </c>
      <c r="C565" s="1" t="n">
        <v>46004</v>
      </c>
      <c r="D565" t="inlineStr">
        <is>
          <t>STOCKHOLMS LÄN</t>
        </is>
      </c>
      <c r="E565" t="inlineStr">
        <is>
          <t>NORRTÄLJE</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59893-2022</t>
        </is>
      </c>
      <c r="B566" s="1" t="n">
        <v>44908.77368055555</v>
      </c>
      <c r="C566" s="1" t="n">
        <v>46004</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58302-2022</t>
        </is>
      </c>
      <c r="B567" s="1" t="n">
        <v>44901</v>
      </c>
      <c r="C567" s="1" t="n">
        <v>46004</v>
      </c>
      <c r="D567" t="inlineStr">
        <is>
          <t>STOCKHOLMS LÄN</t>
        </is>
      </c>
      <c r="E567" t="inlineStr">
        <is>
          <t>NORRTÄLJE</t>
        </is>
      </c>
      <c r="G567" t="n">
        <v>3.9</v>
      </c>
      <c r="H567" t="n">
        <v>0</v>
      </c>
      <c r="I567" t="n">
        <v>0</v>
      </c>
      <c r="J567" t="n">
        <v>0</v>
      </c>
      <c r="K567" t="n">
        <v>0</v>
      </c>
      <c r="L567" t="n">
        <v>0</v>
      </c>
      <c r="M567" t="n">
        <v>0</v>
      </c>
      <c r="N567" t="n">
        <v>0</v>
      </c>
      <c r="O567" t="n">
        <v>0</v>
      </c>
      <c r="P567" t="n">
        <v>0</v>
      </c>
      <c r="Q567" t="n">
        <v>0</v>
      </c>
      <c r="R567" s="2" t="inlineStr"/>
    </row>
    <row r="568" ht="15" customHeight="1">
      <c r="A568" t="inlineStr">
        <is>
          <t>A 39905-2023</t>
        </is>
      </c>
      <c r="B568" s="1" t="n">
        <v>45168.44489583333</v>
      </c>
      <c r="C568" s="1" t="n">
        <v>46004</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5645-2023</t>
        </is>
      </c>
      <c r="B569" s="1" t="n">
        <v>44960.60469907407</v>
      </c>
      <c r="C569" s="1" t="n">
        <v>46004</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68361-2021</t>
        </is>
      </c>
      <c r="B570" s="1" t="n">
        <v>44528.91494212963</v>
      </c>
      <c r="C570" s="1" t="n">
        <v>46004</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60529-2023</t>
        </is>
      </c>
      <c r="B571" s="1" t="n">
        <v>45259</v>
      </c>
      <c r="C571" s="1" t="n">
        <v>46004</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38591-2023</t>
        </is>
      </c>
      <c r="B572" s="1" t="n">
        <v>45162</v>
      </c>
      <c r="C572" s="1" t="n">
        <v>46004</v>
      </c>
      <c r="D572" t="inlineStr">
        <is>
          <t>STOCKHOLMS LÄN</t>
        </is>
      </c>
      <c r="E572" t="inlineStr">
        <is>
          <t>NORRTÄLJE</t>
        </is>
      </c>
      <c r="F572" t="inlineStr">
        <is>
          <t>Övriga Aktiebolag</t>
        </is>
      </c>
      <c r="G572" t="n">
        <v>3.1</v>
      </c>
      <c r="H572" t="n">
        <v>0</v>
      </c>
      <c r="I572" t="n">
        <v>0</v>
      </c>
      <c r="J572" t="n">
        <v>0</v>
      </c>
      <c r="K572" t="n">
        <v>0</v>
      </c>
      <c r="L572" t="n">
        <v>0</v>
      </c>
      <c r="M572" t="n">
        <v>0</v>
      </c>
      <c r="N572" t="n">
        <v>0</v>
      </c>
      <c r="O572" t="n">
        <v>0</v>
      </c>
      <c r="P572" t="n">
        <v>0</v>
      </c>
      <c r="Q572" t="n">
        <v>0</v>
      </c>
      <c r="R572" s="2" t="inlineStr"/>
    </row>
    <row r="573" ht="15" customHeight="1">
      <c r="A573" t="inlineStr">
        <is>
          <t>A 13-2024</t>
        </is>
      </c>
      <c r="B573" s="1" t="n">
        <v>45293.37263888889</v>
      </c>
      <c r="C573" s="1" t="n">
        <v>46004</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19-2024</t>
        </is>
      </c>
      <c r="B574" s="1" t="n">
        <v>45293</v>
      </c>
      <c r="C574" s="1" t="n">
        <v>46004</v>
      </c>
      <c r="D574" t="inlineStr">
        <is>
          <t>STOCKHOLMS LÄN</t>
        </is>
      </c>
      <c r="E574" t="inlineStr">
        <is>
          <t>NORRTÄLJE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30338-2022</t>
        </is>
      </c>
      <c r="B575" s="1" t="n">
        <v>44760</v>
      </c>
      <c r="C575" s="1" t="n">
        <v>46004</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2888-2022</t>
        </is>
      </c>
      <c r="B576" s="1" t="n">
        <v>44581</v>
      </c>
      <c r="C576" s="1" t="n">
        <v>46004</v>
      </c>
      <c r="D576" t="inlineStr">
        <is>
          <t>STOCKHOLMS LÄN</t>
        </is>
      </c>
      <c r="E576" t="inlineStr">
        <is>
          <t>NORRTÄLJE</t>
        </is>
      </c>
      <c r="G576" t="n">
        <v>2.4</v>
      </c>
      <c r="H576" t="n">
        <v>0</v>
      </c>
      <c r="I576" t="n">
        <v>0</v>
      </c>
      <c r="J576" t="n">
        <v>0</v>
      </c>
      <c r="K576" t="n">
        <v>0</v>
      </c>
      <c r="L576" t="n">
        <v>0</v>
      </c>
      <c r="M576" t="n">
        <v>0</v>
      </c>
      <c r="N576" t="n">
        <v>0</v>
      </c>
      <c r="O576" t="n">
        <v>0</v>
      </c>
      <c r="P576" t="n">
        <v>0</v>
      </c>
      <c r="Q576" t="n">
        <v>0</v>
      </c>
      <c r="R576" s="2" t="inlineStr"/>
    </row>
    <row r="577" ht="15" customHeight="1">
      <c r="A577" t="inlineStr">
        <is>
          <t>A 31559-2022</t>
        </is>
      </c>
      <c r="B577" s="1" t="n">
        <v>44775</v>
      </c>
      <c r="C577" s="1" t="n">
        <v>46004</v>
      </c>
      <c r="D577" t="inlineStr">
        <is>
          <t>STOCKHOLMS LÄN</t>
        </is>
      </c>
      <c r="E577" t="inlineStr">
        <is>
          <t>NORRTÄLJE</t>
        </is>
      </c>
      <c r="G577" t="n">
        <v>5.6</v>
      </c>
      <c r="H577" t="n">
        <v>0</v>
      </c>
      <c r="I577" t="n">
        <v>0</v>
      </c>
      <c r="J577" t="n">
        <v>0</v>
      </c>
      <c r="K577" t="n">
        <v>0</v>
      </c>
      <c r="L577" t="n">
        <v>0</v>
      </c>
      <c r="M577" t="n">
        <v>0</v>
      </c>
      <c r="N577" t="n">
        <v>0</v>
      </c>
      <c r="O577" t="n">
        <v>0</v>
      </c>
      <c r="P577" t="n">
        <v>0</v>
      </c>
      <c r="Q577" t="n">
        <v>0</v>
      </c>
      <c r="R577" s="2" t="inlineStr"/>
    </row>
    <row r="578" ht="15" customHeight="1">
      <c r="A578" t="inlineStr">
        <is>
          <t>A 52686-2024</t>
        </is>
      </c>
      <c r="B578" s="1" t="n">
        <v>45610.39271990741</v>
      </c>
      <c r="C578" s="1" t="n">
        <v>46004</v>
      </c>
      <c r="D578" t="inlineStr">
        <is>
          <t>STOCKHOLMS LÄN</t>
        </is>
      </c>
      <c r="E578" t="inlineStr">
        <is>
          <t>NORRTÄLJE</t>
        </is>
      </c>
      <c r="G578" t="n">
        <v>5.7</v>
      </c>
      <c r="H578" t="n">
        <v>0</v>
      </c>
      <c r="I578" t="n">
        <v>0</v>
      </c>
      <c r="J578" t="n">
        <v>0</v>
      </c>
      <c r="K578" t="n">
        <v>0</v>
      </c>
      <c r="L578" t="n">
        <v>0</v>
      </c>
      <c r="M578" t="n">
        <v>0</v>
      </c>
      <c r="N578" t="n">
        <v>0</v>
      </c>
      <c r="O578" t="n">
        <v>0</v>
      </c>
      <c r="P578" t="n">
        <v>0</v>
      </c>
      <c r="Q578" t="n">
        <v>0</v>
      </c>
      <c r="R578" s="2" t="inlineStr"/>
    </row>
    <row r="579" ht="15" customHeight="1">
      <c r="A579" t="inlineStr">
        <is>
          <t>A 20343-2024</t>
        </is>
      </c>
      <c r="B579" s="1" t="n">
        <v>45435.43466435185</v>
      </c>
      <c r="C579" s="1" t="n">
        <v>46004</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20345-2024</t>
        </is>
      </c>
      <c r="B580" s="1" t="n">
        <v>45435.43820601852</v>
      </c>
      <c r="C580" s="1" t="n">
        <v>46004</v>
      </c>
      <c r="D580" t="inlineStr">
        <is>
          <t>STOCKHOLMS LÄN</t>
        </is>
      </c>
      <c r="E580" t="inlineStr">
        <is>
          <t>NORRTÄLJE</t>
        </is>
      </c>
      <c r="G580" t="n">
        <v>3.8</v>
      </c>
      <c r="H580" t="n">
        <v>0</v>
      </c>
      <c r="I580" t="n">
        <v>0</v>
      </c>
      <c r="J580" t="n">
        <v>0</v>
      </c>
      <c r="K580" t="n">
        <v>0</v>
      </c>
      <c r="L580" t="n">
        <v>0</v>
      </c>
      <c r="M580" t="n">
        <v>0</v>
      </c>
      <c r="N580" t="n">
        <v>0</v>
      </c>
      <c r="O580" t="n">
        <v>0</v>
      </c>
      <c r="P580" t="n">
        <v>0</v>
      </c>
      <c r="Q580" t="n">
        <v>0</v>
      </c>
      <c r="R580" s="2" t="inlineStr"/>
    </row>
    <row r="581" ht="15" customHeight="1">
      <c r="A581" t="inlineStr">
        <is>
          <t>A 8419-2025</t>
        </is>
      </c>
      <c r="B581" s="1" t="n">
        <v>45709.40231481481</v>
      </c>
      <c r="C581" s="1" t="n">
        <v>46004</v>
      </c>
      <c r="D581" t="inlineStr">
        <is>
          <t>STOCKHOLMS LÄN</t>
        </is>
      </c>
      <c r="E581" t="inlineStr">
        <is>
          <t>NORRTÄLJE</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9765-2024</t>
        </is>
      </c>
      <c r="B582" s="1" t="n">
        <v>45362.62811342593</v>
      </c>
      <c r="C582" s="1" t="n">
        <v>46004</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66662-2020</t>
        </is>
      </c>
      <c r="B583" s="1" t="n">
        <v>44179</v>
      </c>
      <c r="C583" s="1" t="n">
        <v>46004</v>
      </c>
      <c r="D583" t="inlineStr">
        <is>
          <t>STOCKHOLMS LÄN</t>
        </is>
      </c>
      <c r="E583" t="inlineStr">
        <is>
          <t>NORRTÄLJE</t>
        </is>
      </c>
      <c r="G583" t="n">
        <v>1.9</v>
      </c>
      <c r="H583" t="n">
        <v>0</v>
      </c>
      <c r="I583" t="n">
        <v>0</v>
      </c>
      <c r="J583" t="n">
        <v>0</v>
      </c>
      <c r="K583" t="n">
        <v>0</v>
      </c>
      <c r="L583" t="n">
        <v>0</v>
      </c>
      <c r="M583" t="n">
        <v>0</v>
      </c>
      <c r="N583" t="n">
        <v>0</v>
      </c>
      <c r="O583" t="n">
        <v>0</v>
      </c>
      <c r="P583" t="n">
        <v>0</v>
      </c>
      <c r="Q583" t="n">
        <v>0</v>
      </c>
      <c r="R583" s="2" t="inlineStr"/>
    </row>
    <row r="584" ht="15" customHeight="1">
      <c r="A584" t="inlineStr">
        <is>
          <t>A 59875-2024</t>
        </is>
      </c>
      <c r="B584" s="1" t="n">
        <v>45640.58716435185</v>
      </c>
      <c r="C584" s="1" t="n">
        <v>46004</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35161-2022</t>
        </is>
      </c>
      <c r="B585" s="1" t="n">
        <v>44797</v>
      </c>
      <c r="C585" s="1" t="n">
        <v>46004</v>
      </c>
      <c r="D585" t="inlineStr">
        <is>
          <t>STOCKHOLMS LÄN</t>
        </is>
      </c>
      <c r="E585" t="inlineStr">
        <is>
          <t>NORRTÄLJE</t>
        </is>
      </c>
      <c r="G585" t="n">
        <v>6</v>
      </c>
      <c r="H585" t="n">
        <v>0</v>
      </c>
      <c r="I585" t="n">
        <v>0</v>
      </c>
      <c r="J585" t="n">
        <v>0</v>
      </c>
      <c r="K585" t="n">
        <v>0</v>
      </c>
      <c r="L585" t="n">
        <v>0</v>
      </c>
      <c r="M585" t="n">
        <v>0</v>
      </c>
      <c r="N585" t="n">
        <v>0</v>
      </c>
      <c r="O585" t="n">
        <v>0</v>
      </c>
      <c r="P585" t="n">
        <v>0</v>
      </c>
      <c r="Q585" t="n">
        <v>0</v>
      </c>
      <c r="R585" s="2" t="inlineStr"/>
    </row>
    <row r="586" ht="15" customHeight="1">
      <c r="A586" t="inlineStr">
        <is>
          <t>A 11-2024</t>
        </is>
      </c>
      <c r="B586" s="1" t="n">
        <v>45293</v>
      </c>
      <c r="C586" s="1" t="n">
        <v>46004</v>
      </c>
      <c r="D586" t="inlineStr">
        <is>
          <t>STOCKHOLMS LÄN</t>
        </is>
      </c>
      <c r="E586" t="inlineStr">
        <is>
          <t>NORRTÄLJE</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19706-2023</t>
        </is>
      </c>
      <c r="B587" s="1" t="n">
        <v>45051.455</v>
      </c>
      <c r="C587" s="1" t="n">
        <v>46004</v>
      </c>
      <c r="D587" t="inlineStr">
        <is>
          <t>STOCKHOLMS LÄN</t>
        </is>
      </c>
      <c r="E587" t="inlineStr">
        <is>
          <t>NORRTÄLJE</t>
        </is>
      </c>
      <c r="G587" t="n">
        <v>0.2</v>
      </c>
      <c r="H587" t="n">
        <v>0</v>
      </c>
      <c r="I587" t="n">
        <v>0</v>
      </c>
      <c r="J587" t="n">
        <v>0</v>
      </c>
      <c r="K587" t="n">
        <v>0</v>
      </c>
      <c r="L587" t="n">
        <v>0</v>
      </c>
      <c r="M587" t="n">
        <v>0</v>
      </c>
      <c r="N587" t="n">
        <v>0</v>
      </c>
      <c r="O587" t="n">
        <v>0</v>
      </c>
      <c r="P587" t="n">
        <v>0</v>
      </c>
      <c r="Q587" t="n">
        <v>0</v>
      </c>
      <c r="R587" s="2" t="inlineStr"/>
    </row>
    <row r="588" ht="15" customHeight="1">
      <c r="A588" t="inlineStr">
        <is>
          <t>A 60224-2023</t>
        </is>
      </c>
      <c r="B588" s="1" t="n">
        <v>45257</v>
      </c>
      <c r="C588" s="1" t="n">
        <v>46004</v>
      </c>
      <c r="D588" t="inlineStr">
        <is>
          <t>STOCKHOLMS LÄN</t>
        </is>
      </c>
      <c r="E588" t="inlineStr">
        <is>
          <t>NORRTÄLJE</t>
        </is>
      </c>
      <c r="G588" t="n">
        <v>8.1</v>
      </c>
      <c r="H588" t="n">
        <v>0</v>
      </c>
      <c r="I588" t="n">
        <v>0</v>
      </c>
      <c r="J588" t="n">
        <v>0</v>
      </c>
      <c r="K588" t="n">
        <v>0</v>
      </c>
      <c r="L588" t="n">
        <v>0</v>
      </c>
      <c r="M588" t="n">
        <v>0</v>
      </c>
      <c r="N588" t="n">
        <v>0</v>
      </c>
      <c r="O588" t="n">
        <v>0</v>
      </c>
      <c r="P588" t="n">
        <v>0</v>
      </c>
      <c r="Q588" t="n">
        <v>0</v>
      </c>
      <c r="R588" s="2" t="inlineStr"/>
    </row>
    <row r="589" ht="15" customHeight="1">
      <c r="A589" t="inlineStr">
        <is>
          <t>A 14559-2024</t>
        </is>
      </c>
      <c r="B589" s="1" t="n">
        <v>45394.72869212963</v>
      </c>
      <c r="C589" s="1" t="n">
        <v>46004</v>
      </c>
      <c r="D589" t="inlineStr">
        <is>
          <t>STOCKHOLMS LÄN</t>
        </is>
      </c>
      <c r="E589" t="inlineStr">
        <is>
          <t>NORRTÄLJE</t>
        </is>
      </c>
      <c r="G589" t="n">
        <v>4.2</v>
      </c>
      <c r="H589" t="n">
        <v>0</v>
      </c>
      <c r="I589" t="n">
        <v>0</v>
      </c>
      <c r="J589" t="n">
        <v>0</v>
      </c>
      <c r="K589" t="n">
        <v>0</v>
      </c>
      <c r="L589" t="n">
        <v>0</v>
      </c>
      <c r="M589" t="n">
        <v>0</v>
      </c>
      <c r="N589" t="n">
        <v>0</v>
      </c>
      <c r="O589" t="n">
        <v>0</v>
      </c>
      <c r="P589" t="n">
        <v>0</v>
      </c>
      <c r="Q589" t="n">
        <v>0</v>
      </c>
      <c r="R589" s="2" t="inlineStr"/>
    </row>
    <row r="590" ht="15" customHeight="1">
      <c r="A590" t="inlineStr">
        <is>
          <t>A 5158-2024</t>
        </is>
      </c>
      <c r="B590" s="1" t="n">
        <v>45330.50098379629</v>
      </c>
      <c r="C590" s="1" t="n">
        <v>46004</v>
      </c>
      <c r="D590" t="inlineStr">
        <is>
          <t>STOCKHOLMS LÄN</t>
        </is>
      </c>
      <c r="E590" t="inlineStr">
        <is>
          <t>NORRTÄLJE</t>
        </is>
      </c>
      <c r="G590" t="n">
        <v>0.8</v>
      </c>
      <c r="H590" t="n">
        <v>0</v>
      </c>
      <c r="I590" t="n">
        <v>0</v>
      </c>
      <c r="J590" t="n">
        <v>0</v>
      </c>
      <c r="K590" t="n">
        <v>0</v>
      </c>
      <c r="L590" t="n">
        <v>0</v>
      </c>
      <c r="M590" t="n">
        <v>0</v>
      </c>
      <c r="N590" t="n">
        <v>0</v>
      </c>
      <c r="O590" t="n">
        <v>0</v>
      </c>
      <c r="P590" t="n">
        <v>0</v>
      </c>
      <c r="Q590" t="n">
        <v>0</v>
      </c>
      <c r="R590" s="2" t="inlineStr"/>
    </row>
    <row r="591" ht="15" customHeight="1">
      <c r="A591" t="inlineStr">
        <is>
          <t>A 8433-2022</t>
        </is>
      </c>
      <c r="B591" s="1" t="n">
        <v>44611</v>
      </c>
      <c r="C591" s="1" t="n">
        <v>46004</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25525-2022</t>
        </is>
      </c>
      <c r="B592" s="1" t="n">
        <v>44732</v>
      </c>
      <c r="C592" s="1" t="n">
        <v>46004</v>
      </c>
      <c r="D592" t="inlineStr">
        <is>
          <t>STOCKHOLMS LÄN</t>
        </is>
      </c>
      <c r="E592" t="inlineStr">
        <is>
          <t>NORRTÄLJE</t>
        </is>
      </c>
      <c r="G592" t="n">
        <v>2.2</v>
      </c>
      <c r="H592" t="n">
        <v>0</v>
      </c>
      <c r="I592" t="n">
        <v>0</v>
      </c>
      <c r="J592" t="n">
        <v>0</v>
      </c>
      <c r="K592" t="n">
        <v>0</v>
      </c>
      <c r="L592" t="n">
        <v>0</v>
      </c>
      <c r="M592" t="n">
        <v>0</v>
      </c>
      <c r="N592" t="n">
        <v>0</v>
      </c>
      <c r="O592" t="n">
        <v>0</v>
      </c>
      <c r="P592" t="n">
        <v>0</v>
      </c>
      <c r="Q592" t="n">
        <v>0</v>
      </c>
      <c r="R592" s="2" t="inlineStr"/>
    </row>
    <row r="593" ht="15" customHeight="1">
      <c r="A593" t="inlineStr">
        <is>
          <t>A 12302-2025</t>
        </is>
      </c>
      <c r="B593" s="1" t="n">
        <v>45729.72851851852</v>
      </c>
      <c r="C593" s="1" t="n">
        <v>46004</v>
      </c>
      <c r="D593" t="inlineStr">
        <is>
          <t>STOCKHOLMS LÄN</t>
        </is>
      </c>
      <c r="E593" t="inlineStr">
        <is>
          <t>NORRTÄLJE</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58989-2021</t>
        </is>
      </c>
      <c r="B594" s="1" t="n">
        <v>44490.02482638889</v>
      </c>
      <c r="C594" s="1" t="n">
        <v>46004</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46988-2024</t>
        </is>
      </c>
      <c r="B595" s="1" t="n">
        <v>45586</v>
      </c>
      <c r="C595" s="1" t="n">
        <v>46004</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18539-2021</t>
        </is>
      </c>
      <c r="B596" s="1" t="n">
        <v>44306</v>
      </c>
      <c r="C596" s="1" t="n">
        <v>46004</v>
      </c>
      <c r="D596" t="inlineStr">
        <is>
          <t>STOCKHOLMS LÄN</t>
        </is>
      </c>
      <c r="E596" t="inlineStr">
        <is>
          <t>NORRTÄLJE</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9130-2025</t>
        </is>
      </c>
      <c r="B597" s="1" t="n">
        <v>45713.92623842593</v>
      </c>
      <c r="C597" s="1" t="n">
        <v>46004</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21529-2021</t>
        </is>
      </c>
      <c r="B598" s="1" t="n">
        <v>44321</v>
      </c>
      <c r="C598" s="1" t="n">
        <v>46004</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13701-2022</t>
        </is>
      </c>
      <c r="B599" s="1" t="n">
        <v>44648</v>
      </c>
      <c r="C599" s="1" t="n">
        <v>46004</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17612-2022</t>
        </is>
      </c>
      <c r="B600" s="1" t="n">
        <v>44680</v>
      </c>
      <c r="C600" s="1" t="n">
        <v>46004</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17551-2025</t>
        </is>
      </c>
      <c r="B601" s="1" t="n">
        <v>45757.61421296297</v>
      </c>
      <c r="C601" s="1" t="n">
        <v>46004</v>
      </c>
      <c r="D601" t="inlineStr">
        <is>
          <t>STOCKHOLMS LÄN</t>
        </is>
      </c>
      <c r="E601" t="inlineStr">
        <is>
          <t>NORRTÄLJE</t>
        </is>
      </c>
      <c r="G601" t="n">
        <v>2.8</v>
      </c>
      <c r="H601" t="n">
        <v>0</v>
      </c>
      <c r="I601" t="n">
        <v>0</v>
      </c>
      <c r="J601" t="n">
        <v>0</v>
      </c>
      <c r="K601" t="n">
        <v>0</v>
      </c>
      <c r="L601" t="n">
        <v>0</v>
      </c>
      <c r="M601" t="n">
        <v>0</v>
      </c>
      <c r="N601" t="n">
        <v>0</v>
      </c>
      <c r="O601" t="n">
        <v>0</v>
      </c>
      <c r="P601" t="n">
        <v>0</v>
      </c>
      <c r="Q601" t="n">
        <v>0</v>
      </c>
      <c r="R601" s="2" t="inlineStr"/>
    </row>
    <row r="602" ht="15" customHeight="1">
      <c r="A602" t="inlineStr">
        <is>
          <t>A 16835-2022</t>
        </is>
      </c>
      <c r="B602" s="1" t="n">
        <v>44673</v>
      </c>
      <c r="C602" s="1" t="n">
        <v>46004</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55010-2024</t>
        </is>
      </c>
      <c r="B603" s="1" t="n">
        <v>45621.34425925926</v>
      </c>
      <c r="C603" s="1" t="n">
        <v>46004</v>
      </c>
      <c r="D603" t="inlineStr">
        <is>
          <t>STOCKHOLMS LÄN</t>
        </is>
      </c>
      <c r="E603" t="inlineStr">
        <is>
          <t>NORRTÄLJE</t>
        </is>
      </c>
      <c r="F603" t="inlineStr">
        <is>
          <t>Sveaskog</t>
        </is>
      </c>
      <c r="G603" t="n">
        <v>5.7</v>
      </c>
      <c r="H603" t="n">
        <v>0</v>
      </c>
      <c r="I603" t="n">
        <v>0</v>
      </c>
      <c r="J603" t="n">
        <v>0</v>
      </c>
      <c r="K603" t="n">
        <v>0</v>
      </c>
      <c r="L603" t="n">
        <v>0</v>
      </c>
      <c r="M603" t="n">
        <v>0</v>
      </c>
      <c r="N603" t="n">
        <v>0</v>
      </c>
      <c r="O603" t="n">
        <v>0</v>
      </c>
      <c r="P603" t="n">
        <v>0</v>
      </c>
      <c r="Q603" t="n">
        <v>0</v>
      </c>
      <c r="R603" s="2" t="inlineStr"/>
    </row>
    <row r="604" ht="15" customHeight="1">
      <c r="A604" t="inlineStr">
        <is>
          <t>A 31105-2022</t>
        </is>
      </c>
      <c r="B604" s="1" t="n">
        <v>44769.66039351852</v>
      </c>
      <c r="C604" s="1" t="n">
        <v>46004</v>
      </c>
      <c r="D604" t="inlineStr">
        <is>
          <t>STOCKHOLMS LÄN</t>
        </is>
      </c>
      <c r="E604" t="inlineStr">
        <is>
          <t>NORRTÄLJE</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38889-2024</t>
        </is>
      </c>
      <c r="B605" s="1" t="n">
        <v>45547</v>
      </c>
      <c r="C605" s="1" t="n">
        <v>46004</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45451-2024</t>
        </is>
      </c>
      <c r="B606" s="1" t="n">
        <v>45576</v>
      </c>
      <c r="C606" s="1" t="n">
        <v>46004</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62765-2022</t>
        </is>
      </c>
      <c r="B607" s="1" t="n">
        <v>44637</v>
      </c>
      <c r="C607" s="1" t="n">
        <v>46004</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58404-2023</t>
        </is>
      </c>
      <c r="B608" s="1" t="n">
        <v>45245</v>
      </c>
      <c r="C608" s="1" t="n">
        <v>46004</v>
      </c>
      <c r="D608" t="inlineStr">
        <is>
          <t>STOCKHOLMS LÄN</t>
        </is>
      </c>
      <c r="E608" t="inlineStr">
        <is>
          <t>NORRTÄLJE</t>
        </is>
      </c>
      <c r="G608" t="n">
        <v>53.5</v>
      </c>
      <c r="H608" t="n">
        <v>0</v>
      </c>
      <c r="I608" t="n">
        <v>0</v>
      </c>
      <c r="J608" t="n">
        <v>0</v>
      </c>
      <c r="K608" t="n">
        <v>0</v>
      </c>
      <c r="L608" t="n">
        <v>0</v>
      </c>
      <c r="M608" t="n">
        <v>0</v>
      </c>
      <c r="N608" t="n">
        <v>0</v>
      </c>
      <c r="O608" t="n">
        <v>0</v>
      </c>
      <c r="P608" t="n">
        <v>0</v>
      </c>
      <c r="Q608" t="n">
        <v>0</v>
      </c>
      <c r="R608" s="2" t="inlineStr"/>
    </row>
    <row r="609" ht="15" customHeight="1">
      <c r="A609" t="inlineStr">
        <is>
          <t>A 8586-2023</t>
        </is>
      </c>
      <c r="B609" s="1" t="n">
        <v>44977</v>
      </c>
      <c r="C609" s="1" t="n">
        <v>46004</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14132-2025</t>
        </is>
      </c>
      <c r="B610" s="1" t="n">
        <v>45740.47550925926</v>
      </c>
      <c r="C610" s="1" t="n">
        <v>46004</v>
      </c>
      <c r="D610" t="inlineStr">
        <is>
          <t>STOCKHOLMS LÄN</t>
        </is>
      </c>
      <c r="E610" t="inlineStr">
        <is>
          <t>NORRTÄLJE</t>
        </is>
      </c>
      <c r="G610" t="n">
        <v>1.1</v>
      </c>
      <c r="H610" t="n">
        <v>0</v>
      </c>
      <c r="I610" t="n">
        <v>0</v>
      </c>
      <c r="J610" t="n">
        <v>0</v>
      </c>
      <c r="K610" t="n">
        <v>0</v>
      </c>
      <c r="L610" t="n">
        <v>0</v>
      </c>
      <c r="M610" t="n">
        <v>0</v>
      </c>
      <c r="N610" t="n">
        <v>0</v>
      </c>
      <c r="O610" t="n">
        <v>0</v>
      </c>
      <c r="P610" t="n">
        <v>0</v>
      </c>
      <c r="Q610" t="n">
        <v>0</v>
      </c>
      <c r="R610" s="2" t="inlineStr"/>
    </row>
    <row r="611" ht="15" customHeight="1">
      <c r="A611" t="inlineStr">
        <is>
          <t>A 14133-2025</t>
        </is>
      </c>
      <c r="B611" s="1" t="n">
        <v>45740.47724537037</v>
      </c>
      <c r="C611" s="1" t="n">
        <v>46004</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8792-2025</t>
        </is>
      </c>
      <c r="B612" s="1" t="n">
        <v>45712</v>
      </c>
      <c r="C612" s="1" t="n">
        <v>46004</v>
      </c>
      <c r="D612" t="inlineStr">
        <is>
          <t>STOCKHOLMS LÄN</t>
        </is>
      </c>
      <c r="E612" t="inlineStr">
        <is>
          <t>NORRTÄLJE</t>
        </is>
      </c>
      <c r="F612" t="inlineStr">
        <is>
          <t>Övriga Aktiebolag</t>
        </is>
      </c>
      <c r="G612" t="n">
        <v>6.6</v>
      </c>
      <c r="H612" t="n">
        <v>0</v>
      </c>
      <c r="I612" t="n">
        <v>0</v>
      </c>
      <c r="J612" t="n">
        <v>0</v>
      </c>
      <c r="K612" t="n">
        <v>0</v>
      </c>
      <c r="L612" t="n">
        <v>0</v>
      </c>
      <c r="M612" t="n">
        <v>0</v>
      </c>
      <c r="N612" t="n">
        <v>0</v>
      </c>
      <c r="O612" t="n">
        <v>0</v>
      </c>
      <c r="P612" t="n">
        <v>0</v>
      </c>
      <c r="Q612" t="n">
        <v>0</v>
      </c>
      <c r="R612" s="2" t="inlineStr"/>
    </row>
    <row r="613" ht="15" customHeight="1">
      <c r="A613" t="inlineStr">
        <is>
          <t>A 30620-2022</t>
        </is>
      </c>
      <c r="B613" s="1" t="n">
        <v>44763.40914351852</v>
      </c>
      <c r="C613" s="1" t="n">
        <v>46004</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50113-2024</t>
        </is>
      </c>
      <c r="B614" s="1" t="n">
        <v>45600.411875</v>
      </c>
      <c r="C614" s="1" t="n">
        <v>46004</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28365-2022</t>
        </is>
      </c>
      <c r="B615" s="1" t="n">
        <v>44747</v>
      </c>
      <c r="C615" s="1" t="n">
        <v>46004</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42955-2022</t>
        </is>
      </c>
      <c r="B616" s="1" t="n">
        <v>44833.40876157407</v>
      </c>
      <c r="C616" s="1" t="n">
        <v>46004</v>
      </c>
      <c r="D616" t="inlineStr">
        <is>
          <t>STOCKHOLMS LÄN</t>
        </is>
      </c>
      <c r="E616" t="inlineStr">
        <is>
          <t>NORRTÄLJE</t>
        </is>
      </c>
      <c r="G616" t="n">
        <v>13.1</v>
      </c>
      <c r="H616" t="n">
        <v>0</v>
      </c>
      <c r="I616" t="n">
        <v>0</v>
      </c>
      <c r="J616" t="n">
        <v>0</v>
      </c>
      <c r="K616" t="n">
        <v>0</v>
      </c>
      <c r="L616" t="n">
        <v>0</v>
      </c>
      <c r="M616" t="n">
        <v>0</v>
      </c>
      <c r="N616" t="n">
        <v>0</v>
      </c>
      <c r="O616" t="n">
        <v>0</v>
      </c>
      <c r="P616" t="n">
        <v>0</v>
      </c>
      <c r="Q616" t="n">
        <v>0</v>
      </c>
      <c r="R616" s="2" t="inlineStr"/>
    </row>
    <row r="617" ht="15" customHeight="1">
      <c r="A617" t="inlineStr">
        <is>
          <t>A 24887-2023</t>
        </is>
      </c>
      <c r="B617" s="1" t="n">
        <v>45085</v>
      </c>
      <c r="C617" s="1" t="n">
        <v>46004</v>
      </c>
      <c r="D617" t="inlineStr">
        <is>
          <t>STOCKHOLMS LÄN</t>
        </is>
      </c>
      <c r="E617" t="inlineStr">
        <is>
          <t>NORRTÄLJE</t>
        </is>
      </c>
      <c r="G617" t="n">
        <v>13.9</v>
      </c>
      <c r="H617" t="n">
        <v>0</v>
      </c>
      <c r="I617" t="n">
        <v>0</v>
      </c>
      <c r="J617" t="n">
        <v>0</v>
      </c>
      <c r="K617" t="n">
        <v>0</v>
      </c>
      <c r="L617" t="n">
        <v>0</v>
      </c>
      <c r="M617" t="n">
        <v>0</v>
      </c>
      <c r="N617" t="n">
        <v>0</v>
      </c>
      <c r="O617" t="n">
        <v>0</v>
      </c>
      <c r="P617" t="n">
        <v>0</v>
      </c>
      <c r="Q617" t="n">
        <v>0</v>
      </c>
      <c r="R617" s="2" t="inlineStr"/>
    </row>
    <row r="618" ht="15" customHeight="1">
      <c r="A618" t="inlineStr">
        <is>
          <t>A 16202-2022</t>
        </is>
      </c>
      <c r="B618" s="1" t="n">
        <v>44670</v>
      </c>
      <c r="C618" s="1" t="n">
        <v>46004</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1283-2025</t>
        </is>
      </c>
      <c r="B619" s="1" t="n">
        <v>45667.49878472222</v>
      </c>
      <c r="C619" s="1" t="n">
        <v>46004</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15978-2024</t>
        </is>
      </c>
      <c r="B620" s="1" t="n">
        <v>45405.57927083333</v>
      </c>
      <c r="C620" s="1" t="n">
        <v>46004</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11333-2025</t>
        </is>
      </c>
      <c r="B621" s="1" t="n">
        <v>45726.48377314815</v>
      </c>
      <c r="C621" s="1" t="n">
        <v>46004</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38612-2022</t>
        </is>
      </c>
      <c r="B622" s="1" t="n">
        <v>44813</v>
      </c>
      <c r="C622" s="1" t="n">
        <v>46004</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9703-2021</t>
        </is>
      </c>
      <c r="B623" s="1" t="n">
        <v>44252</v>
      </c>
      <c r="C623" s="1" t="n">
        <v>46004</v>
      </c>
      <c r="D623" t="inlineStr">
        <is>
          <t>STOCKHOLMS LÄN</t>
        </is>
      </c>
      <c r="E623" t="inlineStr">
        <is>
          <t>NORRTÄLJE</t>
        </is>
      </c>
      <c r="G623" t="n">
        <v>3.4</v>
      </c>
      <c r="H623" t="n">
        <v>0</v>
      </c>
      <c r="I623" t="n">
        <v>0</v>
      </c>
      <c r="J623" t="n">
        <v>0</v>
      </c>
      <c r="K623" t="n">
        <v>0</v>
      </c>
      <c r="L623" t="n">
        <v>0</v>
      </c>
      <c r="M623" t="n">
        <v>0</v>
      </c>
      <c r="N623" t="n">
        <v>0</v>
      </c>
      <c r="O623" t="n">
        <v>0</v>
      </c>
      <c r="P623" t="n">
        <v>0</v>
      </c>
      <c r="Q623" t="n">
        <v>0</v>
      </c>
      <c r="R623" s="2" t="inlineStr"/>
    </row>
    <row r="624" ht="15" customHeight="1">
      <c r="A624" t="inlineStr">
        <is>
          <t>A 4326-2023</t>
        </is>
      </c>
      <c r="B624" s="1" t="n">
        <v>44953.70481481482</v>
      </c>
      <c r="C624" s="1" t="n">
        <v>46004</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54504-2024</t>
        </is>
      </c>
      <c r="B625" s="1" t="n">
        <v>45617.58453703704</v>
      </c>
      <c r="C625" s="1" t="n">
        <v>46004</v>
      </c>
      <c r="D625" t="inlineStr">
        <is>
          <t>STOCKHOLMS LÄN</t>
        </is>
      </c>
      <c r="E625" t="inlineStr">
        <is>
          <t>NORRTÄLJE</t>
        </is>
      </c>
      <c r="G625" t="n">
        <v>3.4</v>
      </c>
      <c r="H625" t="n">
        <v>0</v>
      </c>
      <c r="I625" t="n">
        <v>0</v>
      </c>
      <c r="J625" t="n">
        <v>0</v>
      </c>
      <c r="K625" t="n">
        <v>0</v>
      </c>
      <c r="L625" t="n">
        <v>0</v>
      </c>
      <c r="M625" t="n">
        <v>0</v>
      </c>
      <c r="N625" t="n">
        <v>0</v>
      </c>
      <c r="O625" t="n">
        <v>0</v>
      </c>
      <c r="P625" t="n">
        <v>0</v>
      </c>
      <c r="Q625" t="n">
        <v>0</v>
      </c>
      <c r="R625" s="2" t="inlineStr"/>
    </row>
    <row r="626" ht="15" customHeight="1">
      <c r="A626" t="inlineStr">
        <is>
          <t>A 26644-2024</t>
        </is>
      </c>
      <c r="B626" s="1" t="n">
        <v>45469</v>
      </c>
      <c r="C626" s="1" t="n">
        <v>46004</v>
      </c>
      <c r="D626" t="inlineStr">
        <is>
          <t>STOCKHOLMS LÄN</t>
        </is>
      </c>
      <c r="E626" t="inlineStr">
        <is>
          <t>NORRTÄLJE</t>
        </is>
      </c>
      <c r="G626" t="n">
        <v>4.3</v>
      </c>
      <c r="H626" t="n">
        <v>0</v>
      </c>
      <c r="I626" t="n">
        <v>0</v>
      </c>
      <c r="J626" t="n">
        <v>0</v>
      </c>
      <c r="K626" t="n">
        <v>0</v>
      </c>
      <c r="L626" t="n">
        <v>0</v>
      </c>
      <c r="M626" t="n">
        <v>0</v>
      </c>
      <c r="N626" t="n">
        <v>0</v>
      </c>
      <c r="O626" t="n">
        <v>0</v>
      </c>
      <c r="P626" t="n">
        <v>0</v>
      </c>
      <c r="Q626" t="n">
        <v>0</v>
      </c>
      <c r="R626" s="2" t="inlineStr"/>
    </row>
    <row r="627" ht="15" customHeight="1">
      <c r="A627" t="inlineStr">
        <is>
          <t>A 34391-2023</t>
        </is>
      </c>
      <c r="B627" s="1" t="n">
        <v>45139.51457175926</v>
      </c>
      <c r="C627" s="1" t="n">
        <v>46004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21745-2023</t>
        </is>
      </c>
      <c r="B628" s="1" t="n">
        <v>45065.55917824074</v>
      </c>
      <c r="C628" s="1" t="n">
        <v>46004</v>
      </c>
      <c r="D628" t="inlineStr">
        <is>
          <t>STOCKHOLMS LÄN</t>
        </is>
      </c>
      <c r="E628" t="inlineStr">
        <is>
          <t>NORRTÄLJE</t>
        </is>
      </c>
      <c r="F628" t="inlineStr">
        <is>
          <t>Holmen skog AB</t>
        </is>
      </c>
      <c r="G628" t="n">
        <v>0.7</v>
      </c>
      <c r="H628" t="n">
        <v>0</v>
      </c>
      <c r="I628" t="n">
        <v>0</v>
      </c>
      <c r="J628" t="n">
        <v>0</v>
      </c>
      <c r="K628" t="n">
        <v>0</v>
      </c>
      <c r="L628" t="n">
        <v>0</v>
      </c>
      <c r="M628" t="n">
        <v>0</v>
      </c>
      <c r="N628" t="n">
        <v>0</v>
      </c>
      <c r="O628" t="n">
        <v>0</v>
      </c>
      <c r="P628" t="n">
        <v>0</v>
      </c>
      <c r="Q628" t="n">
        <v>0</v>
      </c>
      <c r="R628" s="2" t="inlineStr"/>
    </row>
    <row r="629" ht="15" customHeight="1">
      <c r="A629" t="inlineStr">
        <is>
          <t>A 21894-2023</t>
        </is>
      </c>
      <c r="B629" s="1" t="n">
        <v>45068.51783564815</v>
      </c>
      <c r="C629" s="1" t="n">
        <v>46004</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13276-2022</t>
        </is>
      </c>
      <c r="B630" s="1" t="n">
        <v>44644</v>
      </c>
      <c r="C630" s="1" t="n">
        <v>46004</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46004</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4484-2025</t>
        </is>
      </c>
      <c r="B632" s="1" t="n">
        <v>45686.65545138889</v>
      </c>
      <c r="C632" s="1" t="n">
        <v>46004</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33878-2024</t>
        </is>
      </c>
      <c r="B633" s="1" t="n">
        <v>45522.44414351852</v>
      </c>
      <c r="C633" s="1" t="n">
        <v>46004</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25681-2024</t>
        </is>
      </c>
      <c r="B634" s="1" t="n">
        <v>45463.80486111111</v>
      </c>
      <c r="C634" s="1" t="n">
        <v>46004</v>
      </c>
      <c r="D634" t="inlineStr">
        <is>
          <t>STOCKHOLMS LÄN</t>
        </is>
      </c>
      <c r="E634" t="inlineStr">
        <is>
          <t>NORRTÄLJE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9246-2024</t>
        </is>
      </c>
      <c r="B635" s="1" t="n">
        <v>45357</v>
      </c>
      <c r="C635" s="1" t="n">
        <v>46004</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35698-2023</t>
        </is>
      </c>
      <c r="B636" s="1" t="n">
        <v>45147</v>
      </c>
      <c r="C636" s="1" t="n">
        <v>46004</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62398-2022</t>
        </is>
      </c>
      <c r="B637" s="1" t="n">
        <v>44923.90159722222</v>
      </c>
      <c r="C637" s="1" t="n">
        <v>46004</v>
      </c>
      <c r="D637" t="inlineStr">
        <is>
          <t>STOCKHOLMS LÄN</t>
        </is>
      </c>
      <c r="E637" t="inlineStr">
        <is>
          <t>NORRTÄLJE</t>
        </is>
      </c>
      <c r="G637" t="n">
        <v>4</v>
      </c>
      <c r="H637" t="n">
        <v>0</v>
      </c>
      <c r="I637" t="n">
        <v>0</v>
      </c>
      <c r="J637" t="n">
        <v>0</v>
      </c>
      <c r="K637" t="n">
        <v>0</v>
      </c>
      <c r="L637" t="n">
        <v>0</v>
      </c>
      <c r="M637" t="n">
        <v>0</v>
      </c>
      <c r="N637" t="n">
        <v>0</v>
      </c>
      <c r="O637" t="n">
        <v>0</v>
      </c>
      <c r="P637" t="n">
        <v>0</v>
      </c>
      <c r="Q637" t="n">
        <v>0</v>
      </c>
      <c r="R637" s="2" t="inlineStr"/>
    </row>
    <row r="638" ht="15" customHeight="1">
      <c r="A638" t="inlineStr">
        <is>
          <t>A 28182-2022</t>
        </is>
      </c>
      <c r="B638" s="1" t="n">
        <v>44746.58530092592</v>
      </c>
      <c r="C638" s="1" t="n">
        <v>46004</v>
      </c>
      <c r="D638" t="inlineStr">
        <is>
          <t>STOCKHOLMS LÄN</t>
        </is>
      </c>
      <c r="E638" t="inlineStr">
        <is>
          <t>NORRTÄLJE</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58853-2024</t>
        </is>
      </c>
      <c r="B639" s="1" t="n">
        <v>45636.38974537037</v>
      </c>
      <c r="C639" s="1" t="n">
        <v>46004</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34461-2023</t>
        </is>
      </c>
      <c r="B640" s="1" t="n">
        <v>45139</v>
      </c>
      <c r="C640" s="1" t="n">
        <v>46004</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13767-2025</t>
        </is>
      </c>
      <c r="B641" s="1" t="n">
        <v>45737.43347222222</v>
      </c>
      <c r="C641" s="1" t="n">
        <v>46004</v>
      </c>
      <c r="D641" t="inlineStr">
        <is>
          <t>STOCKHOLMS LÄN</t>
        </is>
      </c>
      <c r="E641" t="inlineStr">
        <is>
          <t>NORRTÄLJE</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49700-2023</t>
        </is>
      </c>
      <c r="B642" s="1" t="n">
        <v>45212</v>
      </c>
      <c r="C642" s="1" t="n">
        <v>46004</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35438-2023</t>
        </is>
      </c>
      <c r="B643" s="1" t="n">
        <v>45146</v>
      </c>
      <c r="C643" s="1" t="n">
        <v>46004</v>
      </c>
      <c r="D643" t="inlineStr">
        <is>
          <t>STOCKHOLMS LÄN</t>
        </is>
      </c>
      <c r="E643" t="inlineStr">
        <is>
          <t>NORRTÄLJE</t>
        </is>
      </c>
      <c r="F643" t="inlineStr">
        <is>
          <t>Kommuner</t>
        </is>
      </c>
      <c r="G643" t="n">
        <v>1.9</v>
      </c>
      <c r="H643" t="n">
        <v>0</v>
      </c>
      <c r="I643" t="n">
        <v>0</v>
      </c>
      <c r="J643" t="n">
        <v>0</v>
      </c>
      <c r="K643" t="n">
        <v>0</v>
      </c>
      <c r="L643" t="n">
        <v>0</v>
      </c>
      <c r="M643" t="n">
        <v>0</v>
      </c>
      <c r="N643" t="n">
        <v>0</v>
      </c>
      <c r="O643" t="n">
        <v>0</v>
      </c>
      <c r="P643" t="n">
        <v>0</v>
      </c>
      <c r="Q643" t="n">
        <v>0</v>
      </c>
      <c r="R643" s="2" t="inlineStr"/>
    </row>
    <row r="644" ht="15" customHeight="1">
      <c r="A644" t="inlineStr">
        <is>
          <t>A 51046-2023</t>
        </is>
      </c>
      <c r="B644" s="1" t="n">
        <v>45218</v>
      </c>
      <c r="C644" s="1" t="n">
        <v>46004</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32071-2023</t>
        </is>
      </c>
      <c r="B645" s="1" t="n">
        <v>45119.57728009259</v>
      </c>
      <c r="C645" s="1" t="n">
        <v>46004</v>
      </c>
      <c r="D645" t="inlineStr">
        <is>
          <t>STOCKHOLMS LÄN</t>
        </is>
      </c>
      <c r="E645" t="inlineStr">
        <is>
          <t>NORRTÄLJE</t>
        </is>
      </c>
      <c r="G645" t="n">
        <v>6.5</v>
      </c>
      <c r="H645" t="n">
        <v>0</v>
      </c>
      <c r="I645" t="n">
        <v>0</v>
      </c>
      <c r="J645" t="n">
        <v>0</v>
      </c>
      <c r="K645" t="n">
        <v>0</v>
      </c>
      <c r="L645" t="n">
        <v>0</v>
      </c>
      <c r="M645" t="n">
        <v>0</v>
      </c>
      <c r="N645" t="n">
        <v>0</v>
      </c>
      <c r="O645" t="n">
        <v>0</v>
      </c>
      <c r="P645" t="n">
        <v>0</v>
      </c>
      <c r="Q645" t="n">
        <v>0</v>
      </c>
      <c r="R645" s="2" t="inlineStr"/>
    </row>
    <row r="646" ht="15" customHeight="1">
      <c r="A646" t="inlineStr">
        <is>
          <t>A 20291-2022</t>
        </is>
      </c>
      <c r="B646" s="1" t="n">
        <v>44698</v>
      </c>
      <c r="C646" s="1" t="n">
        <v>46004</v>
      </c>
      <c r="D646" t="inlineStr">
        <is>
          <t>STOCKHOLMS LÄN</t>
        </is>
      </c>
      <c r="E646" t="inlineStr">
        <is>
          <t>NORRTÄLJE</t>
        </is>
      </c>
      <c r="F646" t="inlineStr">
        <is>
          <t>Naturvårdsverket</t>
        </is>
      </c>
      <c r="G646" t="n">
        <v>2</v>
      </c>
      <c r="H646" t="n">
        <v>0</v>
      </c>
      <c r="I646" t="n">
        <v>0</v>
      </c>
      <c r="J646" t="n">
        <v>0</v>
      </c>
      <c r="K646" t="n">
        <v>0</v>
      </c>
      <c r="L646" t="n">
        <v>0</v>
      </c>
      <c r="M646" t="n">
        <v>0</v>
      </c>
      <c r="N646" t="n">
        <v>0</v>
      </c>
      <c r="O646" t="n">
        <v>0</v>
      </c>
      <c r="P646" t="n">
        <v>0</v>
      </c>
      <c r="Q646" t="n">
        <v>0</v>
      </c>
      <c r="R646" s="2" t="inlineStr"/>
    </row>
    <row r="647" ht="15" customHeight="1">
      <c r="A647" t="inlineStr">
        <is>
          <t>A 26115-2024</t>
        </is>
      </c>
      <c r="B647" s="1" t="n">
        <v>45468.45628472222</v>
      </c>
      <c r="C647" s="1" t="n">
        <v>46004</v>
      </c>
      <c r="D647" t="inlineStr">
        <is>
          <t>STOCKHOLMS LÄN</t>
        </is>
      </c>
      <c r="E647" t="inlineStr">
        <is>
          <t>NORRTÄLJE</t>
        </is>
      </c>
      <c r="G647" t="n">
        <v>0.3</v>
      </c>
      <c r="H647" t="n">
        <v>0</v>
      </c>
      <c r="I647" t="n">
        <v>0</v>
      </c>
      <c r="J647" t="n">
        <v>0</v>
      </c>
      <c r="K647" t="n">
        <v>0</v>
      </c>
      <c r="L647" t="n">
        <v>0</v>
      </c>
      <c r="M647" t="n">
        <v>0</v>
      </c>
      <c r="N647" t="n">
        <v>0</v>
      </c>
      <c r="O647" t="n">
        <v>0</v>
      </c>
      <c r="P647" t="n">
        <v>0</v>
      </c>
      <c r="Q647" t="n">
        <v>0</v>
      </c>
      <c r="R647" s="2" t="inlineStr"/>
    </row>
    <row r="648" ht="15" customHeight="1">
      <c r="A648" t="inlineStr">
        <is>
          <t>A 1425-2025</t>
        </is>
      </c>
      <c r="B648" s="1" t="n">
        <v>45668.67446759259</v>
      </c>
      <c r="C648" s="1" t="n">
        <v>46004</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17775-2022</t>
        </is>
      </c>
      <c r="B649" s="1" t="n">
        <v>44682.78430555556</v>
      </c>
      <c r="C649" s="1" t="n">
        <v>46004</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38720-2022</t>
        </is>
      </c>
      <c r="B650" s="1" t="n">
        <v>44815.74539351852</v>
      </c>
      <c r="C650" s="1" t="n">
        <v>46004</v>
      </c>
      <c r="D650" t="inlineStr">
        <is>
          <t>STOCKHOLMS LÄN</t>
        </is>
      </c>
      <c r="E650" t="inlineStr">
        <is>
          <t>NORRTÄLJE</t>
        </is>
      </c>
      <c r="G650" t="n">
        <v>2.5</v>
      </c>
      <c r="H650" t="n">
        <v>0</v>
      </c>
      <c r="I650" t="n">
        <v>0</v>
      </c>
      <c r="J650" t="n">
        <v>0</v>
      </c>
      <c r="K650" t="n">
        <v>0</v>
      </c>
      <c r="L650" t="n">
        <v>0</v>
      </c>
      <c r="M650" t="n">
        <v>0</v>
      </c>
      <c r="N650" t="n">
        <v>0</v>
      </c>
      <c r="O650" t="n">
        <v>0</v>
      </c>
      <c r="P650" t="n">
        <v>0</v>
      </c>
      <c r="Q650" t="n">
        <v>0</v>
      </c>
      <c r="R650" s="2" t="inlineStr"/>
    </row>
    <row r="651" ht="15" customHeight="1">
      <c r="A651" t="inlineStr">
        <is>
          <t>A 10215-2023</t>
        </is>
      </c>
      <c r="B651" s="1" t="n">
        <v>44986.5887962963</v>
      </c>
      <c r="C651" s="1" t="n">
        <v>46004</v>
      </c>
      <c r="D651" t="inlineStr">
        <is>
          <t>STOCKHOLMS LÄN</t>
        </is>
      </c>
      <c r="E651" t="inlineStr">
        <is>
          <t>NORRTÄLJE</t>
        </is>
      </c>
      <c r="G651" t="n">
        <v>6.5</v>
      </c>
      <c r="H651" t="n">
        <v>0</v>
      </c>
      <c r="I651" t="n">
        <v>0</v>
      </c>
      <c r="J651" t="n">
        <v>0</v>
      </c>
      <c r="K651" t="n">
        <v>0</v>
      </c>
      <c r="L651" t="n">
        <v>0</v>
      </c>
      <c r="M651" t="n">
        <v>0</v>
      </c>
      <c r="N651" t="n">
        <v>0</v>
      </c>
      <c r="O651" t="n">
        <v>0</v>
      </c>
      <c r="P651" t="n">
        <v>0</v>
      </c>
      <c r="Q651" t="n">
        <v>0</v>
      </c>
      <c r="R651" s="2" t="inlineStr"/>
    </row>
    <row r="652" ht="15" customHeight="1">
      <c r="A652" t="inlineStr">
        <is>
          <t>A 28816-2023</t>
        </is>
      </c>
      <c r="B652" s="1" t="n">
        <v>45104</v>
      </c>
      <c r="C652" s="1" t="n">
        <v>46004</v>
      </c>
      <c r="D652" t="inlineStr">
        <is>
          <t>STOCKHOLMS LÄN</t>
        </is>
      </c>
      <c r="E652" t="inlineStr">
        <is>
          <t>NORRTÄLJE</t>
        </is>
      </c>
      <c r="F652" t="inlineStr">
        <is>
          <t>Kommuner</t>
        </is>
      </c>
      <c r="G652" t="n">
        <v>0.5</v>
      </c>
      <c r="H652" t="n">
        <v>0</v>
      </c>
      <c r="I652" t="n">
        <v>0</v>
      </c>
      <c r="J652" t="n">
        <v>0</v>
      </c>
      <c r="K652" t="n">
        <v>0</v>
      </c>
      <c r="L652" t="n">
        <v>0</v>
      </c>
      <c r="M652" t="n">
        <v>0</v>
      </c>
      <c r="N652" t="n">
        <v>0</v>
      </c>
      <c r="O652" t="n">
        <v>0</v>
      </c>
      <c r="P652" t="n">
        <v>0</v>
      </c>
      <c r="Q652" t="n">
        <v>0</v>
      </c>
      <c r="R652" s="2" t="inlineStr"/>
    </row>
    <row r="653" ht="15" customHeight="1">
      <c r="A653" t="inlineStr">
        <is>
          <t>A 17382-2024</t>
        </is>
      </c>
      <c r="B653" s="1" t="n">
        <v>45414.65855324074</v>
      </c>
      <c r="C653" s="1" t="n">
        <v>46004</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25609-2023</t>
        </is>
      </c>
      <c r="B654" s="1" t="n">
        <v>45089</v>
      </c>
      <c r="C654" s="1" t="n">
        <v>46004</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6070-2022</t>
        </is>
      </c>
      <c r="B655" s="1" t="n">
        <v>44599.58428240741</v>
      </c>
      <c r="C655" s="1" t="n">
        <v>46004</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17039-2024</t>
        </is>
      </c>
      <c r="B656" s="1" t="n">
        <v>45412.4104050926</v>
      </c>
      <c r="C656" s="1" t="n">
        <v>46004</v>
      </c>
      <c r="D656" t="inlineStr">
        <is>
          <t>STOCKHOLMS LÄN</t>
        </is>
      </c>
      <c r="E656" t="inlineStr">
        <is>
          <t>NORRTÄLJE</t>
        </is>
      </c>
      <c r="G656" t="n">
        <v>5.9</v>
      </c>
      <c r="H656" t="n">
        <v>0</v>
      </c>
      <c r="I656" t="n">
        <v>0</v>
      </c>
      <c r="J656" t="n">
        <v>0</v>
      </c>
      <c r="K656" t="n">
        <v>0</v>
      </c>
      <c r="L656" t="n">
        <v>0</v>
      </c>
      <c r="M656" t="n">
        <v>0</v>
      </c>
      <c r="N656" t="n">
        <v>0</v>
      </c>
      <c r="O656" t="n">
        <v>0</v>
      </c>
      <c r="P656" t="n">
        <v>0</v>
      </c>
      <c r="Q656" t="n">
        <v>0</v>
      </c>
      <c r="R656" s="2" t="inlineStr"/>
    </row>
    <row r="657" ht="15" customHeight="1">
      <c r="A657" t="inlineStr">
        <is>
          <t>A 20013-2025</t>
        </is>
      </c>
      <c r="B657" s="1" t="n">
        <v>45772.30436342592</v>
      </c>
      <c r="C657" s="1" t="n">
        <v>46004</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19118-2022</t>
        </is>
      </c>
      <c r="B658" s="1" t="n">
        <v>44691.5652662037</v>
      </c>
      <c r="C658" s="1" t="n">
        <v>46004</v>
      </c>
      <c r="D658" t="inlineStr">
        <is>
          <t>STOCKHOLMS LÄN</t>
        </is>
      </c>
      <c r="E658" t="inlineStr">
        <is>
          <t>NORRTÄLJE</t>
        </is>
      </c>
      <c r="G658" t="n">
        <v>0.5</v>
      </c>
      <c r="H658" t="n">
        <v>0</v>
      </c>
      <c r="I658" t="n">
        <v>0</v>
      </c>
      <c r="J658" t="n">
        <v>0</v>
      </c>
      <c r="K658" t="n">
        <v>0</v>
      </c>
      <c r="L658" t="n">
        <v>0</v>
      </c>
      <c r="M658" t="n">
        <v>0</v>
      </c>
      <c r="N658" t="n">
        <v>0</v>
      </c>
      <c r="O658" t="n">
        <v>0</v>
      </c>
      <c r="P658" t="n">
        <v>0</v>
      </c>
      <c r="Q658" t="n">
        <v>0</v>
      </c>
      <c r="R658" s="2" t="inlineStr"/>
    </row>
    <row r="659" ht="15" customHeight="1">
      <c r="A659" t="inlineStr">
        <is>
          <t>A 48180-2023</t>
        </is>
      </c>
      <c r="B659" s="1" t="n">
        <v>45205</v>
      </c>
      <c r="C659" s="1" t="n">
        <v>46004</v>
      </c>
      <c r="D659" t="inlineStr">
        <is>
          <t>STOCKHOLMS LÄN</t>
        </is>
      </c>
      <c r="E659" t="inlineStr">
        <is>
          <t>NORRTÄLJE</t>
        </is>
      </c>
      <c r="G659" t="n">
        <v>1.5</v>
      </c>
      <c r="H659" t="n">
        <v>0</v>
      </c>
      <c r="I659" t="n">
        <v>0</v>
      </c>
      <c r="J659" t="n">
        <v>0</v>
      </c>
      <c r="K659" t="n">
        <v>0</v>
      </c>
      <c r="L659" t="n">
        <v>0</v>
      </c>
      <c r="M659" t="n">
        <v>0</v>
      </c>
      <c r="N659" t="n">
        <v>0</v>
      </c>
      <c r="O659" t="n">
        <v>0</v>
      </c>
      <c r="P659" t="n">
        <v>0</v>
      </c>
      <c r="Q659" t="n">
        <v>0</v>
      </c>
      <c r="R659" s="2" t="inlineStr"/>
    </row>
    <row r="660" ht="15" customHeight="1">
      <c r="A660" t="inlineStr">
        <is>
          <t>A 20014-2025</t>
        </is>
      </c>
      <c r="B660" s="1" t="n">
        <v>45772.3078125</v>
      </c>
      <c r="C660" s="1" t="n">
        <v>46004</v>
      </c>
      <c r="D660" t="inlineStr">
        <is>
          <t>STOCKHOLMS LÄN</t>
        </is>
      </c>
      <c r="E660" t="inlineStr">
        <is>
          <t>NORRTÄLJE</t>
        </is>
      </c>
      <c r="G660" t="n">
        <v>4.4</v>
      </c>
      <c r="H660" t="n">
        <v>0</v>
      </c>
      <c r="I660" t="n">
        <v>0</v>
      </c>
      <c r="J660" t="n">
        <v>0</v>
      </c>
      <c r="K660" t="n">
        <v>0</v>
      </c>
      <c r="L660" t="n">
        <v>0</v>
      </c>
      <c r="M660" t="n">
        <v>0</v>
      </c>
      <c r="N660" t="n">
        <v>0</v>
      </c>
      <c r="O660" t="n">
        <v>0</v>
      </c>
      <c r="P660" t="n">
        <v>0</v>
      </c>
      <c r="Q660" t="n">
        <v>0</v>
      </c>
      <c r="R660" s="2" t="inlineStr"/>
    </row>
    <row r="661" ht="15" customHeight="1">
      <c r="A661" t="inlineStr">
        <is>
          <t>A 35695-2023</t>
        </is>
      </c>
      <c r="B661" s="1" t="n">
        <v>45147.65407407407</v>
      </c>
      <c r="C661" s="1" t="n">
        <v>46004</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45173-2023</t>
        </is>
      </c>
      <c r="B662" s="1" t="n">
        <v>45191</v>
      </c>
      <c r="C662" s="1" t="n">
        <v>46004</v>
      </c>
      <c r="D662" t="inlineStr">
        <is>
          <t>STOCKHOLMS LÄN</t>
        </is>
      </c>
      <c r="E662" t="inlineStr">
        <is>
          <t>NORRTÄLJE</t>
        </is>
      </c>
      <c r="F662" t="inlineStr">
        <is>
          <t>Sveaskog</t>
        </is>
      </c>
      <c r="G662" t="n">
        <v>3.6</v>
      </c>
      <c r="H662" t="n">
        <v>0</v>
      </c>
      <c r="I662" t="n">
        <v>0</v>
      </c>
      <c r="J662" t="n">
        <v>0</v>
      </c>
      <c r="K662" t="n">
        <v>0</v>
      </c>
      <c r="L662" t="n">
        <v>0</v>
      </c>
      <c r="M662" t="n">
        <v>0</v>
      </c>
      <c r="N662" t="n">
        <v>0</v>
      </c>
      <c r="O662" t="n">
        <v>0</v>
      </c>
      <c r="P662" t="n">
        <v>0</v>
      </c>
      <c r="Q662" t="n">
        <v>0</v>
      </c>
      <c r="R662" s="2" t="inlineStr"/>
    </row>
    <row r="663" ht="15" customHeight="1">
      <c r="A663" t="inlineStr">
        <is>
          <t>A 53362-2023</t>
        </is>
      </c>
      <c r="B663" s="1" t="n">
        <v>45223</v>
      </c>
      <c r="C663" s="1" t="n">
        <v>46004</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15422-2024</t>
        </is>
      </c>
      <c r="B664" s="1" t="n">
        <v>45401.3653125</v>
      </c>
      <c r="C664" s="1" t="n">
        <v>46004</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20136-2025</t>
        </is>
      </c>
      <c r="B665" s="1" t="n">
        <v>45772.51127314815</v>
      </c>
      <c r="C665" s="1" t="n">
        <v>46004</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8739-2024</t>
        </is>
      </c>
      <c r="B666" s="1" t="n">
        <v>45356.47784722222</v>
      </c>
      <c r="C666" s="1" t="n">
        <v>46004</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38759-2022</t>
        </is>
      </c>
      <c r="B667" s="1" t="n">
        <v>44816</v>
      </c>
      <c r="C667" s="1" t="n">
        <v>46004</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32857-2021</t>
        </is>
      </c>
      <c r="B668" s="1" t="n">
        <v>44375</v>
      </c>
      <c r="C668" s="1" t="n">
        <v>46004</v>
      </c>
      <c r="D668" t="inlineStr">
        <is>
          <t>STOCKHOLMS LÄN</t>
        </is>
      </c>
      <c r="E668" t="inlineStr">
        <is>
          <t>NORRTÄLJE</t>
        </is>
      </c>
      <c r="G668" t="n">
        <v>2.9</v>
      </c>
      <c r="H668" t="n">
        <v>0</v>
      </c>
      <c r="I668" t="n">
        <v>0</v>
      </c>
      <c r="J668" t="n">
        <v>0</v>
      </c>
      <c r="K668" t="n">
        <v>0</v>
      </c>
      <c r="L668" t="n">
        <v>0</v>
      </c>
      <c r="M668" t="n">
        <v>0</v>
      </c>
      <c r="N668" t="n">
        <v>0</v>
      </c>
      <c r="O668" t="n">
        <v>0</v>
      </c>
      <c r="P668" t="n">
        <v>0</v>
      </c>
      <c r="Q668" t="n">
        <v>0</v>
      </c>
      <c r="R668" s="2" t="inlineStr"/>
    </row>
    <row r="669" ht="15" customHeight="1">
      <c r="A669" t="inlineStr">
        <is>
          <t>A 29714-2023</t>
        </is>
      </c>
      <c r="B669" s="1" t="n">
        <v>45107.42538194444</v>
      </c>
      <c r="C669" s="1" t="n">
        <v>46004</v>
      </c>
      <c r="D669" t="inlineStr">
        <is>
          <t>STOCKHOLMS LÄN</t>
        </is>
      </c>
      <c r="E669" t="inlineStr">
        <is>
          <t>NORRTÄLJE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23271-2023</t>
        </is>
      </c>
      <c r="B670" s="1" t="n">
        <v>45075.91362268518</v>
      </c>
      <c r="C670" s="1" t="n">
        <v>46004</v>
      </c>
      <c r="D670" t="inlineStr">
        <is>
          <t>STOCKHOLMS LÄN</t>
        </is>
      </c>
      <c r="E670" t="inlineStr">
        <is>
          <t>NORRTÄLJE</t>
        </is>
      </c>
      <c r="G670" t="n">
        <v>5.1</v>
      </c>
      <c r="H670" t="n">
        <v>0</v>
      </c>
      <c r="I670" t="n">
        <v>0</v>
      </c>
      <c r="J670" t="n">
        <v>0</v>
      </c>
      <c r="K670" t="n">
        <v>0</v>
      </c>
      <c r="L670" t="n">
        <v>0</v>
      </c>
      <c r="M670" t="n">
        <v>0</v>
      </c>
      <c r="N670" t="n">
        <v>0</v>
      </c>
      <c r="O670" t="n">
        <v>0</v>
      </c>
      <c r="P670" t="n">
        <v>0</v>
      </c>
      <c r="Q670" t="n">
        <v>0</v>
      </c>
      <c r="R670" s="2" t="inlineStr"/>
    </row>
    <row r="671" ht="15" customHeight="1">
      <c r="A671" t="inlineStr">
        <is>
          <t>A 23273-2023</t>
        </is>
      </c>
      <c r="B671" s="1" t="n">
        <v>45075.91971064815</v>
      </c>
      <c r="C671" s="1" t="n">
        <v>46004</v>
      </c>
      <c r="D671" t="inlineStr">
        <is>
          <t>STOCKHOLMS LÄN</t>
        </is>
      </c>
      <c r="E671" t="inlineStr">
        <is>
          <t>NORRTÄLJE</t>
        </is>
      </c>
      <c r="G671" t="n">
        <v>7.5</v>
      </c>
      <c r="H671" t="n">
        <v>0</v>
      </c>
      <c r="I671" t="n">
        <v>0</v>
      </c>
      <c r="J671" t="n">
        <v>0</v>
      </c>
      <c r="K671" t="n">
        <v>0</v>
      </c>
      <c r="L671" t="n">
        <v>0</v>
      </c>
      <c r="M671" t="n">
        <v>0</v>
      </c>
      <c r="N671" t="n">
        <v>0</v>
      </c>
      <c r="O671" t="n">
        <v>0</v>
      </c>
      <c r="P671" t="n">
        <v>0</v>
      </c>
      <c r="Q671" t="n">
        <v>0</v>
      </c>
      <c r="R671" s="2" t="inlineStr"/>
    </row>
    <row r="672" ht="15" customHeight="1">
      <c r="A672" t="inlineStr">
        <is>
          <t>A 24705-2023</t>
        </is>
      </c>
      <c r="B672" s="1" t="n">
        <v>45084.54459490741</v>
      </c>
      <c r="C672" s="1" t="n">
        <v>46004</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21696-2024</t>
        </is>
      </c>
      <c r="B673" s="1" t="n">
        <v>45442.45686342593</v>
      </c>
      <c r="C673" s="1" t="n">
        <v>46004</v>
      </c>
      <c r="D673" t="inlineStr">
        <is>
          <t>STOCKHOLMS LÄN</t>
        </is>
      </c>
      <c r="E673" t="inlineStr">
        <is>
          <t>NORRTÄLJE</t>
        </is>
      </c>
      <c r="G673" t="n">
        <v>2.9</v>
      </c>
      <c r="H673" t="n">
        <v>0</v>
      </c>
      <c r="I673" t="n">
        <v>0</v>
      </c>
      <c r="J673" t="n">
        <v>0</v>
      </c>
      <c r="K673" t="n">
        <v>0</v>
      </c>
      <c r="L673" t="n">
        <v>0</v>
      </c>
      <c r="M673" t="n">
        <v>0</v>
      </c>
      <c r="N673" t="n">
        <v>0</v>
      </c>
      <c r="O673" t="n">
        <v>0</v>
      </c>
      <c r="P673" t="n">
        <v>0</v>
      </c>
      <c r="Q673" t="n">
        <v>0</v>
      </c>
      <c r="R673" s="2" t="inlineStr"/>
    </row>
    <row r="674" ht="15" customHeight="1">
      <c r="A674" t="inlineStr">
        <is>
          <t>A 2287-2024</t>
        </is>
      </c>
      <c r="B674" s="1" t="n">
        <v>45310</v>
      </c>
      <c r="C674" s="1" t="n">
        <v>46004</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13785-2024</t>
        </is>
      </c>
      <c r="B675" s="1" t="n">
        <v>45391.3395949074</v>
      </c>
      <c r="C675" s="1" t="n">
        <v>46004</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50469-2022</t>
        </is>
      </c>
      <c r="B676" s="1" t="n">
        <v>44866.49827546296</v>
      </c>
      <c r="C676" s="1" t="n">
        <v>46004</v>
      </c>
      <c r="D676" t="inlineStr">
        <is>
          <t>STOCKHOLMS LÄN</t>
        </is>
      </c>
      <c r="E676" t="inlineStr">
        <is>
          <t>NORRTÄLJE</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30508-2023</t>
        </is>
      </c>
      <c r="B677" s="1" t="n">
        <v>45111</v>
      </c>
      <c r="C677" s="1" t="n">
        <v>46004</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51116-2022</t>
        </is>
      </c>
      <c r="B678" s="1" t="n">
        <v>44868.45741898148</v>
      </c>
      <c r="C678" s="1" t="n">
        <v>46004</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67990-2021</t>
        </is>
      </c>
      <c r="B679" s="1" t="n">
        <v>44525</v>
      </c>
      <c r="C679" s="1" t="n">
        <v>46004</v>
      </c>
      <c r="D679" t="inlineStr">
        <is>
          <t>STOCKHOLMS LÄN</t>
        </is>
      </c>
      <c r="E679" t="inlineStr">
        <is>
          <t>NORRTÄLJE</t>
        </is>
      </c>
      <c r="F679" t="inlineStr">
        <is>
          <t>Sveaskog</t>
        </is>
      </c>
      <c r="G679" t="n">
        <v>7.8</v>
      </c>
      <c r="H679" t="n">
        <v>0</v>
      </c>
      <c r="I679" t="n">
        <v>0</v>
      </c>
      <c r="J679" t="n">
        <v>0</v>
      </c>
      <c r="K679" t="n">
        <v>0</v>
      </c>
      <c r="L679" t="n">
        <v>0</v>
      </c>
      <c r="M679" t="n">
        <v>0</v>
      </c>
      <c r="N679" t="n">
        <v>0</v>
      </c>
      <c r="O679" t="n">
        <v>0</v>
      </c>
      <c r="P679" t="n">
        <v>0</v>
      </c>
      <c r="Q679" t="n">
        <v>0</v>
      </c>
      <c r="R679" s="2" t="inlineStr"/>
    </row>
    <row r="680" ht="15" customHeight="1">
      <c r="A680" t="inlineStr">
        <is>
          <t>A 71552-2021</t>
        </is>
      </c>
      <c r="B680" s="1" t="n">
        <v>44540</v>
      </c>
      <c r="C680" s="1" t="n">
        <v>46004</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73992-2021</t>
        </is>
      </c>
      <c r="B681" s="1" t="n">
        <v>44556</v>
      </c>
      <c r="C681" s="1" t="n">
        <v>46004</v>
      </c>
      <c r="D681" t="inlineStr">
        <is>
          <t>STOCKHOLMS LÄN</t>
        </is>
      </c>
      <c r="E681" t="inlineStr">
        <is>
          <t>NORRTÄLJE</t>
        </is>
      </c>
      <c r="G681" t="n">
        <v>12.5</v>
      </c>
      <c r="H681" t="n">
        <v>0</v>
      </c>
      <c r="I681" t="n">
        <v>0</v>
      </c>
      <c r="J681" t="n">
        <v>0</v>
      </c>
      <c r="K681" t="n">
        <v>0</v>
      </c>
      <c r="L681" t="n">
        <v>0</v>
      </c>
      <c r="M681" t="n">
        <v>0</v>
      </c>
      <c r="N681" t="n">
        <v>0</v>
      </c>
      <c r="O681" t="n">
        <v>0</v>
      </c>
      <c r="P681" t="n">
        <v>0</v>
      </c>
      <c r="Q681" t="n">
        <v>0</v>
      </c>
      <c r="R681" s="2" t="inlineStr"/>
    </row>
    <row r="682" ht="15" customHeight="1">
      <c r="A682" t="inlineStr">
        <is>
          <t>A 60217-2021</t>
        </is>
      </c>
      <c r="B682" s="1" t="n">
        <v>44495.5893287037</v>
      </c>
      <c r="C682" s="1" t="n">
        <v>46004</v>
      </c>
      <c r="D682" t="inlineStr">
        <is>
          <t>STOCKHOLMS LÄN</t>
        </is>
      </c>
      <c r="E682" t="inlineStr">
        <is>
          <t>NORRTÄLJE</t>
        </is>
      </c>
      <c r="G682" t="n">
        <v>4.3</v>
      </c>
      <c r="H682" t="n">
        <v>0</v>
      </c>
      <c r="I682" t="n">
        <v>0</v>
      </c>
      <c r="J682" t="n">
        <v>0</v>
      </c>
      <c r="K682" t="n">
        <v>0</v>
      </c>
      <c r="L682" t="n">
        <v>0</v>
      </c>
      <c r="M682" t="n">
        <v>0</v>
      </c>
      <c r="N682" t="n">
        <v>0</v>
      </c>
      <c r="O682" t="n">
        <v>0</v>
      </c>
      <c r="P682" t="n">
        <v>0</v>
      </c>
      <c r="Q682" t="n">
        <v>0</v>
      </c>
      <c r="R682" s="2" t="inlineStr"/>
    </row>
    <row r="683" ht="15" customHeight="1">
      <c r="A683" t="inlineStr">
        <is>
          <t>A 5839-2023</t>
        </is>
      </c>
      <c r="B683" s="1" t="n">
        <v>44963</v>
      </c>
      <c r="C683" s="1" t="n">
        <v>46004</v>
      </c>
      <c r="D683" t="inlineStr">
        <is>
          <t>STOCKHOLMS LÄN</t>
        </is>
      </c>
      <c r="E683" t="inlineStr">
        <is>
          <t>NORRTÄLJE</t>
        </is>
      </c>
      <c r="G683" t="n">
        <v>3.6</v>
      </c>
      <c r="H683" t="n">
        <v>0</v>
      </c>
      <c r="I683" t="n">
        <v>0</v>
      </c>
      <c r="J683" t="n">
        <v>0</v>
      </c>
      <c r="K683" t="n">
        <v>0</v>
      </c>
      <c r="L683" t="n">
        <v>0</v>
      </c>
      <c r="M683" t="n">
        <v>0</v>
      </c>
      <c r="N683" t="n">
        <v>0</v>
      </c>
      <c r="O683" t="n">
        <v>0</v>
      </c>
      <c r="P683" t="n">
        <v>0</v>
      </c>
      <c r="Q683" t="n">
        <v>0</v>
      </c>
      <c r="R683" s="2" t="inlineStr"/>
    </row>
    <row r="684" ht="15" customHeight="1">
      <c r="A684" t="inlineStr">
        <is>
          <t>A 26113-2024</t>
        </is>
      </c>
      <c r="B684" s="1" t="n">
        <v>45468.45541666666</v>
      </c>
      <c r="C684" s="1" t="n">
        <v>46004</v>
      </c>
      <c r="D684" t="inlineStr">
        <is>
          <t>STOCKHOLMS LÄN</t>
        </is>
      </c>
      <c r="E684" t="inlineStr">
        <is>
          <t>NORRTÄLJE</t>
        </is>
      </c>
      <c r="G684" t="n">
        <v>0.4</v>
      </c>
      <c r="H684" t="n">
        <v>0</v>
      </c>
      <c r="I684" t="n">
        <v>0</v>
      </c>
      <c r="J684" t="n">
        <v>0</v>
      </c>
      <c r="K684" t="n">
        <v>0</v>
      </c>
      <c r="L684" t="n">
        <v>0</v>
      </c>
      <c r="M684" t="n">
        <v>0</v>
      </c>
      <c r="N684" t="n">
        <v>0</v>
      </c>
      <c r="O684" t="n">
        <v>0</v>
      </c>
      <c r="P684" t="n">
        <v>0</v>
      </c>
      <c r="Q684" t="n">
        <v>0</v>
      </c>
      <c r="R684" s="2" t="inlineStr"/>
    </row>
    <row r="685" ht="15" customHeight="1">
      <c r="A685" t="inlineStr">
        <is>
          <t>A 26116-2024</t>
        </is>
      </c>
      <c r="B685" s="1" t="n">
        <v>45468.45747685185</v>
      </c>
      <c r="C685" s="1" t="n">
        <v>46004</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38985-2022</t>
        </is>
      </c>
      <c r="B686" s="1" t="n">
        <v>44816</v>
      </c>
      <c r="C686" s="1" t="n">
        <v>46004</v>
      </c>
      <c r="D686" t="inlineStr">
        <is>
          <t>STOCKHOLMS LÄN</t>
        </is>
      </c>
      <c r="E686" t="inlineStr">
        <is>
          <t>NORRTÄLJE</t>
        </is>
      </c>
      <c r="G686" t="n">
        <v>10.1</v>
      </c>
      <c r="H686" t="n">
        <v>0</v>
      </c>
      <c r="I686" t="n">
        <v>0</v>
      </c>
      <c r="J686" t="n">
        <v>0</v>
      </c>
      <c r="K686" t="n">
        <v>0</v>
      </c>
      <c r="L686" t="n">
        <v>0</v>
      </c>
      <c r="M686" t="n">
        <v>0</v>
      </c>
      <c r="N686" t="n">
        <v>0</v>
      </c>
      <c r="O686" t="n">
        <v>0</v>
      </c>
      <c r="P686" t="n">
        <v>0</v>
      </c>
      <c r="Q686" t="n">
        <v>0</v>
      </c>
      <c r="R686" s="2" t="inlineStr"/>
    </row>
    <row r="687" ht="15" customHeight="1">
      <c r="A687" t="inlineStr">
        <is>
          <t>A 7603-2025</t>
        </is>
      </c>
      <c r="B687" s="1" t="n">
        <v>45705.66126157407</v>
      </c>
      <c r="C687" s="1" t="n">
        <v>46004</v>
      </c>
      <c r="D687" t="inlineStr">
        <is>
          <t>STOCKHOLMS LÄN</t>
        </is>
      </c>
      <c r="E687" t="inlineStr">
        <is>
          <t>NORRTÄLJE</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5665-2025</t>
        </is>
      </c>
      <c r="B688" s="1" t="n">
        <v>45693</v>
      </c>
      <c r="C688" s="1" t="n">
        <v>46004</v>
      </c>
      <c r="D688" t="inlineStr">
        <is>
          <t>STOCKHOLMS LÄN</t>
        </is>
      </c>
      <c r="E688" t="inlineStr">
        <is>
          <t>NORRTÄLJE</t>
        </is>
      </c>
      <c r="G688" t="n">
        <v>4</v>
      </c>
      <c r="H688" t="n">
        <v>0</v>
      </c>
      <c r="I688" t="n">
        <v>0</v>
      </c>
      <c r="J688" t="n">
        <v>0</v>
      </c>
      <c r="K688" t="n">
        <v>0</v>
      </c>
      <c r="L688" t="n">
        <v>0</v>
      </c>
      <c r="M688" t="n">
        <v>0</v>
      </c>
      <c r="N688" t="n">
        <v>0</v>
      </c>
      <c r="O688" t="n">
        <v>0</v>
      </c>
      <c r="P688" t="n">
        <v>0</v>
      </c>
      <c r="Q688" t="n">
        <v>0</v>
      </c>
      <c r="R688" s="2" t="inlineStr"/>
    </row>
    <row r="689" ht="15" customHeight="1">
      <c r="A689" t="inlineStr">
        <is>
          <t>A 3426-2025</t>
        </is>
      </c>
      <c r="B689" s="1" t="n">
        <v>45680.42665509259</v>
      </c>
      <c r="C689" s="1" t="n">
        <v>46004</v>
      </c>
      <c r="D689" t="inlineStr">
        <is>
          <t>STOCKHOLMS LÄN</t>
        </is>
      </c>
      <c r="E689" t="inlineStr">
        <is>
          <t>NORRTÄLJE</t>
        </is>
      </c>
      <c r="G689" t="n">
        <v>3.2</v>
      </c>
      <c r="H689" t="n">
        <v>0</v>
      </c>
      <c r="I689" t="n">
        <v>0</v>
      </c>
      <c r="J689" t="n">
        <v>0</v>
      </c>
      <c r="K689" t="n">
        <v>0</v>
      </c>
      <c r="L689" t="n">
        <v>0</v>
      </c>
      <c r="M689" t="n">
        <v>0</v>
      </c>
      <c r="N689" t="n">
        <v>0</v>
      </c>
      <c r="O689" t="n">
        <v>0</v>
      </c>
      <c r="P689" t="n">
        <v>0</v>
      </c>
      <c r="Q689" t="n">
        <v>0</v>
      </c>
      <c r="R689" s="2" t="inlineStr"/>
    </row>
    <row r="690" ht="15" customHeight="1">
      <c r="A690" t="inlineStr">
        <is>
          <t>A 16008-2025</t>
        </is>
      </c>
      <c r="B690" s="1" t="n">
        <v>45749</v>
      </c>
      <c r="C690" s="1" t="n">
        <v>46004</v>
      </c>
      <c r="D690" t="inlineStr">
        <is>
          <t>STOCKHOLMS LÄN</t>
        </is>
      </c>
      <c r="E690" t="inlineStr">
        <is>
          <t>NORRTÄLJE</t>
        </is>
      </c>
      <c r="F690" t="inlineStr">
        <is>
          <t>Holmen skog AB</t>
        </is>
      </c>
      <c r="G690" t="n">
        <v>0.9</v>
      </c>
      <c r="H690" t="n">
        <v>0</v>
      </c>
      <c r="I690" t="n">
        <v>0</v>
      </c>
      <c r="J690" t="n">
        <v>0</v>
      </c>
      <c r="K690" t="n">
        <v>0</v>
      </c>
      <c r="L690" t="n">
        <v>0</v>
      </c>
      <c r="M690" t="n">
        <v>0</v>
      </c>
      <c r="N690" t="n">
        <v>0</v>
      </c>
      <c r="O690" t="n">
        <v>0</v>
      </c>
      <c r="P690" t="n">
        <v>0</v>
      </c>
      <c r="Q690" t="n">
        <v>0</v>
      </c>
      <c r="R690" s="2" t="inlineStr"/>
    </row>
    <row r="691" ht="15" customHeight="1">
      <c r="A691" t="inlineStr">
        <is>
          <t>A 30802-2022</t>
        </is>
      </c>
      <c r="B691" s="1" t="n">
        <v>44764</v>
      </c>
      <c r="C691" s="1" t="n">
        <v>46004</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65499-2021</t>
        </is>
      </c>
      <c r="B692" s="1" t="n">
        <v>44516</v>
      </c>
      <c r="C692" s="1" t="n">
        <v>46004</v>
      </c>
      <c r="D692" t="inlineStr">
        <is>
          <t>STOCKHOLMS LÄN</t>
        </is>
      </c>
      <c r="E692" t="inlineStr">
        <is>
          <t>NORRTÄLJE</t>
        </is>
      </c>
      <c r="F692" t="inlineStr">
        <is>
          <t>Kommuner</t>
        </is>
      </c>
      <c r="G692" t="n">
        <v>5.2</v>
      </c>
      <c r="H692" t="n">
        <v>0</v>
      </c>
      <c r="I692" t="n">
        <v>0</v>
      </c>
      <c r="J692" t="n">
        <v>0</v>
      </c>
      <c r="K692" t="n">
        <v>0</v>
      </c>
      <c r="L692" t="n">
        <v>0</v>
      </c>
      <c r="M692" t="n">
        <v>0</v>
      </c>
      <c r="N692" t="n">
        <v>0</v>
      </c>
      <c r="O692" t="n">
        <v>0</v>
      </c>
      <c r="P692" t="n">
        <v>0</v>
      </c>
      <c r="Q692" t="n">
        <v>0</v>
      </c>
      <c r="R692" s="2" t="inlineStr"/>
    </row>
    <row r="693" ht="15" customHeight="1">
      <c r="A693" t="inlineStr">
        <is>
          <t>A 21158-2022</t>
        </is>
      </c>
      <c r="B693" s="1" t="n">
        <v>44704</v>
      </c>
      <c r="C693" s="1" t="n">
        <v>46004</v>
      </c>
      <c r="D693" t="inlineStr">
        <is>
          <t>STOCKHOLMS LÄN</t>
        </is>
      </c>
      <c r="E693" t="inlineStr">
        <is>
          <t>NORRTÄLJE</t>
        </is>
      </c>
      <c r="G693" t="n">
        <v>17.8</v>
      </c>
      <c r="H693" t="n">
        <v>0</v>
      </c>
      <c r="I693" t="n">
        <v>0</v>
      </c>
      <c r="J693" t="n">
        <v>0</v>
      </c>
      <c r="K693" t="n">
        <v>0</v>
      </c>
      <c r="L693" t="n">
        <v>0</v>
      </c>
      <c r="M693" t="n">
        <v>0</v>
      </c>
      <c r="N693" t="n">
        <v>0</v>
      </c>
      <c r="O693" t="n">
        <v>0</v>
      </c>
      <c r="P693" t="n">
        <v>0</v>
      </c>
      <c r="Q693" t="n">
        <v>0</v>
      </c>
      <c r="R693" s="2" t="inlineStr"/>
    </row>
    <row r="694" ht="15" customHeight="1">
      <c r="A694" t="inlineStr">
        <is>
          <t>A 55369-2023</t>
        </is>
      </c>
      <c r="B694" s="1" t="n">
        <v>45238</v>
      </c>
      <c r="C694" s="1" t="n">
        <v>46004</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58530-2024</t>
        </is>
      </c>
      <c r="B695" s="1" t="n">
        <v>45635.44788194444</v>
      </c>
      <c r="C695" s="1" t="n">
        <v>46004</v>
      </c>
      <c r="D695" t="inlineStr">
        <is>
          <t>STOCKHOLMS LÄN</t>
        </is>
      </c>
      <c r="E695" t="inlineStr">
        <is>
          <t>NORRTÄLJE</t>
        </is>
      </c>
      <c r="G695" t="n">
        <v>4.5</v>
      </c>
      <c r="H695" t="n">
        <v>0</v>
      </c>
      <c r="I695" t="n">
        <v>0</v>
      </c>
      <c r="J695" t="n">
        <v>0</v>
      </c>
      <c r="K695" t="n">
        <v>0</v>
      </c>
      <c r="L695" t="n">
        <v>0</v>
      </c>
      <c r="M695" t="n">
        <v>0</v>
      </c>
      <c r="N695" t="n">
        <v>0</v>
      </c>
      <c r="O695" t="n">
        <v>0</v>
      </c>
      <c r="P695" t="n">
        <v>0</v>
      </c>
      <c r="Q695" t="n">
        <v>0</v>
      </c>
      <c r="R695" s="2" t="inlineStr"/>
    </row>
    <row r="696" ht="15" customHeight="1">
      <c r="A696" t="inlineStr">
        <is>
          <t>A 22421-2021</t>
        </is>
      </c>
      <c r="B696" s="1" t="n">
        <v>44326</v>
      </c>
      <c r="C696" s="1" t="n">
        <v>46004</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61113-2023</t>
        </is>
      </c>
      <c r="B697" s="1" t="n">
        <v>45261</v>
      </c>
      <c r="C697" s="1" t="n">
        <v>46004</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3283-2025</t>
        </is>
      </c>
      <c r="B698" s="1" t="n">
        <v>45679</v>
      </c>
      <c r="C698" s="1" t="n">
        <v>46004</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32101-2022</t>
        </is>
      </c>
      <c r="B699" s="1" t="n">
        <v>44778.69210648148</v>
      </c>
      <c r="C699" s="1" t="n">
        <v>46004</v>
      </c>
      <c r="D699" t="inlineStr">
        <is>
          <t>STOCKHOLMS LÄN</t>
        </is>
      </c>
      <c r="E699" t="inlineStr">
        <is>
          <t>NORRTÄLJE</t>
        </is>
      </c>
      <c r="G699" t="n">
        <v>4.4</v>
      </c>
      <c r="H699" t="n">
        <v>0</v>
      </c>
      <c r="I699" t="n">
        <v>0</v>
      </c>
      <c r="J699" t="n">
        <v>0</v>
      </c>
      <c r="K699" t="n">
        <v>0</v>
      </c>
      <c r="L699" t="n">
        <v>0</v>
      </c>
      <c r="M699" t="n">
        <v>0</v>
      </c>
      <c r="N699" t="n">
        <v>0</v>
      </c>
      <c r="O699" t="n">
        <v>0</v>
      </c>
      <c r="P699" t="n">
        <v>0</v>
      </c>
      <c r="Q699" t="n">
        <v>0</v>
      </c>
      <c r="R699" s="2" t="inlineStr"/>
    </row>
    <row r="700" ht="15" customHeight="1">
      <c r="A700" t="inlineStr">
        <is>
          <t>A 34295-2024</t>
        </is>
      </c>
      <c r="B700" s="1" t="n">
        <v>45524</v>
      </c>
      <c r="C700" s="1" t="n">
        <v>46004</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40761-2024</t>
        </is>
      </c>
      <c r="B701" s="1" t="n">
        <v>45558.46283564815</v>
      </c>
      <c r="C701" s="1" t="n">
        <v>46004</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58311-2023</t>
        </is>
      </c>
      <c r="B702" s="1" t="n">
        <v>45245</v>
      </c>
      <c r="C702" s="1" t="n">
        <v>46004</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23692-2024</t>
        </is>
      </c>
      <c r="B703" s="1" t="n">
        <v>45454.65774305556</v>
      </c>
      <c r="C703" s="1" t="n">
        <v>46004</v>
      </c>
      <c r="D703" t="inlineStr">
        <is>
          <t>STOCKHOLMS LÄN</t>
        </is>
      </c>
      <c r="E703" t="inlineStr">
        <is>
          <t>NORRTÄLJE</t>
        </is>
      </c>
      <c r="G703" t="n">
        <v>3.7</v>
      </c>
      <c r="H703" t="n">
        <v>0</v>
      </c>
      <c r="I703" t="n">
        <v>0</v>
      </c>
      <c r="J703" t="n">
        <v>0</v>
      </c>
      <c r="K703" t="n">
        <v>0</v>
      </c>
      <c r="L703" t="n">
        <v>0</v>
      </c>
      <c r="M703" t="n">
        <v>0</v>
      </c>
      <c r="N703" t="n">
        <v>0</v>
      </c>
      <c r="O703" t="n">
        <v>0</v>
      </c>
      <c r="P703" t="n">
        <v>0</v>
      </c>
      <c r="Q703" t="n">
        <v>0</v>
      </c>
      <c r="R703" s="2" t="inlineStr"/>
    </row>
    <row r="704" ht="15" customHeight="1">
      <c r="A704" t="inlineStr">
        <is>
          <t>A 23150-2024</t>
        </is>
      </c>
      <c r="B704" s="1" t="n">
        <v>45450.64643518518</v>
      </c>
      <c r="C704" s="1" t="n">
        <v>46004</v>
      </c>
      <c r="D704" t="inlineStr">
        <is>
          <t>STOCKHOLMS LÄN</t>
        </is>
      </c>
      <c r="E704" t="inlineStr">
        <is>
          <t>NORRTÄLJE</t>
        </is>
      </c>
      <c r="F704" t="inlineStr">
        <is>
          <t>Kommuner</t>
        </is>
      </c>
      <c r="G704" t="n">
        <v>2.7</v>
      </c>
      <c r="H704" t="n">
        <v>0</v>
      </c>
      <c r="I704" t="n">
        <v>0</v>
      </c>
      <c r="J704" t="n">
        <v>0</v>
      </c>
      <c r="K704" t="n">
        <v>0</v>
      </c>
      <c r="L704" t="n">
        <v>0</v>
      </c>
      <c r="M704" t="n">
        <v>0</v>
      </c>
      <c r="N704" t="n">
        <v>0</v>
      </c>
      <c r="O704" t="n">
        <v>0</v>
      </c>
      <c r="P704" t="n">
        <v>0</v>
      </c>
      <c r="Q704" t="n">
        <v>0</v>
      </c>
      <c r="R704" s="2" t="inlineStr"/>
    </row>
    <row r="705" ht="15" customHeight="1">
      <c r="A705" t="inlineStr">
        <is>
          <t>A 24933-2023</t>
        </is>
      </c>
      <c r="B705" s="1" t="n">
        <v>45085.5309375</v>
      </c>
      <c r="C705" s="1" t="n">
        <v>46004</v>
      </c>
      <c r="D705" t="inlineStr">
        <is>
          <t>STOCKHOLMS LÄN</t>
        </is>
      </c>
      <c r="E705" t="inlineStr">
        <is>
          <t>NORRTÄLJE</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20473-2021</t>
        </is>
      </c>
      <c r="B706" s="1" t="n">
        <v>44315</v>
      </c>
      <c r="C706" s="1" t="n">
        <v>46004</v>
      </c>
      <c r="D706" t="inlineStr">
        <is>
          <t>STOCKHOLMS LÄN</t>
        </is>
      </c>
      <c r="E706" t="inlineStr">
        <is>
          <t>NORRTÄLJE</t>
        </is>
      </c>
      <c r="F706" t="inlineStr">
        <is>
          <t>Övriga Aktiebolag</t>
        </is>
      </c>
      <c r="G706" t="n">
        <v>3.6</v>
      </c>
      <c r="H706" t="n">
        <v>0</v>
      </c>
      <c r="I706" t="n">
        <v>0</v>
      </c>
      <c r="J706" t="n">
        <v>0</v>
      </c>
      <c r="K706" t="n">
        <v>0</v>
      </c>
      <c r="L706" t="n">
        <v>0</v>
      </c>
      <c r="M706" t="n">
        <v>0</v>
      </c>
      <c r="N706" t="n">
        <v>0</v>
      </c>
      <c r="O706" t="n">
        <v>0</v>
      </c>
      <c r="P706" t="n">
        <v>0</v>
      </c>
      <c r="Q706" t="n">
        <v>0</v>
      </c>
      <c r="R706" s="2" t="inlineStr"/>
    </row>
    <row r="707" ht="15" customHeight="1">
      <c r="A707" t="inlineStr">
        <is>
          <t>A 38720-2025</t>
        </is>
      </c>
      <c r="B707" s="1" t="n">
        <v>45886</v>
      </c>
      <c r="C707" s="1" t="n">
        <v>46004</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4553-2023</t>
        </is>
      </c>
      <c r="B708" s="1" t="n">
        <v>44956.65920138889</v>
      </c>
      <c r="C708" s="1" t="n">
        <v>46004</v>
      </c>
      <c r="D708" t="inlineStr">
        <is>
          <t>STOCKHOLMS LÄN</t>
        </is>
      </c>
      <c r="E708" t="inlineStr">
        <is>
          <t>NORRTÄLJE</t>
        </is>
      </c>
      <c r="G708" t="n">
        <v>7.5</v>
      </c>
      <c r="H708" t="n">
        <v>0</v>
      </c>
      <c r="I708" t="n">
        <v>0</v>
      </c>
      <c r="J708" t="n">
        <v>0</v>
      </c>
      <c r="K708" t="n">
        <v>0</v>
      </c>
      <c r="L708" t="n">
        <v>0</v>
      </c>
      <c r="M708" t="n">
        <v>0</v>
      </c>
      <c r="N708" t="n">
        <v>0</v>
      </c>
      <c r="O708" t="n">
        <v>0</v>
      </c>
      <c r="P708" t="n">
        <v>0</v>
      </c>
      <c r="Q708" t="n">
        <v>0</v>
      </c>
      <c r="R708" s="2" t="inlineStr"/>
    </row>
    <row r="709" ht="15" customHeight="1">
      <c r="A709" t="inlineStr">
        <is>
          <t>A 4593-2023</t>
        </is>
      </c>
      <c r="B709" s="1" t="n">
        <v>44956</v>
      </c>
      <c r="C709" s="1" t="n">
        <v>46004</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13171-2025</t>
        </is>
      </c>
      <c r="B710" s="1" t="n">
        <v>45735.36594907408</v>
      </c>
      <c r="C710" s="1" t="n">
        <v>46004</v>
      </c>
      <c r="D710" t="inlineStr">
        <is>
          <t>STOCKHOLMS LÄN</t>
        </is>
      </c>
      <c r="E710" t="inlineStr">
        <is>
          <t>NORRTÄLJE</t>
        </is>
      </c>
      <c r="G710" t="n">
        <v>5.1</v>
      </c>
      <c r="H710" t="n">
        <v>0</v>
      </c>
      <c r="I710" t="n">
        <v>0</v>
      </c>
      <c r="J710" t="n">
        <v>0</v>
      </c>
      <c r="K710" t="n">
        <v>0</v>
      </c>
      <c r="L710" t="n">
        <v>0</v>
      </c>
      <c r="M710" t="n">
        <v>0</v>
      </c>
      <c r="N710" t="n">
        <v>0</v>
      </c>
      <c r="O710" t="n">
        <v>0</v>
      </c>
      <c r="P710" t="n">
        <v>0</v>
      </c>
      <c r="Q710" t="n">
        <v>0</v>
      </c>
      <c r="R710" s="2" t="inlineStr"/>
    </row>
    <row r="711" ht="15" customHeight="1">
      <c r="A711" t="inlineStr">
        <is>
          <t>A 56631-2024</t>
        </is>
      </c>
      <c r="B711" s="1" t="n">
        <v>45625</v>
      </c>
      <c r="C711" s="1" t="n">
        <v>46004</v>
      </c>
      <c r="D711" t="inlineStr">
        <is>
          <t>STOCKHOLMS LÄN</t>
        </is>
      </c>
      <c r="E711" t="inlineStr">
        <is>
          <t>NORRTÄLJE</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54273-2021</t>
        </is>
      </c>
      <c r="B712" s="1" t="n">
        <v>44470.72987268519</v>
      </c>
      <c r="C712" s="1" t="n">
        <v>46004</v>
      </c>
      <c r="D712" t="inlineStr">
        <is>
          <t>STOCKHOLMS LÄN</t>
        </is>
      </c>
      <c r="E712" t="inlineStr">
        <is>
          <t>NORRTÄLJE</t>
        </is>
      </c>
      <c r="G712" t="n">
        <v>2.7</v>
      </c>
      <c r="H712" t="n">
        <v>0</v>
      </c>
      <c r="I712" t="n">
        <v>0</v>
      </c>
      <c r="J712" t="n">
        <v>0</v>
      </c>
      <c r="K712" t="n">
        <v>0</v>
      </c>
      <c r="L712" t="n">
        <v>0</v>
      </c>
      <c r="M712" t="n">
        <v>0</v>
      </c>
      <c r="N712" t="n">
        <v>0</v>
      </c>
      <c r="O712" t="n">
        <v>0</v>
      </c>
      <c r="P712" t="n">
        <v>0</v>
      </c>
      <c r="Q712" t="n">
        <v>0</v>
      </c>
      <c r="R712" s="2" t="inlineStr"/>
    </row>
    <row r="713" ht="15" customHeight="1">
      <c r="A713" t="inlineStr">
        <is>
          <t>A 51978-2023</t>
        </is>
      </c>
      <c r="B713" s="1" t="n">
        <v>45223</v>
      </c>
      <c r="C713" s="1" t="n">
        <v>46004</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18092-2022</t>
        </is>
      </c>
      <c r="B714" s="1" t="n">
        <v>44684</v>
      </c>
      <c r="C714" s="1" t="n">
        <v>46004</v>
      </c>
      <c r="D714" t="inlineStr">
        <is>
          <t>STOCKHOLMS LÄN</t>
        </is>
      </c>
      <c r="E714" t="inlineStr">
        <is>
          <t>NORRTÄLJE</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652-2025</t>
        </is>
      </c>
      <c r="B715" s="1" t="n">
        <v>45664</v>
      </c>
      <c r="C715" s="1" t="n">
        <v>46004</v>
      </c>
      <c r="D715" t="inlineStr">
        <is>
          <t>STOCKHOLMS LÄN</t>
        </is>
      </c>
      <c r="E715" t="inlineStr">
        <is>
          <t>NORRTÄLJE</t>
        </is>
      </c>
      <c r="G715" t="n">
        <v>2.5</v>
      </c>
      <c r="H715" t="n">
        <v>0</v>
      </c>
      <c r="I715" t="n">
        <v>0</v>
      </c>
      <c r="J715" t="n">
        <v>0</v>
      </c>
      <c r="K715" t="n">
        <v>0</v>
      </c>
      <c r="L715" t="n">
        <v>0</v>
      </c>
      <c r="M715" t="n">
        <v>0</v>
      </c>
      <c r="N715" t="n">
        <v>0</v>
      </c>
      <c r="O715" t="n">
        <v>0</v>
      </c>
      <c r="P715" t="n">
        <v>0</v>
      </c>
      <c r="Q715" t="n">
        <v>0</v>
      </c>
      <c r="R715" s="2" t="inlineStr"/>
    </row>
    <row r="716" ht="15" customHeight="1">
      <c r="A716" t="inlineStr">
        <is>
          <t>A 59310-2023</t>
        </is>
      </c>
      <c r="B716" s="1" t="n">
        <v>45253.61146990741</v>
      </c>
      <c r="C716" s="1" t="n">
        <v>46004</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9329-2023</t>
        </is>
      </c>
      <c r="B717" s="1" t="n">
        <v>44980</v>
      </c>
      <c r="C717" s="1" t="n">
        <v>46004</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59878-2024</t>
        </is>
      </c>
      <c r="B718" s="1" t="n">
        <v>45640.60240740741</v>
      </c>
      <c r="C718" s="1" t="n">
        <v>46004</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7806-2025</t>
        </is>
      </c>
      <c r="B719" s="1" t="n">
        <v>45706.61178240741</v>
      </c>
      <c r="C719" s="1" t="n">
        <v>46004</v>
      </c>
      <c r="D719" t="inlineStr">
        <is>
          <t>STOCKHOLMS LÄN</t>
        </is>
      </c>
      <c r="E719" t="inlineStr">
        <is>
          <t>NORRTÄLJE</t>
        </is>
      </c>
      <c r="F719" t="inlineStr">
        <is>
          <t>Holmen skog AB</t>
        </is>
      </c>
      <c r="G719" t="n">
        <v>3.5</v>
      </c>
      <c r="H719" t="n">
        <v>0</v>
      </c>
      <c r="I719" t="n">
        <v>0</v>
      </c>
      <c r="J719" t="n">
        <v>0</v>
      </c>
      <c r="K719" t="n">
        <v>0</v>
      </c>
      <c r="L719" t="n">
        <v>0</v>
      </c>
      <c r="M719" t="n">
        <v>0</v>
      </c>
      <c r="N719" t="n">
        <v>0</v>
      </c>
      <c r="O719" t="n">
        <v>0</v>
      </c>
      <c r="P719" t="n">
        <v>0</v>
      </c>
      <c r="Q719" t="n">
        <v>0</v>
      </c>
      <c r="R719" s="2" t="inlineStr"/>
    </row>
    <row r="720" ht="15" customHeight="1">
      <c r="A720" t="inlineStr">
        <is>
          <t>A 41335-2023</t>
        </is>
      </c>
      <c r="B720" s="1" t="n">
        <v>45174.68702546296</v>
      </c>
      <c r="C720" s="1" t="n">
        <v>46004</v>
      </c>
      <c r="D720" t="inlineStr">
        <is>
          <t>STOCKHOLMS LÄN</t>
        </is>
      </c>
      <c r="E720" t="inlineStr">
        <is>
          <t>NORRTÄLJE</t>
        </is>
      </c>
      <c r="F720" t="inlineStr">
        <is>
          <t>Holmen skog AB</t>
        </is>
      </c>
      <c r="G720" t="n">
        <v>4.4</v>
      </c>
      <c r="H720" t="n">
        <v>0</v>
      </c>
      <c r="I720" t="n">
        <v>0</v>
      </c>
      <c r="J720" t="n">
        <v>0</v>
      </c>
      <c r="K720" t="n">
        <v>0</v>
      </c>
      <c r="L720" t="n">
        <v>0</v>
      </c>
      <c r="M720" t="n">
        <v>0</v>
      </c>
      <c r="N720" t="n">
        <v>0</v>
      </c>
      <c r="O720" t="n">
        <v>0</v>
      </c>
      <c r="P720" t="n">
        <v>0</v>
      </c>
      <c r="Q720" t="n">
        <v>0</v>
      </c>
      <c r="R720" s="2" t="inlineStr"/>
    </row>
    <row r="721" ht="15" customHeight="1">
      <c r="A721" t="inlineStr">
        <is>
          <t>A 33040-2021</t>
        </is>
      </c>
      <c r="B721" s="1" t="n">
        <v>44376.50728009259</v>
      </c>
      <c r="C721" s="1" t="n">
        <v>46004</v>
      </c>
      <c r="D721" t="inlineStr">
        <is>
          <t>STOCKHOLMS LÄN</t>
        </is>
      </c>
      <c r="E721" t="inlineStr">
        <is>
          <t>NORRTÄLJE</t>
        </is>
      </c>
      <c r="G721" t="n">
        <v>2.7</v>
      </c>
      <c r="H721" t="n">
        <v>0</v>
      </c>
      <c r="I721" t="n">
        <v>0</v>
      </c>
      <c r="J721" t="n">
        <v>0</v>
      </c>
      <c r="K721" t="n">
        <v>0</v>
      </c>
      <c r="L721" t="n">
        <v>0</v>
      </c>
      <c r="M721" t="n">
        <v>0</v>
      </c>
      <c r="N721" t="n">
        <v>0</v>
      </c>
      <c r="O721" t="n">
        <v>0</v>
      </c>
      <c r="P721" t="n">
        <v>0</v>
      </c>
      <c r="Q721" t="n">
        <v>0</v>
      </c>
      <c r="R721" s="2" t="inlineStr"/>
    </row>
    <row r="722" ht="15" customHeight="1">
      <c r="A722" t="inlineStr">
        <is>
          <t>A 33053-2021</t>
        </is>
      </c>
      <c r="B722" s="1" t="n">
        <v>44376</v>
      </c>
      <c r="C722" s="1" t="n">
        <v>46004</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43150-2023</t>
        </is>
      </c>
      <c r="B723" s="1" t="n">
        <v>45183</v>
      </c>
      <c r="C723" s="1" t="n">
        <v>46004</v>
      </c>
      <c r="D723" t="inlineStr">
        <is>
          <t>STOCKHOLMS LÄN</t>
        </is>
      </c>
      <c r="E723" t="inlineStr">
        <is>
          <t>NORRTÄLJE</t>
        </is>
      </c>
      <c r="G723" t="n">
        <v>2.4</v>
      </c>
      <c r="H723" t="n">
        <v>0</v>
      </c>
      <c r="I723" t="n">
        <v>0</v>
      </c>
      <c r="J723" t="n">
        <v>0</v>
      </c>
      <c r="K723" t="n">
        <v>0</v>
      </c>
      <c r="L723" t="n">
        <v>0</v>
      </c>
      <c r="M723" t="n">
        <v>0</v>
      </c>
      <c r="N723" t="n">
        <v>0</v>
      </c>
      <c r="O723" t="n">
        <v>0</v>
      </c>
      <c r="P723" t="n">
        <v>0</v>
      </c>
      <c r="Q723" t="n">
        <v>0</v>
      </c>
      <c r="R723" s="2" t="inlineStr"/>
    </row>
    <row r="724" ht="15" customHeight="1">
      <c r="A724" t="inlineStr">
        <is>
          <t>A 53792-2023</t>
        </is>
      </c>
      <c r="B724" s="1" t="n">
        <v>45231.34144675926</v>
      </c>
      <c r="C724" s="1" t="n">
        <v>46004</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5950-2021</t>
        </is>
      </c>
      <c r="B725" s="1" t="n">
        <v>44231</v>
      </c>
      <c r="C725" s="1" t="n">
        <v>46004</v>
      </c>
      <c r="D725" t="inlineStr">
        <is>
          <t>STOCKHOLMS LÄN</t>
        </is>
      </c>
      <c r="E725" t="inlineStr">
        <is>
          <t>NORRTÄLJE</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54259-2023</t>
        </is>
      </c>
      <c r="B726" s="1" t="n">
        <v>45232</v>
      </c>
      <c r="C726" s="1" t="n">
        <v>46004</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21329-2022</t>
        </is>
      </c>
      <c r="B727" s="1" t="n">
        <v>44705.60626157407</v>
      </c>
      <c r="C727" s="1" t="n">
        <v>46004</v>
      </c>
      <c r="D727" t="inlineStr">
        <is>
          <t>STOCKHOLMS LÄN</t>
        </is>
      </c>
      <c r="E727" t="inlineStr">
        <is>
          <t>NORRTÄLJE</t>
        </is>
      </c>
      <c r="G727" t="n">
        <v>4.1</v>
      </c>
      <c r="H727" t="n">
        <v>0</v>
      </c>
      <c r="I727" t="n">
        <v>0</v>
      </c>
      <c r="J727" t="n">
        <v>0</v>
      </c>
      <c r="K727" t="n">
        <v>0</v>
      </c>
      <c r="L727" t="n">
        <v>0</v>
      </c>
      <c r="M727" t="n">
        <v>0</v>
      </c>
      <c r="N727" t="n">
        <v>0</v>
      </c>
      <c r="O727" t="n">
        <v>0</v>
      </c>
      <c r="P727" t="n">
        <v>0</v>
      </c>
      <c r="Q727" t="n">
        <v>0</v>
      </c>
      <c r="R727" s="2" t="inlineStr"/>
    </row>
    <row r="728" ht="15" customHeight="1">
      <c r="A728" t="inlineStr">
        <is>
          <t>A 38593-2025</t>
        </is>
      </c>
      <c r="B728" s="1" t="n">
        <v>45884.48696759259</v>
      </c>
      <c r="C728" s="1" t="n">
        <v>46004</v>
      </c>
      <c r="D728" t="inlineStr">
        <is>
          <t>STOCKHOLMS LÄN</t>
        </is>
      </c>
      <c r="E728" t="inlineStr">
        <is>
          <t>NORRTÄLJE</t>
        </is>
      </c>
      <c r="G728" t="n">
        <v>3</v>
      </c>
      <c r="H728" t="n">
        <v>0</v>
      </c>
      <c r="I728" t="n">
        <v>0</v>
      </c>
      <c r="J728" t="n">
        <v>0</v>
      </c>
      <c r="K728" t="n">
        <v>0</v>
      </c>
      <c r="L728" t="n">
        <v>0</v>
      </c>
      <c r="M728" t="n">
        <v>0</v>
      </c>
      <c r="N728" t="n">
        <v>0</v>
      </c>
      <c r="O728" t="n">
        <v>0</v>
      </c>
      <c r="P728" t="n">
        <v>0</v>
      </c>
      <c r="Q728" t="n">
        <v>0</v>
      </c>
      <c r="R728" s="2" t="inlineStr"/>
    </row>
    <row r="729" ht="15" customHeight="1">
      <c r="A729" t="inlineStr">
        <is>
          <t>A 50569-2022</t>
        </is>
      </c>
      <c r="B729" s="1" t="n">
        <v>44866.63775462963</v>
      </c>
      <c r="C729" s="1" t="n">
        <v>46004</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60822-2023</t>
        </is>
      </c>
      <c r="B730" s="1" t="n">
        <v>45259</v>
      </c>
      <c r="C730" s="1" t="n">
        <v>46004</v>
      </c>
      <c r="D730" t="inlineStr">
        <is>
          <t>STOCKHOLMS LÄN</t>
        </is>
      </c>
      <c r="E730" t="inlineStr">
        <is>
          <t>NORRTÄLJE</t>
        </is>
      </c>
      <c r="G730" t="n">
        <v>5.2</v>
      </c>
      <c r="H730" t="n">
        <v>0</v>
      </c>
      <c r="I730" t="n">
        <v>0</v>
      </c>
      <c r="J730" t="n">
        <v>0</v>
      </c>
      <c r="K730" t="n">
        <v>0</v>
      </c>
      <c r="L730" t="n">
        <v>0</v>
      </c>
      <c r="M730" t="n">
        <v>0</v>
      </c>
      <c r="N730" t="n">
        <v>0</v>
      </c>
      <c r="O730" t="n">
        <v>0</v>
      </c>
      <c r="P730" t="n">
        <v>0</v>
      </c>
      <c r="Q730" t="n">
        <v>0</v>
      </c>
      <c r="R730" s="2" t="inlineStr"/>
    </row>
    <row r="731" ht="15" customHeight="1">
      <c r="A731" t="inlineStr">
        <is>
          <t>A 24501-2023</t>
        </is>
      </c>
      <c r="B731" s="1" t="n">
        <v>45082</v>
      </c>
      <c r="C731" s="1" t="n">
        <v>46004</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24520-2023</t>
        </is>
      </c>
      <c r="B732" s="1" t="n">
        <v>45082.68922453704</v>
      </c>
      <c r="C732" s="1" t="n">
        <v>46004</v>
      </c>
      <c r="D732" t="inlineStr">
        <is>
          <t>STOCKHOLMS LÄN</t>
        </is>
      </c>
      <c r="E732" t="inlineStr">
        <is>
          <t>NORRTÄLJE</t>
        </is>
      </c>
      <c r="G732" t="n">
        <v>4.3</v>
      </c>
      <c r="H732" t="n">
        <v>0</v>
      </c>
      <c r="I732" t="n">
        <v>0</v>
      </c>
      <c r="J732" t="n">
        <v>0</v>
      </c>
      <c r="K732" t="n">
        <v>0</v>
      </c>
      <c r="L732" t="n">
        <v>0</v>
      </c>
      <c r="M732" t="n">
        <v>0</v>
      </c>
      <c r="N732" t="n">
        <v>0</v>
      </c>
      <c r="O732" t="n">
        <v>0</v>
      </c>
      <c r="P732" t="n">
        <v>0</v>
      </c>
      <c r="Q732" t="n">
        <v>0</v>
      </c>
      <c r="R732" s="2" t="inlineStr"/>
    </row>
    <row r="733" ht="15" customHeight="1">
      <c r="A733" t="inlineStr">
        <is>
          <t>A 60654-2023</t>
        </is>
      </c>
      <c r="B733" s="1" t="n">
        <v>45260.43225694444</v>
      </c>
      <c r="C733" s="1" t="n">
        <v>46004</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60656-2023</t>
        </is>
      </c>
      <c r="B734" s="1" t="n">
        <v>45260.4333449074</v>
      </c>
      <c r="C734" s="1" t="n">
        <v>46004</v>
      </c>
      <c r="D734" t="inlineStr">
        <is>
          <t>STOCKHOLMS LÄN</t>
        </is>
      </c>
      <c r="E734" t="inlineStr">
        <is>
          <t>NORRTÄLJE</t>
        </is>
      </c>
      <c r="G734" t="n">
        <v>4.8</v>
      </c>
      <c r="H734" t="n">
        <v>0</v>
      </c>
      <c r="I734" t="n">
        <v>0</v>
      </c>
      <c r="J734" t="n">
        <v>0</v>
      </c>
      <c r="K734" t="n">
        <v>0</v>
      </c>
      <c r="L734" t="n">
        <v>0</v>
      </c>
      <c r="M734" t="n">
        <v>0</v>
      </c>
      <c r="N734" t="n">
        <v>0</v>
      </c>
      <c r="O734" t="n">
        <v>0</v>
      </c>
      <c r="P734" t="n">
        <v>0</v>
      </c>
      <c r="Q734" t="n">
        <v>0</v>
      </c>
      <c r="R734" s="2" t="inlineStr"/>
    </row>
    <row r="735" ht="15" customHeight="1">
      <c r="A735" t="inlineStr">
        <is>
          <t>A 54496-2024</t>
        </is>
      </c>
      <c r="B735" s="1" t="n">
        <v>45617.57439814815</v>
      </c>
      <c r="C735" s="1" t="n">
        <v>46004</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12031-2021</t>
        </is>
      </c>
      <c r="B736" s="1" t="n">
        <v>44266</v>
      </c>
      <c r="C736" s="1" t="n">
        <v>46004</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21386-2023</t>
        </is>
      </c>
      <c r="B737" s="1" t="n">
        <v>45063.35880787037</v>
      </c>
      <c r="C737" s="1" t="n">
        <v>46004</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10642-2025</t>
        </is>
      </c>
      <c r="B738" s="1" t="n">
        <v>45721.65858796296</v>
      </c>
      <c r="C738" s="1" t="n">
        <v>46004</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27381-2024</t>
        </is>
      </c>
      <c r="B739" s="1" t="n">
        <v>45473.94501157408</v>
      </c>
      <c r="C739" s="1" t="n">
        <v>46004</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27677-2025</t>
        </is>
      </c>
      <c r="B740" s="1" t="n">
        <v>45813.63650462963</v>
      </c>
      <c r="C740" s="1" t="n">
        <v>46004</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39152-2025</t>
        </is>
      </c>
      <c r="B741" s="1" t="n">
        <v>45888</v>
      </c>
      <c r="C741" s="1" t="n">
        <v>46004</v>
      </c>
      <c r="D741" t="inlineStr">
        <is>
          <t>STOCKHOLMS LÄN</t>
        </is>
      </c>
      <c r="E741" t="inlineStr">
        <is>
          <t>NORRTÄLJE</t>
        </is>
      </c>
      <c r="G741" t="n">
        <v>4.6</v>
      </c>
      <c r="H741" t="n">
        <v>0</v>
      </c>
      <c r="I741" t="n">
        <v>0</v>
      </c>
      <c r="J741" t="n">
        <v>0</v>
      </c>
      <c r="K741" t="n">
        <v>0</v>
      </c>
      <c r="L741" t="n">
        <v>0</v>
      </c>
      <c r="M741" t="n">
        <v>0</v>
      </c>
      <c r="N741" t="n">
        <v>0</v>
      </c>
      <c r="O741" t="n">
        <v>0</v>
      </c>
      <c r="P741" t="n">
        <v>0</v>
      </c>
      <c r="Q741" t="n">
        <v>0</v>
      </c>
      <c r="R741" s="2" t="inlineStr"/>
    </row>
    <row r="742" ht="15" customHeight="1">
      <c r="A742" t="inlineStr">
        <is>
          <t>A 20144-2023</t>
        </is>
      </c>
      <c r="B742" s="1" t="n">
        <v>45055.43509259259</v>
      </c>
      <c r="C742" s="1" t="n">
        <v>46004</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53312-2024</t>
        </is>
      </c>
      <c r="B743" s="1" t="n">
        <v>45614.39627314815</v>
      </c>
      <c r="C743" s="1" t="n">
        <v>46004</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23265-2023</t>
        </is>
      </c>
      <c r="B744" s="1" t="n">
        <v>45075.90703703704</v>
      </c>
      <c r="C744" s="1" t="n">
        <v>46004</v>
      </c>
      <c r="D744" t="inlineStr">
        <is>
          <t>STOCKHOLMS LÄN</t>
        </is>
      </c>
      <c r="E744" t="inlineStr">
        <is>
          <t>NORRTÄLJE</t>
        </is>
      </c>
      <c r="G744" t="n">
        <v>2.6</v>
      </c>
      <c r="H744" t="n">
        <v>0</v>
      </c>
      <c r="I744" t="n">
        <v>0</v>
      </c>
      <c r="J744" t="n">
        <v>0</v>
      </c>
      <c r="K744" t="n">
        <v>0</v>
      </c>
      <c r="L744" t="n">
        <v>0</v>
      </c>
      <c r="M744" t="n">
        <v>0</v>
      </c>
      <c r="N744" t="n">
        <v>0</v>
      </c>
      <c r="O744" t="n">
        <v>0</v>
      </c>
      <c r="P744" t="n">
        <v>0</v>
      </c>
      <c r="Q744" t="n">
        <v>0</v>
      </c>
      <c r="R744" s="2" t="inlineStr"/>
    </row>
    <row r="745" ht="15" customHeight="1">
      <c r="A745" t="inlineStr">
        <is>
          <t>A 26117-2024</t>
        </is>
      </c>
      <c r="B745" s="1" t="n">
        <v>45468.45877314815</v>
      </c>
      <c r="C745" s="1" t="n">
        <v>46004</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5389-2025</t>
        </is>
      </c>
      <c r="B746" s="1" t="n">
        <v>45692</v>
      </c>
      <c r="C746" s="1" t="n">
        <v>46004</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13051-2021</t>
        </is>
      </c>
      <c r="B747" s="1" t="n">
        <v>44272</v>
      </c>
      <c r="C747" s="1" t="n">
        <v>46004</v>
      </c>
      <c r="D747" t="inlineStr">
        <is>
          <t>STOCKHOLMS LÄN</t>
        </is>
      </c>
      <c r="E747" t="inlineStr">
        <is>
          <t>NORRTÄLJE</t>
        </is>
      </c>
      <c r="G747" t="n">
        <v>9.1</v>
      </c>
      <c r="H747" t="n">
        <v>0</v>
      </c>
      <c r="I747" t="n">
        <v>0</v>
      </c>
      <c r="J747" t="n">
        <v>0</v>
      </c>
      <c r="K747" t="n">
        <v>0</v>
      </c>
      <c r="L747" t="n">
        <v>0</v>
      </c>
      <c r="M747" t="n">
        <v>0</v>
      </c>
      <c r="N747" t="n">
        <v>0</v>
      </c>
      <c r="O747" t="n">
        <v>0</v>
      </c>
      <c r="P747" t="n">
        <v>0</v>
      </c>
      <c r="Q747" t="n">
        <v>0</v>
      </c>
      <c r="R747" s="2" t="inlineStr"/>
    </row>
    <row r="748" ht="15" customHeight="1">
      <c r="A748" t="inlineStr">
        <is>
          <t>A 39202-2024</t>
        </is>
      </c>
      <c r="B748" s="1" t="n">
        <v>45548.72306712963</v>
      </c>
      <c r="C748" s="1" t="n">
        <v>46004</v>
      </c>
      <c r="D748" t="inlineStr">
        <is>
          <t>STOCKHOLMS LÄN</t>
        </is>
      </c>
      <c r="E748" t="inlineStr">
        <is>
          <t>NORRTÄLJE</t>
        </is>
      </c>
      <c r="G748" t="n">
        <v>1.9</v>
      </c>
      <c r="H748" t="n">
        <v>0</v>
      </c>
      <c r="I748" t="n">
        <v>0</v>
      </c>
      <c r="J748" t="n">
        <v>0</v>
      </c>
      <c r="K748" t="n">
        <v>0</v>
      </c>
      <c r="L748" t="n">
        <v>0</v>
      </c>
      <c r="M748" t="n">
        <v>0</v>
      </c>
      <c r="N748" t="n">
        <v>0</v>
      </c>
      <c r="O748" t="n">
        <v>0</v>
      </c>
      <c r="P748" t="n">
        <v>0</v>
      </c>
      <c r="Q748" t="n">
        <v>0</v>
      </c>
      <c r="R748" s="2" t="inlineStr"/>
    </row>
    <row r="749" ht="15" customHeight="1">
      <c r="A749" t="inlineStr">
        <is>
          <t>A 39149-2025</t>
        </is>
      </c>
      <c r="B749" s="1" t="n">
        <v>45888.60714120371</v>
      </c>
      <c r="C749" s="1" t="n">
        <v>46004</v>
      </c>
      <c r="D749" t="inlineStr">
        <is>
          <t>STOCKHOLMS LÄN</t>
        </is>
      </c>
      <c r="E749" t="inlineStr">
        <is>
          <t>NORRTÄLJE</t>
        </is>
      </c>
      <c r="G749" t="n">
        <v>3.5</v>
      </c>
      <c r="H749" t="n">
        <v>0</v>
      </c>
      <c r="I749" t="n">
        <v>0</v>
      </c>
      <c r="J749" t="n">
        <v>0</v>
      </c>
      <c r="K749" t="n">
        <v>0</v>
      </c>
      <c r="L749" t="n">
        <v>0</v>
      </c>
      <c r="M749" t="n">
        <v>0</v>
      </c>
      <c r="N749" t="n">
        <v>0</v>
      </c>
      <c r="O749" t="n">
        <v>0</v>
      </c>
      <c r="P749" t="n">
        <v>0</v>
      </c>
      <c r="Q749" t="n">
        <v>0</v>
      </c>
      <c r="R749" s="2" t="inlineStr"/>
    </row>
    <row r="750" ht="15" customHeight="1">
      <c r="A750" t="inlineStr">
        <is>
          <t>A 22756-2022</t>
        </is>
      </c>
      <c r="B750" s="1" t="n">
        <v>44714.92253472222</v>
      </c>
      <c r="C750" s="1" t="n">
        <v>46004</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4581-2025</t>
        </is>
      </c>
      <c r="B751" s="1" t="n">
        <v>45687</v>
      </c>
      <c r="C751" s="1" t="n">
        <v>46004</v>
      </c>
      <c r="D751" t="inlineStr">
        <is>
          <t>STOCKHOLMS LÄN</t>
        </is>
      </c>
      <c r="E751" t="inlineStr">
        <is>
          <t>NORRTÄLJE</t>
        </is>
      </c>
      <c r="F751" t="inlineStr">
        <is>
          <t>Holmen skog AB</t>
        </is>
      </c>
      <c r="G751" t="n">
        <v>2.8</v>
      </c>
      <c r="H751" t="n">
        <v>0</v>
      </c>
      <c r="I751" t="n">
        <v>0</v>
      </c>
      <c r="J751" t="n">
        <v>0</v>
      </c>
      <c r="K751" t="n">
        <v>0</v>
      </c>
      <c r="L751" t="n">
        <v>0</v>
      </c>
      <c r="M751" t="n">
        <v>0</v>
      </c>
      <c r="N751" t="n">
        <v>0</v>
      </c>
      <c r="O751" t="n">
        <v>0</v>
      </c>
      <c r="P751" t="n">
        <v>0</v>
      </c>
      <c r="Q751" t="n">
        <v>0</v>
      </c>
      <c r="R751" s="2" t="inlineStr"/>
    </row>
    <row r="752" ht="15" customHeight="1">
      <c r="A752" t="inlineStr">
        <is>
          <t>A 20336-2024</t>
        </is>
      </c>
      <c r="B752" s="1" t="n">
        <v>45435.43123842592</v>
      </c>
      <c r="C752" s="1" t="n">
        <v>46004</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60765-2023</t>
        </is>
      </c>
      <c r="B753" s="1" t="n">
        <v>45260</v>
      </c>
      <c r="C753" s="1" t="n">
        <v>46004</v>
      </c>
      <c r="D753" t="inlineStr">
        <is>
          <t>STOCKHOLMS LÄN</t>
        </is>
      </c>
      <c r="E753" t="inlineStr">
        <is>
          <t>NORRTÄLJE</t>
        </is>
      </c>
      <c r="G753" t="n">
        <v>3.7</v>
      </c>
      <c r="H753" t="n">
        <v>0</v>
      </c>
      <c r="I753" t="n">
        <v>0</v>
      </c>
      <c r="J753" t="n">
        <v>0</v>
      </c>
      <c r="K753" t="n">
        <v>0</v>
      </c>
      <c r="L753" t="n">
        <v>0</v>
      </c>
      <c r="M753" t="n">
        <v>0</v>
      </c>
      <c r="N753" t="n">
        <v>0</v>
      </c>
      <c r="O753" t="n">
        <v>0</v>
      </c>
      <c r="P753" t="n">
        <v>0</v>
      </c>
      <c r="Q753" t="n">
        <v>0</v>
      </c>
      <c r="R753" s="2" t="inlineStr"/>
    </row>
    <row r="754" ht="15" customHeight="1">
      <c r="A754" t="inlineStr">
        <is>
          <t>A 1847-2023</t>
        </is>
      </c>
      <c r="B754" s="1" t="n">
        <v>44938</v>
      </c>
      <c r="C754" s="1" t="n">
        <v>46004</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39692-2025</t>
        </is>
      </c>
      <c r="B755" s="1" t="n">
        <v>45890.68083333333</v>
      </c>
      <c r="C755" s="1" t="n">
        <v>46004</v>
      </c>
      <c r="D755" t="inlineStr">
        <is>
          <t>STOCKHOLMS LÄN</t>
        </is>
      </c>
      <c r="E755" t="inlineStr">
        <is>
          <t>NORRTÄLJE</t>
        </is>
      </c>
      <c r="G755" t="n">
        <v>10.5</v>
      </c>
      <c r="H755" t="n">
        <v>0</v>
      </c>
      <c r="I755" t="n">
        <v>0</v>
      </c>
      <c r="J755" t="n">
        <v>0</v>
      </c>
      <c r="K755" t="n">
        <v>0</v>
      </c>
      <c r="L755" t="n">
        <v>0</v>
      </c>
      <c r="M755" t="n">
        <v>0</v>
      </c>
      <c r="N755" t="n">
        <v>0</v>
      </c>
      <c r="O755" t="n">
        <v>0</v>
      </c>
      <c r="P755" t="n">
        <v>0</v>
      </c>
      <c r="Q755" t="n">
        <v>0</v>
      </c>
      <c r="R755" s="2" t="inlineStr"/>
    </row>
    <row r="756" ht="15" customHeight="1">
      <c r="A756" t="inlineStr">
        <is>
          <t>A 23801-2022</t>
        </is>
      </c>
      <c r="B756" s="1" t="n">
        <v>44722</v>
      </c>
      <c r="C756" s="1" t="n">
        <v>46004</v>
      </c>
      <c r="D756" t="inlineStr">
        <is>
          <t>STOCKHOLMS LÄN</t>
        </is>
      </c>
      <c r="E756" t="inlineStr">
        <is>
          <t>NORRTÄLJE</t>
        </is>
      </c>
      <c r="G756" t="n">
        <v>6.8</v>
      </c>
      <c r="H756" t="n">
        <v>0</v>
      </c>
      <c r="I756" t="n">
        <v>0</v>
      </c>
      <c r="J756" t="n">
        <v>0</v>
      </c>
      <c r="K756" t="n">
        <v>0</v>
      </c>
      <c r="L756" t="n">
        <v>0</v>
      </c>
      <c r="M756" t="n">
        <v>0</v>
      </c>
      <c r="N756" t="n">
        <v>0</v>
      </c>
      <c r="O756" t="n">
        <v>0</v>
      </c>
      <c r="P756" t="n">
        <v>0</v>
      </c>
      <c r="Q756" t="n">
        <v>0</v>
      </c>
      <c r="R756" s="2" t="inlineStr"/>
    </row>
    <row r="757" ht="15" customHeight="1">
      <c r="A757" t="inlineStr">
        <is>
          <t>A 59276-2023</t>
        </is>
      </c>
      <c r="B757" s="1" t="n">
        <v>45253.55641203704</v>
      </c>
      <c r="C757" s="1" t="n">
        <v>46004</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46914-2022</t>
        </is>
      </c>
      <c r="B758" s="1" t="n">
        <v>44851</v>
      </c>
      <c r="C758" s="1" t="n">
        <v>46004</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18541-2023</t>
        </is>
      </c>
      <c r="B759" s="1" t="n">
        <v>45042.74291666667</v>
      </c>
      <c r="C759" s="1" t="n">
        <v>46004</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35639-2025</t>
        </is>
      </c>
      <c r="B760" s="1" t="n">
        <v>45859</v>
      </c>
      <c r="C760" s="1" t="n">
        <v>46004</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3509-2022</t>
        </is>
      </c>
      <c r="B761" s="1" t="n">
        <v>44585</v>
      </c>
      <c r="C761" s="1" t="n">
        <v>46004</v>
      </c>
      <c r="D761" t="inlineStr">
        <is>
          <t>STOCKHOLMS LÄN</t>
        </is>
      </c>
      <c r="E761" t="inlineStr">
        <is>
          <t>NORRTÄLJE</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26407-2024</t>
        </is>
      </c>
      <c r="B762" s="1" t="n">
        <v>45469</v>
      </c>
      <c r="C762" s="1" t="n">
        <v>46004</v>
      </c>
      <c r="D762" t="inlineStr">
        <is>
          <t>STOCKHOLMS LÄN</t>
        </is>
      </c>
      <c r="E762" t="inlineStr">
        <is>
          <t>NORRTÄLJE</t>
        </is>
      </c>
      <c r="G762" t="n">
        <v>3.5</v>
      </c>
      <c r="H762" t="n">
        <v>0</v>
      </c>
      <c r="I762" t="n">
        <v>0</v>
      </c>
      <c r="J762" t="n">
        <v>0</v>
      </c>
      <c r="K762" t="n">
        <v>0</v>
      </c>
      <c r="L762" t="n">
        <v>0</v>
      </c>
      <c r="M762" t="n">
        <v>0</v>
      </c>
      <c r="N762" t="n">
        <v>0</v>
      </c>
      <c r="O762" t="n">
        <v>0</v>
      </c>
      <c r="P762" t="n">
        <v>0</v>
      </c>
      <c r="Q762" t="n">
        <v>0</v>
      </c>
      <c r="R762" s="2" t="inlineStr"/>
    </row>
    <row r="763" ht="15" customHeight="1">
      <c r="A763" t="inlineStr">
        <is>
          <t>A 35636-2025</t>
        </is>
      </c>
      <c r="B763" s="1" t="n">
        <v>45859</v>
      </c>
      <c r="C763" s="1" t="n">
        <v>46004</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59721-2024</t>
        </is>
      </c>
      <c r="B764" s="1" t="n">
        <v>45639.47385416667</v>
      </c>
      <c r="C764" s="1" t="n">
        <v>46004</v>
      </c>
      <c r="D764" t="inlineStr">
        <is>
          <t>STOCKHOLMS LÄN</t>
        </is>
      </c>
      <c r="E764" t="inlineStr">
        <is>
          <t>NORRTÄLJE</t>
        </is>
      </c>
      <c r="G764" t="n">
        <v>4.6</v>
      </c>
      <c r="H764" t="n">
        <v>0</v>
      </c>
      <c r="I764" t="n">
        <v>0</v>
      </c>
      <c r="J764" t="n">
        <v>0</v>
      </c>
      <c r="K764" t="n">
        <v>0</v>
      </c>
      <c r="L764" t="n">
        <v>0</v>
      </c>
      <c r="M764" t="n">
        <v>0</v>
      </c>
      <c r="N764" t="n">
        <v>0</v>
      </c>
      <c r="O764" t="n">
        <v>0</v>
      </c>
      <c r="P764" t="n">
        <v>0</v>
      </c>
      <c r="Q764" t="n">
        <v>0</v>
      </c>
      <c r="R764" s="2" t="inlineStr"/>
    </row>
    <row r="765" ht="15" customHeight="1">
      <c r="A765" t="inlineStr">
        <is>
          <t>A 12890-2024</t>
        </is>
      </c>
      <c r="B765" s="1" t="n">
        <v>45385.36243055556</v>
      </c>
      <c r="C765" s="1" t="n">
        <v>46004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11499-2023</t>
        </is>
      </c>
      <c r="B766" s="1" t="n">
        <v>44993.66707175926</v>
      </c>
      <c r="C766" s="1" t="n">
        <v>46004</v>
      </c>
      <c r="D766" t="inlineStr">
        <is>
          <t>STOCKHOLMS LÄN</t>
        </is>
      </c>
      <c r="E766" t="inlineStr">
        <is>
          <t>NORRTÄLJE</t>
        </is>
      </c>
      <c r="F766" t="inlineStr">
        <is>
          <t>Holmen skog AB</t>
        </is>
      </c>
      <c r="G766" t="n">
        <v>2.8</v>
      </c>
      <c r="H766" t="n">
        <v>0</v>
      </c>
      <c r="I766" t="n">
        <v>0</v>
      </c>
      <c r="J766" t="n">
        <v>0</v>
      </c>
      <c r="K766" t="n">
        <v>0</v>
      </c>
      <c r="L766" t="n">
        <v>0</v>
      </c>
      <c r="M766" t="n">
        <v>0</v>
      </c>
      <c r="N766" t="n">
        <v>0</v>
      </c>
      <c r="O766" t="n">
        <v>0</v>
      </c>
      <c r="P766" t="n">
        <v>0</v>
      </c>
      <c r="Q766" t="n">
        <v>0</v>
      </c>
      <c r="R766" s="2" t="inlineStr"/>
    </row>
    <row r="767" ht="15" customHeight="1">
      <c r="A767" t="inlineStr">
        <is>
          <t>A 40172-2025</t>
        </is>
      </c>
      <c r="B767" s="1" t="n">
        <v>45894.6353125</v>
      </c>
      <c r="C767" s="1" t="n">
        <v>46004</v>
      </c>
      <c r="D767" t="inlineStr">
        <is>
          <t>STOCKHOLMS LÄN</t>
        </is>
      </c>
      <c r="E767" t="inlineStr">
        <is>
          <t>NORRTÄLJE</t>
        </is>
      </c>
      <c r="G767" t="n">
        <v>6</v>
      </c>
      <c r="H767" t="n">
        <v>0</v>
      </c>
      <c r="I767" t="n">
        <v>0</v>
      </c>
      <c r="J767" t="n">
        <v>0</v>
      </c>
      <c r="K767" t="n">
        <v>0</v>
      </c>
      <c r="L767" t="n">
        <v>0</v>
      </c>
      <c r="M767" t="n">
        <v>0</v>
      </c>
      <c r="N767" t="n">
        <v>0</v>
      </c>
      <c r="O767" t="n">
        <v>0</v>
      </c>
      <c r="P767" t="n">
        <v>0</v>
      </c>
      <c r="Q767" t="n">
        <v>0</v>
      </c>
      <c r="R767" s="2" t="inlineStr"/>
    </row>
    <row r="768" ht="15" customHeight="1">
      <c r="A768" t="inlineStr">
        <is>
          <t>A 40033-2025</t>
        </is>
      </c>
      <c r="B768" s="1" t="n">
        <v>45893</v>
      </c>
      <c r="C768" s="1" t="n">
        <v>46004</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40032-2025</t>
        </is>
      </c>
      <c r="B769" s="1" t="n">
        <v>45893</v>
      </c>
      <c r="C769" s="1" t="n">
        <v>46004</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40292-2025</t>
        </is>
      </c>
      <c r="B770" s="1" t="n">
        <v>45895.3867824074</v>
      </c>
      <c r="C770" s="1" t="n">
        <v>46004</v>
      </c>
      <c r="D770" t="inlineStr">
        <is>
          <t>STOCKHOLMS LÄN</t>
        </is>
      </c>
      <c r="E770" t="inlineStr">
        <is>
          <t>NORRTÄLJE</t>
        </is>
      </c>
      <c r="G770" t="n">
        <v>3.5</v>
      </c>
      <c r="H770" t="n">
        <v>0</v>
      </c>
      <c r="I770" t="n">
        <v>0</v>
      </c>
      <c r="J770" t="n">
        <v>0</v>
      </c>
      <c r="K770" t="n">
        <v>0</v>
      </c>
      <c r="L770" t="n">
        <v>0</v>
      </c>
      <c r="M770" t="n">
        <v>0</v>
      </c>
      <c r="N770" t="n">
        <v>0</v>
      </c>
      <c r="O770" t="n">
        <v>0</v>
      </c>
      <c r="P770" t="n">
        <v>0</v>
      </c>
      <c r="Q770" t="n">
        <v>0</v>
      </c>
      <c r="R770" s="2" t="inlineStr"/>
    </row>
    <row r="771" ht="15" customHeight="1">
      <c r="A771" t="inlineStr">
        <is>
          <t>A 40294-2025</t>
        </is>
      </c>
      <c r="B771" s="1" t="n">
        <v>45895.38778935185</v>
      </c>
      <c r="C771" s="1" t="n">
        <v>46004</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576-2023</t>
        </is>
      </c>
      <c r="B772" s="1" t="n">
        <v>44925</v>
      </c>
      <c r="C772" s="1" t="n">
        <v>46004</v>
      </c>
      <c r="D772" t="inlineStr">
        <is>
          <t>STOCKHOLMS LÄN</t>
        </is>
      </c>
      <c r="E772" t="inlineStr">
        <is>
          <t>NORRTÄLJE</t>
        </is>
      </c>
      <c r="G772" t="n">
        <v>7.2</v>
      </c>
      <c r="H772" t="n">
        <v>0</v>
      </c>
      <c r="I772" t="n">
        <v>0</v>
      </c>
      <c r="J772" t="n">
        <v>0</v>
      </c>
      <c r="K772" t="n">
        <v>0</v>
      </c>
      <c r="L772" t="n">
        <v>0</v>
      </c>
      <c r="M772" t="n">
        <v>0</v>
      </c>
      <c r="N772" t="n">
        <v>0</v>
      </c>
      <c r="O772" t="n">
        <v>0</v>
      </c>
      <c r="P772" t="n">
        <v>0</v>
      </c>
      <c r="Q772" t="n">
        <v>0</v>
      </c>
      <c r="R772" s="2" t="inlineStr"/>
    </row>
    <row r="773" ht="15" customHeight="1">
      <c r="A773" t="inlineStr">
        <is>
          <t>A 40228-2025</t>
        </is>
      </c>
      <c r="B773" s="1" t="n">
        <v>45894.70854166667</v>
      </c>
      <c r="C773" s="1" t="n">
        <v>46004</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47419-2023</t>
        </is>
      </c>
      <c r="B774" s="1" t="n">
        <v>45202.65660879629</v>
      </c>
      <c r="C774" s="1" t="n">
        <v>46004</v>
      </c>
      <c r="D774" t="inlineStr">
        <is>
          <t>STOCKHOLMS LÄN</t>
        </is>
      </c>
      <c r="E774" t="inlineStr">
        <is>
          <t>NORRTÄLJE</t>
        </is>
      </c>
      <c r="G774" t="n">
        <v>11.4</v>
      </c>
      <c r="H774" t="n">
        <v>0</v>
      </c>
      <c r="I774" t="n">
        <v>0</v>
      </c>
      <c r="J774" t="n">
        <v>0</v>
      </c>
      <c r="K774" t="n">
        <v>0</v>
      </c>
      <c r="L774" t="n">
        <v>0</v>
      </c>
      <c r="M774" t="n">
        <v>0</v>
      </c>
      <c r="N774" t="n">
        <v>0</v>
      </c>
      <c r="O774" t="n">
        <v>0</v>
      </c>
      <c r="P774" t="n">
        <v>0</v>
      </c>
      <c r="Q774" t="n">
        <v>0</v>
      </c>
      <c r="R774" s="2" t="inlineStr"/>
    </row>
    <row r="775" ht="15" customHeight="1">
      <c r="A775" t="inlineStr">
        <is>
          <t>A 10678-2025</t>
        </is>
      </c>
      <c r="B775" s="1" t="n">
        <v>45721.89123842592</v>
      </c>
      <c r="C775" s="1" t="n">
        <v>46004</v>
      </c>
      <c r="D775" t="inlineStr">
        <is>
          <t>STOCKHOLMS LÄN</t>
        </is>
      </c>
      <c r="E775" t="inlineStr">
        <is>
          <t>NORRTÄLJE</t>
        </is>
      </c>
      <c r="G775" t="n">
        <v>2.6</v>
      </c>
      <c r="H775" t="n">
        <v>0</v>
      </c>
      <c r="I775" t="n">
        <v>0</v>
      </c>
      <c r="J775" t="n">
        <v>0</v>
      </c>
      <c r="K775" t="n">
        <v>0</v>
      </c>
      <c r="L775" t="n">
        <v>0</v>
      </c>
      <c r="M775" t="n">
        <v>0</v>
      </c>
      <c r="N775" t="n">
        <v>0</v>
      </c>
      <c r="O775" t="n">
        <v>0</v>
      </c>
      <c r="P775" t="n">
        <v>0</v>
      </c>
      <c r="Q775" t="n">
        <v>0</v>
      </c>
      <c r="R775" s="2" t="inlineStr"/>
    </row>
    <row r="776" ht="15" customHeight="1">
      <c r="A776" t="inlineStr">
        <is>
          <t>A 23070-2023</t>
        </is>
      </c>
      <c r="B776" s="1" t="n">
        <v>45075</v>
      </c>
      <c r="C776" s="1" t="n">
        <v>46004</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37010-2022</t>
        </is>
      </c>
      <c r="B777" s="1" t="n">
        <v>44806.41576388889</v>
      </c>
      <c r="C777" s="1" t="n">
        <v>46004</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31936-2022</t>
        </is>
      </c>
      <c r="B778" s="1" t="n">
        <v>44777</v>
      </c>
      <c r="C778" s="1" t="n">
        <v>46004</v>
      </c>
      <c r="D778" t="inlineStr">
        <is>
          <t>STOCKHOLMS LÄN</t>
        </is>
      </c>
      <c r="E778" t="inlineStr">
        <is>
          <t>NORRTÄLJE</t>
        </is>
      </c>
      <c r="G778" t="n">
        <v>5.2</v>
      </c>
      <c r="H778" t="n">
        <v>0</v>
      </c>
      <c r="I778" t="n">
        <v>0</v>
      </c>
      <c r="J778" t="n">
        <v>0</v>
      </c>
      <c r="K778" t="n">
        <v>0</v>
      </c>
      <c r="L778" t="n">
        <v>0</v>
      </c>
      <c r="M778" t="n">
        <v>0</v>
      </c>
      <c r="N778" t="n">
        <v>0</v>
      </c>
      <c r="O778" t="n">
        <v>0</v>
      </c>
      <c r="P778" t="n">
        <v>0</v>
      </c>
      <c r="Q778" t="n">
        <v>0</v>
      </c>
      <c r="R778" s="2" t="inlineStr"/>
    </row>
    <row r="779" ht="15" customHeight="1">
      <c r="A779" t="inlineStr">
        <is>
          <t>A 27824-2022</t>
        </is>
      </c>
      <c r="B779" s="1" t="n">
        <v>44743.59331018518</v>
      </c>
      <c r="C779" s="1" t="n">
        <v>46004</v>
      </c>
      <c r="D779" t="inlineStr">
        <is>
          <t>STOCKHOLMS LÄN</t>
        </is>
      </c>
      <c r="E779" t="inlineStr">
        <is>
          <t>NORRTÄLJE</t>
        </is>
      </c>
      <c r="F779" t="inlineStr">
        <is>
          <t>Kommuner</t>
        </is>
      </c>
      <c r="G779" t="n">
        <v>3.1</v>
      </c>
      <c r="H779" t="n">
        <v>0</v>
      </c>
      <c r="I779" t="n">
        <v>0</v>
      </c>
      <c r="J779" t="n">
        <v>0</v>
      </c>
      <c r="K779" t="n">
        <v>0</v>
      </c>
      <c r="L779" t="n">
        <v>0</v>
      </c>
      <c r="M779" t="n">
        <v>0</v>
      </c>
      <c r="N779" t="n">
        <v>0</v>
      </c>
      <c r="O779" t="n">
        <v>0</v>
      </c>
      <c r="P779" t="n">
        <v>0</v>
      </c>
      <c r="Q779" t="n">
        <v>0</v>
      </c>
      <c r="R779" s="2" t="inlineStr"/>
    </row>
    <row r="780" ht="15" customHeight="1">
      <c r="A780" t="inlineStr">
        <is>
          <t>A 951-2023</t>
        </is>
      </c>
      <c r="B780" s="1" t="n">
        <v>44934</v>
      </c>
      <c r="C780" s="1" t="n">
        <v>46004</v>
      </c>
      <c r="D780" t="inlineStr">
        <is>
          <t>STOCKHOLMS LÄN</t>
        </is>
      </c>
      <c r="E780" t="inlineStr">
        <is>
          <t>NORRTÄLJE</t>
        </is>
      </c>
      <c r="G780" t="n">
        <v>3.7</v>
      </c>
      <c r="H780" t="n">
        <v>0</v>
      </c>
      <c r="I780" t="n">
        <v>0</v>
      </c>
      <c r="J780" t="n">
        <v>0</v>
      </c>
      <c r="K780" t="n">
        <v>0</v>
      </c>
      <c r="L780" t="n">
        <v>0</v>
      </c>
      <c r="M780" t="n">
        <v>0</v>
      </c>
      <c r="N780" t="n">
        <v>0</v>
      </c>
      <c r="O780" t="n">
        <v>0</v>
      </c>
      <c r="P780" t="n">
        <v>0</v>
      </c>
      <c r="Q780" t="n">
        <v>0</v>
      </c>
      <c r="R780" s="2" t="inlineStr"/>
    </row>
    <row r="781" ht="15" customHeight="1">
      <c r="A781" t="inlineStr">
        <is>
          <t>A 40230-2025</t>
        </is>
      </c>
      <c r="B781" s="1" t="n">
        <v>45894.71101851852</v>
      </c>
      <c r="C781" s="1" t="n">
        <v>46004</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25619-2022</t>
        </is>
      </c>
      <c r="B782" s="1" t="n">
        <v>44732</v>
      </c>
      <c r="C782" s="1" t="n">
        <v>46004</v>
      </c>
      <c r="D782" t="inlineStr">
        <is>
          <t>STOCKHOLMS LÄN</t>
        </is>
      </c>
      <c r="E782" t="inlineStr">
        <is>
          <t>NORRTÄLJE</t>
        </is>
      </c>
      <c r="G782" t="n">
        <v>3.9</v>
      </c>
      <c r="H782" t="n">
        <v>0</v>
      </c>
      <c r="I782" t="n">
        <v>0</v>
      </c>
      <c r="J782" t="n">
        <v>0</v>
      </c>
      <c r="K782" t="n">
        <v>0</v>
      </c>
      <c r="L782" t="n">
        <v>0</v>
      </c>
      <c r="M782" t="n">
        <v>0</v>
      </c>
      <c r="N782" t="n">
        <v>0</v>
      </c>
      <c r="O782" t="n">
        <v>0</v>
      </c>
      <c r="P782" t="n">
        <v>0</v>
      </c>
      <c r="Q782" t="n">
        <v>0</v>
      </c>
      <c r="R782" s="2" t="inlineStr"/>
    </row>
    <row r="783" ht="15" customHeight="1">
      <c r="A783" t="inlineStr">
        <is>
          <t>A 40217-2025</t>
        </is>
      </c>
      <c r="B783" s="1" t="n">
        <v>45894.68864583333</v>
      </c>
      <c r="C783" s="1" t="n">
        <v>46004</v>
      </c>
      <c r="D783" t="inlineStr">
        <is>
          <t>STOCKHOLMS LÄN</t>
        </is>
      </c>
      <c r="E783" t="inlineStr">
        <is>
          <t>NORRTÄLJE</t>
        </is>
      </c>
      <c r="G783" t="n">
        <v>0.8</v>
      </c>
      <c r="H783" t="n">
        <v>0</v>
      </c>
      <c r="I783" t="n">
        <v>0</v>
      </c>
      <c r="J783" t="n">
        <v>0</v>
      </c>
      <c r="K783" t="n">
        <v>0</v>
      </c>
      <c r="L783" t="n">
        <v>0</v>
      </c>
      <c r="M783" t="n">
        <v>0</v>
      </c>
      <c r="N783" t="n">
        <v>0</v>
      </c>
      <c r="O783" t="n">
        <v>0</v>
      </c>
      <c r="P783" t="n">
        <v>0</v>
      </c>
      <c r="Q783" t="n">
        <v>0</v>
      </c>
      <c r="R783" s="2" t="inlineStr"/>
    </row>
    <row r="784" ht="15" customHeight="1">
      <c r="A784" t="inlineStr">
        <is>
          <t>A 40097-2025</t>
        </is>
      </c>
      <c r="B784" s="1" t="n">
        <v>45894.48322916667</v>
      </c>
      <c r="C784" s="1" t="n">
        <v>46004</v>
      </c>
      <c r="D784" t="inlineStr">
        <is>
          <t>STOCKHOLMS LÄN</t>
        </is>
      </c>
      <c r="E784" t="inlineStr">
        <is>
          <t>NORRTÄLJE</t>
        </is>
      </c>
      <c r="G784" t="n">
        <v>3</v>
      </c>
      <c r="H784" t="n">
        <v>0</v>
      </c>
      <c r="I784" t="n">
        <v>0</v>
      </c>
      <c r="J784" t="n">
        <v>0</v>
      </c>
      <c r="K784" t="n">
        <v>0</v>
      </c>
      <c r="L784" t="n">
        <v>0</v>
      </c>
      <c r="M784" t="n">
        <v>0</v>
      </c>
      <c r="N784" t="n">
        <v>0</v>
      </c>
      <c r="O784" t="n">
        <v>0</v>
      </c>
      <c r="P784" t="n">
        <v>0</v>
      </c>
      <c r="Q784" t="n">
        <v>0</v>
      </c>
      <c r="R784" s="2" t="inlineStr"/>
    </row>
    <row r="785" ht="15" customHeight="1">
      <c r="A785" t="inlineStr">
        <is>
          <t>A 5423-2023</t>
        </is>
      </c>
      <c r="B785" s="1" t="n">
        <v>44959.74533564815</v>
      </c>
      <c r="C785" s="1" t="n">
        <v>46004</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50182-2024</t>
        </is>
      </c>
      <c r="B786" s="1" t="n">
        <v>45600.47275462963</v>
      </c>
      <c r="C786" s="1" t="n">
        <v>46004</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36246-2021</t>
        </is>
      </c>
      <c r="B787" s="1" t="n">
        <v>44390</v>
      </c>
      <c r="C787" s="1" t="n">
        <v>46004</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40829-2025</t>
        </is>
      </c>
      <c r="B788" s="1" t="n">
        <v>45897.50802083333</v>
      </c>
      <c r="C788" s="1" t="n">
        <v>46004</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12629-2024</t>
        </is>
      </c>
      <c r="B789" s="1" t="n">
        <v>45383</v>
      </c>
      <c r="C789" s="1" t="n">
        <v>46004</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40837-2025</t>
        </is>
      </c>
      <c r="B790" s="1" t="n">
        <v>45897.51328703704</v>
      </c>
      <c r="C790" s="1" t="n">
        <v>46004</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40529-2025</t>
        </is>
      </c>
      <c r="B791" s="1" t="n">
        <v>45896.38466435186</v>
      </c>
      <c r="C791" s="1" t="n">
        <v>46004</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19952-2023</t>
        </is>
      </c>
      <c r="B792" s="1" t="n">
        <v>45054.54091435186</v>
      </c>
      <c r="C792" s="1" t="n">
        <v>46004</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19994-2023</t>
        </is>
      </c>
      <c r="B793" s="1" t="n">
        <v>45054</v>
      </c>
      <c r="C793" s="1" t="n">
        <v>46004</v>
      </c>
      <c r="D793" t="inlineStr">
        <is>
          <t>STOCKHOLMS LÄN</t>
        </is>
      </c>
      <c r="E793" t="inlineStr">
        <is>
          <t>NORRTÄLJE</t>
        </is>
      </c>
      <c r="G793" t="n">
        <v>4.3</v>
      </c>
      <c r="H793" t="n">
        <v>0</v>
      </c>
      <c r="I793" t="n">
        <v>0</v>
      </c>
      <c r="J793" t="n">
        <v>0</v>
      </c>
      <c r="K793" t="n">
        <v>0</v>
      </c>
      <c r="L793" t="n">
        <v>0</v>
      </c>
      <c r="M793" t="n">
        <v>0</v>
      </c>
      <c r="N793" t="n">
        <v>0</v>
      </c>
      <c r="O793" t="n">
        <v>0</v>
      </c>
      <c r="P793" t="n">
        <v>0</v>
      </c>
      <c r="Q793" t="n">
        <v>0</v>
      </c>
      <c r="R793" s="2" t="inlineStr"/>
    </row>
    <row r="794" ht="15" customHeight="1">
      <c r="A794" t="inlineStr">
        <is>
          <t>A 40831-2025</t>
        </is>
      </c>
      <c r="B794" s="1" t="n">
        <v>45897.51077546296</v>
      </c>
      <c r="C794" s="1" t="n">
        <v>46004</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14130-2025</t>
        </is>
      </c>
      <c r="B795" s="1" t="n">
        <v>45740.47288194444</v>
      </c>
      <c r="C795" s="1" t="n">
        <v>46004</v>
      </c>
      <c r="D795" t="inlineStr">
        <is>
          <t>STOCKHOLMS LÄN</t>
        </is>
      </c>
      <c r="E795" t="inlineStr">
        <is>
          <t>NORRTÄLJE</t>
        </is>
      </c>
      <c r="G795" t="n">
        <v>2.1</v>
      </c>
      <c r="H795" t="n">
        <v>0</v>
      </c>
      <c r="I795" t="n">
        <v>0</v>
      </c>
      <c r="J795" t="n">
        <v>0</v>
      </c>
      <c r="K795" t="n">
        <v>0</v>
      </c>
      <c r="L795" t="n">
        <v>0</v>
      </c>
      <c r="M795" t="n">
        <v>0</v>
      </c>
      <c r="N795" t="n">
        <v>0</v>
      </c>
      <c r="O795" t="n">
        <v>0</v>
      </c>
      <c r="P795" t="n">
        <v>0</v>
      </c>
      <c r="Q795" t="n">
        <v>0</v>
      </c>
      <c r="R795" s="2" t="inlineStr"/>
    </row>
    <row r="796" ht="15" customHeight="1">
      <c r="A796" t="inlineStr">
        <is>
          <t>A 59873-2024</t>
        </is>
      </c>
      <c r="B796" s="1" t="n">
        <v>45640.57305555556</v>
      </c>
      <c r="C796" s="1" t="n">
        <v>46004</v>
      </c>
      <c r="D796" t="inlineStr">
        <is>
          <t>STOCKHOLMS LÄN</t>
        </is>
      </c>
      <c r="E796" t="inlineStr">
        <is>
          <t>NORRTÄLJE</t>
        </is>
      </c>
      <c r="G796" t="n">
        <v>3.3</v>
      </c>
      <c r="H796" t="n">
        <v>0</v>
      </c>
      <c r="I796" t="n">
        <v>0</v>
      </c>
      <c r="J796" t="n">
        <v>0</v>
      </c>
      <c r="K796" t="n">
        <v>0</v>
      </c>
      <c r="L796" t="n">
        <v>0</v>
      </c>
      <c r="M796" t="n">
        <v>0</v>
      </c>
      <c r="N796" t="n">
        <v>0</v>
      </c>
      <c r="O796" t="n">
        <v>0</v>
      </c>
      <c r="P796" t="n">
        <v>0</v>
      </c>
      <c r="Q796" t="n">
        <v>0</v>
      </c>
      <c r="R796" s="2" t="inlineStr"/>
    </row>
    <row r="797" ht="15" customHeight="1">
      <c r="A797" t="inlineStr">
        <is>
          <t>A 35708-2022</t>
        </is>
      </c>
      <c r="B797" s="1" t="n">
        <v>44799.65013888889</v>
      </c>
      <c r="C797" s="1" t="n">
        <v>46004</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35916-2024</t>
        </is>
      </c>
      <c r="B798" s="1" t="n">
        <v>45533</v>
      </c>
      <c r="C798" s="1" t="n">
        <v>46004</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574-2023</t>
        </is>
      </c>
      <c r="B799" s="1" t="n">
        <v>44925</v>
      </c>
      <c r="C799" s="1" t="n">
        <v>46004</v>
      </c>
      <c r="D799" t="inlineStr">
        <is>
          <t>STOCKHOLMS LÄN</t>
        </is>
      </c>
      <c r="E799" t="inlineStr">
        <is>
          <t>NORRTÄLJE</t>
        </is>
      </c>
      <c r="G799" t="n">
        <v>5</v>
      </c>
      <c r="H799" t="n">
        <v>0</v>
      </c>
      <c r="I799" t="n">
        <v>0</v>
      </c>
      <c r="J799" t="n">
        <v>0</v>
      </c>
      <c r="K799" t="n">
        <v>0</v>
      </c>
      <c r="L799" t="n">
        <v>0</v>
      </c>
      <c r="M799" t="n">
        <v>0</v>
      </c>
      <c r="N799" t="n">
        <v>0</v>
      </c>
      <c r="O799" t="n">
        <v>0</v>
      </c>
      <c r="P799" t="n">
        <v>0</v>
      </c>
      <c r="Q799" t="n">
        <v>0</v>
      </c>
      <c r="R799" s="2" t="inlineStr"/>
    </row>
    <row r="800" ht="15" customHeight="1">
      <c r="A800" t="inlineStr">
        <is>
          <t>A 30283-2022</t>
        </is>
      </c>
      <c r="B800" s="1" t="n">
        <v>44760</v>
      </c>
      <c r="C800" s="1" t="n">
        <v>46004</v>
      </c>
      <c r="D800" t="inlineStr">
        <is>
          <t>STOCKHOLMS LÄN</t>
        </is>
      </c>
      <c r="E800" t="inlineStr">
        <is>
          <t>NORRTÄLJE</t>
        </is>
      </c>
      <c r="G800" t="n">
        <v>6.2</v>
      </c>
      <c r="H800" t="n">
        <v>0</v>
      </c>
      <c r="I800" t="n">
        <v>0</v>
      </c>
      <c r="J800" t="n">
        <v>0</v>
      </c>
      <c r="K800" t="n">
        <v>0</v>
      </c>
      <c r="L800" t="n">
        <v>0</v>
      </c>
      <c r="M800" t="n">
        <v>0</v>
      </c>
      <c r="N800" t="n">
        <v>0</v>
      </c>
      <c r="O800" t="n">
        <v>0</v>
      </c>
      <c r="P800" t="n">
        <v>0</v>
      </c>
      <c r="Q800" t="n">
        <v>0</v>
      </c>
      <c r="R800" s="2" t="inlineStr"/>
    </row>
    <row r="801" ht="15" customHeight="1">
      <c r="A801" t="inlineStr">
        <is>
          <t>A 30290-2022</t>
        </is>
      </c>
      <c r="B801" s="1" t="n">
        <v>44760</v>
      </c>
      <c r="C801" s="1" t="n">
        <v>46004</v>
      </c>
      <c r="D801" t="inlineStr">
        <is>
          <t>STOCKHOLMS LÄN</t>
        </is>
      </c>
      <c r="E801" t="inlineStr">
        <is>
          <t>NORRTÄLJE</t>
        </is>
      </c>
      <c r="G801" t="n">
        <v>4.8</v>
      </c>
      <c r="H801" t="n">
        <v>0</v>
      </c>
      <c r="I801" t="n">
        <v>0</v>
      </c>
      <c r="J801" t="n">
        <v>0</v>
      </c>
      <c r="K801" t="n">
        <v>0</v>
      </c>
      <c r="L801" t="n">
        <v>0</v>
      </c>
      <c r="M801" t="n">
        <v>0</v>
      </c>
      <c r="N801" t="n">
        <v>0</v>
      </c>
      <c r="O801" t="n">
        <v>0</v>
      </c>
      <c r="P801" t="n">
        <v>0</v>
      </c>
      <c r="Q801" t="n">
        <v>0</v>
      </c>
      <c r="R801" s="2" t="inlineStr"/>
    </row>
    <row r="802" ht="15" customHeight="1">
      <c r="A802" t="inlineStr">
        <is>
          <t>A 10098-2022</t>
        </is>
      </c>
      <c r="B802" s="1" t="n">
        <v>44621</v>
      </c>
      <c r="C802" s="1" t="n">
        <v>46004</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3143-2021</t>
        </is>
      </c>
      <c r="B803" s="1" t="n">
        <v>44217.40149305556</v>
      </c>
      <c r="C803" s="1" t="n">
        <v>46004</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29684-2021</t>
        </is>
      </c>
      <c r="B804" s="1" t="n">
        <v>44362.37172453704</v>
      </c>
      <c r="C804" s="1" t="n">
        <v>46004</v>
      </c>
      <c r="D804" t="inlineStr">
        <is>
          <t>STOCKHOLMS LÄN</t>
        </is>
      </c>
      <c r="E804" t="inlineStr">
        <is>
          <t>NORRTÄLJE</t>
        </is>
      </c>
      <c r="F804" t="inlineStr">
        <is>
          <t>Holmen skog AB</t>
        </is>
      </c>
      <c r="G804" t="n">
        <v>1.5</v>
      </c>
      <c r="H804" t="n">
        <v>0</v>
      </c>
      <c r="I804" t="n">
        <v>0</v>
      </c>
      <c r="J804" t="n">
        <v>0</v>
      </c>
      <c r="K804" t="n">
        <v>0</v>
      </c>
      <c r="L804" t="n">
        <v>0</v>
      </c>
      <c r="M804" t="n">
        <v>0</v>
      </c>
      <c r="N804" t="n">
        <v>0</v>
      </c>
      <c r="O804" t="n">
        <v>0</v>
      </c>
      <c r="P804" t="n">
        <v>0</v>
      </c>
      <c r="Q804" t="n">
        <v>0</v>
      </c>
      <c r="R804" s="2" t="inlineStr"/>
    </row>
    <row r="805" ht="15" customHeight="1">
      <c r="A805" t="inlineStr">
        <is>
          <t>A 45220-2024</t>
        </is>
      </c>
      <c r="B805" s="1" t="n">
        <v>45575</v>
      </c>
      <c r="C805" s="1" t="n">
        <v>46004</v>
      </c>
      <c r="D805" t="inlineStr">
        <is>
          <t>STOCKHOLMS LÄN</t>
        </is>
      </c>
      <c r="E805" t="inlineStr">
        <is>
          <t>NORRTÄLJE</t>
        </is>
      </c>
      <c r="G805" t="n">
        <v>4.3</v>
      </c>
      <c r="H805" t="n">
        <v>0</v>
      </c>
      <c r="I805" t="n">
        <v>0</v>
      </c>
      <c r="J805" t="n">
        <v>0</v>
      </c>
      <c r="K805" t="n">
        <v>0</v>
      </c>
      <c r="L805" t="n">
        <v>0</v>
      </c>
      <c r="M805" t="n">
        <v>0</v>
      </c>
      <c r="N805" t="n">
        <v>0</v>
      </c>
      <c r="O805" t="n">
        <v>0</v>
      </c>
      <c r="P805" t="n">
        <v>0</v>
      </c>
      <c r="Q805" t="n">
        <v>0</v>
      </c>
      <c r="R805" s="2" t="inlineStr"/>
    </row>
    <row r="806" ht="15" customHeight="1">
      <c r="A806" t="inlineStr">
        <is>
          <t>A 21731-2023</t>
        </is>
      </c>
      <c r="B806" s="1" t="n">
        <v>45063</v>
      </c>
      <c r="C806" s="1" t="n">
        <v>46004</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23266-2023</t>
        </is>
      </c>
      <c r="B807" s="1" t="n">
        <v>45075.90817129629</v>
      </c>
      <c r="C807" s="1" t="n">
        <v>46004</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41158-2025</t>
        </is>
      </c>
      <c r="B808" s="1" t="n">
        <v>45898.5315625</v>
      </c>
      <c r="C808" s="1" t="n">
        <v>46004</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60884-2024</t>
        </is>
      </c>
      <c r="B809" s="1" t="n">
        <v>45644.90815972222</v>
      </c>
      <c r="C809" s="1" t="n">
        <v>46004</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38610-2022</t>
        </is>
      </c>
      <c r="B810" s="1" t="n">
        <v>44813.59915509259</v>
      </c>
      <c r="C810" s="1" t="n">
        <v>46004</v>
      </c>
      <c r="D810" t="inlineStr">
        <is>
          <t>STOCKHOLMS LÄN</t>
        </is>
      </c>
      <c r="E810" t="inlineStr">
        <is>
          <t>NORRTÄLJE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15733-2025</t>
        </is>
      </c>
      <c r="B811" s="1" t="n">
        <v>45748</v>
      </c>
      <c r="C811" s="1" t="n">
        <v>46004</v>
      </c>
      <c r="D811" t="inlineStr">
        <is>
          <t>STOCKHOLMS LÄN</t>
        </is>
      </c>
      <c r="E811" t="inlineStr">
        <is>
          <t>NORRTÄLJE</t>
        </is>
      </c>
      <c r="G811" t="n">
        <v>13.3</v>
      </c>
      <c r="H811" t="n">
        <v>0</v>
      </c>
      <c r="I811" t="n">
        <v>0</v>
      </c>
      <c r="J811" t="n">
        <v>0</v>
      </c>
      <c r="K811" t="n">
        <v>0</v>
      </c>
      <c r="L811" t="n">
        <v>0</v>
      </c>
      <c r="M811" t="n">
        <v>0</v>
      </c>
      <c r="N811" t="n">
        <v>0</v>
      </c>
      <c r="O811" t="n">
        <v>0</v>
      </c>
      <c r="P811" t="n">
        <v>0</v>
      </c>
      <c r="Q811" t="n">
        <v>0</v>
      </c>
      <c r="R811" s="2" t="inlineStr"/>
    </row>
    <row r="812" ht="15" customHeight="1">
      <c r="A812" t="inlineStr">
        <is>
          <t>A 63161-2023</t>
        </is>
      </c>
      <c r="B812" s="1" t="n">
        <v>45273</v>
      </c>
      <c r="C812" s="1" t="n">
        <v>46004</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19058-2024</t>
        </is>
      </c>
      <c r="B813" s="1" t="n">
        <v>45427.89121527778</v>
      </c>
      <c r="C813" s="1" t="n">
        <v>46004</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10090-2022</t>
        </is>
      </c>
      <c r="B814" s="1" t="n">
        <v>44621</v>
      </c>
      <c r="C814" s="1" t="n">
        <v>46004</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14724-2022</t>
        </is>
      </c>
      <c r="B815" s="1" t="n">
        <v>44656</v>
      </c>
      <c r="C815" s="1" t="n">
        <v>46004</v>
      </c>
      <c r="D815" t="inlineStr">
        <is>
          <t>STOCKHOLMS LÄN</t>
        </is>
      </c>
      <c r="E815" t="inlineStr">
        <is>
          <t>NORRTÄLJE</t>
        </is>
      </c>
      <c r="F815" t="inlineStr">
        <is>
          <t>Sveaskog</t>
        </is>
      </c>
      <c r="G815" t="n">
        <v>9</v>
      </c>
      <c r="H815" t="n">
        <v>0</v>
      </c>
      <c r="I815" t="n">
        <v>0</v>
      </c>
      <c r="J815" t="n">
        <v>0</v>
      </c>
      <c r="K815" t="n">
        <v>0</v>
      </c>
      <c r="L815" t="n">
        <v>0</v>
      </c>
      <c r="M815" t="n">
        <v>0</v>
      </c>
      <c r="N815" t="n">
        <v>0</v>
      </c>
      <c r="O815" t="n">
        <v>0</v>
      </c>
      <c r="P815" t="n">
        <v>0</v>
      </c>
      <c r="Q815" t="n">
        <v>0</v>
      </c>
      <c r="R815" s="2" t="inlineStr"/>
    </row>
    <row r="816" ht="15" customHeight="1">
      <c r="A816" t="inlineStr">
        <is>
          <t>A 41053-2025</t>
        </is>
      </c>
      <c r="B816" s="1" t="n">
        <v>45898.40480324074</v>
      </c>
      <c r="C816" s="1" t="n">
        <v>46004</v>
      </c>
      <c r="D816" t="inlineStr">
        <is>
          <t>STOCKHOLMS LÄN</t>
        </is>
      </c>
      <c r="E816" t="inlineStr">
        <is>
          <t>NORRTÄLJE</t>
        </is>
      </c>
      <c r="F816" t="inlineStr">
        <is>
          <t>Holmen skog AB</t>
        </is>
      </c>
      <c r="G816" t="n">
        <v>2.5</v>
      </c>
      <c r="H816" t="n">
        <v>0</v>
      </c>
      <c r="I816" t="n">
        <v>0</v>
      </c>
      <c r="J816" t="n">
        <v>0</v>
      </c>
      <c r="K816" t="n">
        <v>0</v>
      </c>
      <c r="L816" t="n">
        <v>0</v>
      </c>
      <c r="M816" t="n">
        <v>0</v>
      </c>
      <c r="N816" t="n">
        <v>0</v>
      </c>
      <c r="O816" t="n">
        <v>0</v>
      </c>
      <c r="P816" t="n">
        <v>0</v>
      </c>
      <c r="Q816" t="n">
        <v>0</v>
      </c>
      <c r="R816" s="2" t="inlineStr"/>
    </row>
    <row r="817" ht="15" customHeight="1">
      <c r="A817" t="inlineStr">
        <is>
          <t>A 18846-2022</t>
        </is>
      </c>
      <c r="B817" s="1" t="n">
        <v>44690</v>
      </c>
      <c r="C817" s="1" t="n">
        <v>46004</v>
      </c>
      <c r="D817" t="inlineStr">
        <is>
          <t>STOCKHOLMS LÄN</t>
        </is>
      </c>
      <c r="E817" t="inlineStr">
        <is>
          <t>NORRTÄLJE</t>
        </is>
      </c>
      <c r="G817" t="n">
        <v>7</v>
      </c>
      <c r="H817" t="n">
        <v>0</v>
      </c>
      <c r="I817" t="n">
        <v>0</v>
      </c>
      <c r="J817" t="n">
        <v>0</v>
      </c>
      <c r="K817" t="n">
        <v>0</v>
      </c>
      <c r="L817" t="n">
        <v>0</v>
      </c>
      <c r="M817" t="n">
        <v>0</v>
      </c>
      <c r="N817" t="n">
        <v>0</v>
      </c>
      <c r="O817" t="n">
        <v>0</v>
      </c>
      <c r="P817" t="n">
        <v>0</v>
      </c>
      <c r="Q817" t="n">
        <v>0</v>
      </c>
      <c r="R817" s="2" t="inlineStr"/>
    </row>
    <row r="818" ht="15" customHeight="1">
      <c r="A818" t="inlineStr">
        <is>
          <t>A 47521-2024</t>
        </is>
      </c>
      <c r="B818" s="1" t="n">
        <v>45587.62565972222</v>
      </c>
      <c r="C818" s="1" t="n">
        <v>46004</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41275-2025</t>
        </is>
      </c>
      <c r="B819" s="1" t="n">
        <v>45898.62625</v>
      </c>
      <c r="C819" s="1" t="n">
        <v>46004</v>
      </c>
      <c r="D819" t="inlineStr">
        <is>
          <t>STOCKHOLMS LÄN</t>
        </is>
      </c>
      <c r="E819" t="inlineStr">
        <is>
          <t>NORRTÄLJE</t>
        </is>
      </c>
      <c r="G819" t="n">
        <v>1</v>
      </c>
      <c r="H819" t="n">
        <v>0</v>
      </c>
      <c r="I819" t="n">
        <v>0</v>
      </c>
      <c r="J819" t="n">
        <v>0</v>
      </c>
      <c r="K819" t="n">
        <v>0</v>
      </c>
      <c r="L819" t="n">
        <v>0</v>
      </c>
      <c r="M819" t="n">
        <v>0</v>
      </c>
      <c r="N819" t="n">
        <v>0</v>
      </c>
      <c r="O819" t="n">
        <v>0</v>
      </c>
      <c r="P819" t="n">
        <v>0</v>
      </c>
      <c r="Q819" t="n">
        <v>0</v>
      </c>
      <c r="R819" s="2" t="inlineStr"/>
    </row>
    <row r="820" ht="15" customHeight="1">
      <c r="A820" t="inlineStr">
        <is>
          <t>A 43300-2023</t>
        </is>
      </c>
      <c r="B820" s="1" t="n">
        <v>45183</v>
      </c>
      <c r="C820" s="1" t="n">
        <v>46004</v>
      </c>
      <c r="D820" t="inlineStr">
        <is>
          <t>STOCKHOLMS LÄN</t>
        </is>
      </c>
      <c r="E820" t="inlineStr">
        <is>
          <t>NORRTÄLJE</t>
        </is>
      </c>
      <c r="G820" t="n">
        <v>2.3</v>
      </c>
      <c r="H820" t="n">
        <v>0</v>
      </c>
      <c r="I820" t="n">
        <v>0</v>
      </c>
      <c r="J820" t="n">
        <v>0</v>
      </c>
      <c r="K820" t="n">
        <v>0</v>
      </c>
      <c r="L820" t="n">
        <v>0</v>
      </c>
      <c r="M820" t="n">
        <v>0</v>
      </c>
      <c r="N820" t="n">
        <v>0</v>
      </c>
      <c r="O820" t="n">
        <v>0</v>
      </c>
      <c r="P820" t="n">
        <v>0</v>
      </c>
      <c r="Q820" t="n">
        <v>0</v>
      </c>
      <c r="R820" s="2" t="inlineStr"/>
    </row>
    <row r="821" ht="15" customHeight="1">
      <c r="A821" t="inlineStr">
        <is>
          <t>A 58260-2023</t>
        </is>
      </c>
      <c r="B821" s="1" t="n">
        <v>45245</v>
      </c>
      <c r="C821" s="1" t="n">
        <v>46004</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58261-2023</t>
        </is>
      </c>
      <c r="B822" s="1" t="n">
        <v>45245</v>
      </c>
      <c r="C822" s="1" t="n">
        <v>46004</v>
      </c>
      <c r="D822" t="inlineStr">
        <is>
          <t>STOCKHOLMS LÄN</t>
        </is>
      </c>
      <c r="E822" t="inlineStr">
        <is>
          <t>NORRTÄLJE</t>
        </is>
      </c>
      <c r="G822" t="n">
        <v>53.5</v>
      </c>
      <c r="H822" t="n">
        <v>0</v>
      </c>
      <c r="I822" t="n">
        <v>0</v>
      </c>
      <c r="J822" t="n">
        <v>0</v>
      </c>
      <c r="K822" t="n">
        <v>0</v>
      </c>
      <c r="L822" t="n">
        <v>0</v>
      </c>
      <c r="M822" t="n">
        <v>0</v>
      </c>
      <c r="N822" t="n">
        <v>0</v>
      </c>
      <c r="O822" t="n">
        <v>0</v>
      </c>
      <c r="P822" t="n">
        <v>0</v>
      </c>
      <c r="Q822" t="n">
        <v>0</v>
      </c>
      <c r="R822" s="2" t="inlineStr"/>
    </row>
    <row r="823" ht="15" customHeight="1">
      <c r="A823" t="inlineStr">
        <is>
          <t>A 41272-2025</t>
        </is>
      </c>
      <c r="B823" s="1" t="n">
        <v>45898.62373842593</v>
      </c>
      <c r="C823" s="1" t="n">
        <v>46004</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25654-2023</t>
        </is>
      </c>
      <c r="B824" s="1" t="n">
        <v>45089</v>
      </c>
      <c r="C824" s="1" t="n">
        <v>46004</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7796-2025</t>
        </is>
      </c>
      <c r="B825" s="1" t="n">
        <v>45706.60130787037</v>
      </c>
      <c r="C825" s="1" t="n">
        <v>46004</v>
      </c>
      <c r="D825" t="inlineStr">
        <is>
          <t>STOCKHOLMS LÄN</t>
        </is>
      </c>
      <c r="E825" t="inlineStr">
        <is>
          <t>NORRTÄLJE</t>
        </is>
      </c>
      <c r="F825" t="inlineStr">
        <is>
          <t>Holmen skog AB</t>
        </is>
      </c>
      <c r="G825" t="n">
        <v>2.4</v>
      </c>
      <c r="H825" t="n">
        <v>0</v>
      </c>
      <c r="I825" t="n">
        <v>0</v>
      </c>
      <c r="J825" t="n">
        <v>0</v>
      </c>
      <c r="K825" t="n">
        <v>0</v>
      </c>
      <c r="L825" t="n">
        <v>0</v>
      </c>
      <c r="M825" t="n">
        <v>0</v>
      </c>
      <c r="N825" t="n">
        <v>0</v>
      </c>
      <c r="O825" t="n">
        <v>0</v>
      </c>
      <c r="P825" t="n">
        <v>0</v>
      </c>
      <c r="Q825" t="n">
        <v>0</v>
      </c>
      <c r="R825" s="2" t="inlineStr"/>
    </row>
    <row r="826" ht="15" customHeight="1">
      <c r="A826" t="inlineStr">
        <is>
          <t>A 15552-2021</t>
        </is>
      </c>
      <c r="B826" s="1" t="n">
        <v>44285</v>
      </c>
      <c r="C826" s="1" t="n">
        <v>46004</v>
      </c>
      <c r="D826" t="inlineStr">
        <is>
          <t>STOCKHOLMS LÄN</t>
        </is>
      </c>
      <c r="E826" t="inlineStr">
        <is>
          <t>NORRTÄLJE</t>
        </is>
      </c>
      <c r="G826" t="n">
        <v>10</v>
      </c>
      <c r="H826" t="n">
        <v>0</v>
      </c>
      <c r="I826" t="n">
        <v>0</v>
      </c>
      <c r="J826" t="n">
        <v>0</v>
      </c>
      <c r="K826" t="n">
        <v>0</v>
      </c>
      <c r="L826" t="n">
        <v>0</v>
      </c>
      <c r="M826" t="n">
        <v>0</v>
      </c>
      <c r="N826" t="n">
        <v>0</v>
      </c>
      <c r="O826" t="n">
        <v>0</v>
      </c>
      <c r="P826" t="n">
        <v>0</v>
      </c>
      <c r="Q826" t="n">
        <v>0</v>
      </c>
      <c r="R826" s="2" t="inlineStr"/>
    </row>
    <row r="827" ht="15" customHeight="1">
      <c r="A827" t="inlineStr">
        <is>
          <t>A 58040-2024</t>
        </is>
      </c>
      <c r="B827" s="1" t="n">
        <v>45631.73952546297</v>
      </c>
      <c r="C827" s="1" t="n">
        <v>46004</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58041-2024</t>
        </is>
      </c>
      <c r="B828" s="1" t="n">
        <v>45631.74673611111</v>
      </c>
      <c r="C828" s="1" t="n">
        <v>46004</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30268-2024</t>
        </is>
      </c>
      <c r="B829" s="1" t="n">
        <v>45490.60572916667</v>
      </c>
      <c r="C829" s="1" t="n">
        <v>46004</v>
      </c>
      <c r="D829" t="inlineStr">
        <is>
          <t>STOCKHOLMS LÄN</t>
        </is>
      </c>
      <c r="E829" t="inlineStr">
        <is>
          <t>NORRTÄLJE</t>
        </is>
      </c>
      <c r="G829" t="n">
        <v>5.6</v>
      </c>
      <c r="H829" t="n">
        <v>0</v>
      </c>
      <c r="I829" t="n">
        <v>0</v>
      </c>
      <c r="J829" t="n">
        <v>0</v>
      </c>
      <c r="K829" t="n">
        <v>0</v>
      </c>
      <c r="L829" t="n">
        <v>0</v>
      </c>
      <c r="M829" t="n">
        <v>0</v>
      </c>
      <c r="N829" t="n">
        <v>0</v>
      </c>
      <c r="O829" t="n">
        <v>0</v>
      </c>
      <c r="P829" t="n">
        <v>0</v>
      </c>
      <c r="Q829" t="n">
        <v>0</v>
      </c>
      <c r="R829" s="2" t="inlineStr"/>
    </row>
    <row r="830" ht="15" customHeight="1">
      <c r="A830" t="inlineStr">
        <is>
          <t>A 41301-2025</t>
        </is>
      </c>
      <c r="B830" s="1" t="n">
        <v>45898.68826388889</v>
      </c>
      <c r="C830" s="1" t="n">
        <v>46004</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12407-2025</t>
        </is>
      </c>
      <c r="B831" s="1" t="n">
        <v>45730.42851851852</v>
      </c>
      <c r="C831" s="1" t="n">
        <v>46004</v>
      </c>
      <c r="D831" t="inlineStr">
        <is>
          <t>STOCKHOLMS LÄN</t>
        </is>
      </c>
      <c r="E831" t="inlineStr">
        <is>
          <t>NORRTÄLJE</t>
        </is>
      </c>
      <c r="F831" t="inlineStr">
        <is>
          <t>Holmen skog AB</t>
        </is>
      </c>
      <c r="G831" t="n">
        <v>2.6</v>
      </c>
      <c r="H831" t="n">
        <v>0</v>
      </c>
      <c r="I831" t="n">
        <v>0</v>
      </c>
      <c r="J831" t="n">
        <v>0</v>
      </c>
      <c r="K831" t="n">
        <v>0</v>
      </c>
      <c r="L831" t="n">
        <v>0</v>
      </c>
      <c r="M831" t="n">
        <v>0</v>
      </c>
      <c r="N831" t="n">
        <v>0</v>
      </c>
      <c r="O831" t="n">
        <v>0</v>
      </c>
      <c r="P831" t="n">
        <v>0</v>
      </c>
      <c r="Q831" t="n">
        <v>0</v>
      </c>
      <c r="R831" s="2" t="inlineStr"/>
    </row>
    <row r="832" ht="15" customHeight="1">
      <c r="A832" t="inlineStr">
        <is>
          <t>A 23125-2022</t>
        </is>
      </c>
      <c r="B832" s="1" t="n">
        <v>44719</v>
      </c>
      <c r="C832" s="1" t="n">
        <v>46004</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41174-2025</t>
        </is>
      </c>
      <c r="B833" s="1" t="n">
        <v>45898.54921296296</v>
      </c>
      <c r="C833" s="1" t="n">
        <v>46004</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20121-2022</t>
        </is>
      </c>
      <c r="B834" s="1" t="n">
        <v>44698</v>
      </c>
      <c r="C834" s="1" t="n">
        <v>46004</v>
      </c>
      <c r="D834" t="inlineStr">
        <is>
          <t>STOCKHOLMS LÄN</t>
        </is>
      </c>
      <c r="E834" t="inlineStr">
        <is>
          <t>NORRTÄLJE</t>
        </is>
      </c>
      <c r="G834" t="n">
        <v>4.2</v>
      </c>
      <c r="H834" t="n">
        <v>0</v>
      </c>
      <c r="I834" t="n">
        <v>0</v>
      </c>
      <c r="J834" t="n">
        <v>0</v>
      </c>
      <c r="K834" t="n">
        <v>0</v>
      </c>
      <c r="L834" t="n">
        <v>0</v>
      </c>
      <c r="M834" t="n">
        <v>0</v>
      </c>
      <c r="N834" t="n">
        <v>0</v>
      </c>
      <c r="O834" t="n">
        <v>0</v>
      </c>
      <c r="P834" t="n">
        <v>0</v>
      </c>
      <c r="Q834" t="n">
        <v>0</v>
      </c>
      <c r="R834" s="2" t="inlineStr"/>
    </row>
    <row r="835" ht="15" customHeight="1">
      <c r="A835" t="inlineStr">
        <is>
          <t>A 19025-2025</t>
        </is>
      </c>
      <c r="B835" s="1" t="n">
        <v>45764.6359837963</v>
      </c>
      <c r="C835" s="1" t="n">
        <v>46004</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41030-2025</t>
        </is>
      </c>
      <c r="B836" s="1" t="n">
        <v>45898.37636574074</v>
      </c>
      <c r="C836" s="1" t="n">
        <v>46004</v>
      </c>
      <c r="D836" t="inlineStr">
        <is>
          <t>STOCKHOLMS LÄN</t>
        </is>
      </c>
      <c r="E836" t="inlineStr">
        <is>
          <t>NORRTÄLJE</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54276-2021</t>
        </is>
      </c>
      <c r="B837" s="1" t="n">
        <v>44470</v>
      </c>
      <c r="C837" s="1" t="n">
        <v>46004</v>
      </c>
      <c r="D837" t="inlineStr">
        <is>
          <t>STOCKHOLMS LÄN</t>
        </is>
      </c>
      <c r="E837" t="inlineStr">
        <is>
          <t>NORRTÄLJE</t>
        </is>
      </c>
      <c r="G837" t="n">
        <v>7.3</v>
      </c>
      <c r="H837" t="n">
        <v>0</v>
      </c>
      <c r="I837" t="n">
        <v>0</v>
      </c>
      <c r="J837" t="n">
        <v>0</v>
      </c>
      <c r="K837" t="n">
        <v>0</v>
      </c>
      <c r="L837" t="n">
        <v>0</v>
      </c>
      <c r="M837" t="n">
        <v>0</v>
      </c>
      <c r="N837" t="n">
        <v>0</v>
      </c>
      <c r="O837" t="n">
        <v>0</v>
      </c>
      <c r="P837" t="n">
        <v>0</v>
      </c>
      <c r="Q837" t="n">
        <v>0</v>
      </c>
      <c r="R837" s="2" t="inlineStr"/>
    </row>
    <row r="838" ht="15" customHeight="1">
      <c r="A838" t="inlineStr">
        <is>
          <t>A 4316-2023</t>
        </is>
      </c>
      <c r="B838" s="1" t="n">
        <v>44953.67443287037</v>
      </c>
      <c r="C838" s="1" t="n">
        <v>46004</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33385-2024</t>
        </is>
      </c>
      <c r="B839" s="1" t="n">
        <v>45519</v>
      </c>
      <c r="C839" s="1" t="n">
        <v>46004</v>
      </c>
      <c r="D839" t="inlineStr">
        <is>
          <t>STOCKHOLMS LÄN</t>
        </is>
      </c>
      <c r="E839" t="inlineStr">
        <is>
          <t>NORRTÄLJE</t>
        </is>
      </c>
      <c r="G839" t="n">
        <v>1.7</v>
      </c>
      <c r="H839" t="n">
        <v>0</v>
      </c>
      <c r="I839" t="n">
        <v>0</v>
      </c>
      <c r="J839" t="n">
        <v>0</v>
      </c>
      <c r="K839" t="n">
        <v>0</v>
      </c>
      <c r="L839" t="n">
        <v>0</v>
      </c>
      <c r="M839" t="n">
        <v>0</v>
      </c>
      <c r="N839" t="n">
        <v>0</v>
      </c>
      <c r="O839" t="n">
        <v>0</v>
      </c>
      <c r="P839" t="n">
        <v>0</v>
      </c>
      <c r="Q839" t="n">
        <v>0</v>
      </c>
      <c r="R839" s="2" t="inlineStr"/>
    </row>
    <row r="840" ht="15" customHeight="1">
      <c r="A840" t="inlineStr">
        <is>
          <t>A 41036-2025</t>
        </is>
      </c>
      <c r="B840" s="1" t="n">
        <v>45898.38552083333</v>
      </c>
      <c r="C840" s="1" t="n">
        <v>46004</v>
      </c>
      <c r="D840" t="inlineStr">
        <is>
          <t>STOCKHOLMS LÄN</t>
        </is>
      </c>
      <c r="E840" t="inlineStr">
        <is>
          <t>NORRTÄLJE</t>
        </is>
      </c>
      <c r="F840" t="inlineStr">
        <is>
          <t>Holmen skog AB</t>
        </is>
      </c>
      <c r="G840" t="n">
        <v>2.7</v>
      </c>
      <c r="H840" t="n">
        <v>0</v>
      </c>
      <c r="I840" t="n">
        <v>0</v>
      </c>
      <c r="J840" t="n">
        <v>0</v>
      </c>
      <c r="K840" t="n">
        <v>0</v>
      </c>
      <c r="L840" t="n">
        <v>0</v>
      </c>
      <c r="M840" t="n">
        <v>0</v>
      </c>
      <c r="N840" t="n">
        <v>0</v>
      </c>
      <c r="O840" t="n">
        <v>0</v>
      </c>
      <c r="P840" t="n">
        <v>0</v>
      </c>
      <c r="Q840" t="n">
        <v>0</v>
      </c>
      <c r="R840" s="2" t="inlineStr"/>
    </row>
    <row r="841" ht="15" customHeight="1">
      <c r="A841" t="inlineStr">
        <is>
          <t>A 41106-2025</t>
        </is>
      </c>
      <c r="B841" s="1" t="n">
        <v>45898.45636574074</v>
      </c>
      <c r="C841" s="1" t="n">
        <v>46004</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41172-2023</t>
        </is>
      </c>
      <c r="B842" s="1" t="n">
        <v>45170</v>
      </c>
      <c r="C842" s="1" t="n">
        <v>46004</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41587-2023</t>
        </is>
      </c>
      <c r="B843" s="1" t="n">
        <v>45175</v>
      </c>
      <c r="C843" s="1" t="n">
        <v>46004</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41110-2025</t>
        </is>
      </c>
      <c r="B844" s="1" t="n">
        <v>45898.45976851852</v>
      </c>
      <c r="C844" s="1" t="n">
        <v>46004</v>
      </c>
      <c r="D844" t="inlineStr">
        <is>
          <t>STOCKHOLMS LÄN</t>
        </is>
      </c>
      <c r="E844" t="inlineStr">
        <is>
          <t>NORRTÄLJE</t>
        </is>
      </c>
      <c r="F844" t="inlineStr">
        <is>
          <t>Holmen skog AB</t>
        </is>
      </c>
      <c r="G844" t="n">
        <v>6.7</v>
      </c>
      <c r="H844" t="n">
        <v>0</v>
      </c>
      <c r="I844" t="n">
        <v>0</v>
      </c>
      <c r="J844" t="n">
        <v>0</v>
      </c>
      <c r="K844" t="n">
        <v>0</v>
      </c>
      <c r="L844" t="n">
        <v>0</v>
      </c>
      <c r="M844" t="n">
        <v>0</v>
      </c>
      <c r="N844" t="n">
        <v>0</v>
      </c>
      <c r="O844" t="n">
        <v>0</v>
      </c>
      <c r="P844" t="n">
        <v>0</v>
      </c>
      <c r="Q844" t="n">
        <v>0</v>
      </c>
      <c r="R844" s="2" t="inlineStr"/>
    </row>
    <row r="845" ht="15" customHeight="1">
      <c r="A845" t="inlineStr">
        <is>
          <t>A 41259-2025</t>
        </is>
      </c>
      <c r="B845" s="1" t="n">
        <v>45898.61054398148</v>
      </c>
      <c r="C845" s="1" t="n">
        <v>46004</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10511-2025</t>
        </is>
      </c>
      <c r="B846" s="1" t="n">
        <v>45721.40780092592</v>
      </c>
      <c r="C846" s="1" t="n">
        <v>46004</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73307-2021</t>
        </is>
      </c>
      <c r="B847" s="1" t="n">
        <v>44549</v>
      </c>
      <c r="C847" s="1" t="n">
        <v>46004</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50534-2024</t>
        </is>
      </c>
      <c r="B848" s="1" t="n">
        <v>45601.56726851852</v>
      </c>
      <c r="C848" s="1" t="n">
        <v>46004</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29266-2022</t>
        </is>
      </c>
      <c r="B849" s="1" t="n">
        <v>44750.66068287037</v>
      </c>
      <c r="C849" s="1" t="n">
        <v>46004</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29278-2022</t>
        </is>
      </c>
      <c r="B850" s="1" t="n">
        <v>44750</v>
      </c>
      <c r="C850" s="1" t="n">
        <v>46004</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37273-2024</t>
        </is>
      </c>
      <c r="B851" s="1" t="n">
        <v>45540</v>
      </c>
      <c r="C851" s="1" t="n">
        <v>46004</v>
      </c>
      <c r="D851" t="inlineStr">
        <is>
          <t>STOCKHOLMS LÄN</t>
        </is>
      </c>
      <c r="E851" t="inlineStr">
        <is>
          <t>NORRTÄLJE</t>
        </is>
      </c>
      <c r="F851" t="inlineStr">
        <is>
          <t>Sveaskog</t>
        </is>
      </c>
      <c r="G851" t="n">
        <v>12.5</v>
      </c>
      <c r="H851" t="n">
        <v>0</v>
      </c>
      <c r="I851" t="n">
        <v>0</v>
      </c>
      <c r="J851" t="n">
        <v>0</v>
      </c>
      <c r="K851" t="n">
        <v>0</v>
      </c>
      <c r="L851" t="n">
        <v>0</v>
      </c>
      <c r="M851" t="n">
        <v>0</v>
      </c>
      <c r="N851" t="n">
        <v>0</v>
      </c>
      <c r="O851" t="n">
        <v>0</v>
      </c>
      <c r="P851" t="n">
        <v>0</v>
      </c>
      <c r="Q851" t="n">
        <v>0</v>
      </c>
      <c r="R851" s="2" t="inlineStr"/>
    </row>
    <row r="852" ht="15" customHeight="1">
      <c r="A852" t="inlineStr">
        <is>
          <t>A 12908-2025</t>
        </is>
      </c>
      <c r="B852" s="1" t="n">
        <v>45733.82105324074</v>
      </c>
      <c r="C852" s="1" t="n">
        <v>46004</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19057-2024</t>
        </is>
      </c>
      <c r="B853" s="1" t="n">
        <v>45427.88731481481</v>
      </c>
      <c r="C853" s="1" t="n">
        <v>46004</v>
      </c>
      <c r="D853" t="inlineStr">
        <is>
          <t>STOCKHOLMS LÄN</t>
        </is>
      </c>
      <c r="E853" t="inlineStr">
        <is>
          <t>NORRTÄLJE</t>
        </is>
      </c>
      <c r="G853" t="n">
        <v>3</v>
      </c>
      <c r="H853" t="n">
        <v>0</v>
      </c>
      <c r="I853" t="n">
        <v>0</v>
      </c>
      <c r="J853" t="n">
        <v>0</v>
      </c>
      <c r="K853" t="n">
        <v>0</v>
      </c>
      <c r="L853" t="n">
        <v>0</v>
      </c>
      <c r="M853" t="n">
        <v>0</v>
      </c>
      <c r="N853" t="n">
        <v>0</v>
      </c>
      <c r="O853" t="n">
        <v>0</v>
      </c>
      <c r="P853" t="n">
        <v>0</v>
      </c>
      <c r="Q853" t="n">
        <v>0</v>
      </c>
      <c r="R853" s="2" t="inlineStr"/>
    </row>
    <row r="854" ht="15" customHeight="1">
      <c r="A854" t="inlineStr">
        <is>
          <t>A 11988-2021</t>
        </is>
      </c>
      <c r="B854" s="1" t="n">
        <v>44266</v>
      </c>
      <c r="C854" s="1" t="n">
        <v>46004</v>
      </c>
      <c r="D854" t="inlineStr">
        <is>
          <t>STOCKHOLMS LÄN</t>
        </is>
      </c>
      <c r="E854" t="inlineStr">
        <is>
          <t>NORRTÄLJE</t>
        </is>
      </c>
      <c r="G854" t="n">
        <v>1.2</v>
      </c>
      <c r="H854" t="n">
        <v>0</v>
      </c>
      <c r="I854" t="n">
        <v>0</v>
      </c>
      <c r="J854" t="n">
        <v>0</v>
      </c>
      <c r="K854" t="n">
        <v>0</v>
      </c>
      <c r="L854" t="n">
        <v>0</v>
      </c>
      <c r="M854" t="n">
        <v>0</v>
      </c>
      <c r="N854" t="n">
        <v>0</v>
      </c>
      <c r="O854" t="n">
        <v>0</v>
      </c>
      <c r="P854" t="n">
        <v>0</v>
      </c>
      <c r="Q854" t="n">
        <v>0</v>
      </c>
      <c r="R854" s="2" t="inlineStr"/>
    </row>
    <row r="855" ht="15" customHeight="1">
      <c r="A855" t="inlineStr">
        <is>
          <t>A 12132-2021</t>
        </is>
      </c>
      <c r="B855" s="1" t="n">
        <v>44266</v>
      </c>
      <c r="C855" s="1" t="n">
        <v>46004</v>
      </c>
      <c r="D855" t="inlineStr">
        <is>
          <t>STOCKHOLMS LÄN</t>
        </is>
      </c>
      <c r="E855" t="inlineStr">
        <is>
          <t>NORRTÄLJE</t>
        </is>
      </c>
      <c r="G855" t="n">
        <v>4</v>
      </c>
      <c r="H855" t="n">
        <v>0</v>
      </c>
      <c r="I855" t="n">
        <v>0</v>
      </c>
      <c r="J855" t="n">
        <v>0</v>
      </c>
      <c r="K855" t="n">
        <v>0</v>
      </c>
      <c r="L855" t="n">
        <v>0</v>
      </c>
      <c r="M855" t="n">
        <v>0</v>
      </c>
      <c r="N855" t="n">
        <v>0</v>
      </c>
      <c r="O855" t="n">
        <v>0</v>
      </c>
      <c r="P855" t="n">
        <v>0</v>
      </c>
      <c r="Q855" t="n">
        <v>0</v>
      </c>
      <c r="R855" s="2" t="inlineStr"/>
    </row>
    <row r="856" ht="15" customHeight="1">
      <c r="A856" t="inlineStr">
        <is>
          <t>A 65499-2021</t>
        </is>
      </c>
      <c r="B856" s="1" t="n">
        <v>44516</v>
      </c>
      <c r="C856" s="1" t="n">
        <v>46004</v>
      </c>
      <c r="D856" t="inlineStr">
        <is>
          <t>STOCKHOLMS LÄN</t>
        </is>
      </c>
      <c r="E856" t="inlineStr">
        <is>
          <t>NORRTÄLJE</t>
        </is>
      </c>
      <c r="F856" t="inlineStr">
        <is>
          <t>Kommuner</t>
        </is>
      </c>
      <c r="G856" t="n">
        <v>5.2</v>
      </c>
      <c r="H856" t="n">
        <v>0</v>
      </c>
      <c r="I856" t="n">
        <v>0</v>
      </c>
      <c r="J856" t="n">
        <v>0</v>
      </c>
      <c r="K856" t="n">
        <v>0</v>
      </c>
      <c r="L856" t="n">
        <v>0</v>
      </c>
      <c r="M856" t="n">
        <v>0</v>
      </c>
      <c r="N856" t="n">
        <v>0</v>
      </c>
      <c r="O856" t="n">
        <v>0</v>
      </c>
      <c r="P856" t="n">
        <v>0</v>
      </c>
      <c r="Q856" t="n">
        <v>0</v>
      </c>
      <c r="R856" s="2" t="inlineStr"/>
    </row>
    <row r="857" ht="15" customHeight="1">
      <c r="A857" t="inlineStr">
        <is>
          <t>A 65511-2021</t>
        </is>
      </c>
      <c r="B857" s="1" t="n">
        <v>44516.40674768519</v>
      </c>
      <c r="C857" s="1" t="n">
        <v>46004</v>
      </c>
      <c r="D857" t="inlineStr">
        <is>
          <t>STOCKHOLMS LÄN</t>
        </is>
      </c>
      <c r="E857" t="inlineStr">
        <is>
          <t>NORRTÄLJE</t>
        </is>
      </c>
      <c r="F857" t="inlineStr">
        <is>
          <t>Kommuner</t>
        </is>
      </c>
      <c r="G857" t="n">
        <v>2.8</v>
      </c>
      <c r="H857" t="n">
        <v>0</v>
      </c>
      <c r="I857" t="n">
        <v>0</v>
      </c>
      <c r="J857" t="n">
        <v>0</v>
      </c>
      <c r="K857" t="n">
        <v>0</v>
      </c>
      <c r="L857" t="n">
        <v>0</v>
      </c>
      <c r="M857" t="n">
        <v>0</v>
      </c>
      <c r="N857" t="n">
        <v>0</v>
      </c>
      <c r="O857" t="n">
        <v>0</v>
      </c>
      <c r="P857" t="n">
        <v>0</v>
      </c>
      <c r="Q857" t="n">
        <v>0</v>
      </c>
      <c r="R857" s="2" t="inlineStr"/>
    </row>
    <row r="858" ht="15" customHeight="1">
      <c r="A858" t="inlineStr">
        <is>
          <t>A 41966-2025</t>
        </is>
      </c>
      <c r="B858" s="1" t="n">
        <v>45903.47456018518</v>
      </c>
      <c r="C858" s="1" t="n">
        <v>46004</v>
      </c>
      <c r="D858" t="inlineStr">
        <is>
          <t>STOCKHOLMS LÄN</t>
        </is>
      </c>
      <c r="E858" t="inlineStr">
        <is>
          <t>NORRTÄLJE</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23060-2023</t>
        </is>
      </c>
      <c r="B859" s="1" t="n">
        <v>45075</v>
      </c>
      <c r="C859" s="1" t="n">
        <v>46004</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42038-2025</t>
        </is>
      </c>
      <c r="B860" s="1" t="n">
        <v>45903.61431712963</v>
      </c>
      <c r="C860" s="1" t="n">
        <v>46004</v>
      </c>
      <c r="D860" t="inlineStr">
        <is>
          <t>STOCKHOLMS LÄN</t>
        </is>
      </c>
      <c r="E860" t="inlineStr">
        <is>
          <t>NORRTÄLJE</t>
        </is>
      </c>
      <c r="F860" t="inlineStr">
        <is>
          <t>Sveaskog</t>
        </is>
      </c>
      <c r="G860" t="n">
        <v>6.4</v>
      </c>
      <c r="H860" t="n">
        <v>0</v>
      </c>
      <c r="I860" t="n">
        <v>0</v>
      </c>
      <c r="J860" t="n">
        <v>0</v>
      </c>
      <c r="K860" t="n">
        <v>0</v>
      </c>
      <c r="L860" t="n">
        <v>0</v>
      </c>
      <c r="M860" t="n">
        <v>0</v>
      </c>
      <c r="N860" t="n">
        <v>0</v>
      </c>
      <c r="O860" t="n">
        <v>0</v>
      </c>
      <c r="P860" t="n">
        <v>0</v>
      </c>
      <c r="Q860" t="n">
        <v>0</v>
      </c>
      <c r="R860" s="2" t="inlineStr"/>
    </row>
    <row r="861" ht="15" customHeight="1">
      <c r="A861" t="inlineStr">
        <is>
          <t>A 22833-2024</t>
        </is>
      </c>
      <c r="B861" s="1" t="n">
        <v>45448.56746527777</v>
      </c>
      <c r="C861" s="1" t="n">
        <v>46004</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32514-2022</t>
        </is>
      </c>
      <c r="B862" s="1" t="n">
        <v>44782</v>
      </c>
      <c r="C862" s="1" t="n">
        <v>46004</v>
      </c>
      <c r="D862" t="inlineStr">
        <is>
          <t>STOCKHOLMS LÄN</t>
        </is>
      </c>
      <c r="E862" t="inlineStr">
        <is>
          <t>NORRTÄLJE</t>
        </is>
      </c>
      <c r="G862" t="n">
        <v>5.1</v>
      </c>
      <c r="H862" t="n">
        <v>0</v>
      </c>
      <c r="I862" t="n">
        <v>0</v>
      </c>
      <c r="J862" t="n">
        <v>0</v>
      </c>
      <c r="K862" t="n">
        <v>0</v>
      </c>
      <c r="L862" t="n">
        <v>0</v>
      </c>
      <c r="M862" t="n">
        <v>0</v>
      </c>
      <c r="N862" t="n">
        <v>0</v>
      </c>
      <c r="O862" t="n">
        <v>0</v>
      </c>
      <c r="P862" t="n">
        <v>0</v>
      </c>
      <c r="Q862" t="n">
        <v>0</v>
      </c>
      <c r="R862" s="2" t="inlineStr"/>
    </row>
    <row r="863" ht="15" customHeight="1">
      <c r="A863" t="inlineStr">
        <is>
          <t>A 29362-2022</t>
        </is>
      </c>
      <c r="B863" s="1" t="n">
        <v>44753</v>
      </c>
      <c r="C863" s="1" t="n">
        <v>46004</v>
      </c>
      <c r="D863" t="inlineStr">
        <is>
          <t>STOCKHOLMS LÄN</t>
        </is>
      </c>
      <c r="E863" t="inlineStr">
        <is>
          <t>NORRTÄLJE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41964-2025</t>
        </is>
      </c>
      <c r="B864" s="1" t="n">
        <v>45903.47270833333</v>
      </c>
      <c r="C864" s="1" t="n">
        <v>46004</v>
      </c>
      <c r="D864" t="inlineStr">
        <is>
          <t>STOCKHOLMS LÄN</t>
        </is>
      </c>
      <c r="E864" t="inlineStr">
        <is>
          <t>NORRTÄLJE</t>
        </is>
      </c>
      <c r="F864" t="inlineStr">
        <is>
          <t>Sveaskog</t>
        </is>
      </c>
      <c r="G864" t="n">
        <v>4</v>
      </c>
      <c r="H864" t="n">
        <v>0</v>
      </c>
      <c r="I864" t="n">
        <v>0</v>
      </c>
      <c r="J864" t="n">
        <v>0</v>
      </c>
      <c r="K864" t="n">
        <v>0</v>
      </c>
      <c r="L864" t="n">
        <v>0</v>
      </c>
      <c r="M864" t="n">
        <v>0</v>
      </c>
      <c r="N864" t="n">
        <v>0</v>
      </c>
      <c r="O864" t="n">
        <v>0</v>
      </c>
      <c r="P864" t="n">
        <v>0</v>
      </c>
      <c r="Q864" t="n">
        <v>0</v>
      </c>
      <c r="R864" s="2" t="inlineStr"/>
    </row>
    <row r="865" ht="15" customHeight="1">
      <c r="A865" t="inlineStr">
        <is>
          <t>A 32103-2022</t>
        </is>
      </c>
      <c r="B865" s="1" t="n">
        <v>44778</v>
      </c>
      <c r="C865" s="1" t="n">
        <v>46004</v>
      </c>
      <c r="D865" t="inlineStr">
        <is>
          <t>STOCKHOLMS LÄN</t>
        </is>
      </c>
      <c r="E865" t="inlineStr">
        <is>
          <t>NORRTÄLJE</t>
        </is>
      </c>
      <c r="G865" t="n">
        <v>3.4</v>
      </c>
      <c r="H865" t="n">
        <v>0</v>
      </c>
      <c r="I865" t="n">
        <v>0</v>
      </c>
      <c r="J865" t="n">
        <v>0</v>
      </c>
      <c r="K865" t="n">
        <v>0</v>
      </c>
      <c r="L865" t="n">
        <v>0</v>
      </c>
      <c r="M865" t="n">
        <v>0</v>
      </c>
      <c r="N865" t="n">
        <v>0</v>
      </c>
      <c r="O865" t="n">
        <v>0</v>
      </c>
      <c r="P865" t="n">
        <v>0</v>
      </c>
      <c r="Q865" t="n">
        <v>0</v>
      </c>
      <c r="R865" s="2" t="inlineStr"/>
    </row>
    <row r="866" ht="15" customHeight="1">
      <c r="A866" t="inlineStr">
        <is>
          <t>A 6401-2024</t>
        </is>
      </c>
      <c r="B866" s="1" t="n">
        <v>45338</v>
      </c>
      <c r="C866" s="1" t="n">
        <v>46004</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58492-2022</t>
        </is>
      </c>
      <c r="B867" s="1" t="n">
        <v>44902</v>
      </c>
      <c r="C867" s="1" t="n">
        <v>46004</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59504-2023</t>
        </is>
      </c>
      <c r="B868" s="1" t="n">
        <v>45254</v>
      </c>
      <c r="C868" s="1" t="n">
        <v>46004</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51315-2021</t>
        </is>
      </c>
      <c r="B869" s="1" t="n">
        <v>44461</v>
      </c>
      <c r="C869" s="1" t="n">
        <v>46004</v>
      </c>
      <c r="D869" t="inlineStr">
        <is>
          <t>STOCKHOLMS LÄN</t>
        </is>
      </c>
      <c r="E869" t="inlineStr">
        <is>
          <t>NORRTÄLJE</t>
        </is>
      </c>
      <c r="F869" t="inlineStr">
        <is>
          <t>Holmen skog AB</t>
        </is>
      </c>
      <c r="G869" t="n">
        <v>2.2</v>
      </c>
      <c r="H869" t="n">
        <v>0</v>
      </c>
      <c r="I869" t="n">
        <v>0</v>
      </c>
      <c r="J869" t="n">
        <v>0</v>
      </c>
      <c r="K869" t="n">
        <v>0</v>
      </c>
      <c r="L869" t="n">
        <v>0</v>
      </c>
      <c r="M869" t="n">
        <v>0</v>
      </c>
      <c r="N869" t="n">
        <v>0</v>
      </c>
      <c r="O869" t="n">
        <v>0</v>
      </c>
      <c r="P869" t="n">
        <v>0</v>
      </c>
      <c r="Q869" t="n">
        <v>0</v>
      </c>
      <c r="R869" s="2" t="inlineStr"/>
    </row>
    <row r="870" ht="15" customHeight="1">
      <c r="A870" t="inlineStr">
        <is>
          <t>A 14873-2025</t>
        </is>
      </c>
      <c r="B870" s="1" t="n">
        <v>45743.44953703704</v>
      </c>
      <c r="C870" s="1" t="n">
        <v>46004</v>
      </c>
      <c r="D870" t="inlineStr">
        <is>
          <t>STOCKHOLMS LÄN</t>
        </is>
      </c>
      <c r="E870" t="inlineStr">
        <is>
          <t>NORRTÄLJE</t>
        </is>
      </c>
      <c r="G870" t="n">
        <v>10.2</v>
      </c>
      <c r="H870" t="n">
        <v>0</v>
      </c>
      <c r="I870" t="n">
        <v>0</v>
      </c>
      <c r="J870" t="n">
        <v>0</v>
      </c>
      <c r="K870" t="n">
        <v>0</v>
      </c>
      <c r="L870" t="n">
        <v>0</v>
      </c>
      <c r="M870" t="n">
        <v>0</v>
      </c>
      <c r="N870" t="n">
        <v>0</v>
      </c>
      <c r="O870" t="n">
        <v>0</v>
      </c>
      <c r="P870" t="n">
        <v>0</v>
      </c>
      <c r="Q870" t="n">
        <v>0</v>
      </c>
      <c r="R870" s="2" t="inlineStr"/>
    </row>
    <row r="871" ht="15" customHeight="1">
      <c r="A871" t="inlineStr">
        <is>
          <t>A 30699-2025</t>
        </is>
      </c>
      <c r="B871" s="1" t="n">
        <v>45831.54618055555</v>
      </c>
      <c r="C871" s="1" t="n">
        <v>46004</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34773-2022</t>
        </is>
      </c>
      <c r="B872" s="1" t="n">
        <v>44795</v>
      </c>
      <c r="C872" s="1" t="n">
        <v>46004</v>
      </c>
      <c r="D872" t="inlineStr">
        <is>
          <t>STOCKHOLMS LÄN</t>
        </is>
      </c>
      <c r="E872" t="inlineStr">
        <is>
          <t>NORRTÄLJE</t>
        </is>
      </c>
      <c r="G872" t="n">
        <v>3.9</v>
      </c>
      <c r="H872" t="n">
        <v>0</v>
      </c>
      <c r="I872" t="n">
        <v>0</v>
      </c>
      <c r="J872" t="n">
        <v>0</v>
      </c>
      <c r="K872" t="n">
        <v>0</v>
      </c>
      <c r="L872" t="n">
        <v>0</v>
      </c>
      <c r="M872" t="n">
        <v>0</v>
      </c>
      <c r="N872" t="n">
        <v>0</v>
      </c>
      <c r="O872" t="n">
        <v>0</v>
      </c>
      <c r="P872" t="n">
        <v>0</v>
      </c>
      <c r="Q872" t="n">
        <v>0</v>
      </c>
      <c r="R872" s="2" t="inlineStr"/>
    </row>
    <row r="873" ht="15" customHeight="1">
      <c r="A873" t="inlineStr">
        <is>
          <t>A 33173-2024</t>
        </is>
      </c>
      <c r="B873" s="1" t="n">
        <v>45518</v>
      </c>
      <c r="C873" s="1" t="n">
        <v>46004</v>
      </c>
      <c r="D873" t="inlineStr">
        <is>
          <t>STOCKHOLMS LÄN</t>
        </is>
      </c>
      <c r="E873" t="inlineStr">
        <is>
          <t>NORRTÄLJE</t>
        </is>
      </c>
      <c r="G873" t="n">
        <v>0.8</v>
      </c>
      <c r="H873" t="n">
        <v>0</v>
      </c>
      <c r="I873" t="n">
        <v>0</v>
      </c>
      <c r="J873" t="n">
        <v>0</v>
      </c>
      <c r="K873" t="n">
        <v>0</v>
      </c>
      <c r="L873" t="n">
        <v>0</v>
      </c>
      <c r="M873" t="n">
        <v>0</v>
      </c>
      <c r="N873" t="n">
        <v>0</v>
      </c>
      <c r="O873" t="n">
        <v>0</v>
      </c>
      <c r="P873" t="n">
        <v>0</v>
      </c>
      <c r="Q873" t="n">
        <v>0</v>
      </c>
      <c r="R873" s="2" t="inlineStr"/>
    </row>
    <row r="874" ht="15" customHeight="1">
      <c r="A874" t="inlineStr">
        <is>
          <t>A 17304-2024</t>
        </is>
      </c>
      <c r="B874" s="1" t="n">
        <v>45414</v>
      </c>
      <c r="C874" s="1" t="n">
        <v>46004</v>
      </c>
      <c r="D874" t="inlineStr">
        <is>
          <t>STOCKHOLMS LÄN</t>
        </is>
      </c>
      <c r="E874" t="inlineStr">
        <is>
          <t>NORRTÄLJE</t>
        </is>
      </c>
      <c r="G874" t="n">
        <v>0.9</v>
      </c>
      <c r="H874" t="n">
        <v>0</v>
      </c>
      <c r="I874" t="n">
        <v>0</v>
      </c>
      <c r="J874" t="n">
        <v>0</v>
      </c>
      <c r="K874" t="n">
        <v>0</v>
      </c>
      <c r="L874" t="n">
        <v>0</v>
      </c>
      <c r="M874" t="n">
        <v>0</v>
      </c>
      <c r="N874" t="n">
        <v>0</v>
      </c>
      <c r="O874" t="n">
        <v>0</v>
      </c>
      <c r="P874" t="n">
        <v>0</v>
      </c>
      <c r="Q874" t="n">
        <v>0</v>
      </c>
      <c r="R874" s="2" t="inlineStr"/>
    </row>
    <row r="875" ht="15" customHeight="1">
      <c r="A875" t="inlineStr">
        <is>
          <t>A 52321-2024</t>
        </is>
      </c>
      <c r="B875" s="1" t="n">
        <v>45608</v>
      </c>
      <c r="C875" s="1" t="n">
        <v>46004</v>
      </c>
      <c r="D875" t="inlineStr">
        <is>
          <t>STOCKHOLMS LÄN</t>
        </is>
      </c>
      <c r="E875" t="inlineStr">
        <is>
          <t>NORRTÄLJE</t>
        </is>
      </c>
      <c r="G875" t="n">
        <v>18.1</v>
      </c>
      <c r="H875" t="n">
        <v>0</v>
      </c>
      <c r="I875" t="n">
        <v>0</v>
      </c>
      <c r="J875" t="n">
        <v>0</v>
      </c>
      <c r="K875" t="n">
        <v>0</v>
      </c>
      <c r="L875" t="n">
        <v>0</v>
      </c>
      <c r="M875" t="n">
        <v>0</v>
      </c>
      <c r="N875" t="n">
        <v>0</v>
      </c>
      <c r="O875" t="n">
        <v>0</v>
      </c>
      <c r="P875" t="n">
        <v>0</v>
      </c>
      <c r="Q875" t="n">
        <v>0</v>
      </c>
      <c r="R875" s="2" t="inlineStr"/>
    </row>
    <row r="876" ht="15" customHeight="1">
      <c r="A876" t="inlineStr">
        <is>
          <t>A 48151-2024</t>
        </is>
      </c>
      <c r="B876" s="1" t="n">
        <v>45589.68289351852</v>
      </c>
      <c r="C876" s="1" t="n">
        <v>46004</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20011-2025</t>
        </is>
      </c>
      <c r="B877" s="1" t="n">
        <v>45772.29622685185</v>
      </c>
      <c r="C877" s="1" t="n">
        <v>46004</v>
      </c>
      <c r="D877" t="inlineStr">
        <is>
          <t>STOCKHOLMS LÄN</t>
        </is>
      </c>
      <c r="E877" t="inlineStr">
        <is>
          <t>NORRTÄLJE</t>
        </is>
      </c>
      <c r="G877" t="n">
        <v>3.5</v>
      </c>
      <c r="H877" t="n">
        <v>0</v>
      </c>
      <c r="I877" t="n">
        <v>0</v>
      </c>
      <c r="J877" t="n">
        <v>0</v>
      </c>
      <c r="K877" t="n">
        <v>0</v>
      </c>
      <c r="L877" t="n">
        <v>0</v>
      </c>
      <c r="M877" t="n">
        <v>0</v>
      </c>
      <c r="N877" t="n">
        <v>0</v>
      </c>
      <c r="O877" t="n">
        <v>0</v>
      </c>
      <c r="P877" t="n">
        <v>0</v>
      </c>
      <c r="Q877" t="n">
        <v>0</v>
      </c>
      <c r="R877" s="2" t="inlineStr"/>
    </row>
    <row r="878" ht="15" customHeight="1">
      <c r="A878" t="inlineStr">
        <is>
          <t>A 42856-2025</t>
        </is>
      </c>
      <c r="B878" s="1" t="n">
        <v>45908</v>
      </c>
      <c r="C878" s="1" t="n">
        <v>46004</v>
      </c>
      <c r="D878" t="inlineStr">
        <is>
          <t>STOCKHOLMS LÄN</t>
        </is>
      </c>
      <c r="E878" t="inlineStr">
        <is>
          <t>NORRTÄLJE</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11280-2023</t>
        </is>
      </c>
      <c r="B879" s="1" t="n">
        <v>44992</v>
      </c>
      <c r="C879" s="1" t="n">
        <v>46004</v>
      </c>
      <c r="D879" t="inlineStr">
        <is>
          <t>STOCKHOLMS LÄN</t>
        </is>
      </c>
      <c r="E879" t="inlineStr">
        <is>
          <t>NORRTÄLJE</t>
        </is>
      </c>
      <c r="G879" t="n">
        <v>0.8</v>
      </c>
      <c r="H879" t="n">
        <v>0</v>
      </c>
      <c r="I879" t="n">
        <v>0</v>
      </c>
      <c r="J879" t="n">
        <v>0</v>
      </c>
      <c r="K879" t="n">
        <v>0</v>
      </c>
      <c r="L879" t="n">
        <v>0</v>
      </c>
      <c r="M879" t="n">
        <v>0</v>
      </c>
      <c r="N879" t="n">
        <v>0</v>
      </c>
      <c r="O879" t="n">
        <v>0</v>
      </c>
      <c r="P879" t="n">
        <v>0</v>
      </c>
      <c r="Q879" t="n">
        <v>0</v>
      </c>
      <c r="R879" s="2" t="inlineStr"/>
    </row>
    <row r="880" ht="15" customHeight="1">
      <c r="A880" t="inlineStr">
        <is>
          <t>A 20370-2025</t>
        </is>
      </c>
      <c r="B880" s="1" t="n">
        <v>45775.41451388889</v>
      </c>
      <c r="C880" s="1" t="n">
        <v>46004</v>
      </c>
      <c r="D880" t="inlineStr">
        <is>
          <t>STOCKHOLMS LÄN</t>
        </is>
      </c>
      <c r="E880" t="inlineStr">
        <is>
          <t>NORRTÄLJE</t>
        </is>
      </c>
      <c r="G880" t="n">
        <v>2.9</v>
      </c>
      <c r="H880" t="n">
        <v>0</v>
      </c>
      <c r="I880" t="n">
        <v>0</v>
      </c>
      <c r="J880" t="n">
        <v>0</v>
      </c>
      <c r="K880" t="n">
        <v>0</v>
      </c>
      <c r="L880" t="n">
        <v>0</v>
      </c>
      <c r="M880" t="n">
        <v>0</v>
      </c>
      <c r="N880" t="n">
        <v>0</v>
      </c>
      <c r="O880" t="n">
        <v>0</v>
      </c>
      <c r="P880" t="n">
        <v>0</v>
      </c>
      <c r="Q880" t="n">
        <v>0</v>
      </c>
      <c r="R880" s="2" t="inlineStr"/>
    </row>
    <row r="881" ht="15" customHeight="1">
      <c r="A881" t="inlineStr">
        <is>
          <t>A 19580-2022</t>
        </is>
      </c>
      <c r="B881" s="1" t="n">
        <v>44693</v>
      </c>
      <c r="C881" s="1" t="n">
        <v>46004</v>
      </c>
      <c r="D881" t="inlineStr">
        <is>
          <t>STOCKHOLMS LÄN</t>
        </is>
      </c>
      <c r="E881" t="inlineStr">
        <is>
          <t>NORRTÄLJE</t>
        </is>
      </c>
      <c r="G881" t="n">
        <v>0.4</v>
      </c>
      <c r="H881" t="n">
        <v>0</v>
      </c>
      <c r="I881" t="n">
        <v>0</v>
      </c>
      <c r="J881" t="n">
        <v>0</v>
      </c>
      <c r="K881" t="n">
        <v>0</v>
      </c>
      <c r="L881" t="n">
        <v>0</v>
      </c>
      <c r="M881" t="n">
        <v>0</v>
      </c>
      <c r="N881" t="n">
        <v>0</v>
      </c>
      <c r="O881" t="n">
        <v>0</v>
      </c>
      <c r="P881" t="n">
        <v>0</v>
      </c>
      <c r="Q881" t="n">
        <v>0</v>
      </c>
      <c r="R881" s="2" t="inlineStr"/>
    </row>
    <row r="882" ht="15" customHeight="1">
      <c r="A882" t="inlineStr">
        <is>
          <t>A 26668-2024</t>
        </is>
      </c>
      <c r="B882" s="1" t="n">
        <v>45469</v>
      </c>
      <c r="C882" s="1" t="n">
        <v>46004</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24835-2025</t>
        </is>
      </c>
      <c r="B883" s="1" t="n">
        <v>45799</v>
      </c>
      <c r="C883" s="1" t="n">
        <v>46004</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30731-2023</t>
        </is>
      </c>
      <c r="B884" s="1" t="n">
        <v>45112</v>
      </c>
      <c r="C884" s="1" t="n">
        <v>46004</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4580-2025</t>
        </is>
      </c>
      <c r="B885" s="1" t="n">
        <v>45687.5038425926</v>
      </c>
      <c r="C885" s="1" t="n">
        <v>46004</v>
      </c>
      <c r="D885" t="inlineStr">
        <is>
          <t>STOCKHOLMS LÄN</t>
        </is>
      </c>
      <c r="E885" t="inlineStr">
        <is>
          <t>NORRTÄLJE</t>
        </is>
      </c>
      <c r="F885" t="inlineStr">
        <is>
          <t>Holmen skog AB</t>
        </is>
      </c>
      <c r="G885" t="n">
        <v>4.8</v>
      </c>
      <c r="H885" t="n">
        <v>0</v>
      </c>
      <c r="I885" t="n">
        <v>0</v>
      </c>
      <c r="J885" t="n">
        <v>0</v>
      </c>
      <c r="K885" t="n">
        <v>0</v>
      </c>
      <c r="L885" t="n">
        <v>0</v>
      </c>
      <c r="M885" t="n">
        <v>0</v>
      </c>
      <c r="N885" t="n">
        <v>0</v>
      </c>
      <c r="O885" t="n">
        <v>0</v>
      </c>
      <c r="P885" t="n">
        <v>0</v>
      </c>
      <c r="Q885" t="n">
        <v>0</v>
      </c>
      <c r="R885" s="2" t="inlineStr"/>
    </row>
    <row r="886" ht="15" customHeight="1">
      <c r="A886" t="inlineStr">
        <is>
          <t>A 31057-2022</t>
        </is>
      </c>
      <c r="B886" s="1" t="n">
        <v>44769</v>
      </c>
      <c r="C886" s="1" t="n">
        <v>46004</v>
      </c>
      <c r="D886" t="inlineStr">
        <is>
          <t>STOCKHOLMS LÄN</t>
        </is>
      </c>
      <c r="E886" t="inlineStr">
        <is>
          <t>NORRTÄLJE</t>
        </is>
      </c>
      <c r="G886" t="n">
        <v>6.5</v>
      </c>
      <c r="H886" t="n">
        <v>0</v>
      </c>
      <c r="I886" t="n">
        <v>0</v>
      </c>
      <c r="J886" t="n">
        <v>0</v>
      </c>
      <c r="K886" t="n">
        <v>0</v>
      </c>
      <c r="L886" t="n">
        <v>0</v>
      </c>
      <c r="M886" t="n">
        <v>0</v>
      </c>
      <c r="N886" t="n">
        <v>0</v>
      </c>
      <c r="O886" t="n">
        <v>0</v>
      </c>
      <c r="P886" t="n">
        <v>0</v>
      </c>
      <c r="Q886" t="n">
        <v>0</v>
      </c>
      <c r="R886" s="2" t="inlineStr"/>
    </row>
    <row r="887" ht="15" customHeight="1">
      <c r="A887" t="inlineStr">
        <is>
          <t>A 43169-2025</t>
        </is>
      </c>
      <c r="B887" s="1" t="n">
        <v>45910</v>
      </c>
      <c r="C887" s="1" t="n">
        <v>46004</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30719-2025</t>
        </is>
      </c>
      <c r="B888" s="1" t="n">
        <v>45831</v>
      </c>
      <c r="C888" s="1" t="n">
        <v>46004</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31140-2023</t>
        </is>
      </c>
      <c r="B889" s="1" t="n">
        <v>45113</v>
      </c>
      <c r="C889" s="1" t="n">
        <v>46004</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31149-2023</t>
        </is>
      </c>
      <c r="B890" s="1" t="n">
        <v>45113</v>
      </c>
      <c r="C890" s="1" t="n">
        <v>46004</v>
      </c>
      <c r="D890" t="inlineStr">
        <is>
          <t>STOCKHOLMS LÄN</t>
        </is>
      </c>
      <c r="E890" t="inlineStr">
        <is>
          <t>NORRTÄLJE</t>
        </is>
      </c>
      <c r="G890" t="n">
        <v>7.1</v>
      </c>
      <c r="H890" t="n">
        <v>0</v>
      </c>
      <c r="I890" t="n">
        <v>0</v>
      </c>
      <c r="J890" t="n">
        <v>0</v>
      </c>
      <c r="K890" t="n">
        <v>0</v>
      </c>
      <c r="L890" t="n">
        <v>0</v>
      </c>
      <c r="M890" t="n">
        <v>0</v>
      </c>
      <c r="N890" t="n">
        <v>0</v>
      </c>
      <c r="O890" t="n">
        <v>0</v>
      </c>
      <c r="P890" t="n">
        <v>0</v>
      </c>
      <c r="Q890" t="n">
        <v>0</v>
      </c>
      <c r="R890" s="2" t="inlineStr"/>
    </row>
    <row r="891" ht="15" customHeight="1">
      <c r="A891" t="inlineStr">
        <is>
          <t>A 43269-2025</t>
        </is>
      </c>
      <c r="B891" s="1" t="n">
        <v>45910.5819212963</v>
      </c>
      <c r="C891" s="1" t="n">
        <v>46004</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4658-2024</t>
        </is>
      </c>
      <c r="B892" s="1" t="n">
        <v>45328.46336805556</v>
      </c>
      <c r="C892" s="1" t="n">
        <v>46004</v>
      </c>
      <c r="D892" t="inlineStr">
        <is>
          <t>STOCKHOLMS LÄN</t>
        </is>
      </c>
      <c r="E892" t="inlineStr">
        <is>
          <t>NORRTÄLJE</t>
        </is>
      </c>
      <c r="G892" t="n">
        <v>2.8</v>
      </c>
      <c r="H892" t="n">
        <v>0</v>
      </c>
      <c r="I892" t="n">
        <v>0</v>
      </c>
      <c r="J892" t="n">
        <v>0</v>
      </c>
      <c r="K892" t="n">
        <v>0</v>
      </c>
      <c r="L892" t="n">
        <v>0</v>
      </c>
      <c r="M892" t="n">
        <v>0</v>
      </c>
      <c r="N892" t="n">
        <v>0</v>
      </c>
      <c r="O892" t="n">
        <v>0</v>
      </c>
      <c r="P892" t="n">
        <v>0</v>
      </c>
      <c r="Q892" t="n">
        <v>0</v>
      </c>
      <c r="R892" s="2" t="inlineStr"/>
    </row>
    <row r="893" ht="15" customHeight="1">
      <c r="A893" t="inlineStr">
        <is>
          <t>A 19131-2025</t>
        </is>
      </c>
      <c r="B893" s="1" t="n">
        <v>45769</v>
      </c>
      <c r="C893" s="1" t="n">
        <v>46004</v>
      </c>
      <c r="D893" t="inlineStr">
        <is>
          <t>STOCKHOLMS LÄN</t>
        </is>
      </c>
      <c r="E893" t="inlineStr">
        <is>
          <t>NORRTÄLJE</t>
        </is>
      </c>
      <c r="G893" t="n">
        <v>1.6</v>
      </c>
      <c r="H893" t="n">
        <v>0</v>
      </c>
      <c r="I893" t="n">
        <v>0</v>
      </c>
      <c r="J893" t="n">
        <v>0</v>
      </c>
      <c r="K893" t="n">
        <v>0</v>
      </c>
      <c r="L893" t="n">
        <v>0</v>
      </c>
      <c r="M893" t="n">
        <v>0</v>
      </c>
      <c r="N893" t="n">
        <v>0</v>
      </c>
      <c r="O893" t="n">
        <v>0</v>
      </c>
      <c r="P893" t="n">
        <v>0</v>
      </c>
      <c r="Q893" t="n">
        <v>0</v>
      </c>
      <c r="R893" s="2" t="inlineStr"/>
    </row>
    <row r="894" ht="15" customHeight="1">
      <c r="A894" t="inlineStr">
        <is>
          <t>A 43916-2025</t>
        </is>
      </c>
      <c r="B894" s="1" t="n">
        <v>45914.78884259259</v>
      </c>
      <c r="C894" s="1" t="n">
        <v>46004</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44354-2025</t>
        </is>
      </c>
      <c r="B895" s="1" t="n">
        <v>45916.44655092592</v>
      </c>
      <c r="C895" s="1" t="n">
        <v>46004</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7571-2024</t>
        </is>
      </c>
      <c r="B896" s="1" t="n">
        <v>45348.46300925926</v>
      </c>
      <c r="C896" s="1" t="n">
        <v>46004</v>
      </c>
      <c r="D896" t="inlineStr">
        <is>
          <t>STOCKHOLMS LÄN</t>
        </is>
      </c>
      <c r="E896" t="inlineStr">
        <is>
          <t>NORRTÄLJE</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11849-2025</t>
        </is>
      </c>
      <c r="B897" s="1" t="n">
        <v>45728.38409722222</v>
      </c>
      <c r="C897" s="1" t="n">
        <v>46004</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40425-2021</t>
        </is>
      </c>
      <c r="B898" s="1" t="n">
        <v>44419</v>
      </c>
      <c r="C898" s="1" t="n">
        <v>46004</v>
      </c>
      <c r="D898" t="inlineStr">
        <is>
          <t>STOCKHOLMS LÄN</t>
        </is>
      </c>
      <c r="E898" t="inlineStr">
        <is>
          <t>NORRTÄLJE</t>
        </is>
      </c>
      <c r="G898" t="n">
        <v>5</v>
      </c>
      <c r="H898" t="n">
        <v>0</v>
      </c>
      <c r="I898" t="n">
        <v>0</v>
      </c>
      <c r="J898" t="n">
        <v>0</v>
      </c>
      <c r="K898" t="n">
        <v>0</v>
      </c>
      <c r="L898" t="n">
        <v>0</v>
      </c>
      <c r="M898" t="n">
        <v>0</v>
      </c>
      <c r="N898" t="n">
        <v>0</v>
      </c>
      <c r="O898" t="n">
        <v>0</v>
      </c>
      <c r="P898" t="n">
        <v>0</v>
      </c>
      <c r="Q898" t="n">
        <v>0</v>
      </c>
      <c r="R898" s="2" t="inlineStr"/>
    </row>
    <row r="899" ht="15" customHeight="1">
      <c r="A899" t="inlineStr">
        <is>
          <t>A 44306-2025</t>
        </is>
      </c>
      <c r="B899" s="1" t="n">
        <v>45916.37736111111</v>
      </c>
      <c r="C899" s="1" t="n">
        <v>46004</v>
      </c>
      <c r="D899" t="inlineStr">
        <is>
          <t>STOCKHOLMS LÄN</t>
        </is>
      </c>
      <c r="E899" t="inlineStr">
        <is>
          <t>NORRTÄLJE</t>
        </is>
      </c>
      <c r="G899" t="n">
        <v>2.8</v>
      </c>
      <c r="H899" t="n">
        <v>0</v>
      </c>
      <c r="I899" t="n">
        <v>0</v>
      </c>
      <c r="J899" t="n">
        <v>0</v>
      </c>
      <c r="K899" t="n">
        <v>0</v>
      </c>
      <c r="L899" t="n">
        <v>0</v>
      </c>
      <c r="M899" t="n">
        <v>0</v>
      </c>
      <c r="N899" t="n">
        <v>0</v>
      </c>
      <c r="O899" t="n">
        <v>0</v>
      </c>
      <c r="P899" t="n">
        <v>0</v>
      </c>
      <c r="Q899" t="n">
        <v>0</v>
      </c>
      <c r="R899" s="2" t="inlineStr"/>
    </row>
    <row r="900" ht="15" customHeight="1">
      <c r="A900" t="inlineStr">
        <is>
          <t>A 58990-2021</t>
        </is>
      </c>
      <c r="B900" s="1" t="n">
        <v>44490.03621527777</v>
      </c>
      <c r="C900" s="1" t="n">
        <v>46004</v>
      </c>
      <c r="D900" t="inlineStr">
        <is>
          <t>STOCKHOLMS LÄN</t>
        </is>
      </c>
      <c r="E900" t="inlineStr">
        <is>
          <t>NORRTÄLJE</t>
        </is>
      </c>
      <c r="G900" t="n">
        <v>4.2</v>
      </c>
      <c r="H900" t="n">
        <v>0</v>
      </c>
      <c r="I900" t="n">
        <v>0</v>
      </c>
      <c r="J900" t="n">
        <v>0</v>
      </c>
      <c r="K900" t="n">
        <v>0</v>
      </c>
      <c r="L900" t="n">
        <v>0</v>
      </c>
      <c r="M900" t="n">
        <v>0</v>
      </c>
      <c r="N900" t="n">
        <v>0</v>
      </c>
      <c r="O900" t="n">
        <v>0</v>
      </c>
      <c r="P900" t="n">
        <v>0</v>
      </c>
      <c r="Q900" t="n">
        <v>0</v>
      </c>
      <c r="R900" s="2" t="inlineStr"/>
    </row>
    <row r="901" ht="15" customHeight="1">
      <c r="A901" t="inlineStr">
        <is>
          <t>A 44343-2025</t>
        </is>
      </c>
      <c r="B901" s="1" t="n">
        <v>45916.43378472222</v>
      </c>
      <c r="C901" s="1" t="n">
        <v>46004</v>
      </c>
      <c r="D901" t="inlineStr">
        <is>
          <t>STOCKHOLMS LÄN</t>
        </is>
      </c>
      <c r="E901" t="inlineStr">
        <is>
          <t>NORRTÄLJE</t>
        </is>
      </c>
      <c r="G901" t="n">
        <v>1.6</v>
      </c>
      <c r="H901" t="n">
        <v>0</v>
      </c>
      <c r="I901" t="n">
        <v>0</v>
      </c>
      <c r="J901" t="n">
        <v>0</v>
      </c>
      <c r="K901" t="n">
        <v>0</v>
      </c>
      <c r="L901" t="n">
        <v>0</v>
      </c>
      <c r="M901" t="n">
        <v>0</v>
      </c>
      <c r="N901" t="n">
        <v>0</v>
      </c>
      <c r="O901" t="n">
        <v>0</v>
      </c>
      <c r="P901" t="n">
        <v>0</v>
      </c>
      <c r="Q901" t="n">
        <v>0</v>
      </c>
      <c r="R901" s="2" t="inlineStr"/>
    </row>
    <row r="902" ht="15" customHeight="1">
      <c r="A902" t="inlineStr">
        <is>
          <t>A 44349-2025</t>
        </is>
      </c>
      <c r="B902" s="1" t="n">
        <v>45916.43929398148</v>
      </c>
      <c r="C902" s="1" t="n">
        <v>46004</v>
      </c>
      <c r="D902" t="inlineStr">
        <is>
          <t>STOCKHOLMS LÄN</t>
        </is>
      </c>
      <c r="E902" t="inlineStr">
        <is>
          <t>NORRTÄLJE</t>
        </is>
      </c>
      <c r="G902" t="n">
        <v>3.5</v>
      </c>
      <c r="H902" t="n">
        <v>0</v>
      </c>
      <c r="I902" t="n">
        <v>0</v>
      </c>
      <c r="J902" t="n">
        <v>0</v>
      </c>
      <c r="K902" t="n">
        <v>0</v>
      </c>
      <c r="L902" t="n">
        <v>0</v>
      </c>
      <c r="M902" t="n">
        <v>0</v>
      </c>
      <c r="N902" t="n">
        <v>0</v>
      </c>
      <c r="O902" t="n">
        <v>0</v>
      </c>
      <c r="P902" t="n">
        <v>0</v>
      </c>
      <c r="Q902" t="n">
        <v>0</v>
      </c>
      <c r="R902" s="2" t="inlineStr"/>
    </row>
    <row r="903" ht="15" customHeight="1">
      <c r="A903" t="inlineStr">
        <is>
          <t>A 44311-2025</t>
        </is>
      </c>
      <c r="B903" s="1" t="n">
        <v>45916.38394675926</v>
      </c>
      <c r="C903" s="1" t="n">
        <v>46004</v>
      </c>
      <c r="D903" t="inlineStr">
        <is>
          <t>STOCKHOLMS LÄN</t>
        </is>
      </c>
      <c r="E903" t="inlineStr">
        <is>
          <t>NORRTÄLJE</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44333-2025</t>
        </is>
      </c>
      <c r="B904" s="1" t="n">
        <v>45916.42293981482</v>
      </c>
      <c r="C904" s="1" t="n">
        <v>46004</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20790-2025</t>
        </is>
      </c>
      <c r="B905" s="1" t="n">
        <v>45776.62563657408</v>
      </c>
      <c r="C905" s="1" t="n">
        <v>46004</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44937-2025</t>
        </is>
      </c>
      <c r="B906" s="1" t="n">
        <v>45918</v>
      </c>
      <c r="C906" s="1" t="n">
        <v>46004</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20699-2025</t>
        </is>
      </c>
      <c r="B907" s="1" t="n">
        <v>45776.47346064815</v>
      </c>
      <c r="C907" s="1" t="n">
        <v>46004</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3152-2024</t>
        </is>
      </c>
      <c r="B908" s="1" t="n">
        <v>45316.60306712963</v>
      </c>
      <c r="C908" s="1" t="n">
        <v>46004</v>
      </c>
      <c r="D908" t="inlineStr">
        <is>
          <t>STOCKHOLMS LÄN</t>
        </is>
      </c>
      <c r="E908" t="inlineStr">
        <is>
          <t>NORRTÄLJE</t>
        </is>
      </c>
      <c r="G908" t="n">
        <v>7.9</v>
      </c>
      <c r="H908" t="n">
        <v>0</v>
      </c>
      <c r="I908" t="n">
        <v>0</v>
      </c>
      <c r="J908" t="n">
        <v>0</v>
      </c>
      <c r="K908" t="n">
        <v>0</v>
      </c>
      <c r="L908" t="n">
        <v>0</v>
      </c>
      <c r="M908" t="n">
        <v>0</v>
      </c>
      <c r="N908" t="n">
        <v>0</v>
      </c>
      <c r="O908" t="n">
        <v>0</v>
      </c>
      <c r="P908" t="n">
        <v>0</v>
      </c>
      <c r="Q908" t="n">
        <v>0</v>
      </c>
      <c r="R908" s="2" t="inlineStr"/>
    </row>
    <row r="909" ht="15" customHeight="1">
      <c r="A909" t="inlineStr">
        <is>
          <t>A 59326-2023</t>
        </is>
      </c>
      <c r="B909" s="1" t="n">
        <v>45253.63089120371</v>
      </c>
      <c r="C909" s="1" t="n">
        <v>46004</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44836-2023</t>
        </is>
      </c>
      <c r="B910" s="1" t="n">
        <v>45190.55609953704</v>
      </c>
      <c r="C910" s="1" t="n">
        <v>46004</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20779-2025</t>
        </is>
      </c>
      <c r="B911" s="1" t="n">
        <v>45776.59871527777</v>
      </c>
      <c r="C911" s="1" t="n">
        <v>46004</v>
      </c>
      <c r="D911" t="inlineStr">
        <is>
          <t>STOCKHOLMS LÄN</t>
        </is>
      </c>
      <c r="E911" t="inlineStr">
        <is>
          <t>NORRTÄLJE</t>
        </is>
      </c>
      <c r="G911" t="n">
        <v>6.9</v>
      </c>
      <c r="H911" t="n">
        <v>0</v>
      </c>
      <c r="I911" t="n">
        <v>0</v>
      </c>
      <c r="J911" t="n">
        <v>0</v>
      </c>
      <c r="K911" t="n">
        <v>0</v>
      </c>
      <c r="L911" t="n">
        <v>0</v>
      </c>
      <c r="M911" t="n">
        <v>0</v>
      </c>
      <c r="N911" t="n">
        <v>0</v>
      </c>
      <c r="O911" t="n">
        <v>0</v>
      </c>
      <c r="P911" t="n">
        <v>0</v>
      </c>
      <c r="Q911" t="n">
        <v>0</v>
      </c>
      <c r="R911" s="2" t="inlineStr"/>
    </row>
    <row r="912" ht="15" customHeight="1">
      <c r="A912" t="inlineStr">
        <is>
          <t>A 22359-2025</t>
        </is>
      </c>
      <c r="B912" s="1" t="n">
        <v>45786</v>
      </c>
      <c r="C912" s="1" t="n">
        <v>46004</v>
      </c>
      <c r="D912" t="inlineStr">
        <is>
          <t>STOCKHOLMS LÄN</t>
        </is>
      </c>
      <c r="E912" t="inlineStr">
        <is>
          <t>NORRTÄLJE</t>
        </is>
      </c>
      <c r="G912" t="n">
        <v>5</v>
      </c>
      <c r="H912" t="n">
        <v>0</v>
      </c>
      <c r="I912" t="n">
        <v>0</v>
      </c>
      <c r="J912" t="n">
        <v>0</v>
      </c>
      <c r="K912" t="n">
        <v>0</v>
      </c>
      <c r="L912" t="n">
        <v>0</v>
      </c>
      <c r="M912" t="n">
        <v>0</v>
      </c>
      <c r="N912" t="n">
        <v>0</v>
      </c>
      <c r="O912" t="n">
        <v>0</v>
      </c>
      <c r="P912" t="n">
        <v>0</v>
      </c>
      <c r="Q912" t="n">
        <v>0</v>
      </c>
      <c r="R912" s="2" t="inlineStr"/>
    </row>
    <row r="913" ht="15" customHeight="1">
      <c r="A913" t="inlineStr">
        <is>
          <t>A 21771-2025</t>
        </is>
      </c>
      <c r="B913" s="1" t="n">
        <v>45783</v>
      </c>
      <c r="C913" s="1" t="n">
        <v>46004</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21778-2025</t>
        </is>
      </c>
      <c r="B914" s="1" t="n">
        <v>45783.66429398148</v>
      </c>
      <c r="C914" s="1" t="n">
        <v>46004</v>
      </c>
      <c r="D914" t="inlineStr">
        <is>
          <t>STOCKHOLMS LÄN</t>
        </is>
      </c>
      <c r="E914" t="inlineStr">
        <is>
          <t>NORRTÄLJE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45697-2025</t>
        </is>
      </c>
      <c r="B915" s="1" t="n">
        <v>45923.39877314815</v>
      </c>
      <c r="C915" s="1" t="n">
        <v>46004</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22202-2025</t>
        </is>
      </c>
      <c r="B916" s="1" t="n">
        <v>45785.65300925926</v>
      </c>
      <c r="C916" s="1" t="n">
        <v>46004</v>
      </c>
      <c r="D916" t="inlineStr">
        <is>
          <t>STOCKHOLMS LÄN</t>
        </is>
      </c>
      <c r="E916" t="inlineStr">
        <is>
          <t>NORRTÄLJE</t>
        </is>
      </c>
      <c r="G916" t="n">
        <v>10.2</v>
      </c>
      <c r="H916" t="n">
        <v>0</v>
      </c>
      <c r="I916" t="n">
        <v>0</v>
      </c>
      <c r="J916" t="n">
        <v>0</v>
      </c>
      <c r="K916" t="n">
        <v>0</v>
      </c>
      <c r="L916" t="n">
        <v>0</v>
      </c>
      <c r="M916" t="n">
        <v>0</v>
      </c>
      <c r="N916" t="n">
        <v>0</v>
      </c>
      <c r="O916" t="n">
        <v>0</v>
      </c>
      <c r="P916" t="n">
        <v>0</v>
      </c>
      <c r="Q916" t="n">
        <v>0</v>
      </c>
      <c r="R916" s="2" t="inlineStr"/>
    </row>
    <row r="917" ht="15" customHeight="1">
      <c r="A917" t="inlineStr">
        <is>
          <t>A 46415-2025</t>
        </is>
      </c>
      <c r="B917" s="1" t="n">
        <v>45925.58636574074</v>
      </c>
      <c r="C917" s="1" t="n">
        <v>46004</v>
      </c>
      <c r="D917" t="inlineStr">
        <is>
          <t>STOCKHOLMS LÄN</t>
        </is>
      </c>
      <c r="E917" t="inlineStr">
        <is>
          <t>NORRTÄLJE</t>
        </is>
      </c>
      <c r="G917" t="n">
        <v>3.8</v>
      </c>
      <c r="H917" t="n">
        <v>0</v>
      </c>
      <c r="I917" t="n">
        <v>0</v>
      </c>
      <c r="J917" t="n">
        <v>0</v>
      </c>
      <c r="K917" t="n">
        <v>0</v>
      </c>
      <c r="L917" t="n">
        <v>0</v>
      </c>
      <c r="M917" t="n">
        <v>0</v>
      </c>
      <c r="N917" t="n">
        <v>0</v>
      </c>
      <c r="O917" t="n">
        <v>0</v>
      </c>
      <c r="P917" t="n">
        <v>0</v>
      </c>
      <c r="Q917" t="n">
        <v>0</v>
      </c>
      <c r="R917" s="2" t="inlineStr"/>
    </row>
    <row r="918" ht="15" customHeight="1">
      <c r="A918" t="inlineStr">
        <is>
          <t>A 16620-2024</t>
        </is>
      </c>
      <c r="B918" s="1" t="n">
        <v>45408.57707175926</v>
      </c>
      <c r="C918" s="1" t="n">
        <v>46004</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54907-2025</t>
        </is>
      </c>
      <c r="B919" s="1" t="n">
        <v>45967.37137731481</v>
      </c>
      <c r="C919" s="1" t="n">
        <v>46004</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22416-2025</t>
        </is>
      </c>
      <c r="B920" s="1" t="n">
        <v>45786.55645833333</v>
      </c>
      <c r="C920" s="1" t="n">
        <v>46004</v>
      </c>
      <c r="D920" t="inlineStr">
        <is>
          <t>STOCKHOLMS LÄN</t>
        </is>
      </c>
      <c r="E920" t="inlineStr">
        <is>
          <t>NORRTÄLJE</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58785-2024</t>
        </is>
      </c>
      <c r="B921" s="1" t="n">
        <v>45635.88849537037</v>
      </c>
      <c r="C921" s="1" t="n">
        <v>46004</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2182-2022</t>
        </is>
      </c>
      <c r="B922" s="1" t="n">
        <v>44578</v>
      </c>
      <c r="C922" s="1" t="n">
        <v>46004</v>
      </c>
      <c r="D922" t="inlineStr">
        <is>
          <t>STOCKHOLMS LÄN</t>
        </is>
      </c>
      <c r="E922" t="inlineStr">
        <is>
          <t>NORRTÄLJE</t>
        </is>
      </c>
      <c r="G922" t="n">
        <v>7.2</v>
      </c>
      <c r="H922" t="n">
        <v>0</v>
      </c>
      <c r="I922" t="n">
        <v>0</v>
      </c>
      <c r="J922" t="n">
        <v>0</v>
      </c>
      <c r="K922" t="n">
        <v>0</v>
      </c>
      <c r="L922" t="n">
        <v>0</v>
      </c>
      <c r="M922" t="n">
        <v>0</v>
      </c>
      <c r="N922" t="n">
        <v>0</v>
      </c>
      <c r="O922" t="n">
        <v>0</v>
      </c>
      <c r="P922" t="n">
        <v>0</v>
      </c>
      <c r="Q922" t="n">
        <v>0</v>
      </c>
      <c r="R922" s="2" t="inlineStr"/>
    </row>
    <row r="923" ht="15" customHeight="1">
      <c r="A923" t="inlineStr">
        <is>
          <t>A 46900-2025</t>
        </is>
      </c>
      <c r="B923" s="1" t="n">
        <v>45929.38712962963</v>
      </c>
      <c r="C923" s="1" t="n">
        <v>46004</v>
      </c>
      <c r="D923" t="inlineStr">
        <is>
          <t>STOCKHOLMS LÄN</t>
        </is>
      </c>
      <c r="E923" t="inlineStr">
        <is>
          <t>NORRTÄLJE</t>
        </is>
      </c>
      <c r="F923" t="inlineStr">
        <is>
          <t>Holmen skog AB</t>
        </is>
      </c>
      <c r="G923" t="n">
        <v>6.2</v>
      </c>
      <c r="H923" t="n">
        <v>0</v>
      </c>
      <c r="I923" t="n">
        <v>0</v>
      </c>
      <c r="J923" t="n">
        <v>0</v>
      </c>
      <c r="K923" t="n">
        <v>0</v>
      </c>
      <c r="L923" t="n">
        <v>0</v>
      </c>
      <c r="M923" t="n">
        <v>0</v>
      </c>
      <c r="N923" t="n">
        <v>0</v>
      </c>
      <c r="O923" t="n">
        <v>0</v>
      </c>
      <c r="P923" t="n">
        <v>0</v>
      </c>
      <c r="Q923" t="n">
        <v>0</v>
      </c>
      <c r="R923" s="2" t="inlineStr"/>
    </row>
    <row r="924" ht="15" customHeight="1">
      <c r="A924" t="inlineStr">
        <is>
          <t>A 13268-2025</t>
        </is>
      </c>
      <c r="B924" s="1" t="n">
        <v>45735</v>
      </c>
      <c r="C924" s="1" t="n">
        <v>46004</v>
      </c>
      <c r="D924" t="inlineStr">
        <is>
          <t>STOCKHOLMS LÄN</t>
        </is>
      </c>
      <c r="E924" t="inlineStr">
        <is>
          <t>NORRTÄLJE</t>
        </is>
      </c>
      <c r="G924" t="n">
        <v>11.4</v>
      </c>
      <c r="H924" t="n">
        <v>0</v>
      </c>
      <c r="I924" t="n">
        <v>0</v>
      </c>
      <c r="J924" t="n">
        <v>0</v>
      </c>
      <c r="K924" t="n">
        <v>0</v>
      </c>
      <c r="L924" t="n">
        <v>0</v>
      </c>
      <c r="M924" t="n">
        <v>0</v>
      </c>
      <c r="N924" t="n">
        <v>0</v>
      </c>
      <c r="O924" t="n">
        <v>0</v>
      </c>
      <c r="P924" t="n">
        <v>0</v>
      </c>
      <c r="Q924" t="n">
        <v>0</v>
      </c>
      <c r="R924" s="2" t="inlineStr"/>
    </row>
    <row r="925" ht="15" customHeight="1">
      <c r="A925" t="inlineStr">
        <is>
          <t>A 55599-2025</t>
        </is>
      </c>
      <c r="B925" s="1" t="n">
        <v>45971.76810185185</v>
      </c>
      <c r="C925" s="1" t="n">
        <v>46004</v>
      </c>
      <c r="D925" t="inlineStr">
        <is>
          <t>STOCKHOLMS LÄN</t>
        </is>
      </c>
      <c r="E925" t="inlineStr">
        <is>
          <t>NORRTÄLJE</t>
        </is>
      </c>
      <c r="F925" t="inlineStr">
        <is>
          <t>Holmen skog AB</t>
        </is>
      </c>
      <c r="G925" t="n">
        <v>6.4</v>
      </c>
      <c r="H925" t="n">
        <v>0</v>
      </c>
      <c r="I925" t="n">
        <v>0</v>
      </c>
      <c r="J925" t="n">
        <v>0</v>
      </c>
      <c r="K925" t="n">
        <v>0</v>
      </c>
      <c r="L925" t="n">
        <v>0</v>
      </c>
      <c r="M925" t="n">
        <v>0</v>
      </c>
      <c r="N925" t="n">
        <v>0</v>
      </c>
      <c r="O925" t="n">
        <v>0</v>
      </c>
      <c r="P925" t="n">
        <v>0</v>
      </c>
      <c r="Q925" t="n">
        <v>0</v>
      </c>
      <c r="R925" s="2" t="inlineStr"/>
    </row>
    <row r="926" ht="15" customHeight="1">
      <c r="A926" t="inlineStr">
        <is>
          <t>A 8414-2025</t>
        </is>
      </c>
      <c r="B926" s="1" t="n">
        <v>45709.39361111111</v>
      </c>
      <c r="C926" s="1" t="n">
        <v>46004</v>
      </c>
      <c r="D926" t="inlineStr">
        <is>
          <t>STOCKHOLMS LÄN</t>
        </is>
      </c>
      <c r="E926" t="inlineStr">
        <is>
          <t>NORRTÄLJE</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36625-2024</t>
        </is>
      </c>
      <c r="B927" s="1" t="n">
        <v>45537</v>
      </c>
      <c r="C927" s="1" t="n">
        <v>46004</v>
      </c>
      <c r="D927" t="inlineStr">
        <is>
          <t>STOCKHOLMS LÄN</t>
        </is>
      </c>
      <c r="E927" t="inlineStr">
        <is>
          <t>NORRTÄLJE</t>
        </is>
      </c>
      <c r="G927" t="n">
        <v>3.8</v>
      </c>
      <c r="H927" t="n">
        <v>0</v>
      </c>
      <c r="I927" t="n">
        <v>0</v>
      </c>
      <c r="J927" t="n">
        <v>0</v>
      </c>
      <c r="K927" t="n">
        <v>0</v>
      </c>
      <c r="L927" t="n">
        <v>0</v>
      </c>
      <c r="M927" t="n">
        <v>0</v>
      </c>
      <c r="N927" t="n">
        <v>0</v>
      </c>
      <c r="O927" t="n">
        <v>0</v>
      </c>
      <c r="P927" t="n">
        <v>0</v>
      </c>
      <c r="Q927" t="n">
        <v>0</v>
      </c>
      <c r="R927" s="2" t="inlineStr"/>
    </row>
    <row r="928" ht="15" customHeight="1">
      <c r="A928" t="inlineStr">
        <is>
          <t>A 44891-2023</t>
        </is>
      </c>
      <c r="B928" s="1" t="n">
        <v>45187</v>
      </c>
      <c r="C928" s="1" t="n">
        <v>46004</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12902-2024</t>
        </is>
      </c>
      <c r="B929" s="1" t="n">
        <v>45385.38146990741</v>
      </c>
      <c r="C929" s="1" t="n">
        <v>46004</v>
      </c>
      <c r="D929" t="inlineStr">
        <is>
          <t>STOCKHOLMS LÄN</t>
        </is>
      </c>
      <c r="E929" t="inlineStr">
        <is>
          <t>NORRTÄLJE</t>
        </is>
      </c>
      <c r="G929" t="n">
        <v>3.7</v>
      </c>
      <c r="H929" t="n">
        <v>0</v>
      </c>
      <c r="I929" t="n">
        <v>0</v>
      </c>
      <c r="J929" t="n">
        <v>0</v>
      </c>
      <c r="K929" t="n">
        <v>0</v>
      </c>
      <c r="L929" t="n">
        <v>0</v>
      </c>
      <c r="M929" t="n">
        <v>0</v>
      </c>
      <c r="N929" t="n">
        <v>0</v>
      </c>
      <c r="O929" t="n">
        <v>0</v>
      </c>
      <c r="P929" t="n">
        <v>0</v>
      </c>
      <c r="Q929" t="n">
        <v>0</v>
      </c>
      <c r="R929" s="2" t="inlineStr"/>
    </row>
    <row r="930" ht="15" customHeight="1">
      <c r="A930" t="inlineStr">
        <is>
          <t>A 44032-2024</t>
        </is>
      </c>
      <c r="B930" s="1" t="n">
        <v>45572.57828703704</v>
      </c>
      <c r="C930" s="1" t="n">
        <v>46004</v>
      </c>
      <c r="D930" t="inlineStr">
        <is>
          <t>STOCKHOLMS LÄN</t>
        </is>
      </c>
      <c r="E930" t="inlineStr">
        <is>
          <t>NORRTÄLJE</t>
        </is>
      </c>
      <c r="G930" t="n">
        <v>8.6</v>
      </c>
      <c r="H930" t="n">
        <v>0</v>
      </c>
      <c r="I930" t="n">
        <v>0</v>
      </c>
      <c r="J930" t="n">
        <v>0</v>
      </c>
      <c r="K930" t="n">
        <v>0</v>
      </c>
      <c r="L930" t="n">
        <v>0</v>
      </c>
      <c r="M930" t="n">
        <v>0</v>
      </c>
      <c r="N930" t="n">
        <v>0</v>
      </c>
      <c r="O930" t="n">
        <v>0</v>
      </c>
      <c r="P930" t="n">
        <v>0</v>
      </c>
      <c r="Q930" t="n">
        <v>0</v>
      </c>
      <c r="R930" s="2" t="inlineStr"/>
    </row>
    <row r="931" ht="15" customHeight="1">
      <c r="A931" t="inlineStr">
        <is>
          <t>A 24563-2024</t>
        </is>
      </c>
      <c r="B931" s="1" t="n">
        <v>45460.44347222222</v>
      </c>
      <c r="C931" s="1" t="n">
        <v>46004</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39237-2024</t>
        </is>
      </c>
      <c r="B932" s="1" t="n">
        <v>45549</v>
      </c>
      <c r="C932" s="1" t="n">
        <v>46004</v>
      </c>
      <c r="D932" t="inlineStr">
        <is>
          <t>STOCKHOLMS LÄN</t>
        </is>
      </c>
      <c r="E932" t="inlineStr">
        <is>
          <t>NORRTÄLJE</t>
        </is>
      </c>
      <c r="G932" t="n">
        <v>13.3</v>
      </c>
      <c r="H932" t="n">
        <v>0</v>
      </c>
      <c r="I932" t="n">
        <v>0</v>
      </c>
      <c r="J932" t="n">
        <v>0</v>
      </c>
      <c r="K932" t="n">
        <v>0</v>
      </c>
      <c r="L932" t="n">
        <v>0</v>
      </c>
      <c r="M932" t="n">
        <v>0</v>
      </c>
      <c r="N932" t="n">
        <v>0</v>
      </c>
      <c r="O932" t="n">
        <v>0</v>
      </c>
      <c r="P932" t="n">
        <v>0</v>
      </c>
      <c r="Q932" t="n">
        <v>0</v>
      </c>
      <c r="R932" s="2" t="inlineStr"/>
    </row>
    <row r="933" ht="15" customHeight="1">
      <c r="A933" t="inlineStr">
        <is>
          <t>A 45746-2024</t>
        </is>
      </c>
      <c r="B933" s="1" t="n">
        <v>45579</v>
      </c>
      <c r="C933" s="1" t="n">
        <v>46004</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8400-2024</t>
        </is>
      </c>
      <c r="B934" s="1" t="n">
        <v>45352.74090277778</v>
      </c>
      <c r="C934" s="1" t="n">
        <v>46004</v>
      </c>
      <c r="D934" t="inlineStr">
        <is>
          <t>STOCKHOLMS LÄN</t>
        </is>
      </c>
      <c r="E934" t="inlineStr">
        <is>
          <t>NORRTÄLJE</t>
        </is>
      </c>
      <c r="G934" t="n">
        <v>4.7</v>
      </c>
      <c r="H934" t="n">
        <v>0</v>
      </c>
      <c r="I934" t="n">
        <v>0</v>
      </c>
      <c r="J934" t="n">
        <v>0</v>
      </c>
      <c r="K934" t="n">
        <v>0</v>
      </c>
      <c r="L934" t="n">
        <v>0</v>
      </c>
      <c r="M934" t="n">
        <v>0</v>
      </c>
      <c r="N934" t="n">
        <v>0</v>
      </c>
      <c r="O934" t="n">
        <v>0</v>
      </c>
      <c r="P934" t="n">
        <v>0</v>
      </c>
      <c r="Q934" t="n">
        <v>0</v>
      </c>
      <c r="R934" s="2" t="inlineStr"/>
    </row>
    <row r="935" ht="15" customHeight="1">
      <c r="A935" t="inlineStr">
        <is>
          <t>A 35256-2025</t>
        </is>
      </c>
      <c r="B935" s="1" t="n">
        <v>45853</v>
      </c>
      <c r="C935" s="1" t="n">
        <v>46004</v>
      </c>
      <c r="D935" t="inlineStr">
        <is>
          <t>STOCKHOLMS LÄN</t>
        </is>
      </c>
      <c r="E935" t="inlineStr">
        <is>
          <t>NORRTÄLJE</t>
        </is>
      </c>
      <c r="G935" t="n">
        <v>6.4</v>
      </c>
      <c r="H935" t="n">
        <v>0</v>
      </c>
      <c r="I935" t="n">
        <v>0</v>
      </c>
      <c r="J935" t="n">
        <v>0</v>
      </c>
      <c r="K935" t="n">
        <v>0</v>
      </c>
      <c r="L935" t="n">
        <v>0</v>
      </c>
      <c r="M935" t="n">
        <v>0</v>
      </c>
      <c r="N935" t="n">
        <v>0</v>
      </c>
      <c r="O935" t="n">
        <v>0</v>
      </c>
      <c r="P935" t="n">
        <v>0</v>
      </c>
      <c r="Q935" t="n">
        <v>0</v>
      </c>
      <c r="R935" s="2" t="inlineStr"/>
    </row>
    <row r="936" ht="15" customHeight="1">
      <c r="A936" t="inlineStr">
        <is>
          <t>A 47498-2025</t>
        </is>
      </c>
      <c r="B936" s="1" t="n">
        <v>45930.8134375</v>
      </c>
      <c r="C936" s="1" t="n">
        <v>46004</v>
      </c>
      <c r="D936" t="inlineStr">
        <is>
          <t>STOCKHOLMS LÄN</t>
        </is>
      </c>
      <c r="E936" t="inlineStr">
        <is>
          <t>NORRTÄLJE</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56114-2025</t>
        </is>
      </c>
      <c r="B937" s="1" t="n">
        <v>45973.74474537037</v>
      </c>
      <c r="C937" s="1" t="n">
        <v>46004</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47460-2025</t>
        </is>
      </c>
      <c r="B938" s="1" t="n">
        <v>45930.66012731481</v>
      </c>
      <c r="C938" s="1" t="n">
        <v>46004</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47496-2025</t>
        </is>
      </c>
      <c r="B939" s="1" t="n">
        <v>45930.79252314815</v>
      </c>
      <c r="C939" s="1" t="n">
        <v>46004</v>
      </c>
      <c r="D939" t="inlineStr">
        <is>
          <t>STOCKHOLMS LÄN</t>
        </is>
      </c>
      <c r="E939" t="inlineStr">
        <is>
          <t>NORRTÄLJE</t>
        </is>
      </c>
      <c r="F939" t="inlineStr">
        <is>
          <t>Holmen skog AB</t>
        </is>
      </c>
      <c r="G939" t="n">
        <v>0.9</v>
      </c>
      <c r="H939" t="n">
        <v>0</v>
      </c>
      <c r="I939" t="n">
        <v>0</v>
      </c>
      <c r="J939" t="n">
        <v>0</v>
      </c>
      <c r="K939" t="n">
        <v>0</v>
      </c>
      <c r="L939" t="n">
        <v>0</v>
      </c>
      <c r="M939" t="n">
        <v>0</v>
      </c>
      <c r="N939" t="n">
        <v>0</v>
      </c>
      <c r="O939" t="n">
        <v>0</v>
      </c>
      <c r="P939" t="n">
        <v>0</v>
      </c>
      <c r="Q939" t="n">
        <v>0</v>
      </c>
      <c r="R939" s="2" t="inlineStr"/>
    </row>
    <row r="940" ht="15" customHeight="1">
      <c r="A940" t="inlineStr">
        <is>
          <t>A 47497-2025</t>
        </is>
      </c>
      <c r="B940" s="1" t="n">
        <v>45930.80217592593</v>
      </c>
      <c r="C940" s="1" t="n">
        <v>46004</v>
      </c>
      <c r="D940" t="inlineStr">
        <is>
          <t>STOCKHOLMS LÄN</t>
        </is>
      </c>
      <c r="E940" t="inlineStr">
        <is>
          <t>NORRTÄLJE</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62998-2023</t>
        </is>
      </c>
      <c r="B941" s="1" t="n">
        <v>45272.64479166667</v>
      </c>
      <c r="C941" s="1" t="n">
        <v>46004</v>
      </c>
      <c r="D941" t="inlineStr">
        <is>
          <t>STOCKHOLMS LÄN</t>
        </is>
      </c>
      <c r="E941" t="inlineStr">
        <is>
          <t>NORRTÄLJE</t>
        </is>
      </c>
      <c r="G941" t="n">
        <v>16.3</v>
      </c>
      <c r="H941" t="n">
        <v>0</v>
      </c>
      <c r="I941" t="n">
        <v>0</v>
      </c>
      <c r="J941" t="n">
        <v>0</v>
      </c>
      <c r="K941" t="n">
        <v>0</v>
      </c>
      <c r="L941" t="n">
        <v>0</v>
      </c>
      <c r="M941" t="n">
        <v>0</v>
      </c>
      <c r="N941" t="n">
        <v>0</v>
      </c>
      <c r="O941" t="n">
        <v>0</v>
      </c>
      <c r="P941" t="n">
        <v>0</v>
      </c>
      <c r="Q941" t="n">
        <v>0</v>
      </c>
      <c r="R941" s="2" t="inlineStr"/>
    </row>
    <row r="942" ht="15" customHeight="1">
      <c r="A942" t="inlineStr">
        <is>
          <t>A 63015-2023</t>
        </is>
      </c>
      <c r="B942" s="1" t="n">
        <v>45272</v>
      </c>
      <c r="C942" s="1" t="n">
        <v>46004</v>
      </c>
      <c r="D942" t="inlineStr">
        <is>
          <t>STOCKHOLMS LÄN</t>
        </is>
      </c>
      <c r="E942" t="inlineStr">
        <is>
          <t>NORRTÄLJE</t>
        </is>
      </c>
      <c r="G942" t="n">
        <v>13.1</v>
      </c>
      <c r="H942" t="n">
        <v>0</v>
      </c>
      <c r="I942" t="n">
        <v>0</v>
      </c>
      <c r="J942" t="n">
        <v>0</v>
      </c>
      <c r="K942" t="n">
        <v>0</v>
      </c>
      <c r="L942" t="n">
        <v>0</v>
      </c>
      <c r="M942" t="n">
        <v>0</v>
      </c>
      <c r="N942" t="n">
        <v>0</v>
      </c>
      <c r="O942" t="n">
        <v>0</v>
      </c>
      <c r="P942" t="n">
        <v>0</v>
      </c>
      <c r="Q942" t="n">
        <v>0</v>
      </c>
      <c r="R942" s="2" t="inlineStr"/>
    </row>
    <row r="943" ht="15" customHeight="1">
      <c r="A943" t="inlineStr">
        <is>
          <t>A 27831-2024</t>
        </is>
      </c>
      <c r="B943" s="1" t="n">
        <v>45475.61896990741</v>
      </c>
      <c r="C943" s="1" t="n">
        <v>46004</v>
      </c>
      <c r="D943" t="inlineStr">
        <is>
          <t>STOCKHOLMS LÄN</t>
        </is>
      </c>
      <c r="E943" t="inlineStr">
        <is>
          <t>NORRTÄLJE</t>
        </is>
      </c>
      <c r="G943" t="n">
        <v>3.8</v>
      </c>
      <c r="H943" t="n">
        <v>0</v>
      </c>
      <c r="I943" t="n">
        <v>0</v>
      </c>
      <c r="J943" t="n">
        <v>0</v>
      </c>
      <c r="K943" t="n">
        <v>0</v>
      </c>
      <c r="L943" t="n">
        <v>0</v>
      </c>
      <c r="M943" t="n">
        <v>0</v>
      </c>
      <c r="N943" t="n">
        <v>0</v>
      </c>
      <c r="O943" t="n">
        <v>0</v>
      </c>
      <c r="P943" t="n">
        <v>0</v>
      </c>
      <c r="Q943" t="n">
        <v>0</v>
      </c>
      <c r="R943" s="2" t="inlineStr"/>
    </row>
    <row r="944" ht="15" customHeight="1">
      <c r="A944" t="inlineStr">
        <is>
          <t>A 48360-2025</t>
        </is>
      </c>
      <c r="B944" s="1" t="n">
        <v>45933.66253472222</v>
      </c>
      <c r="C944" s="1" t="n">
        <v>46004</v>
      </c>
      <c r="D944" t="inlineStr">
        <is>
          <t>STOCKHOLMS LÄN</t>
        </is>
      </c>
      <c r="E944" t="inlineStr">
        <is>
          <t>NORRTÄLJE</t>
        </is>
      </c>
      <c r="G944" t="n">
        <v>4.1</v>
      </c>
      <c r="H944" t="n">
        <v>0</v>
      </c>
      <c r="I944" t="n">
        <v>0</v>
      </c>
      <c r="J944" t="n">
        <v>0</v>
      </c>
      <c r="K944" t="n">
        <v>0</v>
      </c>
      <c r="L944" t="n">
        <v>0</v>
      </c>
      <c r="M944" t="n">
        <v>0</v>
      </c>
      <c r="N944" t="n">
        <v>0</v>
      </c>
      <c r="O944" t="n">
        <v>0</v>
      </c>
      <c r="P944" t="n">
        <v>0</v>
      </c>
      <c r="Q944" t="n">
        <v>0</v>
      </c>
      <c r="R944" s="2" t="inlineStr"/>
    </row>
    <row r="945" ht="15" customHeight="1">
      <c r="A945" t="inlineStr">
        <is>
          <t>A 48370-2025</t>
        </is>
      </c>
      <c r="B945" s="1" t="n">
        <v>45933.67854166667</v>
      </c>
      <c r="C945" s="1" t="n">
        <v>46004</v>
      </c>
      <c r="D945" t="inlineStr">
        <is>
          <t>STOCKHOLMS LÄN</t>
        </is>
      </c>
      <c r="E945" t="inlineStr">
        <is>
          <t>NORRTÄLJE</t>
        </is>
      </c>
      <c r="G945" t="n">
        <v>4.5</v>
      </c>
      <c r="H945" t="n">
        <v>0</v>
      </c>
      <c r="I945" t="n">
        <v>0</v>
      </c>
      <c r="J945" t="n">
        <v>0</v>
      </c>
      <c r="K945" t="n">
        <v>0</v>
      </c>
      <c r="L945" t="n">
        <v>0</v>
      </c>
      <c r="M945" t="n">
        <v>0</v>
      </c>
      <c r="N945" t="n">
        <v>0</v>
      </c>
      <c r="O945" t="n">
        <v>0</v>
      </c>
      <c r="P945" t="n">
        <v>0</v>
      </c>
      <c r="Q945" t="n">
        <v>0</v>
      </c>
      <c r="R945" s="2" t="inlineStr"/>
    </row>
    <row r="946" ht="15" customHeight="1">
      <c r="A946" t="inlineStr">
        <is>
          <t>A 33175-2024</t>
        </is>
      </c>
      <c r="B946" s="1" t="n">
        <v>45518</v>
      </c>
      <c r="C946" s="1" t="n">
        <v>46004</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48364-2025</t>
        </is>
      </c>
      <c r="B947" s="1" t="n">
        <v>45933.66796296297</v>
      </c>
      <c r="C947" s="1" t="n">
        <v>46004</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21803-2022</t>
        </is>
      </c>
      <c r="B948" s="1" t="n">
        <v>44708.67822916667</v>
      </c>
      <c r="C948" s="1" t="n">
        <v>46004</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20730-2024</t>
        </is>
      </c>
      <c r="B949" s="1" t="n">
        <v>45436</v>
      </c>
      <c r="C949" s="1" t="n">
        <v>46004</v>
      </c>
      <c r="D949" t="inlineStr">
        <is>
          <t>STOCKHOLMS LÄN</t>
        </is>
      </c>
      <c r="E949" t="inlineStr">
        <is>
          <t>NORRTÄLJE</t>
        </is>
      </c>
      <c r="G949" t="n">
        <v>7.3</v>
      </c>
      <c r="H949" t="n">
        <v>0</v>
      </c>
      <c r="I949" t="n">
        <v>0</v>
      </c>
      <c r="J949" t="n">
        <v>0</v>
      </c>
      <c r="K949" t="n">
        <v>0</v>
      </c>
      <c r="L949" t="n">
        <v>0</v>
      </c>
      <c r="M949" t="n">
        <v>0</v>
      </c>
      <c r="N949" t="n">
        <v>0</v>
      </c>
      <c r="O949" t="n">
        <v>0</v>
      </c>
      <c r="P949" t="n">
        <v>0</v>
      </c>
      <c r="Q949" t="n">
        <v>0</v>
      </c>
      <c r="R949" s="2" t="inlineStr"/>
    </row>
    <row r="950" ht="15" customHeight="1">
      <c r="A950" t="inlineStr">
        <is>
          <t>A 12901-2024</t>
        </is>
      </c>
      <c r="B950" s="1" t="n">
        <v>45385.37922453704</v>
      </c>
      <c r="C950" s="1" t="n">
        <v>46004</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8950-2025</t>
        </is>
      </c>
      <c r="B951" s="1" t="n">
        <v>45713</v>
      </c>
      <c r="C951" s="1" t="n">
        <v>46004</v>
      </c>
      <c r="D951" t="inlineStr">
        <is>
          <t>STOCKHOLMS LÄN</t>
        </is>
      </c>
      <c r="E951" t="inlineStr">
        <is>
          <t>NORRTÄLJE</t>
        </is>
      </c>
      <c r="F951" t="inlineStr">
        <is>
          <t>Övriga Aktiebolag</t>
        </is>
      </c>
      <c r="G951" t="n">
        <v>3.6</v>
      </c>
      <c r="H951" t="n">
        <v>0</v>
      </c>
      <c r="I951" t="n">
        <v>0</v>
      </c>
      <c r="J951" t="n">
        <v>0</v>
      </c>
      <c r="K951" t="n">
        <v>0</v>
      </c>
      <c r="L951" t="n">
        <v>0</v>
      </c>
      <c r="M951" t="n">
        <v>0</v>
      </c>
      <c r="N951" t="n">
        <v>0</v>
      </c>
      <c r="O951" t="n">
        <v>0</v>
      </c>
      <c r="P951" t="n">
        <v>0</v>
      </c>
      <c r="Q951" t="n">
        <v>0</v>
      </c>
      <c r="R951" s="2" t="inlineStr"/>
    </row>
    <row r="952" ht="15" customHeight="1">
      <c r="A952" t="inlineStr">
        <is>
          <t>A 56207-2025</t>
        </is>
      </c>
      <c r="B952" s="1" t="n">
        <v>45974.47329861111</v>
      </c>
      <c r="C952" s="1" t="n">
        <v>46004</v>
      </c>
      <c r="D952" t="inlineStr">
        <is>
          <t>STOCKHOLMS LÄN</t>
        </is>
      </c>
      <c r="E952" t="inlineStr">
        <is>
          <t>NORRTÄLJE</t>
        </is>
      </c>
      <c r="G952" t="n">
        <v>3.2</v>
      </c>
      <c r="H952" t="n">
        <v>0</v>
      </c>
      <c r="I952" t="n">
        <v>0</v>
      </c>
      <c r="J952" t="n">
        <v>0</v>
      </c>
      <c r="K952" t="n">
        <v>0</v>
      </c>
      <c r="L952" t="n">
        <v>0</v>
      </c>
      <c r="M952" t="n">
        <v>0</v>
      </c>
      <c r="N952" t="n">
        <v>0</v>
      </c>
      <c r="O952" t="n">
        <v>0</v>
      </c>
      <c r="P952" t="n">
        <v>0</v>
      </c>
      <c r="Q952" t="n">
        <v>0</v>
      </c>
      <c r="R952" s="2" t="inlineStr"/>
    </row>
    <row r="953" ht="15" customHeight="1">
      <c r="A953" t="inlineStr">
        <is>
          <t>A 12301-2025</t>
        </is>
      </c>
      <c r="B953" s="1" t="n">
        <v>45729.7271875</v>
      </c>
      <c r="C953" s="1" t="n">
        <v>46004</v>
      </c>
      <c r="D953" t="inlineStr">
        <is>
          <t>STOCKHOLMS LÄN</t>
        </is>
      </c>
      <c r="E953" t="inlineStr">
        <is>
          <t>NORRTÄLJE</t>
        </is>
      </c>
      <c r="G953" t="n">
        <v>3.2</v>
      </c>
      <c r="H953" t="n">
        <v>0</v>
      </c>
      <c r="I953" t="n">
        <v>0</v>
      </c>
      <c r="J953" t="n">
        <v>0</v>
      </c>
      <c r="K953" t="n">
        <v>0</v>
      </c>
      <c r="L953" t="n">
        <v>0</v>
      </c>
      <c r="M953" t="n">
        <v>0</v>
      </c>
      <c r="N953" t="n">
        <v>0</v>
      </c>
      <c r="O953" t="n">
        <v>0</v>
      </c>
      <c r="P953" t="n">
        <v>0</v>
      </c>
      <c r="Q953" t="n">
        <v>0</v>
      </c>
      <c r="R953" s="2" t="inlineStr"/>
    </row>
    <row r="954" ht="15" customHeight="1">
      <c r="A954" t="inlineStr">
        <is>
          <t>A 48174-2025</t>
        </is>
      </c>
      <c r="B954" s="1" t="n">
        <v>45933.44230324074</v>
      </c>
      <c r="C954" s="1" t="n">
        <v>46004</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24351-2025</t>
        </is>
      </c>
      <c r="B955" s="1" t="n">
        <v>45797.58399305555</v>
      </c>
      <c r="C955" s="1" t="n">
        <v>46004</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13283-2025</t>
        </is>
      </c>
      <c r="B956" s="1" t="n">
        <v>45735</v>
      </c>
      <c r="C956" s="1" t="n">
        <v>46004</v>
      </c>
      <c r="D956" t="inlineStr">
        <is>
          <t>STOCKHOLMS LÄN</t>
        </is>
      </c>
      <c r="E956" t="inlineStr">
        <is>
          <t>NORRTÄLJE</t>
        </is>
      </c>
      <c r="G956" t="n">
        <v>4.9</v>
      </c>
      <c r="H956" t="n">
        <v>0</v>
      </c>
      <c r="I956" t="n">
        <v>0</v>
      </c>
      <c r="J956" t="n">
        <v>0</v>
      </c>
      <c r="K956" t="n">
        <v>0</v>
      </c>
      <c r="L956" t="n">
        <v>0</v>
      </c>
      <c r="M956" t="n">
        <v>0</v>
      </c>
      <c r="N956" t="n">
        <v>0</v>
      </c>
      <c r="O956" t="n">
        <v>0</v>
      </c>
      <c r="P956" t="n">
        <v>0</v>
      </c>
      <c r="Q956" t="n">
        <v>0</v>
      </c>
      <c r="R956" s="2" t="inlineStr"/>
    </row>
    <row r="957" ht="15" customHeight="1">
      <c r="A957" t="inlineStr">
        <is>
          <t>A 48127-2025</t>
        </is>
      </c>
      <c r="B957" s="1" t="n">
        <v>45933.36621527778</v>
      </c>
      <c r="C957" s="1" t="n">
        <v>46004</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48179-2025</t>
        </is>
      </c>
      <c r="B958" s="1" t="n">
        <v>45933.44907407407</v>
      </c>
      <c r="C958" s="1" t="n">
        <v>46004</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24687-2025</t>
        </is>
      </c>
      <c r="B959" s="1" t="n">
        <v>45798.66767361111</v>
      </c>
      <c r="C959" s="1" t="n">
        <v>46004</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48718-2025</t>
        </is>
      </c>
      <c r="B960" s="1" t="n">
        <v>45936</v>
      </c>
      <c r="C960" s="1" t="n">
        <v>46004</v>
      </c>
      <c r="D960" t="inlineStr">
        <is>
          <t>STOCKHOLMS LÄN</t>
        </is>
      </c>
      <c r="E960" t="inlineStr">
        <is>
          <t>NORRTÄLJE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24638-2025</t>
        </is>
      </c>
      <c r="B961" s="1" t="n">
        <v>45798</v>
      </c>
      <c r="C961" s="1" t="n">
        <v>46004</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48593-2025</t>
        </is>
      </c>
      <c r="B962" s="1" t="n">
        <v>45936.4627662037</v>
      </c>
      <c r="C962" s="1" t="n">
        <v>46004</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33279-2025</t>
        </is>
      </c>
      <c r="B963" s="1" t="n">
        <v>45840</v>
      </c>
      <c r="C963" s="1" t="n">
        <v>46004</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28603-2024</t>
        </is>
      </c>
      <c r="B964" s="1" t="n">
        <v>45478.42887731481</v>
      </c>
      <c r="C964" s="1" t="n">
        <v>46004</v>
      </c>
      <c r="D964" t="inlineStr">
        <is>
          <t>STOCKHOLMS LÄN</t>
        </is>
      </c>
      <c r="E964" t="inlineStr">
        <is>
          <t>NORRTÄLJE</t>
        </is>
      </c>
      <c r="G964" t="n">
        <v>5.6</v>
      </c>
      <c r="H964" t="n">
        <v>0</v>
      </c>
      <c r="I964" t="n">
        <v>0</v>
      </c>
      <c r="J964" t="n">
        <v>0</v>
      </c>
      <c r="K964" t="n">
        <v>0</v>
      </c>
      <c r="L964" t="n">
        <v>0</v>
      </c>
      <c r="M964" t="n">
        <v>0</v>
      </c>
      <c r="N964" t="n">
        <v>0</v>
      </c>
      <c r="O964" t="n">
        <v>0</v>
      </c>
      <c r="P964" t="n">
        <v>0</v>
      </c>
      <c r="Q964" t="n">
        <v>0</v>
      </c>
      <c r="R964" s="2" t="inlineStr"/>
    </row>
    <row r="965" ht="15" customHeight="1">
      <c r="A965" t="inlineStr">
        <is>
          <t>A 48443-2025</t>
        </is>
      </c>
      <c r="B965" s="1" t="n">
        <v>45935.55326388889</v>
      </c>
      <c r="C965" s="1" t="n">
        <v>46004</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24690-2025</t>
        </is>
      </c>
      <c r="B966" s="1" t="n">
        <v>45798.67082175926</v>
      </c>
      <c r="C966" s="1" t="n">
        <v>46004</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47259-2024</t>
        </is>
      </c>
      <c r="B967" s="1" t="n">
        <v>45586</v>
      </c>
      <c r="C967" s="1" t="n">
        <v>46004</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25702-2025</t>
        </is>
      </c>
      <c r="B968" s="1" t="n">
        <v>45800</v>
      </c>
      <c r="C968" s="1" t="n">
        <v>46004</v>
      </c>
      <c r="D968" t="inlineStr">
        <is>
          <t>STOCKHOLMS LÄN</t>
        </is>
      </c>
      <c r="E968" t="inlineStr">
        <is>
          <t>NORRTÄLJE</t>
        </is>
      </c>
      <c r="G968" t="n">
        <v>5.3</v>
      </c>
      <c r="H968" t="n">
        <v>0</v>
      </c>
      <c r="I968" t="n">
        <v>0</v>
      </c>
      <c r="J968" t="n">
        <v>0</v>
      </c>
      <c r="K968" t="n">
        <v>0</v>
      </c>
      <c r="L968" t="n">
        <v>0</v>
      </c>
      <c r="M968" t="n">
        <v>0</v>
      </c>
      <c r="N968" t="n">
        <v>0</v>
      </c>
      <c r="O968" t="n">
        <v>0</v>
      </c>
      <c r="P968" t="n">
        <v>0</v>
      </c>
      <c r="Q968" t="n">
        <v>0</v>
      </c>
      <c r="R968" s="2" t="inlineStr"/>
    </row>
    <row r="969" ht="15" customHeight="1">
      <c r="A969" t="inlineStr">
        <is>
          <t>A 25712-2025</t>
        </is>
      </c>
      <c r="B969" s="1" t="n">
        <v>45803.69228009259</v>
      </c>
      <c r="C969" s="1" t="n">
        <v>46004</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25725-2025</t>
        </is>
      </c>
      <c r="B970" s="1" t="n">
        <v>45800</v>
      </c>
      <c r="C970" s="1" t="n">
        <v>46004</v>
      </c>
      <c r="D970" t="inlineStr">
        <is>
          <t>STOCKHOLMS LÄN</t>
        </is>
      </c>
      <c r="E970" t="inlineStr">
        <is>
          <t>NORRTÄLJE</t>
        </is>
      </c>
      <c r="G970" t="n">
        <v>5.2</v>
      </c>
      <c r="H970" t="n">
        <v>0</v>
      </c>
      <c r="I970" t="n">
        <v>0</v>
      </c>
      <c r="J970" t="n">
        <v>0</v>
      </c>
      <c r="K970" t="n">
        <v>0</v>
      </c>
      <c r="L970" t="n">
        <v>0</v>
      </c>
      <c r="M970" t="n">
        <v>0</v>
      </c>
      <c r="N970" t="n">
        <v>0</v>
      </c>
      <c r="O970" t="n">
        <v>0</v>
      </c>
      <c r="P970" t="n">
        <v>0</v>
      </c>
      <c r="Q970" t="n">
        <v>0</v>
      </c>
      <c r="R970" s="2" t="inlineStr"/>
    </row>
    <row r="971" ht="15" customHeight="1">
      <c r="A971" t="inlineStr">
        <is>
          <t>A 25733-2025</t>
        </is>
      </c>
      <c r="B971" s="1" t="n">
        <v>45800</v>
      </c>
      <c r="C971" s="1" t="n">
        <v>46004</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39238-2024</t>
        </is>
      </c>
      <c r="B972" s="1" t="n">
        <v>45549</v>
      </c>
      <c r="C972" s="1" t="n">
        <v>46004</v>
      </c>
      <c r="D972" t="inlineStr">
        <is>
          <t>STOCKHOLMS LÄN</t>
        </is>
      </c>
      <c r="E972" t="inlineStr">
        <is>
          <t>NORRTÄLJE</t>
        </is>
      </c>
      <c r="G972" t="n">
        <v>3.6</v>
      </c>
      <c r="H972" t="n">
        <v>0</v>
      </c>
      <c r="I972" t="n">
        <v>0</v>
      </c>
      <c r="J972" t="n">
        <v>0</v>
      </c>
      <c r="K972" t="n">
        <v>0</v>
      </c>
      <c r="L972" t="n">
        <v>0</v>
      </c>
      <c r="M972" t="n">
        <v>0</v>
      </c>
      <c r="N972" t="n">
        <v>0</v>
      </c>
      <c r="O972" t="n">
        <v>0</v>
      </c>
      <c r="P972" t="n">
        <v>0</v>
      </c>
      <c r="Q972" t="n">
        <v>0</v>
      </c>
      <c r="R972" s="2" t="inlineStr"/>
    </row>
    <row r="973" ht="15" customHeight="1">
      <c r="A973" t="inlineStr">
        <is>
          <t>A 25571-2025</t>
        </is>
      </c>
      <c r="B973" s="1" t="n">
        <v>45803.4675</v>
      </c>
      <c r="C973" s="1" t="n">
        <v>46004</v>
      </c>
      <c r="D973" t="inlineStr">
        <is>
          <t>STOCKHOLMS LÄN</t>
        </is>
      </c>
      <c r="E973" t="inlineStr">
        <is>
          <t>NORRTÄLJE</t>
        </is>
      </c>
      <c r="G973" t="n">
        <v>5.4</v>
      </c>
      <c r="H973" t="n">
        <v>0</v>
      </c>
      <c r="I973" t="n">
        <v>0</v>
      </c>
      <c r="J973" t="n">
        <v>0</v>
      </c>
      <c r="K973" t="n">
        <v>0</v>
      </c>
      <c r="L973" t="n">
        <v>0</v>
      </c>
      <c r="M973" t="n">
        <v>0</v>
      </c>
      <c r="N973" t="n">
        <v>0</v>
      </c>
      <c r="O973" t="n">
        <v>0</v>
      </c>
      <c r="P973" t="n">
        <v>0</v>
      </c>
      <c r="Q973" t="n">
        <v>0</v>
      </c>
      <c r="R973" s="2" t="inlineStr"/>
    </row>
    <row r="974" ht="15" customHeight="1">
      <c r="A974" t="inlineStr">
        <is>
          <t>A 25721-2025</t>
        </is>
      </c>
      <c r="B974" s="1" t="n">
        <v>45800</v>
      </c>
      <c r="C974" s="1" t="n">
        <v>46004</v>
      </c>
      <c r="D974" t="inlineStr">
        <is>
          <t>STOCKHOLMS LÄN</t>
        </is>
      </c>
      <c r="E974" t="inlineStr">
        <is>
          <t>NORRTÄLJE</t>
        </is>
      </c>
      <c r="G974" t="n">
        <v>6</v>
      </c>
      <c r="H974" t="n">
        <v>0</v>
      </c>
      <c r="I974" t="n">
        <v>0</v>
      </c>
      <c r="J974" t="n">
        <v>0</v>
      </c>
      <c r="K974" t="n">
        <v>0</v>
      </c>
      <c r="L974" t="n">
        <v>0</v>
      </c>
      <c r="M974" t="n">
        <v>0</v>
      </c>
      <c r="N974" t="n">
        <v>0</v>
      </c>
      <c r="O974" t="n">
        <v>0</v>
      </c>
      <c r="P974" t="n">
        <v>0</v>
      </c>
      <c r="Q974" t="n">
        <v>0</v>
      </c>
      <c r="R974" s="2" t="inlineStr"/>
    </row>
    <row r="975" ht="15" customHeight="1">
      <c r="A975" t="inlineStr">
        <is>
          <t>A 25697-2025</t>
        </is>
      </c>
      <c r="B975" s="1" t="n">
        <v>45803.66587962963</v>
      </c>
      <c r="C975" s="1" t="n">
        <v>46004</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41218-2024</t>
        </is>
      </c>
      <c r="B976" s="1" t="n">
        <v>45559.54706018518</v>
      </c>
      <c r="C976" s="1" t="n">
        <v>46004</v>
      </c>
      <c r="D976" t="inlineStr">
        <is>
          <t>STOCKHOLMS LÄN</t>
        </is>
      </c>
      <c r="E976" t="inlineStr">
        <is>
          <t>NORRTÄLJE</t>
        </is>
      </c>
      <c r="G976" t="n">
        <v>6</v>
      </c>
      <c r="H976" t="n">
        <v>0</v>
      </c>
      <c r="I976" t="n">
        <v>0</v>
      </c>
      <c r="J976" t="n">
        <v>0</v>
      </c>
      <c r="K976" t="n">
        <v>0</v>
      </c>
      <c r="L976" t="n">
        <v>0</v>
      </c>
      <c r="M976" t="n">
        <v>0</v>
      </c>
      <c r="N976" t="n">
        <v>0</v>
      </c>
      <c r="O976" t="n">
        <v>0</v>
      </c>
      <c r="P976" t="n">
        <v>0</v>
      </c>
      <c r="Q976" t="n">
        <v>0</v>
      </c>
      <c r="R976" s="2" t="inlineStr"/>
    </row>
    <row r="977" ht="15" customHeight="1">
      <c r="A977" t="inlineStr">
        <is>
          <t>A 48780-2025</t>
        </is>
      </c>
      <c r="B977" s="1" t="n">
        <v>45937.30377314815</v>
      </c>
      <c r="C977" s="1" t="n">
        <v>46004</v>
      </c>
      <c r="D977" t="inlineStr">
        <is>
          <t>STOCKHOLMS LÄN</t>
        </is>
      </c>
      <c r="E977" t="inlineStr">
        <is>
          <t>NORRTÄLJE</t>
        </is>
      </c>
      <c r="G977" t="n">
        <v>7.7</v>
      </c>
      <c r="H977" t="n">
        <v>0</v>
      </c>
      <c r="I977" t="n">
        <v>0</v>
      </c>
      <c r="J977" t="n">
        <v>0</v>
      </c>
      <c r="K977" t="n">
        <v>0</v>
      </c>
      <c r="L977" t="n">
        <v>0</v>
      </c>
      <c r="M977" t="n">
        <v>0</v>
      </c>
      <c r="N977" t="n">
        <v>0</v>
      </c>
      <c r="O977" t="n">
        <v>0</v>
      </c>
      <c r="P977" t="n">
        <v>0</v>
      </c>
      <c r="Q977" t="n">
        <v>0</v>
      </c>
      <c r="R977" s="2" t="inlineStr"/>
    </row>
    <row r="978" ht="15" customHeight="1">
      <c r="A978" t="inlineStr">
        <is>
          <t>A 25709-2025</t>
        </is>
      </c>
      <c r="B978" s="1" t="n">
        <v>45800</v>
      </c>
      <c r="C978" s="1" t="n">
        <v>46004</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38449-2022</t>
        </is>
      </c>
      <c r="B979" s="1" t="n">
        <v>44813</v>
      </c>
      <c r="C979" s="1" t="n">
        <v>46004</v>
      </c>
      <c r="D979" t="inlineStr">
        <is>
          <t>STOCKHOLMS LÄN</t>
        </is>
      </c>
      <c r="E979" t="inlineStr">
        <is>
          <t>NORRTÄLJE</t>
        </is>
      </c>
      <c r="G979" t="n">
        <v>4.2</v>
      </c>
      <c r="H979" t="n">
        <v>0</v>
      </c>
      <c r="I979" t="n">
        <v>0</v>
      </c>
      <c r="J979" t="n">
        <v>0</v>
      </c>
      <c r="K979" t="n">
        <v>0</v>
      </c>
      <c r="L979" t="n">
        <v>0</v>
      </c>
      <c r="M979" t="n">
        <v>0</v>
      </c>
      <c r="N979" t="n">
        <v>0</v>
      </c>
      <c r="O979" t="n">
        <v>0</v>
      </c>
      <c r="P979" t="n">
        <v>0</v>
      </c>
      <c r="Q979" t="n">
        <v>0</v>
      </c>
      <c r="R979" s="2" t="inlineStr"/>
    </row>
    <row r="980" ht="15" customHeight="1">
      <c r="A980" t="inlineStr">
        <is>
          <t>A 34478-2025</t>
        </is>
      </c>
      <c r="B980" s="1" t="n">
        <v>45847.37414351852</v>
      </c>
      <c r="C980" s="1" t="n">
        <v>46004</v>
      </c>
      <c r="D980" t="inlineStr">
        <is>
          <t>STOCKHOLMS LÄN</t>
        </is>
      </c>
      <c r="E980" t="inlineStr">
        <is>
          <t>NORRTÄLJE</t>
        </is>
      </c>
      <c r="F980" t="inlineStr">
        <is>
          <t>Övriga Aktiebolag</t>
        </is>
      </c>
      <c r="G980" t="n">
        <v>10.8</v>
      </c>
      <c r="H980" t="n">
        <v>0</v>
      </c>
      <c r="I980" t="n">
        <v>0</v>
      </c>
      <c r="J980" t="n">
        <v>0</v>
      </c>
      <c r="K980" t="n">
        <v>0</v>
      </c>
      <c r="L980" t="n">
        <v>0</v>
      </c>
      <c r="M980" t="n">
        <v>0</v>
      </c>
      <c r="N980" t="n">
        <v>0</v>
      </c>
      <c r="O980" t="n">
        <v>0</v>
      </c>
      <c r="P980" t="n">
        <v>0</v>
      </c>
      <c r="Q980" t="n">
        <v>0</v>
      </c>
      <c r="R980" s="2" t="inlineStr"/>
    </row>
    <row r="981" ht="15" customHeight="1">
      <c r="A981" t="inlineStr">
        <is>
          <t>A 53561-2023</t>
        </is>
      </c>
      <c r="B981" s="1" t="n">
        <v>45224</v>
      </c>
      <c r="C981" s="1" t="n">
        <v>46004</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26051-2025</t>
        </is>
      </c>
      <c r="B982" s="1" t="n">
        <v>45804.74479166666</v>
      </c>
      <c r="C982" s="1" t="n">
        <v>46004</v>
      </c>
      <c r="D982" t="inlineStr">
        <is>
          <t>STOCKHOLMS LÄN</t>
        </is>
      </c>
      <c r="E982" t="inlineStr">
        <is>
          <t>NORRTÄLJE</t>
        </is>
      </c>
      <c r="G982" t="n">
        <v>3.2</v>
      </c>
      <c r="H982" t="n">
        <v>0</v>
      </c>
      <c r="I982" t="n">
        <v>0</v>
      </c>
      <c r="J982" t="n">
        <v>0</v>
      </c>
      <c r="K982" t="n">
        <v>0</v>
      </c>
      <c r="L982" t="n">
        <v>0</v>
      </c>
      <c r="M982" t="n">
        <v>0</v>
      </c>
      <c r="N982" t="n">
        <v>0</v>
      </c>
      <c r="O982" t="n">
        <v>0</v>
      </c>
      <c r="P982" t="n">
        <v>0</v>
      </c>
      <c r="Q982" t="n">
        <v>0</v>
      </c>
      <c r="R982" s="2" t="inlineStr"/>
    </row>
    <row r="983" ht="15" customHeight="1">
      <c r="A983" t="inlineStr">
        <is>
          <t>A 49129-2025</t>
        </is>
      </c>
      <c r="B983" s="1" t="n">
        <v>45937.89517361111</v>
      </c>
      <c r="C983" s="1" t="n">
        <v>46004</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57788-2025</t>
        </is>
      </c>
      <c r="B984" s="1" t="n">
        <v>45981.5778125</v>
      </c>
      <c r="C984" s="1" t="n">
        <v>46004</v>
      </c>
      <c r="D984" t="inlineStr">
        <is>
          <t>STOCKHOLMS LÄN</t>
        </is>
      </c>
      <c r="E984" t="inlineStr">
        <is>
          <t>NORRTÄLJE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55503-2025</t>
        </is>
      </c>
      <c r="B985" s="1" t="n">
        <v>45971</v>
      </c>
      <c r="C985" s="1" t="n">
        <v>46004</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26708-2025</t>
        </is>
      </c>
      <c r="B986" s="1" t="n">
        <v>45810.45633101852</v>
      </c>
      <c r="C986" s="1" t="n">
        <v>46004</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26702-2025</t>
        </is>
      </c>
      <c r="B987" s="1" t="n">
        <v>45810.45236111111</v>
      </c>
      <c r="C987" s="1" t="n">
        <v>46004</v>
      </c>
      <c r="D987" t="inlineStr">
        <is>
          <t>STOCKHOLMS LÄN</t>
        </is>
      </c>
      <c r="E987" t="inlineStr">
        <is>
          <t>NORRTÄLJE</t>
        </is>
      </c>
      <c r="G987" t="n">
        <v>7.3</v>
      </c>
      <c r="H987" t="n">
        <v>0</v>
      </c>
      <c r="I987" t="n">
        <v>0</v>
      </c>
      <c r="J987" t="n">
        <v>0</v>
      </c>
      <c r="K987" t="n">
        <v>0</v>
      </c>
      <c r="L987" t="n">
        <v>0</v>
      </c>
      <c r="M987" t="n">
        <v>0</v>
      </c>
      <c r="N987" t="n">
        <v>0</v>
      </c>
      <c r="O987" t="n">
        <v>0</v>
      </c>
      <c r="P987" t="n">
        <v>0</v>
      </c>
      <c r="Q987" t="n">
        <v>0</v>
      </c>
      <c r="R987" s="2" t="inlineStr"/>
    </row>
    <row r="988" ht="15" customHeight="1">
      <c r="A988" t="inlineStr">
        <is>
          <t>A 23061-2025</t>
        </is>
      </c>
      <c r="B988" s="1" t="n">
        <v>45790.81410879629</v>
      </c>
      <c r="C988" s="1" t="n">
        <v>46004</v>
      </c>
      <c r="D988" t="inlineStr">
        <is>
          <t>STOCKHOLMS LÄN</t>
        </is>
      </c>
      <c r="E988" t="inlineStr">
        <is>
          <t>NORRTÄLJE</t>
        </is>
      </c>
      <c r="G988" t="n">
        <v>1.4</v>
      </c>
      <c r="H988" t="n">
        <v>0</v>
      </c>
      <c r="I988" t="n">
        <v>0</v>
      </c>
      <c r="J988" t="n">
        <v>0</v>
      </c>
      <c r="K988" t="n">
        <v>0</v>
      </c>
      <c r="L988" t="n">
        <v>0</v>
      </c>
      <c r="M988" t="n">
        <v>0</v>
      </c>
      <c r="N988" t="n">
        <v>0</v>
      </c>
      <c r="O988" t="n">
        <v>0</v>
      </c>
      <c r="P988" t="n">
        <v>0</v>
      </c>
      <c r="Q988" t="n">
        <v>0</v>
      </c>
      <c r="R988" s="2" t="inlineStr"/>
    </row>
    <row r="989" ht="15" customHeight="1">
      <c r="A989" t="inlineStr">
        <is>
          <t>A 27040-2025</t>
        </is>
      </c>
      <c r="B989" s="1" t="n">
        <v>45811.60451388889</v>
      </c>
      <c r="C989" s="1" t="n">
        <v>46004</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57953-2025</t>
        </is>
      </c>
      <c r="B990" s="1" t="n">
        <v>45982.35016203704</v>
      </c>
      <c r="C990" s="1" t="n">
        <v>46004</v>
      </c>
      <c r="D990" t="inlineStr">
        <is>
          <t>STOCKHOLMS LÄN</t>
        </is>
      </c>
      <c r="E990" t="inlineStr">
        <is>
          <t>NORRTÄLJE</t>
        </is>
      </c>
      <c r="F990" t="inlineStr">
        <is>
          <t>Sveaskog</t>
        </is>
      </c>
      <c r="G990" t="n">
        <v>3</v>
      </c>
      <c r="H990" t="n">
        <v>0</v>
      </c>
      <c r="I990" t="n">
        <v>0</v>
      </c>
      <c r="J990" t="n">
        <v>0</v>
      </c>
      <c r="K990" t="n">
        <v>0</v>
      </c>
      <c r="L990" t="n">
        <v>0</v>
      </c>
      <c r="M990" t="n">
        <v>0</v>
      </c>
      <c r="N990" t="n">
        <v>0</v>
      </c>
      <c r="O990" t="n">
        <v>0</v>
      </c>
      <c r="P990" t="n">
        <v>0</v>
      </c>
      <c r="Q990" t="n">
        <v>0</v>
      </c>
      <c r="R990" s="2" t="inlineStr"/>
    </row>
    <row r="991" ht="15" customHeight="1">
      <c r="A991" t="inlineStr">
        <is>
          <t>A 26747-2025</t>
        </is>
      </c>
      <c r="B991" s="1" t="n">
        <v>45810.5333912037</v>
      </c>
      <c r="C991" s="1" t="n">
        <v>46004</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26675-2025</t>
        </is>
      </c>
      <c r="B992" s="1" t="n">
        <v>45810.42393518519</v>
      </c>
      <c r="C992" s="1" t="n">
        <v>46004</v>
      </c>
      <c r="D992" t="inlineStr">
        <is>
          <t>STOCKHOLMS LÄN</t>
        </is>
      </c>
      <c r="E992" t="inlineStr">
        <is>
          <t>NORRTÄLJE</t>
        </is>
      </c>
      <c r="G992" t="n">
        <v>2.7</v>
      </c>
      <c r="H992" t="n">
        <v>0</v>
      </c>
      <c r="I992" t="n">
        <v>0</v>
      </c>
      <c r="J992" t="n">
        <v>0</v>
      </c>
      <c r="K992" t="n">
        <v>0</v>
      </c>
      <c r="L992" t="n">
        <v>0</v>
      </c>
      <c r="M992" t="n">
        <v>0</v>
      </c>
      <c r="N992" t="n">
        <v>0</v>
      </c>
      <c r="O992" t="n">
        <v>0</v>
      </c>
      <c r="P992" t="n">
        <v>0</v>
      </c>
      <c r="Q992" t="n">
        <v>0</v>
      </c>
      <c r="R992" s="2" t="inlineStr"/>
    </row>
    <row r="993" ht="15" customHeight="1">
      <c r="A993" t="inlineStr">
        <is>
          <t>A 27554-2025</t>
        </is>
      </c>
      <c r="B993" s="1" t="n">
        <v>45813.4709375</v>
      </c>
      <c r="C993" s="1" t="n">
        <v>46004</v>
      </c>
      <c r="D993" t="inlineStr">
        <is>
          <t>STOCKHOLMS LÄN</t>
        </is>
      </c>
      <c r="E993" t="inlineStr">
        <is>
          <t>NORRTÄLJE</t>
        </is>
      </c>
      <c r="F993" t="inlineStr">
        <is>
          <t>Övriga Aktiebolag</t>
        </is>
      </c>
      <c r="G993" t="n">
        <v>2.5</v>
      </c>
      <c r="H993" t="n">
        <v>0</v>
      </c>
      <c r="I993" t="n">
        <v>0</v>
      </c>
      <c r="J993" t="n">
        <v>0</v>
      </c>
      <c r="K993" t="n">
        <v>0</v>
      </c>
      <c r="L993" t="n">
        <v>0</v>
      </c>
      <c r="M993" t="n">
        <v>0</v>
      </c>
      <c r="N993" t="n">
        <v>0</v>
      </c>
      <c r="O993" t="n">
        <v>0</v>
      </c>
      <c r="P993" t="n">
        <v>0</v>
      </c>
      <c r="Q993" t="n">
        <v>0</v>
      </c>
      <c r="R993" s="2" t="inlineStr"/>
    </row>
    <row r="994" ht="15" customHeight="1">
      <c r="A994" t="inlineStr">
        <is>
          <t>A 58142-2025</t>
        </is>
      </c>
      <c r="B994" s="1" t="n">
        <v>45982.63791666667</v>
      </c>
      <c r="C994" s="1" t="n">
        <v>46004</v>
      </c>
      <c r="D994" t="inlineStr">
        <is>
          <t>STOCKHOLMS LÄN</t>
        </is>
      </c>
      <c r="E994" t="inlineStr">
        <is>
          <t>NORRTÄLJE</t>
        </is>
      </c>
      <c r="G994" t="n">
        <v>3.3</v>
      </c>
      <c r="H994" t="n">
        <v>0</v>
      </c>
      <c r="I994" t="n">
        <v>0</v>
      </c>
      <c r="J994" t="n">
        <v>0</v>
      </c>
      <c r="K994" t="n">
        <v>0</v>
      </c>
      <c r="L994" t="n">
        <v>0</v>
      </c>
      <c r="M994" t="n">
        <v>0</v>
      </c>
      <c r="N994" t="n">
        <v>0</v>
      </c>
      <c r="O994" t="n">
        <v>0</v>
      </c>
      <c r="P994" t="n">
        <v>0</v>
      </c>
      <c r="Q994" t="n">
        <v>0</v>
      </c>
      <c r="R994" s="2" t="inlineStr"/>
    </row>
    <row r="995" ht="15" customHeight="1">
      <c r="A995" t="inlineStr">
        <is>
          <t>A 50097-2025</t>
        </is>
      </c>
      <c r="B995" s="1" t="n">
        <v>45943.50207175926</v>
      </c>
      <c r="C995" s="1" t="n">
        <v>46004</v>
      </c>
      <c r="D995" t="inlineStr">
        <is>
          <t>STOCKHOLMS LÄN</t>
        </is>
      </c>
      <c r="E995" t="inlineStr">
        <is>
          <t>NORRTÄLJE</t>
        </is>
      </c>
      <c r="F995" t="inlineStr">
        <is>
          <t>Holmen skog AB</t>
        </is>
      </c>
      <c r="G995" t="n">
        <v>12</v>
      </c>
      <c r="H995" t="n">
        <v>0</v>
      </c>
      <c r="I995" t="n">
        <v>0</v>
      </c>
      <c r="J995" t="n">
        <v>0</v>
      </c>
      <c r="K995" t="n">
        <v>0</v>
      </c>
      <c r="L995" t="n">
        <v>0</v>
      </c>
      <c r="M995" t="n">
        <v>0</v>
      </c>
      <c r="N995" t="n">
        <v>0</v>
      </c>
      <c r="O995" t="n">
        <v>0</v>
      </c>
      <c r="P995" t="n">
        <v>0</v>
      </c>
      <c r="Q995" t="n">
        <v>0</v>
      </c>
      <c r="R995" s="2" t="inlineStr"/>
    </row>
    <row r="996" ht="15" customHeight="1">
      <c r="A996" t="inlineStr">
        <is>
          <t>A 49836-2025</t>
        </is>
      </c>
      <c r="B996" s="1" t="n">
        <v>45940.46862268518</v>
      </c>
      <c r="C996" s="1" t="n">
        <v>46004</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58403-2025</t>
        </is>
      </c>
      <c r="B997" s="1" t="n">
        <v>45985.56777777777</v>
      </c>
      <c r="C997" s="1" t="n">
        <v>46004</v>
      </c>
      <c r="D997" t="inlineStr">
        <is>
          <t>STOCKHOLMS LÄN</t>
        </is>
      </c>
      <c r="E997" t="inlineStr">
        <is>
          <t>NORRTÄLJE</t>
        </is>
      </c>
      <c r="F997" t="inlineStr">
        <is>
          <t>Naturvårdsverket</t>
        </is>
      </c>
      <c r="G997" t="n">
        <v>13.5</v>
      </c>
      <c r="H997" t="n">
        <v>0</v>
      </c>
      <c r="I997" t="n">
        <v>0</v>
      </c>
      <c r="J997" t="n">
        <v>0</v>
      </c>
      <c r="K997" t="n">
        <v>0</v>
      </c>
      <c r="L997" t="n">
        <v>0</v>
      </c>
      <c r="M997" t="n">
        <v>0</v>
      </c>
      <c r="N997" t="n">
        <v>0</v>
      </c>
      <c r="O997" t="n">
        <v>0</v>
      </c>
      <c r="P997" t="n">
        <v>0</v>
      </c>
      <c r="Q997" t="n">
        <v>0</v>
      </c>
      <c r="R997" s="2" t="inlineStr"/>
    </row>
    <row r="998" ht="15" customHeight="1">
      <c r="A998" t="inlineStr">
        <is>
          <t>A 27700-2025</t>
        </is>
      </c>
      <c r="B998" s="1" t="n">
        <v>45813.6799537037</v>
      </c>
      <c r="C998" s="1" t="n">
        <v>46004</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27697-2025</t>
        </is>
      </c>
      <c r="B999" s="1" t="n">
        <v>45813.66961805556</v>
      </c>
      <c r="C999" s="1" t="n">
        <v>46004</v>
      </c>
      <c r="D999" t="inlineStr">
        <is>
          <t>STOCKHOLMS LÄN</t>
        </is>
      </c>
      <c r="E999" t="inlineStr">
        <is>
          <t>NORRTÄLJE</t>
        </is>
      </c>
      <c r="G999" t="n">
        <v>6.2</v>
      </c>
      <c r="H999" t="n">
        <v>0</v>
      </c>
      <c r="I999" t="n">
        <v>0</v>
      </c>
      <c r="J999" t="n">
        <v>0</v>
      </c>
      <c r="K999" t="n">
        <v>0</v>
      </c>
      <c r="L999" t="n">
        <v>0</v>
      </c>
      <c r="M999" t="n">
        <v>0</v>
      </c>
      <c r="N999" t="n">
        <v>0</v>
      </c>
      <c r="O999" t="n">
        <v>0</v>
      </c>
      <c r="P999" t="n">
        <v>0</v>
      </c>
      <c r="Q999" t="n">
        <v>0</v>
      </c>
      <c r="R999" s="2" t="inlineStr"/>
    </row>
    <row r="1000" ht="15" customHeight="1">
      <c r="A1000" t="inlineStr">
        <is>
          <t>A 27802-2025</t>
        </is>
      </c>
      <c r="B1000" s="1" t="n">
        <v>45817.2565625</v>
      </c>
      <c r="C1000" s="1" t="n">
        <v>46004</v>
      </c>
      <c r="D1000" t="inlineStr">
        <is>
          <t>STOCKHOLMS LÄN</t>
        </is>
      </c>
      <c r="E1000" t="inlineStr">
        <is>
          <t>NORRTÄLJE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27806-2025</t>
        </is>
      </c>
      <c r="B1001" s="1" t="n">
        <v>45817.30329861111</v>
      </c>
      <c r="C1001" s="1" t="n">
        <v>46004</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27808-2025</t>
        </is>
      </c>
      <c r="B1002" s="1" t="n">
        <v>45817.31085648148</v>
      </c>
      <c r="C1002" s="1" t="n">
        <v>46004</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27810-2025</t>
        </is>
      </c>
      <c r="B1003" s="1" t="n">
        <v>45817.31708333334</v>
      </c>
      <c r="C1003" s="1" t="n">
        <v>46004</v>
      </c>
      <c r="D1003" t="inlineStr">
        <is>
          <t>STOCKHOLMS LÄN</t>
        </is>
      </c>
      <c r="E1003" t="inlineStr">
        <is>
          <t>NORRTÄLJE</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27811-2025</t>
        </is>
      </c>
      <c r="B1004" s="1" t="n">
        <v>45817.31986111111</v>
      </c>
      <c r="C1004" s="1" t="n">
        <v>46004</v>
      </c>
      <c r="D1004" t="inlineStr">
        <is>
          <t>STOCKHOLMS LÄN</t>
        </is>
      </c>
      <c r="E1004" t="inlineStr">
        <is>
          <t>NORRTÄLJE</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27818-2025</t>
        </is>
      </c>
      <c r="B1005" s="1" t="n">
        <v>45817.33503472222</v>
      </c>
      <c r="C1005" s="1" t="n">
        <v>46004</v>
      </c>
      <c r="D1005" t="inlineStr">
        <is>
          <t>STOCKHOLMS LÄN</t>
        </is>
      </c>
      <c r="E1005" t="inlineStr">
        <is>
          <t>NORRTÄLJE</t>
        </is>
      </c>
      <c r="F1005" t="inlineStr">
        <is>
          <t>Sveaskog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58939-2025</t>
        </is>
      </c>
      <c r="B1006" s="1" t="n">
        <v>45987.5681712963</v>
      </c>
      <c r="C1006" s="1" t="n">
        <v>46004</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27801-2025</t>
        </is>
      </c>
      <c r="B1007" s="1" t="n">
        <v>45817.25471064815</v>
      </c>
      <c r="C1007" s="1" t="n">
        <v>46004</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27803-2025</t>
        </is>
      </c>
      <c r="B1008" s="1" t="n">
        <v>45817.291875</v>
      </c>
      <c r="C1008" s="1" t="n">
        <v>46004</v>
      </c>
      <c r="D1008" t="inlineStr">
        <is>
          <t>STOCKHOLMS LÄN</t>
        </is>
      </c>
      <c r="E1008" t="inlineStr">
        <is>
          <t>NORRTÄLJE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27813-2025</t>
        </is>
      </c>
      <c r="B1009" s="1" t="n">
        <v>45817.32538194444</v>
      </c>
      <c r="C1009" s="1" t="n">
        <v>46004</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50327-2025</t>
        </is>
      </c>
      <c r="B1010" s="1" t="n">
        <v>45944.46387731482</v>
      </c>
      <c r="C1010" s="1" t="n">
        <v>46004</v>
      </c>
      <c r="D1010" t="inlineStr">
        <is>
          <t>STOCKHOLMS LÄN</t>
        </is>
      </c>
      <c r="E1010" t="inlineStr">
        <is>
          <t>NORRTÄLJE</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27821-2025</t>
        </is>
      </c>
      <c r="B1011" s="1" t="n">
        <v>45817.34083333334</v>
      </c>
      <c r="C1011" s="1" t="n">
        <v>46004</v>
      </c>
      <c r="D1011" t="inlineStr">
        <is>
          <t>STOCKHOLMS LÄN</t>
        </is>
      </c>
      <c r="E1011" t="inlineStr">
        <is>
          <t>NORRTÄLJE</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50563-2025</t>
        </is>
      </c>
      <c r="B1012" s="1" t="n">
        <v>45944</v>
      </c>
      <c r="C1012" s="1" t="n">
        <v>46004</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15528-2025</t>
        </is>
      </c>
      <c r="B1013" s="1" t="n">
        <v>45747.63471064815</v>
      </c>
      <c r="C1013" s="1" t="n">
        <v>46004</v>
      </c>
      <c r="D1013" t="inlineStr">
        <is>
          <t>STOCKHOLMS LÄN</t>
        </is>
      </c>
      <c r="E1013" t="inlineStr">
        <is>
          <t>NORRTÄLJE</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50333-2025</t>
        </is>
      </c>
      <c r="B1014" s="1" t="n">
        <v>45944.47178240741</v>
      </c>
      <c r="C1014" s="1" t="n">
        <v>46004</v>
      </c>
      <c r="D1014" t="inlineStr">
        <is>
          <t>STOCKHOLMS LÄN</t>
        </is>
      </c>
      <c r="E1014" t="inlineStr">
        <is>
          <t>NORRTÄLJE</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11901-2024</t>
        </is>
      </c>
      <c r="B1015" s="1" t="n">
        <v>45376.55638888889</v>
      </c>
      <c r="C1015" s="1" t="n">
        <v>46004</v>
      </c>
      <c r="D1015" t="inlineStr">
        <is>
          <t>STOCKHOLMS LÄN</t>
        </is>
      </c>
      <c r="E1015" t="inlineStr">
        <is>
          <t>NORRTÄLJE</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51122-2025</t>
        </is>
      </c>
      <c r="B1016" s="1" t="n">
        <v>45947.53693287037</v>
      </c>
      <c r="C1016" s="1" t="n">
        <v>46004</v>
      </c>
      <c r="D1016" t="inlineStr">
        <is>
          <t>STOCKHOLMS LÄN</t>
        </is>
      </c>
      <c r="E1016" t="inlineStr">
        <is>
          <t>NORRTÄLJE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51233-2025</t>
        </is>
      </c>
      <c r="B1017" s="1" t="n">
        <v>45947.68232638889</v>
      </c>
      <c r="C1017" s="1" t="n">
        <v>46004</v>
      </c>
      <c r="D1017" t="inlineStr">
        <is>
          <t>STOCKHOLMS LÄN</t>
        </is>
      </c>
      <c r="E1017" t="inlineStr">
        <is>
          <t>NORRTÄLJE</t>
        </is>
      </c>
      <c r="F1017" t="inlineStr">
        <is>
          <t>Naturvårdsverket</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51236-2025</t>
        </is>
      </c>
      <c r="B1018" s="1" t="n">
        <v>45947.69078703703</v>
      </c>
      <c r="C1018" s="1" t="n">
        <v>46004</v>
      </c>
      <c r="D1018" t="inlineStr">
        <is>
          <t>STOCKHOLMS LÄN</t>
        </is>
      </c>
      <c r="E1018" t="inlineStr">
        <is>
          <t>NORRTÄLJE</t>
        </is>
      </c>
      <c r="F1018" t="inlineStr">
        <is>
          <t>Naturvårdsverket</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51241-2025</t>
        </is>
      </c>
      <c r="B1019" s="1" t="n">
        <v>45947.71726851852</v>
      </c>
      <c r="C1019" s="1" t="n">
        <v>46004</v>
      </c>
      <c r="D1019" t="inlineStr">
        <is>
          <t>STOCKHOLMS LÄN</t>
        </is>
      </c>
      <c r="E1019" t="inlineStr">
        <is>
          <t>NORRTÄLJE</t>
        </is>
      </c>
      <c r="F1019" t="inlineStr">
        <is>
          <t>Naturvårdsverket</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51240-2025</t>
        </is>
      </c>
      <c r="B1020" s="1" t="n">
        <v>45947.70420138889</v>
      </c>
      <c r="C1020" s="1" t="n">
        <v>46004</v>
      </c>
      <c r="D1020" t="inlineStr">
        <is>
          <t>STOCKHOLMS LÄN</t>
        </is>
      </c>
      <c r="E1020" t="inlineStr">
        <is>
          <t>NORRTÄLJE</t>
        </is>
      </c>
      <c r="F1020" t="inlineStr">
        <is>
          <t>Naturvårdsverket</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44075-2023</t>
        </is>
      </c>
      <c r="B1021" s="1" t="n">
        <v>45188.41637731482</v>
      </c>
      <c r="C1021" s="1" t="n">
        <v>46004</v>
      </c>
      <c r="D1021" t="inlineStr">
        <is>
          <t>STOCKHOLMS LÄN</t>
        </is>
      </c>
      <c r="E1021" t="inlineStr">
        <is>
          <t>NORRTÄLJE</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51121-2025</t>
        </is>
      </c>
      <c r="B1022" s="1" t="n">
        <v>45947.53293981482</v>
      </c>
      <c r="C1022" s="1" t="n">
        <v>46004</v>
      </c>
      <c r="D1022" t="inlineStr">
        <is>
          <t>STOCKHOLMS LÄN</t>
        </is>
      </c>
      <c r="E1022" t="inlineStr">
        <is>
          <t>NORRTÄLJE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59477-2025</t>
        </is>
      </c>
      <c r="B1023" s="1" t="n">
        <v>45989.58679398148</v>
      </c>
      <c r="C1023" s="1" t="n">
        <v>46004</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29250-2025</t>
        </is>
      </c>
      <c r="B1024" s="1" t="n">
        <v>45824.37275462963</v>
      </c>
      <c r="C1024" s="1" t="n">
        <v>46004</v>
      </c>
      <c r="D1024" t="inlineStr">
        <is>
          <t>STOCKHOLMS LÄN</t>
        </is>
      </c>
      <c r="E1024" t="inlineStr">
        <is>
          <t>NORRTÄLJE</t>
        </is>
      </c>
      <c r="F1024" t="inlineStr">
        <is>
          <t>Sveaskog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51532-2025</t>
        </is>
      </c>
      <c r="B1025" s="1" t="n">
        <v>45950.68297453703</v>
      </c>
      <c r="C1025" s="1" t="n">
        <v>46004</v>
      </c>
      <c r="D1025" t="inlineStr">
        <is>
          <t>STOCKHOLMS LÄN</t>
        </is>
      </c>
      <c r="E1025" t="inlineStr">
        <is>
          <t>NORRTÄLJE</t>
        </is>
      </c>
      <c r="F1025" t="inlineStr">
        <is>
          <t>Naturvårdsverket</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51789-2025</t>
        </is>
      </c>
      <c r="B1026" s="1" t="n">
        <v>45951.68046296296</v>
      </c>
      <c r="C1026" s="1" t="n">
        <v>46004</v>
      </c>
      <c r="D1026" t="inlineStr">
        <is>
          <t>STOCKHOLMS LÄN</t>
        </is>
      </c>
      <c r="E1026" t="inlineStr">
        <is>
          <t>NORRTÄLJE</t>
        </is>
      </c>
      <c r="F1026" t="inlineStr">
        <is>
          <t>Naturvårdsverket</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59907-2025</t>
        </is>
      </c>
      <c r="B1027" s="1" t="n">
        <v>45993.35350694445</v>
      </c>
      <c r="C1027" s="1" t="n">
        <v>46004</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59914-2025</t>
        </is>
      </c>
      <c r="B1028" s="1" t="n">
        <v>45993.37056712963</v>
      </c>
      <c r="C1028" s="1" t="n">
        <v>46004</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59924-2025</t>
        </is>
      </c>
      <c r="B1029" s="1" t="n">
        <v>45993.38928240741</v>
      </c>
      <c r="C1029" s="1" t="n">
        <v>46004</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59672-2025</t>
        </is>
      </c>
      <c r="B1030" s="1" t="n">
        <v>45992.45884259259</v>
      </c>
      <c r="C1030" s="1" t="n">
        <v>46004</v>
      </c>
      <c r="D1030" t="inlineStr">
        <is>
          <t>STOCKHOLMS LÄN</t>
        </is>
      </c>
      <c r="E1030" t="inlineStr">
        <is>
          <t>NORRTÄLJE</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30639-2025</t>
        </is>
      </c>
      <c r="B1031" s="1" t="n">
        <v>45831.4844212963</v>
      </c>
      <c r="C1031" s="1" t="n">
        <v>46004</v>
      </c>
      <c r="D1031" t="inlineStr">
        <is>
          <t>STOCKHOLMS LÄN</t>
        </is>
      </c>
      <c r="E1031" t="inlineStr">
        <is>
          <t>NORRTÄLJE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30668-2025</t>
        </is>
      </c>
      <c r="B1032" s="1" t="n">
        <v>45831.51659722222</v>
      </c>
      <c r="C1032" s="1" t="n">
        <v>46004</v>
      </c>
      <c r="D1032" t="inlineStr">
        <is>
          <t>STOCKHOLMS LÄN</t>
        </is>
      </c>
      <c r="E1032" t="inlineStr">
        <is>
          <t>NORRTÄLJE</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51960-2025</t>
        </is>
      </c>
      <c r="B1033" s="1" t="n">
        <v>45952.54755787037</v>
      </c>
      <c r="C1033" s="1" t="n">
        <v>46004</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60253-2025</t>
        </is>
      </c>
      <c r="B1034" s="1" t="n">
        <v>45994.59827546297</v>
      </c>
      <c r="C1034" s="1" t="n">
        <v>46004</v>
      </c>
      <c r="D1034" t="inlineStr">
        <is>
          <t>STOCKHOLMS LÄN</t>
        </is>
      </c>
      <c r="E1034" t="inlineStr">
        <is>
          <t>NORRTÄLJE</t>
        </is>
      </c>
      <c r="F1034" t="inlineStr">
        <is>
          <t>Holmen skog AB</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31170-2025</t>
        </is>
      </c>
      <c r="B1035" s="1" t="n">
        <v>45832.66385416667</v>
      </c>
      <c r="C1035" s="1" t="n">
        <v>46004</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51941-2025</t>
        </is>
      </c>
      <c r="B1036" s="1" t="n">
        <v>45952.52261574074</v>
      </c>
      <c r="C1036" s="1" t="n">
        <v>46004</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31880-2025</t>
        </is>
      </c>
      <c r="B1037" s="1" t="n">
        <v>45834.65538194445</v>
      </c>
      <c r="C1037" s="1" t="n">
        <v>46004</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32122-2025</t>
        </is>
      </c>
      <c r="B1038" s="1" t="n">
        <v>45835.4928125</v>
      </c>
      <c r="C1038" s="1" t="n">
        <v>46004</v>
      </c>
      <c r="D1038" t="inlineStr">
        <is>
          <t>STOCKHOLMS LÄN</t>
        </is>
      </c>
      <c r="E1038" t="inlineStr">
        <is>
          <t>NORRTÄLJE</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60214-2025</t>
        </is>
      </c>
      <c r="B1039" s="1" t="n">
        <v>45994.53761574074</v>
      </c>
      <c r="C1039" s="1" t="n">
        <v>46004</v>
      </c>
      <c r="D1039" t="inlineStr">
        <is>
          <t>STOCKHOLMS LÄN</t>
        </is>
      </c>
      <c r="E1039" t="inlineStr">
        <is>
          <t>NORRTÄLJE</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52061-2025</t>
        </is>
      </c>
      <c r="B1040" s="1" t="n">
        <v>45952.63679398148</v>
      </c>
      <c r="C1040" s="1" t="n">
        <v>46004</v>
      </c>
      <c r="D1040" t="inlineStr">
        <is>
          <t>STOCKHOLMS LÄN</t>
        </is>
      </c>
      <c r="E1040" t="inlineStr">
        <is>
          <t>NORRTÄLJE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31868-2025</t>
        </is>
      </c>
      <c r="B1041" s="1" t="n">
        <v>45834.6447337963</v>
      </c>
      <c r="C1041" s="1" t="n">
        <v>46004</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51945-2025</t>
        </is>
      </c>
      <c r="B1042" s="1" t="n">
        <v>45952.52679398148</v>
      </c>
      <c r="C1042" s="1" t="n">
        <v>46004</v>
      </c>
      <c r="D1042" t="inlineStr">
        <is>
          <t>STOCKHOLMS LÄN</t>
        </is>
      </c>
      <c r="E1042" t="inlineStr">
        <is>
          <t>NORRTÄLJE</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6413-2025</t>
        </is>
      </c>
      <c r="B1043" s="1" t="n">
        <v>45699.46283564815</v>
      </c>
      <c r="C1043" s="1" t="n">
        <v>46004</v>
      </c>
      <c r="D1043" t="inlineStr">
        <is>
          <t>STOCKHOLMS LÄN</t>
        </is>
      </c>
      <c r="E1043" t="inlineStr">
        <is>
          <t>NORRTÄLJE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32016-2025</t>
        </is>
      </c>
      <c r="B1044" s="1" t="n">
        <v>45835</v>
      </c>
      <c r="C1044" s="1" t="n">
        <v>46004</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32283-2025</t>
        </is>
      </c>
      <c r="B1045" s="1" t="n">
        <v>45835.68076388889</v>
      </c>
      <c r="C1045" s="1" t="n">
        <v>46004</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31874-2025</t>
        </is>
      </c>
      <c r="B1046" s="1" t="n">
        <v>45834</v>
      </c>
      <c r="C1046" s="1" t="n">
        <v>46004</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32094-2025</t>
        </is>
      </c>
      <c r="B1047" s="1" t="n">
        <v>45835.46034722222</v>
      </c>
      <c r="C1047" s="1" t="n">
        <v>46004</v>
      </c>
      <c r="D1047" t="inlineStr">
        <is>
          <t>STOCKHOLMS LÄN</t>
        </is>
      </c>
      <c r="E1047" t="inlineStr">
        <is>
          <t>NORRTÄLJE</t>
        </is>
      </c>
      <c r="F1047" t="inlineStr">
        <is>
          <t>Holmen skog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52251-2025</t>
        </is>
      </c>
      <c r="B1048" s="1" t="n">
        <v>45953.49185185185</v>
      </c>
      <c r="C1048" s="1" t="n">
        <v>46004</v>
      </c>
      <c r="D1048" t="inlineStr">
        <is>
          <t>STOCKHOLMS LÄN</t>
        </is>
      </c>
      <c r="E1048" t="inlineStr">
        <is>
          <t>NORRTÄLJE</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52254-2025</t>
        </is>
      </c>
      <c r="B1049" s="1" t="n">
        <v>45953.49519675926</v>
      </c>
      <c r="C1049" s="1" t="n">
        <v>46004</v>
      </c>
      <c r="D1049" t="inlineStr">
        <is>
          <t>STOCKHOLMS LÄN</t>
        </is>
      </c>
      <c r="E1049" t="inlineStr">
        <is>
          <t>NORRTÄLJE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60223-2025</t>
        </is>
      </c>
      <c r="B1050" s="1" t="n">
        <v>45994.54497685185</v>
      </c>
      <c r="C1050" s="1" t="n">
        <v>46004</v>
      </c>
      <c r="D1050" t="inlineStr">
        <is>
          <t>STOCKHOLMS LÄN</t>
        </is>
      </c>
      <c r="E1050" t="inlineStr">
        <is>
          <t>NORRTÄLJE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52773-2025</t>
        </is>
      </c>
      <c r="B1051" s="1" t="n">
        <v>45957.41457175926</v>
      </c>
      <c r="C1051" s="1" t="n">
        <v>46004</v>
      </c>
      <c r="D1051" t="inlineStr">
        <is>
          <t>STOCKHOLMS LÄN</t>
        </is>
      </c>
      <c r="E1051" t="inlineStr">
        <is>
          <t>NORRTÄLJE</t>
        </is>
      </c>
      <c r="F1051" t="inlineStr">
        <is>
          <t>Sveaskog</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52777-2025</t>
        </is>
      </c>
      <c r="B1052" s="1" t="n">
        <v>45957.41832175926</v>
      </c>
      <c r="C1052" s="1" t="n">
        <v>46004</v>
      </c>
      <c r="D1052" t="inlineStr">
        <is>
          <t>STOCKHOLMS LÄN</t>
        </is>
      </c>
      <c r="E1052" t="inlineStr">
        <is>
          <t>NORRTÄLJE</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53499-2025</t>
        </is>
      </c>
      <c r="B1053" s="1" t="n">
        <v>45960</v>
      </c>
      <c r="C1053" s="1" t="n">
        <v>46004</v>
      </c>
      <c r="D1053" t="inlineStr">
        <is>
          <t>STOCKHOLMS LÄN</t>
        </is>
      </c>
      <c r="E1053" t="inlineStr">
        <is>
          <t>NORRTÄLJE</t>
        </is>
      </c>
      <c r="G1053" t="n">
        <v>23.8</v>
      </c>
      <c r="H1053" t="n">
        <v>0</v>
      </c>
      <c r="I1053" t="n">
        <v>0</v>
      </c>
      <c r="J1053" t="n">
        <v>0</v>
      </c>
      <c r="K1053" t="n">
        <v>0</v>
      </c>
      <c r="L1053" t="n">
        <v>0</v>
      </c>
      <c r="M1053" t="n">
        <v>0</v>
      </c>
      <c r="N1053" t="n">
        <v>0</v>
      </c>
      <c r="O1053" t="n">
        <v>0</v>
      </c>
      <c r="P1053" t="n">
        <v>0</v>
      </c>
      <c r="Q1053" t="n">
        <v>0</v>
      </c>
      <c r="R1053" s="2" t="inlineStr"/>
    </row>
    <row r="1054" ht="15" customHeight="1">
      <c r="A1054" t="inlineStr">
        <is>
          <t>A 32480-2025</t>
        </is>
      </c>
      <c r="B1054" s="1" t="n">
        <v>45838.43261574074</v>
      </c>
      <c r="C1054" s="1" t="n">
        <v>46004</v>
      </c>
      <c r="D1054" t="inlineStr">
        <is>
          <t>STOCKHOLMS LÄN</t>
        </is>
      </c>
      <c r="E1054" t="inlineStr">
        <is>
          <t>NORRTÄLJE</t>
        </is>
      </c>
      <c r="F1054" t="inlineStr">
        <is>
          <t>Holmen skog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32872-2025</t>
        </is>
      </c>
      <c r="B1055" s="1" t="n">
        <v>45839</v>
      </c>
      <c r="C1055" s="1" t="n">
        <v>46004</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32903-2025</t>
        </is>
      </c>
      <c r="B1056" s="1" t="n">
        <v>45839.62398148148</v>
      </c>
      <c r="C1056" s="1" t="n">
        <v>46004</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32395-2025</t>
        </is>
      </c>
      <c r="B1057" s="1" t="n">
        <v>45837.93730324074</v>
      </c>
      <c r="C1057" s="1" t="n">
        <v>46004</v>
      </c>
      <c r="D1057" t="inlineStr">
        <is>
          <t>STOCKHOLMS LÄN</t>
        </is>
      </c>
      <c r="E1057" t="inlineStr">
        <is>
          <t>NORRTÄLJE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32396-2025</t>
        </is>
      </c>
      <c r="B1058" s="1" t="n">
        <v>45837</v>
      </c>
      <c r="C1058" s="1" t="n">
        <v>46004</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32397-2025</t>
        </is>
      </c>
      <c r="B1059" s="1" t="n">
        <v>45837.94081018519</v>
      </c>
      <c r="C1059" s="1" t="n">
        <v>46004</v>
      </c>
      <c r="D1059" t="inlineStr">
        <is>
          <t>STOCKHOLMS LÄN</t>
        </is>
      </c>
      <c r="E1059" t="inlineStr">
        <is>
          <t>NORRTÄLJE</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52526-2025</t>
        </is>
      </c>
      <c r="B1060" s="1" t="n">
        <v>45954.53061342592</v>
      </c>
      <c r="C1060" s="1" t="n">
        <v>46004</v>
      </c>
      <c r="D1060" t="inlineStr">
        <is>
          <t>STOCKHOLMS LÄN</t>
        </is>
      </c>
      <c r="E1060" t="inlineStr">
        <is>
          <t>NORRTÄLJE</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53000-2025</t>
        </is>
      </c>
      <c r="B1061" s="1" t="n">
        <v>45957.74357638889</v>
      </c>
      <c r="C1061" s="1" t="n">
        <v>46004</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60649-2025</t>
        </is>
      </c>
      <c r="B1062" s="1" t="n">
        <v>45996.4560300926</v>
      </c>
      <c r="C1062" s="1" t="n">
        <v>46004</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59041-2025</t>
        </is>
      </c>
      <c r="B1063" s="1" t="n">
        <v>45988</v>
      </c>
      <c r="C1063" s="1" t="n">
        <v>46004</v>
      </c>
      <c r="D1063" t="inlineStr">
        <is>
          <t>STOCKHOLMS LÄN</t>
        </is>
      </c>
      <c r="E1063" t="inlineStr">
        <is>
          <t>NORRTÄLJE</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52703-2025</t>
        </is>
      </c>
      <c r="B1064" s="1" t="n">
        <v>45956.88643518519</v>
      </c>
      <c r="C1064" s="1" t="n">
        <v>46004</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52729-2025</t>
        </is>
      </c>
      <c r="B1065" s="1" t="n">
        <v>45957.3636574074</v>
      </c>
      <c r="C1065" s="1" t="n">
        <v>46004</v>
      </c>
      <c r="D1065" t="inlineStr">
        <is>
          <t>STOCKHOLMS LÄN</t>
        </is>
      </c>
      <c r="E1065" t="inlineStr">
        <is>
          <t>NORRTÄLJE</t>
        </is>
      </c>
      <c r="F1065" t="inlineStr">
        <is>
          <t>Sveaskog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60745-2025</t>
        </is>
      </c>
      <c r="B1066" s="1" t="n">
        <v>45999.37753472223</v>
      </c>
      <c r="C1066" s="1" t="n">
        <v>46004</v>
      </c>
      <c r="D1066" t="inlineStr">
        <is>
          <t>STOCKHOLMS LÄN</t>
        </is>
      </c>
      <c r="E1066" t="inlineStr">
        <is>
          <t>NORRTÄLJE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52734-2025</t>
        </is>
      </c>
      <c r="B1067" s="1" t="n">
        <v>45957.3710300926</v>
      </c>
      <c r="C1067" s="1" t="n">
        <v>46004</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52776-2025</t>
        </is>
      </c>
      <c r="B1068" s="1" t="n">
        <v>45957.41724537037</v>
      </c>
      <c r="C1068" s="1" t="n">
        <v>46004</v>
      </c>
      <c r="D1068" t="inlineStr">
        <is>
          <t>STOCKHOLMS LÄN</t>
        </is>
      </c>
      <c r="E1068" t="inlineStr">
        <is>
          <t>NORRTÄLJE</t>
        </is>
      </c>
      <c r="F1068" t="inlineStr">
        <is>
          <t>Sveaskog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33702-2025</t>
        </is>
      </c>
      <c r="B1069" s="1" t="n">
        <v>45841.74596064815</v>
      </c>
      <c r="C1069" s="1" t="n">
        <v>46004</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33211-2025</t>
        </is>
      </c>
      <c r="B1070" s="1" t="n">
        <v>45840.62755787037</v>
      </c>
      <c r="C1070" s="1" t="n">
        <v>46004</v>
      </c>
      <c r="D1070" t="inlineStr">
        <is>
          <t>STOCKHOLMS LÄN</t>
        </is>
      </c>
      <c r="E1070" t="inlineStr">
        <is>
          <t>NORRTÄLJE</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52529-2025</t>
        </is>
      </c>
      <c r="B1071" s="1" t="n">
        <v>45954.53229166667</v>
      </c>
      <c r="C1071" s="1" t="n">
        <v>46004</v>
      </c>
      <c r="D1071" t="inlineStr">
        <is>
          <t>STOCKHOLMS LÄN</t>
        </is>
      </c>
      <c r="E1071" t="inlineStr">
        <is>
          <t>NORRTÄLJE</t>
        </is>
      </c>
      <c r="F1071" t="inlineStr">
        <is>
          <t>Sveaskog</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52704-2025</t>
        </is>
      </c>
      <c r="B1072" s="1" t="n">
        <v>45956.89097222222</v>
      </c>
      <c r="C1072" s="1" t="n">
        <v>46004</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33265-2025</t>
        </is>
      </c>
      <c r="B1073" s="1" t="n">
        <v>45840.67829861111</v>
      </c>
      <c r="C1073" s="1" t="n">
        <v>46004</v>
      </c>
      <c r="D1073" t="inlineStr">
        <is>
          <t>STOCKHOLMS LÄN</t>
        </is>
      </c>
      <c r="E1073" t="inlineStr">
        <is>
          <t>NORRTÄLJE</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60928-2025</t>
        </is>
      </c>
      <c r="B1074" s="1" t="n">
        <v>45999.633125</v>
      </c>
      <c r="C1074" s="1" t="n">
        <v>46004</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52553-2025</t>
        </is>
      </c>
      <c r="B1075" s="1" t="n">
        <v>45954.5624537037</v>
      </c>
      <c r="C1075" s="1" t="n">
        <v>46004</v>
      </c>
      <c r="D1075" t="inlineStr">
        <is>
          <t>STOCKHOLMS LÄN</t>
        </is>
      </c>
      <c r="E1075" t="inlineStr">
        <is>
          <t>NORRTÄLJE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60948-2025</t>
        </is>
      </c>
      <c r="B1076" s="1" t="n">
        <v>45999.650625</v>
      </c>
      <c r="C1076" s="1" t="n">
        <v>46004</v>
      </c>
      <c r="D1076" t="inlineStr">
        <is>
          <t>STOCKHOLMS LÄN</t>
        </is>
      </c>
      <c r="E1076" t="inlineStr">
        <is>
          <t>NORRTÄLJE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33552-2025</t>
        </is>
      </c>
      <c r="B1077" s="1" t="n">
        <v>45841.5737962963</v>
      </c>
      <c r="C1077" s="1" t="n">
        <v>46004</v>
      </c>
      <c r="D1077" t="inlineStr">
        <is>
          <t>STOCKHOLMS LÄN</t>
        </is>
      </c>
      <c r="E1077" t="inlineStr">
        <is>
          <t>NORRTÄLJE</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33336-2025</t>
        </is>
      </c>
      <c r="B1078" s="1" t="n">
        <v>45841.35611111111</v>
      </c>
      <c r="C1078" s="1" t="n">
        <v>46004</v>
      </c>
      <c r="D1078" t="inlineStr">
        <is>
          <t>STOCKHOLMS LÄN</t>
        </is>
      </c>
      <c r="E1078" t="inlineStr">
        <is>
          <t>NORRTÄLJE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33824-2025</t>
        </is>
      </c>
      <c r="B1079" s="1" t="n">
        <v>45842.46885416667</v>
      </c>
      <c r="C1079" s="1" t="n">
        <v>46004</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61430-2025</t>
        </is>
      </c>
      <c r="B1080" s="1" t="n">
        <v>46001.55583333333</v>
      </c>
      <c r="C1080" s="1" t="n">
        <v>46004</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34006-2025</t>
        </is>
      </c>
      <c r="B1081" s="1" t="n">
        <v>45844.62609953704</v>
      </c>
      <c r="C1081" s="1" t="n">
        <v>46004</v>
      </c>
      <c r="D1081" t="inlineStr">
        <is>
          <t>STOCKHOLMS LÄN</t>
        </is>
      </c>
      <c r="E1081" t="inlineStr">
        <is>
          <t>NORRTÄLJE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34139-2025</t>
        </is>
      </c>
      <c r="B1082" s="1" t="n">
        <v>45845</v>
      </c>
      <c r="C1082" s="1" t="n">
        <v>46004</v>
      </c>
      <c r="D1082" t="inlineStr">
        <is>
          <t>STOCKHOLMS LÄN</t>
        </is>
      </c>
      <c r="E1082" t="inlineStr">
        <is>
          <t>NORRTÄLJE</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34010-2025</t>
        </is>
      </c>
      <c r="B1083" s="1" t="n">
        <v>45844.91234953704</v>
      </c>
      <c r="C1083" s="1" t="n">
        <v>46004</v>
      </c>
      <c r="D1083" t="inlineStr">
        <is>
          <t>STOCKHOLMS LÄN</t>
        </is>
      </c>
      <c r="E1083" t="inlineStr">
        <is>
          <t>NORRTÄLJE</t>
        </is>
      </c>
      <c r="F1083" t="inlineStr">
        <is>
          <t>Övriga Aktiebolag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61289-2025</t>
        </is>
      </c>
      <c r="B1084" s="1" t="n">
        <v>46000.73659722223</v>
      </c>
      <c r="C1084" s="1" t="n">
        <v>46004</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61452-2025</t>
        </is>
      </c>
      <c r="B1085" s="1" t="n">
        <v>46001.58043981482</v>
      </c>
      <c r="C1085" s="1" t="n">
        <v>46004</v>
      </c>
      <c r="D1085" t="inlineStr">
        <is>
          <t>STOCKHOLMS LÄN</t>
        </is>
      </c>
      <c r="E1085" t="inlineStr">
        <is>
          <t>NORRTÄLJE</t>
        </is>
      </c>
      <c r="F1085" t="inlineStr">
        <is>
          <t>Holmen skog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36689-2023</t>
        </is>
      </c>
      <c r="B1086" s="1" t="n">
        <v>45152</v>
      </c>
      <c r="C1086" s="1" t="n">
        <v>46004</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46073-2024</t>
        </is>
      </c>
      <c r="B1087" s="1" t="n">
        <v>45581</v>
      </c>
      <c r="C1087" s="1" t="n">
        <v>46004</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61292-2025</t>
        </is>
      </c>
      <c r="B1088" s="1" t="n">
        <v>46000.75015046296</v>
      </c>
      <c r="C1088" s="1" t="n">
        <v>46004</v>
      </c>
      <c r="D1088" t="inlineStr">
        <is>
          <t>STOCKHOLMS LÄN</t>
        </is>
      </c>
      <c r="E1088" t="inlineStr">
        <is>
          <t>NORRTÄLJE</t>
        </is>
      </c>
      <c r="G1088" t="n">
        <v>3.8</v>
      </c>
      <c r="H1088" t="n">
        <v>0</v>
      </c>
      <c r="I1088" t="n">
        <v>0</v>
      </c>
      <c r="J1088" t="n">
        <v>0</v>
      </c>
      <c r="K1088" t="n">
        <v>0</v>
      </c>
      <c r="L1088" t="n">
        <v>0</v>
      </c>
      <c r="M1088" t="n">
        <v>0</v>
      </c>
      <c r="N1088" t="n">
        <v>0</v>
      </c>
      <c r="O1088" t="n">
        <v>0</v>
      </c>
      <c r="P1088" t="n">
        <v>0</v>
      </c>
      <c r="Q1088" t="n">
        <v>0</v>
      </c>
      <c r="R1088" s="2" t="inlineStr"/>
      <c r="U1088">
        <f>HYPERLINK("https://klasma.github.io/Logging_0188/knärot/A 61292-2025 karta knärot.png", "A 61292-2025")</f>
        <v/>
      </c>
      <c r="V1088">
        <f>HYPERLINK("https://klasma.github.io/Logging_0188/klagomål/A 61292-2025 FSC-klagomål.docx", "A 61292-2025")</f>
        <v/>
      </c>
      <c r="W1088">
        <f>HYPERLINK("https://klasma.github.io/Logging_0188/klagomålsmail/A 61292-2025 FSC-klagomål mail.docx", "A 61292-2025")</f>
        <v/>
      </c>
      <c r="X1088">
        <f>HYPERLINK("https://klasma.github.io/Logging_0188/tillsyn/A 61292-2025 tillsynsbegäran.docx", "A 61292-2025")</f>
        <v/>
      </c>
      <c r="Y1088">
        <f>HYPERLINK("https://klasma.github.io/Logging_0188/tillsynsmail/A 61292-2025 tillsynsbegäran mail.docx", "A 61292-2025")</f>
        <v/>
      </c>
    </row>
    <row r="1089" ht="15" customHeight="1">
      <c r="A1089" t="inlineStr">
        <is>
          <t>A 61419-2025</t>
        </is>
      </c>
      <c r="B1089" s="1" t="n">
        <v>46001.54137731482</v>
      </c>
      <c r="C1089" s="1" t="n">
        <v>46004</v>
      </c>
      <c r="D1089" t="inlineStr">
        <is>
          <t>STOCKHOLMS LÄN</t>
        </is>
      </c>
      <c r="E1089" t="inlineStr">
        <is>
          <t>NORRTÄLJE</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61099-2025</t>
        </is>
      </c>
      <c r="B1090" s="1" t="n">
        <v>46000.44185185185</v>
      </c>
      <c r="C1090" s="1" t="n">
        <v>46004</v>
      </c>
      <c r="D1090" t="inlineStr">
        <is>
          <t>STOCKHOLMS LÄN</t>
        </is>
      </c>
      <c r="E1090" t="inlineStr">
        <is>
          <t>NORRTÄLJE</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61288-2025</t>
        </is>
      </c>
      <c r="B1091" s="1" t="n">
        <v>46000.73247685185</v>
      </c>
      <c r="C1091" s="1" t="n">
        <v>46004</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61160-2025</t>
        </is>
      </c>
      <c r="B1092" s="1" t="n">
        <v>46000.55262731481</v>
      </c>
      <c r="C1092" s="1" t="n">
        <v>46004</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39610-2025</t>
        </is>
      </c>
      <c r="B1093" s="1" t="n">
        <v>45890.56001157407</v>
      </c>
      <c r="C1093" s="1" t="n">
        <v>46004</v>
      </c>
      <c r="D1093" t="inlineStr">
        <is>
          <t>STOCKHOLMS LÄN</t>
        </is>
      </c>
      <c r="E1093" t="inlineStr">
        <is>
          <t>NORRTÄLJE</t>
        </is>
      </c>
      <c r="G1093" t="n">
        <v>28.6</v>
      </c>
      <c r="H1093" t="n">
        <v>0</v>
      </c>
      <c r="I1093" t="n">
        <v>0</v>
      </c>
      <c r="J1093" t="n">
        <v>0</v>
      </c>
      <c r="K1093" t="n">
        <v>0</v>
      </c>
      <c r="L1093" t="n">
        <v>0</v>
      </c>
      <c r="M1093" t="n">
        <v>0</v>
      </c>
      <c r="N1093" t="n">
        <v>0</v>
      </c>
      <c r="O1093" t="n">
        <v>0</v>
      </c>
      <c r="P1093" t="n">
        <v>0</v>
      </c>
      <c r="Q1093" t="n">
        <v>0</v>
      </c>
      <c r="R1093" s="2" t="inlineStr"/>
    </row>
    <row r="1094" ht="15" customHeight="1">
      <c r="A1094" t="inlineStr">
        <is>
          <t>A 53299-2025</t>
        </is>
      </c>
      <c r="B1094" s="1" t="n">
        <v>45959.31901620371</v>
      </c>
      <c r="C1094" s="1" t="n">
        <v>46004</v>
      </c>
      <c r="D1094" t="inlineStr">
        <is>
          <t>STOCKHOLMS LÄN</t>
        </is>
      </c>
      <c r="E1094" t="inlineStr">
        <is>
          <t>NORRTÄLJE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53087-2025</t>
        </is>
      </c>
      <c r="B1095" s="1" t="n">
        <v>45958.41065972222</v>
      </c>
      <c r="C1095" s="1" t="n">
        <v>46004</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53115-2025</t>
        </is>
      </c>
      <c r="B1096" s="1" t="n">
        <v>45958.44614583333</v>
      </c>
      <c r="C1096" s="1" t="n">
        <v>46004</v>
      </c>
      <c r="D1096" t="inlineStr">
        <is>
          <t>STOCKHOLMS LÄN</t>
        </is>
      </c>
      <c r="E1096" t="inlineStr">
        <is>
          <t>NORRTÄLJE</t>
        </is>
      </c>
      <c r="F1096" t="inlineStr">
        <is>
          <t>Kyrkan</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53629-2025</t>
        </is>
      </c>
      <c r="B1097" s="1" t="n">
        <v>45960.49570601852</v>
      </c>
      <c r="C1097" s="1" t="n">
        <v>46004</v>
      </c>
      <c r="D1097" t="inlineStr">
        <is>
          <t>STOCKHOLMS LÄN</t>
        </is>
      </c>
      <c r="E1097" t="inlineStr">
        <is>
          <t>NORRTÄLJE</t>
        </is>
      </c>
      <c r="F1097" t="inlineStr">
        <is>
          <t>Naturvårdsverket</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61769-2025</t>
        </is>
      </c>
      <c r="B1098" s="1" t="n">
        <v>46002.64556712963</v>
      </c>
      <c r="C1098" s="1" t="n">
        <v>46004</v>
      </c>
      <c r="D1098" t="inlineStr">
        <is>
          <t>STOCKHOLMS LÄN</t>
        </is>
      </c>
      <c r="E1098" t="inlineStr">
        <is>
          <t>NORRTÄLJE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35110-2025</t>
        </is>
      </c>
      <c r="B1099" s="1" t="n">
        <v>45852.58030092593</v>
      </c>
      <c r="C1099" s="1" t="n">
        <v>46004</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35254-2025</t>
        </is>
      </c>
      <c r="B1100" s="1" t="n">
        <v>45853</v>
      </c>
      <c r="C1100" s="1" t="n">
        <v>46004</v>
      </c>
      <c r="D1100" t="inlineStr">
        <is>
          <t>STOCKHOLMS LÄN</t>
        </is>
      </c>
      <c r="E1100" t="inlineStr">
        <is>
          <t>NORRTÄLJE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35479-2025</t>
        </is>
      </c>
      <c r="B1101" s="1" t="n">
        <v>45855.69387731481</v>
      </c>
      <c r="C1101" s="1" t="n">
        <v>46004</v>
      </c>
      <c r="D1101" t="inlineStr">
        <is>
          <t>STOCKHOLMS LÄN</t>
        </is>
      </c>
      <c r="E1101" t="inlineStr">
        <is>
          <t>NORRTÄLJE</t>
        </is>
      </c>
      <c r="F1101" t="inlineStr">
        <is>
          <t>Holmen skog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53747-2025</t>
        </is>
      </c>
      <c r="B1102" s="1" t="n">
        <v>45960.65415509259</v>
      </c>
      <c r="C1102" s="1" t="n">
        <v>46004</v>
      </c>
      <c r="D1102" t="inlineStr">
        <is>
          <t>STOCKHOLMS LÄN</t>
        </is>
      </c>
      <c r="E1102" t="inlineStr">
        <is>
          <t>NORRTÄLJE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35451-2025</t>
        </is>
      </c>
      <c r="B1103" s="1" t="n">
        <v>45855.57033564815</v>
      </c>
      <c r="C1103" s="1" t="n">
        <v>46004</v>
      </c>
      <c r="D1103" t="inlineStr">
        <is>
          <t>STOCKHOLMS LÄN</t>
        </is>
      </c>
      <c r="E1103" t="inlineStr">
        <is>
          <t>NORRTÄLJE</t>
        </is>
      </c>
      <c r="F1103" t="inlineStr">
        <is>
          <t>Holmen skog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35478-2025</t>
        </is>
      </c>
      <c r="B1104" s="1" t="n">
        <v>45855.68413194444</v>
      </c>
      <c r="C1104" s="1" t="n">
        <v>46004</v>
      </c>
      <c r="D1104" t="inlineStr">
        <is>
          <t>STOCKHOLMS LÄN</t>
        </is>
      </c>
      <c r="E1104" t="inlineStr">
        <is>
          <t>NORRTÄLJE</t>
        </is>
      </c>
      <c r="F1104" t="inlineStr">
        <is>
          <t>Holmen skog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61764-2025</t>
        </is>
      </c>
      <c r="B1105" s="1" t="n">
        <v>46002.62763888889</v>
      </c>
      <c r="C1105" s="1" t="n">
        <v>46004</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34444-2024</t>
        </is>
      </c>
      <c r="B1106" s="1" t="n">
        <v>45525</v>
      </c>
      <c r="C1106" s="1" t="n">
        <v>46004</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20698-2025</t>
        </is>
      </c>
      <c r="B1107" s="1" t="n">
        <v>45776.47122685185</v>
      </c>
      <c r="C1107" s="1" t="n">
        <v>46004</v>
      </c>
      <c r="D1107" t="inlineStr">
        <is>
          <t>STOCKHOLMS LÄN</t>
        </is>
      </c>
      <c r="E1107" t="inlineStr">
        <is>
          <t>NORRTÄLJE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22232-2024</t>
        </is>
      </c>
      <c r="B1108" s="1" t="n">
        <v>45446.4287962963</v>
      </c>
      <c r="C1108" s="1" t="n">
        <v>46004</v>
      </c>
      <c r="D1108" t="inlineStr">
        <is>
          <t>STOCKHOLMS LÄN</t>
        </is>
      </c>
      <c r="E1108" t="inlineStr">
        <is>
          <t>NORRTÄLJE</t>
        </is>
      </c>
      <c r="G1108" t="n">
        <v>12.8</v>
      </c>
      <c r="H1108" t="n">
        <v>0</v>
      </c>
      <c r="I1108" t="n">
        <v>0</v>
      </c>
      <c r="J1108" t="n">
        <v>0</v>
      </c>
      <c r="K1108" t="n">
        <v>0</v>
      </c>
      <c r="L1108" t="n">
        <v>0</v>
      </c>
      <c r="M1108" t="n">
        <v>0</v>
      </c>
      <c r="N1108" t="n">
        <v>0</v>
      </c>
      <c r="O1108" t="n">
        <v>0</v>
      </c>
      <c r="P1108" t="n">
        <v>0</v>
      </c>
      <c r="Q1108" t="n">
        <v>0</v>
      </c>
      <c r="R1108" s="2" t="inlineStr"/>
    </row>
    <row r="1109" ht="15" customHeight="1">
      <c r="A1109" t="inlineStr">
        <is>
          <t>A 36396-2025</t>
        </is>
      </c>
      <c r="B1109" s="1" t="n">
        <v>45868.62267361111</v>
      </c>
      <c r="C1109" s="1" t="n">
        <v>46004</v>
      </c>
      <c r="D1109" t="inlineStr">
        <is>
          <t>STOCKHOLMS LÄN</t>
        </is>
      </c>
      <c r="E1109" t="inlineStr">
        <is>
          <t>NORRTÄLJE</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37261-2025</t>
        </is>
      </c>
      <c r="B1110" s="1" t="n">
        <v>45876.45253472222</v>
      </c>
      <c r="C1110" s="1" t="n">
        <v>46004</v>
      </c>
      <c r="D1110" t="inlineStr">
        <is>
          <t>STOCKHOLMS LÄN</t>
        </is>
      </c>
      <c r="E1110" t="inlineStr">
        <is>
          <t>NORRTÄLJE</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37628-2025</t>
        </is>
      </c>
      <c r="B1111" s="1" t="n">
        <v>45880.46189814815</v>
      </c>
      <c r="C1111" s="1" t="n">
        <v>46004</v>
      </c>
      <c r="D1111" t="inlineStr">
        <is>
          <t>STOCKHOLMS LÄN</t>
        </is>
      </c>
      <c r="E1111" t="inlineStr">
        <is>
          <t>NORRTÄLJE</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29369-2024</t>
        </is>
      </c>
      <c r="B1112" s="1" t="n">
        <v>45483.57244212963</v>
      </c>
      <c r="C1112" s="1" t="n">
        <v>46004</v>
      </c>
      <c r="D1112" t="inlineStr">
        <is>
          <t>STOCKHOLMS LÄN</t>
        </is>
      </c>
      <c r="E1112" t="inlineStr">
        <is>
          <t>NORRTÄLJE</t>
        </is>
      </c>
      <c r="G1112" t="n">
        <v>15.9</v>
      </c>
      <c r="H1112" t="n">
        <v>0</v>
      </c>
      <c r="I1112" t="n">
        <v>0</v>
      </c>
      <c r="J1112" t="n">
        <v>0</v>
      </c>
      <c r="K1112" t="n">
        <v>0</v>
      </c>
      <c r="L1112" t="n">
        <v>0</v>
      </c>
      <c r="M1112" t="n">
        <v>0</v>
      </c>
      <c r="N1112" t="n">
        <v>0</v>
      </c>
      <c r="O1112" t="n">
        <v>0</v>
      </c>
      <c r="P1112" t="n">
        <v>0</v>
      </c>
      <c r="Q1112" t="n">
        <v>0</v>
      </c>
      <c r="R1112" s="2" t="inlineStr"/>
    </row>
    <row r="1113" ht="15" customHeight="1">
      <c r="A1113" t="inlineStr">
        <is>
          <t>A 37632-2025</t>
        </is>
      </c>
      <c r="B1113" s="1" t="n">
        <v>45880.46524305556</v>
      </c>
      <c r="C1113" s="1" t="n">
        <v>46004</v>
      </c>
      <c r="D1113" t="inlineStr">
        <is>
          <t>STOCKHOLMS LÄN</t>
        </is>
      </c>
      <c r="E1113" t="inlineStr">
        <is>
          <t>NORRTÄLJE</t>
        </is>
      </c>
      <c r="F1113" t="inlineStr">
        <is>
          <t>Sveaskog</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29841-2024</t>
        </is>
      </c>
      <c r="B1114" s="1" t="n">
        <v>45485.60261574074</v>
      </c>
      <c r="C1114" s="1" t="n">
        <v>46004</v>
      </c>
      <c r="D1114" t="inlineStr">
        <is>
          <t>STOCKHOLMS LÄN</t>
        </is>
      </c>
      <c r="E1114" t="inlineStr">
        <is>
          <t>NORRTÄLJE</t>
        </is>
      </c>
      <c r="G1114" t="n">
        <v>15.9</v>
      </c>
      <c r="H1114" t="n">
        <v>0</v>
      </c>
      <c r="I1114" t="n">
        <v>0</v>
      </c>
      <c r="J1114" t="n">
        <v>0</v>
      </c>
      <c r="K1114" t="n">
        <v>0</v>
      </c>
      <c r="L1114" t="n">
        <v>0</v>
      </c>
      <c r="M1114" t="n">
        <v>0</v>
      </c>
      <c r="N1114" t="n">
        <v>0</v>
      </c>
      <c r="O1114" t="n">
        <v>0</v>
      </c>
      <c r="P1114" t="n">
        <v>0</v>
      </c>
      <c r="Q1114" t="n">
        <v>0</v>
      </c>
      <c r="R1114" s="2" t="inlineStr"/>
    </row>
    <row r="1115" ht="15" customHeight="1">
      <c r="A1115" t="inlineStr">
        <is>
          <t>A 20692-2025</t>
        </is>
      </c>
      <c r="B1115" s="1" t="n">
        <v>45776.46369212963</v>
      </c>
      <c r="C1115" s="1" t="n">
        <v>46004</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37630-2025</t>
        </is>
      </c>
      <c r="B1116" s="1" t="n">
        <v>45880.46372685185</v>
      </c>
      <c r="C1116" s="1" t="n">
        <v>46004</v>
      </c>
      <c r="D1116" t="inlineStr">
        <is>
          <t>STOCKHOLMS LÄN</t>
        </is>
      </c>
      <c r="E1116" t="inlineStr">
        <is>
          <t>NORRTÄLJE</t>
        </is>
      </c>
      <c r="F1116" t="inlineStr">
        <is>
          <t>Sveaskog</t>
        </is>
      </c>
      <c r="G1116" t="n">
        <v>12.9</v>
      </c>
      <c r="H1116" t="n">
        <v>0</v>
      </c>
      <c r="I1116" t="n">
        <v>0</v>
      </c>
      <c r="J1116" t="n">
        <v>0</v>
      </c>
      <c r="K1116" t="n">
        <v>0</v>
      </c>
      <c r="L1116" t="n">
        <v>0</v>
      </c>
      <c r="M1116" t="n">
        <v>0</v>
      </c>
      <c r="N1116" t="n">
        <v>0</v>
      </c>
      <c r="O1116" t="n">
        <v>0</v>
      </c>
      <c r="P1116" t="n">
        <v>0</v>
      </c>
      <c r="Q1116" t="n">
        <v>0</v>
      </c>
      <c r="R1116" s="2" t="inlineStr"/>
    </row>
    <row r="1117" ht="15" customHeight="1">
      <c r="A1117" t="inlineStr">
        <is>
          <t>A 46071-2024</t>
        </is>
      </c>
      <c r="B1117" s="1" t="n">
        <v>45581</v>
      </c>
      <c r="C1117" s="1" t="n">
        <v>46004</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13137-2024</t>
        </is>
      </c>
      <c r="B1118" s="1" t="n">
        <v>45386.34175925926</v>
      </c>
      <c r="C1118" s="1" t="n">
        <v>46004</v>
      </c>
      <c r="D1118" t="inlineStr">
        <is>
          <t>STOCKHOLMS LÄN</t>
        </is>
      </c>
      <c r="E1118" t="inlineStr">
        <is>
          <t>NORRTÄLJE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24350-2025</t>
        </is>
      </c>
      <c r="B1119" s="1" t="n">
        <v>45797.58350694444</v>
      </c>
      <c r="C1119" s="1" t="n">
        <v>46004</v>
      </c>
      <c r="D1119" t="inlineStr">
        <is>
          <t>STOCKHOLMS LÄN</t>
        </is>
      </c>
      <c r="E1119" t="inlineStr">
        <is>
          <t>NORRTÄLJE</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26703-2025</t>
        </is>
      </c>
      <c r="B1120" s="1" t="n">
        <v>45810.45263888889</v>
      </c>
      <c r="C1120" s="1" t="n">
        <v>46004</v>
      </c>
      <c r="D1120" t="inlineStr">
        <is>
          <t>STOCKHOLMS LÄN</t>
        </is>
      </c>
      <c r="E1120" t="inlineStr">
        <is>
          <t>NORRTÄLJE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38153-2025</t>
        </is>
      </c>
      <c r="B1121" s="1" t="n">
        <v>45882.59722222222</v>
      </c>
      <c r="C1121" s="1" t="n">
        <v>46004</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22816-2021</t>
        </is>
      </c>
      <c r="B1122" s="1" t="n">
        <v>44325</v>
      </c>
      <c r="C1122" s="1" t="n">
        <v>46004</v>
      </c>
      <c r="D1122" t="inlineStr">
        <is>
          <t>STOCKHOLMS LÄN</t>
        </is>
      </c>
      <c r="E1122" t="inlineStr">
        <is>
          <t>NORRTÄLJE</t>
        </is>
      </c>
      <c r="G1122" t="n">
        <v>4.5</v>
      </c>
      <c r="H1122" t="n">
        <v>0</v>
      </c>
      <c r="I1122" t="n">
        <v>0</v>
      </c>
      <c r="J1122" t="n">
        <v>0</v>
      </c>
      <c r="K1122" t="n">
        <v>0</v>
      </c>
      <c r="L1122" t="n">
        <v>0</v>
      </c>
      <c r="M1122" t="n">
        <v>0</v>
      </c>
      <c r="N1122" t="n">
        <v>0</v>
      </c>
      <c r="O1122" t="n">
        <v>0</v>
      </c>
      <c r="P1122" t="n">
        <v>0</v>
      </c>
      <c r="Q1122" t="n">
        <v>0</v>
      </c>
      <c r="R1122" s="2" t="inlineStr"/>
    </row>
    <row r="1123">
      <c r="A1123" t="inlineStr">
        <is>
          <t>A 67921-2021</t>
        </is>
      </c>
      <c r="B1123" s="1" t="n">
        <v>44525</v>
      </c>
      <c r="C1123" s="1" t="n">
        <v>46004</v>
      </c>
      <c r="D1123" t="inlineStr">
        <is>
          <t>STOCKHOLMS LÄN</t>
        </is>
      </c>
      <c r="E1123" t="inlineStr">
        <is>
          <t>NORRTÄLJE</t>
        </is>
      </c>
      <c r="G1123" t="n">
        <v>6.3</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2025-12-13T10:29:34Z</dcterms:created>
  <dcterms:modified xmlns:dcterms="http://purl.org/dc/terms/" xmlns:xsi="http://www.w3.org/2001/XMLSchema-instance" xsi:type="dcterms:W3CDTF">2025-12-13T10:29:35Z</dcterms:modified>
</cp:coreProperties>
</file>