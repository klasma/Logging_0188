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46119</v>
      </c>
      <c r="D4" t="inlineStr">
        <is>
          <t>STOCKHOLMS LÄN</t>
        </is>
      </c>
      <c r="E4" t="inlineStr">
        <is>
          <t>NORRTÄLJE</t>
        </is>
      </c>
      <c r="G4" t="n">
        <v>35.4</v>
      </c>
      <c r="H4" t="n">
        <v>5</v>
      </c>
      <c r="I4" t="n">
        <v>28</v>
      </c>
      <c r="J4" t="n">
        <v>12</v>
      </c>
      <c r="K4" t="n">
        <v>3</v>
      </c>
      <c r="L4" t="n">
        <v>1</v>
      </c>
      <c r="M4" t="n">
        <v>0</v>
      </c>
      <c r="N4" t="n">
        <v>0</v>
      </c>
      <c r="O4" t="n">
        <v>16</v>
      </c>
      <c r="P4" t="n">
        <v>4</v>
      </c>
      <c r="Q4" t="n">
        <v>46</v>
      </c>
      <c r="R4" s="2" t="inlineStr">
        <is>
          <t>Ryl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46119</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46119</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46119</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46119</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46119</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46119</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46119</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46119</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46119</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46119</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46119</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46119</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46119</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46119</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46119</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46119</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46119</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46119</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46119</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46119</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46119</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46119</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46119</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46119</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46119</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46119</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34521-2025</t>
        </is>
      </c>
      <c r="B47" s="1" t="n">
        <v>45847.47052083333</v>
      </c>
      <c r="C47" s="1" t="n">
        <v>46119</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41276-2025</t>
        </is>
      </c>
      <c r="B48" s="1" t="n">
        <v>45898.62723379629</v>
      </c>
      <c r="C48" s="1" t="n">
        <v>46119</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46119</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46119</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46119</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46119</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46119</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46119</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46119</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46119</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46119</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46119</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34524-2025</t>
        </is>
      </c>
      <c r="B59" s="1" t="n">
        <v>45847.47685185185</v>
      </c>
      <c r="C59" s="1" t="n">
        <v>46119</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2851-2023</t>
        </is>
      </c>
      <c r="B60" s="1" t="n">
        <v>44945</v>
      </c>
      <c r="C60" s="1" t="n">
        <v>46119</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27870-2022</t>
        </is>
      </c>
      <c r="B61" s="1" t="n">
        <v>44743.64592592593</v>
      </c>
      <c r="C61" s="1" t="n">
        <v>46119</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46119</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52726-2025</t>
        </is>
      </c>
      <c r="B63" s="1" t="n">
        <v>45957.34722222222</v>
      </c>
      <c r="C63" s="1" t="n">
        <v>46119</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20185-2022</t>
        </is>
      </c>
      <c r="B64" s="1" t="n">
        <v>44698</v>
      </c>
      <c r="C64" s="1" t="n">
        <v>46119</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15913-2026</t>
        </is>
      </c>
      <c r="B65" s="1" t="n">
        <v>46107.6456712963</v>
      </c>
      <c r="C65" s="1" t="n">
        <v>46119</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54110-2024</t>
        </is>
      </c>
      <c r="B66" s="1" t="n">
        <v>45616.54866898148</v>
      </c>
      <c r="C66" s="1" t="n">
        <v>46119</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46119</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46119</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52133-2022</t>
        </is>
      </c>
      <c r="B69" s="1" t="n">
        <v>44868</v>
      </c>
      <c r="C69" s="1" t="n">
        <v>46119</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46119</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46119</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46119</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46119</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46119</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46119</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46119</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46119</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46119</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46119</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46119</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46119</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46119</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46119</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46119</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15925-2026</t>
        </is>
      </c>
      <c r="B85" s="1" t="n">
        <v>46107.66046296297</v>
      </c>
      <c r="C85" s="1" t="n">
        <v>46119</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33548-2025</t>
        </is>
      </c>
      <c r="B86" s="1" t="n">
        <v>45841.5721875</v>
      </c>
      <c r="C86" s="1" t="n">
        <v>46119</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46119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46119</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46119</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4532-2025</t>
        </is>
      </c>
      <c r="B94" s="1" t="n">
        <v>45687.34177083334</v>
      </c>
      <c r="C94" s="1" t="n">
        <v>46119</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24535-2023</t>
        </is>
      </c>
      <c r="B95" s="1" t="n">
        <v>45082</v>
      </c>
      <c r="C95" s="1" t="n">
        <v>46119</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46119</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35691-2023</t>
        </is>
      </c>
      <c r="B97" s="1" t="n">
        <v>45147.65222222222</v>
      </c>
      <c r="C97" s="1" t="n">
        <v>46119</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46119</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50854-2022</t>
        </is>
      </c>
      <c r="B99" s="1" t="n">
        <v>44863</v>
      </c>
      <c r="C99" s="1" t="n">
        <v>46119</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26120-2024</t>
        </is>
      </c>
      <c r="B100" s="1" t="n">
        <v>45468.45995370371</v>
      </c>
      <c r="C100" s="1" t="n">
        <v>46119</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13291-2025</t>
        </is>
      </c>
      <c r="B101" s="1" t="n">
        <v>45735</v>
      </c>
      <c r="C101" s="1" t="n">
        <v>46119</v>
      </c>
      <c r="D101" t="inlineStr">
        <is>
          <t>STOCKHOLMS LÄN</t>
        </is>
      </c>
      <c r="E101" t="inlineStr">
        <is>
          <t>NORRTÄLJE</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HYPERLINK("https://klasma.github.io/Logging_0188/artfynd/A 13291-2025 artfynd.xlsx", "A 13291-2025")</f>
        <v/>
      </c>
      <c r="T101">
        <f>HYPERLINK("https://klasma.github.io/Logging_0188/kartor/A 13291-2025 karta.png", "A 13291-2025")</f>
        <v/>
      </c>
      <c r="V101">
        <f>HYPERLINK("https://klasma.github.io/Logging_0188/klagomål/A 13291-2025 FSC-klagomål.docx", "A 13291-2025")</f>
        <v/>
      </c>
      <c r="W101">
        <f>HYPERLINK("https://klasma.github.io/Logging_0188/klagomålsmail/A 13291-2025 FSC-klagomål mail.docx", "A 13291-2025")</f>
        <v/>
      </c>
      <c r="X101">
        <f>HYPERLINK("https://klasma.github.io/Logging_0188/tillsyn/A 13291-2025 tillsynsbegäran.docx", "A 13291-2025")</f>
        <v/>
      </c>
      <c r="Y101">
        <f>HYPERLINK("https://klasma.github.io/Logging_0188/tillsynsmail/A 13291-2025 tillsynsbegäran mail.docx", "A 13291-2025")</f>
        <v/>
      </c>
    </row>
    <row r="102" ht="15" customHeight="1">
      <c r="A102" t="inlineStr">
        <is>
          <t>A 64456-2023</t>
        </is>
      </c>
      <c r="B102" s="1" t="n">
        <v>45280</v>
      </c>
      <c r="C102" s="1" t="n">
        <v>46119</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8371-2025</t>
        </is>
      </c>
      <c r="B103" s="1" t="n">
        <v>45708</v>
      </c>
      <c r="C103" s="1" t="n">
        <v>46119</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40861-2025</t>
        </is>
      </c>
      <c r="B104" s="1" t="n">
        <v>45897.56356481482</v>
      </c>
      <c r="C104" s="1" t="n">
        <v>46119</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46119</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42313-2025</t>
        </is>
      </c>
      <c r="B106" s="1" t="n">
        <v>45904.6575</v>
      </c>
      <c r="C106" s="1" t="n">
        <v>46119</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24330-2023</t>
        </is>
      </c>
      <c r="B107" s="1" t="n">
        <v>45081</v>
      </c>
      <c r="C107" s="1" t="n">
        <v>46119</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21744-2023</t>
        </is>
      </c>
      <c r="B108" s="1" t="n">
        <v>45065</v>
      </c>
      <c r="C108" s="1" t="n">
        <v>46119</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52611-2024</t>
        </is>
      </c>
      <c r="B109" s="1" t="n">
        <v>45609.83747685186</v>
      </c>
      <c r="C109" s="1" t="n">
        <v>46119</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39158-2025</t>
        </is>
      </c>
      <c r="B110" s="1" t="n">
        <v>45888</v>
      </c>
      <c r="C110" s="1" t="n">
        <v>46119</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52775-2025</t>
        </is>
      </c>
      <c r="B111" s="1" t="n">
        <v>45957.41608796296</v>
      </c>
      <c r="C111" s="1" t="n">
        <v>46119</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53716-2025</t>
        </is>
      </c>
      <c r="B112" s="1" t="n">
        <v>45960.61782407408</v>
      </c>
      <c r="C112" s="1" t="n">
        <v>46119</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26635-2023</t>
        </is>
      </c>
      <c r="B113" s="1" t="n">
        <v>45092</v>
      </c>
      <c r="C113" s="1" t="n">
        <v>46119</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16870-2025</t>
        </is>
      </c>
      <c r="B114" s="1" t="n">
        <v>45754</v>
      </c>
      <c r="C114" s="1" t="n">
        <v>46119</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47898-2022</t>
        </is>
      </c>
      <c r="B115" s="1" t="n">
        <v>44855</v>
      </c>
      <c r="C115" s="1" t="n">
        <v>46119</v>
      </c>
      <c r="D115" t="inlineStr">
        <is>
          <t>STOCKHOLMS LÄN</t>
        </is>
      </c>
      <c r="E115" t="inlineStr">
        <is>
          <t>NORRTÄLJE</t>
        </is>
      </c>
      <c r="G115" t="n">
        <v>6.7</v>
      </c>
      <c r="H115" t="n">
        <v>1</v>
      </c>
      <c r="I115" t="n">
        <v>1</v>
      </c>
      <c r="J115" t="n">
        <v>0</v>
      </c>
      <c r="K115" t="n">
        <v>0</v>
      </c>
      <c r="L115" t="n">
        <v>0</v>
      </c>
      <c r="M115" t="n">
        <v>0</v>
      </c>
      <c r="N115" t="n">
        <v>0</v>
      </c>
      <c r="O115" t="n">
        <v>0</v>
      </c>
      <c r="P115" t="n">
        <v>0</v>
      </c>
      <c r="Q115" t="n">
        <v>1</v>
      </c>
      <c r="R115" s="2" t="inlineStr">
        <is>
          <t>Guckusko</t>
        </is>
      </c>
      <c r="S115">
        <f>HYPERLINK("https://klasma.github.io/Logging_0188/artfynd/A 47898-2022 artfynd.xlsx", "A 47898-2022")</f>
        <v/>
      </c>
      <c r="T115">
        <f>HYPERLINK("https://klasma.github.io/Logging_0188/kartor/A 47898-2022 karta.png", "A 47898-2022")</f>
        <v/>
      </c>
      <c r="V115">
        <f>HYPERLINK("https://klasma.github.io/Logging_0188/klagomål/A 47898-2022 FSC-klagomål.docx", "A 47898-2022")</f>
        <v/>
      </c>
      <c r="W115">
        <f>HYPERLINK("https://klasma.github.io/Logging_0188/klagomålsmail/A 47898-2022 FSC-klagomål mail.docx", "A 47898-2022")</f>
        <v/>
      </c>
      <c r="X115">
        <f>HYPERLINK("https://klasma.github.io/Logging_0188/tillsyn/A 47898-2022 tillsynsbegäran.docx", "A 47898-2022")</f>
        <v/>
      </c>
      <c r="Y115">
        <f>HYPERLINK("https://klasma.github.io/Logging_0188/tillsynsmail/A 47898-2022 tillsynsbegäran mail.docx", "A 47898-2022")</f>
        <v/>
      </c>
    </row>
    <row r="116" ht="15" customHeight="1">
      <c r="A116" t="inlineStr">
        <is>
          <t>A 59682-2025</t>
        </is>
      </c>
      <c r="B116" s="1" t="n">
        <v>45992.47116898148</v>
      </c>
      <c r="C116" s="1" t="n">
        <v>46119</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14365-2025</t>
        </is>
      </c>
      <c r="B117" s="1" t="n">
        <v>45741.38688657407</v>
      </c>
      <c r="C117" s="1" t="n">
        <v>46119</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32111-2022</t>
        </is>
      </c>
      <c r="B118" s="1" t="n">
        <v>44778.92797453704</v>
      </c>
      <c r="C118" s="1" t="n">
        <v>46119</v>
      </c>
      <c r="D118" t="inlineStr">
        <is>
          <t>STOCKHOLMS LÄN</t>
        </is>
      </c>
      <c r="E118" t="inlineStr">
        <is>
          <t>NORRTÄLJE</t>
        </is>
      </c>
      <c r="G118" t="n">
        <v>3.1</v>
      </c>
      <c r="H118" t="n">
        <v>0</v>
      </c>
      <c r="I118" t="n">
        <v>0</v>
      </c>
      <c r="J118" t="n">
        <v>1</v>
      </c>
      <c r="K118" t="n">
        <v>0</v>
      </c>
      <c r="L118" t="n">
        <v>0</v>
      </c>
      <c r="M118" t="n">
        <v>0</v>
      </c>
      <c r="N118" t="n">
        <v>0</v>
      </c>
      <c r="O118" t="n">
        <v>1</v>
      </c>
      <c r="P118" t="n">
        <v>0</v>
      </c>
      <c r="Q118" t="n">
        <v>1</v>
      </c>
      <c r="R118" s="2" t="inlineStr">
        <is>
          <t>Orange taggsvamp</t>
        </is>
      </c>
      <c r="S118">
        <f>HYPERLINK("https://klasma.github.io/Logging_0188/artfynd/A 32111-2022 artfynd.xlsx", "A 32111-2022")</f>
        <v/>
      </c>
      <c r="T118">
        <f>HYPERLINK("https://klasma.github.io/Logging_0188/kartor/A 32111-2022 karta.png", "A 32111-2022")</f>
        <v/>
      </c>
      <c r="V118">
        <f>HYPERLINK("https://klasma.github.io/Logging_0188/klagomål/A 32111-2022 FSC-klagomål.docx", "A 32111-2022")</f>
        <v/>
      </c>
      <c r="W118">
        <f>HYPERLINK("https://klasma.github.io/Logging_0188/klagomålsmail/A 32111-2022 FSC-klagomål mail.docx", "A 32111-2022")</f>
        <v/>
      </c>
      <c r="X118">
        <f>HYPERLINK("https://klasma.github.io/Logging_0188/tillsyn/A 32111-2022 tillsynsbegäran.docx", "A 32111-2022")</f>
        <v/>
      </c>
      <c r="Y118">
        <f>HYPERLINK("https://klasma.github.io/Logging_0188/tillsynsmail/A 32111-2022 tillsynsbegäran mail.docx", "A 32111-2022")</f>
        <v/>
      </c>
    </row>
    <row r="119" ht="15" customHeight="1">
      <c r="A119" t="inlineStr">
        <is>
          <t>A 62715-2025</t>
        </is>
      </c>
      <c r="B119" s="1" t="n">
        <v>46008.52034722222</v>
      </c>
      <c r="C119" s="1" t="n">
        <v>46119</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4385-2023</t>
        </is>
      </c>
      <c r="B120" s="1" t="n">
        <v>44955.71322916666</v>
      </c>
      <c r="C120" s="1" t="n">
        <v>46119</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4860-2022</t>
        </is>
      </c>
      <c r="B121" s="1" t="n">
        <v>44592</v>
      </c>
      <c r="C121" s="1" t="n">
        <v>46119</v>
      </c>
      <c r="D121" t="inlineStr">
        <is>
          <t>STOCKHOLMS LÄN</t>
        </is>
      </c>
      <c r="E121" t="inlineStr">
        <is>
          <t>NORRTÄLJE</t>
        </is>
      </c>
      <c r="G121" t="n">
        <v>22.3</v>
      </c>
      <c r="H121" t="n">
        <v>0</v>
      </c>
      <c r="I121" t="n">
        <v>0</v>
      </c>
      <c r="J121" t="n">
        <v>1</v>
      </c>
      <c r="K121" t="n">
        <v>0</v>
      </c>
      <c r="L121" t="n">
        <v>0</v>
      </c>
      <c r="M121" t="n">
        <v>0</v>
      </c>
      <c r="N121" t="n">
        <v>0</v>
      </c>
      <c r="O121" t="n">
        <v>1</v>
      </c>
      <c r="P121" t="n">
        <v>0</v>
      </c>
      <c r="Q121" t="n">
        <v>1</v>
      </c>
      <c r="R121" s="2" t="inlineStr">
        <is>
          <t>Igelkott</t>
        </is>
      </c>
      <c r="S121">
        <f>HYPERLINK("https://klasma.github.io/Logging_0188/artfynd/A 4860-2022 artfynd.xlsx", "A 4860-2022")</f>
        <v/>
      </c>
      <c r="T121">
        <f>HYPERLINK("https://klasma.github.io/Logging_0188/kartor/A 4860-2022 karta.png", "A 4860-2022")</f>
        <v/>
      </c>
      <c r="V121">
        <f>HYPERLINK("https://klasma.github.io/Logging_0188/klagomål/A 4860-2022 FSC-klagomål.docx", "A 4860-2022")</f>
        <v/>
      </c>
      <c r="W121">
        <f>HYPERLINK("https://klasma.github.io/Logging_0188/klagomålsmail/A 4860-2022 FSC-klagomål mail.docx", "A 4860-2022")</f>
        <v/>
      </c>
      <c r="X121">
        <f>HYPERLINK("https://klasma.github.io/Logging_0188/tillsyn/A 4860-2022 tillsynsbegäran.docx", "A 4860-2022")</f>
        <v/>
      </c>
      <c r="Y121">
        <f>HYPERLINK("https://klasma.github.io/Logging_0188/tillsynsmail/A 4860-2022 tillsynsbegäran mail.docx", "A 4860-2022")</f>
        <v/>
      </c>
    </row>
    <row r="122" ht="15" customHeight="1">
      <c r="A122" t="inlineStr">
        <is>
          <t>A 63292-2025</t>
        </is>
      </c>
      <c r="B122" s="1" t="n">
        <v>46010.59232638889</v>
      </c>
      <c r="C122" s="1" t="n">
        <v>46119</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19829-2022</t>
        </is>
      </c>
      <c r="B123" s="1" t="n">
        <v>44695.43527777777</v>
      </c>
      <c r="C123" s="1" t="n">
        <v>46119</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364-2026</t>
        </is>
      </c>
      <c r="B124" s="1" t="n">
        <v>46027.67134259259</v>
      </c>
      <c r="C124" s="1" t="n">
        <v>46119</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28816-2023</t>
        </is>
      </c>
      <c r="B125" s="1" t="n">
        <v>45104</v>
      </c>
      <c r="C125" s="1" t="n">
        <v>46119</v>
      </c>
      <c r="D125" t="inlineStr">
        <is>
          <t>STOCKHOLMS LÄN</t>
        </is>
      </c>
      <c r="E125" t="inlineStr">
        <is>
          <t>NORRTÄLJE</t>
        </is>
      </c>
      <c r="F125" t="inlineStr">
        <is>
          <t>Kommuner</t>
        </is>
      </c>
      <c r="G125" t="n">
        <v>0.5</v>
      </c>
      <c r="H125" t="n">
        <v>1</v>
      </c>
      <c r="I125" t="n">
        <v>0</v>
      </c>
      <c r="J125" t="n">
        <v>0</v>
      </c>
      <c r="K125" t="n">
        <v>0</v>
      </c>
      <c r="L125" t="n">
        <v>0</v>
      </c>
      <c r="M125" t="n">
        <v>0</v>
      </c>
      <c r="N125" t="n">
        <v>0</v>
      </c>
      <c r="O125" t="n">
        <v>0</v>
      </c>
      <c r="P125" t="n">
        <v>0</v>
      </c>
      <c r="Q125" t="n">
        <v>1</v>
      </c>
      <c r="R125" s="2" t="inlineStr">
        <is>
          <t>Kungsfågel</t>
        </is>
      </c>
      <c r="S125">
        <f>HYPERLINK("https://klasma.github.io/Logging_0188/artfynd/A 28816-2023 artfynd.xlsx", "A 28816-2023")</f>
        <v/>
      </c>
      <c r="T125">
        <f>HYPERLINK("https://klasma.github.io/Logging_0188/kartor/A 28816-2023 karta.png", "A 28816-2023")</f>
        <v/>
      </c>
      <c r="V125">
        <f>HYPERLINK("https://klasma.github.io/Logging_0188/klagomål/A 28816-2023 FSC-klagomål.docx", "A 28816-2023")</f>
        <v/>
      </c>
      <c r="W125">
        <f>HYPERLINK("https://klasma.github.io/Logging_0188/klagomålsmail/A 28816-2023 FSC-klagomål mail.docx", "A 28816-2023")</f>
        <v/>
      </c>
      <c r="X125">
        <f>HYPERLINK("https://klasma.github.io/Logging_0188/tillsyn/A 28816-2023 tillsynsbegäran.docx", "A 28816-2023")</f>
        <v/>
      </c>
      <c r="Y125">
        <f>HYPERLINK("https://klasma.github.io/Logging_0188/tillsynsmail/A 28816-2023 tillsynsbegäran mail.docx", "A 28816-2023")</f>
        <v/>
      </c>
      <c r="Z125">
        <f>HYPERLINK("https://klasma.github.io/Logging_0188/fåglar/A 28816-2023 prioriterade fågelarter.docx", "A 28816-2023")</f>
        <v/>
      </c>
    </row>
    <row r="126" ht="15" customHeight="1">
      <c r="A126" t="inlineStr">
        <is>
          <t>A 52508-2023</t>
        </is>
      </c>
      <c r="B126" s="1" t="n">
        <v>45225</v>
      </c>
      <c r="C126" s="1" t="n">
        <v>46119</v>
      </c>
      <c r="D126" t="inlineStr">
        <is>
          <t>STOCKHOLMS LÄN</t>
        </is>
      </c>
      <c r="E126" t="inlineStr">
        <is>
          <t>NORRTÄLJE</t>
        </is>
      </c>
      <c r="G126" t="n">
        <v>19.7</v>
      </c>
      <c r="H126" t="n">
        <v>1</v>
      </c>
      <c r="I126" t="n">
        <v>0</v>
      </c>
      <c r="J126" t="n">
        <v>0</v>
      </c>
      <c r="K126" t="n">
        <v>1</v>
      </c>
      <c r="L126" t="n">
        <v>0</v>
      </c>
      <c r="M126" t="n">
        <v>0</v>
      </c>
      <c r="N126" t="n">
        <v>0</v>
      </c>
      <c r="O126" t="n">
        <v>1</v>
      </c>
      <c r="P126" t="n">
        <v>1</v>
      </c>
      <c r="Q126" t="n">
        <v>1</v>
      </c>
      <c r="R126" s="2" t="inlineStr">
        <is>
          <t>Svärta</t>
        </is>
      </c>
      <c r="S126">
        <f>HYPERLINK("https://klasma.github.io/Logging_0188/artfynd/A 52508-2023 artfynd.xlsx", "A 52508-2023")</f>
        <v/>
      </c>
      <c r="T126">
        <f>HYPERLINK("https://klasma.github.io/Logging_0188/kartor/A 52508-2023 karta.png", "A 52508-2023")</f>
        <v/>
      </c>
      <c r="V126">
        <f>HYPERLINK("https://klasma.github.io/Logging_0188/klagomål/A 52508-2023 FSC-klagomål.docx", "A 52508-2023")</f>
        <v/>
      </c>
      <c r="W126">
        <f>HYPERLINK("https://klasma.github.io/Logging_0188/klagomålsmail/A 52508-2023 FSC-klagomål mail.docx", "A 52508-2023")</f>
        <v/>
      </c>
      <c r="X126">
        <f>HYPERLINK("https://klasma.github.io/Logging_0188/tillsyn/A 52508-2023 tillsynsbegäran.docx", "A 52508-2023")</f>
        <v/>
      </c>
      <c r="Y126">
        <f>HYPERLINK("https://klasma.github.io/Logging_0188/tillsynsmail/A 52508-2023 tillsynsbegäran mail.docx", "A 52508-2023")</f>
        <v/>
      </c>
    </row>
    <row r="127" ht="15" customHeight="1">
      <c r="A127" t="inlineStr">
        <is>
          <t>A 7734-2026</t>
        </is>
      </c>
      <c r="B127" s="1" t="n">
        <v>46062.52902777777</v>
      </c>
      <c r="C127" s="1" t="n">
        <v>46119</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15886-2026</t>
        </is>
      </c>
      <c r="B128" s="1" t="n">
        <v>46107</v>
      </c>
      <c r="C128" s="1" t="n">
        <v>46119</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27827-2022</t>
        </is>
      </c>
      <c r="B129" s="1" t="n">
        <v>44743.59504629629</v>
      </c>
      <c r="C129" s="1" t="n">
        <v>46119</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46119</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46119</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46119</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46119</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46119</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46119</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46119</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25669-2025</t>
        </is>
      </c>
      <c r="B137" s="1" t="n">
        <v>45803.62766203703</v>
      </c>
      <c r="C137" s="1" t="n">
        <v>46119</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35764-2024</t>
        </is>
      </c>
      <c r="B138" s="1" t="n">
        <v>45532</v>
      </c>
      <c r="C138" s="1" t="n">
        <v>46119</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25725-2025</t>
        </is>
      </c>
      <c r="B139" s="1" t="n">
        <v>45800</v>
      </c>
      <c r="C139" s="1" t="n">
        <v>46119</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25709-2025</t>
        </is>
      </c>
      <c r="B140" s="1" t="n">
        <v>45800</v>
      </c>
      <c r="C140" s="1" t="n">
        <v>46119</v>
      </c>
      <c r="D140" t="inlineStr">
        <is>
          <t>STOCKHOLMS LÄN</t>
        </is>
      </c>
      <c r="E140" t="inlineStr">
        <is>
          <t>NORRTÄLJE</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HYPERLINK("https://klasma.github.io/Logging_0188/artfynd/A 25709-2025 artfynd.xlsx", "A 25709-2025")</f>
        <v/>
      </c>
      <c r="T140">
        <f>HYPERLINK("https://klasma.github.io/Logging_0188/kartor/A 25709-2025 karta.png", "A 25709-2025")</f>
        <v/>
      </c>
      <c r="V140">
        <f>HYPERLINK("https://klasma.github.io/Logging_0188/klagomål/A 25709-2025 FSC-klagomål.docx", "A 25709-2025")</f>
        <v/>
      </c>
      <c r="W140">
        <f>HYPERLINK("https://klasma.github.io/Logging_0188/klagomålsmail/A 25709-2025 FSC-klagomål mail.docx", "A 25709-2025")</f>
        <v/>
      </c>
      <c r="X140">
        <f>HYPERLINK("https://klasma.github.io/Logging_0188/tillsyn/A 25709-2025 tillsynsbegäran.docx", "A 25709-2025")</f>
        <v/>
      </c>
      <c r="Y140">
        <f>HYPERLINK("https://klasma.github.io/Logging_0188/tillsynsmail/A 25709-2025 tillsynsbegäran mail.docx", "A 25709-2025")</f>
        <v/>
      </c>
    </row>
    <row r="141" ht="15" customHeight="1">
      <c r="A141" t="inlineStr">
        <is>
          <t>A 35649-2023</t>
        </is>
      </c>
      <c r="B141" s="1" t="n">
        <v>45146</v>
      </c>
      <c r="C141" s="1" t="n">
        <v>46119</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6381-2023</t>
        </is>
      </c>
      <c r="B142" s="1" t="n">
        <v>44965</v>
      </c>
      <c r="C142" s="1" t="n">
        <v>46119</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46119</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33546-2025</t>
        </is>
      </c>
      <c r="B144" s="1" t="n">
        <v>45841.56996527778</v>
      </c>
      <c r="C144" s="1" t="n">
        <v>46119</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18580-2021</t>
        </is>
      </c>
      <c r="B145" s="1" t="n">
        <v>44306</v>
      </c>
      <c r="C145" s="1" t="n">
        <v>46119</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46119</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46119</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46119</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46119</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46119</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46119</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46119</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46119</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46119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46119</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46119</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46119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46119</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46119</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46119</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46119</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46119</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46119</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46119</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46119</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46119</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46119</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46119</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46119</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46119</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46119</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46119</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46119</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46119</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46119</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46119</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46119</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46119</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46119</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46119</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46119</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46119</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46119</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46119</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46119</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46119</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46119</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46119</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46119</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46119</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46119</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46119</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46119</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46119</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46119</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46119</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46119</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46119</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46119</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46119</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46119</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46119</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46119</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46119</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46119</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46119</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46119</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46119</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46119</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46119</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46119</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46119</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46119</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46119</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46119</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46119</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46119</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46119</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46119</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46119</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46119</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46119</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46119</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46119</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46119</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46119</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46119</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46119</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46119</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46119</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46119</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46119</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46119</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46119</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46119</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46119</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46119</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46119</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46119</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46119</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46119</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46119</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46119</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46119</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46119</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46119</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46119</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46119</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46119</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46119</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41822-2021</t>
        </is>
      </c>
      <c r="B260" s="1" t="n">
        <v>44425</v>
      </c>
      <c r="C260" s="1" t="n">
        <v>46119</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41823-2021</t>
        </is>
      </c>
      <c r="B261" s="1" t="n">
        <v>44425</v>
      </c>
      <c r="C261" s="1" t="n">
        <v>46119</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46119</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46119</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46119</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46119</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46119</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46119</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46119</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46119</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46119</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46119</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46119</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46119</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46119</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46119</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46119</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46119</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46119</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46119</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46119</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46119</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46119</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46119</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46119</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46119</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46119</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46119</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46119</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46119</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46119</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46119</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46119</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46119</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46119</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46119</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25557-2023</t>
        </is>
      </c>
      <c r="B296" s="1" t="n">
        <v>45089</v>
      </c>
      <c r="C296" s="1" t="n">
        <v>46119</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27715-2022</t>
        </is>
      </c>
      <c r="B297" s="1" t="n">
        <v>44743.47407407407</v>
      </c>
      <c r="C297" s="1" t="n">
        <v>46119</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29972-2024</t>
        </is>
      </c>
      <c r="B298" s="1" t="n">
        <v>45485</v>
      </c>
      <c r="C298" s="1" t="n">
        <v>46119</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48716-2023</t>
        </is>
      </c>
      <c r="B299" s="1" t="n">
        <v>45208.69671296296</v>
      </c>
      <c r="C299" s="1" t="n">
        <v>46119</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46119</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5027-2025</t>
        </is>
      </c>
      <c r="B301" s="1" t="n">
        <v>45691.41101851852</v>
      </c>
      <c r="C301" s="1" t="n">
        <v>46119</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46119</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46119</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46119</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46119</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46119</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46119</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13172-2025</t>
        </is>
      </c>
      <c r="B308" s="1" t="n">
        <v>45735.36873842592</v>
      </c>
      <c r="C308" s="1" t="n">
        <v>46119</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46119</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46119</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46119</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46119</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22456-2023</t>
        </is>
      </c>
      <c r="B313" s="1" t="n">
        <v>45070</v>
      </c>
      <c r="C313" s="1" t="n">
        <v>46119</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17785-2024</t>
        </is>
      </c>
      <c r="B314" s="1" t="n">
        <v>45418.6968287037</v>
      </c>
      <c r="C314" s="1" t="n">
        <v>46119</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46119</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46119</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46119</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46119</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6678-2025</t>
        </is>
      </c>
      <c r="B319" s="1" t="n">
        <v>45700</v>
      </c>
      <c r="C319" s="1" t="n">
        <v>46119</v>
      </c>
      <c r="D319" t="inlineStr">
        <is>
          <t>STOCKHOLMS LÄN</t>
        </is>
      </c>
      <c r="E319" t="inlineStr">
        <is>
          <t>NORRTÄLJE</t>
        </is>
      </c>
      <c r="F319" t="inlineStr">
        <is>
          <t>Övriga Aktiebolag</t>
        </is>
      </c>
      <c r="G319" t="n">
        <v>6.6</v>
      </c>
      <c r="H319" t="n">
        <v>0</v>
      </c>
      <c r="I319" t="n">
        <v>0</v>
      </c>
      <c r="J319" t="n">
        <v>0</v>
      </c>
      <c r="K319" t="n">
        <v>0</v>
      </c>
      <c r="L319" t="n">
        <v>0</v>
      </c>
      <c r="M319" t="n">
        <v>0</v>
      </c>
      <c r="N319" t="n">
        <v>0</v>
      </c>
      <c r="O319" t="n">
        <v>0</v>
      </c>
      <c r="P319" t="n">
        <v>0</v>
      </c>
      <c r="Q319" t="n">
        <v>0</v>
      </c>
      <c r="R319" s="2" t="inlineStr"/>
    </row>
    <row r="320" ht="15" customHeight="1">
      <c r="A320" t="inlineStr">
        <is>
          <t>A 44917-2022</t>
        </is>
      </c>
      <c r="B320" s="1" t="n">
        <v>44841.52804398148</v>
      </c>
      <c r="C320" s="1" t="n">
        <v>46119</v>
      </c>
      <c r="D320" t="inlineStr">
        <is>
          <t>STOCKHOLMS LÄN</t>
        </is>
      </c>
      <c r="E320" t="inlineStr">
        <is>
          <t>NORRTÄLJE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46119</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20852-2023</t>
        </is>
      </c>
      <c r="B322" s="1" t="n">
        <v>45058.78607638889</v>
      </c>
      <c r="C322" s="1" t="n">
        <v>46119</v>
      </c>
      <c r="D322" t="inlineStr">
        <is>
          <t>STOCKHOLMS LÄN</t>
        </is>
      </c>
      <c r="E322" t="inlineStr">
        <is>
          <t>NORRTÄLJE</t>
        </is>
      </c>
      <c r="G322" t="n">
        <v>3.5</v>
      </c>
      <c r="H322" t="n">
        <v>0</v>
      </c>
      <c r="I322" t="n">
        <v>0</v>
      </c>
      <c r="J322" t="n">
        <v>0</v>
      </c>
      <c r="K322" t="n">
        <v>0</v>
      </c>
      <c r="L322" t="n">
        <v>0</v>
      </c>
      <c r="M322" t="n">
        <v>0</v>
      </c>
      <c r="N322" t="n">
        <v>0</v>
      </c>
      <c r="O322" t="n">
        <v>0</v>
      </c>
      <c r="P322" t="n">
        <v>0</v>
      </c>
      <c r="Q322" t="n">
        <v>0</v>
      </c>
      <c r="R322" s="2" t="inlineStr"/>
    </row>
    <row r="323" ht="15" customHeight="1">
      <c r="A323" t="inlineStr">
        <is>
          <t>A 55012-2024</t>
        </is>
      </c>
      <c r="B323" s="1" t="n">
        <v>45621.34813657407</v>
      </c>
      <c r="C323" s="1" t="n">
        <v>46119</v>
      </c>
      <c r="D323" t="inlineStr">
        <is>
          <t>STOCKHOLMS LÄN</t>
        </is>
      </c>
      <c r="E323" t="inlineStr">
        <is>
          <t>NORRTÄLJE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55058-2021</t>
        </is>
      </c>
      <c r="B324" s="1" t="n">
        <v>44474.62141203704</v>
      </c>
      <c r="C324" s="1" t="n">
        <v>46119</v>
      </c>
      <c r="D324" t="inlineStr">
        <is>
          <t>STOCKHOLMS LÄN</t>
        </is>
      </c>
      <c r="E324" t="inlineStr">
        <is>
          <t>NORRTÄLJE</t>
        </is>
      </c>
      <c r="G324" t="n">
        <v>1.9</v>
      </c>
      <c r="H324" t="n">
        <v>0</v>
      </c>
      <c r="I324" t="n">
        <v>0</v>
      </c>
      <c r="J324" t="n">
        <v>0</v>
      </c>
      <c r="K324" t="n">
        <v>0</v>
      </c>
      <c r="L324" t="n">
        <v>0</v>
      </c>
      <c r="M324" t="n">
        <v>0</v>
      </c>
      <c r="N324" t="n">
        <v>0</v>
      </c>
      <c r="O324" t="n">
        <v>0</v>
      </c>
      <c r="P324" t="n">
        <v>0</v>
      </c>
      <c r="Q324" t="n">
        <v>0</v>
      </c>
      <c r="R324" s="2" t="inlineStr"/>
    </row>
    <row r="325" ht="15" customHeight="1">
      <c r="A325" t="inlineStr">
        <is>
          <t>A 50355-2024</t>
        </is>
      </c>
      <c r="B325" s="1" t="n">
        <v>45600.86128472222</v>
      </c>
      <c r="C325" s="1" t="n">
        <v>46119</v>
      </c>
      <c r="D325" t="inlineStr">
        <is>
          <t>STOCKHOLMS LÄN</t>
        </is>
      </c>
      <c r="E325" t="inlineStr">
        <is>
          <t>NORRTÄLJE</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7413-2024</t>
        </is>
      </c>
      <c r="B326" s="1" t="n">
        <v>45345.6059837963</v>
      </c>
      <c r="C326" s="1" t="n">
        <v>46119</v>
      </c>
      <c r="D326" t="inlineStr">
        <is>
          <t>STOCKHOLMS LÄN</t>
        </is>
      </c>
      <c r="E326" t="inlineStr">
        <is>
          <t>NORRTÄLJE</t>
        </is>
      </c>
      <c r="G326" t="n">
        <v>1.8</v>
      </c>
      <c r="H326" t="n">
        <v>0</v>
      </c>
      <c r="I326" t="n">
        <v>0</v>
      </c>
      <c r="J326" t="n">
        <v>0</v>
      </c>
      <c r="K326" t="n">
        <v>0</v>
      </c>
      <c r="L326" t="n">
        <v>0</v>
      </c>
      <c r="M326" t="n">
        <v>0</v>
      </c>
      <c r="N326" t="n">
        <v>0</v>
      </c>
      <c r="O326" t="n">
        <v>0</v>
      </c>
      <c r="P326" t="n">
        <v>0</v>
      </c>
      <c r="Q326" t="n">
        <v>0</v>
      </c>
      <c r="R326" s="2" t="inlineStr"/>
    </row>
    <row r="327" ht="15" customHeight="1">
      <c r="A327" t="inlineStr">
        <is>
          <t>A 12251-2025</t>
        </is>
      </c>
      <c r="B327" s="1" t="n">
        <v>45729.60859953704</v>
      </c>
      <c r="C327" s="1" t="n">
        <v>46119</v>
      </c>
      <c r="D327" t="inlineStr">
        <is>
          <t>STOCKHOLMS LÄN</t>
        </is>
      </c>
      <c r="E327" t="inlineStr">
        <is>
          <t>NORRTÄLJE</t>
        </is>
      </c>
      <c r="F327" t="inlineStr">
        <is>
          <t>Holmen skog AB</t>
        </is>
      </c>
      <c r="G327" t="n">
        <v>5.9</v>
      </c>
      <c r="H327" t="n">
        <v>0</v>
      </c>
      <c r="I327" t="n">
        <v>0</v>
      </c>
      <c r="J327" t="n">
        <v>0</v>
      </c>
      <c r="K327" t="n">
        <v>0</v>
      </c>
      <c r="L327" t="n">
        <v>0</v>
      </c>
      <c r="M327" t="n">
        <v>0</v>
      </c>
      <c r="N327" t="n">
        <v>0</v>
      </c>
      <c r="O327" t="n">
        <v>0</v>
      </c>
      <c r="P327" t="n">
        <v>0</v>
      </c>
      <c r="Q327" t="n">
        <v>0</v>
      </c>
      <c r="R327" s="2" t="inlineStr"/>
    </row>
    <row r="328" ht="15" customHeight="1">
      <c r="A328" t="inlineStr">
        <is>
          <t>A 58863-2024</t>
        </is>
      </c>
      <c r="B328" s="1" t="n">
        <v>45636.41572916666</v>
      </c>
      <c r="C328" s="1" t="n">
        <v>46119</v>
      </c>
      <c r="D328" t="inlineStr">
        <is>
          <t>STOCKHOLMS LÄN</t>
        </is>
      </c>
      <c r="E328" t="inlineStr">
        <is>
          <t>NORRTÄLJE</t>
        </is>
      </c>
      <c r="G328" t="n">
        <v>0.7</v>
      </c>
      <c r="H328" t="n">
        <v>0</v>
      </c>
      <c r="I328" t="n">
        <v>0</v>
      </c>
      <c r="J328" t="n">
        <v>0</v>
      </c>
      <c r="K328" t="n">
        <v>0</v>
      </c>
      <c r="L328" t="n">
        <v>0</v>
      </c>
      <c r="M328" t="n">
        <v>0</v>
      </c>
      <c r="N328" t="n">
        <v>0</v>
      </c>
      <c r="O328" t="n">
        <v>0</v>
      </c>
      <c r="P328" t="n">
        <v>0</v>
      </c>
      <c r="Q328" t="n">
        <v>0</v>
      </c>
      <c r="R328" s="2" t="inlineStr"/>
    </row>
    <row r="329" ht="15" customHeight="1">
      <c r="A329" t="inlineStr">
        <is>
          <t>A 11900-2024</t>
        </is>
      </c>
      <c r="B329" s="1" t="n">
        <v>45376.55484953704</v>
      </c>
      <c r="C329" s="1" t="n">
        <v>46119</v>
      </c>
      <c r="D329" t="inlineStr">
        <is>
          <t>STOCKHOLMS LÄN</t>
        </is>
      </c>
      <c r="E329" t="inlineStr">
        <is>
          <t>NORRTÄLJE</t>
        </is>
      </c>
      <c r="G329" t="n">
        <v>4.2</v>
      </c>
      <c r="H329" t="n">
        <v>0</v>
      </c>
      <c r="I329" t="n">
        <v>0</v>
      </c>
      <c r="J329" t="n">
        <v>0</v>
      </c>
      <c r="K329" t="n">
        <v>0</v>
      </c>
      <c r="L329" t="n">
        <v>0</v>
      </c>
      <c r="M329" t="n">
        <v>0</v>
      </c>
      <c r="N329" t="n">
        <v>0</v>
      </c>
      <c r="O329" t="n">
        <v>0</v>
      </c>
      <c r="P329" t="n">
        <v>0</v>
      </c>
      <c r="Q329" t="n">
        <v>0</v>
      </c>
      <c r="R329" s="2" t="inlineStr"/>
    </row>
    <row r="330" ht="15" customHeight="1">
      <c r="A330" t="inlineStr">
        <is>
          <t>A 42867-2022</t>
        </is>
      </c>
      <c r="B330" s="1" t="n">
        <v>44832</v>
      </c>
      <c r="C330" s="1" t="n">
        <v>46119</v>
      </c>
      <c r="D330" t="inlineStr">
        <is>
          <t>STOCKHOLMS LÄN</t>
        </is>
      </c>
      <c r="E330" t="inlineStr">
        <is>
          <t>NORRTÄLJE</t>
        </is>
      </c>
      <c r="G330" t="n">
        <v>6.4</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46119</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46119</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58277-2023</t>
        </is>
      </c>
      <c r="B333" s="1" t="n">
        <v>45245</v>
      </c>
      <c r="C333" s="1" t="n">
        <v>46119</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11940-2023</t>
        </is>
      </c>
      <c r="B334" s="1" t="n">
        <v>44995</v>
      </c>
      <c r="C334" s="1" t="n">
        <v>46119</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2281-2024</t>
        </is>
      </c>
      <c r="B335" s="1" t="n">
        <v>45310.40628472222</v>
      </c>
      <c r="C335" s="1" t="n">
        <v>46119</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50108-2021</t>
        </is>
      </c>
      <c r="B336" s="1" t="n">
        <v>44456</v>
      </c>
      <c r="C336" s="1" t="n">
        <v>46119</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32705-2022</t>
        </is>
      </c>
      <c r="B337" s="1" t="n">
        <v>44783</v>
      </c>
      <c r="C337" s="1" t="n">
        <v>46119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60525-2022</t>
        </is>
      </c>
      <c r="B338" s="1" t="n">
        <v>44904</v>
      </c>
      <c r="C338" s="1" t="n">
        <v>46119</v>
      </c>
      <c r="D338" t="inlineStr">
        <is>
          <t>STOCKHOLMS LÄN</t>
        </is>
      </c>
      <c r="E338" t="inlineStr">
        <is>
          <t>NORRTÄLJE</t>
        </is>
      </c>
      <c r="G338" t="n">
        <v>13.4</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46119</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47481-2024</t>
        </is>
      </c>
      <c r="B340" s="1" t="n">
        <v>45587</v>
      </c>
      <c r="C340" s="1" t="n">
        <v>46119</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46119</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46119</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59534-2024</t>
        </is>
      </c>
      <c r="B343" s="1" t="n">
        <v>45638.5987037037</v>
      </c>
      <c r="C343" s="1" t="n">
        <v>46119</v>
      </c>
      <c r="D343" t="inlineStr">
        <is>
          <t>STOCKHOLMS LÄN</t>
        </is>
      </c>
      <c r="E343" t="inlineStr">
        <is>
          <t>NORRTÄLJE</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31107-2022</t>
        </is>
      </c>
      <c r="B344" s="1" t="n">
        <v>44769.66864583334</v>
      </c>
      <c r="C344" s="1" t="n">
        <v>46119</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13860-2023</t>
        </is>
      </c>
      <c r="B345" s="1" t="n">
        <v>45007</v>
      </c>
      <c r="C345" s="1" t="n">
        <v>46119</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39213-2022</t>
        </is>
      </c>
      <c r="B346" s="1" t="n">
        <v>44817.56120370371</v>
      </c>
      <c r="C346" s="1" t="n">
        <v>46119</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46119</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46119</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41976-2024</t>
        </is>
      </c>
      <c r="B349" s="1" t="n">
        <v>45561.62141203704</v>
      </c>
      <c r="C349" s="1" t="n">
        <v>46119</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13314-2025</t>
        </is>
      </c>
      <c r="B350" s="1" t="n">
        <v>45735.59287037037</v>
      </c>
      <c r="C350" s="1" t="n">
        <v>46119</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23149-2024</t>
        </is>
      </c>
      <c r="B351" s="1" t="n">
        <v>45450.64208333333</v>
      </c>
      <c r="C351" s="1" t="n">
        <v>46119</v>
      </c>
      <c r="D351" t="inlineStr">
        <is>
          <t>STOCKHOLMS LÄN</t>
        </is>
      </c>
      <c r="E351" t="inlineStr">
        <is>
          <t>NORRTÄLJE</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23151-2024</t>
        </is>
      </c>
      <c r="B352" s="1" t="n">
        <v>45450</v>
      </c>
      <c r="C352" s="1" t="n">
        <v>46119</v>
      </c>
      <c r="D352" t="inlineStr">
        <is>
          <t>STOCKHOLMS LÄN</t>
        </is>
      </c>
      <c r="E352" t="inlineStr">
        <is>
          <t>NORRTÄLJE</t>
        </is>
      </c>
      <c r="F352" t="inlineStr">
        <is>
          <t>Kommuner</t>
        </is>
      </c>
      <c r="G352" t="n">
        <v>1.2</v>
      </c>
      <c r="H352" t="n">
        <v>0</v>
      </c>
      <c r="I352" t="n">
        <v>0</v>
      </c>
      <c r="J352" t="n">
        <v>0</v>
      </c>
      <c r="K352" t="n">
        <v>0</v>
      </c>
      <c r="L352" t="n">
        <v>0</v>
      </c>
      <c r="M352" t="n">
        <v>0</v>
      </c>
      <c r="N352" t="n">
        <v>0</v>
      </c>
      <c r="O352" t="n">
        <v>0</v>
      </c>
      <c r="P352" t="n">
        <v>0</v>
      </c>
      <c r="Q352" t="n">
        <v>0</v>
      </c>
      <c r="R352" s="2" t="inlineStr"/>
    </row>
    <row r="353" ht="15" customHeight="1">
      <c r="A353" t="inlineStr">
        <is>
          <t>A 21726-2022</t>
        </is>
      </c>
      <c r="B353" s="1" t="n">
        <v>44708</v>
      </c>
      <c r="C353" s="1" t="n">
        <v>46119</v>
      </c>
      <c r="D353" t="inlineStr">
        <is>
          <t>STOCKHOLMS LÄN</t>
        </is>
      </c>
      <c r="E353" t="inlineStr">
        <is>
          <t>NORRTÄLJE</t>
        </is>
      </c>
      <c r="G353" t="n">
        <v>0.2</v>
      </c>
      <c r="H353" t="n">
        <v>0</v>
      </c>
      <c r="I353" t="n">
        <v>0</v>
      </c>
      <c r="J353" t="n">
        <v>0</v>
      </c>
      <c r="K353" t="n">
        <v>0</v>
      </c>
      <c r="L353" t="n">
        <v>0</v>
      </c>
      <c r="M353" t="n">
        <v>0</v>
      </c>
      <c r="N353" t="n">
        <v>0</v>
      </c>
      <c r="O353" t="n">
        <v>0</v>
      </c>
      <c r="P353" t="n">
        <v>0</v>
      </c>
      <c r="Q353" t="n">
        <v>0</v>
      </c>
      <c r="R353" s="2" t="inlineStr"/>
    </row>
    <row r="354" ht="15" customHeight="1">
      <c r="A354" t="inlineStr">
        <is>
          <t>A 21739-2022</t>
        </is>
      </c>
      <c r="B354" s="1" t="n">
        <v>44708.36708333333</v>
      </c>
      <c r="C354" s="1" t="n">
        <v>46119</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35210-2023</t>
        </is>
      </c>
      <c r="B355" s="1" t="n">
        <v>45145.63584490741</v>
      </c>
      <c r="C355" s="1" t="n">
        <v>46119</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59767-2022</t>
        </is>
      </c>
      <c r="B356" s="1" t="n">
        <v>44900</v>
      </c>
      <c r="C356" s="1" t="n">
        <v>46119</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52001-2023</t>
        </is>
      </c>
      <c r="B357" s="1" t="n">
        <v>45223</v>
      </c>
      <c r="C357" s="1" t="n">
        <v>46119</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5823-2023</t>
        </is>
      </c>
      <c r="B358" s="1" t="n">
        <v>44963</v>
      </c>
      <c r="C358" s="1" t="n">
        <v>46119</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19915-2024</t>
        </is>
      </c>
      <c r="B359" s="1" t="n">
        <v>45433.58431712963</v>
      </c>
      <c r="C359" s="1" t="n">
        <v>46119</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15217-2023</t>
        </is>
      </c>
      <c r="B360" s="1" t="n">
        <v>45019.28847222222</v>
      </c>
      <c r="C360" s="1" t="n">
        <v>46119</v>
      </c>
      <c r="D360" t="inlineStr">
        <is>
          <t>STOCKHOLMS LÄN</t>
        </is>
      </c>
      <c r="E360" t="inlineStr">
        <is>
          <t>NORRTÄLJE</t>
        </is>
      </c>
      <c r="G360" t="n">
        <v>3.6</v>
      </c>
      <c r="H360" t="n">
        <v>0</v>
      </c>
      <c r="I360" t="n">
        <v>0</v>
      </c>
      <c r="J360" t="n">
        <v>0</v>
      </c>
      <c r="K360" t="n">
        <v>0</v>
      </c>
      <c r="L360" t="n">
        <v>0</v>
      </c>
      <c r="M360" t="n">
        <v>0</v>
      </c>
      <c r="N360" t="n">
        <v>0</v>
      </c>
      <c r="O360" t="n">
        <v>0</v>
      </c>
      <c r="P360" t="n">
        <v>0</v>
      </c>
      <c r="Q360" t="n">
        <v>0</v>
      </c>
      <c r="R360" s="2" t="inlineStr"/>
    </row>
    <row r="361" ht="15" customHeight="1">
      <c r="A361" t="inlineStr">
        <is>
          <t>A 50143-2023</t>
        </is>
      </c>
      <c r="B361" s="1" t="n">
        <v>45215</v>
      </c>
      <c r="C361" s="1" t="n">
        <v>46119</v>
      </c>
      <c r="D361" t="inlineStr">
        <is>
          <t>STOCKHOLMS LÄN</t>
        </is>
      </c>
      <c r="E361" t="inlineStr">
        <is>
          <t>NORRTÄLJE</t>
        </is>
      </c>
      <c r="G361" t="n">
        <v>10.3</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45642.64634259259</v>
      </c>
      <c r="C362" s="1" t="n">
        <v>46119</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29176-2024</t>
        </is>
      </c>
      <c r="B363" s="1" t="n">
        <v>45482.53388888889</v>
      </c>
      <c r="C363" s="1" t="n">
        <v>46119</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46119</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46119</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4322-2023</t>
        </is>
      </c>
      <c r="B366" s="1" t="n">
        <v>44953.69298611111</v>
      </c>
      <c r="C366" s="1" t="n">
        <v>46119</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43212-2022</t>
        </is>
      </c>
      <c r="B367" s="1" t="n">
        <v>44834.38636574074</v>
      </c>
      <c r="C367" s="1" t="n">
        <v>46119</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46119</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46119</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51312-2023</t>
        </is>
      </c>
      <c r="B370" s="1" t="n">
        <v>45219.56697916667</v>
      </c>
      <c r="C370" s="1" t="n">
        <v>46119</v>
      </c>
      <c r="D370" t="inlineStr">
        <is>
          <t>STOCKHOLMS LÄN</t>
        </is>
      </c>
      <c r="E370" t="inlineStr">
        <is>
          <t>NORRTÄLJE</t>
        </is>
      </c>
      <c r="G370" t="n">
        <v>1.9</v>
      </c>
      <c r="H370" t="n">
        <v>0</v>
      </c>
      <c r="I370" t="n">
        <v>0</v>
      </c>
      <c r="J370" t="n">
        <v>0</v>
      </c>
      <c r="K370" t="n">
        <v>0</v>
      </c>
      <c r="L370" t="n">
        <v>0</v>
      </c>
      <c r="M370" t="n">
        <v>0</v>
      </c>
      <c r="N370" t="n">
        <v>0</v>
      </c>
      <c r="O370" t="n">
        <v>0</v>
      </c>
      <c r="P370" t="n">
        <v>0</v>
      </c>
      <c r="Q370" t="n">
        <v>0</v>
      </c>
      <c r="R370" s="2" t="inlineStr"/>
    </row>
    <row r="371" ht="15" customHeight="1">
      <c r="A371" t="inlineStr">
        <is>
          <t>A 35640-2024</t>
        </is>
      </c>
      <c r="B371" s="1" t="n">
        <v>45531</v>
      </c>
      <c r="C371" s="1" t="n">
        <v>46119</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38990-2022</t>
        </is>
      </c>
      <c r="B372" s="1" t="n">
        <v>44816</v>
      </c>
      <c r="C372" s="1" t="n">
        <v>46119</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46119</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18665-2022</t>
        </is>
      </c>
      <c r="B374" s="1" t="n">
        <v>44687</v>
      </c>
      <c r="C374" s="1" t="n">
        <v>46119</v>
      </c>
      <c r="D374" t="inlineStr">
        <is>
          <t>STOCKHOLMS LÄN</t>
        </is>
      </c>
      <c r="E374" t="inlineStr">
        <is>
          <t>NORRTÄLJE</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875-2023</t>
        </is>
      </c>
      <c r="B375" s="1" t="n">
        <v>44931.65626157408</v>
      </c>
      <c r="C375" s="1" t="n">
        <v>46119</v>
      </c>
      <c r="D375" t="inlineStr">
        <is>
          <t>STOCKHOLMS LÄN</t>
        </is>
      </c>
      <c r="E375" t="inlineStr">
        <is>
          <t>NORRTÄLJE</t>
        </is>
      </c>
      <c r="G375" t="n">
        <v>2.2</v>
      </c>
      <c r="H375" t="n">
        <v>0</v>
      </c>
      <c r="I375" t="n">
        <v>0</v>
      </c>
      <c r="J375" t="n">
        <v>0</v>
      </c>
      <c r="K375" t="n">
        <v>0</v>
      </c>
      <c r="L375" t="n">
        <v>0</v>
      </c>
      <c r="M375" t="n">
        <v>0</v>
      </c>
      <c r="N375" t="n">
        <v>0</v>
      </c>
      <c r="O375" t="n">
        <v>0</v>
      </c>
      <c r="P375" t="n">
        <v>0</v>
      </c>
      <c r="Q375" t="n">
        <v>0</v>
      </c>
      <c r="R375" s="2" t="inlineStr"/>
    </row>
    <row r="376" ht="15" customHeight="1">
      <c r="A376" t="inlineStr">
        <is>
          <t>A 31236-2022</t>
        </is>
      </c>
      <c r="B376" s="1" t="n">
        <v>44771</v>
      </c>
      <c r="C376" s="1" t="n">
        <v>46119</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8315-2025</t>
        </is>
      </c>
      <c r="B377" s="1" t="n">
        <v>45708.61761574074</v>
      </c>
      <c r="C377" s="1" t="n">
        <v>46119</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58302-2022</t>
        </is>
      </c>
      <c r="B378" s="1" t="n">
        <v>44901</v>
      </c>
      <c r="C378" s="1" t="n">
        <v>46119</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52686-2024</t>
        </is>
      </c>
      <c r="B379" s="1" t="n">
        <v>45610.39271990741</v>
      </c>
      <c r="C379" s="1" t="n">
        <v>46119</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20343-2024</t>
        </is>
      </c>
      <c r="B380" s="1" t="n">
        <v>45435.43466435185</v>
      </c>
      <c r="C380" s="1" t="n">
        <v>46119</v>
      </c>
      <c r="D380" t="inlineStr">
        <is>
          <t>STOCKHOLMS LÄN</t>
        </is>
      </c>
      <c r="E380" t="inlineStr">
        <is>
          <t>NORRTÄLJE</t>
        </is>
      </c>
      <c r="G380" t="n">
        <v>2.8</v>
      </c>
      <c r="H380" t="n">
        <v>0</v>
      </c>
      <c r="I380" t="n">
        <v>0</v>
      </c>
      <c r="J380" t="n">
        <v>0</v>
      </c>
      <c r="K380" t="n">
        <v>0</v>
      </c>
      <c r="L380" t="n">
        <v>0</v>
      </c>
      <c r="M380" t="n">
        <v>0</v>
      </c>
      <c r="N380" t="n">
        <v>0</v>
      </c>
      <c r="O380" t="n">
        <v>0</v>
      </c>
      <c r="P380" t="n">
        <v>0</v>
      </c>
      <c r="Q380" t="n">
        <v>0</v>
      </c>
      <c r="R380" s="2" t="inlineStr"/>
    </row>
    <row r="381" ht="15" customHeight="1">
      <c r="A381" t="inlineStr">
        <is>
          <t>A 20345-2024</t>
        </is>
      </c>
      <c r="B381" s="1" t="n">
        <v>45435.43820601852</v>
      </c>
      <c r="C381" s="1" t="n">
        <v>46119</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46119</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45640.58716435185</v>
      </c>
      <c r="C383" s="1" t="n">
        <v>46119</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46119</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46119</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11-2024</t>
        </is>
      </c>
      <c r="B386" s="1" t="n">
        <v>45293</v>
      </c>
      <c r="C386" s="1" t="n">
        <v>46119</v>
      </c>
      <c r="D386" t="inlineStr">
        <is>
          <t>STOCKHOLMS LÄN</t>
        </is>
      </c>
      <c r="E386" t="inlineStr">
        <is>
          <t>NORRTÄLJE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14559-2024</t>
        </is>
      </c>
      <c r="B387" s="1" t="n">
        <v>45394.72869212963</v>
      </c>
      <c r="C387" s="1" t="n">
        <v>46119</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46119</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30338-2022</t>
        </is>
      </c>
      <c r="B389" s="1" t="n">
        <v>44760</v>
      </c>
      <c r="C389" s="1" t="n">
        <v>46119</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46119</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2888-2022</t>
        </is>
      </c>
      <c r="B391" s="1" t="n">
        <v>44581</v>
      </c>
      <c r="C391" s="1" t="n">
        <v>46119</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38889-2024</t>
        </is>
      </c>
      <c r="B392" s="1" t="n">
        <v>45547</v>
      </c>
      <c r="C392" s="1" t="n">
        <v>46119</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45451-2024</t>
        </is>
      </c>
      <c r="B393" s="1" t="n">
        <v>45576</v>
      </c>
      <c r="C393" s="1" t="n">
        <v>46119</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2982-2023</t>
        </is>
      </c>
      <c r="B394" s="1" t="n">
        <v>44945.67409722223</v>
      </c>
      <c r="C394" s="1" t="n">
        <v>46119</v>
      </c>
      <c r="D394" t="inlineStr">
        <is>
          <t>STOCKHOLMS LÄN</t>
        </is>
      </c>
      <c r="E394" t="inlineStr">
        <is>
          <t>NORRTÄLJE</t>
        </is>
      </c>
      <c r="G394" t="n">
        <v>3.3</v>
      </c>
      <c r="H394" t="n">
        <v>0</v>
      </c>
      <c r="I394" t="n">
        <v>0</v>
      </c>
      <c r="J394" t="n">
        <v>0</v>
      </c>
      <c r="K394" t="n">
        <v>0</v>
      </c>
      <c r="L394" t="n">
        <v>0</v>
      </c>
      <c r="M394" t="n">
        <v>0</v>
      </c>
      <c r="N394" t="n">
        <v>0</v>
      </c>
      <c r="O394" t="n">
        <v>0</v>
      </c>
      <c r="P394" t="n">
        <v>0</v>
      </c>
      <c r="Q394" t="n">
        <v>0</v>
      </c>
      <c r="R394" s="2" t="inlineStr"/>
    </row>
    <row r="395" ht="15" customHeight="1">
      <c r="A395" t="inlineStr">
        <is>
          <t>A 26644-2024</t>
        </is>
      </c>
      <c r="B395" s="1" t="n">
        <v>45469</v>
      </c>
      <c r="C395" s="1" t="n">
        <v>46119</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12535-2025</t>
        </is>
      </c>
      <c r="B396" s="1" t="n">
        <v>45730.69502314815</v>
      </c>
      <c r="C396" s="1" t="n">
        <v>46119</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13718-2022</t>
        </is>
      </c>
      <c r="B397" s="1" t="n">
        <v>44649</v>
      </c>
      <c r="C397" s="1" t="n">
        <v>46119</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6919-2025</t>
        </is>
      </c>
      <c r="B398" s="1" t="n">
        <v>45701.44372685185</v>
      </c>
      <c r="C398" s="1" t="n">
        <v>46119</v>
      </c>
      <c r="D398" t="inlineStr">
        <is>
          <t>STOCKHOLMS LÄN</t>
        </is>
      </c>
      <c r="E398" t="inlineStr">
        <is>
          <t>NORRTÄLJE</t>
        </is>
      </c>
      <c r="G398" t="n">
        <v>3.5</v>
      </c>
      <c r="H398" t="n">
        <v>0</v>
      </c>
      <c r="I398" t="n">
        <v>0</v>
      </c>
      <c r="J398" t="n">
        <v>0</v>
      </c>
      <c r="K398" t="n">
        <v>0</v>
      </c>
      <c r="L398" t="n">
        <v>0</v>
      </c>
      <c r="M398" t="n">
        <v>0</v>
      </c>
      <c r="N398" t="n">
        <v>0</v>
      </c>
      <c r="O398" t="n">
        <v>0</v>
      </c>
      <c r="P398" t="n">
        <v>0</v>
      </c>
      <c r="Q398" t="n">
        <v>0</v>
      </c>
      <c r="R398" s="2" t="inlineStr"/>
    </row>
    <row r="399" ht="15" customHeight="1">
      <c r="A399" t="inlineStr">
        <is>
          <t>A 32100-2022</t>
        </is>
      </c>
      <c r="B399" s="1" t="n">
        <v>44778</v>
      </c>
      <c r="C399" s="1" t="n">
        <v>46119</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1453-2025</t>
        </is>
      </c>
      <c r="B400" s="1" t="n">
        <v>45670.3079050926</v>
      </c>
      <c r="C400" s="1" t="n">
        <v>46119</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11332-2025</t>
        </is>
      </c>
      <c r="B401" s="1" t="n">
        <v>45726.48152777777</v>
      </c>
      <c r="C401" s="1" t="n">
        <v>46119</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46119</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37444-2021</t>
        </is>
      </c>
      <c r="B403" s="1" t="n">
        <v>44398</v>
      </c>
      <c r="C403" s="1" t="n">
        <v>46119</v>
      </c>
      <c r="D403" t="inlineStr">
        <is>
          <t>STOCKHOLMS LÄN</t>
        </is>
      </c>
      <c r="E403" t="inlineStr">
        <is>
          <t>NORRTÄLJE</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30886-2022</t>
        </is>
      </c>
      <c r="B404" s="1" t="n">
        <v>44767.60601851852</v>
      </c>
      <c r="C404" s="1" t="n">
        <v>46119</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5804-2025</t>
        </is>
      </c>
      <c r="B405" s="1" t="n">
        <v>45694.68207175926</v>
      </c>
      <c r="C405" s="1" t="n">
        <v>46119</v>
      </c>
      <c r="D405" t="inlineStr">
        <is>
          <t>STOCKHOLMS LÄN</t>
        </is>
      </c>
      <c r="E405" t="inlineStr">
        <is>
          <t>NORRTÄLJE</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9654-2022</t>
        </is>
      </c>
      <c r="B406" s="1" t="n">
        <v>44617</v>
      </c>
      <c r="C406" s="1" t="n">
        <v>46119</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25621-2022</t>
        </is>
      </c>
      <c r="B407" s="1" t="n">
        <v>44732</v>
      </c>
      <c r="C407" s="1" t="n">
        <v>46119</v>
      </c>
      <c r="D407" t="inlineStr">
        <is>
          <t>STOCKHOLMS LÄN</t>
        </is>
      </c>
      <c r="E407" t="inlineStr">
        <is>
          <t>NORRTÄLJE</t>
        </is>
      </c>
      <c r="G407" t="n">
        <v>3.1</v>
      </c>
      <c r="H407" t="n">
        <v>0</v>
      </c>
      <c r="I407" t="n">
        <v>0</v>
      </c>
      <c r="J407" t="n">
        <v>0</v>
      </c>
      <c r="K407" t="n">
        <v>0</v>
      </c>
      <c r="L407" t="n">
        <v>0</v>
      </c>
      <c r="M407" t="n">
        <v>0</v>
      </c>
      <c r="N407" t="n">
        <v>0</v>
      </c>
      <c r="O407" t="n">
        <v>0</v>
      </c>
      <c r="P407" t="n">
        <v>0</v>
      </c>
      <c r="Q407" t="n">
        <v>0</v>
      </c>
      <c r="R407" s="2" t="inlineStr"/>
    </row>
    <row r="408" ht="15" customHeight="1">
      <c r="A408" t="inlineStr">
        <is>
          <t>A 18787-2022</t>
        </is>
      </c>
      <c r="B408" s="1" t="n">
        <v>44687</v>
      </c>
      <c r="C408" s="1" t="n">
        <v>46119</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14127-2025</t>
        </is>
      </c>
      <c r="B409" s="1" t="n">
        <v>45740.47055555556</v>
      </c>
      <c r="C409" s="1" t="n">
        <v>46119</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50907-2022</t>
        </is>
      </c>
      <c r="B410" s="1" t="n">
        <v>44867.62090277778</v>
      </c>
      <c r="C410" s="1" t="n">
        <v>46119</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16980-2023</t>
        </is>
      </c>
      <c r="B411" s="1" t="n">
        <v>45033</v>
      </c>
      <c r="C411" s="1" t="n">
        <v>46119</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29003-2023</t>
        </is>
      </c>
      <c r="B412" s="1" t="n">
        <v>45104</v>
      </c>
      <c r="C412" s="1" t="n">
        <v>46119</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37550-2022</t>
        </is>
      </c>
      <c r="B413" s="1" t="n">
        <v>44809</v>
      </c>
      <c r="C413" s="1" t="n">
        <v>46119</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32595-2023</t>
        </is>
      </c>
      <c r="B414" s="1" t="n">
        <v>45121</v>
      </c>
      <c r="C414" s="1" t="n">
        <v>46119</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33295-2023</t>
        </is>
      </c>
      <c r="B415" s="1" t="n">
        <v>45127.69371527778</v>
      </c>
      <c r="C415" s="1" t="n">
        <v>46119</v>
      </c>
      <c r="D415" t="inlineStr">
        <is>
          <t>STOCKHOLMS LÄN</t>
        </is>
      </c>
      <c r="E415" t="inlineStr">
        <is>
          <t>NORRTÄLJE</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48161-2022</t>
        </is>
      </c>
      <c r="B416" s="1" t="n">
        <v>44858</v>
      </c>
      <c r="C416" s="1" t="n">
        <v>46119</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48798-2021</t>
        </is>
      </c>
      <c r="B417" s="1" t="n">
        <v>44452</v>
      </c>
      <c r="C417" s="1" t="n">
        <v>46119</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36269-2022</t>
        </is>
      </c>
      <c r="B418" s="1" t="n">
        <v>44803</v>
      </c>
      <c r="C418" s="1" t="n">
        <v>46119</v>
      </c>
      <c r="D418" t="inlineStr">
        <is>
          <t>STOCKHOLMS LÄN</t>
        </is>
      </c>
      <c r="E418" t="inlineStr">
        <is>
          <t>NORRTÄLJE</t>
        </is>
      </c>
      <c r="G418" t="n">
        <v>2.3</v>
      </c>
      <c r="H418" t="n">
        <v>0</v>
      </c>
      <c r="I418" t="n">
        <v>0</v>
      </c>
      <c r="J418" t="n">
        <v>0</v>
      </c>
      <c r="K418" t="n">
        <v>0</v>
      </c>
      <c r="L418" t="n">
        <v>0</v>
      </c>
      <c r="M418" t="n">
        <v>0</v>
      </c>
      <c r="N418" t="n">
        <v>0</v>
      </c>
      <c r="O418" t="n">
        <v>0</v>
      </c>
      <c r="P418" t="n">
        <v>0</v>
      </c>
      <c r="Q418" t="n">
        <v>0</v>
      </c>
      <c r="R418" s="2" t="inlineStr"/>
    </row>
    <row r="419" ht="15" customHeight="1">
      <c r="A419" t="inlineStr">
        <is>
          <t>A 36308-2022</t>
        </is>
      </c>
      <c r="B419" s="1" t="n">
        <v>44803</v>
      </c>
      <c r="C419" s="1" t="n">
        <v>46119</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57442-2021</t>
        </is>
      </c>
      <c r="B420" s="1" t="n">
        <v>44483</v>
      </c>
      <c r="C420" s="1" t="n">
        <v>46119</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54776-2023</t>
        </is>
      </c>
      <c r="B421" s="1" t="n">
        <v>45236.46369212963</v>
      </c>
      <c r="C421" s="1" t="n">
        <v>46119</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46119</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46119</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3383-2023</t>
        </is>
      </c>
      <c r="B424" s="1" t="n">
        <v>44949</v>
      </c>
      <c r="C424" s="1" t="n">
        <v>46119</v>
      </c>
      <c r="D424" t="inlineStr">
        <is>
          <t>STOCKHOLMS LÄN</t>
        </is>
      </c>
      <c r="E424" t="inlineStr">
        <is>
          <t>NORRTÄLJE</t>
        </is>
      </c>
      <c r="G424" t="n">
        <v>14.6</v>
      </c>
      <c r="H424" t="n">
        <v>0</v>
      </c>
      <c r="I424" t="n">
        <v>0</v>
      </c>
      <c r="J424" t="n">
        <v>0</v>
      </c>
      <c r="K424" t="n">
        <v>0</v>
      </c>
      <c r="L424" t="n">
        <v>0</v>
      </c>
      <c r="M424" t="n">
        <v>0</v>
      </c>
      <c r="N424" t="n">
        <v>0</v>
      </c>
      <c r="O424" t="n">
        <v>0</v>
      </c>
      <c r="P424" t="n">
        <v>0</v>
      </c>
      <c r="Q424" t="n">
        <v>0</v>
      </c>
      <c r="R424" s="2" t="inlineStr"/>
    </row>
    <row r="425" ht="15" customHeight="1">
      <c r="A425" t="inlineStr">
        <is>
          <t>A 21732-2023</t>
        </is>
      </c>
      <c r="B425" s="1" t="n">
        <v>45063</v>
      </c>
      <c r="C425" s="1" t="n">
        <v>46119</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23307-2024</t>
        </is>
      </c>
      <c r="B426" s="1" t="n">
        <v>45453</v>
      </c>
      <c r="C426" s="1" t="n">
        <v>46119</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37085-2021</t>
        </is>
      </c>
      <c r="B427" s="1" t="n">
        <v>44395</v>
      </c>
      <c r="C427" s="1" t="n">
        <v>46119</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56428-2023</t>
        </is>
      </c>
      <c r="B428" s="1" t="n">
        <v>45243.45289351852</v>
      </c>
      <c r="C428" s="1" t="n">
        <v>46119</v>
      </c>
      <c r="D428" t="inlineStr">
        <is>
          <t>STOCKHOLMS LÄN</t>
        </is>
      </c>
      <c r="E428" t="inlineStr">
        <is>
          <t>NORRTÄLJE</t>
        </is>
      </c>
      <c r="F428" t="inlineStr">
        <is>
          <t>Kyrkan</t>
        </is>
      </c>
      <c r="G428" t="n">
        <v>1.3</v>
      </c>
      <c r="H428" t="n">
        <v>0</v>
      </c>
      <c r="I428" t="n">
        <v>0</v>
      </c>
      <c r="J428" t="n">
        <v>0</v>
      </c>
      <c r="K428" t="n">
        <v>0</v>
      </c>
      <c r="L428" t="n">
        <v>0</v>
      </c>
      <c r="M428" t="n">
        <v>0</v>
      </c>
      <c r="N428" t="n">
        <v>0</v>
      </c>
      <c r="O428" t="n">
        <v>0</v>
      </c>
      <c r="P428" t="n">
        <v>0</v>
      </c>
      <c r="Q428" t="n">
        <v>0</v>
      </c>
      <c r="R428" s="2" t="inlineStr"/>
    </row>
    <row r="429" ht="15" customHeight="1">
      <c r="A429" t="inlineStr">
        <is>
          <t>A 17556-2025</t>
        </is>
      </c>
      <c r="B429" s="1" t="n">
        <v>45757.62482638889</v>
      </c>
      <c r="C429" s="1" t="n">
        <v>46119</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35110-2025</t>
        </is>
      </c>
      <c r="B430" s="1" t="n">
        <v>45852.58030092593</v>
      </c>
      <c r="C430" s="1" t="n">
        <v>46119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35254-2025</t>
        </is>
      </c>
      <c r="B431" s="1" t="n">
        <v>45853</v>
      </c>
      <c r="C431" s="1" t="n">
        <v>46119</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42094-2023</t>
        </is>
      </c>
      <c r="B432" s="1" t="n">
        <v>45177.61498842593</v>
      </c>
      <c r="C432" s="1" t="n">
        <v>46119</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35479-2025</t>
        </is>
      </c>
      <c r="B433" s="1" t="n">
        <v>45855.69387731481</v>
      </c>
      <c r="C433" s="1" t="n">
        <v>46119</v>
      </c>
      <c r="D433" t="inlineStr">
        <is>
          <t>STOCKHOLMS LÄN</t>
        </is>
      </c>
      <c r="E433" t="inlineStr">
        <is>
          <t>NORRTÄLJE</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35451-2025</t>
        </is>
      </c>
      <c r="B434" s="1" t="n">
        <v>45855.57033564815</v>
      </c>
      <c r="C434" s="1" t="n">
        <v>46119</v>
      </c>
      <c r="D434" t="inlineStr">
        <is>
          <t>STOCKHOLMS LÄN</t>
        </is>
      </c>
      <c r="E434" t="inlineStr">
        <is>
          <t>NORRTÄLJE</t>
        </is>
      </c>
      <c r="F434" t="inlineStr">
        <is>
          <t>Holmen skog AB</t>
        </is>
      </c>
      <c r="G434" t="n">
        <v>7.4</v>
      </c>
      <c r="H434" t="n">
        <v>0</v>
      </c>
      <c r="I434" t="n">
        <v>0</v>
      </c>
      <c r="J434" t="n">
        <v>0</v>
      </c>
      <c r="K434" t="n">
        <v>0</v>
      </c>
      <c r="L434" t="n">
        <v>0</v>
      </c>
      <c r="M434" t="n">
        <v>0</v>
      </c>
      <c r="N434" t="n">
        <v>0</v>
      </c>
      <c r="O434" t="n">
        <v>0</v>
      </c>
      <c r="P434" t="n">
        <v>0</v>
      </c>
      <c r="Q434" t="n">
        <v>0</v>
      </c>
      <c r="R434" s="2" t="inlineStr"/>
    </row>
    <row r="435" ht="15" customHeight="1">
      <c r="A435" t="inlineStr">
        <is>
          <t>A 35478-2025</t>
        </is>
      </c>
      <c r="B435" s="1" t="n">
        <v>45855.68413194444</v>
      </c>
      <c r="C435" s="1" t="n">
        <v>46119</v>
      </c>
      <c r="D435" t="inlineStr">
        <is>
          <t>STOCKHOLMS LÄN</t>
        </is>
      </c>
      <c r="E435" t="inlineStr">
        <is>
          <t>NORRTÄLJE</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38593-2025</t>
        </is>
      </c>
      <c r="B436" s="1" t="n">
        <v>45884.48696759259</v>
      </c>
      <c r="C436" s="1" t="n">
        <v>46119</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8370-2025</t>
        </is>
      </c>
      <c r="B437" s="1" t="n">
        <v>45708</v>
      </c>
      <c r="C437" s="1" t="n">
        <v>46119</v>
      </c>
      <c r="D437" t="inlineStr">
        <is>
          <t>STOCKHOLMS LÄN</t>
        </is>
      </c>
      <c r="E437" t="inlineStr">
        <is>
          <t>NORRTÄLJE</t>
        </is>
      </c>
      <c r="F437" t="inlineStr">
        <is>
          <t>Övriga Aktiebolag</t>
        </is>
      </c>
      <c r="G437" t="n">
        <v>5.6</v>
      </c>
      <c r="H437" t="n">
        <v>0</v>
      </c>
      <c r="I437" t="n">
        <v>0</v>
      </c>
      <c r="J437" t="n">
        <v>0</v>
      </c>
      <c r="K437" t="n">
        <v>0</v>
      </c>
      <c r="L437" t="n">
        <v>0</v>
      </c>
      <c r="M437" t="n">
        <v>0</v>
      </c>
      <c r="N437" t="n">
        <v>0</v>
      </c>
      <c r="O437" t="n">
        <v>0</v>
      </c>
      <c r="P437" t="n">
        <v>0</v>
      </c>
      <c r="Q437" t="n">
        <v>0</v>
      </c>
      <c r="R437" s="2" t="inlineStr"/>
    </row>
    <row r="438" ht="15" customHeight="1">
      <c r="A438" t="inlineStr">
        <is>
          <t>A 3299-2022</t>
        </is>
      </c>
      <c r="B438" s="1" t="n">
        <v>44584.91001157407</v>
      </c>
      <c r="C438" s="1" t="n">
        <v>46119</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12348-2025</t>
        </is>
      </c>
      <c r="B439" s="1" t="n">
        <v>45730.35026620371</v>
      </c>
      <c r="C439" s="1" t="n">
        <v>46119</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17545-2025</t>
        </is>
      </c>
      <c r="B440" s="1" t="n">
        <v>45757.60658564815</v>
      </c>
      <c r="C440" s="1" t="n">
        <v>46119</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25094-2023</t>
        </is>
      </c>
      <c r="B441" s="1" t="n">
        <v>45086.3629050926</v>
      </c>
      <c r="C441" s="1" t="n">
        <v>46119</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36157-2024</t>
        </is>
      </c>
      <c r="B442" s="1" t="n">
        <v>45534.38240740741</v>
      </c>
      <c r="C442" s="1" t="n">
        <v>46119</v>
      </c>
      <c r="D442" t="inlineStr">
        <is>
          <t>STOCKHOLMS LÄN</t>
        </is>
      </c>
      <c r="E442" t="inlineStr">
        <is>
          <t>NORRTÄLJE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47694-2023</t>
        </is>
      </c>
      <c r="B443" s="1" t="n">
        <v>45203.63303240741</v>
      </c>
      <c r="C443" s="1" t="n">
        <v>46119</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34444-2024</t>
        </is>
      </c>
      <c r="B444" s="1" t="n">
        <v>45525</v>
      </c>
      <c r="C444" s="1" t="n">
        <v>46119</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35532-2024</t>
        </is>
      </c>
      <c r="B445" s="1" t="n">
        <v>45531</v>
      </c>
      <c r="C445" s="1" t="n">
        <v>46119</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20698-2025</t>
        </is>
      </c>
      <c r="B446" s="1" t="n">
        <v>45776.47122685185</v>
      </c>
      <c r="C446" s="1" t="n">
        <v>46119</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27677-2025</t>
        </is>
      </c>
      <c r="B447" s="1" t="n">
        <v>45813.63650462963</v>
      </c>
      <c r="C447" s="1" t="n">
        <v>46119</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39152-2025</t>
        </is>
      </c>
      <c r="B448" s="1" t="n">
        <v>45888</v>
      </c>
      <c r="C448" s="1" t="n">
        <v>46119</v>
      </c>
      <c r="D448" t="inlineStr">
        <is>
          <t>STOCKHOLMS LÄN</t>
        </is>
      </c>
      <c r="E448" t="inlineStr">
        <is>
          <t>NORRTÄLJE</t>
        </is>
      </c>
      <c r="G448" t="n">
        <v>4.6</v>
      </c>
      <c r="H448" t="n">
        <v>0</v>
      </c>
      <c r="I448" t="n">
        <v>0</v>
      </c>
      <c r="J448" t="n">
        <v>0</v>
      </c>
      <c r="K448" t="n">
        <v>0</v>
      </c>
      <c r="L448" t="n">
        <v>0</v>
      </c>
      <c r="M448" t="n">
        <v>0</v>
      </c>
      <c r="N448" t="n">
        <v>0</v>
      </c>
      <c r="O448" t="n">
        <v>0</v>
      </c>
      <c r="P448" t="n">
        <v>0</v>
      </c>
      <c r="Q448" t="n">
        <v>0</v>
      </c>
      <c r="R448" s="2" t="inlineStr"/>
    </row>
    <row r="449" ht="15" customHeight="1">
      <c r="A449" t="inlineStr">
        <is>
          <t>A 1654-2025</t>
        </is>
      </c>
      <c r="B449" s="1" t="n">
        <v>45670.65921296296</v>
      </c>
      <c r="C449" s="1" t="n">
        <v>46119</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62644-2023</t>
        </is>
      </c>
      <c r="B450" s="1" t="n">
        <v>45271</v>
      </c>
      <c r="C450" s="1" t="n">
        <v>46119</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11229-2022</t>
        </is>
      </c>
      <c r="B451" s="1" t="n">
        <v>44629</v>
      </c>
      <c r="C451" s="1" t="n">
        <v>46119</v>
      </c>
      <c r="D451" t="inlineStr">
        <is>
          <t>STOCKHOLMS LÄN</t>
        </is>
      </c>
      <c r="E451" t="inlineStr">
        <is>
          <t>NORRTÄLJE</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22232-2024</t>
        </is>
      </c>
      <c r="B452" s="1" t="n">
        <v>45446.4287962963</v>
      </c>
      <c r="C452" s="1" t="n">
        <v>46119</v>
      </c>
      <c r="D452" t="inlineStr">
        <is>
          <t>STOCKHOLMS LÄN</t>
        </is>
      </c>
      <c r="E452" t="inlineStr">
        <is>
          <t>NORRTÄLJE</t>
        </is>
      </c>
      <c r="G452" t="n">
        <v>12.8</v>
      </c>
      <c r="H452" t="n">
        <v>0</v>
      </c>
      <c r="I452" t="n">
        <v>0</v>
      </c>
      <c r="J452" t="n">
        <v>0</v>
      </c>
      <c r="K452" t="n">
        <v>0</v>
      </c>
      <c r="L452" t="n">
        <v>0</v>
      </c>
      <c r="M452" t="n">
        <v>0</v>
      </c>
      <c r="N452" t="n">
        <v>0</v>
      </c>
      <c r="O452" t="n">
        <v>0</v>
      </c>
      <c r="P452" t="n">
        <v>0</v>
      </c>
      <c r="Q452" t="n">
        <v>0</v>
      </c>
      <c r="R452" s="2" t="inlineStr"/>
    </row>
    <row r="453" ht="15" customHeight="1">
      <c r="A453" t="inlineStr">
        <is>
          <t>A 39149-2025</t>
        </is>
      </c>
      <c r="B453" s="1" t="n">
        <v>45888.60714120371</v>
      </c>
      <c r="C453" s="1" t="n">
        <v>46119</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36396-2025</t>
        </is>
      </c>
      <c r="B454" s="1" t="n">
        <v>45868.62267361111</v>
      </c>
      <c r="C454" s="1" t="n">
        <v>46119</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57353-2024</t>
        </is>
      </c>
      <c r="B455" s="1" t="n">
        <v>45629.65143518519</v>
      </c>
      <c r="C455" s="1" t="n">
        <v>46119</v>
      </c>
      <c r="D455" t="inlineStr">
        <is>
          <t>STOCKHOLMS LÄN</t>
        </is>
      </c>
      <c r="E455" t="inlineStr">
        <is>
          <t>NORRTÄLJE</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48587-2023</t>
        </is>
      </c>
      <c r="B456" s="1" t="n">
        <v>45208</v>
      </c>
      <c r="C456" s="1" t="n">
        <v>46119</v>
      </c>
      <c r="D456" t="inlineStr">
        <is>
          <t>STOCKHOLMS LÄN</t>
        </is>
      </c>
      <c r="E456" t="inlineStr">
        <is>
          <t>NORRTÄLJE</t>
        </is>
      </c>
      <c r="G456" t="n">
        <v>7</v>
      </c>
      <c r="H456" t="n">
        <v>0</v>
      </c>
      <c r="I456" t="n">
        <v>0</v>
      </c>
      <c r="J456" t="n">
        <v>0</v>
      </c>
      <c r="K456" t="n">
        <v>0</v>
      </c>
      <c r="L456" t="n">
        <v>0</v>
      </c>
      <c r="M456" t="n">
        <v>0</v>
      </c>
      <c r="N456" t="n">
        <v>0</v>
      </c>
      <c r="O456" t="n">
        <v>0</v>
      </c>
      <c r="P456" t="n">
        <v>0</v>
      </c>
      <c r="Q456" t="n">
        <v>0</v>
      </c>
      <c r="R456" s="2" t="inlineStr"/>
    </row>
    <row r="457" ht="15" customHeight="1">
      <c r="A457" t="inlineStr">
        <is>
          <t>A 2549-2022</t>
        </is>
      </c>
      <c r="B457" s="1" t="n">
        <v>44580</v>
      </c>
      <c r="C457" s="1" t="n">
        <v>46119</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39692-2025</t>
        </is>
      </c>
      <c r="B458" s="1" t="n">
        <v>45890.68083333333</v>
      </c>
      <c r="C458" s="1" t="n">
        <v>46119</v>
      </c>
      <c r="D458" t="inlineStr">
        <is>
          <t>STOCKHOLMS LÄN</t>
        </is>
      </c>
      <c r="E458" t="inlineStr">
        <is>
          <t>NORRTÄLJE</t>
        </is>
      </c>
      <c r="G458" t="n">
        <v>10.5</v>
      </c>
      <c r="H458" t="n">
        <v>0</v>
      </c>
      <c r="I458" t="n">
        <v>0</v>
      </c>
      <c r="J458" t="n">
        <v>0</v>
      </c>
      <c r="K458" t="n">
        <v>0</v>
      </c>
      <c r="L458" t="n">
        <v>0</v>
      </c>
      <c r="M458" t="n">
        <v>0</v>
      </c>
      <c r="N458" t="n">
        <v>0</v>
      </c>
      <c r="O458" t="n">
        <v>0</v>
      </c>
      <c r="P458" t="n">
        <v>0</v>
      </c>
      <c r="Q458" t="n">
        <v>0</v>
      </c>
      <c r="R458" s="2" t="inlineStr"/>
    </row>
    <row r="459" ht="15" customHeight="1">
      <c r="A459" t="inlineStr">
        <is>
          <t>A 4438-2023</t>
        </is>
      </c>
      <c r="B459" s="1" t="n">
        <v>44956</v>
      </c>
      <c r="C459" s="1" t="n">
        <v>46119</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35639-2025</t>
        </is>
      </c>
      <c r="B460" s="1" t="n">
        <v>45859</v>
      </c>
      <c r="C460" s="1" t="n">
        <v>46119</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47758-2023</t>
        </is>
      </c>
      <c r="B461" s="1" t="n">
        <v>45203.83891203703</v>
      </c>
      <c r="C461" s="1" t="n">
        <v>46119</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35636-2025</t>
        </is>
      </c>
      <c r="B462" s="1" t="n">
        <v>45859</v>
      </c>
      <c r="C462" s="1" t="n">
        <v>46119</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51061-2023</t>
        </is>
      </c>
      <c r="B463" s="1" t="n">
        <v>45218.65849537037</v>
      </c>
      <c r="C463" s="1" t="n">
        <v>46119</v>
      </c>
      <c r="D463" t="inlineStr">
        <is>
          <t>STOCKHOLMS LÄN</t>
        </is>
      </c>
      <c r="E463" t="inlineStr">
        <is>
          <t>NORRTÄLJE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22697-2022</t>
        </is>
      </c>
      <c r="B464" s="1" t="n">
        <v>44714.56040509259</v>
      </c>
      <c r="C464" s="1" t="n">
        <v>46119</v>
      </c>
      <c r="D464" t="inlineStr">
        <is>
          <t>STOCKHOLMS LÄN</t>
        </is>
      </c>
      <c r="E464" t="inlineStr">
        <is>
          <t>NORRTÄLJE</t>
        </is>
      </c>
      <c r="G464" t="n">
        <v>5.6</v>
      </c>
      <c r="H464" t="n">
        <v>0</v>
      </c>
      <c r="I464" t="n">
        <v>0</v>
      </c>
      <c r="J464" t="n">
        <v>0</v>
      </c>
      <c r="K464" t="n">
        <v>0</v>
      </c>
      <c r="L464" t="n">
        <v>0</v>
      </c>
      <c r="M464" t="n">
        <v>0</v>
      </c>
      <c r="N464" t="n">
        <v>0</v>
      </c>
      <c r="O464" t="n">
        <v>0</v>
      </c>
      <c r="P464" t="n">
        <v>0</v>
      </c>
      <c r="Q464" t="n">
        <v>0</v>
      </c>
      <c r="R464" s="2" t="inlineStr"/>
    </row>
    <row r="465" ht="15" customHeight="1">
      <c r="A465" t="inlineStr">
        <is>
          <t>A 45549-2022</t>
        </is>
      </c>
      <c r="B465" s="1" t="n">
        <v>44845.48064814815</v>
      </c>
      <c r="C465" s="1" t="n">
        <v>46119</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46119</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40172-2025</t>
        </is>
      </c>
      <c r="B467" s="1" t="n">
        <v>45894.6353125</v>
      </c>
      <c r="C467" s="1" t="n">
        <v>46119</v>
      </c>
      <c r="D467" t="inlineStr">
        <is>
          <t>STOCKHOLMS LÄN</t>
        </is>
      </c>
      <c r="E467" t="inlineStr">
        <is>
          <t>NORRTÄLJE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24727-2023</t>
        </is>
      </c>
      <c r="B468" s="1" t="n">
        <v>45084.57695601852</v>
      </c>
      <c r="C468" s="1" t="n">
        <v>46119</v>
      </c>
      <c r="D468" t="inlineStr">
        <is>
          <t>STOCKHOLMS LÄN</t>
        </is>
      </c>
      <c r="E468" t="inlineStr">
        <is>
          <t>NORRTÄLJE</t>
        </is>
      </c>
      <c r="F468" t="inlineStr">
        <is>
          <t>Holmen skog AB</t>
        </is>
      </c>
      <c r="G468" t="n">
        <v>2.2</v>
      </c>
      <c r="H468" t="n">
        <v>0</v>
      </c>
      <c r="I468" t="n">
        <v>0</v>
      </c>
      <c r="J468" t="n">
        <v>0</v>
      </c>
      <c r="K468" t="n">
        <v>0</v>
      </c>
      <c r="L468" t="n">
        <v>0</v>
      </c>
      <c r="M468" t="n">
        <v>0</v>
      </c>
      <c r="N468" t="n">
        <v>0</v>
      </c>
      <c r="O468" t="n">
        <v>0</v>
      </c>
      <c r="P468" t="n">
        <v>0</v>
      </c>
      <c r="Q468" t="n">
        <v>0</v>
      </c>
      <c r="R468" s="2" t="inlineStr"/>
    </row>
    <row r="469" ht="15" customHeight="1">
      <c r="A469" t="inlineStr">
        <is>
          <t>A 40033-2025</t>
        </is>
      </c>
      <c r="B469" s="1" t="n">
        <v>45893</v>
      </c>
      <c r="C469" s="1" t="n">
        <v>46119</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40032-2025</t>
        </is>
      </c>
      <c r="B470" s="1" t="n">
        <v>45893</v>
      </c>
      <c r="C470" s="1" t="n">
        <v>46119</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40292-2025</t>
        </is>
      </c>
      <c r="B471" s="1" t="n">
        <v>45895.3867824074</v>
      </c>
      <c r="C471" s="1" t="n">
        <v>46119</v>
      </c>
      <c r="D471" t="inlineStr">
        <is>
          <t>STOCKHOLMS LÄN</t>
        </is>
      </c>
      <c r="E471" t="inlineStr">
        <is>
          <t>NORRTÄLJE</t>
        </is>
      </c>
      <c r="G471" t="n">
        <v>3.5</v>
      </c>
      <c r="H471" t="n">
        <v>0</v>
      </c>
      <c r="I471" t="n">
        <v>0</v>
      </c>
      <c r="J471" t="n">
        <v>0</v>
      </c>
      <c r="K471" t="n">
        <v>0</v>
      </c>
      <c r="L471" t="n">
        <v>0</v>
      </c>
      <c r="M471" t="n">
        <v>0</v>
      </c>
      <c r="N471" t="n">
        <v>0</v>
      </c>
      <c r="O471" t="n">
        <v>0</v>
      </c>
      <c r="P471" t="n">
        <v>0</v>
      </c>
      <c r="Q471" t="n">
        <v>0</v>
      </c>
      <c r="R471" s="2" t="inlineStr"/>
    </row>
    <row r="472" ht="15" customHeight="1">
      <c r="A472" t="inlineStr">
        <is>
          <t>A 40294-2025</t>
        </is>
      </c>
      <c r="B472" s="1" t="n">
        <v>45895.38778935185</v>
      </c>
      <c r="C472" s="1" t="n">
        <v>46119</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40228-2025</t>
        </is>
      </c>
      <c r="B473" s="1" t="n">
        <v>45894.70854166667</v>
      </c>
      <c r="C473" s="1" t="n">
        <v>46119</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48722-2023</t>
        </is>
      </c>
      <c r="B474" s="1" t="n">
        <v>45208.70996527778</v>
      </c>
      <c r="C474" s="1" t="n">
        <v>46119</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35235-2024</t>
        </is>
      </c>
      <c r="B475" s="1" t="n">
        <v>45530</v>
      </c>
      <c r="C475" s="1" t="n">
        <v>46119</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1448-2023</t>
        </is>
      </c>
      <c r="B476" s="1" t="n">
        <v>44937</v>
      </c>
      <c r="C476" s="1" t="n">
        <v>46119</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37261-2025</t>
        </is>
      </c>
      <c r="B477" s="1" t="n">
        <v>45876.45253472222</v>
      </c>
      <c r="C477" s="1" t="n">
        <v>46119</v>
      </c>
      <c r="D477" t="inlineStr">
        <is>
          <t>STOCKHOLMS LÄN</t>
        </is>
      </c>
      <c r="E477" t="inlineStr">
        <is>
          <t>NORRTÄLJE</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40230-2025</t>
        </is>
      </c>
      <c r="B478" s="1" t="n">
        <v>45894.71101851852</v>
      </c>
      <c r="C478" s="1" t="n">
        <v>46119</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40217-2025</t>
        </is>
      </c>
      <c r="B479" s="1" t="n">
        <v>45894.68864583333</v>
      </c>
      <c r="C479" s="1" t="n">
        <v>46119</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40097-2025</t>
        </is>
      </c>
      <c r="B480" s="1" t="n">
        <v>45894.48322916667</v>
      </c>
      <c r="C480" s="1" t="n">
        <v>46119</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8736-2024</t>
        </is>
      </c>
      <c r="B481" s="1" t="n">
        <v>45356.4722800926</v>
      </c>
      <c r="C481" s="1" t="n">
        <v>46119</v>
      </c>
      <c r="D481" t="inlineStr">
        <is>
          <t>STOCKHOLMS LÄN</t>
        </is>
      </c>
      <c r="E481" t="inlineStr">
        <is>
          <t>NORRTÄLJE</t>
        </is>
      </c>
      <c r="G481" t="n">
        <v>8.9</v>
      </c>
      <c r="H481" t="n">
        <v>0</v>
      </c>
      <c r="I481" t="n">
        <v>0</v>
      </c>
      <c r="J481" t="n">
        <v>0</v>
      </c>
      <c r="K481" t="n">
        <v>0</v>
      </c>
      <c r="L481" t="n">
        <v>0</v>
      </c>
      <c r="M481" t="n">
        <v>0</v>
      </c>
      <c r="N481" t="n">
        <v>0</v>
      </c>
      <c r="O481" t="n">
        <v>0</v>
      </c>
      <c r="P481" t="n">
        <v>0</v>
      </c>
      <c r="Q481" t="n">
        <v>0</v>
      </c>
      <c r="R481" s="2" t="inlineStr"/>
    </row>
    <row r="482" ht="15" customHeight="1">
      <c r="A482" t="inlineStr">
        <is>
          <t>A 40829-2025</t>
        </is>
      </c>
      <c r="B482" s="1" t="n">
        <v>45897.50802083333</v>
      </c>
      <c r="C482" s="1" t="n">
        <v>46119</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33149-2022</t>
        </is>
      </c>
      <c r="B483" s="1" t="n">
        <v>44785</v>
      </c>
      <c r="C483" s="1" t="n">
        <v>46119</v>
      </c>
      <c r="D483" t="inlineStr">
        <is>
          <t>STOCKHOLMS LÄN</t>
        </is>
      </c>
      <c r="E483" t="inlineStr">
        <is>
          <t>NORRTÄLJE</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40837-2025</t>
        </is>
      </c>
      <c r="B484" s="1" t="n">
        <v>45897.51328703704</v>
      </c>
      <c r="C484" s="1" t="n">
        <v>46119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40529-2025</t>
        </is>
      </c>
      <c r="B485" s="1" t="n">
        <v>45896.38466435186</v>
      </c>
      <c r="C485" s="1" t="n">
        <v>46119</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40831-2025</t>
        </is>
      </c>
      <c r="B486" s="1" t="n">
        <v>45897.51077546296</v>
      </c>
      <c r="C486" s="1" t="n">
        <v>46119</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37628-2025</t>
        </is>
      </c>
      <c r="B487" s="1" t="n">
        <v>45880.46189814815</v>
      </c>
      <c r="C487" s="1" t="n">
        <v>46119</v>
      </c>
      <c r="D487" t="inlineStr">
        <is>
          <t>STOCKHOLMS LÄN</t>
        </is>
      </c>
      <c r="E487" t="inlineStr">
        <is>
          <t>NORRTÄLJE</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29369-2024</t>
        </is>
      </c>
      <c r="B488" s="1" t="n">
        <v>45483.57244212963</v>
      </c>
      <c r="C488" s="1" t="n">
        <v>46119</v>
      </c>
      <c r="D488" t="inlineStr">
        <is>
          <t>STOCKHOLMS LÄN</t>
        </is>
      </c>
      <c r="E488" t="inlineStr">
        <is>
          <t>NORRTÄLJE</t>
        </is>
      </c>
      <c r="G488" t="n">
        <v>15.9</v>
      </c>
      <c r="H488" t="n">
        <v>0</v>
      </c>
      <c r="I488" t="n">
        <v>0</v>
      </c>
      <c r="J488" t="n">
        <v>0</v>
      </c>
      <c r="K488" t="n">
        <v>0</v>
      </c>
      <c r="L488" t="n">
        <v>0</v>
      </c>
      <c r="M488" t="n">
        <v>0</v>
      </c>
      <c r="N488" t="n">
        <v>0</v>
      </c>
      <c r="O488" t="n">
        <v>0</v>
      </c>
      <c r="P488" t="n">
        <v>0</v>
      </c>
      <c r="Q488" t="n">
        <v>0</v>
      </c>
      <c r="R488" s="2" t="inlineStr"/>
    </row>
    <row r="489" ht="15" customHeight="1">
      <c r="A489" t="inlineStr">
        <is>
          <t>A 37632-2025</t>
        </is>
      </c>
      <c r="B489" s="1" t="n">
        <v>45880.46524305556</v>
      </c>
      <c r="C489" s="1" t="n">
        <v>46119</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29841-2024</t>
        </is>
      </c>
      <c r="B490" s="1" t="n">
        <v>45485.60261574074</v>
      </c>
      <c r="C490" s="1" t="n">
        <v>46119</v>
      </c>
      <c r="D490" t="inlineStr">
        <is>
          <t>STOCKHOLMS LÄN</t>
        </is>
      </c>
      <c r="E490" t="inlineStr">
        <is>
          <t>NORRTÄLJE</t>
        </is>
      </c>
      <c r="G490" t="n">
        <v>15.9</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46119</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37630-2025</t>
        </is>
      </c>
      <c r="B492" s="1" t="n">
        <v>45880.46372685185</v>
      </c>
      <c r="C492" s="1" t="n">
        <v>46119</v>
      </c>
      <c r="D492" t="inlineStr">
        <is>
          <t>STOCKHOLMS LÄN</t>
        </is>
      </c>
      <c r="E492" t="inlineStr">
        <is>
          <t>NORRTÄLJE</t>
        </is>
      </c>
      <c r="F492" t="inlineStr">
        <is>
          <t>Sveaskog</t>
        </is>
      </c>
      <c r="G492" t="n">
        <v>12.9</v>
      </c>
      <c r="H492" t="n">
        <v>0</v>
      </c>
      <c r="I492" t="n">
        <v>0</v>
      </c>
      <c r="J492" t="n">
        <v>0</v>
      </c>
      <c r="K492" t="n">
        <v>0</v>
      </c>
      <c r="L492" t="n">
        <v>0</v>
      </c>
      <c r="M492" t="n">
        <v>0</v>
      </c>
      <c r="N492" t="n">
        <v>0</v>
      </c>
      <c r="O492" t="n">
        <v>0</v>
      </c>
      <c r="P492" t="n">
        <v>0</v>
      </c>
      <c r="Q492" t="n">
        <v>0</v>
      </c>
      <c r="R492" s="2" t="inlineStr"/>
    </row>
    <row r="493" ht="15" customHeight="1">
      <c r="A493" t="inlineStr">
        <is>
          <t>A 41158-2025</t>
        </is>
      </c>
      <c r="B493" s="1" t="n">
        <v>45898.5315625</v>
      </c>
      <c r="C493" s="1" t="n">
        <v>46119</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46071-2024</t>
        </is>
      </c>
      <c r="B494" s="1" t="n">
        <v>45581</v>
      </c>
      <c r="C494" s="1" t="n">
        <v>46119</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15733-2025</t>
        </is>
      </c>
      <c r="B495" s="1" t="n">
        <v>45748</v>
      </c>
      <c r="C495" s="1" t="n">
        <v>46119</v>
      </c>
      <c r="D495" t="inlineStr">
        <is>
          <t>STOCKHOLMS LÄN</t>
        </is>
      </c>
      <c r="E495" t="inlineStr">
        <is>
          <t>NORRTÄLJE</t>
        </is>
      </c>
      <c r="G495" t="n">
        <v>13.3</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46119</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46119</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46119</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46119</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13137-2024</t>
        </is>
      </c>
      <c r="B500" s="1" t="n">
        <v>45386.34175925926</v>
      </c>
      <c r="C500" s="1" t="n">
        <v>46119</v>
      </c>
      <c r="D500" t="inlineStr">
        <is>
          <t>STOCKHOLMS LÄN</t>
        </is>
      </c>
      <c r="E500" t="inlineStr">
        <is>
          <t>NORRTÄLJE</t>
        </is>
      </c>
      <c r="G500" t="n">
        <v>5</v>
      </c>
      <c r="H500" t="n">
        <v>0</v>
      </c>
      <c r="I500" t="n">
        <v>0</v>
      </c>
      <c r="J500" t="n">
        <v>0</v>
      </c>
      <c r="K500" t="n">
        <v>0</v>
      </c>
      <c r="L500" t="n">
        <v>0</v>
      </c>
      <c r="M500" t="n">
        <v>0</v>
      </c>
      <c r="N500" t="n">
        <v>0</v>
      </c>
      <c r="O500" t="n">
        <v>0</v>
      </c>
      <c r="P500" t="n">
        <v>0</v>
      </c>
      <c r="Q500" t="n">
        <v>0</v>
      </c>
      <c r="R500" s="2" t="inlineStr"/>
    </row>
    <row r="501" ht="15" customHeight="1">
      <c r="A501" t="inlineStr">
        <is>
          <t>A 41301-2025</t>
        </is>
      </c>
      <c r="B501" s="1" t="n">
        <v>45898.68826388889</v>
      </c>
      <c r="C501" s="1" t="n">
        <v>46119</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6537-2024</t>
        </is>
      </c>
      <c r="B502" s="1" t="n">
        <v>45341.39853009259</v>
      </c>
      <c r="C502" s="1" t="n">
        <v>46119</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40175-2024</t>
        </is>
      </c>
      <c r="B503" s="1" t="n">
        <v>45554.55707175926</v>
      </c>
      <c r="C503" s="1" t="n">
        <v>46119</v>
      </c>
      <c r="D503" t="inlineStr">
        <is>
          <t>STOCKHOLMS LÄN</t>
        </is>
      </c>
      <c r="E503" t="inlineStr">
        <is>
          <t>NORRTÄLJE</t>
        </is>
      </c>
      <c r="G503" t="n">
        <v>7.7</v>
      </c>
      <c r="H503" t="n">
        <v>0</v>
      </c>
      <c r="I503" t="n">
        <v>0</v>
      </c>
      <c r="J503" t="n">
        <v>0</v>
      </c>
      <c r="K503" t="n">
        <v>0</v>
      </c>
      <c r="L503" t="n">
        <v>0</v>
      </c>
      <c r="M503" t="n">
        <v>0</v>
      </c>
      <c r="N503" t="n">
        <v>0</v>
      </c>
      <c r="O503" t="n">
        <v>0</v>
      </c>
      <c r="P503" t="n">
        <v>0</v>
      </c>
      <c r="Q503" t="n">
        <v>0</v>
      </c>
      <c r="R503" s="2" t="inlineStr"/>
    </row>
    <row r="504" ht="15" customHeight="1">
      <c r="A504" t="inlineStr">
        <is>
          <t>A 24350-2025</t>
        </is>
      </c>
      <c r="B504" s="1" t="n">
        <v>45797.58350694444</v>
      </c>
      <c r="C504" s="1" t="n">
        <v>46119</v>
      </c>
      <c r="D504" t="inlineStr">
        <is>
          <t>STOCKHOLMS LÄN</t>
        </is>
      </c>
      <c r="E504" t="inlineStr">
        <is>
          <t>NORRTÄLJE</t>
        </is>
      </c>
      <c r="G504" t="n">
        <v>4.5</v>
      </c>
      <c r="H504" t="n">
        <v>0</v>
      </c>
      <c r="I504" t="n">
        <v>0</v>
      </c>
      <c r="J504" t="n">
        <v>0</v>
      </c>
      <c r="K504" t="n">
        <v>0</v>
      </c>
      <c r="L504" t="n">
        <v>0</v>
      </c>
      <c r="M504" t="n">
        <v>0</v>
      </c>
      <c r="N504" t="n">
        <v>0</v>
      </c>
      <c r="O504" t="n">
        <v>0</v>
      </c>
      <c r="P504" t="n">
        <v>0</v>
      </c>
      <c r="Q504" t="n">
        <v>0</v>
      </c>
      <c r="R504" s="2" t="inlineStr"/>
    </row>
    <row r="505" ht="15" customHeight="1">
      <c r="A505" t="inlineStr">
        <is>
          <t>A 26703-2025</t>
        </is>
      </c>
      <c r="B505" s="1" t="n">
        <v>45810.45263888889</v>
      </c>
      <c r="C505" s="1" t="n">
        <v>46119</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41174-2025</t>
        </is>
      </c>
      <c r="B506" s="1" t="n">
        <v>45898.54921296296</v>
      </c>
      <c r="C506" s="1" t="n">
        <v>46119</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54558-2024</t>
        </is>
      </c>
      <c r="B507" s="1" t="n">
        <v>45617.62358796296</v>
      </c>
      <c r="C507" s="1" t="n">
        <v>46119</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41030-2025</t>
        </is>
      </c>
      <c r="B508" s="1" t="n">
        <v>45898.37636574074</v>
      </c>
      <c r="C508" s="1" t="n">
        <v>46119</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41036-2025</t>
        </is>
      </c>
      <c r="B509" s="1" t="n">
        <v>45898.38552083333</v>
      </c>
      <c r="C509" s="1" t="n">
        <v>46119</v>
      </c>
      <c r="D509" t="inlineStr">
        <is>
          <t>STOCKHOLMS LÄN</t>
        </is>
      </c>
      <c r="E509" t="inlineStr">
        <is>
          <t>NORRTÄLJE</t>
        </is>
      </c>
      <c r="F509" t="inlineStr">
        <is>
          <t>Holmen skog AB</t>
        </is>
      </c>
      <c r="G509" t="n">
        <v>2.7</v>
      </c>
      <c r="H509" t="n">
        <v>0</v>
      </c>
      <c r="I509" t="n">
        <v>0</v>
      </c>
      <c r="J509" t="n">
        <v>0</v>
      </c>
      <c r="K509" t="n">
        <v>0</v>
      </c>
      <c r="L509" t="n">
        <v>0</v>
      </c>
      <c r="M509" t="n">
        <v>0</v>
      </c>
      <c r="N509" t="n">
        <v>0</v>
      </c>
      <c r="O509" t="n">
        <v>0</v>
      </c>
      <c r="P509" t="n">
        <v>0</v>
      </c>
      <c r="Q509" t="n">
        <v>0</v>
      </c>
      <c r="R509" s="2" t="inlineStr"/>
    </row>
    <row r="510" ht="15" customHeight="1">
      <c r="A510" t="inlineStr">
        <is>
          <t>A 23056-2023</t>
        </is>
      </c>
      <c r="B510" s="1" t="n">
        <v>45075</v>
      </c>
      <c r="C510" s="1" t="n">
        <v>46119</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41106-2025</t>
        </is>
      </c>
      <c r="B511" s="1" t="n">
        <v>45898.45636574074</v>
      </c>
      <c r="C511" s="1" t="n">
        <v>46119</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38153-2025</t>
        </is>
      </c>
      <c r="B512" s="1" t="n">
        <v>45882.59722222222</v>
      </c>
      <c r="C512" s="1" t="n">
        <v>46119</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41110-2025</t>
        </is>
      </c>
      <c r="B513" s="1" t="n">
        <v>45898.45976851852</v>
      </c>
      <c r="C513" s="1" t="n">
        <v>46119</v>
      </c>
      <c r="D513" t="inlineStr">
        <is>
          <t>STOCKHOLMS LÄN</t>
        </is>
      </c>
      <c r="E513" t="inlineStr">
        <is>
          <t>NORRTÄLJE</t>
        </is>
      </c>
      <c r="F513" t="inlineStr">
        <is>
          <t>Holmen skog AB</t>
        </is>
      </c>
      <c r="G513" t="n">
        <v>6.7</v>
      </c>
      <c r="H513" t="n">
        <v>0</v>
      </c>
      <c r="I513" t="n">
        <v>0</v>
      </c>
      <c r="J513" t="n">
        <v>0</v>
      </c>
      <c r="K513" t="n">
        <v>0</v>
      </c>
      <c r="L513" t="n">
        <v>0</v>
      </c>
      <c r="M513" t="n">
        <v>0</v>
      </c>
      <c r="N513" t="n">
        <v>0</v>
      </c>
      <c r="O513" t="n">
        <v>0</v>
      </c>
      <c r="P513" t="n">
        <v>0</v>
      </c>
      <c r="Q513" t="n">
        <v>0</v>
      </c>
      <c r="R513" s="2" t="inlineStr"/>
    </row>
    <row r="514" ht="15" customHeight="1">
      <c r="A514" t="inlineStr">
        <is>
          <t>A 41259-2025</t>
        </is>
      </c>
      <c r="B514" s="1" t="n">
        <v>45898.61054398148</v>
      </c>
      <c r="C514" s="1" t="n">
        <v>46119</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47431-2023</t>
        </is>
      </c>
      <c r="B515" s="1" t="n">
        <v>45202</v>
      </c>
      <c r="C515" s="1" t="n">
        <v>46119</v>
      </c>
      <c r="D515" t="inlineStr">
        <is>
          <t>STOCKHOLMS LÄN</t>
        </is>
      </c>
      <c r="E515" t="inlineStr">
        <is>
          <t>NORRTÄLJE</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10511-2025</t>
        </is>
      </c>
      <c r="B516" s="1" t="n">
        <v>45721.40780092592</v>
      </c>
      <c r="C516" s="1" t="n">
        <v>46119</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59499-2023</t>
        </is>
      </c>
      <c r="B517" s="1" t="n">
        <v>45254</v>
      </c>
      <c r="C517" s="1" t="n">
        <v>46119</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59468-2023</t>
        </is>
      </c>
      <c r="B518" s="1" t="n">
        <v>45254.41509259259</v>
      </c>
      <c r="C518" s="1" t="n">
        <v>46119</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19057-2024</t>
        </is>
      </c>
      <c r="B519" s="1" t="n">
        <v>45427.88731481481</v>
      </c>
      <c r="C519" s="1" t="n">
        <v>46119</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12532-2025</t>
        </is>
      </c>
      <c r="B520" s="1" t="n">
        <v>45730.69143518519</v>
      </c>
      <c r="C520" s="1" t="n">
        <v>46119</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5732-2023</t>
        </is>
      </c>
      <c r="B521" s="1" t="n">
        <v>44962</v>
      </c>
      <c r="C521" s="1" t="n">
        <v>46119</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41966-2025</t>
        </is>
      </c>
      <c r="B522" s="1" t="n">
        <v>45903.47456018518</v>
      </c>
      <c r="C522" s="1" t="n">
        <v>46119</v>
      </c>
      <c r="D522" t="inlineStr">
        <is>
          <t>STOCKHOLMS LÄN</t>
        </is>
      </c>
      <c r="E522" t="inlineStr">
        <is>
          <t>NORRTÄLJE</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42038-2025</t>
        </is>
      </c>
      <c r="B523" s="1" t="n">
        <v>45903.61431712963</v>
      </c>
      <c r="C523" s="1" t="n">
        <v>46119</v>
      </c>
      <c r="D523" t="inlineStr">
        <is>
          <t>STOCKHOLMS LÄN</t>
        </is>
      </c>
      <c r="E523" t="inlineStr">
        <is>
          <t>NORRTÄLJE</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10653-2022</t>
        </is>
      </c>
      <c r="B524" s="1" t="n">
        <v>44624.59434027778</v>
      </c>
      <c r="C524" s="1" t="n">
        <v>46119</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21729-2024</t>
        </is>
      </c>
      <c r="B525" s="1" t="n">
        <v>45442</v>
      </c>
      <c r="C525" s="1" t="n">
        <v>46119</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22816-2021</t>
        </is>
      </c>
      <c r="B526" s="1" t="n">
        <v>44325</v>
      </c>
      <c r="C526" s="1" t="n">
        <v>46119</v>
      </c>
      <c r="D526" t="inlineStr">
        <is>
          <t>STOCKHOLMS LÄN</t>
        </is>
      </c>
      <c r="E526" t="inlineStr">
        <is>
          <t>NORRTÄLJE</t>
        </is>
      </c>
      <c r="G526" t="n">
        <v>4.5</v>
      </c>
      <c r="H526" t="n">
        <v>0</v>
      </c>
      <c r="I526" t="n">
        <v>0</v>
      </c>
      <c r="J526" t="n">
        <v>0</v>
      </c>
      <c r="K526" t="n">
        <v>0</v>
      </c>
      <c r="L526" t="n">
        <v>0</v>
      </c>
      <c r="M526" t="n">
        <v>0</v>
      </c>
      <c r="N526" t="n">
        <v>0</v>
      </c>
      <c r="O526" t="n">
        <v>0</v>
      </c>
      <c r="P526" t="n">
        <v>0</v>
      </c>
      <c r="Q526" t="n">
        <v>0</v>
      </c>
      <c r="R526" s="2" t="inlineStr"/>
    </row>
    <row r="527" ht="15" customHeight="1">
      <c r="A527" t="inlineStr">
        <is>
          <t>A 11854-2025</t>
        </is>
      </c>
      <c r="B527" s="1" t="n">
        <v>45728.38924768518</v>
      </c>
      <c r="C527" s="1" t="n">
        <v>46119</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14762-2024</t>
        </is>
      </c>
      <c r="B528" s="1" t="n">
        <v>45397</v>
      </c>
      <c r="C528" s="1" t="n">
        <v>46119</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41964-2025</t>
        </is>
      </c>
      <c r="B529" s="1" t="n">
        <v>45903.47270833333</v>
      </c>
      <c r="C529" s="1" t="n">
        <v>46119</v>
      </c>
      <c r="D529" t="inlineStr">
        <is>
          <t>STOCKHOLMS LÄN</t>
        </is>
      </c>
      <c r="E529" t="inlineStr">
        <is>
          <t>NORRTÄLJE</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46119</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59712-2024</t>
        </is>
      </c>
      <c r="B531" s="1" t="n">
        <v>45639.45166666667</v>
      </c>
      <c r="C531" s="1" t="n">
        <v>46119</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35127-2023</t>
        </is>
      </c>
      <c r="B532" s="1" t="n">
        <v>45145.51</v>
      </c>
      <c r="C532" s="1" t="n">
        <v>46119</v>
      </c>
      <c r="D532" t="inlineStr">
        <is>
          <t>STOCKHOLMS LÄN</t>
        </is>
      </c>
      <c r="E532" t="inlineStr">
        <is>
          <t>NORRTÄLJE</t>
        </is>
      </c>
      <c r="G532" t="n">
        <v>4.7</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46119</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42856-2025</t>
        </is>
      </c>
      <c r="B534" s="1" t="n">
        <v>45908</v>
      </c>
      <c r="C534" s="1" t="n">
        <v>46119</v>
      </c>
      <c r="D534" t="inlineStr">
        <is>
          <t>STOCKHOLMS LÄN</t>
        </is>
      </c>
      <c r="E534" t="inlineStr">
        <is>
          <t>NORRTÄLJE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67921-2021</t>
        </is>
      </c>
      <c r="B535" s="1" t="n">
        <v>44525</v>
      </c>
      <c r="C535" s="1" t="n">
        <v>46119</v>
      </c>
      <c r="D535" t="inlineStr">
        <is>
          <t>STOCKHOLMS LÄN</t>
        </is>
      </c>
      <c r="E535" t="inlineStr">
        <is>
          <t>NORRTÄLJE</t>
        </is>
      </c>
      <c r="G535" t="n">
        <v>6.3</v>
      </c>
      <c r="H535" t="n">
        <v>0</v>
      </c>
      <c r="I535" t="n">
        <v>0</v>
      </c>
      <c r="J535" t="n">
        <v>0</v>
      </c>
      <c r="K535" t="n">
        <v>0</v>
      </c>
      <c r="L535" t="n">
        <v>0</v>
      </c>
      <c r="M535" t="n">
        <v>0</v>
      </c>
      <c r="N535" t="n">
        <v>0</v>
      </c>
      <c r="O535" t="n">
        <v>0</v>
      </c>
      <c r="P535" t="n">
        <v>0</v>
      </c>
      <c r="Q535" t="n">
        <v>0</v>
      </c>
      <c r="R535" s="2" t="inlineStr"/>
    </row>
    <row r="536" ht="15" customHeight="1">
      <c r="A536" t="inlineStr">
        <is>
          <t>A 45255-2022</t>
        </is>
      </c>
      <c r="B536" s="1" t="n">
        <v>44840</v>
      </c>
      <c r="C536" s="1" t="n">
        <v>46119</v>
      </c>
      <c r="D536" t="inlineStr">
        <is>
          <t>STOCKHOLMS LÄN</t>
        </is>
      </c>
      <c r="E536" t="inlineStr">
        <is>
          <t>NORRTÄLJE</t>
        </is>
      </c>
      <c r="G536" t="n">
        <v>4.1</v>
      </c>
      <c r="H536" t="n">
        <v>0</v>
      </c>
      <c r="I536" t="n">
        <v>0</v>
      </c>
      <c r="J536" t="n">
        <v>0</v>
      </c>
      <c r="K536" t="n">
        <v>0</v>
      </c>
      <c r="L536" t="n">
        <v>0</v>
      </c>
      <c r="M536" t="n">
        <v>0</v>
      </c>
      <c r="N536" t="n">
        <v>0</v>
      </c>
      <c r="O536" t="n">
        <v>0</v>
      </c>
      <c r="P536" t="n">
        <v>0</v>
      </c>
      <c r="Q536" t="n">
        <v>0</v>
      </c>
      <c r="R536" s="2" t="inlineStr"/>
    </row>
    <row r="537" ht="15" customHeight="1">
      <c r="A537" t="inlineStr">
        <is>
          <t>A 59893-2022</t>
        </is>
      </c>
      <c r="B537" s="1" t="n">
        <v>44908.77368055555</v>
      </c>
      <c r="C537" s="1" t="n">
        <v>46119</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39905-2023</t>
        </is>
      </c>
      <c r="B538" s="1" t="n">
        <v>45168.44489583333</v>
      </c>
      <c r="C538" s="1" t="n">
        <v>46119</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5645-2023</t>
        </is>
      </c>
      <c r="B539" s="1" t="n">
        <v>44960.60469907407</v>
      </c>
      <c r="C539" s="1" t="n">
        <v>46119</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68361-2021</t>
        </is>
      </c>
      <c r="B540" s="1" t="n">
        <v>44528.91494212963</v>
      </c>
      <c r="C540" s="1" t="n">
        <v>46119</v>
      </c>
      <c r="D540" t="inlineStr">
        <is>
          <t>STOCKHOLMS LÄN</t>
        </is>
      </c>
      <c r="E540" t="inlineStr">
        <is>
          <t>NORRTÄLJE</t>
        </is>
      </c>
      <c r="G540" t="n">
        <v>1.9</v>
      </c>
      <c r="H540" t="n">
        <v>0</v>
      </c>
      <c r="I540" t="n">
        <v>0</v>
      </c>
      <c r="J540" t="n">
        <v>0</v>
      </c>
      <c r="K540" t="n">
        <v>0</v>
      </c>
      <c r="L540" t="n">
        <v>0</v>
      </c>
      <c r="M540" t="n">
        <v>0</v>
      </c>
      <c r="N540" t="n">
        <v>0</v>
      </c>
      <c r="O540" t="n">
        <v>0</v>
      </c>
      <c r="P540" t="n">
        <v>0</v>
      </c>
      <c r="Q540" t="n">
        <v>0</v>
      </c>
      <c r="R540" s="2" t="inlineStr"/>
    </row>
    <row r="541" ht="15" customHeight="1">
      <c r="A541" t="inlineStr">
        <is>
          <t>A 65499-2021</t>
        </is>
      </c>
      <c r="B541" s="1" t="n">
        <v>44516</v>
      </c>
      <c r="C541" s="1" t="n">
        <v>46119</v>
      </c>
      <c r="D541" t="inlineStr">
        <is>
          <t>STOCKHOLMS LÄN</t>
        </is>
      </c>
      <c r="E541" t="inlineStr">
        <is>
          <t>NORRTÄLJE</t>
        </is>
      </c>
      <c r="F541" t="inlineStr">
        <is>
          <t>Kommuner</t>
        </is>
      </c>
      <c r="G541" t="n">
        <v>5.2</v>
      </c>
      <c r="H541" t="n">
        <v>0</v>
      </c>
      <c r="I541" t="n">
        <v>0</v>
      </c>
      <c r="J541" t="n">
        <v>0</v>
      </c>
      <c r="K541" t="n">
        <v>0</v>
      </c>
      <c r="L541" t="n">
        <v>0</v>
      </c>
      <c r="M541" t="n">
        <v>0</v>
      </c>
      <c r="N541" t="n">
        <v>0</v>
      </c>
      <c r="O541" t="n">
        <v>0</v>
      </c>
      <c r="P541" t="n">
        <v>0</v>
      </c>
      <c r="Q541" t="n">
        <v>0</v>
      </c>
      <c r="R541" s="2" t="inlineStr"/>
    </row>
    <row r="542" ht="15" customHeight="1">
      <c r="A542" t="inlineStr">
        <is>
          <t>A 60529-2023</t>
        </is>
      </c>
      <c r="B542" s="1" t="n">
        <v>45259</v>
      </c>
      <c r="C542" s="1" t="n">
        <v>46119</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46119</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43169-2025</t>
        </is>
      </c>
      <c r="B544" s="1" t="n">
        <v>45910</v>
      </c>
      <c r="C544" s="1" t="n">
        <v>46119</v>
      </c>
      <c r="D544" t="inlineStr">
        <is>
          <t>STOCKHOLMS LÄN</t>
        </is>
      </c>
      <c r="E544" t="inlineStr">
        <is>
          <t>NORRTÄLJE</t>
        </is>
      </c>
      <c r="G544" t="n">
        <v>6.9</v>
      </c>
      <c r="H544" t="n">
        <v>0</v>
      </c>
      <c r="I544" t="n">
        <v>0</v>
      </c>
      <c r="J544" t="n">
        <v>0</v>
      </c>
      <c r="K544" t="n">
        <v>0</v>
      </c>
      <c r="L544" t="n">
        <v>0</v>
      </c>
      <c r="M544" t="n">
        <v>0</v>
      </c>
      <c r="N544" t="n">
        <v>0</v>
      </c>
      <c r="O544" t="n">
        <v>0</v>
      </c>
      <c r="P544" t="n">
        <v>0</v>
      </c>
      <c r="Q544" t="n">
        <v>0</v>
      </c>
      <c r="R544" s="2" t="inlineStr"/>
    </row>
    <row r="545" ht="15" customHeight="1">
      <c r="A545" t="inlineStr">
        <is>
          <t>A 19706-2023</t>
        </is>
      </c>
      <c r="B545" s="1" t="n">
        <v>45051.455</v>
      </c>
      <c r="C545" s="1" t="n">
        <v>46119</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46119</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18539-2021</t>
        </is>
      </c>
      <c r="B547" s="1" t="n">
        <v>44306</v>
      </c>
      <c r="C547" s="1" t="n">
        <v>46119</v>
      </c>
      <c r="D547" t="inlineStr">
        <is>
          <t>STOCKHOLMS LÄN</t>
        </is>
      </c>
      <c r="E547" t="inlineStr">
        <is>
          <t>NORRTÄLJE</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43269-2025</t>
        </is>
      </c>
      <c r="B548" s="1" t="n">
        <v>45910.5819212963</v>
      </c>
      <c r="C548" s="1" t="n">
        <v>46119</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17612-2022</t>
        </is>
      </c>
      <c r="B549" s="1" t="n">
        <v>44680</v>
      </c>
      <c r="C549" s="1" t="n">
        <v>46119</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16835-2022</t>
        </is>
      </c>
      <c r="B550" s="1" t="n">
        <v>44673</v>
      </c>
      <c r="C550" s="1" t="n">
        <v>46119</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62765-2022</t>
        </is>
      </c>
      <c r="B551" s="1" t="n">
        <v>44637</v>
      </c>
      <c r="C551" s="1" t="n">
        <v>46119</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58404-2023</t>
        </is>
      </c>
      <c r="B552" s="1" t="n">
        <v>45245</v>
      </c>
      <c r="C552" s="1" t="n">
        <v>46119</v>
      </c>
      <c r="D552" t="inlineStr">
        <is>
          <t>STOCKHOLMS LÄN</t>
        </is>
      </c>
      <c r="E552" t="inlineStr">
        <is>
          <t>NORRTÄLJE</t>
        </is>
      </c>
      <c r="G552" t="n">
        <v>53.5</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46119</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43916-2025</t>
        </is>
      </c>
      <c r="B554" s="1" t="n">
        <v>45914.78884259259</v>
      </c>
      <c r="C554" s="1" t="n">
        <v>46119</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38720-2025</t>
        </is>
      </c>
      <c r="B555" s="1" t="n">
        <v>45886</v>
      </c>
      <c r="C555" s="1" t="n">
        <v>46119</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16202-2022</t>
        </is>
      </c>
      <c r="B556" s="1" t="n">
        <v>44670</v>
      </c>
      <c r="C556" s="1" t="n">
        <v>46119</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55018-2024</t>
        </is>
      </c>
      <c r="B557" s="1" t="n">
        <v>45621.35712962963</v>
      </c>
      <c r="C557" s="1" t="n">
        <v>46119</v>
      </c>
      <c r="D557" t="inlineStr">
        <is>
          <t>STOCKHOLMS LÄN</t>
        </is>
      </c>
      <c r="E557" t="inlineStr">
        <is>
          <t>NORRTÄLJE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50136-2023</t>
        </is>
      </c>
      <c r="B558" s="1" t="n">
        <v>45215</v>
      </c>
      <c r="C558" s="1" t="n">
        <v>46119</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25656-2023</t>
        </is>
      </c>
      <c r="B559" s="1" t="n">
        <v>45089</v>
      </c>
      <c r="C559" s="1" t="n">
        <v>46119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6003-2025</t>
        </is>
      </c>
      <c r="B560" s="1" t="n">
        <v>45695.57881944445</v>
      </c>
      <c r="C560" s="1" t="n">
        <v>46119</v>
      </c>
      <c r="D560" t="inlineStr">
        <is>
          <t>STOCKHOLMS LÄN</t>
        </is>
      </c>
      <c r="E560" t="inlineStr">
        <is>
          <t>NORRTÄLJE</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46119</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11902-2024</t>
        </is>
      </c>
      <c r="B562" s="1" t="n">
        <v>45376.55704861111</v>
      </c>
      <c r="C562" s="1" t="n">
        <v>46119</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38049-2023</t>
        </is>
      </c>
      <c r="B563" s="1" t="n">
        <v>45159</v>
      </c>
      <c r="C563" s="1" t="n">
        <v>46119</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59535-2024</t>
        </is>
      </c>
      <c r="B564" s="1" t="n">
        <v>45638.59979166667</v>
      </c>
      <c r="C564" s="1" t="n">
        <v>46119</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44306-2025</t>
        </is>
      </c>
      <c r="B565" s="1" t="n">
        <v>45916.37736111111</v>
      </c>
      <c r="C565" s="1" t="n">
        <v>46119</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44343-2025</t>
        </is>
      </c>
      <c r="B566" s="1" t="n">
        <v>45916.43378472222</v>
      </c>
      <c r="C566" s="1" t="n">
        <v>46119</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46119</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44311-2025</t>
        </is>
      </c>
      <c r="B568" s="1" t="n">
        <v>45916.38394675926</v>
      </c>
      <c r="C568" s="1" t="n">
        <v>46119</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44333-2025</t>
        </is>
      </c>
      <c r="B569" s="1" t="n">
        <v>45916.42293981482</v>
      </c>
      <c r="C569" s="1" t="n">
        <v>46119</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4183-2025</t>
        </is>
      </c>
      <c r="B570" s="1" t="n">
        <v>45685.44592592592</v>
      </c>
      <c r="C570" s="1" t="n">
        <v>46119</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9480-2025</t>
        </is>
      </c>
      <c r="B571" s="1" t="n">
        <v>45715</v>
      </c>
      <c r="C571" s="1" t="n">
        <v>46119</v>
      </c>
      <c r="D571" t="inlineStr">
        <is>
          <t>STOCKHOLMS LÄN</t>
        </is>
      </c>
      <c r="E571" t="inlineStr">
        <is>
          <t>NORRTÄLJE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46119</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24522-2023</t>
        </is>
      </c>
      <c r="B573" s="1" t="n">
        <v>45082.69179398148</v>
      </c>
      <c r="C573" s="1" t="n">
        <v>46119</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25625-2023</t>
        </is>
      </c>
      <c r="B574" s="1" t="n">
        <v>45089</v>
      </c>
      <c r="C574" s="1" t="n">
        <v>46119</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22359-2025</t>
        </is>
      </c>
      <c r="B575" s="1" t="n">
        <v>45786</v>
      </c>
      <c r="C575" s="1" t="n">
        <v>46119</v>
      </c>
      <c r="D575" t="inlineStr">
        <is>
          <t>STOCKHOLMS LÄN</t>
        </is>
      </c>
      <c r="E575" t="inlineStr">
        <is>
          <t>NORRTÄLJE</t>
        </is>
      </c>
      <c r="G575" t="n">
        <v>5</v>
      </c>
      <c r="H575" t="n">
        <v>0</v>
      </c>
      <c r="I575" t="n">
        <v>0</v>
      </c>
      <c r="J575" t="n">
        <v>0</v>
      </c>
      <c r="K575" t="n">
        <v>0</v>
      </c>
      <c r="L575" t="n">
        <v>0</v>
      </c>
      <c r="M575" t="n">
        <v>0</v>
      </c>
      <c r="N575" t="n">
        <v>0</v>
      </c>
      <c r="O575" t="n">
        <v>0</v>
      </c>
      <c r="P575" t="n">
        <v>0</v>
      </c>
      <c r="Q575" t="n">
        <v>0</v>
      </c>
      <c r="R575" s="2" t="inlineStr"/>
    </row>
    <row r="576" ht="15" customHeight="1">
      <c r="A576" t="inlineStr">
        <is>
          <t>A 37147-2023</t>
        </is>
      </c>
      <c r="B576" s="1" t="n">
        <v>45155</v>
      </c>
      <c r="C576" s="1" t="n">
        <v>46119</v>
      </c>
      <c r="D576" t="inlineStr">
        <is>
          <t>STOCKHOLMS LÄN</t>
        </is>
      </c>
      <c r="E576" t="inlineStr">
        <is>
          <t>NORRTÄLJE</t>
        </is>
      </c>
      <c r="G576" t="n">
        <v>8</v>
      </c>
      <c r="H576" t="n">
        <v>0</v>
      </c>
      <c r="I576" t="n">
        <v>0</v>
      </c>
      <c r="J576" t="n">
        <v>0</v>
      </c>
      <c r="K576" t="n">
        <v>0</v>
      </c>
      <c r="L576" t="n">
        <v>0</v>
      </c>
      <c r="M576" t="n">
        <v>0</v>
      </c>
      <c r="N576" t="n">
        <v>0</v>
      </c>
      <c r="O576" t="n">
        <v>0</v>
      </c>
      <c r="P576" t="n">
        <v>0</v>
      </c>
      <c r="Q576" t="n">
        <v>0</v>
      </c>
      <c r="R576" s="2" t="inlineStr"/>
    </row>
    <row r="577" ht="15" customHeight="1">
      <c r="A577" t="inlineStr">
        <is>
          <t>A 7186-2024</t>
        </is>
      </c>
      <c r="B577" s="1" t="n">
        <v>45344</v>
      </c>
      <c r="C577" s="1" t="n">
        <v>46119</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57602-2024</t>
        </is>
      </c>
      <c r="B578" s="1" t="n">
        <v>45630.52866898148</v>
      </c>
      <c r="C578" s="1" t="n">
        <v>46119</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64600-2021</t>
        </is>
      </c>
      <c r="B579" s="1" t="n">
        <v>44511.70518518519</v>
      </c>
      <c r="C579" s="1" t="n">
        <v>46119</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50602-2021</t>
        </is>
      </c>
      <c r="B580" s="1" t="n">
        <v>44459</v>
      </c>
      <c r="C580" s="1" t="n">
        <v>46119</v>
      </c>
      <c r="D580" t="inlineStr">
        <is>
          <t>STOCKHOLMS LÄN</t>
        </is>
      </c>
      <c r="E580" t="inlineStr">
        <is>
          <t>NORRTÄLJE</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46119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45697-2025</t>
        </is>
      </c>
      <c r="B582" s="1" t="n">
        <v>45923.39877314815</v>
      </c>
      <c r="C582" s="1" t="n">
        <v>46119</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46415-2025</t>
        </is>
      </c>
      <c r="B583" s="1" t="n">
        <v>45925.58636574074</v>
      </c>
      <c r="C583" s="1" t="n">
        <v>46119</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26640-2023</t>
        </is>
      </c>
      <c r="B584" s="1" t="n">
        <v>45092</v>
      </c>
      <c r="C584" s="1" t="n">
        <v>46119</v>
      </c>
      <c r="D584" t="inlineStr">
        <is>
          <t>STOCKHOLMS LÄN</t>
        </is>
      </c>
      <c r="E584" t="inlineStr">
        <is>
          <t>NORRTÄLJE</t>
        </is>
      </c>
      <c r="G584" t="n">
        <v>5.7</v>
      </c>
      <c r="H584" t="n">
        <v>0</v>
      </c>
      <c r="I584" t="n">
        <v>0</v>
      </c>
      <c r="J584" t="n">
        <v>0</v>
      </c>
      <c r="K584" t="n">
        <v>0</v>
      </c>
      <c r="L584" t="n">
        <v>0</v>
      </c>
      <c r="M584" t="n">
        <v>0</v>
      </c>
      <c r="N584" t="n">
        <v>0</v>
      </c>
      <c r="O584" t="n">
        <v>0</v>
      </c>
      <c r="P584" t="n">
        <v>0</v>
      </c>
      <c r="Q584" t="n">
        <v>0</v>
      </c>
      <c r="R584" s="2" t="inlineStr"/>
    </row>
    <row r="585" ht="15" customHeight="1">
      <c r="A585" t="inlineStr">
        <is>
          <t>A 31827-2023</t>
        </is>
      </c>
      <c r="B585" s="1" t="n">
        <v>45118</v>
      </c>
      <c r="C585" s="1" t="n">
        <v>46119</v>
      </c>
      <c r="D585" t="inlineStr">
        <is>
          <t>STOCKHOLMS LÄN</t>
        </is>
      </c>
      <c r="E585" t="inlineStr">
        <is>
          <t>NORRTÄLJE</t>
        </is>
      </c>
      <c r="F585" t="inlineStr">
        <is>
          <t>Kyrkan</t>
        </is>
      </c>
      <c r="G585" t="n">
        <v>4.9</v>
      </c>
      <c r="H585" t="n">
        <v>0</v>
      </c>
      <c r="I585" t="n">
        <v>0</v>
      </c>
      <c r="J585" t="n">
        <v>0</v>
      </c>
      <c r="K585" t="n">
        <v>0</v>
      </c>
      <c r="L585" t="n">
        <v>0</v>
      </c>
      <c r="M585" t="n">
        <v>0</v>
      </c>
      <c r="N585" t="n">
        <v>0</v>
      </c>
      <c r="O585" t="n">
        <v>0</v>
      </c>
      <c r="P585" t="n">
        <v>0</v>
      </c>
      <c r="Q585" t="n">
        <v>0</v>
      </c>
      <c r="R585" s="2" t="inlineStr"/>
    </row>
    <row r="586" ht="15" customHeight="1">
      <c r="A586" t="inlineStr">
        <is>
          <t>A 58993-2022</t>
        </is>
      </c>
      <c r="B586" s="1" t="n">
        <v>44903</v>
      </c>
      <c r="C586" s="1" t="n">
        <v>46119</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28900-2022</t>
        </is>
      </c>
      <c r="B587" s="1" t="n">
        <v>44749.55258101852</v>
      </c>
      <c r="C587" s="1" t="n">
        <v>46119</v>
      </c>
      <c r="D587" t="inlineStr">
        <is>
          <t>STOCKHOLMS LÄN</t>
        </is>
      </c>
      <c r="E587" t="inlineStr">
        <is>
          <t>NORRTÄLJE</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17574-2025</t>
        </is>
      </c>
      <c r="B588" s="1" t="n">
        <v>45757.65178240741</v>
      </c>
      <c r="C588" s="1" t="n">
        <v>46119</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58297-2023</t>
        </is>
      </c>
      <c r="B589" s="1" t="n">
        <v>45245</v>
      </c>
      <c r="C589" s="1" t="n">
        <v>46119</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46900-2025</t>
        </is>
      </c>
      <c r="B590" s="1" t="n">
        <v>45929.38712962963</v>
      </c>
      <c r="C590" s="1" t="n">
        <v>46119</v>
      </c>
      <c r="D590" t="inlineStr">
        <is>
          <t>STOCKHOLMS LÄN</t>
        </is>
      </c>
      <c r="E590" t="inlineStr">
        <is>
          <t>NORRTÄLJE</t>
        </is>
      </c>
      <c r="F590" t="inlineStr">
        <is>
          <t>Holmen skog AB</t>
        </is>
      </c>
      <c r="G590" t="n">
        <v>6.2</v>
      </c>
      <c r="H590" t="n">
        <v>0</v>
      </c>
      <c r="I590" t="n">
        <v>0</v>
      </c>
      <c r="J590" t="n">
        <v>0</v>
      </c>
      <c r="K590" t="n">
        <v>0</v>
      </c>
      <c r="L590" t="n">
        <v>0</v>
      </c>
      <c r="M590" t="n">
        <v>0</v>
      </c>
      <c r="N590" t="n">
        <v>0</v>
      </c>
      <c r="O590" t="n">
        <v>0</v>
      </c>
      <c r="P590" t="n">
        <v>0</v>
      </c>
      <c r="Q590" t="n">
        <v>0</v>
      </c>
      <c r="R590" s="2" t="inlineStr"/>
    </row>
    <row r="591" ht="15" customHeight="1">
      <c r="A591" t="inlineStr">
        <is>
          <t>A 20304-2023</t>
        </is>
      </c>
      <c r="B591" s="1" t="n">
        <v>45056</v>
      </c>
      <c r="C591" s="1" t="n">
        <v>46119</v>
      </c>
      <c r="D591" t="inlineStr">
        <is>
          <t>STOCKHOLMS LÄN</t>
        </is>
      </c>
      <c r="E591" t="inlineStr">
        <is>
          <t>NORRTÄLJE</t>
        </is>
      </c>
      <c r="G591" t="n">
        <v>1.5</v>
      </c>
      <c r="H591" t="n">
        <v>0</v>
      </c>
      <c r="I591" t="n">
        <v>0</v>
      </c>
      <c r="J591" t="n">
        <v>0</v>
      </c>
      <c r="K591" t="n">
        <v>0</v>
      </c>
      <c r="L591" t="n">
        <v>0</v>
      </c>
      <c r="M591" t="n">
        <v>0</v>
      </c>
      <c r="N591" t="n">
        <v>0</v>
      </c>
      <c r="O591" t="n">
        <v>0</v>
      </c>
      <c r="P591" t="n">
        <v>0</v>
      </c>
      <c r="Q591" t="n">
        <v>0</v>
      </c>
      <c r="R591" s="2" t="inlineStr"/>
    </row>
    <row r="592" ht="15" customHeight="1">
      <c r="A592" t="inlineStr">
        <is>
          <t>A 12299-2025</t>
        </is>
      </c>
      <c r="B592" s="1" t="n">
        <v>45729.71065972222</v>
      </c>
      <c r="C592" s="1" t="n">
        <v>46119</v>
      </c>
      <c r="D592" t="inlineStr">
        <is>
          <t>STOCKHOLMS LÄN</t>
        </is>
      </c>
      <c r="E592" t="inlineStr">
        <is>
          <t>NORRTÄLJE</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22157-2023</t>
        </is>
      </c>
      <c r="B593" s="1" t="n">
        <v>45069</v>
      </c>
      <c r="C593" s="1" t="n">
        <v>46119</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c r="U593">
        <f>HYPERLINK("https://klasma.github.io/Logging_0188/knärot/A 22157-2023 karta knärot.png", "A 22157-2023")</f>
        <v/>
      </c>
      <c r="V593">
        <f>HYPERLINK("https://klasma.github.io/Logging_0188/klagomål/A 22157-2023 FSC-klagomål.docx", "A 22157-2023")</f>
        <v/>
      </c>
      <c r="W593">
        <f>HYPERLINK("https://klasma.github.io/Logging_0188/klagomålsmail/A 22157-2023 FSC-klagomål mail.docx", "A 22157-2023")</f>
        <v/>
      </c>
      <c r="X593">
        <f>HYPERLINK("https://klasma.github.io/Logging_0188/tillsyn/A 22157-2023 tillsynsbegäran.docx", "A 22157-2023")</f>
        <v/>
      </c>
      <c r="Y593">
        <f>HYPERLINK("https://klasma.github.io/Logging_0188/tillsynsmail/A 22157-2023 tillsynsbegäran mail.docx", "A 22157-2023")</f>
        <v/>
      </c>
    </row>
    <row r="594" ht="15" customHeight="1">
      <c r="A594" t="inlineStr">
        <is>
          <t>A 11929-2024</t>
        </is>
      </c>
      <c r="B594" s="1" t="n">
        <v>45376.64532407407</v>
      </c>
      <c r="C594" s="1" t="n">
        <v>46119</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46119</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8296-2023</t>
        </is>
      </c>
      <c r="B596" s="1" t="n">
        <v>44974</v>
      </c>
      <c r="C596" s="1" t="n">
        <v>46119</v>
      </c>
      <c r="D596" t="inlineStr">
        <is>
          <t>STOCKHOLMS LÄN</t>
        </is>
      </c>
      <c r="E596" t="inlineStr">
        <is>
          <t>NORRTÄLJE</t>
        </is>
      </c>
      <c r="G596" t="n">
        <v>3.8</v>
      </c>
      <c r="H596" t="n">
        <v>0</v>
      </c>
      <c r="I596" t="n">
        <v>0</v>
      </c>
      <c r="J596" t="n">
        <v>0</v>
      </c>
      <c r="K596" t="n">
        <v>0</v>
      </c>
      <c r="L596" t="n">
        <v>0</v>
      </c>
      <c r="M596" t="n">
        <v>0</v>
      </c>
      <c r="N596" t="n">
        <v>0</v>
      </c>
      <c r="O596" t="n">
        <v>0</v>
      </c>
      <c r="P596" t="n">
        <v>0</v>
      </c>
      <c r="Q596" t="n">
        <v>0</v>
      </c>
      <c r="R596" s="2" t="inlineStr"/>
    </row>
    <row r="597" ht="15" customHeight="1">
      <c r="A597" t="inlineStr">
        <is>
          <t>A 24575-2024</t>
        </is>
      </c>
      <c r="B597" s="1" t="n">
        <v>45460.45523148148</v>
      </c>
      <c r="C597" s="1" t="n">
        <v>46119</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64899-2023</t>
        </is>
      </c>
      <c r="B598" s="1" t="n">
        <v>45282</v>
      </c>
      <c r="C598" s="1" t="n">
        <v>46119</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52593-2024</t>
        </is>
      </c>
      <c r="B599" s="1" t="n">
        <v>45609.70778935185</v>
      </c>
      <c r="C599" s="1" t="n">
        <v>46119</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52617-2024</t>
        </is>
      </c>
      <c r="B600" s="1" t="n">
        <v>45609.85146990741</v>
      </c>
      <c r="C600" s="1" t="n">
        <v>46119</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46119</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47460-2025</t>
        </is>
      </c>
      <c r="B602" s="1" t="n">
        <v>45930.66012731481</v>
      </c>
      <c r="C602" s="1" t="n">
        <v>46119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46119</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46119</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22816-2021</t>
        </is>
      </c>
      <c r="B605" s="1" t="n">
        <v>44325</v>
      </c>
      <c r="C605" s="1" t="n">
        <v>46119</v>
      </c>
      <c r="D605" t="inlineStr">
        <is>
          <t>STOCKHOLMS LÄN</t>
        </is>
      </c>
      <c r="E605" t="inlineStr">
        <is>
          <t>NORRTÄLJE</t>
        </is>
      </c>
      <c r="G605" t="n">
        <v>4.5</v>
      </c>
      <c r="H605" t="n">
        <v>0</v>
      </c>
      <c r="I605" t="n">
        <v>0</v>
      </c>
      <c r="J605" t="n">
        <v>0</v>
      </c>
      <c r="K605" t="n">
        <v>0</v>
      </c>
      <c r="L605" t="n">
        <v>0</v>
      </c>
      <c r="M605" t="n">
        <v>0</v>
      </c>
      <c r="N605" t="n">
        <v>0</v>
      </c>
      <c r="O605" t="n">
        <v>0</v>
      </c>
      <c r="P605" t="n">
        <v>0</v>
      </c>
      <c r="Q605" t="n">
        <v>0</v>
      </c>
      <c r="R605" s="2" t="inlineStr"/>
    </row>
    <row r="606" ht="15" customHeight="1">
      <c r="A606" t="inlineStr">
        <is>
          <t>A 48360-2025</t>
        </is>
      </c>
      <c r="B606" s="1" t="n">
        <v>45933.66253472222</v>
      </c>
      <c r="C606" s="1" t="n">
        <v>46119</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46119</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59904-2023</t>
        </is>
      </c>
      <c r="B608" s="1" t="n">
        <v>45257</v>
      </c>
      <c r="C608" s="1" t="n">
        <v>46119</v>
      </c>
      <c r="D608" t="inlineStr">
        <is>
          <t>STOCKHOLMS LÄN</t>
        </is>
      </c>
      <c r="E608" t="inlineStr">
        <is>
          <t>NORRTÄLJE</t>
        </is>
      </c>
      <c r="G608" t="n">
        <v>17.4</v>
      </c>
      <c r="H608" t="n">
        <v>0</v>
      </c>
      <c r="I608" t="n">
        <v>0</v>
      </c>
      <c r="J608" t="n">
        <v>0</v>
      </c>
      <c r="K608" t="n">
        <v>0</v>
      </c>
      <c r="L608" t="n">
        <v>0</v>
      </c>
      <c r="M608" t="n">
        <v>0</v>
      </c>
      <c r="N608" t="n">
        <v>0</v>
      </c>
      <c r="O608" t="n">
        <v>0</v>
      </c>
      <c r="P608" t="n">
        <v>0</v>
      </c>
      <c r="Q608" t="n">
        <v>0</v>
      </c>
      <c r="R608" s="2" t="inlineStr"/>
    </row>
    <row r="609" ht="15" customHeight="1">
      <c r="A609" t="inlineStr">
        <is>
          <t>A 9914-2023</t>
        </is>
      </c>
      <c r="B609" s="1" t="n">
        <v>44985</v>
      </c>
      <c r="C609" s="1" t="n">
        <v>46119</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48364-2025</t>
        </is>
      </c>
      <c r="B610" s="1" t="n">
        <v>45933.66796296297</v>
      </c>
      <c r="C610" s="1" t="n">
        <v>46119</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11062-2024</t>
        </is>
      </c>
      <c r="B611" s="1" t="n">
        <v>45370</v>
      </c>
      <c r="C611" s="1" t="n">
        <v>46119</v>
      </c>
      <c r="D611" t="inlineStr">
        <is>
          <t>STOCKHOLMS LÄN</t>
        </is>
      </c>
      <c r="E611" t="inlineStr">
        <is>
          <t>NORRTÄLJE</t>
        </is>
      </c>
      <c r="G611" t="n">
        <v>3.2</v>
      </c>
      <c r="H611" t="n">
        <v>0</v>
      </c>
      <c r="I611" t="n">
        <v>0</v>
      </c>
      <c r="J611" t="n">
        <v>0</v>
      </c>
      <c r="K611" t="n">
        <v>0</v>
      </c>
      <c r="L611" t="n">
        <v>0</v>
      </c>
      <c r="M611" t="n">
        <v>0</v>
      </c>
      <c r="N611" t="n">
        <v>0</v>
      </c>
      <c r="O611" t="n">
        <v>0</v>
      </c>
      <c r="P611" t="n">
        <v>0</v>
      </c>
      <c r="Q611" t="n">
        <v>0</v>
      </c>
      <c r="R611" s="2" t="inlineStr"/>
    </row>
    <row r="612" ht="15" customHeight="1">
      <c r="A612" t="inlineStr">
        <is>
          <t>A 33569-2023</t>
        </is>
      </c>
      <c r="B612" s="1" t="n">
        <v>45131.666875</v>
      </c>
      <c r="C612" s="1" t="n">
        <v>46119</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46119</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15905-2023</t>
        </is>
      </c>
      <c r="B614" s="1" t="n">
        <v>45022</v>
      </c>
      <c r="C614" s="1" t="n">
        <v>46119</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48127-2025</t>
        </is>
      </c>
      <c r="B615" s="1" t="n">
        <v>45933.36621527778</v>
      </c>
      <c r="C615" s="1" t="n">
        <v>46119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46119</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15956-2023</t>
        </is>
      </c>
      <c r="B617" s="1" t="n">
        <v>45022.61003472222</v>
      </c>
      <c r="C617" s="1" t="n">
        <v>46119</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48718-2025</t>
        </is>
      </c>
      <c r="B618" s="1" t="n">
        <v>45936</v>
      </c>
      <c r="C618" s="1" t="n">
        <v>46119</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48593-2025</t>
        </is>
      </c>
      <c r="B619" s="1" t="n">
        <v>45936.4627662037</v>
      </c>
      <c r="C619" s="1" t="n">
        <v>46119</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47626-2022</t>
        </is>
      </c>
      <c r="B620" s="1" t="n">
        <v>44854</v>
      </c>
      <c r="C620" s="1" t="n">
        <v>46119</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62206-2022</t>
        </is>
      </c>
      <c r="B621" s="1" t="n">
        <v>44922</v>
      </c>
      <c r="C621" s="1" t="n">
        <v>46119</v>
      </c>
      <c r="D621" t="inlineStr">
        <is>
          <t>STOCKHOLMS LÄN</t>
        </is>
      </c>
      <c r="E621" t="inlineStr">
        <is>
          <t>NORRTÄLJE</t>
        </is>
      </c>
      <c r="G621" t="n">
        <v>2.9</v>
      </c>
      <c r="H621" t="n">
        <v>0</v>
      </c>
      <c r="I621" t="n">
        <v>0</v>
      </c>
      <c r="J621" t="n">
        <v>0</v>
      </c>
      <c r="K621" t="n">
        <v>0</v>
      </c>
      <c r="L621" t="n">
        <v>0</v>
      </c>
      <c r="M621" t="n">
        <v>0</v>
      </c>
      <c r="N621" t="n">
        <v>0</v>
      </c>
      <c r="O621" t="n">
        <v>0</v>
      </c>
      <c r="P621" t="n">
        <v>0</v>
      </c>
      <c r="Q621" t="n">
        <v>0</v>
      </c>
      <c r="R621" s="2" t="inlineStr"/>
    </row>
    <row r="622" ht="15" customHeight="1">
      <c r="A622" t="inlineStr">
        <is>
          <t>A 48443-2025</t>
        </is>
      </c>
      <c r="B622" s="1" t="n">
        <v>45935.55326388889</v>
      </c>
      <c r="C622" s="1" t="n">
        <v>46119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20618-2022</t>
        </is>
      </c>
      <c r="B623" s="1" t="n">
        <v>44700.50659722222</v>
      </c>
      <c r="C623" s="1" t="n">
        <v>46119</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40192-2023</t>
        </is>
      </c>
      <c r="B624" s="1" t="n">
        <v>45169</v>
      </c>
      <c r="C624" s="1" t="n">
        <v>46119</v>
      </c>
      <c r="D624" t="inlineStr">
        <is>
          <t>STOCKHOLMS LÄN</t>
        </is>
      </c>
      <c r="E624" t="inlineStr">
        <is>
          <t>NORRTÄLJE</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46119</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46119</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27885-2022</t>
        </is>
      </c>
      <c r="B627" s="1" t="n">
        <v>44743.67418981482</v>
      </c>
      <c r="C627" s="1" t="n">
        <v>46119</v>
      </c>
      <c r="D627" t="inlineStr">
        <is>
          <t>STOCKHOLMS LÄN</t>
        </is>
      </c>
      <c r="E627" t="inlineStr">
        <is>
          <t>NORRTÄLJE</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46119</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49129-2025</t>
        </is>
      </c>
      <c r="B629" s="1" t="n">
        <v>45937.89517361111</v>
      </c>
      <c r="C629" s="1" t="n">
        <v>46119</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60224-2023</t>
        </is>
      </c>
      <c r="B630" s="1" t="n">
        <v>45257</v>
      </c>
      <c r="C630" s="1" t="n">
        <v>46119</v>
      </c>
      <c r="D630" t="inlineStr">
        <is>
          <t>STOCKHOLMS LÄN</t>
        </is>
      </c>
      <c r="E630" t="inlineStr">
        <is>
          <t>NORRTÄLJE</t>
        </is>
      </c>
      <c r="G630" t="n">
        <v>8.1</v>
      </c>
      <c r="H630" t="n">
        <v>0</v>
      </c>
      <c r="I630" t="n">
        <v>0</v>
      </c>
      <c r="J630" t="n">
        <v>0</v>
      </c>
      <c r="K630" t="n">
        <v>0</v>
      </c>
      <c r="L630" t="n">
        <v>0</v>
      </c>
      <c r="M630" t="n">
        <v>0</v>
      </c>
      <c r="N630" t="n">
        <v>0</v>
      </c>
      <c r="O630" t="n">
        <v>0</v>
      </c>
      <c r="P630" t="n">
        <v>0</v>
      </c>
      <c r="Q630" t="n">
        <v>0</v>
      </c>
      <c r="R630" s="2" t="inlineStr"/>
    </row>
    <row r="631" ht="15" customHeight="1">
      <c r="A631" t="inlineStr">
        <is>
          <t>A 5158-2024</t>
        </is>
      </c>
      <c r="B631" s="1" t="n">
        <v>45330.50098379629</v>
      </c>
      <c r="C631" s="1" t="n">
        <v>46119</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46119</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49836-2025</t>
        </is>
      </c>
      <c r="B633" s="1" t="n">
        <v>45940.46862268518</v>
      </c>
      <c r="C633" s="1" t="n">
        <v>46119</v>
      </c>
      <c r="D633" t="inlineStr">
        <is>
          <t>STOCKHOLMS LÄN</t>
        </is>
      </c>
      <c r="E633" t="inlineStr">
        <is>
          <t>NORRTÄLJE</t>
        </is>
      </c>
      <c r="G633" t="n">
        <v>3.5</v>
      </c>
      <c r="H633" t="n">
        <v>0</v>
      </c>
      <c r="I633" t="n">
        <v>0</v>
      </c>
      <c r="J633" t="n">
        <v>0</v>
      </c>
      <c r="K633" t="n">
        <v>0</v>
      </c>
      <c r="L633" t="n">
        <v>0</v>
      </c>
      <c r="M633" t="n">
        <v>0</v>
      </c>
      <c r="N633" t="n">
        <v>0</v>
      </c>
      <c r="O633" t="n">
        <v>0</v>
      </c>
      <c r="P633" t="n">
        <v>0</v>
      </c>
      <c r="Q633" t="n">
        <v>0</v>
      </c>
      <c r="R633" s="2" t="inlineStr"/>
    </row>
    <row r="634" ht="15" customHeight="1">
      <c r="A634" t="inlineStr">
        <is>
          <t>A 9130-2025</t>
        </is>
      </c>
      <c r="B634" s="1" t="n">
        <v>45713.92623842593</v>
      </c>
      <c r="C634" s="1" t="n">
        <v>46119</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17551-2025</t>
        </is>
      </c>
      <c r="B635" s="1" t="n">
        <v>45757.61421296297</v>
      </c>
      <c r="C635" s="1" t="n">
        <v>46119</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50327-2025</t>
        </is>
      </c>
      <c r="B636" s="1" t="n">
        <v>45944.46387731482</v>
      </c>
      <c r="C636" s="1" t="n">
        <v>46119</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55010-2024</t>
        </is>
      </c>
      <c r="B637" s="1" t="n">
        <v>45621.34425925926</v>
      </c>
      <c r="C637" s="1" t="n">
        <v>46119</v>
      </c>
      <c r="D637" t="inlineStr">
        <is>
          <t>STOCKHOLMS LÄN</t>
        </is>
      </c>
      <c r="E637" t="inlineStr">
        <is>
          <t>NORRTÄLJE</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31105-2022</t>
        </is>
      </c>
      <c r="B638" s="1" t="n">
        <v>44769.66039351852</v>
      </c>
      <c r="C638" s="1" t="n">
        <v>46119</v>
      </c>
      <c r="D638" t="inlineStr">
        <is>
          <t>STOCKHOLMS LÄN</t>
        </is>
      </c>
      <c r="E638" t="inlineStr">
        <is>
          <t>NORRTÄLJE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50563-2025</t>
        </is>
      </c>
      <c r="B639" s="1" t="n">
        <v>45944</v>
      </c>
      <c r="C639" s="1" t="n">
        <v>46119</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50333-2025</t>
        </is>
      </c>
      <c r="B640" s="1" t="n">
        <v>45944.47178240741</v>
      </c>
      <c r="C640" s="1" t="n">
        <v>46119</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51122-2025</t>
        </is>
      </c>
      <c r="B641" s="1" t="n">
        <v>45947.53693287037</v>
      </c>
      <c r="C641" s="1" t="n">
        <v>46119</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51233-2025</t>
        </is>
      </c>
      <c r="B642" s="1" t="n">
        <v>45947.68232638889</v>
      </c>
      <c r="C642" s="1" t="n">
        <v>46119</v>
      </c>
      <c r="D642" t="inlineStr">
        <is>
          <t>STOCKHOLMS LÄN</t>
        </is>
      </c>
      <c r="E642" t="inlineStr">
        <is>
          <t>NORRTÄLJE</t>
        </is>
      </c>
      <c r="F642" t="inlineStr">
        <is>
          <t>Naturvårdsverket</t>
        </is>
      </c>
      <c r="G642" t="n">
        <v>8.1</v>
      </c>
      <c r="H642" t="n">
        <v>0</v>
      </c>
      <c r="I642" t="n">
        <v>0</v>
      </c>
      <c r="J642" t="n">
        <v>0</v>
      </c>
      <c r="K642" t="n">
        <v>0</v>
      </c>
      <c r="L642" t="n">
        <v>0</v>
      </c>
      <c r="M642" t="n">
        <v>0</v>
      </c>
      <c r="N642" t="n">
        <v>0</v>
      </c>
      <c r="O642" t="n">
        <v>0</v>
      </c>
      <c r="P642" t="n">
        <v>0</v>
      </c>
      <c r="Q642" t="n">
        <v>0</v>
      </c>
      <c r="R642" s="2" t="inlineStr"/>
    </row>
    <row r="643" ht="15" customHeight="1">
      <c r="A643" t="inlineStr">
        <is>
          <t>A 51236-2025</t>
        </is>
      </c>
      <c r="B643" s="1" t="n">
        <v>45947.69078703703</v>
      </c>
      <c r="C643" s="1" t="n">
        <v>46119</v>
      </c>
      <c r="D643" t="inlineStr">
        <is>
          <t>STOCKHOLMS LÄN</t>
        </is>
      </c>
      <c r="E643" t="inlineStr">
        <is>
          <t>NORRTÄLJE</t>
        </is>
      </c>
      <c r="F643" t="inlineStr">
        <is>
          <t>Naturvårdsverket</t>
        </is>
      </c>
      <c r="G643" t="n">
        <v>6.3</v>
      </c>
      <c r="H643" t="n">
        <v>0</v>
      </c>
      <c r="I643" t="n">
        <v>0</v>
      </c>
      <c r="J643" t="n">
        <v>0</v>
      </c>
      <c r="K643" t="n">
        <v>0</v>
      </c>
      <c r="L643" t="n">
        <v>0</v>
      </c>
      <c r="M643" t="n">
        <v>0</v>
      </c>
      <c r="N643" t="n">
        <v>0</v>
      </c>
      <c r="O643" t="n">
        <v>0</v>
      </c>
      <c r="P643" t="n">
        <v>0</v>
      </c>
      <c r="Q643" t="n">
        <v>0</v>
      </c>
      <c r="R643" s="2" t="inlineStr"/>
    </row>
    <row r="644" ht="15" customHeight="1">
      <c r="A644" t="inlineStr">
        <is>
          <t>A 51241-2025</t>
        </is>
      </c>
      <c r="B644" s="1" t="n">
        <v>45947.71726851852</v>
      </c>
      <c r="C644" s="1" t="n">
        <v>46119</v>
      </c>
      <c r="D644" t="inlineStr">
        <is>
          <t>STOCKHOLMS LÄN</t>
        </is>
      </c>
      <c r="E644" t="inlineStr">
        <is>
          <t>NORRTÄLJE</t>
        </is>
      </c>
      <c r="F644" t="inlineStr">
        <is>
          <t>Naturvårdsverket</t>
        </is>
      </c>
      <c r="G644" t="n">
        <v>6.4</v>
      </c>
      <c r="H644" t="n">
        <v>0</v>
      </c>
      <c r="I644" t="n">
        <v>0</v>
      </c>
      <c r="J644" t="n">
        <v>0</v>
      </c>
      <c r="K644" t="n">
        <v>0</v>
      </c>
      <c r="L644" t="n">
        <v>0</v>
      </c>
      <c r="M644" t="n">
        <v>0</v>
      </c>
      <c r="N644" t="n">
        <v>0</v>
      </c>
      <c r="O644" t="n">
        <v>0</v>
      </c>
      <c r="P644" t="n">
        <v>0</v>
      </c>
      <c r="Q644" t="n">
        <v>0</v>
      </c>
      <c r="R644" s="2" t="inlineStr"/>
    </row>
    <row r="645" ht="15" customHeight="1">
      <c r="A645" t="inlineStr">
        <is>
          <t>A 51240-2025</t>
        </is>
      </c>
      <c r="B645" s="1" t="n">
        <v>45947.70420138889</v>
      </c>
      <c r="C645" s="1" t="n">
        <v>46119</v>
      </c>
      <c r="D645" t="inlineStr">
        <is>
          <t>STOCKHOLMS LÄN</t>
        </is>
      </c>
      <c r="E645" t="inlineStr">
        <is>
          <t>NORRTÄLJE</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30620-2022</t>
        </is>
      </c>
      <c r="B646" s="1" t="n">
        <v>44763.40914351852</v>
      </c>
      <c r="C646" s="1" t="n">
        <v>46119</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50113-2024</t>
        </is>
      </c>
      <c r="B647" s="1" t="n">
        <v>45600.411875</v>
      </c>
      <c r="C647" s="1" t="n">
        <v>46119</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28365-2022</t>
        </is>
      </c>
      <c r="B648" s="1" t="n">
        <v>44747</v>
      </c>
      <c r="C648" s="1" t="n">
        <v>46119</v>
      </c>
      <c r="D648" t="inlineStr">
        <is>
          <t>STOCKHOLMS LÄN</t>
        </is>
      </c>
      <c r="E648" t="inlineStr">
        <is>
          <t>NORRTÄLJE</t>
        </is>
      </c>
      <c r="G648" t="n">
        <v>5.1</v>
      </c>
      <c r="H648" t="n">
        <v>0</v>
      </c>
      <c r="I648" t="n">
        <v>0</v>
      </c>
      <c r="J648" t="n">
        <v>0</v>
      </c>
      <c r="K648" t="n">
        <v>0</v>
      </c>
      <c r="L648" t="n">
        <v>0</v>
      </c>
      <c r="M648" t="n">
        <v>0</v>
      </c>
      <c r="N648" t="n">
        <v>0</v>
      </c>
      <c r="O648" t="n">
        <v>0</v>
      </c>
      <c r="P648" t="n">
        <v>0</v>
      </c>
      <c r="Q648" t="n">
        <v>0</v>
      </c>
      <c r="R648" s="2" t="inlineStr"/>
    </row>
    <row r="649" ht="15" customHeight="1">
      <c r="A649" t="inlineStr">
        <is>
          <t>A 51121-2025</t>
        </is>
      </c>
      <c r="B649" s="1" t="n">
        <v>45947.53293981482</v>
      </c>
      <c r="C649" s="1" t="n">
        <v>46119</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42955-2022</t>
        </is>
      </c>
      <c r="B650" s="1" t="n">
        <v>44833.40876157407</v>
      </c>
      <c r="C650" s="1" t="n">
        <v>46119</v>
      </c>
      <c r="D650" t="inlineStr">
        <is>
          <t>STOCKHOLMS LÄN</t>
        </is>
      </c>
      <c r="E650" t="inlineStr">
        <is>
          <t>NORRTÄLJE</t>
        </is>
      </c>
      <c r="G650" t="n">
        <v>13.1</v>
      </c>
      <c r="H650" t="n">
        <v>0</v>
      </c>
      <c r="I650" t="n">
        <v>0</v>
      </c>
      <c r="J650" t="n">
        <v>0</v>
      </c>
      <c r="K650" t="n">
        <v>0</v>
      </c>
      <c r="L650" t="n">
        <v>0</v>
      </c>
      <c r="M650" t="n">
        <v>0</v>
      </c>
      <c r="N650" t="n">
        <v>0</v>
      </c>
      <c r="O650" t="n">
        <v>0</v>
      </c>
      <c r="P650" t="n">
        <v>0</v>
      </c>
      <c r="Q650" t="n">
        <v>0</v>
      </c>
      <c r="R650" s="2" t="inlineStr"/>
    </row>
    <row r="651" ht="15" customHeight="1">
      <c r="A651" t="inlineStr">
        <is>
          <t>A 59477-2025</t>
        </is>
      </c>
      <c r="B651" s="1" t="n">
        <v>45989.58679398148</v>
      </c>
      <c r="C651" s="1" t="n">
        <v>46119</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1283-2025</t>
        </is>
      </c>
      <c r="B652" s="1" t="n">
        <v>45667.49878472222</v>
      </c>
      <c r="C652" s="1" t="n">
        <v>46119</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51532-2025</t>
        </is>
      </c>
      <c r="B653" s="1" t="n">
        <v>45950.68297453703</v>
      </c>
      <c r="C653" s="1" t="n">
        <v>46119</v>
      </c>
      <c r="D653" t="inlineStr">
        <is>
          <t>STOCKHOLMS LÄN</t>
        </is>
      </c>
      <c r="E653" t="inlineStr">
        <is>
          <t>NORRTÄLJE</t>
        </is>
      </c>
      <c r="F653" t="inlineStr">
        <is>
          <t>Naturvårdsverket</t>
        </is>
      </c>
      <c r="G653" t="n">
        <v>17.3</v>
      </c>
      <c r="H653" t="n">
        <v>0</v>
      </c>
      <c r="I653" t="n">
        <v>0</v>
      </c>
      <c r="J653" t="n">
        <v>0</v>
      </c>
      <c r="K653" t="n">
        <v>0</v>
      </c>
      <c r="L653" t="n">
        <v>0</v>
      </c>
      <c r="M653" t="n">
        <v>0</v>
      </c>
      <c r="N653" t="n">
        <v>0</v>
      </c>
      <c r="O653" t="n">
        <v>0</v>
      </c>
      <c r="P653" t="n">
        <v>0</v>
      </c>
      <c r="Q653" t="n">
        <v>0</v>
      </c>
      <c r="R653" s="2" t="inlineStr"/>
    </row>
    <row r="654" ht="15" customHeight="1">
      <c r="A654" t="inlineStr">
        <is>
          <t>A 51789-2025</t>
        </is>
      </c>
      <c r="B654" s="1" t="n">
        <v>45951.68046296296</v>
      </c>
      <c r="C654" s="1" t="n">
        <v>46119</v>
      </c>
      <c r="D654" t="inlineStr">
        <is>
          <t>STOCKHOLMS LÄN</t>
        </is>
      </c>
      <c r="E654" t="inlineStr">
        <is>
          <t>NORRTÄLJE</t>
        </is>
      </c>
      <c r="F654" t="inlineStr">
        <is>
          <t>Naturvårdsverket</t>
        </is>
      </c>
      <c r="G654" t="n">
        <v>8.9</v>
      </c>
      <c r="H654" t="n">
        <v>0</v>
      </c>
      <c r="I654" t="n">
        <v>0</v>
      </c>
      <c r="J654" t="n">
        <v>0</v>
      </c>
      <c r="K654" t="n">
        <v>0</v>
      </c>
      <c r="L654" t="n">
        <v>0</v>
      </c>
      <c r="M654" t="n">
        <v>0</v>
      </c>
      <c r="N654" t="n">
        <v>0</v>
      </c>
      <c r="O654" t="n">
        <v>0</v>
      </c>
      <c r="P654" t="n">
        <v>0</v>
      </c>
      <c r="Q654" t="n">
        <v>0</v>
      </c>
      <c r="R654" s="2" t="inlineStr"/>
    </row>
    <row r="655" ht="15" customHeight="1">
      <c r="A655" t="inlineStr">
        <is>
          <t>A 13767-2025</t>
        </is>
      </c>
      <c r="B655" s="1" t="n">
        <v>45737.43347222222</v>
      </c>
      <c r="C655" s="1" t="n">
        <v>46119</v>
      </c>
      <c r="D655" t="inlineStr">
        <is>
          <t>STOCKHOLMS LÄN</t>
        </is>
      </c>
      <c r="E655" t="inlineStr">
        <is>
          <t>NORRTÄLJE</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20013-2025</t>
        </is>
      </c>
      <c r="B656" s="1" t="n">
        <v>45772.30436342592</v>
      </c>
      <c r="C656" s="1" t="n">
        <v>46119</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46119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15422-2024</t>
        </is>
      </c>
      <c r="B658" s="1" t="n">
        <v>45401.3653125</v>
      </c>
      <c r="C658" s="1" t="n">
        <v>46119</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30508-2023</t>
        </is>
      </c>
      <c r="B659" s="1" t="n">
        <v>45111</v>
      </c>
      <c r="C659" s="1" t="n">
        <v>46119</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51960-2025</t>
        </is>
      </c>
      <c r="B660" s="1" t="n">
        <v>45952.54755787037</v>
      </c>
      <c r="C660" s="1" t="n">
        <v>46119</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16008-2025</t>
        </is>
      </c>
      <c r="B661" s="1" t="n">
        <v>45749</v>
      </c>
      <c r="C661" s="1" t="n">
        <v>46119</v>
      </c>
      <c r="D661" t="inlineStr">
        <is>
          <t>STOCKHOLMS LÄN</t>
        </is>
      </c>
      <c r="E661" t="inlineStr">
        <is>
          <t>NORRTÄLJE</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51941-2025</t>
        </is>
      </c>
      <c r="B662" s="1" t="n">
        <v>45952.52261574074</v>
      </c>
      <c r="C662" s="1" t="n">
        <v>46119</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52061-2025</t>
        </is>
      </c>
      <c r="B663" s="1" t="n">
        <v>45952.63679398148</v>
      </c>
      <c r="C663" s="1" t="n">
        <v>46119</v>
      </c>
      <c r="D663" t="inlineStr">
        <is>
          <t>STOCKHOLMS LÄN</t>
        </is>
      </c>
      <c r="E663" t="inlineStr">
        <is>
          <t>NORRTÄLJE</t>
        </is>
      </c>
      <c r="G663" t="n">
        <v>9.5</v>
      </c>
      <c r="H663" t="n">
        <v>0</v>
      </c>
      <c r="I663" t="n">
        <v>0</v>
      </c>
      <c r="J663" t="n">
        <v>0</v>
      </c>
      <c r="K663" t="n">
        <v>0</v>
      </c>
      <c r="L663" t="n">
        <v>0</v>
      </c>
      <c r="M663" t="n">
        <v>0</v>
      </c>
      <c r="N663" t="n">
        <v>0</v>
      </c>
      <c r="O663" t="n">
        <v>0</v>
      </c>
      <c r="P663" t="n">
        <v>0</v>
      </c>
      <c r="Q663" t="n">
        <v>0</v>
      </c>
      <c r="R663" s="2" t="inlineStr"/>
    </row>
    <row r="664" ht="15" customHeight="1">
      <c r="A664" t="inlineStr">
        <is>
          <t>A 21158-2022</t>
        </is>
      </c>
      <c r="B664" s="1" t="n">
        <v>44704</v>
      </c>
      <c r="C664" s="1" t="n">
        <v>46119</v>
      </c>
      <c r="D664" t="inlineStr">
        <is>
          <t>STOCKHOLMS LÄN</t>
        </is>
      </c>
      <c r="E664" t="inlineStr">
        <is>
          <t>NORRTÄLJE</t>
        </is>
      </c>
      <c r="G664" t="n">
        <v>17.8</v>
      </c>
      <c r="H664" t="n">
        <v>0</v>
      </c>
      <c r="I664" t="n">
        <v>0</v>
      </c>
      <c r="J664" t="n">
        <v>0</v>
      </c>
      <c r="K664" t="n">
        <v>0</v>
      </c>
      <c r="L664" t="n">
        <v>0</v>
      </c>
      <c r="M664" t="n">
        <v>0</v>
      </c>
      <c r="N664" t="n">
        <v>0</v>
      </c>
      <c r="O664" t="n">
        <v>0</v>
      </c>
      <c r="P664" t="n">
        <v>0</v>
      </c>
      <c r="Q664" t="n">
        <v>0</v>
      </c>
      <c r="R664" s="2" t="inlineStr"/>
    </row>
    <row r="665" ht="15" customHeight="1">
      <c r="A665" t="inlineStr">
        <is>
          <t>A 51945-2025</t>
        </is>
      </c>
      <c r="B665" s="1" t="n">
        <v>45952.52679398148</v>
      </c>
      <c r="C665" s="1" t="n">
        <v>46119</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52251-2025</t>
        </is>
      </c>
      <c r="B666" s="1" t="n">
        <v>45953.49185185185</v>
      </c>
      <c r="C666" s="1" t="n">
        <v>46119</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52254-2025</t>
        </is>
      </c>
      <c r="B667" s="1" t="n">
        <v>45953.49519675926</v>
      </c>
      <c r="C667" s="1" t="n">
        <v>46119</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52773-2025</t>
        </is>
      </c>
      <c r="B668" s="1" t="n">
        <v>45957.41457175926</v>
      </c>
      <c r="C668" s="1" t="n">
        <v>46119</v>
      </c>
      <c r="D668" t="inlineStr">
        <is>
          <t>STOCKHOLMS LÄN</t>
        </is>
      </c>
      <c r="E668" t="inlineStr">
        <is>
          <t>NORRTÄLJE</t>
        </is>
      </c>
      <c r="F668" t="inlineStr">
        <is>
          <t>Sveaskog</t>
        </is>
      </c>
      <c r="G668" t="n">
        <v>10.5</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46119</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32101-2022</t>
        </is>
      </c>
      <c r="B670" s="1" t="n">
        <v>44778.69210648148</v>
      </c>
      <c r="C670" s="1" t="n">
        <v>46119</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23150-2024</t>
        </is>
      </c>
      <c r="B671" s="1" t="n">
        <v>45450.64643518518</v>
      </c>
      <c r="C671" s="1" t="n">
        <v>46119</v>
      </c>
      <c r="D671" t="inlineStr">
        <is>
          <t>STOCKHOLMS LÄN</t>
        </is>
      </c>
      <c r="E671" t="inlineStr">
        <is>
          <t>NORRTÄLJE</t>
        </is>
      </c>
      <c r="F671" t="inlineStr">
        <is>
          <t>Kommuner</t>
        </is>
      </c>
      <c r="G671" t="n">
        <v>2.7</v>
      </c>
      <c r="H671" t="n">
        <v>0</v>
      </c>
      <c r="I671" t="n">
        <v>0</v>
      </c>
      <c r="J671" t="n">
        <v>0</v>
      </c>
      <c r="K671" t="n">
        <v>0</v>
      </c>
      <c r="L671" t="n">
        <v>0</v>
      </c>
      <c r="M671" t="n">
        <v>0</v>
      </c>
      <c r="N671" t="n">
        <v>0</v>
      </c>
      <c r="O671" t="n">
        <v>0</v>
      </c>
      <c r="P671" t="n">
        <v>0</v>
      </c>
      <c r="Q671" t="n">
        <v>0</v>
      </c>
      <c r="R671" s="2" t="inlineStr"/>
    </row>
    <row r="672" ht="15" customHeight="1">
      <c r="A672" t="inlineStr">
        <is>
          <t>A 52526-2025</t>
        </is>
      </c>
      <c r="B672" s="1" t="n">
        <v>45954.53061342592</v>
      </c>
      <c r="C672" s="1" t="n">
        <v>46119</v>
      </c>
      <c r="D672" t="inlineStr">
        <is>
          <t>STOCKHOLMS LÄN</t>
        </is>
      </c>
      <c r="E672" t="inlineStr">
        <is>
          <t>NORRTÄLJE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53000-2025</t>
        </is>
      </c>
      <c r="B673" s="1" t="n">
        <v>45957.74357638889</v>
      </c>
      <c r="C673" s="1" t="n">
        <v>46119</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24933-2023</t>
        </is>
      </c>
      <c r="B674" s="1" t="n">
        <v>45085.5309375</v>
      </c>
      <c r="C674" s="1" t="n">
        <v>46119</v>
      </c>
      <c r="D674" t="inlineStr">
        <is>
          <t>STOCKHOLMS LÄN</t>
        </is>
      </c>
      <c r="E674" t="inlineStr">
        <is>
          <t>NORRTÄLJE</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46119</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52729-2025</t>
        </is>
      </c>
      <c r="B676" s="1" t="n">
        <v>45957.3636574074</v>
      </c>
      <c r="C676" s="1" t="n">
        <v>46119</v>
      </c>
      <c r="D676" t="inlineStr">
        <is>
          <t>STOCKHOLMS LÄN</t>
        </is>
      </c>
      <c r="E676" t="inlineStr">
        <is>
          <t>NORRTÄLJE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56631-2024</t>
        </is>
      </c>
      <c r="B677" s="1" t="n">
        <v>45625</v>
      </c>
      <c r="C677" s="1" t="n">
        <v>46119</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52734-2025</t>
        </is>
      </c>
      <c r="B678" s="1" t="n">
        <v>45957.3710300926</v>
      </c>
      <c r="C678" s="1" t="n">
        <v>46119</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652-2025</t>
        </is>
      </c>
      <c r="B679" s="1" t="n">
        <v>45664</v>
      </c>
      <c r="C679" s="1" t="n">
        <v>46119</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52776-2025</t>
        </is>
      </c>
      <c r="B680" s="1" t="n">
        <v>45957.41724537037</v>
      </c>
      <c r="C680" s="1" t="n">
        <v>46119</v>
      </c>
      <c r="D680" t="inlineStr">
        <is>
          <t>STOCKHOLMS LÄN</t>
        </is>
      </c>
      <c r="E680" t="inlineStr">
        <is>
          <t>NORRTÄLJE</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46119</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46119</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46119</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5389-2025</t>
        </is>
      </c>
      <c r="B684" s="1" t="n">
        <v>45692</v>
      </c>
      <c r="C684" s="1" t="n">
        <v>46119</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53299-2025</t>
        </is>
      </c>
      <c r="B685" s="1" t="n">
        <v>45959.31901620371</v>
      </c>
      <c r="C685" s="1" t="n">
        <v>46119</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53087-2025</t>
        </is>
      </c>
      <c r="B686" s="1" t="n">
        <v>45958.41065972222</v>
      </c>
      <c r="C686" s="1" t="n">
        <v>46119</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53115-2025</t>
        </is>
      </c>
      <c r="B687" s="1" t="n">
        <v>45958.44614583333</v>
      </c>
      <c r="C687" s="1" t="n">
        <v>46119</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53629-2025</t>
        </is>
      </c>
      <c r="B688" s="1" t="n">
        <v>45960.49570601852</v>
      </c>
      <c r="C688" s="1" t="n">
        <v>46119</v>
      </c>
      <c r="D688" t="inlineStr">
        <is>
          <t>STOCKHOLMS LÄN</t>
        </is>
      </c>
      <c r="E688" t="inlineStr">
        <is>
          <t>NORRTÄLJE</t>
        </is>
      </c>
      <c r="F688" t="inlineStr">
        <is>
          <t>Naturvårdsverket</t>
        </is>
      </c>
      <c r="G688" t="n">
        <v>7.9</v>
      </c>
      <c r="H688" t="n">
        <v>0</v>
      </c>
      <c r="I688" t="n">
        <v>0</v>
      </c>
      <c r="J688" t="n">
        <v>0</v>
      </c>
      <c r="K688" t="n">
        <v>0</v>
      </c>
      <c r="L688" t="n">
        <v>0</v>
      </c>
      <c r="M688" t="n">
        <v>0</v>
      </c>
      <c r="N688" t="n">
        <v>0</v>
      </c>
      <c r="O688" t="n">
        <v>0</v>
      </c>
      <c r="P688" t="n">
        <v>0</v>
      </c>
      <c r="Q688" t="n">
        <v>0</v>
      </c>
      <c r="R688" s="2" t="inlineStr"/>
    </row>
    <row r="689" ht="15" customHeight="1">
      <c r="A689" t="inlineStr">
        <is>
          <t>A 11499-2023</t>
        </is>
      </c>
      <c r="B689" s="1" t="n">
        <v>44993.66707175926</v>
      </c>
      <c r="C689" s="1" t="n">
        <v>46119</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53747-2025</t>
        </is>
      </c>
      <c r="B690" s="1" t="n">
        <v>45960.65415509259</v>
      </c>
      <c r="C690" s="1" t="n">
        <v>46119</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576-2023</t>
        </is>
      </c>
      <c r="B691" s="1" t="n">
        <v>44925</v>
      </c>
      <c r="C691" s="1" t="n">
        <v>46119</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46119</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31936-2022</t>
        </is>
      </c>
      <c r="B693" s="1" t="n">
        <v>44777</v>
      </c>
      <c r="C693" s="1" t="n">
        <v>46119</v>
      </c>
      <c r="D693" t="inlineStr">
        <is>
          <t>STOCKHOLMS LÄN</t>
        </is>
      </c>
      <c r="E693" t="inlineStr">
        <is>
          <t>NORRTÄLJE</t>
        </is>
      </c>
      <c r="G693" t="n">
        <v>5.2</v>
      </c>
      <c r="H693" t="n">
        <v>0</v>
      </c>
      <c r="I693" t="n">
        <v>0</v>
      </c>
      <c r="J693" t="n">
        <v>0</v>
      </c>
      <c r="K693" t="n">
        <v>0</v>
      </c>
      <c r="L693" t="n">
        <v>0</v>
      </c>
      <c r="M693" t="n">
        <v>0</v>
      </c>
      <c r="N693" t="n">
        <v>0</v>
      </c>
      <c r="O693" t="n">
        <v>0</v>
      </c>
      <c r="P693" t="n">
        <v>0</v>
      </c>
      <c r="Q693" t="n">
        <v>0</v>
      </c>
      <c r="R693" s="2" t="inlineStr"/>
    </row>
    <row r="694" ht="15" customHeight="1">
      <c r="A694" t="inlineStr">
        <is>
          <t>A 59873-2024</t>
        </is>
      </c>
      <c r="B694" s="1" t="n">
        <v>45640.57305555556</v>
      </c>
      <c r="C694" s="1" t="n">
        <v>46119</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35916-2024</t>
        </is>
      </c>
      <c r="B695" s="1" t="n">
        <v>45533</v>
      </c>
      <c r="C695" s="1" t="n">
        <v>46119</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10098-2022</t>
        </is>
      </c>
      <c r="B696" s="1" t="n">
        <v>44621</v>
      </c>
      <c r="C696" s="1" t="n">
        <v>46119</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63161-2023</t>
        </is>
      </c>
      <c r="B697" s="1" t="n">
        <v>45273</v>
      </c>
      <c r="C697" s="1" t="n">
        <v>46119</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7796-2025</t>
        </is>
      </c>
      <c r="B698" s="1" t="n">
        <v>45706.60130787037</v>
      </c>
      <c r="C698" s="1" t="n">
        <v>46119</v>
      </c>
      <c r="D698" t="inlineStr">
        <is>
          <t>STOCKHOLMS LÄN</t>
        </is>
      </c>
      <c r="E698" t="inlineStr">
        <is>
          <t>NORRTÄLJE</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58040-2024</t>
        </is>
      </c>
      <c r="B699" s="1" t="n">
        <v>45631.73952546297</v>
      </c>
      <c r="C699" s="1" t="n">
        <v>46119</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58041-2024</t>
        </is>
      </c>
      <c r="B700" s="1" t="n">
        <v>45631.74673611111</v>
      </c>
      <c r="C700" s="1" t="n">
        <v>46119</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30268-2024</t>
        </is>
      </c>
      <c r="B701" s="1" t="n">
        <v>45490.60572916667</v>
      </c>
      <c r="C701" s="1" t="n">
        <v>46119</v>
      </c>
      <c r="D701" t="inlineStr">
        <is>
          <t>STOCKHOLMS LÄN</t>
        </is>
      </c>
      <c r="E701" t="inlineStr">
        <is>
          <t>NORRTÄLJE</t>
        </is>
      </c>
      <c r="G701" t="n">
        <v>5.6</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46119</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19025-2025</t>
        </is>
      </c>
      <c r="B703" s="1" t="n">
        <v>45764.6359837963</v>
      </c>
      <c r="C703" s="1" t="n">
        <v>46119</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54276-2021</t>
        </is>
      </c>
      <c r="B704" s="1" t="n">
        <v>44470</v>
      </c>
      <c r="C704" s="1" t="n">
        <v>46119</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4316-2023</t>
        </is>
      </c>
      <c r="B705" s="1" t="n">
        <v>44953.67443287037</v>
      </c>
      <c r="C705" s="1" t="n">
        <v>46119</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41587-2023</t>
        </is>
      </c>
      <c r="B706" s="1" t="n">
        <v>45175</v>
      </c>
      <c r="C706" s="1" t="n">
        <v>46119</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54907-2025</t>
        </is>
      </c>
      <c r="B707" s="1" t="n">
        <v>45967.37137731481</v>
      </c>
      <c r="C707" s="1" t="n">
        <v>46119</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17304-2024</t>
        </is>
      </c>
      <c r="B708" s="1" t="n">
        <v>45414</v>
      </c>
      <c r="C708" s="1" t="n">
        <v>46119</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55503-2025</t>
        </is>
      </c>
      <c r="B709" s="1" t="n">
        <v>45971</v>
      </c>
      <c r="C709" s="1" t="n">
        <v>46119</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11280-2023</t>
        </is>
      </c>
      <c r="B710" s="1" t="n">
        <v>44992</v>
      </c>
      <c r="C710" s="1" t="n">
        <v>46119</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26668-2024</t>
        </is>
      </c>
      <c r="B711" s="1" t="n">
        <v>45469</v>
      </c>
      <c r="C711" s="1" t="n">
        <v>46119</v>
      </c>
      <c r="D711" t="inlineStr">
        <is>
          <t>STOCKHOLMS LÄN</t>
        </is>
      </c>
      <c r="E711" t="inlineStr">
        <is>
          <t>NORRTÄLJE</t>
        </is>
      </c>
      <c r="G711" t="n">
        <v>4.8</v>
      </c>
      <c r="H711" t="n">
        <v>0</v>
      </c>
      <c r="I711" t="n">
        <v>0</v>
      </c>
      <c r="J711" t="n">
        <v>0</v>
      </c>
      <c r="K711" t="n">
        <v>0</v>
      </c>
      <c r="L711" t="n">
        <v>0</v>
      </c>
      <c r="M711" t="n">
        <v>0</v>
      </c>
      <c r="N711" t="n">
        <v>0</v>
      </c>
      <c r="O711" t="n">
        <v>0</v>
      </c>
      <c r="P711" t="n">
        <v>0</v>
      </c>
      <c r="Q711" t="n">
        <v>0</v>
      </c>
      <c r="R711" s="2" t="inlineStr"/>
    </row>
    <row r="712" ht="15" customHeight="1">
      <c r="A712" t="inlineStr">
        <is>
          <t>A 55599-2025</t>
        </is>
      </c>
      <c r="B712" s="1" t="n">
        <v>45971.76810185185</v>
      </c>
      <c r="C712" s="1" t="n">
        <v>46119</v>
      </c>
      <c r="D712" t="inlineStr">
        <is>
          <t>STOCKHOLMS LÄN</t>
        </is>
      </c>
      <c r="E712" t="inlineStr">
        <is>
          <t>NORRTÄLJE</t>
        </is>
      </c>
      <c r="F712" t="inlineStr">
        <is>
          <t>Holmen skog AB</t>
        </is>
      </c>
      <c r="G712" t="n">
        <v>6.4</v>
      </c>
      <c r="H712" t="n">
        <v>0</v>
      </c>
      <c r="I712" t="n">
        <v>0</v>
      </c>
      <c r="J712" t="n">
        <v>0</v>
      </c>
      <c r="K712" t="n">
        <v>0</v>
      </c>
      <c r="L712" t="n">
        <v>0</v>
      </c>
      <c r="M712" t="n">
        <v>0</v>
      </c>
      <c r="N712" t="n">
        <v>0</v>
      </c>
      <c r="O712" t="n">
        <v>0</v>
      </c>
      <c r="P712" t="n">
        <v>0</v>
      </c>
      <c r="Q712" t="n">
        <v>0</v>
      </c>
      <c r="R712" s="2" t="inlineStr"/>
    </row>
    <row r="713" ht="15" customHeight="1">
      <c r="A713" t="inlineStr">
        <is>
          <t>A 56114-2025</t>
        </is>
      </c>
      <c r="B713" s="1" t="n">
        <v>45973.74474537037</v>
      </c>
      <c r="C713" s="1" t="n">
        <v>46119</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31926-2022</t>
        </is>
      </c>
      <c r="B714" s="1" t="n">
        <v>44777</v>
      </c>
      <c r="C714" s="1" t="n">
        <v>46119</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21480-2022</t>
        </is>
      </c>
      <c r="B715" s="1" t="n">
        <v>44704</v>
      </c>
      <c r="C715" s="1" t="n">
        <v>46119</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11041-2025</t>
        </is>
      </c>
      <c r="B716" s="1" t="n">
        <v>45723</v>
      </c>
      <c r="C716" s="1" t="n">
        <v>46119</v>
      </c>
      <c r="D716" t="inlineStr">
        <is>
          <t>STOCKHOLMS LÄN</t>
        </is>
      </c>
      <c r="E716" t="inlineStr">
        <is>
          <t>NORRTÄLJE</t>
        </is>
      </c>
      <c r="F716" t="inlineStr">
        <is>
          <t>Övriga Aktiebolag</t>
        </is>
      </c>
      <c r="G716" t="n">
        <v>1.8</v>
      </c>
      <c r="H716" t="n">
        <v>0</v>
      </c>
      <c r="I716" t="n">
        <v>0</v>
      </c>
      <c r="J716" t="n">
        <v>0</v>
      </c>
      <c r="K716" t="n">
        <v>0</v>
      </c>
      <c r="L716" t="n">
        <v>0</v>
      </c>
      <c r="M716" t="n">
        <v>0</v>
      </c>
      <c r="N716" t="n">
        <v>0</v>
      </c>
      <c r="O716" t="n">
        <v>0</v>
      </c>
      <c r="P716" t="n">
        <v>0</v>
      </c>
      <c r="Q716" t="n">
        <v>0</v>
      </c>
      <c r="R716" s="2" t="inlineStr"/>
    </row>
    <row r="717" ht="15" customHeight="1">
      <c r="A717" t="inlineStr">
        <is>
          <t>A 24024-2024</t>
        </is>
      </c>
      <c r="B717" s="1" t="n">
        <v>45456</v>
      </c>
      <c r="C717" s="1" t="n">
        <v>46119</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28809-2023</t>
        </is>
      </c>
      <c r="B718" s="1" t="n">
        <v>45104</v>
      </c>
      <c r="C718" s="1" t="n">
        <v>46119</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28813-2023</t>
        </is>
      </c>
      <c r="B719" s="1" t="n">
        <v>45104</v>
      </c>
      <c r="C719" s="1" t="n">
        <v>46119</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40656-2022</t>
        </is>
      </c>
      <c r="B720" s="1" t="n">
        <v>44824.36069444445</v>
      </c>
      <c r="C720" s="1" t="n">
        <v>46119</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60694-2024</t>
        </is>
      </c>
      <c r="B721" s="1" t="n">
        <v>45644.47878472223</v>
      </c>
      <c r="C721" s="1" t="n">
        <v>46119</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56207-2025</t>
        </is>
      </c>
      <c r="B722" s="1" t="n">
        <v>45974.47329861111</v>
      </c>
      <c r="C722" s="1" t="n">
        <v>46119</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19450-2025</t>
        </is>
      </c>
      <c r="B723" s="1" t="n">
        <v>45770</v>
      </c>
      <c r="C723" s="1" t="n">
        <v>46119</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33353-2023</t>
        </is>
      </c>
      <c r="B724" s="1" t="n">
        <v>45128</v>
      </c>
      <c r="C724" s="1" t="n">
        <v>46119</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3966-2024</t>
        </is>
      </c>
      <c r="B725" s="1" t="n">
        <v>45322</v>
      </c>
      <c r="C725" s="1" t="n">
        <v>46119</v>
      </c>
      <c r="D725" t="inlineStr">
        <is>
          <t>STOCKHOLMS LÄN</t>
        </is>
      </c>
      <c r="E725" t="inlineStr">
        <is>
          <t>NORRTÄLJE</t>
        </is>
      </c>
      <c r="G725" t="n">
        <v>5.3</v>
      </c>
      <c r="H725" t="n">
        <v>0</v>
      </c>
      <c r="I725" t="n">
        <v>0</v>
      </c>
      <c r="J725" t="n">
        <v>0</v>
      </c>
      <c r="K725" t="n">
        <v>0</v>
      </c>
      <c r="L725" t="n">
        <v>0</v>
      </c>
      <c r="M725" t="n">
        <v>0</v>
      </c>
      <c r="N725" t="n">
        <v>0</v>
      </c>
      <c r="O725" t="n">
        <v>0</v>
      </c>
      <c r="P725" t="n">
        <v>0</v>
      </c>
      <c r="Q725" t="n">
        <v>0</v>
      </c>
      <c r="R725" s="2" t="inlineStr"/>
    </row>
    <row r="726" ht="15" customHeight="1">
      <c r="A726" t="inlineStr">
        <is>
          <t>A 58403-2025</t>
        </is>
      </c>
      <c r="B726" s="1" t="n">
        <v>45985.56777777777</v>
      </c>
      <c r="C726" s="1" t="n">
        <v>46119</v>
      </c>
      <c r="D726" t="inlineStr">
        <is>
          <t>STOCKHOLMS LÄN</t>
        </is>
      </c>
      <c r="E726" t="inlineStr">
        <is>
          <t>NORRTÄLJE</t>
        </is>
      </c>
      <c r="F726" t="inlineStr">
        <is>
          <t>Naturvårdsverket</t>
        </is>
      </c>
      <c r="G726" t="n">
        <v>13.5</v>
      </c>
      <c r="H726" t="n">
        <v>0</v>
      </c>
      <c r="I726" t="n">
        <v>0</v>
      </c>
      <c r="J726" t="n">
        <v>0</v>
      </c>
      <c r="K726" t="n">
        <v>0</v>
      </c>
      <c r="L726" t="n">
        <v>0</v>
      </c>
      <c r="M726" t="n">
        <v>0</v>
      </c>
      <c r="N726" t="n">
        <v>0</v>
      </c>
      <c r="O726" t="n">
        <v>0</v>
      </c>
      <c r="P726" t="n">
        <v>0</v>
      </c>
      <c r="Q726" t="n">
        <v>0</v>
      </c>
      <c r="R726" s="2" t="inlineStr"/>
    </row>
    <row r="727" ht="15" customHeight="1">
      <c r="A727" t="inlineStr">
        <is>
          <t>A 58142-2025</t>
        </is>
      </c>
      <c r="B727" s="1" t="n">
        <v>45982.63791666667</v>
      </c>
      <c r="C727" s="1" t="n">
        <v>46119</v>
      </c>
      <c r="D727" t="inlineStr">
        <is>
          <t>STOCKHOLMS LÄN</t>
        </is>
      </c>
      <c r="E727" t="inlineStr">
        <is>
          <t>NORRTÄLJE</t>
        </is>
      </c>
      <c r="G727" t="n">
        <v>3.3</v>
      </c>
      <c r="H727" t="n">
        <v>0</v>
      </c>
      <c r="I727" t="n">
        <v>0</v>
      </c>
      <c r="J727" t="n">
        <v>0</v>
      </c>
      <c r="K727" t="n">
        <v>0</v>
      </c>
      <c r="L727" t="n">
        <v>0</v>
      </c>
      <c r="M727" t="n">
        <v>0</v>
      </c>
      <c r="N727" t="n">
        <v>0</v>
      </c>
      <c r="O727" t="n">
        <v>0</v>
      </c>
      <c r="P727" t="n">
        <v>0</v>
      </c>
      <c r="Q727" t="n">
        <v>0</v>
      </c>
      <c r="R727" s="2" t="inlineStr"/>
    </row>
    <row r="728" ht="15" customHeight="1">
      <c r="A728" t="inlineStr">
        <is>
          <t>A 57953-2025</t>
        </is>
      </c>
      <c r="B728" s="1" t="n">
        <v>45982.35016203704</v>
      </c>
      <c r="C728" s="1" t="n">
        <v>46119</v>
      </c>
      <c r="D728" t="inlineStr">
        <is>
          <t>STOCKHOLMS LÄN</t>
        </is>
      </c>
      <c r="E728" t="inlineStr">
        <is>
          <t>NORRTÄLJE</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23262-2023</t>
        </is>
      </c>
      <c r="B729" s="1" t="n">
        <v>45075.90270833333</v>
      </c>
      <c r="C729" s="1" t="n">
        <v>46119</v>
      </c>
      <c r="D729" t="inlineStr">
        <is>
          <t>STOCKHOLMS LÄN</t>
        </is>
      </c>
      <c r="E729" t="inlineStr">
        <is>
          <t>NORRTÄLJE</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23268-2023</t>
        </is>
      </c>
      <c r="B730" s="1" t="n">
        <v>45075.91042824074</v>
      </c>
      <c r="C730" s="1" t="n">
        <v>46119</v>
      </c>
      <c r="D730" t="inlineStr">
        <is>
          <t>STOCKHOLMS LÄN</t>
        </is>
      </c>
      <c r="E730" t="inlineStr">
        <is>
          <t>NORRTÄLJE</t>
        </is>
      </c>
      <c r="G730" t="n">
        <v>3.3</v>
      </c>
      <c r="H730" t="n">
        <v>0</v>
      </c>
      <c r="I730" t="n">
        <v>0</v>
      </c>
      <c r="J730" t="n">
        <v>0</v>
      </c>
      <c r="K730" t="n">
        <v>0</v>
      </c>
      <c r="L730" t="n">
        <v>0</v>
      </c>
      <c r="M730" t="n">
        <v>0</v>
      </c>
      <c r="N730" t="n">
        <v>0</v>
      </c>
      <c r="O730" t="n">
        <v>0</v>
      </c>
      <c r="P730" t="n">
        <v>0</v>
      </c>
      <c r="Q730" t="n">
        <v>0</v>
      </c>
      <c r="R730" s="2" t="inlineStr"/>
    </row>
    <row r="731" ht="15" customHeight="1">
      <c r="A731" t="inlineStr">
        <is>
          <t>A 23270-2023</t>
        </is>
      </c>
      <c r="B731" s="1" t="n">
        <v>45075.91265046296</v>
      </c>
      <c r="C731" s="1" t="n">
        <v>46119</v>
      </c>
      <c r="D731" t="inlineStr">
        <is>
          <t>STOCKHOLMS LÄN</t>
        </is>
      </c>
      <c r="E731" t="inlineStr">
        <is>
          <t>NORRTÄLJE</t>
        </is>
      </c>
      <c r="G731" t="n">
        <v>12.3</v>
      </c>
      <c r="H731" t="n">
        <v>0</v>
      </c>
      <c r="I731" t="n">
        <v>0</v>
      </c>
      <c r="J731" t="n">
        <v>0</v>
      </c>
      <c r="K731" t="n">
        <v>0</v>
      </c>
      <c r="L731" t="n">
        <v>0</v>
      </c>
      <c r="M731" t="n">
        <v>0</v>
      </c>
      <c r="N731" t="n">
        <v>0</v>
      </c>
      <c r="O731" t="n">
        <v>0</v>
      </c>
      <c r="P731" t="n">
        <v>0</v>
      </c>
      <c r="Q731" t="n">
        <v>0</v>
      </c>
      <c r="R731" s="2" t="inlineStr"/>
    </row>
    <row r="732" ht="15" customHeight="1">
      <c r="A732" t="inlineStr">
        <is>
          <t>A 23274-2023</t>
        </is>
      </c>
      <c r="B732" s="1" t="n">
        <v>45075.92153935185</v>
      </c>
      <c r="C732" s="1" t="n">
        <v>46119</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17843-2024</t>
        </is>
      </c>
      <c r="B733" s="1" t="n">
        <v>45418</v>
      </c>
      <c r="C733" s="1" t="n">
        <v>46119</v>
      </c>
      <c r="D733" t="inlineStr">
        <is>
          <t>STOCKHOLMS LÄN</t>
        </is>
      </c>
      <c r="E733" t="inlineStr">
        <is>
          <t>NORRTÄLJE</t>
        </is>
      </c>
      <c r="G733" t="n">
        <v>5.4</v>
      </c>
      <c r="H733" t="n">
        <v>0</v>
      </c>
      <c r="I733" t="n">
        <v>0</v>
      </c>
      <c r="J733" t="n">
        <v>0</v>
      </c>
      <c r="K733" t="n">
        <v>0</v>
      </c>
      <c r="L733" t="n">
        <v>0</v>
      </c>
      <c r="M733" t="n">
        <v>0</v>
      </c>
      <c r="N733" t="n">
        <v>0</v>
      </c>
      <c r="O733" t="n">
        <v>0</v>
      </c>
      <c r="P733" t="n">
        <v>0</v>
      </c>
      <c r="Q733" t="n">
        <v>0</v>
      </c>
      <c r="R733" s="2" t="inlineStr"/>
    </row>
    <row r="734" ht="15" customHeight="1">
      <c r="A734" t="inlineStr">
        <is>
          <t>A 58939-2025</t>
        </is>
      </c>
      <c r="B734" s="1" t="n">
        <v>45987.5681712963</v>
      </c>
      <c r="C734" s="1" t="n">
        <v>46119</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26636-2023</t>
        </is>
      </c>
      <c r="B735" s="1" t="n">
        <v>45092</v>
      </c>
      <c r="C735" s="1" t="n">
        <v>46119</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26637-2023</t>
        </is>
      </c>
      <c r="B736" s="1" t="n">
        <v>45092</v>
      </c>
      <c r="C736" s="1" t="n">
        <v>46119</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72704-2021</t>
        </is>
      </c>
      <c r="B737" s="1" t="n">
        <v>44546</v>
      </c>
      <c r="C737" s="1" t="n">
        <v>46119</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52743-2024</t>
        </is>
      </c>
      <c r="B738" s="1" t="n">
        <v>45610.47414351852</v>
      </c>
      <c r="C738" s="1" t="n">
        <v>46119</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16852-2024</t>
        </is>
      </c>
      <c r="B739" s="1" t="n">
        <v>45411.54768518519</v>
      </c>
      <c r="C739" s="1" t="n">
        <v>46119</v>
      </c>
      <c r="D739" t="inlineStr">
        <is>
          <t>STOCKHOLMS LÄN</t>
        </is>
      </c>
      <c r="E739" t="inlineStr">
        <is>
          <t>NORRTÄLJE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55755-2023</t>
        </is>
      </c>
      <c r="B740" s="1" t="n">
        <v>45239</v>
      </c>
      <c r="C740" s="1" t="n">
        <v>46119</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59041-2025</t>
        </is>
      </c>
      <c r="B741" s="1" t="n">
        <v>45988</v>
      </c>
      <c r="C741" s="1" t="n">
        <v>46119</v>
      </c>
      <c r="D741" t="inlineStr">
        <is>
          <t>STOCKHOLMS LÄN</t>
        </is>
      </c>
      <c r="E741" t="inlineStr">
        <is>
          <t>NORRTÄLJE</t>
        </is>
      </c>
      <c r="G741" t="n">
        <v>6.6</v>
      </c>
      <c r="H741" t="n">
        <v>0</v>
      </c>
      <c r="I741" t="n">
        <v>0</v>
      </c>
      <c r="J741" t="n">
        <v>0</v>
      </c>
      <c r="K741" t="n">
        <v>0</v>
      </c>
      <c r="L741" t="n">
        <v>0</v>
      </c>
      <c r="M741" t="n">
        <v>0</v>
      </c>
      <c r="N741" t="n">
        <v>0</v>
      </c>
      <c r="O741" t="n">
        <v>0</v>
      </c>
      <c r="P741" t="n">
        <v>0</v>
      </c>
      <c r="Q741" t="n">
        <v>0</v>
      </c>
      <c r="R741" s="2" t="inlineStr"/>
    </row>
    <row r="742" ht="15" customHeight="1">
      <c r="A742" t="inlineStr">
        <is>
          <t>A 17348-2024</t>
        </is>
      </c>
      <c r="B742" s="1" t="n">
        <v>45414.58650462963</v>
      </c>
      <c r="C742" s="1" t="n">
        <v>46119</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59914-2025</t>
        </is>
      </c>
      <c r="B743" s="1" t="n">
        <v>45993.37056712963</v>
      </c>
      <c r="C743" s="1" t="n">
        <v>46119</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59672-2025</t>
        </is>
      </c>
      <c r="B744" s="1" t="n">
        <v>45992.45884259259</v>
      </c>
      <c r="C744" s="1" t="n">
        <v>46119</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57788-2025</t>
        </is>
      </c>
      <c r="B745" s="1" t="n">
        <v>45981.5778125</v>
      </c>
      <c r="C745" s="1" t="n">
        <v>46119</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59907-2025</t>
        </is>
      </c>
      <c r="B746" s="1" t="n">
        <v>45993.35350694445</v>
      </c>
      <c r="C746" s="1" t="n">
        <v>46119</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59924-2025</t>
        </is>
      </c>
      <c r="B747" s="1" t="n">
        <v>45993.38928240741</v>
      </c>
      <c r="C747" s="1" t="n">
        <v>46119</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13089-2022</t>
        </is>
      </c>
      <c r="B748" s="1" t="n">
        <v>44643</v>
      </c>
      <c r="C748" s="1" t="n">
        <v>46119</v>
      </c>
      <c r="D748" t="inlineStr">
        <is>
          <t>STOCKHOLMS LÄN</t>
        </is>
      </c>
      <c r="E748" t="inlineStr">
        <is>
          <t>NORRTÄLJE</t>
        </is>
      </c>
      <c r="G748" t="n">
        <v>4.5</v>
      </c>
      <c r="H748" t="n">
        <v>0</v>
      </c>
      <c r="I748" t="n">
        <v>0</v>
      </c>
      <c r="J748" t="n">
        <v>0</v>
      </c>
      <c r="K748" t="n">
        <v>0</v>
      </c>
      <c r="L748" t="n">
        <v>0</v>
      </c>
      <c r="M748" t="n">
        <v>0</v>
      </c>
      <c r="N748" t="n">
        <v>0</v>
      </c>
      <c r="O748" t="n">
        <v>0</v>
      </c>
      <c r="P748" t="n">
        <v>0</v>
      </c>
      <c r="Q748" t="n">
        <v>0</v>
      </c>
      <c r="R748" s="2" t="inlineStr"/>
    </row>
    <row r="749" ht="15" customHeight="1">
      <c r="A749" t="inlineStr">
        <is>
          <t>A 60253-2025</t>
        </is>
      </c>
      <c r="B749" s="1" t="n">
        <v>45994.59827546297</v>
      </c>
      <c r="C749" s="1" t="n">
        <v>46119</v>
      </c>
      <c r="D749" t="inlineStr">
        <is>
          <t>STOCKHOLMS LÄN</t>
        </is>
      </c>
      <c r="E749" t="inlineStr">
        <is>
          <t>NORRTÄLJE</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48145-2024</t>
        </is>
      </c>
      <c r="B750" s="1" t="n">
        <v>45589.6756712963</v>
      </c>
      <c r="C750" s="1" t="n">
        <v>46119</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23998-2024</t>
        </is>
      </c>
      <c r="B751" s="1" t="n">
        <v>45456</v>
      </c>
      <c r="C751" s="1" t="n">
        <v>46119</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15447-2023</t>
        </is>
      </c>
      <c r="B752" s="1" t="n">
        <v>45020</v>
      </c>
      <c r="C752" s="1" t="n">
        <v>46119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60214-2025</t>
        </is>
      </c>
      <c r="B753" s="1" t="n">
        <v>45994.53761574074</v>
      </c>
      <c r="C753" s="1" t="n">
        <v>46119</v>
      </c>
      <c r="D753" t="inlineStr">
        <is>
          <t>STOCKHOLMS LÄN</t>
        </is>
      </c>
      <c r="E753" t="inlineStr">
        <is>
          <t>NORRTÄLJE</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60223-2025</t>
        </is>
      </c>
      <c r="B754" s="1" t="n">
        <v>45994.54497685185</v>
      </c>
      <c r="C754" s="1" t="n">
        <v>46119</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54358-2022</t>
        </is>
      </c>
      <c r="B755" s="1" t="n">
        <v>44882</v>
      </c>
      <c r="C755" s="1" t="n">
        <v>46119</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60745-2025</t>
        </is>
      </c>
      <c r="B756" s="1" t="n">
        <v>45999.37753472223</v>
      </c>
      <c r="C756" s="1" t="n">
        <v>46119</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23263-2023</t>
        </is>
      </c>
      <c r="B757" s="1" t="n">
        <v>45075</v>
      </c>
      <c r="C757" s="1" t="n">
        <v>46119</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23264-2023</t>
        </is>
      </c>
      <c r="B758" s="1" t="n">
        <v>45075</v>
      </c>
      <c r="C758" s="1" t="n">
        <v>46119</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60649-2025</t>
        </is>
      </c>
      <c r="B759" s="1" t="n">
        <v>45996.4560300926</v>
      </c>
      <c r="C759" s="1" t="n">
        <v>46119</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23267-2023</t>
        </is>
      </c>
      <c r="B760" s="1" t="n">
        <v>45075.90934027778</v>
      </c>
      <c r="C760" s="1" t="n">
        <v>46119</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23269-2023</t>
        </is>
      </c>
      <c r="B761" s="1" t="n">
        <v>45075.91148148148</v>
      </c>
      <c r="C761" s="1" t="n">
        <v>46119</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60948-2025</t>
        </is>
      </c>
      <c r="B762" s="1" t="n">
        <v>45999.650625</v>
      </c>
      <c r="C762" s="1" t="n">
        <v>46119</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19911-2025</t>
        </is>
      </c>
      <c r="B763" s="1" t="n">
        <v>45771</v>
      </c>
      <c r="C763" s="1" t="n">
        <v>46119</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46119</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46119</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60928-2025</t>
        </is>
      </c>
      <c r="B766" s="1" t="n">
        <v>45999.633125</v>
      </c>
      <c r="C766" s="1" t="n">
        <v>46119</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20244-2025</t>
        </is>
      </c>
      <c r="B767" s="1" t="n">
        <v>45772.71221064815</v>
      </c>
      <c r="C767" s="1" t="n">
        <v>46119</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48633-2023</t>
        </is>
      </c>
      <c r="B768" s="1" t="n">
        <v>45208.58004629629</v>
      </c>
      <c r="C768" s="1" t="n">
        <v>46119</v>
      </c>
      <c r="D768" t="inlineStr">
        <is>
          <t>STOCKHOLMS LÄN</t>
        </is>
      </c>
      <c r="E768" t="inlineStr">
        <is>
          <t>NORRTÄLJE</t>
        </is>
      </c>
      <c r="G768" t="n">
        <v>3.3</v>
      </c>
      <c r="H768" t="n">
        <v>0</v>
      </c>
      <c r="I768" t="n">
        <v>0</v>
      </c>
      <c r="J768" t="n">
        <v>0</v>
      </c>
      <c r="K768" t="n">
        <v>0</v>
      </c>
      <c r="L768" t="n">
        <v>0</v>
      </c>
      <c r="M768" t="n">
        <v>0</v>
      </c>
      <c r="N768" t="n">
        <v>0</v>
      </c>
      <c r="O768" t="n">
        <v>0</v>
      </c>
      <c r="P768" t="n">
        <v>0</v>
      </c>
      <c r="Q768" t="n">
        <v>0</v>
      </c>
      <c r="R768" s="2" t="inlineStr"/>
    </row>
    <row r="769" ht="15" customHeight="1">
      <c r="A769" t="inlineStr">
        <is>
          <t>A 61160-2025</t>
        </is>
      </c>
      <c r="B769" s="1" t="n">
        <v>46000.55262731481</v>
      </c>
      <c r="C769" s="1" t="n">
        <v>46119</v>
      </c>
      <c r="D769" t="inlineStr">
        <is>
          <t>STOCKHOLMS LÄN</t>
        </is>
      </c>
      <c r="E769" t="inlineStr">
        <is>
          <t>NORRTÄLJE</t>
        </is>
      </c>
      <c r="G769" t="n">
        <v>5.3</v>
      </c>
      <c r="H769" t="n">
        <v>0</v>
      </c>
      <c r="I769" t="n">
        <v>0</v>
      </c>
      <c r="J769" t="n">
        <v>0</v>
      </c>
      <c r="K769" t="n">
        <v>0</v>
      </c>
      <c r="L769" t="n">
        <v>0</v>
      </c>
      <c r="M769" t="n">
        <v>0</v>
      </c>
      <c r="N769" t="n">
        <v>0</v>
      </c>
      <c r="O769" t="n">
        <v>0</v>
      </c>
      <c r="P769" t="n">
        <v>0</v>
      </c>
      <c r="Q769" t="n">
        <v>0</v>
      </c>
      <c r="R769" s="2" t="inlineStr"/>
    </row>
    <row r="770" ht="15" customHeight="1">
      <c r="A770" t="inlineStr">
        <is>
          <t>A 39669-2024</t>
        </is>
      </c>
      <c r="B770" s="1" t="n">
        <v>45552.52827546297</v>
      </c>
      <c r="C770" s="1" t="n">
        <v>46119</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61419-2025</t>
        </is>
      </c>
      <c r="B771" s="1" t="n">
        <v>46001.54137731482</v>
      </c>
      <c r="C771" s="1" t="n">
        <v>46119</v>
      </c>
      <c r="D771" t="inlineStr">
        <is>
          <t>STOCKHOLMS LÄN</t>
        </is>
      </c>
      <c r="E771" t="inlineStr">
        <is>
          <t>NORRTÄLJE</t>
        </is>
      </c>
      <c r="G771" t="n">
        <v>5.2</v>
      </c>
      <c r="H771" t="n">
        <v>0</v>
      </c>
      <c r="I771" t="n">
        <v>0</v>
      </c>
      <c r="J771" t="n">
        <v>0</v>
      </c>
      <c r="K771" t="n">
        <v>0</v>
      </c>
      <c r="L771" t="n">
        <v>0</v>
      </c>
      <c r="M771" t="n">
        <v>0</v>
      </c>
      <c r="N771" t="n">
        <v>0</v>
      </c>
      <c r="O771" t="n">
        <v>0</v>
      </c>
      <c r="P771" t="n">
        <v>0</v>
      </c>
      <c r="Q771" t="n">
        <v>0</v>
      </c>
      <c r="R771" s="2" t="inlineStr"/>
    </row>
    <row r="772" ht="15" customHeight="1">
      <c r="A772" t="inlineStr">
        <is>
          <t>A 61430-2025</t>
        </is>
      </c>
      <c r="B772" s="1" t="n">
        <v>46001.55583333333</v>
      </c>
      <c r="C772" s="1" t="n">
        <v>46119</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61452-2025</t>
        </is>
      </c>
      <c r="B773" s="1" t="n">
        <v>46001.58043981482</v>
      </c>
      <c r="C773" s="1" t="n">
        <v>46119</v>
      </c>
      <c r="D773" t="inlineStr">
        <is>
          <t>STOCKHOLMS LÄN</t>
        </is>
      </c>
      <c r="E773" t="inlineStr">
        <is>
          <t>NORRTÄLJE</t>
        </is>
      </c>
      <c r="F773" t="inlineStr">
        <is>
          <t>Holmen skog AB</t>
        </is>
      </c>
      <c r="G773" t="n">
        <v>3.7</v>
      </c>
      <c r="H773" t="n">
        <v>0</v>
      </c>
      <c r="I773" t="n">
        <v>0</v>
      </c>
      <c r="J773" t="n">
        <v>0</v>
      </c>
      <c r="K773" t="n">
        <v>0</v>
      </c>
      <c r="L773" t="n">
        <v>0</v>
      </c>
      <c r="M773" t="n">
        <v>0</v>
      </c>
      <c r="N773" t="n">
        <v>0</v>
      </c>
      <c r="O773" t="n">
        <v>0</v>
      </c>
      <c r="P773" t="n">
        <v>0</v>
      </c>
      <c r="Q773" t="n">
        <v>0</v>
      </c>
      <c r="R773" s="2" t="inlineStr"/>
    </row>
    <row r="774" ht="15" customHeight="1">
      <c r="A774" t="inlineStr">
        <is>
          <t>A 61289-2025</t>
        </is>
      </c>
      <c r="B774" s="1" t="n">
        <v>46000.73659722223</v>
      </c>
      <c r="C774" s="1" t="n">
        <v>46119</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61769-2025</t>
        </is>
      </c>
      <c r="B775" s="1" t="n">
        <v>46002.64556712963</v>
      </c>
      <c r="C775" s="1" t="n">
        <v>46119</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43170-2023</t>
        </is>
      </c>
      <c r="B776" s="1" t="n">
        <v>45183</v>
      </c>
      <c r="C776" s="1" t="n">
        <v>46119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9-2024</t>
        </is>
      </c>
      <c r="B777" s="1" t="n">
        <v>45293</v>
      </c>
      <c r="C777" s="1" t="n">
        <v>46119</v>
      </c>
      <c r="D777" t="inlineStr">
        <is>
          <t>STOCKHOLMS LÄN</t>
        </is>
      </c>
      <c r="E777" t="inlineStr">
        <is>
          <t>NORRTÄLJE</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22832-2021</t>
        </is>
      </c>
      <c r="B778" s="1" t="n">
        <v>44325</v>
      </c>
      <c r="C778" s="1" t="n">
        <v>46119</v>
      </c>
      <c r="D778" t="inlineStr">
        <is>
          <t>STOCKHOLMS LÄN</t>
        </is>
      </c>
      <c r="E778" t="inlineStr">
        <is>
          <t>NORRTÄLJE</t>
        </is>
      </c>
      <c r="G778" t="n">
        <v>6.8</v>
      </c>
      <c r="H778" t="n">
        <v>0</v>
      </c>
      <c r="I778" t="n">
        <v>0</v>
      </c>
      <c r="J778" t="n">
        <v>0</v>
      </c>
      <c r="K778" t="n">
        <v>0</v>
      </c>
      <c r="L778" t="n">
        <v>0</v>
      </c>
      <c r="M778" t="n">
        <v>0</v>
      </c>
      <c r="N778" t="n">
        <v>0</v>
      </c>
      <c r="O778" t="n">
        <v>0</v>
      </c>
      <c r="P778" t="n">
        <v>0</v>
      </c>
      <c r="Q778" t="n">
        <v>0</v>
      </c>
      <c r="R778" s="2" t="inlineStr"/>
    </row>
    <row r="779" ht="15" customHeight="1">
      <c r="A779" t="inlineStr">
        <is>
          <t>A 16913-2025</t>
        </is>
      </c>
      <c r="B779" s="1" t="n">
        <v>45755.36583333334</v>
      </c>
      <c r="C779" s="1" t="n">
        <v>46119</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61764-2025</t>
        </is>
      </c>
      <c r="B780" s="1" t="n">
        <v>46002.62763888889</v>
      </c>
      <c r="C780" s="1" t="n">
        <v>46119</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4035-2023</t>
        </is>
      </c>
      <c r="B781" s="1" t="n">
        <v>44952.57989583333</v>
      </c>
      <c r="C781" s="1" t="n">
        <v>46119</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33793-2022</t>
        </is>
      </c>
      <c r="B782" s="1" t="n">
        <v>44790</v>
      </c>
      <c r="C782" s="1" t="n">
        <v>46119</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46119</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7697-2025</t>
        </is>
      </c>
      <c r="B784" s="1" t="n">
        <v>45706.40086805556</v>
      </c>
      <c r="C784" s="1" t="n">
        <v>46119</v>
      </c>
      <c r="D784" t="inlineStr">
        <is>
          <t>STOCKHOLMS LÄN</t>
        </is>
      </c>
      <c r="E784" t="inlineStr">
        <is>
          <t>NORRTÄLJE</t>
        </is>
      </c>
      <c r="F784" t="inlineStr">
        <is>
          <t>Holmen skog AB</t>
        </is>
      </c>
      <c r="G784" t="n">
        <v>1.8</v>
      </c>
      <c r="H784" t="n">
        <v>0</v>
      </c>
      <c r="I784" t="n">
        <v>0</v>
      </c>
      <c r="J784" t="n">
        <v>0</v>
      </c>
      <c r="K784" t="n">
        <v>0</v>
      </c>
      <c r="L784" t="n">
        <v>0</v>
      </c>
      <c r="M784" t="n">
        <v>0</v>
      </c>
      <c r="N784" t="n">
        <v>0</v>
      </c>
      <c r="O784" t="n">
        <v>0</v>
      </c>
      <c r="P784" t="n">
        <v>0</v>
      </c>
      <c r="Q784" t="n">
        <v>0</v>
      </c>
      <c r="R784" s="2" t="inlineStr"/>
    </row>
    <row r="785" ht="15" customHeight="1">
      <c r="A785" t="inlineStr">
        <is>
          <t>A 30221-2024</t>
        </is>
      </c>
      <c r="B785" s="1" t="n">
        <v>45490.45342592592</v>
      </c>
      <c r="C785" s="1" t="n">
        <v>46119</v>
      </c>
      <c r="D785" t="inlineStr">
        <is>
          <t>STOCKHOLMS LÄN</t>
        </is>
      </c>
      <c r="E785" t="inlineStr">
        <is>
          <t>NORRTÄLJE</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13-2024</t>
        </is>
      </c>
      <c r="B786" s="1" t="n">
        <v>45293.37263888889</v>
      </c>
      <c r="C786" s="1" t="n">
        <v>46119</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19-2024</t>
        </is>
      </c>
      <c r="B787" s="1" t="n">
        <v>45293</v>
      </c>
      <c r="C787" s="1" t="n">
        <v>46119</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31559-2022</t>
        </is>
      </c>
      <c r="B788" s="1" t="n">
        <v>44775</v>
      </c>
      <c r="C788" s="1" t="n">
        <v>46119</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33279-2025</t>
        </is>
      </c>
      <c r="B789" s="1" t="n">
        <v>45840</v>
      </c>
      <c r="C789" s="1" t="n">
        <v>46119</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53499-2025</t>
        </is>
      </c>
      <c r="B790" s="1" t="n">
        <v>45960</v>
      </c>
      <c r="C790" s="1" t="n">
        <v>46119</v>
      </c>
      <c r="D790" t="inlineStr">
        <is>
          <t>STOCKHOLMS LÄN</t>
        </is>
      </c>
      <c r="E790" t="inlineStr">
        <is>
          <t>NORRTÄLJE</t>
        </is>
      </c>
      <c r="G790" t="n">
        <v>23.8</v>
      </c>
      <c r="H790" t="n">
        <v>0</v>
      </c>
      <c r="I790" t="n">
        <v>0</v>
      </c>
      <c r="J790" t="n">
        <v>0</v>
      </c>
      <c r="K790" t="n">
        <v>0</v>
      </c>
      <c r="L790" t="n">
        <v>0</v>
      </c>
      <c r="M790" t="n">
        <v>0</v>
      </c>
      <c r="N790" t="n">
        <v>0</v>
      </c>
      <c r="O790" t="n">
        <v>0</v>
      </c>
      <c r="P790" t="n">
        <v>0</v>
      </c>
      <c r="Q790" t="n">
        <v>0</v>
      </c>
      <c r="R790" s="2" t="inlineStr"/>
    </row>
    <row r="791" ht="15" customHeight="1">
      <c r="A791" t="inlineStr">
        <is>
          <t>A 8419-2025</t>
        </is>
      </c>
      <c r="B791" s="1" t="n">
        <v>45709.40231481481</v>
      </c>
      <c r="C791" s="1" t="n">
        <v>46119</v>
      </c>
      <c r="D791" t="inlineStr">
        <is>
          <t>STOCKHOLMS LÄN</t>
        </is>
      </c>
      <c r="E791" t="inlineStr">
        <is>
          <t>NORRTÄLJE</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35161-2022</t>
        </is>
      </c>
      <c r="B792" s="1" t="n">
        <v>44797</v>
      </c>
      <c r="C792" s="1" t="n">
        <v>46119</v>
      </c>
      <c r="D792" t="inlineStr">
        <is>
          <t>STOCKHOLMS LÄN</t>
        </is>
      </c>
      <c r="E792" t="inlineStr">
        <is>
          <t>NORRTÄLJE</t>
        </is>
      </c>
      <c r="G792" t="n">
        <v>6</v>
      </c>
      <c r="H792" t="n">
        <v>0</v>
      </c>
      <c r="I792" t="n">
        <v>0</v>
      </c>
      <c r="J792" t="n">
        <v>0</v>
      </c>
      <c r="K792" t="n">
        <v>0</v>
      </c>
      <c r="L792" t="n">
        <v>0</v>
      </c>
      <c r="M792" t="n">
        <v>0</v>
      </c>
      <c r="N792" t="n">
        <v>0</v>
      </c>
      <c r="O792" t="n">
        <v>0</v>
      </c>
      <c r="P792" t="n">
        <v>0</v>
      </c>
      <c r="Q792" t="n">
        <v>0</v>
      </c>
      <c r="R792" s="2" t="inlineStr"/>
    </row>
    <row r="793" ht="15" customHeight="1">
      <c r="A793" t="inlineStr">
        <is>
          <t>A 62708-2025</t>
        </is>
      </c>
      <c r="B793" s="1" t="n">
        <v>46008.50986111111</v>
      </c>
      <c r="C793" s="1" t="n">
        <v>46119</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58989-2021</t>
        </is>
      </c>
      <c r="B794" s="1" t="n">
        <v>44490.02482638889</v>
      </c>
      <c r="C794" s="1" t="n">
        <v>46119</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34478-2025</t>
        </is>
      </c>
      <c r="B795" s="1" t="n">
        <v>45847</v>
      </c>
      <c r="C795" s="1" t="n">
        <v>46119</v>
      </c>
      <c r="D795" t="inlineStr">
        <is>
          <t>STOCKHOLMS LÄN</t>
        </is>
      </c>
      <c r="E795" t="inlineStr">
        <is>
          <t>NORRTÄLJE</t>
        </is>
      </c>
      <c r="F795" t="inlineStr">
        <is>
          <t>Övriga Aktiebolag</t>
        </is>
      </c>
      <c r="G795" t="n">
        <v>10.8</v>
      </c>
      <c r="H795" t="n">
        <v>0</v>
      </c>
      <c r="I795" t="n">
        <v>0</v>
      </c>
      <c r="J795" t="n">
        <v>0</v>
      </c>
      <c r="K795" t="n">
        <v>0</v>
      </c>
      <c r="L795" t="n">
        <v>0</v>
      </c>
      <c r="M795" t="n">
        <v>0</v>
      </c>
      <c r="N795" t="n">
        <v>0</v>
      </c>
      <c r="O795" t="n">
        <v>0</v>
      </c>
      <c r="P795" t="n">
        <v>0</v>
      </c>
      <c r="Q795" t="n">
        <v>0</v>
      </c>
      <c r="R795" s="2" t="inlineStr"/>
    </row>
    <row r="796" ht="15" customHeight="1">
      <c r="A796" t="inlineStr">
        <is>
          <t>A 46988-2024</t>
        </is>
      </c>
      <c r="B796" s="1" t="n">
        <v>45586</v>
      </c>
      <c r="C796" s="1" t="n">
        <v>46119</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21529-2021</t>
        </is>
      </c>
      <c r="B797" s="1" t="n">
        <v>44321</v>
      </c>
      <c r="C797" s="1" t="n">
        <v>46119</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46119</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62681-2025</t>
        </is>
      </c>
      <c r="B799" s="1" t="n">
        <v>46008.45534722223</v>
      </c>
      <c r="C799" s="1" t="n">
        <v>46119</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62922-2025</t>
        </is>
      </c>
      <c r="B800" s="1" t="n">
        <v>46009.38064814815</v>
      </c>
      <c r="C800" s="1" t="n">
        <v>46119</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62689-2025</t>
        </is>
      </c>
      <c r="B801" s="1" t="n">
        <v>46008.47171296296</v>
      </c>
      <c r="C801" s="1" t="n">
        <v>46119</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14132-2025</t>
        </is>
      </c>
      <c r="B802" s="1" t="n">
        <v>45740.47550925926</v>
      </c>
      <c r="C802" s="1" t="n">
        <v>46119</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14133-2025</t>
        </is>
      </c>
      <c r="B803" s="1" t="n">
        <v>45740.47724537037</v>
      </c>
      <c r="C803" s="1" t="n">
        <v>46119</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8792-2025</t>
        </is>
      </c>
      <c r="B804" s="1" t="n">
        <v>45712</v>
      </c>
      <c r="C804" s="1" t="n">
        <v>46119</v>
      </c>
      <c r="D804" t="inlineStr">
        <is>
          <t>STOCKHOLMS LÄN</t>
        </is>
      </c>
      <c r="E804" t="inlineStr">
        <is>
          <t>NORRTÄLJE</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24887-2023</t>
        </is>
      </c>
      <c r="B805" s="1" t="n">
        <v>45085</v>
      </c>
      <c r="C805" s="1" t="n">
        <v>46119</v>
      </c>
      <c r="D805" t="inlineStr">
        <is>
          <t>STOCKHOLMS LÄN</t>
        </is>
      </c>
      <c r="E805" t="inlineStr">
        <is>
          <t>NORRTÄLJE</t>
        </is>
      </c>
      <c r="G805" t="n">
        <v>13.9</v>
      </c>
      <c r="H805" t="n">
        <v>0</v>
      </c>
      <c r="I805" t="n">
        <v>0</v>
      </c>
      <c r="J805" t="n">
        <v>0</v>
      </c>
      <c r="K805" t="n">
        <v>0</v>
      </c>
      <c r="L805" t="n">
        <v>0</v>
      </c>
      <c r="M805" t="n">
        <v>0</v>
      </c>
      <c r="N805" t="n">
        <v>0</v>
      </c>
      <c r="O805" t="n">
        <v>0</v>
      </c>
      <c r="P805" t="n">
        <v>0</v>
      </c>
      <c r="Q805" t="n">
        <v>0</v>
      </c>
      <c r="R805" s="2" t="inlineStr"/>
    </row>
    <row r="806" ht="15" customHeight="1">
      <c r="A806" t="inlineStr">
        <is>
          <t>A 38612-2022</t>
        </is>
      </c>
      <c r="B806" s="1" t="n">
        <v>44813</v>
      </c>
      <c r="C806" s="1" t="n">
        <v>46119</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4326-2023</t>
        </is>
      </c>
      <c r="B807" s="1" t="n">
        <v>44953.70481481482</v>
      </c>
      <c r="C807" s="1" t="n">
        <v>46119</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54504-2024</t>
        </is>
      </c>
      <c r="B808" s="1" t="n">
        <v>45617.58453703704</v>
      </c>
      <c r="C808" s="1" t="n">
        <v>46119</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21745-2023</t>
        </is>
      </c>
      <c r="B809" s="1" t="n">
        <v>45065.55917824074</v>
      </c>
      <c r="C809" s="1" t="n">
        <v>46119</v>
      </c>
      <c r="D809" t="inlineStr">
        <is>
          <t>STOCKHOLMS LÄN</t>
        </is>
      </c>
      <c r="E809" t="inlineStr">
        <is>
          <t>NORRTÄLJE</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46119</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46119</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28182-2022</t>
        </is>
      </c>
      <c r="B812" s="1" t="n">
        <v>44746.58530092592</v>
      </c>
      <c r="C812" s="1" t="n">
        <v>46119</v>
      </c>
      <c r="D812" t="inlineStr">
        <is>
          <t>STOCKHOLMS LÄN</t>
        </is>
      </c>
      <c r="E812" t="inlineStr">
        <is>
          <t>NORRTÄLJE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34461-2023</t>
        </is>
      </c>
      <c r="B813" s="1" t="n">
        <v>45139</v>
      </c>
      <c r="C813" s="1" t="n">
        <v>46119</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51046-2023</t>
        </is>
      </c>
      <c r="B814" s="1" t="n">
        <v>45218</v>
      </c>
      <c r="C814" s="1" t="n">
        <v>46119</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17382-2024</t>
        </is>
      </c>
      <c r="B815" s="1" t="n">
        <v>45414.65855324074</v>
      </c>
      <c r="C815" s="1" t="n">
        <v>46119</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6070-2022</t>
        </is>
      </c>
      <c r="B816" s="1" t="n">
        <v>44599.58428240741</v>
      </c>
      <c r="C816" s="1" t="n">
        <v>46119</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17039-2024</t>
        </is>
      </c>
      <c r="B817" s="1" t="n">
        <v>45412.4104050926</v>
      </c>
      <c r="C817" s="1" t="n">
        <v>46119</v>
      </c>
      <c r="D817" t="inlineStr">
        <is>
          <t>STOCKHOLMS LÄN</t>
        </is>
      </c>
      <c r="E817" t="inlineStr">
        <is>
          <t>NORRTÄLJE</t>
        </is>
      </c>
      <c r="G817" t="n">
        <v>5.9</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46119</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124-2026</t>
        </is>
      </c>
      <c r="B819" s="1" t="n">
        <v>46024.58378472222</v>
      </c>
      <c r="C819" s="1" t="n">
        <v>46119</v>
      </c>
      <c r="D819" t="inlineStr">
        <is>
          <t>STOCKHOLMS LÄN</t>
        </is>
      </c>
      <c r="E819" t="inlineStr">
        <is>
          <t>NORRTÄLJE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48180-2023</t>
        </is>
      </c>
      <c r="B820" s="1" t="n">
        <v>45205</v>
      </c>
      <c r="C820" s="1" t="n">
        <v>46119</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35695-2023</t>
        </is>
      </c>
      <c r="B821" s="1" t="n">
        <v>45147.65407407407</v>
      </c>
      <c r="C821" s="1" t="n">
        <v>46119</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45173-2023</t>
        </is>
      </c>
      <c r="B822" s="1" t="n">
        <v>45191</v>
      </c>
      <c r="C822" s="1" t="n">
        <v>46119</v>
      </c>
      <c r="D822" t="inlineStr">
        <is>
          <t>STOCKHOLMS LÄN</t>
        </is>
      </c>
      <c r="E822" t="inlineStr">
        <is>
          <t>NORRTÄLJE</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718-2026</t>
        </is>
      </c>
      <c r="B823" s="1" t="n">
        <v>46029.63174768518</v>
      </c>
      <c r="C823" s="1" t="n">
        <v>46119</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694-2026</t>
        </is>
      </c>
      <c r="B824" s="1" t="n">
        <v>46029.61375</v>
      </c>
      <c r="C824" s="1" t="n">
        <v>46119</v>
      </c>
      <c r="D824" t="inlineStr">
        <is>
          <t>STOCKHOLMS LÄN</t>
        </is>
      </c>
      <c r="E824" t="inlineStr">
        <is>
          <t>NORRTÄLJE</t>
        </is>
      </c>
      <c r="G824" t="n">
        <v>9.6</v>
      </c>
      <c r="H824" t="n">
        <v>0</v>
      </c>
      <c r="I824" t="n">
        <v>0</v>
      </c>
      <c r="J824" t="n">
        <v>0</v>
      </c>
      <c r="K824" t="n">
        <v>0</v>
      </c>
      <c r="L824" t="n">
        <v>0</v>
      </c>
      <c r="M824" t="n">
        <v>0</v>
      </c>
      <c r="N824" t="n">
        <v>0</v>
      </c>
      <c r="O824" t="n">
        <v>0</v>
      </c>
      <c r="P824" t="n">
        <v>0</v>
      </c>
      <c r="Q824" t="n">
        <v>0</v>
      </c>
      <c r="R824" s="2" t="inlineStr"/>
    </row>
    <row r="825" ht="15" customHeight="1">
      <c r="A825" t="inlineStr">
        <is>
          <t>A 24705-2023</t>
        </is>
      </c>
      <c r="B825" s="1" t="n">
        <v>45084.54459490741</v>
      </c>
      <c r="C825" s="1" t="n">
        <v>46119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693-2026</t>
        </is>
      </c>
      <c r="B826" s="1" t="n">
        <v>46029.6133449074</v>
      </c>
      <c r="C826" s="1" t="n">
        <v>46119</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475-2026</t>
        </is>
      </c>
      <c r="B827" s="1" t="n">
        <v>46029.39351851852</v>
      </c>
      <c r="C827" s="1" t="n">
        <v>46119</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21696-2024</t>
        </is>
      </c>
      <c r="B828" s="1" t="n">
        <v>45442.45686342593</v>
      </c>
      <c r="C828" s="1" t="n">
        <v>46119</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717-2026</t>
        </is>
      </c>
      <c r="B829" s="1" t="n">
        <v>46029.63028935185</v>
      </c>
      <c r="C829" s="1" t="n">
        <v>46119</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812-2026</t>
        </is>
      </c>
      <c r="B830" s="1" t="n">
        <v>46030.33358796296</v>
      </c>
      <c r="C830" s="1" t="n">
        <v>46119</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67990-2021</t>
        </is>
      </c>
      <c r="B831" s="1" t="n">
        <v>44525</v>
      </c>
      <c r="C831" s="1" t="n">
        <v>46119</v>
      </c>
      <c r="D831" t="inlineStr">
        <is>
          <t>STOCKHOLMS LÄN</t>
        </is>
      </c>
      <c r="E831" t="inlineStr">
        <is>
          <t>NORRTÄLJE</t>
        </is>
      </c>
      <c r="F831" t="inlineStr">
        <is>
          <t>Sveaskog</t>
        </is>
      </c>
      <c r="G831" t="n">
        <v>7.8</v>
      </c>
      <c r="H831" t="n">
        <v>0</v>
      </c>
      <c r="I831" t="n">
        <v>0</v>
      </c>
      <c r="J831" t="n">
        <v>0</v>
      </c>
      <c r="K831" t="n">
        <v>0</v>
      </c>
      <c r="L831" t="n">
        <v>0</v>
      </c>
      <c r="M831" t="n">
        <v>0</v>
      </c>
      <c r="N831" t="n">
        <v>0</v>
      </c>
      <c r="O831" t="n">
        <v>0</v>
      </c>
      <c r="P831" t="n">
        <v>0</v>
      </c>
      <c r="Q831" t="n">
        <v>0</v>
      </c>
      <c r="R831" s="2" t="inlineStr"/>
    </row>
    <row r="832" ht="15" customHeight="1">
      <c r="A832" t="inlineStr">
        <is>
          <t>A 71552-2021</t>
        </is>
      </c>
      <c r="B832" s="1" t="n">
        <v>44540</v>
      </c>
      <c r="C832" s="1" t="n">
        <v>46119</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73992-2021</t>
        </is>
      </c>
      <c r="B833" s="1" t="n">
        <v>44556</v>
      </c>
      <c r="C833" s="1" t="n">
        <v>46119</v>
      </c>
      <c r="D833" t="inlineStr">
        <is>
          <t>STOCKHOLMS LÄN</t>
        </is>
      </c>
      <c r="E833" t="inlineStr">
        <is>
          <t>NORRTÄLJE</t>
        </is>
      </c>
      <c r="G833" t="n">
        <v>12.5</v>
      </c>
      <c r="H833" t="n">
        <v>0</v>
      </c>
      <c r="I833" t="n">
        <v>0</v>
      </c>
      <c r="J833" t="n">
        <v>0</v>
      </c>
      <c r="K833" t="n">
        <v>0</v>
      </c>
      <c r="L833" t="n">
        <v>0</v>
      </c>
      <c r="M833" t="n">
        <v>0</v>
      </c>
      <c r="N833" t="n">
        <v>0</v>
      </c>
      <c r="O833" t="n">
        <v>0</v>
      </c>
      <c r="P833" t="n">
        <v>0</v>
      </c>
      <c r="Q833" t="n">
        <v>0</v>
      </c>
      <c r="R833" s="2" t="inlineStr"/>
    </row>
    <row r="834" ht="15" customHeight="1">
      <c r="A834" t="inlineStr">
        <is>
          <t>A 26113-2024</t>
        </is>
      </c>
      <c r="B834" s="1" t="n">
        <v>45468.45541666666</v>
      </c>
      <c r="C834" s="1" t="n">
        <v>46119</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26116-2024</t>
        </is>
      </c>
      <c r="B835" s="1" t="n">
        <v>45468.45747685185</v>
      </c>
      <c r="C835" s="1" t="n">
        <v>46119</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15978-2024</t>
        </is>
      </c>
      <c r="B836" s="1" t="n">
        <v>45405.57927083333</v>
      </c>
      <c r="C836" s="1" t="n">
        <v>46119</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11333-2025</t>
        </is>
      </c>
      <c r="B837" s="1" t="n">
        <v>45726.48377314815</v>
      </c>
      <c r="C837" s="1" t="n">
        <v>46119</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10399-2026</t>
        </is>
      </c>
      <c r="B838" s="1" t="n">
        <v>46077</v>
      </c>
      <c r="C838" s="1" t="n">
        <v>46119</v>
      </c>
      <c r="D838" t="inlineStr">
        <is>
          <t>STOCKHOLMS LÄN</t>
        </is>
      </c>
      <c r="E838" t="inlineStr">
        <is>
          <t>NORRTÄLJE</t>
        </is>
      </c>
      <c r="F838" t="inlineStr">
        <is>
          <t>Övriga Aktiebolag</t>
        </is>
      </c>
      <c r="G838" t="n">
        <v>0.2</v>
      </c>
      <c r="H838" t="n">
        <v>0</v>
      </c>
      <c r="I838" t="n">
        <v>0</v>
      </c>
      <c r="J838" t="n">
        <v>0</v>
      </c>
      <c r="K838" t="n">
        <v>0</v>
      </c>
      <c r="L838" t="n">
        <v>0</v>
      </c>
      <c r="M838" t="n">
        <v>0</v>
      </c>
      <c r="N838" t="n">
        <v>0</v>
      </c>
      <c r="O838" t="n">
        <v>0</v>
      </c>
      <c r="P838" t="n">
        <v>0</v>
      </c>
      <c r="Q838" t="n">
        <v>0</v>
      </c>
      <c r="R838" s="2" t="inlineStr"/>
    </row>
    <row r="839" ht="15" customHeight="1">
      <c r="A839" t="inlineStr">
        <is>
          <t>A 34391-2023</t>
        </is>
      </c>
      <c r="B839" s="1" t="n">
        <v>45139.51457175926</v>
      </c>
      <c r="C839" s="1" t="n">
        <v>46119</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1755-2026</t>
        </is>
      </c>
      <c r="B840" s="1" t="n">
        <v>46034.66230324074</v>
      </c>
      <c r="C840" s="1" t="n">
        <v>46119</v>
      </c>
      <c r="D840" t="inlineStr">
        <is>
          <t>STOCKHOLMS LÄN</t>
        </is>
      </c>
      <c r="E840" t="inlineStr">
        <is>
          <t>NORRTÄLJE</t>
        </is>
      </c>
      <c r="F840" t="inlineStr">
        <is>
          <t>Holmen skog AB</t>
        </is>
      </c>
      <c r="G840" t="n">
        <v>3.5</v>
      </c>
      <c r="H840" t="n">
        <v>0</v>
      </c>
      <c r="I840" t="n">
        <v>0</v>
      </c>
      <c r="J840" t="n">
        <v>0</v>
      </c>
      <c r="K840" t="n">
        <v>0</v>
      </c>
      <c r="L840" t="n">
        <v>0</v>
      </c>
      <c r="M840" t="n">
        <v>0</v>
      </c>
      <c r="N840" t="n">
        <v>0</v>
      </c>
      <c r="O840" t="n">
        <v>0</v>
      </c>
      <c r="P840" t="n">
        <v>0</v>
      </c>
      <c r="Q840" t="n">
        <v>0</v>
      </c>
      <c r="R840" s="2" t="inlineStr"/>
    </row>
    <row r="841" ht="15" customHeight="1">
      <c r="A841" t="inlineStr">
        <is>
          <t>A 1789-2026</t>
        </is>
      </c>
      <c r="B841" s="1" t="n">
        <v>46034</v>
      </c>
      <c r="C841" s="1" t="n">
        <v>46119</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46119</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10429-2026</t>
        </is>
      </c>
      <c r="B843" s="1" t="n">
        <v>46077.3822337963</v>
      </c>
      <c r="C843" s="1" t="n">
        <v>46119</v>
      </c>
      <c r="D843" t="inlineStr">
        <is>
          <t>STOCKHOLMS LÄN</t>
        </is>
      </c>
      <c r="E843" t="inlineStr">
        <is>
          <t>NORRTÄLJE</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25681-2024</t>
        </is>
      </c>
      <c r="B844" s="1" t="n">
        <v>45463.80486111111</v>
      </c>
      <c r="C844" s="1" t="n">
        <v>46119</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10444-2026</t>
        </is>
      </c>
      <c r="B845" s="1" t="n">
        <v>46077.42230324074</v>
      </c>
      <c r="C845" s="1" t="n">
        <v>46119</v>
      </c>
      <c r="D845" t="inlineStr">
        <is>
          <t>STOCKHOLMS LÄN</t>
        </is>
      </c>
      <c r="E845" t="inlineStr">
        <is>
          <t>NORRTÄLJE</t>
        </is>
      </c>
      <c r="F845" t="inlineStr">
        <is>
          <t>Holmen skog AB</t>
        </is>
      </c>
      <c r="G845" t="n">
        <v>4.9</v>
      </c>
      <c r="H845" t="n">
        <v>0</v>
      </c>
      <c r="I845" t="n">
        <v>0</v>
      </c>
      <c r="J845" t="n">
        <v>0</v>
      </c>
      <c r="K845" t="n">
        <v>0</v>
      </c>
      <c r="L845" t="n">
        <v>0</v>
      </c>
      <c r="M845" t="n">
        <v>0</v>
      </c>
      <c r="N845" t="n">
        <v>0</v>
      </c>
      <c r="O845" t="n">
        <v>0</v>
      </c>
      <c r="P845" t="n">
        <v>0</v>
      </c>
      <c r="Q845" t="n">
        <v>0</v>
      </c>
      <c r="R845" s="2" t="inlineStr"/>
    </row>
    <row r="846" ht="15" customHeight="1">
      <c r="A846" t="inlineStr">
        <is>
          <t>A 10586-2026</t>
        </is>
      </c>
      <c r="B846" s="1" t="n">
        <v>46077.68192129629</v>
      </c>
      <c r="C846" s="1" t="n">
        <v>46119</v>
      </c>
      <c r="D846" t="inlineStr">
        <is>
          <t>STOCKHOLMS LÄN</t>
        </is>
      </c>
      <c r="E846" t="inlineStr">
        <is>
          <t>NORRTÄLJE</t>
        </is>
      </c>
      <c r="F846" t="inlineStr">
        <is>
          <t>Holmen skog AB</t>
        </is>
      </c>
      <c r="G846" t="n">
        <v>3.3</v>
      </c>
      <c r="H846" t="n">
        <v>0</v>
      </c>
      <c r="I846" t="n">
        <v>0</v>
      </c>
      <c r="J846" t="n">
        <v>0</v>
      </c>
      <c r="K846" t="n">
        <v>0</v>
      </c>
      <c r="L846" t="n">
        <v>0</v>
      </c>
      <c r="M846" t="n">
        <v>0</v>
      </c>
      <c r="N846" t="n">
        <v>0</v>
      </c>
      <c r="O846" t="n">
        <v>0</v>
      </c>
      <c r="P846" t="n">
        <v>0</v>
      </c>
      <c r="Q846" t="n">
        <v>0</v>
      </c>
      <c r="R846" s="2" t="inlineStr"/>
    </row>
    <row r="847" ht="15" customHeight="1">
      <c r="A847" t="inlineStr">
        <is>
          <t>A 10553-2026</t>
        </is>
      </c>
      <c r="B847" s="1" t="n">
        <v>46077.62944444444</v>
      </c>
      <c r="C847" s="1" t="n">
        <v>46119</v>
      </c>
      <c r="D847" t="inlineStr">
        <is>
          <t>STOCKHOLMS LÄN</t>
        </is>
      </c>
      <c r="E847" t="inlineStr">
        <is>
          <t>NORRTÄLJE</t>
        </is>
      </c>
      <c r="G847" t="n">
        <v>4.9</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46119</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35438-2023</t>
        </is>
      </c>
      <c r="B849" s="1" t="n">
        <v>45146</v>
      </c>
      <c r="C849" s="1" t="n">
        <v>46119</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46119</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26115-2024</t>
        </is>
      </c>
      <c r="B851" s="1" t="n">
        <v>45468.45628472222</v>
      </c>
      <c r="C851" s="1" t="n">
        <v>46119</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2088-2026</t>
        </is>
      </c>
      <c r="B852" s="1" t="n">
        <v>46036.35909722222</v>
      </c>
      <c r="C852" s="1" t="n">
        <v>46119</v>
      </c>
      <c r="D852" t="inlineStr">
        <is>
          <t>STOCKHOLMS LÄN</t>
        </is>
      </c>
      <c r="E852" t="inlineStr">
        <is>
          <t>NORRTÄLJE</t>
        </is>
      </c>
      <c r="G852" t="n">
        <v>7</v>
      </c>
      <c r="H852" t="n">
        <v>0</v>
      </c>
      <c r="I852" t="n">
        <v>0</v>
      </c>
      <c r="J852" t="n">
        <v>0</v>
      </c>
      <c r="K852" t="n">
        <v>0</v>
      </c>
      <c r="L852" t="n">
        <v>0</v>
      </c>
      <c r="M852" t="n">
        <v>0</v>
      </c>
      <c r="N852" t="n">
        <v>0</v>
      </c>
      <c r="O852" t="n">
        <v>0</v>
      </c>
      <c r="P852" t="n">
        <v>0</v>
      </c>
      <c r="Q852" t="n">
        <v>0</v>
      </c>
      <c r="R852" s="2" t="inlineStr"/>
    </row>
    <row r="853" ht="15" customHeight="1">
      <c r="A853" t="inlineStr">
        <is>
          <t>A 19118-2022</t>
        </is>
      </c>
      <c r="B853" s="1" t="n">
        <v>44691.5652662037</v>
      </c>
      <c r="C853" s="1" t="n">
        <v>46119</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2116-2026</t>
        </is>
      </c>
      <c r="B854" s="1" t="n">
        <v>46036.38108796296</v>
      </c>
      <c r="C854" s="1" t="n">
        <v>46119</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10646-2026</t>
        </is>
      </c>
      <c r="B855" s="1" t="n">
        <v>46078.34157407407</v>
      </c>
      <c r="C855" s="1" t="n">
        <v>46119</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8739-2024</t>
        </is>
      </c>
      <c r="B856" s="1" t="n">
        <v>45356.47784722222</v>
      </c>
      <c r="C856" s="1" t="n">
        <v>46119</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38759-2022</t>
        </is>
      </c>
      <c r="B857" s="1" t="n">
        <v>44816</v>
      </c>
      <c r="C857" s="1" t="n">
        <v>46119</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46119</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29714-2023</t>
        </is>
      </c>
      <c r="B859" s="1" t="n">
        <v>45107.42538194444</v>
      </c>
      <c r="C859" s="1" t="n">
        <v>46119</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23271-2023</t>
        </is>
      </c>
      <c r="B860" s="1" t="n">
        <v>45075.91362268518</v>
      </c>
      <c r="C860" s="1" t="n">
        <v>46119</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23273-2023</t>
        </is>
      </c>
      <c r="B861" s="1" t="n">
        <v>45075.91971064815</v>
      </c>
      <c r="C861" s="1" t="n">
        <v>46119</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3549-2026</t>
        </is>
      </c>
      <c r="B862" s="1" t="n">
        <v>46042</v>
      </c>
      <c r="C862" s="1" t="n">
        <v>46119</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7603-2025</t>
        </is>
      </c>
      <c r="B863" s="1" t="n">
        <v>45705.66126157407</v>
      </c>
      <c r="C863" s="1" t="n">
        <v>46119</v>
      </c>
      <c r="D863" t="inlineStr">
        <is>
          <t>STOCKHOLMS LÄN</t>
        </is>
      </c>
      <c r="E863" t="inlineStr">
        <is>
          <t>NORRTÄLJE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46119</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55369-2023</t>
        </is>
      </c>
      <c r="B865" s="1" t="n">
        <v>45238</v>
      </c>
      <c r="C865" s="1" t="n">
        <v>46119</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61113-2023</t>
        </is>
      </c>
      <c r="B866" s="1" t="n">
        <v>45261</v>
      </c>
      <c r="C866" s="1" t="n">
        <v>46119</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3283-2025</t>
        </is>
      </c>
      <c r="B867" s="1" t="n">
        <v>45679</v>
      </c>
      <c r="C867" s="1" t="n">
        <v>46119</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11648-2026</t>
        </is>
      </c>
      <c r="B868" s="1" t="n">
        <v>46084.51575231482</v>
      </c>
      <c r="C868" s="1" t="n">
        <v>46119</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34295-2024</t>
        </is>
      </c>
      <c r="B869" s="1" t="n">
        <v>45524</v>
      </c>
      <c r="C869" s="1" t="n">
        <v>46119</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58311-2023</t>
        </is>
      </c>
      <c r="B870" s="1" t="n">
        <v>45245</v>
      </c>
      <c r="C870" s="1" t="n">
        <v>46119</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23692-2024</t>
        </is>
      </c>
      <c r="B871" s="1" t="n">
        <v>45454.65774305556</v>
      </c>
      <c r="C871" s="1" t="n">
        <v>46119</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4227-2026</t>
        </is>
      </c>
      <c r="B872" s="1" t="n">
        <v>46044</v>
      </c>
      <c r="C872" s="1" t="n">
        <v>46119</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12234-2026</t>
        </is>
      </c>
      <c r="B873" s="1" t="n">
        <v>46087.4091087963</v>
      </c>
      <c r="C873" s="1" t="n">
        <v>46119</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46119</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4230-2026</t>
        </is>
      </c>
      <c r="B875" s="1" t="n">
        <v>46044.89366898148</v>
      </c>
      <c r="C875" s="1" t="n">
        <v>46119</v>
      </c>
      <c r="D875" t="inlineStr">
        <is>
          <t>STOCKHOLMS LÄN</t>
        </is>
      </c>
      <c r="E875" t="inlineStr">
        <is>
          <t>NORRTÄLJE</t>
        </is>
      </c>
      <c r="G875" t="n">
        <v>10.8</v>
      </c>
      <c r="H875" t="n">
        <v>0</v>
      </c>
      <c r="I875" t="n">
        <v>0</v>
      </c>
      <c r="J875" t="n">
        <v>0</v>
      </c>
      <c r="K875" t="n">
        <v>0</v>
      </c>
      <c r="L875" t="n">
        <v>0</v>
      </c>
      <c r="M875" t="n">
        <v>0</v>
      </c>
      <c r="N875" t="n">
        <v>0</v>
      </c>
      <c r="O875" t="n">
        <v>0</v>
      </c>
      <c r="P875" t="n">
        <v>0</v>
      </c>
      <c r="Q875" t="n">
        <v>0</v>
      </c>
      <c r="R875" s="2" t="inlineStr"/>
    </row>
    <row r="876" ht="15" customHeight="1">
      <c r="A876" t="inlineStr">
        <is>
          <t>A 4231-2026</t>
        </is>
      </c>
      <c r="B876" s="1" t="n">
        <v>46044</v>
      </c>
      <c r="C876" s="1" t="n">
        <v>46119</v>
      </c>
      <c r="D876" t="inlineStr">
        <is>
          <t>STOCKHOLMS LÄN</t>
        </is>
      </c>
      <c r="E876" t="inlineStr">
        <is>
          <t>NORRTÄLJE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4232-2026</t>
        </is>
      </c>
      <c r="B877" s="1" t="n">
        <v>46044.89594907407</v>
      </c>
      <c r="C877" s="1" t="n">
        <v>46119</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3933-2026</t>
        </is>
      </c>
      <c r="B878" s="1" t="n">
        <v>46043.79916666666</v>
      </c>
      <c r="C878" s="1" t="n">
        <v>46119</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54273-2021</t>
        </is>
      </c>
      <c r="B879" s="1" t="n">
        <v>44470.72987268519</v>
      </c>
      <c r="C879" s="1" t="n">
        <v>46119</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4235-2026</t>
        </is>
      </c>
      <c r="B880" s="1" t="n">
        <v>46044</v>
      </c>
      <c r="C880" s="1" t="n">
        <v>46119</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12718-2026</t>
        </is>
      </c>
      <c r="B881" s="1" t="n">
        <v>46091.60412037037</v>
      </c>
      <c r="C881" s="1" t="n">
        <v>46119</v>
      </c>
      <c r="D881" t="inlineStr">
        <is>
          <t>STOCKHOLMS LÄN</t>
        </is>
      </c>
      <c r="E881" t="inlineStr">
        <is>
          <t>NORRTÄLJE</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12703-2026</t>
        </is>
      </c>
      <c r="B882" s="1" t="n">
        <v>46091.58175925926</v>
      </c>
      <c r="C882" s="1" t="n">
        <v>46119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7806-2025</t>
        </is>
      </c>
      <c r="B883" s="1" t="n">
        <v>45706.61178240741</v>
      </c>
      <c r="C883" s="1" t="n">
        <v>46119</v>
      </c>
      <c r="D883" t="inlineStr">
        <is>
          <t>STOCKHOLMS LÄN</t>
        </is>
      </c>
      <c r="E883" t="inlineStr">
        <is>
          <t>NORRTÄLJE</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4549-2026</t>
        </is>
      </c>
      <c r="B884" s="1" t="n">
        <v>46047</v>
      </c>
      <c r="C884" s="1" t="n">
        <v>46119</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53792-2023</t>
        </is>
      </c>
      <c r="B885" s="1" t="n">
        <v>45231.34144675926</v>
      </c>
      <c r="C885" s="1" t="n">
        <v>46119</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21329-2022</t>
        </is>
      </c>
      <c r="B886" s="1" t="n">
        <v>44705.60626157407</v>
      </c>
      <c r="C886" s="1" t="n">
        <v>46119</v>
      </c>
      <c r="D886" t="inlineStr">
        <is>
          <t>STOCKHOLMS LÄN</t>
        </is>
      </c>
      <c r="E886" t="inlineStr">
        <is>
          <t>NORRTÄLJE</t>
        </is>
      </c>
      <c r="G886" t="n">
        <v>4.1</v>
      </c>
      <c r="H886" t="n">
        <v>0</v>
      </c>
      <c r="I886" t="n">
        <v>0</v>
      </c>
      <c r="J886" t="n">
        <v>0</v>
      </c>
      <c r="K886" t="n">
        <v>0</v>
      </c>
      <c r="L886" t="n">
        <v>0</v>
      </c>
      <c r="M886" t="n">
        <v>0</v>
      </c>
      <c r="N886" t="n">
        <v>0</v>
      </c>
      <c r="O886" t="n">
        <v>0</v>
      </c>
      <c r="P886" t="n">
        <v>0</v>
      </c>
      <c r="Q886" t="n">
        <v>0</v>
      </c>
      <c r="R886" s="2" t="inlineStr"/>
    </row>
    <row r="887" ht="15" customHeight="1">
      <c r="A887" t="inlineStr">
        <is>
          <t>A 50569-2022</t>
        </is>
      </c>
      <c r="B887" s="1" t="n">
        <v>44866.63775462963</v>
      </c>
      <c r="C887" s="1" t="n">
        <v>46119</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24501-2023</t>
        </is>
      </c>
      <c r="B888" s="1" t="n">
        <v>45082</v>
      </c>
      <c r="C888" s="1" t="n">
        <v>46119</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24520-2023</t>
        </is>
      </c>
      <c r="B889" s="1" t="n">
        <v>45082.68922453704</v>
      </c>
      <c r="C889" s="1" t="n">
        <v>46119</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60654-2023</t>
        </is>
      </c>
      <c r="B890" s="1" t="n">
        <v>45260.43225694444</v>
      </c>
      <c r="C890" s="1" t="n">
        <v>46119</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60656-2023</t>
        </is>
      </c>
      <c r="B891" s="1" t="n">
        <v>45260.4333449074</v>
      </c>
      <c r="C891" s="1" t="n">
        <v>46119</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46119</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21386-2023</t>
        </is>
      </c>
      <c r="B893" s="1" t="n">
        <v>45063.35880787037</v>
      </c>
      <c r="C893" s="1" t="n">
        <v>46119</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10642-2025</t>
        </is>
      </c>
      <c r="B894" s="1" t="n">
        <v>45721.65858796296</v>
      </c>
      <c r="C894" s="1" t="n">
        <v>46119</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4886-2026</t>
        </is>
      </c>
      <c r="B895" s="1" t="n">
        <v>46048.66328703704</v>
      </c>
      <c r="C895" s="1" t="n">
        <v>46119</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20144-2023</t>
        </is>
      </c>
      <c r="B896" s="1" t="n">
        <v>45055.43509259259</v>
      </c>
      <c r="C896" s="1" t="n">
        <v>46119</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53312-2024</t>
        </is>
      </c>
      <c r="B897" s="1" t="n">
        <v>45614.39627314815</v>
      </c>
      <c r="C897" s="1" t="n">
        <v>46119</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39202-2024</t>
        </is>
      </c>
      <c r="B898" s="1" t="n">
        <v>45548.72306712963</v>
      </c>
      <c r="C898" s="1" t="n">
        <v>46119</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13109-2026</t>
        </is>
      </c>
      <c r="B899" s="1" t="n">
        <v>46093.42730324074</v>
      </c>
      <c r="C899" s="1" t="n">
        <v>46119</v>
      </c>
      <c r="D899" t="inlineStr">
        <is>
          <t>STOCKHOLMS LÄN</t>
        </is>
      </c>
      <c r="E899" t="inlineStr">
        <is>
          <t>NORRTÄLJE</t>
        </is>
      </c>
      <c r="G899" t="n">
        <v>4</v>
      </c>
      <c r="H899" t="n">
        <v>0</v>
      </c>
      <c r="I899" t="n">
        <v>0</v>
      </c>
      <c r="J899" t="n">
        <v>0</v>
      </c>
      <c r="K899" t="n">
        <v>0</v>
      </c>
      <c r="L899" t="n">
        <v>0</v>
      </c>
      <c r="M899" t="n">
        <v>0</v>
      </c>
      <c r="N899" t="n">
        <v>0</v>
      </c>
      <c r="O899" t="n">
        <v>0</v>
      </c>
      <c r="P899" t="n">
        <v>0</v>
      </c>
      <c r="Q899" t="n">
        <v>0</v>
      </c>
      <c r="R899" s="2" t="inlineStr"/>
    </row>
    <row r="900" ht="15" customHeight="1">
      <c r="A900" t="inlineStr">
        <is>
          <t>A 13204-2026</t>
        </is>
      </c>
      <c r="B900" s="1" t="n">
        <v>46093.60788194444</v>
      </c>
      <c r="C900" s="1" t="n">
        <v>46119</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22756-2022</t>
        </is>
      </c>
      <c r="B901" s="1" t="n">
        <v>44714.92253472222</v>
      </c>
      <c r="C901" s="1" t="n">
        <v>46119</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4581-2025</t>
        </is>
      </c>
      <c r="B902" s="1" t="n">
        <v>45687</v>
      </c>
      <c r="C902" s="1" t="n">
        <v>46119</v>
      </c>
      <c r="D902" t="inlineStr">
        <is>
          <t>STOCKHOLMS LÄN</t>
        </is>
      </c>
      <c r="E902" t="inlineStr">
        <is>
          <t>NORRTÄLJE</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5226-2026</t>
        </is>
      </c>
      <c r="B903" s="1" t="n">
        <v>46049.79961805556</v>
      </c>
      <c r="C903" s="1" t="n">
        <v>46119</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13122-2026</t>
        </is>
      </c>
      <c r="B904" s="1" t="n">
        <v>46093.45657407407</v>
      </c>
      <c r="C904" s="1" t="n">
        <v>46119</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60765-2023</t>
        </is>
      </c>
      <c r="B905" s="1" t="n">
        <v>45260</v>
      </c>
      <c r="C905" s="1" t="n">
        <v>46119</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5224-2026</t>
        </is>
      </c>
      <c r="B906" s="1" t="n">
        <v>46049.79521990741</v>
      </c>
      <c r="C906" s="1" t="n">
        <v>46119</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5227-2026</t>
        </is>
      </c>
      <c r="B907" s="1" t="n">
        <v>46049.80460648148</v>
      </c>
      <c r="C907" s="1" t="n">
        <v>46119</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23801-2022</t>
        </is>
      </c>
      <c r="B908" s="1" t="n">
        <v>44722</v>
      </c>
      <c r="C908" s="1" t="n">
        <v>46119</v>
      </c>
      <c r="D908" t="inlineStr">
        <is>
          <t>STOCKHOLMS LÄN</t>
        </is>
      </c>
      <c r="E908" t="inlineStr">
        <is>
          <t>NORRTÄLJE</t>
        </is>
      </c>
      <c r="G908" t="n">
        <v>6.8</v>
      </c>
      <c r="H908" t="n">
        <v>0</v>
      </c>
      <c r="I908" t="n">
        <v>0</v>
      </c>
      <c r="J908" t="n">
        <v>0</v>
      </c>
      <c r="K908" t="n">
        <v>0</v>
      </c>
      <c r="L908" t="n">
        <v>0</v>
      </c>
      <c r="M908" t="n">
        <v>0</v>
      </c>
      <c r="N908" t="n">
        <v>0</v>
      </c>
      <c r="O908" t="n">
        <v>0</v>
      </c>
      <c r="P908" t="n">
        <v>0</v>
      </c>
      <c r="Q908" t="n">
        <v>0</v>
      </c>
      <c r="R908" s="2" t="inlineStr"/>
    </row>
    <row r="909" ht="15" customHeight="1">
      <c r="A909" t="inlineStr">
        <is>
          <t>A 59276-2023</t>
        </is>
      </c>
      <c r="B909" s="1" t="n">
        <v>45253.55641203704</v>
      </c>
      <c r="C909" s="1" t="n">
        <v>46119</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46914-2022</t>
        </is>
      </c>
      <c r="B910" s="1" t="n">
        <v>44851</v>
      </c>
      <c r="C910" s="1" t="n">
        <v>46119</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5241-2026</t>
        </is>
      </c>
      <c r="B911" s="1" t="n">
        <v>46049.86471064815</v>
      </c>
      <c r="C911" s="1" t="n">
        <v>46119</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18541-2023</t>
        </is>
      </c>
      <c r="B912" s="1" t="n">
        <v>45042.74291666667</v>
      </c>
      <c r="C912" s="1" t="n">
        <v>46119</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13544-2026</t>
        </is>
      </c>
      <c r="B913" s="1" t="n">
        <v>46094.68538194444</v>
      </c>
      <c r="C913" s="1" t="n">
        <v>46119</v>
      </c>
      <c r="D913" t="inlineStr">
        <is>
          <t>STOCKHOLMS LÄN</t>
        </is>
      </c>
      <c r="E913" t="inlineStr">
        <is>
          <t>NORRTÄLJE</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3509-2022</t>
        </is>
      </c>
      <c r="B914" s="1" t="n">
        <v>44585</v>
      </c>
      <c r="C914" s="1" t="n">
        <v>46119</v>
      </c>
      <c r="D914" t="inlineStr">
        <is>
          <t>STOCKHOLMS LÄN</t>
        </is>
      </c>
      <c r="E914" t="inlineStr">
        <is>
          <t>NORRTÄLJE</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26407-2024</t>
        </is>
      </c>
      <c r="B915" s="1" t="n">
        <v>45469</v>
      </c>
      <c r="C915" s="1" t="n">
        <v>46119</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39610-2025</t>
        </is>
      </c>
      <c r="B916" s="1" t="n">
        <v>45890</v>
      </c>
      <c r="C916" s="1" t="n">
        <v>46119</v>
      </c>
      <c r="D916" t="inlineStr">
        <is>
          <t>STOCKHOLMS LÄN</t>
        </is>
      </c>
      <c r="E916" t="inlineStr">
        <is>
          <t>NORRTÄLJE</t>
        </is>
      </c>
      <c r="G916" t="n">
        <v>28.6</v>
      </c>
      <c r="H916" t="n">
        <v>0</v>
      </c>
      <c r="I916" t="n">
        <v>0</v>
      </c>
      <c r="J916" t="n">
        <v>0</v>
      </c>
      <c r="K916" t="n">
        <v>0</v>
      </c>
      <c r="L916" t="n">
        <v>0</v>
      </c>
      <c r="M916" t="n">
        <v>0</v>
      </c>
      <c r="N916" t="n">
        <v>0</v>
      </c>
      <c r="O916" t="n">
        <v>0</v>
      </c>
      <c r="P916" t="n">
        <v>0</v>
      </c>
      <c r="Q916" t="n">
        <v>0</v>
      </c>
      <c r="R916" s="2" t="inlineStr"/>
    </row>
    <row r="917" ht="15" customHeight="1">
      <c r="A917" t="inlineStr">
        <is>
          <t>A 12890-2024</t>
        </is>
      </c>
      <c r="B917" s="1" t="n">
        <v>45385.36243055556</v>
      </c>
      <c r="C917" s="1" t="n">
        <v>46119</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13545-2026</t>
        </is>
      </c>
      <c r="B918" s="1" t="n">
        <v>46094.6911574074</v>
      </c>
      <c r="C918" s="1" t="n">
        <v>46119</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5934-2026</t>
        </is>
      </c>
      <c r="B919" s="1" t="n">
        <v>46052.47082175926</v>
      </c>
      <c r="C919" s="1" t="n">
        <v>46119</v>
      </c>
      <c r="D919" t="inlineStr">
        <is>
          <t>STOCKHOLMS LÄN</t>
        </is>
      </c>
      <c r="E919" t="inlineStr">
        <is>
          <t>NORRTÄLJE</t>
        </is>
      </c>
      <c r="F919" t="inlineStr">
        <is>
          <t>Holmen skog AB</t>
        </is>
      </c>
      <c r="G919" t="n">
        <v>5.5</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46119</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23070-2023</t>
        </is>
      </c>
      <c r="B921" s="1" t="n">
        <v>45075</v>
      </c>
      <c r="C921" s="1" t="n">
        <v>46119</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13546-2026</t>
        </is>
      </c>
      <c r="B922" s="1" t="n">
        <v>46094.69196759259</v>
      </c>
      <c r="C922" s="1" t="n">
        <v>46119</v>
      </c>
      <c r="D922" t="inlineStr">
        <is>
          <t>STOCKHOLMS LÄN</t>
        </is>
      </c>
      <c r="E922" t="inlineStr">
        <is>
          <t>NORRTÄLJE</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44743.59331018518</v>
      </c>
      <c r="C923" s="1" t="n">
        <v>46119</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25619-2022</t>
        </is>
      </c>
      <c r="B924" s="1" t="n">
        <v>44732</v>
      </c>
      <c r="C924" s="1" t="n">
        <v>46119</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46119</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45054.54091435186</v>
      </c>
      <c r="C926" s="1" t="n">
        <v>46119</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46119</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14130-2025</t>
        </is>
      </c>
      <c r="B928" s="1" t="n">
        <v>45740.47288194444</v>
      </c>
      <c r="C928" s="1" t="n">
        <v>46119</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574-2023</t>
        </is>
      </c>
      <c r="B929" s="1" t="n">
        <v>44925</v>
      </c>
      <c r="C929" s="1" t="n">
        <v>46119</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30283-2022</t>
        </is>
      </c>
      <c r="B930" s="1" t="n">
        <v>44760</v>
      </c>
      <c r="C930" s="1" t="n">
        <v>46119</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30290-2022</t>
        </is>
      </c>
      <c r="B931" s="1" t="n">
        <v>44760</v>
      </c>
      <c r="C931" s="1" t="n">
        <v>46119</v>
      </c>
      <c r="D931" t="inlineStr">
        <is>
          <t>STOCKHOLMS LÄN</t>
        </is>
      </c>
      <c r="E931" t="inlineStr">
        <is>
          <t>NORRTÄLJE</t>
        </is>
      </c>
      <c r="G931" t="n">
        <v>4.8</v>
      </c>
      <c r="H931" t="n">
        <v>0</v>
      </c>
      <c r="I931" t="n">
        <v>0</v>
      </c>
      <c r="J931" t="n">
        <v>0</v>
      </c>
      <c r="K931" t="n">
        <v>0</v>
      </c>
      <c r="L931" t="n">
        <v>0</v>
      </c>
      <c r="M931" t="n">
        <v>0</v>
      </c>
      <c r="N931" t="n">
        <v>0</v>
      </c>
      <c r="O931" t="n">
        <v>0</v>
      </c>
      <c r="P931" t="n">
        <v>0</v>
      </c>
      <c r="Q931" t="n">
        <v>0</v>
      </c>
      <c r="R931" s="2" t="inlineStr"/>
    </row>
    <row r="932" ht="15" customHeight="1">
      <c r="A932" t="inlineStr">
        <is>
          <t>A 29684-2021</t>
        </is>
      </c>
      <c r="B932" s="1" t="n">
        <v>44362.37172453704</v>
      </c>
      <c r="C932" s="1" t="n">
        <v>46119</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60884-2024</t>
        </is>
      </c>
      <c r="B933" s="1" t="n">
        <v>45644.90815972222</v>
      </c>
      <c r="C933" s="1" t="n">
        <v>46119</v>
      </c>
      <c r="D933" t="inlineStr">
        <is>
          <t>STOCKHOLMS LÄN</t>
        </is>
      </c>
      <c r="E933" t="inlineStr">
        <is>
          <t>NORRTÄLJE</t>
        </is>
      </c>
      <c r="G933" t="n">
        <v>2.1</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44813.59915509259</v>
      </c>
      <c r="C934" s="1" t="n">
        <v>46119</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6724-2026</t>
        </is>
      </c>
      <c r="B935" s="1" t="n">
        <v>46056.67717592593</v>
      </c>
      <c r="C935" s="1" t="n">
        <v>46119</v>
      </c>
      <c r="D935" t="inlineStr">
        <is>
          <t>STOCKHOLMS LÄN</t>
        </is>
      </c>
      <c r="E935" t="inlineStr">
        <is>
          <t>NORRTÄLJE</t>
        </is>
      </c>
      <c r="F935" t="inlineStr">
        <is>
          <t>Holmen skog AB</t>
        </is>
      </c>
      <c r="G935" t="n">
        <v>16.2</v>
      </c>
      <c r="H935" t="n">
        <v>0</v>
      </c>
      <c r="I935" t="n">
        <v>0</v>
      </c>
      <c r="J935" t="n">
        <v>0</v>
      </c>
      <c r="K935" t="n">
        <v>0</v>
      </c>
      <c r="L935" t="n">
        <v>0</v>
      </c>
      <c r="M935" t="n">
        <v>0</v>
      </c>
      <c r="N935" t="n">
        <v>0</v>
      </c>
      <c r="O935" t="n">
        <v>0</v>
      </c>
      <c r="P935" t="n">
        <v>0</v>
      </c>
      <c r="Q935" t="n">
        <v>0</v>
      </c>
      <c r="R935" s="2" t="inlineStr"/>
    </row>
    <row r="936" ht="15" customHeight="1">
      <c r="A936" t="inlineStr">
        <is>
          <t>A 10090-2022</t>
        </is>
      </c>
      <c r="B936" s="1" t="n">
        <v>44621</v>
      </c>
      <c r="C936" s="1" t="n">
        <v>46119</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14724-2022</t>
        </is>
      </c>
      <c r="B937" s="1" t="n">
        <v>44656</v>
      </c>
      <c r="C937" s="1" t="n">
        <v>46119</v>
      </c>
      <c r="D937" t="inlineStr">
        <is>
          <t>STOCKHOLMS LÄN</t>
        </is>
      </c>
      <c r="E937" t="inlineStr">
        <is>
          <t>NORRTÄLJE</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18846-2022</t>
        </is>
      </c>
      <c r="B938" s="1" t="n">
        <v>44690</v>
      </c>
      <c r="C938" s="1" t="n">
        <v>46119</v>
      </c>
      <c r="D938" t="inlineStr">
        <is>
          <t>STOCKHOLMS LÄN</t>
        </is>
      </c>
      <c r="E938" t="inlineStr">
        <is>
          <t>NORRTÄLJE</t>
        </is>
      </c>
      <c r="G938" t="n">
        <v>7</v>
      </c>
      <c r="H938" t="n">
        <v>0</v>
      </c>
      <c r="I938" t="n">
        <v>0</v>
      </c>
      <c r="J938" t="n">
        <v>0</v>
      </c>
      <c r="K938" t="n">
        <v>0</v>
      </c>
      <c r="L938" t="n">
        <v>0</v>
      </c>
      <c r="M938" t="n">
        <v>0</v>
      </c>
      <c r="N938" t="n">
        <v>0</v>
      </c>
      <c r="O938" t="n">
        <v>0</v>
      </c>
      <c r="P938" t="n">
        <v>0</v>
      </c>
      <c r="Q938" t="n">
        <v>0</v>
      </c>
      <c r="R938" s="2" t="inlineStr"/>
    </row>
    <row r="939" ht="15" customHeight="1">
      <c r="A939" t="inlineStr">
        <is>
          <t>A 6828-2026</t>
        </is>
      </c>
      <c r="B939" s="1" t="n">
        <v>46057</v>
      </c>
      <c r="C939" s="1" t="n">
        <v>46119</v>
      </c>
      <c r="D939" t="inlineStr">
        <is>
          <t>STOCKHOLMS LÄN</t>
        </is>
      </c>
      <c r="E939" t="inlineStr">
        <is>
          <t>NORRTÄLJE</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6838-2026</t>
        </is>
      </c>
      <c r="B940" s="1" t="n">
        <v>46057.41151620371</v>
      </c>
      <c r="C940" s="1" t="n">
        <v>46119</v>
      </c>
      <c r="D940" t="inlineStr">
        <is>
          <t>STOCKHOLMS LÄN</t>
        </is>
      </c>
      <c r="E940" t="inlineStr">
        <is>
          <t>NORRTÄLJE</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43300-2023</t>
        </is>
      </c>
      <c r="B941" s="1" t="n">
        <v>45183</v>
      </c>
      <c r="C941" s="1" t="n">
        <v>46119</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46119</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6874-2026</t>
        </is>
      </c>
      <c r="B943" s="1" t="n">
        <v>46057.45295138889</v>
      </c>
      <c r="C943" s="1" t="n">
        <v>46119</v>
      </c>
      <c r="D943" t="inlineStr">
        <is>
          <t>STOCKHOLMS LÄN</t>
        </is>
      </c>
      <c r="E943" t="inlineStr">
        <is>
          <t>NORRTÄLJE</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23125-2022</t>
        </is>
      </c>
      <c r="B944" s="1" t="n">
        <v>44719</v>
      </c>
      <c r="C944" s="1" t="n">
        <v>46119</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20121-2022</t>
        </is>
      </c>
      <c r="B945" s="1" t="n">
        <v>44698</v>
      </c>
      <c r="C945" s="1" t="n">
        <v>46119</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6532-2026</t>
        </is>
      </c>
      <c r="B946" s="1" t="n">
        <v>46056.41300925926</v>
      </c>
      <c r="C946" s="1" t="n">
        <v>46119</v>
      </c>
      <c r="D946" t="inlineStr">
        <is>
          <t>STOCKHOLMS LÄN</t>
        </is>
      </c>
      <c r="E946" t="inlineStr">
        <is>
          <t>NORRTÄLJE</t>
        </is>
      </c>
      <c r="G946" t="n">
        <v>2.2</v>
      </c>
      <c r="H946" t="n">
        <v>0</v>
      </c>
      <c r="I946" t="n">
        <v>0</v>
      </c>
      <c r="J946" t="n">
        <v>0</v>
      </c>
      <c r="K946" t="n">
        <v>0</v>
      </c>
      <c r="L946" t="n">
        <v>0</v>
      </c>
      <c r="M946" t="n">
        <v>0</v>
      </c>
      <c r="N946" t="n">
        <v>0</v>
      </c>
      <c r="O946" t="n">
        <v>0</v>
      </c>
      <c r="P946" t="n">
        <v>0</v>
      </c>
      <c r="Q946" t="n">
        <v>0</v>
      </c>
      <c r="R946" s="2" t="inlineStr"/>
    </row>
    <row r="947" ht="15" customHeight="1">
      <c r="A947" t="inlineStr">
        <is>
          <t>A 6701-2026</t>
        </is>
      </c>
      <c r="B947" s="1" t="n">
        <v>46056</v>
      </c>
      <c r="C947" s="1" t="n">
        <v>46119</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33385-2024</t>
        </is>
      </c>
      <c r="B948" s="1" t="n">
        <v>45519</v>
      </c>
      <c r="C948" s="1" t="n">
        <v>46119</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41172-2023</t>
        </is>
      </c>
      <c r="B949" s="1" t="n">
        <v>45170</v>
      </c>
      <c r="C949" s="1" t="n">
        <v>46119</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73307-2021</t>
        </is>
      </c>
      <c r="B950" s="1" t="n">
        <v>44549</v>
      </c>
      <c r="C950" s="1" t="n">
        <v>46119</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50534-2024</t>
        </is>
      </c>
      <c r="B951" s="1" t="n">
        <v>45601.56726851852</v>
      </c>
      <c r="C951" s="1" t="n">
        <v>46119</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65499-2021</t>
        </is>
      </c>
      <c r="B952" s="1" t="n">
        <v>44516</v>
      </c>
      <c r="C952" s="1" t="n">
        <v>46119</v>
      </c>
      <c r="D952" t="inlineStr">
        <is>
          <t>STOCKHOLMS LÄN</t>
        </is>
      </c>
      <c r="E952" t="inlineStr">
        <is>
          <t>NORRTÄLJE</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65511-2021</t>
        </is>
      </c>
      <c r="B953" s="1" t="n">
        <v>44516.40674768519</v>
      </c>
      <c r="C953" s="1" t="n">
        <v>46119</v>
      </c>
      <c r="D953" t="inlineStr">
        <is>
          <t>STOCKHOLMS LÄN</t>
        </is>
      </c>
      <c r="E953" t="inlineStr">
        <is>
          <t>NORRTÄLJE</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46119</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32514-2022</t>
        </is>
      </c>
      <c r="B955" s="1" t="n">
        <v>44782</v>
      </c>
      <c r="C955" s="1" t="n">
        <v>46119</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29362-2022</t>
        </is>
      </c>
      <c r="B956" s="1" t="n">
        <v>44753</v>
      </c>
      <c r="C956" s="1" t="n">
        <v>46119</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46100.34112268518</v>
      </c>
      <c r="C957" s="1" t="n">
        <v>46119</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7308-2026</t>
        </is>
      </c>
      <c r="B958" s="1" t="n">
        <v>46058.66025462963</v>
      </c>
      <c r="C958" s="1" t="n">
        <v>46119</v>
      </c>
      <c r="D958" t="inlineStr">
        <is>
          <t>STOCKHOLMS LÄN</t>
        </is>
      </c>
      <c r="E958" t="inlineStr">
        <is>
          <t>NORRTÄLJE</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7532-2026</t>
        </is>
      </c>
      <c r="B959" s="1" t="n">
        <v>46059</v>
      </c>
      <c r="C959" s="1" t="n">
        <v>46119</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14475-2026</t>
        </is>
      </c>
      <c r="B960" s="1" t="n">
        <v>46100.57251157407</v>
      </c>
      <c r="C960" s="1" t="n">
        <v>46119</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58492-2022</t>
        </is>
      </c>
      <c r="B961" s="1" t="n">
        <v>44902</v>
      </c>
      <c r="C961" s="1" t="n">
        <v>46119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51315-2021</t>
        </is>
      </c>
      <c r="B962" s="1" t="n">
        <v>44461</v>
      </c>
      <c r="C962" s="1" t="n">
        <v>46119</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14873-2025</t>
        </is>
      </c>
      <c r="B963" s="1" t="n">
        <v>45743.44953703704</v>
      </c>
      <c r="C963" s="1" t="n">
        <v>46119</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34773-2022</t>
        </is>
      </c>
      <c r="B964" s="1" t="n">
        <v>44795</v>
      </c>
      <c r="C964" s="1" t="n">
        <v>46119</v>
      </c>
      <c r="D964" t="inlineStr">
        <is>
          <t>STOCKHOLMS LÄN</t>
        </is>
      </c>
      <c r="E964" t="inlineStr">
        <is>
          <t>NORRTÄLJE</t>
        </is>
      </c>
      <c r="G964" t="n">
        <v>3.9</v>
      </c>
      <c r="H964" t="n">
        <v>0</v>
      </c>
      <c r="I964" t="n">
        <v>0</v>
      </c>
      <c r="J964" t="n">
        <v>0</v>
      </c>
      <c r="K964" t="n">
        <v>0</v>
      </c>
      <c r="L964" t="n">
        <v>0</v>
      </c>
      <c r="M964" t="n">
        <v>0</v>
      </c>
      <c r="N964" t="n">
        <v>0</v>
      </c>
      <c r="O964" t="n">
        <v>0</v>
      </c>
      <c r="P964" t="n">
        <v>0</v>
      </c>
      <c r="Q964" t="n">
        <v>0</v>
      </c>
      <c r="R964" s="2" t="inlineStr"/>
    </row>
    <row r="965" ht="15" customHeight="1">
      <c r="A965" t="inlineStr">
        <is>
          <t>A 33173-2024</t>
        </is>
      </c>
      <c r="B965" s="1" t="n">
        <v>45518</v>
      </c>
      <c r="C965" s="1" t="n">
        <v>46119</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8055-2026</t>
        </is>
      </c>
      <c r="B966" s="1" t="n">
        <v>46063.62002314815</v>
      </c>
      <c r="C966" s="1" t="n">
        <v>46119</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7793-2026</t>
        </is>
      </c>
      <c r="B967" s="1" t="n">
        <v>46062.59496527778</v>
      </c>
      <c r="C967" s="1" t="n">
        <v>46119</v>
      </c>
      <c r="D967" t="inlineStr">
        <is>
          <t>STOCKHOLMS LÄN</t>
        </is>
      </c>
      <c r="E967" t="inlineStr">
        <is>
          <t>NORRTÄLJE</t>
        </is>
      </c>
      <c r="F967" t="inlineStr">
        <is>
          <t>Holmen skog AB</t>
        </is>
      </c>
      <c r="G967" t="n">
        <v>3.8</v>
      </c>
      <c r="H967" t="n">
        <v>0</v>
      </c>
      <c r="I967" t="n">
        <v>0</v>
      </c>
      <c r="J967" t="n">
        <v>0</v>
      </c>
      <c r="K967" t="n">
        <v>0</v>
      </c>
      <c r="L967" t="n">
        <v>0</v>
      </c>
      <c r="M967" t="n">
        <v>0</v>
      </c>
      <c r="N967" t="n">
        <v>0</v>
      </c>
      <c r="O967" t="n">
        <v>0</v>
      </c>
      <c r="P967" t="n">
        <v>0</v>
      </c>
      <c r="Q967" t="n">
        <v>0</v>
      </c>
      <c r="R967" s="2" t="inlineStr"/>
    </row>
    <row r="968" ht="15" customHeight="1">
      <c r="A968" t="inlineStr">
        <is>
          <t>A 4484-2025</t>
        </is>
      </c>
      <c r="B968" s="1" t="n">
        <v>45686.65545138889</v>
      </c>
      <c r="C968" s="1" t="n">
        <v>46119</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33878-2024</t>
        </is>
      </c>
      <c r="B969" s="1" t="n">
        <v>45522.44414351852</v>
      </c>
      <c r="C969" s="1" t="n">
        <v>46119</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9246-2024</t>
        </is>
      </c>
      <c r="B970" s="1" t="n">
        <v>45357</v>
      </c>
      <c r="C970" s="1" t="n">
        <v>46119</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8096-2026</t>
        </is>
      </c>
      <c r="B971" s="1" t="n">
        <v>46063.714375</v>
      </c>
      <c r="C971" s="1" t="n">
        <v>46119</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35698-2023</t>
        </is>
      </c>
      <c r="B972" s="1" t="n">
        <v>45147</v>
      </c>
      <c r="C972" s="1" t="n">
        <v>46119</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62398-2022</t>
        </is>
      </c>
      <c r="B973" s="1" t="n">
        <v>44923.90159722222</v>
      </c>
      <c r="C973" s="1" t="n">
        <v>46119</v>
      </c>
      <c r="D973" t="inlineStr">
        <is>
          <t>STOCKHOLMS LÄN</t>
        </is>
      </c>
      <c r="E973" t="inlineStr">
        <is>
          <t>NORRTÄLJE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7723-2026</t>
        </is>
      </c>
      <c r="B974" s="1" t="n">
        <v>46062.49905092592</v>
      </c>
      <c r="C974" s="1" t="n">
        <v>46119</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7729-2026</t>
        </is>
      </c>
      <c r="B975" s="1" t="n">
        <v>46062.51100694444</v>
      </c>
      <c r="C975" s="1" t="n">
        <v>46119</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7582-2026</t>
        </is>
      </c>
      <c r="B976" s="1" t="n">
        <v>46061</v>
      </c>
      <c r="C976" s="1" t="n">
        <v>46119</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49700-2023</t>
        </is>
      </c>
      <c r="B977" s="1" t="n">
        <v>45212</v>
      </c>
      <c r="C977" s="1" t="n">
        <v>46119</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32071-2023</t>
        </is>
      </c>
      <c r="B978" s="1" t="n">
        <v>45119.57728009259</v>
      </c>
      <c r="C978" s="1" t="n">
        <v>46119</v>
      </c>
      <c r="D978" t="inlineStr">
        <is>
          <t>STOCKHOLMS LÄN</t>
        </is>
      </c>
      <c r="E978" t="inlineStr">
        <is>
          <t>NORRTÄLJE</t>
        </is>
      </c>
      <c r="G978" t="n">
        <v>6.5</v>
      </c>
      <c r="H978" t="n">
        <v>0</v>
      </c>
      <c r="I978" t="n">
        <v>0</v>
      </c>
      <c r="J978" t="n">
        <v>0</v>
      </c>
      <c r="K978" t="n">
        <v>0</v>
      </c>
      <c r="L978" t="n">
        <v>0</v>
      </c>
      <c r="M978" t="n">
        <v>0</v>
      </c>
      <c r="N978" t="n">
        <v>0</v>
      </c>
      <c r="O978" t="n">
        <v>0</v>
      </c>
      <c r="P978" t="n">
        <v>0</v>
      </c>
      <c r="Q978" t="n">
        <v>0</v>
      </c>
      <c r="R978" s="2" t="inlineStr"/>
    </row>
    <row r="979" ht="15" customHeight="1">
      <c r="A979" t="inlineStr">
        <is>
          <t>A 1425-2025</t>
        </is>
      </c>
      <c r="B979" s="1" t="n">
        <v>45668.67446759259</v>
      </c>
      <c r="C979" s="1" t="n">
        <v>46119</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8091-2026</t>
        </is>
      </c>
      <c r="B980" s="1" t="n">
        <v>46063.70944444444</v>
      </c>
      <c r="C980" s="1" t="n">
        <v>46119</v>
      </c>
      <c r="D980" t="inlineStr">
        <is>
          <t>STOCKHOLMS LÄN</t>
        </is>
      </c>
      <c r="E980" t="inlineStr">
        <is>
          <t>NORRTÄLJE</t>
        </is>
      </c>
      <c r="G980" t="n">
        <v>4.7</v>
      </c>
      <c r="H980" t="n">
        <v>0</v>
      </c>
      <c r="I980" t="n">
        <v>0</v>
      </c>
      <c r="J980" t="n">
        <v>0</v>
      </c>
      <c r="K980" t="n">
        <v>0</v>
      </c>
      <c r="L980" t="n">
        <v>0</v>
      </c>
      <c r="M980" t="n">
        <v>0</v>
      </c>
      <c r="N980" t="n">
        <v>0</v>
      </c>
      <c r="O980" t="n">
        <v>0</v>
      </c>
      <c r="P980" t="n">
        <v>0</v>
      </c>
      <c r="Q980" t="n">
        <v>0</v>
      </c>
      <c r="R980" s="2" t="inlineStr"/>
    </row>
    <row r="981" ht="15" customHeight="1">
      <c r="A981" t="inlineStr">
        <is>
          <t>A 17775-2022</t>
        </is>
      </c>
      <c r="B981" s="1" t="n">
        <v>44682.78430555556</v>
      </c>
      <c r="C981" s="1" t="n">
        <v>46119</v>
      </c>
      <c r="D981" t="inlineStr">
        <is>
          <t>STOCKHOLMS LÄN</t>
        </is>
      </c>
      <c r="E981" t="inlineStr">
        <is>
          <t>NORRTÄLJE</t>
        </is>
      </c>
      <c r="G981" t="n">
        <v>4.7</v>
      </c>
      <c r="H981" t="n">
        <v>0</v>
      </c>
      <c r="I981" t="n">
        <v>0</v>
      </c>
      <c r="J981" t="n">
        <v>0</v>
      </c>
      <c r="K981" t="n">
        <v>0</v>
      </c>
      <c r="L981" t="n">
        <v>0</v>
      </c>
      <c r="M981" t="n">
        <v>0</v>
      </c>
      <c r="N981" t="n">
        <v>0</v>
      </c>
      <c r="O981" t="n">
        <v>0</v>
      </c>
      <c r="P981" t="n">
        <v>0</v>
      </c>
      <c r="Q981" t="n">
        <v>0</v>
      </c>
      <c r="R981" s="2" t="inlineStr"/>
    </row>
    <row r="982" ht="15" customHeight="1">
      <c r="A982" t="inlineStr">
        <is>
          <t>A 38720-2022</t>
        </is>
      </c>
      <c r="B982" s="1" t="n">
        <v>44815.74539351852</v>
      </c>
      <c r="C982" s="1" t="n">
        <v>46119</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44986.5887962963</v>
      </c>
      <c r="C983" s="1" t="n">
        <v>46119</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8410-2026</t>
        </is>
      </c>
      <c r="B984" s="1" t="n">
        <v>46065.34261574074</v>
      </c>
      <c r="C984" s="1" t="n">
        <v>46119</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25609-2023</t>
        </is>
      </c>
      <c r="B985" s="1" t="n">
        <v>45089</v>
      </c>
      <c r="C985" s="1" t="n">
        <v>46119</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20014-2025</t>
        </is>
      </c>
      <c r="B986" s="1" t="n">
        <v>45772.3078125</v>
      </c>
      <c r="C986" s="1" t="n">
        <v>46119</v>
      </c>
      <c r="D986" t="inlineStr">
        <is>
          <t>STOCKHOLMS LÄN</t>
        </is>
      </c>
      <c r="E986" t="inlineStr">
        <is>
          <t>NORRTÄLJE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20136-2025</t>
        </is>
      </c>
      <c r="B987" s="1" t="n">
        <v>45772.51127314815</v>
      </c>
      <c r="C987" s="1" t="n">
        <v>46119</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8489-2026</t>
        </is>
      </c>
      <c r="B988" s="1" t="n">
        <v>46065.48268518518</v>
      </c>
      <c r="C988" s="1" t="n">
        <v>46119</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2287-2024</t>
        </is>
      </c>
      <c r="B989" s="1" t="n">
        <v>45310</v>
      </c>
      <c r="C989" s="1" t="n">
        <v>46119</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13785-2024</t>
        </is>
      </c>
      <c r="B990" s="1" t="n">
        <v>45391.3395949074</v>
      </c>
      <c r="C990" s="1" t="n">
        <v>46119</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50469-2022</t>
        </is>
      </c>
      <c r="B991" s="1" t="n">
        <v>44866.49827546296</v>
      </c>
      <c r="C991" s="1" t="n">
        <v>46119</v>
      </c>
      <c r="D991" t="inlineStr">
        <is>
          <t>STOCKHOLMS LÄN</t>
        </is>
      </c>
      <c r="E991" t="inlineStr">
        <is>
          <t>NORRTÄLJE</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51116-2022</t>
        </is>
      </c>
      <c r="B992" s="1" t="n">
        <v>44868.45741898148</v>
      </c>
      <c r="C992" s="1" t="n">
        <v>46119</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8465-2026</t>
        </is>
      </c>
      <c r="B993" s="1" t="n">
        <v>46065.44141203703</v>
      </c>
      <c r="C993" s="1" t="n">
        <v>46119</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60217-2021</t>
        </is>
      </c>
      <c r="B994" s="1" t="n">
        <v>44495.5893287037</v>
      </c>
      <c r="C994" s="1" t="n">
        <v>46119</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5839-2023</t>
        </is>
      </c>
      <c r="B995" s="1" t="n">
        <v>44963</v>
      </c>
      <c r="C995" s="1" t="n">
        <v>46119</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15836-2026</t>
        </is>
      </c>
      <c r="B996" s="1" t="n">
        <v>46107.56134259259</v>
      </c>
      <c r="C996" s="1" t="n">
        <v>46119</v>
      </c>
      <c r="D996" t="inlineStr">
        <is>
          <t>STOCKHOLMS LÄN</t>
        </is>
      </c>
      <c r="E996" t="inlineStr">
        <is>
          <t>NORRTÄLJE</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8454-2026</t>
        </is>
      </c>
      <c r="B997" s="1" t="n">
        <v>46065.42506944444</v>
      </c>
      <c r="C997" s="1" t="n">
        <v>46119</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38985-2022</t>
        </is>
      </c>
      <c r="B998" s="1" t="n">
        <v>44816</v>
      </c>
      <c r="C998" s="1" t="n">
        <v>46119</v>
      </c>
      <c r="D998" t="inlineStr">
        <is>
          <t>STOCKHOLMS LÄN</t>
        </is>
      </c>
      <c r="E998" t="inlineStr">
        <is>
          <t>NORRTÄLJE</t>
        </is>
      </c>
      <c r="G998" t="n">
        <v>10.1</v>
      </c>
      <c r="H998" t="n">
        <v>0</v>
      </c>
      <c r="I998" t="n">
        <v>0</v>
      </c>
      <c r="J998" t="n">
        <v>0</v>
      </c>
      <c r="K998" t="n">
        <v>0</v>
      </c>
      <c r="L998" t="n">
        <v>0</v>
      </c>
      <c r="M998" t="n">
        <v>0</v>
      </c>
      <c r="N998" t="n">
        <v>0</v>
      </c>
      <c r="O998" t="n">
        <v>0</v>
      </c>
      <c r="P998" t="n">
        <v>0</v>
      </c>
      <c r="Q998" t="n">
        <v>0</v>
      </c>
      <c r="R998" s="2" t="inlineStr"/>
    </row>
    <row r="999" ht="15" customHeight="1">
      <c r="A999" t="inlineStr">
        <is>
          <t>A 16243-2026</t>
        </is>
      </c>
      <c r="B999" s="1" t="n">
        <v>46111.45902777778</v>
      </c>
      <c r="C999" s="1" t="n">
        <v>46119</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9103-2026</t>
        </is>
      </c>
      <c r="B1000" s="1" t="n">
        <v>46069.65039351852</v>
      </c>
      <c r="C1000" s="1" t="n">
        <v>46119</v>
      </c>
      <c r="D1000" t="inlineStr">
        <is>
          <t>STOCKHOLMS LÄN</t>
        </is>
      </c>
      <c r="E1000" t="inlineStr">
        <is>
          <t>NORRTÄLJE</t>
        </is>
      </c>
      <c r="F1000" t="inlineStr">
        <is>
          <t>Holmen skog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5665-2025</t>
        </is>
      </c>
      <c r="B1001" s="1" t="n">
        <v>45693</v>
      </c>
      <c r="C1001" s="1" t="n">
        <v>46119</v>
      </c>
      <c r="D1001" t="inlineStr">
        <is>
          <t>STOCKHOLMS LÄN</t>
        </is>
      </c>
      <c r="E1001" t="inlineStr">
        <is>
          <t>NORRTÄLJE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3426-2025</t>
        </is>
      </c>
      <c r="B1002" s="1" t="n">
        <v>45680.42665509259</v>
      </c>
      <c r="C1002" s="1" t="n">
        <v>46119</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58530-2024</t>
        </is>
      </c>
      <c r="B1003" s="1" t="n">
        <v>45635.44788194444</v>
      </c>
      <c r="C1003" s="1" t="n">
        <v>46119</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22421-2021</t>
        </is>
      </c>
      <c r="B1004" s="1" t="n">
        <v>44326</v>
      </c>
      <c r="C1004" s="1" t="n">
        <v>46119</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40761-2024</t>
        </is>
      </c>
      <c r="B1005" s="1" t="n">
        <v>45558.46283564815</v>
      </c>
      <c r="C1005" s="1" t="n">
        <v>46119</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8989-2026</t>
        </is>
      </c>
      <c r="B1006" s="1" t="n">
        <v>46069.45789351852</v>
      </c>
      <c r="C1006" s="1" t="n">
        <v>46119</v>
      </c>
      <c r="D1006" t="inlineStr">
        <is>
          <t>STOCKHOLMS LÄN</t>
        </is>
      </c>
      <c r="E1006" t="inlineStr">
        <is>
          <t>NORRTÄLJE</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16229-2026</t>
        </is>
      </c>
      <c r="B1007" s="1" t="n">
        <v>46111.45084490741</v>
      </c>
      <c r="C1007" s="1" t="n">
        <v>46119</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4553-2023</t>
        </is>
      </c>
      <c r="B1008" s="1" t="n">
        <v>44956.65920138889</v>
      </c>
      <c r="C1008" s="1" t="n">
        <v>46119</v>
      </c>
      <c r="D1008" t="inlineStr">
        <is>
          <t>STOCKHOLMS LÄN</t>
        </is>
      </c>
      <c r="E1008" t="inlineStr">
        <is>
          <t>NORRTÄLJE</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4593-2023</t>
        </is>
      </c>
      <c r="B1009" s="1" t="n">
        <v>44956</v>
      </c>
      <c r="C1009" s="1" t="n">
        <v>46119</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13171-2025</t>
        </is>
      </c>
      <c r="B1010" s="1" t="n">
        <v>45735.36594907408</v>
      </c>
      <c r="C1010" s="1" t="n">
        <v>46119</v>
      </c>
      <c r="D1010" t="inlineStr">
        <is>
          <t>STOCKHOLMS LÄN</t>
        </is>
      </c>
      <c r="E1010" t="inlineStr">
        <is>
          <t>NORRTÄLJE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14937-2026</t>
        </is>
      </c>
      <c r="B1011" s="1" t="n">
        <v>46104</v>
      </c>
      <c r="C1011" s="1" t="n">
        <v>46119</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8985-2026</t>
        </is>
      </c>
      <c r="B1012" s="1" t="n">
        <v>46069.45234953704</v>
      </c>
      <c r="C1012" s="1" t="n">
        <v>46119</v>
      </c>
      <c r="D1012" t="inlineStr">
        <is>
          <t>STOCKHOLMS LÄN</t>
        </is>
      </c>
      <c r="E1012" t="inlineStr">
        <is>
          <t>NORRTÄLJE</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8962-2026</t>
        </is>
      </c>
      <c r="B1013" s="1" t="n">
        <v>46069.41644675926</v>
      </c>
      <c r="C1013" s="1" t="n">
        <v>46119</v>
      </c>
      <c r="D1013" t="inlineStr">
        <is>
          <t>STOCKHOLMS LÄN</t>
        </is>
      </c>
      <c r="E1013" t="inlineStr">
        <is>
          <t>NORRTÄLJE</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51978-2023</t>
        </is>
      </c>
      <c r="B1014" s="1" t="n">
        <v>45223</v>
      </c>
      <c r="C1014" s="1" t="n">
        <v>46119</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18092-2022</t>
        </is>
      </c>
      <c r="B1015" s="1" t="n">
        <v>44684</v>
      </c>
      <c r="C1015" s="1" t="n">
        <v>46119</v>
      </c>
      <c r="D1015" t="inlineStr">
        <is>
          <t>STOCKHOLMS LÄN</t>
        </is>
      </c>
      <c r="E1015" t="inlineStr">
        <is>
          <t>NORRTÄLJE</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46119</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9329-2023</t>
        </is>
      </c>
      <c r="B1017" s="1" t="n">
        <v>44980</v>
      </c>
      <c r="C1017" s="1" t="n">
        <v>46119</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59878-2024</t>
        </is>
      </c>
      <c r="B1018" s="1" t="n">
        <v>45640.60240740741</v>
      </c>
      <c r="C1018" s="1" t="n">
        <v>46119</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41335-2023</t>
        </is>
      </c>
      <c r="B1019" s="1" t="n">
        <v>45174.68702546296</v>
      </c>
      <c r="C1019" s="1" t="n">
        <v>46119</v>
      </c>
      <c r="D1019" t="inlineStr">
        <is>
          <t>STOCKHOLMS LÄN</t>
        </is>
      </c>
      <c r="E1019" t="inlineStr">
        <is>
          <t>NORRTÄLJE</t>
        </is>
      </c>
      <c r="F1019" t="inlineStr">
        <is>
          <t>Holmen skog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33040-2021</t>
        </is>
      </c>
      <c r="B1020" s="1" t="n">
        <v>44376.50728009259</v>
      </c>
      <c r="C1020" s="1" t="n">
        <v>46119</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33053-2021</t>
        </is>
      </c>
      <c r="B1021" s="1" t="n">
        <v>44376</v>
      </c>
      <c r="C1021" s="1" t="n">
        <v>46119</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43150-2023</t>
        </is>
      </c>
      <c r="B1022" s="1" t="n">
        <v>45183</v>
      </c>
      <c r="C1022" s="1" t="n">
        <v>46119</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54259-2023</t>
        </is>
      </c>
      <c r="B1023" s="1" t="n">
        <v>45232</v>
      </c>
      <c r="C1023" s="1" t="n">
        <v>46119</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60822-2023</t>
        </is>
      </c>
      <c r="B1024" s="1" t="n">
        <v>45259</v>
      </c>
      <c r="C1024" s="1" t="n">
        <v>46119</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27381-2024</t>
        </is>
      </c>
      <c r="B1025" s="1" t="n">
        <v>45473.94501157408</v>
      </c>
      <c r="C1025" s="1" t="n">
        <v>46119</v>
      </c>
      <c r="D1025" t="inlineStr">
        <is>
          <t>STOCKHOLMS LÄN</t>
        </is>
      </c>
      <c r="E1025" t="inlineStr">
        <is>
          <t>NORRTÄLJE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9720-2026</t>
        </is>
      </c>
      <c r="B1026" s="1" t="n">
        <v>46072.45061342593</v>
      </c>
      <c r="C1026" s="1" t="n">
        <v>46119</v>
      </c>
      <c r="D1026" t="inlineStr">
        <is>
          <t>STOCKHOLMS LÄN</t>
        </is>
      </c>
      <c r="E1026" t="inlineStr">
        <is>
          <t>NORRTÄLJE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17025-2026</t>
        </is>
      </c>
      <c r="B1027" s="1" t="n">
        <v>46113</v>
      </c>
      <c r="C1027" s="1" t="n">
        <v>46119</v>
      </c>
      <c r="D1027" t="inlineStr">
        <is>
          <t>STOCKHOLMS LÄN</t>
        </is>
      </c>
      <c r="E1027" t="inlineStr">
        <is>
          <t>NORRTÄLJE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46119</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46119</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46119</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46119</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46119</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46119</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46119</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46119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46119</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46119</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46119</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46119</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46119</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46119</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46119</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46119</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46119</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46119</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46119</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46119</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46119</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46119</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46119</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46119</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46119</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46119</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46119</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46119</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46119</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46119</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46119</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46119</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46119</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46119</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46119</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46119</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46119</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46119</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46119</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46119</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46119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46119</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46119</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46119</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46119</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46119</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46119</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46119</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46119</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46119</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46119</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46119</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46119</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46119</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46119</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46119</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46119</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46119</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46119</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46119</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46119</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46119</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46119</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46119</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46119</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46119</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46119</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46119</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46119</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46119</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46119</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46119</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46119</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46119</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46119</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46119</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46119</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46119</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46119</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46119</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46119</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46119</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46119</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46119</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46119</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46119</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46119</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46119</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46119</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46119</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46119</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46119</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46119</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46119</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46119</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46119</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46119</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46119</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46119</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46119</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46119</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46119</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46119</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46119</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46119</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46119</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46119</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46119</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46119</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46119</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46119</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46119</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46119</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46119</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46119</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46119</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46119</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46119</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46119</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46119</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46119</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46119</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46119</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46119</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46119</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46119</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46119</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46119</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46119</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46119</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46119</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46119</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46119</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46119</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46119</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46119</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46119</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46119</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46119</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46119</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46119</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2026-04-07T10:45:44Z</dcterms:created>
  <dcterms:modified xmlns:dcterms="http://purl.org/dc/terms/" xmlns:xsi="http://www.w3.org/2001/XMLSchema-instance" xsi:type="dcterms:W3CDTF">2026-04-07T10:45:45Z</dcterms:modified>
</cp:coreProperties>
</file>