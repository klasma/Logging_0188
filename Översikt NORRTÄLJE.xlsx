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46050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46050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46050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46050</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46050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46050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46050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46050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46050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46050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46050</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46050</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46050</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46050</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46050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46050</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46050</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46050</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46050</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46050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46050</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46050</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46050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46050</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46050</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61292-2025</t>
        </is>
      </c>
      <c r="B29" s="1" t="n">
        <v>46000.75015046296</v>
      </c>
      <c r="C29" s="1" t="n">
        <v>46050</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46050</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46050</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46050</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61099-2025</t>
        </is>
      </c>
      <c r="B33" s="1" t="n">
        <v>46000.44185185185</v>
      </c>
      <c r="C33" s="1" t="n">
        <v>46050</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25732-2025</t>
        </is>
      </c>
      <c r="B34" s="1" t="n">
        <v>45800</v>
      </c>
      <c r="C34" s="1" t="n">
        <v>46050</v>
      </c>
      <c r="D34" t="inlineStr">
        <is>
          <t>STOCKHOLMS LÄN</t>
        </is>
      </c>
      <c r="E34" t="inlineStr">
        <is>
          <t>NORRTÄLJE</t>
        </is>
      </c>
      <c r="G34" t="n">
        <v>7.4</v>
      </c>
      <c r="H34" t="n">
        <v>4</v>
      </c>
      <c r="I34" t="n">
        <v>3</v>
      </c>
      <c r="J34" t="n">
        <v>3</v>
      </c>
      <c r="K34" t="n">
        <v>1</v>
      </c>
      <c r="L34" t="n">
        <v>0</v>
      </c>
      <c r="M34" t="n">
        <v>0</v>
      </c>
      <c r="N34" t="n">
        <v>0</v>
      </c>
      <c r="O34" t="n">
        <v>4</v>
      </c>
      <c r="P34" t="n">
        <v>1</v>
      </c>
      <c r="Q34" t="n">
        <v>8</v>
      </c>
      <c r="R34" s="2" t="inlineStr">
        <is>
          <t>Knärot
Blå taggsvamp
Skrovlig taggsvamp
Spillkråka
Björksplintborre
Grönpyrola
Plattlummer
Kungsfågel</t>
        </is>
      </c>
      <c r="S34">
        <f>HYPERLINK("https://klasma.github.io/Logging_0188/artfynd/A 25732-2025 artfynd.xlsx", "A 25732-2025")</f>
        <v/>
      </c>
      <c r="T34">
        <f>HYPERLINK("https://klasma.github.io/Logging_0188/kartor/A 25732-2025 karta.png", "A 25732-2025")</f>
        <v/>
      </c>
      <c r="U34">
        <f>HYPERLINK("https://klasma.github.io/Logging_0188/knärot/A 25732-2025 karta knärot.png", "A 25732-2025")</f>
        <v/>
      </c>
      <c r="V34">
        <f>HYPERLINK("https://klasma.github.io/Logging_0188/klagomål/A 25732-2025 FSC-klagomål.docx", "A 25732-2025")</f>
        <v/>
      </c>
      <c r="W34">
        <f>HYPERLINK("https://klasma.github.io/Logging_0188/klagomålsmail/A 25732-2025 FSC-klagomål mail.docx", "A 25732-2025")</f>
        <v/>
      </c>
      <c r="X34">
        <f>HYPERLINK("https://klasma.github.io/Logging_0188/tillsyn/A 25732-2025 tillsynsbegäran.docx", "A 25732-2025")</f>
        <v/>
      </c>
      <c r="Y34">
        <f>HYPERLINK("https://klasma.github.io/Logging_0188/tillsynsmail/A 25732-2025 tillsynsbegäran mail.docx", "A 25732-2025")</f>
        <v/>
      </c>
      <c r="Z34">
        <f>HYPERLINK("https://klasma.github.io/Logging_0188/fåglar/A 25732-2025 prioriterade fågelarter.docx", "A 25732-2025")</f>
        <v/>
      </c>
    </row>
    <row r="35" ht="15" customHeight="1">
      <c r="A35" t="inlineStr">
        <is>
          <t>A 45811-2022</t>
        </is>
      </c>
      <c r="B35" s="1" t="n">
        <v>44846</v>
      </c>
      <c r="C35" s="1" t="n">
        <v>46050</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46050</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46050</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46050</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46050</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46050</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46050</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46050</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46050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46050</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46050</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46050</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46050</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46050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46050</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46050</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46050</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46050</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34521-2025</t>
        </is>
      </c>
      <c r="B53" s="1" t="n">
        <v>45847.47052083333</v>
      </c>
      <c r="C53" s="1" t="n">
        <v>46050</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47212-2025</t>
        </is>
      </c>
      <c r="B54" s="1" t="n">
        <v>45930</v>
      </c>
      <c r="C54" s="1" t="n">
        <v>46050</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24052-2021</t>
        </is>
      </c>
      <c r="B55" s="1" t="n">
        <v>44336</v>
      </c>
      <c r="C55" s="1" t="n">
        <v>46050</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46050</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46050</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46050</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46050</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46050</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46050</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46050</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46050</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46050</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46050</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2851-2023</t>
        </is>
      </c>
      <c r="B66" s="1" t="n">
        <v>44945</v>
      </c>
      <c r="C66" s="1" t="n">
        <v>46050</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34524-2025</t>
        </is>
      </c>
      <c r="B67" s="1" t="n">
        <v>45847.47685185185</v>
      </c>
      <c r="C67" s="1" t="n">
        <v>46050</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52726-2025</t>
        </is>
      </c>
      <c r="B68" s="1" t="n">
        <v>45957.34722222222</v>
      </c>
      <c r="C68" s="1" t="n">
        <v>46050</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46050</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46050</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61288-2025</t>
        </is>
      </c>
      <c r="B71" s="1" t="n">
        <v>46000.73247685185</v>
      </c>
      <c r="C71" s="1" t="n">
        <v>46050</v>
      </c>
      <c r="D71" t="inlineStr">
        <is>
          <t>STOCKHOLMS LÄN</t>
        </is>
      </c>
      <c r="E71" t="inlineStr">
        <is>
          <t>NORRTÄLJE</t>
        </is>
      </c>
      <c r="G71" t="n">
        <v>2</v>
      </c>
      <c r="H71" t="n">
        <v>2</v>
      </c>
      <c r="I71" t="n">
        <v>1</v>
      </c>
      <c r="J71" t="n">
        <v>0</v>
      </c>
      <c r="K71" t="n">
        <v>1</v>
      </c>
      <c r="L71" t="n">
        <v>0</v>
      </c>
      <c r="M71" t="n">
        <v>0</v>
      </c>
      <c r="N71" t="n">
        <v>0</v>
      </c>
      <c r="O71" t="n">
        <v>1</v>
      </c>
      <c r="P71" t="n">
        <v>1</v>
      </c>
      <c r="Q71" t="n">
        <v>3</v>
      </c>
      <c r="R71" s="2" t="inlineStr">
        <is>
          <t>Knärot
Kattfotslav
Kungsfågel</t>
        </is>
      </c>
      <c r="S71">
        <f>HYPERLINK("https://klasma.github.io/Logging_0188/artfynd/A 61288-2025 artfynd.xlsx", "A 61288-2025")</f>
        <v/>
      </c>
      <c r="T71">
        <f>HYPERLINK("https://klasma.github.io/Logging_0188/kartor/A 61288-2025 karta.png", "A 61288-2025")</f>
        <v/>
      </c>
      <c r="U71">
        <f>HYPERLINK("https://klasma.github.io/Logging_0188/knärot/A 61288-2025 karta knärot.png", "A 61288-2025")</f>
        <v/>
      </c>
      <c r="V71">
        <f>HYPERLINK("https://klasma.github.io/Logging_0188/klagomål/A 61288-2025 FSC-klagomål.docx", "A 61288-2025")</f>
        <v/>
      </c>
      <c r="W71">
        <f>HYPERLINK("https://klasma.github.io/Logging_0188/klagomålsmail/A 61288-2025 FSC-klagomål mail.docx", "A 61288-2025")</f>
        <v/>
      </c>
      <c r="X71">
        <f>HYPERLINK("https://klasma.github.io/Logging_0188/tillsyn/A 61288-2025 tillsynsbegäran.docx", "A 61288-2025")</f>
        <v/>
      </c>
      <c r="Y71">
        <f>HYPERLINK("https://klasma.github.io/Logging_0188/tillsynsmail/A 61288-2025 tillsynsbegäran mail.docx", "A 61288-2025")</f>
        <v/>
      </c>
      <c r="Z71">
        <f>HYPERLINK("https://klasma.github.io/Logging_0188/fåglar/A 61288-2025 prioriterade fågelarter.docx", "A 61288-2025")</f>
        <v/>
      </c>
    </row>
    <row r="72" ht="15" customHeight="1">
      <c r="A72" t="inlineStr">
        <is>
          <t>A 20185-2022</t>
        </is>
      </c>
      <c r="B72" s="1" t="n">
        <v>44698</v>
      </c>
      <c r="C72" s="1" t="n">
        <v>46050</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46050</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46050</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46050</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46050</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46050</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30693-2022</t>
        </is>
      </c>
      <c r="B78" s="1" t="n">
        <v>44763</v>
      </c>
      <c r="C78" s="1" t="n">
        <v>46050</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11031-2025</t>
        </is>
      </c>
      <c r="B79" s="1" t="n">
        <v>45723</v>
      </c>
      <c r="C79" s="1" t="n">
        <v>46050</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22190-2024</t>
        </is>
      </c>
      <c r="B80" s="1" t="n">
        <v>45446.35888888889</v>
      </c>
      <c r="C80" s="1" t="n">
        <v>46050</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50697-2025</t>
        </is>
      </c>
      <c r="B81" s="1" t="n">
        <v>45945.90854166666</v>
      </c>
      <c r="C81" s="1" t="n">
        <v>46050</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51980-2022</t>
        </is>
      </c>
      <c r="B82" s="1" t="n">
        <v>44872</v>
      </c>
      <c r="C82" s="1" t="n">
        <v>46050</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53608-2025</t>
        </is>
      </c>
      <c r="B83" s="1" t="n">
        <v>45960</v>
      </c>
      <c r="C83" s="1" t="n">
        <v>46050</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51220-2023</t>
        </is>
      </c>
      <c r="B84" s="1" t="n">
        <v>45219</v>
      </c>
      <c r="C84" s="1" t="n">
        <v>46050</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46050</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46050</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46050</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46050</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46050</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46050</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46050</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46050</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46050</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46050</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4595-2023</t>
        </is>
      </c>
      <c r="B95" s="1" t="n">
        <v>44956</v>
      </c>
      <c r="C95" s="1" t="n">
        <v>46050</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46050</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24535-2023</t>
        </is>
      </c>
      <c r="B97" s="1" t="n">
        <v>45082</v>
      </c>
      <c r="C97" s="1" t="n">
        <v>46050</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25669-2025</t>
        </is>
      </c>
      <c r="B98" s="1" t="n">
        <v>45803.62766203703</v>
      </c>
      <c r="C98" s="1" t="n">
        <v>46050</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46050</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25725-2025</t>
        </is>
      </c>
      <c r="B100" s="1" t="n">
        <v>45800</v>
      </c>
      <c r="C100" s="1" t="n">
        <v>46050</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25709-2025</t>
        </is>
      </c>
      <c r="B101" s="1" t="n">
        <v>45800</v>
      </c>
      <c r="C101" s="1" t="n">
        <v>46050</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4532-2025</t>
        </is>
      </c>
      <c r="B102" s="1" t="n">
        <v>45687.34177083334</v>
      </c>
      <c r="C102" s="1" t="n">
        <v>46050</v>
      </c>
      <c r="D102" t="inlineStr">
        <is>
          <t>STOCKHOLMS LÄN</t>
        </is>
      </c>
      <c r="E102" t="inlineStr">
        <is>
          <t>NORRTÄLJE</t>
        </is>
      </c>
      <c r="F102" t="inlineStr">
        <is>
          <t>Holmen skog AB</t>
        </is>
      </c>
      <c r="G102" t="n">
        <v>6.4</v>
      </c>
      <c r="H102" t="n">
        <v>1</v>
      </c>
      <c r="I102" t="n">
        <v>0</v>
      </c>
      <c r="J102" t="n">
        <v>0</v>
      </c>
      <c r="K102" t="n">
        <v>0</v>
      </c>
      <c r="L102" t="n">
        <v>1</v>
      </c>
      <c r="M102" t="n">
        <v>0</v>
      </c>
      <c r="N102" t="n">
        <v>0</v>
      </c>
      <c r="O102" t="n">
        <v>1</v>
      </c>
      <c r="P102" t="n">
        <v>1</v>
      </c>
      <c r="Q102" t="n">
        <v>1</v>
      </c>
      <c r="R102" s="2" t="inlineStr">
        <is>
          <t>Asknätfjäril</t>
        </is>
      </c>
      <c r="S102">
        <f>HYPERLINK("https://klasma.github.io/Logging_0188/artfynd/A 4532-2025 artfynd.xlsx", "A 4532-2025")</f>
        <v/>
      </c>
      <c r="T102">
        <f>HYPERLINK("https://klasma.github.io/Logging_0188/kartor/A 4532-2025 karta.png", "A 4532-2025")</f>
        <v/>
      </c>
      <c r="V102">
        <f>HYPERLINK("https://klasma.github.io/Logging_0188/klagomål/A 4532-2025 FSC-klagomål.docx", "A 4532-2025")</f>
        <v/>
      </c>
      <c r="W102">
        <f>HYPERLINK("https://klasma.github.io/Logging_0188/klagomålsmail/A 4532-2025 FSC-klagomål mail.docx", "A 4532-2025")</f>
        <v/>
      </c>
      <c r="X102">
        <f>HYPERLINK("https://klasma.github.io/Logging_0188/tillsyn/A 4532-2025 tillsynsbegäran.docx", "A 4532-2025")</f>
        <v/>
      </c>
      <c r="Y102">
        <f>HYPERLINK("https://klasma.github.io/Logging_0188/tillsynsmail/A 4532-2025 tillsynsbegäran mail.docx", "A 4532-2025")</f>
        <v/>
      </c>
    </row>
    <row r="103" ht="15" customHeight="1">
      <c r="A103" t="inlineStr">
        <is>
          <t>A 35649-2023</t>
        </is>
      </c>
      <c r="B103" s="1" t="n">
        <v>45146</v>
      </c>
      <c r="C103" s="1" t="n">
        <v>46050</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35691-2023</t>
        </is>
      </c>
      <c r="B104" s="1" t="n">
        <v>45147.65222222222</v>
      </c>
      <c r="C104" s="1" t="n">
        <v>46050</v>
      </c>
      <c r="D104" t="inlineStr">
        <is>
          <t>STOCKHOLMS LÄN</t>
        </is>
      </c>
      <c r="E104" t="inlineStr">
        <is>
          <t>NORRTÄLJE</t>
        </is>
      </c>
      <c r="G104" t="n">
        <v>2.3</v>
      </c>
      <c r="H104" t="n">
        <v>1</v>
      </c>
      <c r="I104" t="n">
        <v>0</v>
      </c>
      <c r="J104" t="n">
        <v>0</v>
      </c>
      <c r="K104" t="n">
        <v>0</v>
      </c>
      <c r="L104" t="n">
        <v>0</v>
      </c>
      <c r="M104" t="n">
        <v>0</v>
      </c>
      <c r="N104" t="n">
        <v>0</v>
      </c>
      <c r="O104" t="n">
        <v>0</v>
      </c>
      <c r="P104" t="n">
        <v>0</v>
      </c>
      <c r="Q104" t="n">
        <v>1</v>
      </c>
      <c r="R104" s="2" t="inlineStr">
        <is>
          <t>Kungsfågel</t>
        </is>
      </c>
      <c r="S104">
        <f>HYPERLINK("https://klasma.github.io/Logging_0188/artfynd/A 35691-2023 artfynd.xlsx", "A 35691-2023")</f>
        <v/>
      </c>
      <c r="T104">
        <f>HYPERLINK("https://klasma.github.io/Logging_0188/kartor/A 35691-2023 karta.png", "A 35691-2023")</f>
        <v/>
      </c>
      <c r="V104">
        <f>HYPERLINK("https://klasma.github.io/Logging_0188/klagomål/A 35691-2023 FSC-klagomål.docx", "A 35691-2023")</f>
        <v/>
      </c>
      <c r="W104">
        <f>HYPERLINK("https://klasma.github.io/Logging_0188/klagomålsmail/A 35691-2023 FSC-klagomål mail.docx", "A 35691-2023")</f>
        <v/>
      </c>
      <c r="X104">
        <f>HYPERLINK("https://klasma.github.io/Logging_0188/tillsyn/A 35691-2023 tillsynsbegäran.docx", "A 35691-2023")</f>
        <v/>
      </c>
      <c r="Y104">
        <f>HYPERLINK("https://klasma.github.io/Logging_0188/tillsynsmail/A 35691-2023 tillsynsbegäran mail.docx", "A 35691-2023")</f>
        <v/>
      </c>
      <c r="Z104">
        <f>HYPERLINK("https://klasma.github.io/Logging_0188/fåglar/A 35691-2023 prioriterade fågelarter.docx", "A 35691-2023")</f>
        <v/>
      </c>
    </row>
    <row r="105" ht="15" customHeight="1">
      <c r="A105" t="inlineStr">
        <is>
          <t>A 35693-2023</t>
        </is>
      </c>
      <c r="B105" s="1" t="n">
        <v>45147.65311342593</v>
      </c>
      <c r="C105" s="1" t="n">
        <v>46050</v>
      </c>
      <c r="D105" t="inlineStr">
        <is>
          <t>STOCKHOLMS LÄN</t>
        </is>
      </c>
      <c r="E105" t="inlineStr">
        <is>
          <t>NORRTÄLJE</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HYPERLINK("https://klasma.github.io/Logging_0188/artfynd/A 35693-2023 artfynd.xlsx", "A 35693-2023")</f>
        <v/>
      </c>
      <c r="T105">
        <f>HYPERLINK("https://klasma.github.io/Logging_0188/kartor/A 35693-2023 karta.png", "A 35693-2023")</f>
        <v/>
      </c>
      <c r="V105">
        <f>HYPERLINK("https://klasma.github.io/Logging_0188/klagomål/A 35693-2023 FSC-klagomål.docx", "A 35693-2023")</f>
        <v/>
      </c>
      <c r="W105">
        <f>HYPERLINK("https://klasma.github.io/Logging_0188/klagomålsmail/A 35693-2023 FSC-klagomål mail.docx", "A 35693-2023")</f>
        <v/>
      </c>
      <c r="X105">
        <f>HYPERLINK("https://klasma.github.io/Logging_0188/tillsyn/A 35693-2023 tillsynsbegäran.docx", "A 35693-2023")</f>
        <v/>
      </c>
      <c r="Y105">
        <f>HYPERLINK("https://klasma.github.io/Logging_0188/tillsynsmail/A 35693-2023 tillsynsbegäran mail.docx", "A 35693-2023")</f>
        <v/>
      </c>
    </row>
    <row r="106" ht="15" customHeight="1">
      <c r="A106" t="inlineStr">
        <is>
          <t>A 40861-2025</t>
        </is>
      </c>
      <c r="B106" s="1" t="n">
        <v>45897.56356481482</v>
      </c>
      <c r="C106" s="1" t="n">
        <v>46050</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13271-2025</t>
        </is>
      </c>
      <c r="B107" s="1" t="n">
        <v>45735.54510416667</v>
      </c>
      <c r="C107" s="1" t="n">
        <v>46050</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6381-2023</t>
        </is>
      </c>
      <c r="B108" s="1" t="n">
        <v>44965</v>
      </c>
      <c r="C108" s="1" t="n">
        <v>46050</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50854-2022</t>
        </is>
      </c>
      <c r="B109" s="1" t="n">
        <v>44863</v>
      </c>
      <c r="C109" s="1" t="n">
        <v>46050</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42313-2025</t>
        </is>
      </c>
      <c r="B110" s="1" t="n">
        <v>45904.6575</v>
      </c>
      <c r="C110" s="1" t="n">
        <v>46050</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29946-2025</t>
        </is>
      </c>
      <c r="B111" s="1" t="n">
        <v>45826.46392361111</v>
      </c>
      <c r="C111" s="1" t="n">
        <v>46050</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33548-2025</t>
        </is>
      </c>
      <c r="B112" s="1" t="n">
        <v>45841.5721875</v>
      </c>
      <c r="C112" s="1" t="n">
        <v>46050</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46050</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26120-2024</t>
        </is>
      </c>
      <c r="B114" s="1" t="n">
        <v>45468.45995370371</v>
      </c>
      <c r="C114" s="1" t="n">
        <v>46050</v>
      </c>
      <c r="D114" t="inlineStr">
        <is>
          <t>STOCKHOLMS LÄN</t>
        </is>
      </c>
      <c r="E114" t="inlineStr">
        <is>
          <t>NORRTÄLJE</t>
        </is>
      </c>
      <c r="G114" t="n">
        <v>1.8</v>
      </c>
      <c r="H114" t="n">
        <v>0</v>
      </c>
      <c r="I114" t="n">
        <v>0</v>
      </c>
      <c r="J114" t="n">
        <v>1</v>
      </c>
      <c r="K114" t="n">
        <v>0</v>
      </c>
      <c r="L114" t="n">
        <v>0</v>
      </c>
      <c r="M114" t="n">
        <v>0</v>
      </c>
      <c r="N114" t="n">
        <v>0</v>
      </c>
      <c r="O114" t="n">
        <v>1</v>
      </c>
      <c r="P114" t="n">
        <v>0</v>
      </c>
      <c r="Q114" t="n">
        <v>1</v>
      </c>
      <c r="R114" s="2" t="inlineStr">
        <is>
          <t>Majviva</t>
        </is>
      </c>
      <c r="S114">
        <f>HYPERLINK("https://klasma.github.io/Logging_0188/artfynd/A 26120-2024 artfynd.xlsx", "A 26120-2024")</f>
        <v/>
      </c>
      <c r="T114">
        <f>HYPERLINK("https://klasma.github.io/Logging_0188/kartor/A 26120-2024 karta.png", "A 26120-2024")</f>
        <v/>
      </c>
      <c r="V114">
        <f>HYPERLINK("https://klasma.github.io/Logging_0188/klagomål/A 26120-2024 FSC-klagomål.docx", "A 26120-2024")</f>
        <v/>
      </c>
      <c r="W114">
        <f>HYPERLINK("https://klasma.github.io/Logging_0188/klagomålsmail/A 26120-2024 FSC-klagomål mail.docx", "A 26120-2024")</f>
        <v/>
      </c>
      <c r="X114">
        <f>HYPERLINK("https://klasma.github.io/Logging_0188/tillsyn/A 26120-2024 tillsynsbegäran.docx", "A 26120-2024")</f>
        <v/>
      </c>
      <c r="Y114">
        <f>HYPERLINK("https://klasma.github.io/Logging_0188/tillsynsmail/A 26120-2024 tillsynsbegäran mail.docx", "A 26120-2024")</f>
        <v/>
      </c>
    </row>
    <row r="115" ht="15" customHeight="1">
      <c r="A115" t="inlineStr">
        <is>
          <t>A 13291-2025</t>
        </is>
      </c>
      <c r="B115" s="1" t="n">
        <v>45735</v>
      </c>
      <c r="C115" s="1" t="n">
        <v>46050</v>
      </c>
      <c r="D115" t="inlineStr">
        <is>
          <t>STOCKHOLMS LÄN</t>
        </is>
      </c>
      <c r="E115" t="inlineStr">
        <is>
          <t>NORRTÄLJE</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HYPERLINK("https://klasma.github.io/Logging_0188/artfynd/A 13291-2025 artfynd.xlsx", "A 13291-2025")</f>
        <v/>
      </c>
      <c r="T115">
        <f>HYPERLINK("https://klasma.github.io/Logging_0188/kartor/A 13291-2025 karta.png", "A 13291-2025")</f>
        <v/>
      </c>
      <c r="V115">
        <f>HYPERLINK("https://klasma.github.io/Logging_0188/klagomål/A 13291-2025 FSC-klagomål.docx", "A 13291-2025")</f>
        <v/>
      </c>
      <c r="W115">
        <f>HYPERLINK("https://klasma.github.io/Logging_0188/klagomålsmail/A 13291-2025 FSC-klagomål mail.docx", "A 13291-2025")</f>
        <v/>
      </c>
      <c r="X115">
        <f>HYPERLINK("https://klasma.github.io/Logging_0188/tillsyn/A 13291-2025 tillsynsbegäran.docx", "A 13291-2025")</f>
        <v/>
      </c>
      <c r="Y115">
        <f>HYPERLINK("https://klasma.github.io/Logging_0188/tillsynsmail/A 13291-2025 tillsynsbegäran mail.docx", "A 13291-2025")</f>
        <v/>
      </c>
    </row>
    <row r="116" ht="15" customHeight="1">
      <c r="A116" t="inlineStr">
        <is>
          <t>A 64456-2023</t>
        </is>
      </c>
      <c r="B116" s="1" t="n">
        <v>45280</v>
      </c>
      <c r="C116" s="1" t="n">
        <v>46050</v>
      </c>
      <c r="D116" t="inlineStr">
        <is>
          <t>STOCKHOLMS LÄN</t>
        </is>
      </c>
      <c r="E116" t="inlineStr">
        <is>
          <t>NORRTÄLJE</t>
        </is>
      </c>
      <c r="G116" t="n">
        <v>2.5</v>
      </c>
      <c r="H116" t="n">
        <v>0</v>
      </c>
      <c r="I116" t="n">
        <v>1</v>
      </c>
      <c r="J116" t="n">
        <v>0</v>
      </c>
      <c r="K116" t="n">
        <v>0</v>
      </c>
      <c r="L116" t="n">
        <v>0</v>
      </c>
      <c r="M116" t="n">
        <v>0</v>
      </c>
      <c r="N116" t="n">
        <v>0</v>
      </c>
      <c r="O116" t="n">
        <v>0</v>
      </c>
      <c r="P116" t="n">
        <v>0</v>
      </c>
      <c r="Q116" t="n">
        <v>1</v>
      </c>
      <c r="R116" s="2" t="inlineStr">
        <is>
          <t>Rödgul trumpetsvamp</t>
        </is>
      </c>
      <c r="S116">
        <f>HYPERLINK("https://klasma.github.io/Logging_0188/artfynd/A 64456-2023 artfynd.xlsx", "A 64456-2023")</f>
        <v/>
      </c>
      <c r="T116">
        <f>HYPERLINK("https://klasma.github.io/Logging_0188/kartor/A 64456-2023 karta.png", "A 64456-2023")</f>
        <v/>
      </c>
      <c r="V116">
        <f>HYPERLINK("https://klasma.github.io/Logging_0188/klagomål/A 64456-2023 FSC-klagomål.docx", "A 64456-2023")</f>
        <v/>
      </c>
      <c r="W116">
        <f>HYPERLINK("https://klasma.github.io/Logging_0188/klagomålsmail/A 64456-2023 FSC-klagomål mail.docx", "A 64456-2023")</f>
        <v/>
      </c>
      <c r="X116">
        <f>HYPERLINK("https://klasma.github.io/Logging_0188/tillsyn/A 64456-2023 tillsynsbegäran.docx", "A 64456-2023")</f>
        <v/>
      </c>
      <c r="Y116">
        <f>HYPERLINK("https://klasma.github.io/Logging_0188/tillsynsmail/A 64456-2023 tillsynsbegäran mail.docx", "A 64456-2023")</f>
        <v/>
      </c>
    </row>
    <row r="117" ht="15" customHeight="1">
      <c r="A117" t="inlineStr">
        <is>
          <t>A 39158-2025</t>
        </is>
      </c>
      <c r="B117" s="1" t="n">
        <v>45888</v>
      </c>
      <c r="C117" s="1" t="n">
        <v>46050</v>
      </c>
      <c r="D117" t="inlineStr">
        <is>
          <t>STOCKHOLMS LÄN</t>
        </is>
      </c>
      <c r="E117" t="inlineStr">
        <is>
          <t>NORRTÄLJE</t>
        </is>
      </c>
      <c r="G117" t="n">
        <v>1.5</v>
      </c>
      <c r="H117" t="n">
        <v>1</v>
      </c>
      <c r="I117" t="n">
        <v>0</v>
      </c>
      <c r="J117" t="n">
        <v>0</v>
      </c>
      <c r="K117" t="n">
        <v>0</v>
      </c>
      <c r="L117" t="n">
        <v>0</v>
      </c>
      <c r="M117" t="n">
        <v>0</v>
      </c>
      <c r="N117" t="n">
        <v>0</v>
      </c>
      <c r="O117" t="n">
        <v>0</v>
      </c>
      <c r="P117" t="n">
        <v>0</v>
      </c>
      <c r="Q117" t="n">
        <v>1</v>
      </c>
      <c r="R117" s="2" t="inlineStr">
        <is>
          <t>Blåsippa</t>
        </is>
      </c>
      <c r="S117">
        <f>HYPERLINK("https://klasma.github.io/Logging_0188/artfynd/A 39158-2025 artfynd.xlsx", "A 39158-2025")</f>
        <v/>
      </c>
      <c r="T117">
        <f>HYPERLINK("https://klasma.github.io/Logging_0188/kartor/A 39158-2025 karta.png", "A 39158-2025")</f>
        <v/>
      </c>
      <c r="V117">
        <f>HYPERLINK("https://klasma.github.io/Logging_0188/klagomål/A 39158-2025 FSC-klagomål.docx", "A 39158-2025")</f>
        <v/>
      </c>
      <c r="W117">
        <f>HYPERLINK("https://klasma.github.io/Logging_0188/klagomålsmail/A 39158-2025 FSC-klagomål mail.docx", "A 39158-2025")</f>
        <v/>
      </c>
      <c r="X117">
        <f>HYPERLINK("https://klasma.github.io/Logging_0188/tillsyn/A 39158-2025 tillsynsbegäran.docx", "A 39158-2025")</f>
        <v/>
      </c>
      <c r="Y117">
        <f>HYPERLINK("https://klasma.github.io/Logging_0188/tillsynsmail/A 39158-2025 tillsynsbegäran mail.docx", "A 39158-2025")</f>
        <v/>
      </c>
    </row>
    <row r="118" ht="15" customHeight="1">
      <c r="A118" t="inlineStr">
        <is>
          <t>A 8371-2025</t>
        </is>
      </c>
      <c r="B118" s="1" t="n">
        <v>45708</v>
      </c>
      <c r="C118" s="1" t="n">
        <v>46050</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24330-2023</t>
        </is>
      </c>
      <c r="B119" s="1" t="n">
        <v>45081</v>
      </c>
      <c r="C119" s="1" t="n">
        <v>46050</v>
      </c>
      <c r="D119" t="inlineStr">
        <is>
          <t>STOCKHOLMS LÄN</t>
        </is>
      </c>
      <c r="E119" t="inlineStr">
        <is>
          <t>NORRTÄLJE</t>
        </is>
      </c>
      <c r="G119" t="n">
        <v>5</v>
      </c>
      <c r="H119" t="n">
        <v>1</v>
      </c>
      <c r="I119" t="n">
        <v>0</v>
      </c>
      <c r="J119" t="n">
        <v>1</v>
      </c>
      <c r="K119" t="n">
        <v>0</v>
      </c>
      <c r="L119" t="n">
        <v>0</v>
      </c>
      <c r="M119" t="n">
        <v>0</v>
      </c>
      <c r="N119" t="n">
        <v>0</v>
      </c>
      <c r="O119" t="n">
        <v>1</v>
      </c>
      <c r="P119" t="n">
        <v>0</v>
      </c>
      <c r="Q119" t="n">
        <v>1</v>
      </c>
      <c r="R119" s="2" t="inlineStr">
        <is>
          <t>Mindre hackspett</t>
        </is>
      </c>
      <c r="S119">
        <f>HYPERLINK("https://klasma.github.io/Logging_0188/artfynd/A 24330-2023 artfynd.xlsx", "A 24330-2023")</f>
        <v/>
      </c>
      <c r="T119">
        <f>HYPERLINK("https://klasma.github.io/Logging_0188/kartor/A 24330-2023 karta.png", "A 24330-2023")</f>
        <v/>
      </c>
      <c r="V119">
        <f>HYPERLINK("https://klasma.github.io/Logging_0188/klagomål/A 24330-2023 FSC-klagomål.docx", "A 24330-2023")</f>
        <v/>
      </c>
      <c r="W119">
        <f>HYPERLINK("https://klasma.github.io/Logging_0188/klagomålsmail/A 24330-2023 FSC-klagomål mail.docx", "A 24330-2023")</f>
        <v/>
      </c>
      <c r="X119">
        <f>HYPERLINK("https://klasma.github.io/Logging_0188/tillsyn/A 24330-2023 tillsynsbegäran.docx", "A 24330-2023")</f>
        <v/>
      </c>
      <c r="Y119">
        <f>HYPERLINK("https://klasma.github.io/Logging_0188/tillsynsmail/A 24330-2023 tillsynsbegäran mail.docx", "A 24330-2023")</f>
        <v/>
      </c>
      <c r="Z119">
        <f>HYPERLINK("https://klasma.github.io/Logging_0188/fåglar/A 24330-2023 prioriterade fågelarter.docx", "A 24330-2023")</f>
        <v/>
      </c>
    </row>
    <row r="120" ht="15" customHeight="1">
      <c r="A120" t="inlineStr">
        <is>
          <t>A 21744-2023</t>
        </is>
      </c>
      <c r="B120" s="1" t="n">
        <v>45065</v>
      </c>
      <c r="C120" s="1" t="n">
        <v>46050</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52775-2025</t>
        </is>
      </c>
      <c r="B121" s="1" t="n">
        <v>45957.41608796296</v>
      </c>
      <c r="C121" s="1" t="n">
        <v>46050</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52611-2024</t>
        </is>
      </c>
      <c r="B122" s="1" t="n">
        <v>45609.83747685186</v>
      </c>
      <c r="C122" s="1" t="n">
        <v>46050</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17952-2022</t>
        </is>
      </c>
      <c r="B123" s="1" t="n">
        <v>44683</v>
      </c>
      <c r="C123" s="1" t="n">
        <v>46050</v>
      </c>
      <c r="D123" t="inlineStr">
        <is>
          <t>STOCKHOLMS LÄN</t>
        </is>
      </c>
      <c r="E123" t="inlineStr">
        <is>
          <t>NORRTÄLJE</t>
        </is>
      </c>
      <c r="G123" t="n">
        <v>51.1</v>
      </c>
      <c r="H123" t="n">
        <v>0</v>
      </c>
      <c r="I123" t="n">
        <v>0</v>
      </c>
      <c r="J123" t="n">
        <v>0</v>
      </c>
      <c r="K123" t="n">
        <v>1</v>
      </c>
      <c r="L123" t="n">
        <v>0</v>
      </c>
      <c r="M123" t="n">
        <v>0</v>
      </c>
      <c r="N123" t="n">
        <v>0</v>
      </c>
      <c r="O123" t="n">
        <v>1</v>
      </c>
      <c r="P123" t="n">
        <v>1</v>
      </c>
      <c r="Q123" t="n">
        <v>1</v>
      </c>
      <c r="R123" s="2" t="inlineStr">
        <is>
          <t>Kattunvisslare</t>
        </is>
      </c>
      <c r="S123">
        <f>HYPERLINK("https://klasma.github.io/Logging_0188/artfynd/A 17952-2022 artfynd.xlsx", "A 17952-2022")</f>
        <v/>
      </c>
      <c r="T123">
        <f>HYPERLINK("https://klasma.github.io/Logging_0188/kartor/A 17952-2022 karta.png", "A 17952-2022")</f>
        <v/>
      </c>
      <c r="V123">
        <f>HYPERLINK("https://klasma.github.io/Logging_0188/klagomål/A 17952-2022 FSC-klagomål.docx", "A 17952-2022")</f>
        <v/>
      </c>
      <c r="W123">
        <f>HYPERLINK("https://klasma.github.io/Logging_0188/klagomålsmail/A 17952-2022 FSC-klagomål mail.docx", "A 17952-2022")</f>
        <v/>
      </c>
      <c r="X123">
        <f>HYPERLINK("https://klasma.github.io/Logging_0188/tillsyn/A 17952-2022 tillsynsbegäran.docx", "A 17952-2022")</f>
        <v/>
      </c>
      <c r="Y123">
        <f>HYPERLINK("https://klasma.github.io/Logging_0188/tillsynsmail/A 17952-2022 tillsynsbegäran mail.docx", "A 17952-2022")</f>
        <v/>
      </c>
    </row>
    <row r="124" ht="15" customHeight="1">
      <c r="A124" t="inlineStr">
        <is>
          <t>A 53716-2025</t>
        </is>
      </c>
      <c r="B124" s="1" t="n">
        <v>45960.61782407408</v>
      </c>
      <c r="C124" s="1" t="n">
        <v>46050</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46050</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62715-2025</t>
        </is>
      </c>
      <c r="B126" s="1" t="n">
        <v>46008.52034722222</v>
      </c>
      <c r="C126" s="1" t="n">
        <v>46050</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46050</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364-2026</t>
        </is>
      </c>
      <c r="B128" s="1" t="n">
        <v>46027.67134259259</v>
      </c>
      <c r="C128" s="1" t="n">
        <v>46050</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26635-2023</t>
        </is>
      </c>
      <c r="B129" s="1" t="n">
        <v>45092</v>
      </c>
      <c r="C129" s="1" t="n">
        <v>46050</v>
      </c>
      <c r="D129" t="inlineStr">
        <is>
          <t>STOCKHOLMS LÄN</t>
        </is>
      </c>
      <c r="E129" t="inlineStr">
        <is>
          <t>NORRTÄLJE</t>
        </is>
      </c>
      <c r="G129" t="n">
        <v>3.1</v>
      </c>
      <c r="H129" t="n">
        <v>1</v>
      </c>
      <c r="I129" t="n">
        <v>0</v>
      </c>
      <c r="J129" t="n">
        <v>0</v>
      </c>
      <c r="K129" t="n">
        <v>0</v>
      </c>
      <c r="L129" t="n">
        <v>0</v>
      </c>
      <c r="M129" t="n">
        <v>0</v>
      </c>
      <c r="N129" t="n">
        <v>0</v>
      </c>
      <c r="O129" t="n">
        <v>0</v>
      </c>
      <c r="P129" t="n">
        <v>0</v>
      </c>
      <c r="Q129" t="n">
        <v>1</v>
      </c>
      <c r="R129" s="2" t="inlineStr">
        <is>
          <t>Fläcknycklar</t>
        </is>
      </c>
      <c r="S129">
        <f>HYPERLINK("https://klasma.github.io/Logging_0188/artfynd/A 26635-2023 artfynd.xlsx", "A 26635-2023")</f>
        <v/>
      </c>
      <c r="T129">
        <f>HYPERLINK("https://klasma.github.io/Logging_0188/kartor/A 26635-2023 karta.png", "A 26635-2023")</f>
        <v/>
      </c>
      <c r="V129">
        <f>HYPERLINK("https://klasma.github.io/Logging_0188/klagomål/A 26635-2023 FSC-klagomål.docx", "A 26635-2023")</f>
        <v/>
      </c>
      <c r="W129">
        <f>HYPERLINK("https://klasma.github.io/Logging_0188/klagomålsmail/A 26635-2023 FSC-klagomål mail.docx", "A 26635-2023")</f>
        <v/>
      </c>
      <c r="X129">
        <f>HYPERLINK("https://klasma.github.io/Logging_0188/tillsyn/A 26635-2023 tillsynsbegäran.docx", "A 26635-2023")</f>
        <v/>
      </c>
      <c r="Y129">
        <f>HYPERLINK("https://klasma.github.io/Logging_0188/tillsynsmail/A 26635-2023 tillsynsbegäran mail.docx", "A 26635-2023")</f>
        <v/>
      </c>
    </row>
    <row r="130" ht="15" customHeight="1">
      <c r="A130" t="inlineStr">
        <is>
          <t>A 59682-2025</t>
        </is>
      </c>
      <c r="B130" s="1" t="n">
        <v>45992.47116898148</v>
      </c>
      <c r="C130" s="1" t="n">
        <v>46050</v>
      </c>
      <c r="D130" t="inlineStr">
        <is>
          <t>STOCKHOLMS LÄN</t>
        </is>
      </c>
      <c r="E130" t="inlineStr">
        <is>
          <t>NORRTÄLJE</t>
        </is>
      </c>
      <c r="G130" t="n">
        <v>1.6</v>
      </c>
      <c r="H130" t="n">
        <v>0</v>
      </c>
      <c r="I130" t="n">
        <v>1</v>
      </c>
      <c r="J130" t="n">
        <v>0</v>
      </c>
      <c r="K130" t="n">
        <v>0</v>
      </c>
      <c r="L130" t="n">
        <v>0</v>
      </c>
      <c r="M130" t="n">
        <v>0</v>
      </c>
      <c r="N130" t="n">
        <v>0</v>
      </c>
      <c r="O130" t="n">
        <v>0</v>
      </c>
      <c r="P130" t="n">
        <v>0</v>
      </c>
      <c r="Q130" t="n">
        <v>1</v>
      </c>
      <c r="R130" s="2" t="inlineStr">
        <is>
          <t>Grönpyrola</t>
        </is>
      </c>
      <c r="S130">
        <f>HYPERLINK("https://klasma.github.io/Logging_0188/artfynd/A 59682-2025 artfynd.xlsx", "A 59682-2025")</f>
        <v/>
      </c>
      <c r="T130">
        <f>HYPERLINK("https://klasma.github.io/Logging_0188/kartor/A 59682-2025 karta.png", "A 59682-2025")</f>
        <v/>
      </c>
      <c r="V130">
        <f>HYPERLINK("https://klasma.github.io/Logging_0188/klagomål/A 59682-2025 FSC-klagomål.docx", "A 59682-2025")</f>
        <v/>
      </c>
      <c r="W130">
        <f>HYPERLINK("https://klasma.github.io/Logging_0188/klagomålsmail/A 59682-2025 FSC-klagomål mail.docx", "A 59682-2025")</f>
        <v/>
      </c>
      <c r="X130">
        <f>HYPERLINK("https://klasma.github.io/Logging_0188/tillsyn/A 59682-2025 tillsynsbegäran.docx", "A 59682-2025")</f>
        <v/>
      </c>
      <c r="Y130">
        <f>HYPERLINK("https://klasma.github.io/Logging_0188/tillsynsmail/A 59682-2025 tillsynsbegäran mail.docx", "A 59682-2025")</f>
        <v/>
      </c>
    </row>
    <row r="131" ht="15" customHeight="1">
      <c r="A131" t="inlineStr">
        <is>
          <t>A 47898-2022</t>
        </is>
      </c>
      <c r="B131" s="1" t="n">
        <v>44855</v>
      </c>
      <c r="C131" s="1" t="n">
        <v>46050</v>
      </c>
      <c r="D131" t="inlineStr">
        <is>
          <t>STOCKHOLMS LÄN</t>
        </is>
      </c>
      <c r="E131" t="inlineStr">
        <is>
          <t>NORRTÄLJE</t>
        </is>
      </c>
      <c r="G131" t="n">
        <v>6.7</v>
      </c>
      <c r="H131" t="n">
        <v>1</v>
      </c>
      <c r="I131" t="n">
        <v>1</v>
      </c>
      <c r="J131" t="n">
        <v>0</v>
      </c>
      <c r="K131" t="n">
        <v>0</v>
      </c>
      <c r="L131" t="n">
        <v>0</v>
      </c>
      <c r="M131" t="n">
        <v>0</v>
      </c>
      <c r="N131" t="n">
        <v>0</v>
      </c>
      <c r="O131" t="n">
        <v>0</v>
      </c>
      <c r="P131" t="n">
        <v>0</v>
      </c>
      <c r="Q131" t="n">
        <v>1</v>
      </c>
      <c r="R131" s="2" t="inlineStr">
        <is>
          <t>Guckusko</t>
        </is>
      </c>
      <c r="S131">
        <f>HYPERLINK("https://klasma.github.io/Logging_0188/artfynd/A 47898-2022 artfynd.xlsx", "A 47898-2022")</f>
        <v/>
      </c>
      <c r="T131">
        <f>HYPERLINK("https://klasma.github.io/Logging_0188/kartor/A 47898-2022 karta.png", "A 47898-2022")</f>
        <v/>
      </c>
      <c r="V131">
        <f>HYPERLINK("https://klasma.github.io/Logging_0188/klagomål/A 47898-2022 FSC-klagomål.docx", "A 47898-2022")</f>
        <v/>
      </c>
      <c r="W131">
        <f>HYPERLINK("https://klasma.github.io/Logging_0188/klagomålsmail/A 47898-2022 FSC-klagomål mail.docx", "A 47898-2022")</f>
        <v/>
      </c>
      <c r="X131">
        <f>HYPERLINK("https://klasma.github.io/Logging_0188/tillsyn/A 47898-2022 tillsynsbegäran.docx", "A 47898-2022")</f>
        <v/>
      </c>
      <c r="Y131">
        <f>HYPERLINK("https://klasma.github.io/Logging_0188/tillsynsmail/A 47898-2022 tillsynsbegäran mail.docx", "A 47898-2022")</f>
        <v/>
      </c>
    </row>
    <row r="132" ht="15" customHeight="1">
      <c r="A132" t="inlineStr">
        <is>
          <t>A 14365-2025</t>
        </is>
      </c>
      <c r="B132" s="1" t="n">
        <v>45741.38688657407</v>
      </c>
      <c r="C132" s="1" t="n">
        <v>46050</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46050</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46050</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46050</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46050</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46050</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46050</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46050</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46050</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46050</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46050</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46050</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46050</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9955-2022</t>
        </is>
      </c>
      <c r="B145" s="1" t="n">
        <v>44620</v>
      </c>
      <c r="C145" s="1" t="n">
        <v>46050</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18580-2021</t>
        </is>
      </c>
      <c r="B146" s="1" t="n">
        <v>44306</v>
      </c>
      <c r="C146" s="1" t="n">
        <v>46050</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46050</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46050</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46050</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46050</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46050</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46050</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46050</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46050</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46050</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46050</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46050</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46050</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46050</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46050</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46050</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46050</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46050</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46050</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46050</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46050</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46050</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46050</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46050</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46050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46050</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46050</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46050</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46050</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46050</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46050</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46050</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46050</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46050</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18905-2022</t>
        </is>
      </c>
      <c r="B180" s="1" t="n">
        <v>44690</v>
      </c>
      <c r="C180" s="1" t="n">
        <v>46050</v>
      </c>
      <c r="D180" t="inlineStr">
        <is>
          <t>STOCKHOLMS LÄN</t>
        </is>
      </c>
      <c r="E180" t="inlineStr">
        <is>
          <t>NORRTÄLJE</t>
        </is>
      </c>
      <c r="G180" t="n">
        <v>0.7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46050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46050</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46050</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46050</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46050</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71876-2021</t>
        </is>
      </c>
      <c r="B186" s="1" t="n">
        <v>44543</v>
      </c>
      <c r="C186" s="1" t="n">
        <v>46050</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71878-2021</t>
        </is>
      </c>
      <c r="B187" s="1" t="n">
        <v>44543</v>
      </c>
      <c r="C187" s="1" t="n">
        <v>46050</v>
      </c>
      <c r="D187" t="inlineStr">
        <is>
          <t>STOCKHOLMS LÄN</t>
        </is>
      </c>
      <c r="E187" t="inlineStr">
        <is>
          <t>NORRTÄLJE</t>
        </is>
      </c>
      <c r="G187" t="n">
        <v>1.2</v>
      </c>
      <c r="H187" t="n">
        <v>0</v>
      </c>
      <c r="I187" t="n">
        <v>0</v>
      </c>
      <c r="J187" t="n">
        <v>0</v>
      </c>
      <c r="K187" t="n">
        <v>0</v>
      </c>
      <c r="L187" t="n">
        <v>0</v>
      </c>
      <c r="M187" t="n">
        <v>0</v>
      </c>
      <c r="N187" t="n">
        <v>0</v>
      </c>
      <c r="O187" t="n">
        <v>0</v>
      </c>
      <c r="P187" t="n">
        <v>0</v>
      </c>
      <c r="Q187" t="n">
        <v>0</v>
      </c>
      <c r="R187" s="2" t="inlineStr"/>
    </row>
    <row r="188" ht="15" customHeight="1">
      <c r="A188" t="inlineStr">
        <is>
          <t>A 45539-2022</t>
        </is>
      </c>
      <c r="B188" s="1" t="n">
        <v>44845.47585648148</v>
      </c>
      <c r="C188" s="1" t="n">
        <v>46050</v>
      </c>
      <c r="D188" t="inlineStr">
        <is>
          <t>STOCKHOLMS LÄN</t>
        </is>
      </c>
      <c r="E188" t="inlineStr">
        <is>
          <t>NORRTÄLJE</t>
        </is>
      </c>
      <c r="G188" t="n">
        <v>0.3</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46050</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46050</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46050</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54340-2022</t>
        </is>
      </c>
      <c r="B192" s="1" t="n">
        <v>44882.44732638889</v>
      </c>
      <c r="C192" s="1" t="n">
        <v>46050</v>
      </c>
      <c r="D192" t="inlineStr">
        <is>
          <t>STOCKHOLMS LÄN</t>
        </is>
      </c>
      <c r="E192" t="inlineStr">
        <is>
          <t>NORRTÄLJE</t>
        </is>
      </c>
      <c r="G192" t="n">
        <v>6.7</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46050</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46050</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20073-2021</t>
        </is>
      </c>
      <c r="B195" s="1" t="n">
        <v>44314</v>
      </c>
      <c r="C195" s="1" t="n">
        <v>46050</v>
      </c>
      <c r="D195" t="inlineStr">
        <is>
          <t>STOCKHOLMS LÄN</t>
        </is>
      </c>
      <c r="E195" t="inlineStr">
        <is>
          <t>NORRTÄLJE</t>
        </is>
      </c>
      <c r="G195" t="n">
        <v>4.6</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46050</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46050</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46050</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46050</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29868-2022</t>
        </is>
      </c>
      <c r="B200" s="1" t="n">
        <v>44756.40881944444</v>
      </c>
      <c r="C200" s="1" t="n">
        <v>46050</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46050</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16668-2021</t>
        </is>
      </c>
      <c r="B202" s="1" t="n">
        <v>44294</v>
      </c>
      <c r="C202" s="1" t="n">
        <v>46050</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46050</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46050</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64599-2021</t>
        </is>
      </c>
      <c r="B205" s="1" t="n">
        <v>44511.69885416667</v>
      </c>
      <c r="C205" s="1" t="n">
        <v>46050</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46050</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46050</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46050</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46050</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46050</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46050</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64628-2021</t>
        </is>
      </c>
      <c r="B212" s="1" t="n">
        <v>44511</v>
      </c>
      <c r="C212" s="1" t="n">
        <v>46050</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60209-2021</t>
        </is>
      </c>
      <c r="B213" s="1" t="n">
        <v>44495</v>
      </c>
      <c r="C213" s="1" t="n">
        <v>46050</v>
      </c>
      <c r="D213" t="inlineStr">
        <is>
          <t>STOCKHOLMS LÄN</t>
        </is>
      </c>
      <c r="E213" t="inlineStr">
        <is>
          <t>NORRTÄLJE</t>
        </is>
      </c>
      <c r="G213" t="n">
        <v>4.3</v>
      </c>
      <c r="H213" t="n">
        <v>0</v>
      </c>
      <c r="I213" t="n">
        <v>0</v>
      </c>
      <c r="J213" t="n">
        <v>0</v>
      </c>
      <c r="K213" t="n">
        <v>0</v>
      </c>
      <c r="L213" t="n">
        <v>0</v>
      </c>
      <c r="M213" t="n">
        <v>0</v>
      </c>
      <c r="N213" t="n">
        <v>0</v>
      </c>
      <c r="O213" t="n">
        <v>0</v>
      </c>
      <c r="P213" t="n">
        <v>0</v>
      </c>
      <c r="Q213" t="n">
        <v>0</v>
      </c>
      <c r="R213" s="2" t="inlineStr"/>
    </row>
    <row r="214" ht="15" customHeight="1">
      <c r="A214" t="inlineStr">
        <is>
          <t>A 17803-2022</t>
        </is>
      </c>
      <c r="B214" s="1" t="n">
        <v>44683</v>
      </c>
      <c r="C214" s="1" t="n">
        <v>46050</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46050</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46050</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46050</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46050</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46050</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46050</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46050</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46050</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46050</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46050</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46050</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71871-2021</t>
        </is>
      </c>
      <c r="B226" s="1" t="n">
        <v>44543</v>
      </c>
      <c r="C226" s="1" t="n">
        <v>46050</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71873-2021</t>
        </is>
      </c>
      <c r="B227" s="1" t="n">
        <v>44543</v>
      </c>
      <c r="C227" s="1" t="n">
        <v>46050</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72355-2021</t>
        </is>
      </c>
      <c r="B228" s="1" t="n">
        <v>44545</v>
      </c>
      <c r="C228" s="1" t="n">
        <v>46050</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72357-2021</t>
        </is>
      </c>
      <c r="B229" s="1" t="n">
        <v>44545</v>
      </c>
      <c r="C229" s="1" t="n">
        <v>46050</v>
      </c>
      <c r="D229" t="inlineStr">
        <is>
          <t>STOCKHOLMS LÄN</t>
        </is>
      </c>
      <c r="E229" t="inlineStr">
        <is>
          <t>NORRTÄLJE</t>
        </is>
      </c>
      <c r="G229" t="n">
        <v>5.1</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46050</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46050</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5351-2022</t>
        </is>
      </c>
      <c r="B232" s="1" t="n">
        <v>44594.75950231482</v>
      </c>
      <c r="C232" s="1" t="n">
        <v>46050</v>
      </c>
      <c r="D232" t="inlineStr">
        <is>
          <t>STOCKHOLMS LÄN</t>
        </is>
      </c>
      <c r="E232" t="inlineStr">
        <is>
          <t>NORRTÄLJE</t>
        </is>
      </c>
      <c r="G232" t="n">
        <v>4</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46050</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46050</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46050</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46050</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46050</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46050</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46050</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46050</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46050</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46050</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1968-2022</t>
        </is>
      </c>
      <c r="B243" s="1" t="n">
        <v>44575.52831018518</v>
      </c>
      <c r="C243" s="1" t="n">
        <v>46050</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46050</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46050</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24167-2022</t>
        </is>
      </c>
      <c r="B246" s="1" t="n">
        <v>44725.49491898148</v>
      </c>
      <c r="C246" s="1" t="n">
        <v>46050</v>
      </c>
      <c r="D246" t="inlineStr">
        <is>
          <t>STOCKHOLMS LÄN</t>
        </is>
      </c>
      <c r="E246" t="inlineStr">
        <is>
          <t>NORRTÄLJE</t>
        </is>
      </c>
      <c r="G246" t="n">
        <v>3.4</v>
      </c>
      <c r="H246" t="n">
        <v>0</v>
      </c>
      <c r="I246" t="n">
        <v>0</v>
      </c>
      <c r="J246" t="n">
        <v>0</v>
      </c>
      <c r="K246" t="n">
        <v>0</v>
      </c>
      <c r="L246" t="n">
        <v>0</v>
      </c>
      <c r="M246" t="n">
        <v>0</v>
      </c>
      <c r="N246" t="n">
        <v>0</v>
      </c>
      <c r="O246" t="n">
        <v>0</v>
      </c>
      <c r="P246" t="n">
        <v>0</v>
      </c>
      <c r="Q246" t="n">
        <v>0</v>
      </c>
      <c r="R246" s="2" t="inlineStr"/>
    </row>
    <row r="247" ht="15" customHeight="1">
      <c r="A247" t="inlineStr">
        <is>
          <t>A 42396-2021</t>
        </is>
      </c>
      <c r="B247" s="1" t="n">
        <v>44427</v>
      </c>
      <c r="C247" s="1" t="n">
        <v>46050</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46050</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46050</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46050</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46050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12270-2022</t>
        </is>
      </c>
      <c r="B252" s="1" t="n">
        <v>44637</v>
      </c>
      <c r="C252" s="1" t="n">
        <v>46050</v>
      </c>
      <c r="D252" t="inlineStr">
        <is>
          <t>STOCKHOLMS LÄN</t>
        </is>
      </c>
      <c r="E252" t="inlineStr">
        <is>
          <t>NORRTÄLJE</t>
        </is>
      </c>
      <c r="G252" t="n">
        <v>2.3</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46050</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28042-2022</t>
        </is>
      </c>
      <c r="B254" s="1" t="n">
        <v>44744</v>
      </c>
      <c r="C254" s="1" t="n">
        <v>46050</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46050</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46050</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19398-2021</t>
        </is>
      </c>
      <c r="B257" s="1" t="n">
        <v>44309</v>
      </c>
      <c r="C257" s="1" t="n">
        <v>46050</v>
      </c>
      <c r="D257" t="inlineStr">
        <is>
          <t>STOCKHOLMS LÄN</t>
        </is>
      </c>
      <c r="E257" t="inlineStr">
        <is>
          <t>NORRTÄLJE</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46050</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46050</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45541-2022</t>
        </is>
      </c>
      <c r="B260" s="1" t="n">
        <v>44845.47672453704</v>
      </c>
      <c r="C260" s="1" t="n">
        <v>46050</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46050</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46050</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46050</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52139-2022</t>
        </is>
      </c>
      <c r="B264" s="1" t="n">
        <v>44868</v>
      </c>
      <c r="C264" s="1" t="n">
        <v>46050</v>
      </c>
      <c r="D264" t="inlineStr">
        <is>
          <t>STOCKHOLMS LÄN</t>
        </is>
      </c>
      <c r="E264" t="inlineStr">
        <is>
          <t>NORRTÄLJE</t>
        </is>
      </c>
      <c r="G264" t="n">
        <v>3.2</v>
      </c>
      <c r="H264" t="n">
        <v>0</v>
      </c>
      <c r="I264" t="n">
        <v>0</v>
      </c>
      <c r="J264" t="n">
        <v>0</v>
      </c>
      <c r="K264" t="n">
        <v>0</v>
      </c>
      <c r="L264" t="n">
        <v>0</v>
      </c>
      <c r="M264" t="n">
        <v>0</v>
      </c>
      <c r="N264" t="n">
        <v>0</v>
      </c>
      <c r="O264" t="n">
        <v>0</v>
      </c>
      <c r="P264" t="n">
        <v>0</v>
      </c>
      <c r="Q264" t="n">
        <v>0</v>
      </c>
      <c r="R264" s="2" t="inlineStr"/>
      <c r="U264">
        <f>HYPERLINK("https://klasma.github.io/Logging_0188/knärot/A 52139-2022 karta knärot.png", "A 52139-2022")</f>
        <v/>
      </c>
      <c r="V264">
        <f>HYPERLINK("https://klasma.github.io/Logging_0188/klagomål/A 52139-2022 FSC-klagomål.docx", "A 52139-2022")</f>
        <v/>
      </c>
      <c r="W264">
        <f>HYPERLINK("https://klasma.github.io/Logging_0188/klagomålsmail/A 52139-2022 FSC-klagomål mail.docx", "A 52139-2022")</f>
        <v/>
      </c>
      <c r="X264">
        <f>HYPERLINK("https://klasma.github.io/Logging_0188/tillsyn/A 52139-2022 tillsynsbegäran.docx", "A 52139-2022")</f>
        <v/>
      </c>
      <c r="Y264">
        <f>HYPERLINK("https://klasma.github.io/Logging_0188/tillsynsmail/A 52139-2022 tillsynsbegäran mail.docx", "A 52139-2022")</f>
        <v/>
      </c>
    </row>
    <row r="265" ht="15" customHeight="1">
      <c r="A265" t="inlineStr">
        <is>
          <t>A 9446-2021</t>
        </is>
      </c>
      <c r="B265" s="1" t="n">
        <v>44251</v>
      </c>
      <c r="C265" s="1" t="n">
        <v>46050</v>
      </c>
      <c r="D265" t="inlineStr">
        <is>
          <t>STOCKHOLMS LÄN</t>
        </is>
      </c>
      <c r="E265" t="inlineStr">
        <is>
          <t>NORRTÄLJE</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17673-2021</t>
        </is>
      </c>
      <c r="B266" s="1" t="n">
        <v>44300</v>
      </c>
      <c r="C266" s="1" t="n">
        <v>46050</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c r="T266">
        <f>HYPERLINK("https://klasma.github.io/Logging_0188/kartor/A 17673-2021 karta.png", "A 17673-2021")</f>
        <v/>
      </c>
      <c r="V266">
        <f>HYPERLINK("https://klasma.github.io/Logging_0188/klagomål/A 17673-2021 FSC-klagomål.docx", "A 17673-2021")</f>
        <v/>
      </c>
      <c r="W266">
        <f>HYPERLINK("https://klasma.github.io/Logging_0188/klagomålsmail/A 17673-2021 FSC-klagomål mail.docx", "A 17673-2021")</f>
        <v/>
      </c>
      <c r="X266">
        <f>HYPERLINK("https://klasma.github.io/Logging_0188/tillsyn/A 17673-2021 tillsynsbegäran.docx", "A 17673-2021")</f>
        <v/>
      </c>
      <c r="Y266">
        <f>HYPERLINK("https://klasma.github.io/Logging_0188/tillsynsmail/A 17673-2021 tillsynsbegäran mail.docx", "A 17673-2021")</f>
        <v/>
      </c>
      <c r="Z266">
        <f>HYPERLINK("https://klasma.github.io/Logging_0188/fåglar/A 17673-2021 prioriterade fågelarter.docx", "A 17673-2021")</f>
        <v/>
      </c>
    </row>
    <row r="267" ht="15" customHeight="1">
      <c r="A267" t="inlineStr">
        <is>
          <t>A 27217-2021</t>
        </is>
      </c>
      <c r="B267" s="1" t="n">
        <v>44350</v>
      </c>
      <c r="C267" s="1" t="n">
        <v>46050</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62030-2021</t>
        </is>
      </c>
      <c r="B268" s="1" t="n">
        <v>44502</v>
      </c>
      <c r="C268" s="1" t="n">
        <v>46050</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12875-2022</t>
        </is>
      </c>
      <c r="B269" s="1" t="n">
        <v>44642.55565972222</v>
      </c>
      <c r="C269" s="1" t="n">
        <v>46050</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23453-2021</t>
        </is>
      </c>
      <c r="B270" s="1" t="n">
        <v>44333</v>
      </c>
      <c r="C270" s="1" t="n">
        <v>46050</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12355-2022</t>
        </is>
      </c>
      <c r="B271" s="1" t="n">
        <v>44637</v>
      </c>
      <c r="C271" s="1" t="n">
        <v>46050</v>
      </c>
      <c r="D271" t="inlineStr">
        <is>
          <t>STOCKHOLMS LÄN</t>
        </is>
      </c>
      <c r="E271" t="inlineStr">
        <is>
          <t>NORRTÄLJE</t>
        </is>
      </c>
      <c r="G271" t="n">
        <v>10.4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46050</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41822-2021</t>
        </is>
      </c>
      <c r="B273" s="1" t="n">
        <v>44425</v>
      </c>
      <c r="C273" s="1" t="n">
        <v>46050</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41823-2021</t>
        </is>
      </c>
      <c r="B274" s="1" t="n">
        <v>44425</v>
      </c>
      <c r="C274" s="1" t="n">
        <v>46050</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27214-2021</t>
        </is>
      </c>
      <c r="B275" s="1" t="n">
        <v>44350</v>
      </c>
      <c r="C275" s="1" t="n">
        <v>46050</v>
      </c>
      <c r="D275" t="inlineStr">
        <is>
          <t>STOCKHOLMS LÄN</t>
        </is>
      </c>
      <c r="E275" t="inlineStr">
        <is>
          <t>NORRTÄLJE</t>
        </is>
      </c>
      <c r="G275" t="n">
        <v>1</v>
      </c>
      <c r="H275" t="n">
        <v>0</v>
      </c>
      <c r="I275" t="n">
        <v>0</v>
      </c>
      <c r="J275" t="n">
        <v>0</v>
      </c>
      <c r="K275" t="n">
        <v>0</v>
      </c>
      <c r="L275" t="n">
        <v>0</v>
      </c>
      <c r="M275" t="n">
        <v>0</v>
      </c>
      <c r="N275" t="n">
        <v>0</v>
      </c>
      <c r="O275" t="n">
        <v>0</v>
      </c>
      <c r="P275" t="n">
        <v>0</v>
      </c>
      <c r="Q275" t="n">
        <v>0</v>
      </c>
      <c r="R275" s="2" t="inlineStr"/>
    </row>
    <row r="276" ht="15" customHeight="1">
      <c r="A276" t="inlineStr">
        <is>
          <t>A 20295-2022</t>
        </is>
      </c>
      <c r="B276" s="1" t="n">
        <v>44698</v>
      </c>
      <c r="C276" s="1" t="n">
        <v>46050</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46050</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46050</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30286-2022</t>
        </is>
      </c>
      <c r="B279" s="1" t="n">
        <v>44760</v>
      </c>
      <c r="C279" s="1" t="n">
        <v>46050</v>
      </c>
      <c r="D279" t="inlineStr">
        <is>
          <t>STOCKHOLMS LÄN</t>
        </is>
      </c>
      <c r="E279" t="inlineStr">
        <is>
          <t>NORRTÄLJE</t>
        </is>
      </c>
      <c r="G279" t="n">
        <v>0.3</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46050</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46050</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46050</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3300-2022</t>
        </is>
      </c>
      <c r="B283" s="1" t="n">
        <v>44584.91538194445</v>
      </c>
      <c r="C283" s="1" t="n">
        <v>46050</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17388-2022</t>
        </is>
      </c>
      <c r="B284" s="1" t="n">
        <v>44678</v>
      </c>
      <c r="C284" s="1" t="n">
        <v>46050</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17771-2022</t>
        </is>
      </c>
      <c r="B285" s="1" t="n">
        <v>44682.75924768519</v>
      </c>
      <c r="C285" s="1" t="n">
        <v>46050</v>
      </c>
      <c r="D285" t="inlineStr">
        <is>
          <t>STOCKHOLMS LÄN</t>
        </is>
      </c>
      <c r="E285" t="inlineStr">
        <is>
          <t>NORRTÄLJE</t>
        </is>
      </c>
      <c r="G285" t="n">
        <v>13.3</v>
      </c>
      <c r="H285" t="n">
        <v>0</v>
      </c>
      <c r="I285" t="n">
        <v>0</v>
      </c>
      <c r="J285" t="n">
        <v>0</v>
      </c>
      <c r="K285" t="n">
        <v>0</v>
      </c>
      <c r="L285" t="n">
        <v>0</v>
      </c>
      <c r="M285" t="n">
        <v>0</v>
      </c>
      <c r="N285" t="n">
        <v>0</v>
      </c>
      <c r="O285" t="n">
        <v>0</v>
      </c>
      <c r="P285" t="n">
        <v>0</v>
      </c>
      <c r="Q285" t="n">
        <v>0</v>
      </c>
      <c r="R285" s="2" t="inlineStr"/>
    </row>
    <row r="286" ht="15" customHeight="1">
      <c r="A286" t="inlineStr">
        <is>
          <t>A 17773-2022</t>
        </is>
      </c>
      <c r="B286" s="1" t="n">
        <v>44682.77616898148</v>
      </c>
      <c r="C286" s="1" t="n">
        <v>46050</v>
      </c>
      <c r="D286" t="inlineStr">
        <is>
          <t>STOCKHOLMS LÄN</t>
        </is>
      </c>
      <c r="E286" t="inlineStr">
        <is>
          <t>NORRTÄLJE</t>
        </is>
      </c>
      <c r="G286" t="n">
        <v>10.8</v>
      </c>
      <c r="H286" t="n">
        <v>0</v>
      </c>
      <c r="I286" t="n">
        <v>0</v>
      </c>
      <c r="J286" t="n">
        <v>0</v>
      </c>
      <c r="K286" t="n">
        <v>0</v>
      </c>
      <c r="L286" t="n">
        <v>0</v>
      </c>
      <c r="M286" t="n">
        <v>0</v>
      </c>
      <c r="N286" t="n">
        <v>0</v>
      </c>
      <c r="O286" t="n">
        <v>0</v>
      </c>
      <c r="P286" t="n">
        <v>0</v>
      </c>
      <c r="Q286" t="n">
        <v>0</v>
      </c>
      <c r="R286" s="2" t="inlineStr"/>
    </row>
    <row r="287" ht="15" customHeight="1">
      <c r="A287" t="inlineStr">
        <is>
          <t>A 10521-2022</t>
        </is>
      </c>
      <c r="B287" s="1" t="n">
        <v>44623</v>
      </c>
      <c r="C287" s="1" t="n">
        <v>46050</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16117-2022</t>
        </is>
      </c>
      <c r="B288" s="1" t="n">
        <v>44665.65474537037</v>
      </c>
      <c r="C288" s="1" t="n">
        <v>46050</v>
      </c>
      <c r="D288" t="inlineStr">
        <is>
          <t>STOCKHOLMS LÄN</t>
        </is>
      </c>
      <c r="E288" t="inlineStr">
        <is>
          <t>NORRTÄLJE</t>
        </is>
      </c>
      <c r="G288" t="n">
        <v>8.1</v>
      </c>
      <c r="H288" t="n">
        <v>0</v>
      </c>
      <c r="I288" t="n">
        <v>0</v>
      </c>
      <c r="J288" t="n">
        <v>0</v>
      </c>
      <c r="K288" t="n">
        <v>0</v>
      </c>
      <c r="L288" t="n">
        <v>0</v>
      </c>
      <c r="M288" t="n">
        <v>0</v>
      </c>
      <c r="N288" t="n">
        <v>0</v>
      </c>
      <c r="O288" t="n">
        <v>0</v>
      </c>
      <c r="P288" t="n">
        <v>0</v>
      </c>
      <c r="Q288" t="n">
        <v>0</v>
      </c>
      <c r="R288" s="2" t="inlineStr"/>
    </row>
    <row r="289" ht="15" customHeight="1">
      <c r="A289" t="inlineStr">
        <is>
          <t>A 16132-2022</t>
        </is>
      </c>
      <c r="B289" s="1" t="n">
        <v>44665.78351851852</v>
      </c>
      <c r="C289" s="1" t="n">
        <v>46050</v>
      </c>
      <c r="D289" t="inlineStr">
        <is>
          <t>STOCKHOLMS LÄN</t>
        </is>
      </c>
      <c r="E289" t="inlineStr">
        <is>
          <t>NORRTÄLJE</t>
        </is>
      </c>
      <c r="G289" t="n">
        <v>4.4</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46050</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46050</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71880-2021</t>
        </is>
      </c>
      <c r="B292" s="1" t="n">
        <v>44543</v>
      </c>
      <c r="C292" s="1" t="n">
        <v>46050</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46050</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46050</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46050</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67285-2021</t>
        </is>
      </c>
      <c r="B296" s="1" t="n">
        <v>44523.61635416667</v>
      </c>
      <c r="C296" s="1" t="n">
        <v>46050</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38721-2022</t>
        </is>
      </c>
      <c r="B297" s="1" t="n">
        <v>44815</v>
      </c>
      <c r="C297" s="1" t="n">
        <v>46050</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60184-2021</t>
        </is>
      </c>
      <c r="B298" s="1" t="n">
        <v>44495</v>
      </c>
      <c r="C298" s="1" t="n">
        <v>46050</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46050</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46050</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15915-2023</t>
        </is>
      </c>
      <c r="B301" s="1" t="n">
        <v>45022</v>
      </c>
      <c r="C301" s="1" t="n">
        <v>46050</v>
      </c>
      <c r="D301" t="inlineStr">
        <is>
          <t>STOCKHOLMS LÄN</t>
        </is>
      </c>
      <c r="E301" t="inlineStr">
        <is>
          <t>NORRTÄLJE</t>
        </is>
      </c>
      <c r="G301" t="n">
        <v>2.9</v>
      </c>
      <c r="H301" t="n">
        <v>0</v>
      </c>
      <c r="I301" t="n">
        <v>0</v>
      </c>
      <c r="J301" t="n">
        <v>0</v>
      </c>
      <c r="K301" t="n">
        <v>0</v>
      </c>
      <c r="L301" t="n">
        <v>0</v>
      </c>
      <c r="M301" t="n">
        <v>0</v>
      </c>
      <c r="N301" t="n">
        <v>0</v>
      </c>
      <c r="O301" t="n">
        <v>0</v>
      </c>
      <c r="P301" t="n">
        <v>0</v>
      </c>
      <c r="Q301" t="n">
        <v>0</v>
      </c>
      <c r="R301" s="2" t="inlineStr"/>
    </row>
    <row r="302" ht="15" customHeight="1">
      <c r="A302" t="inlineStr">
        <is>
          <t>A 55243-2023</t>
        </is>
      </c>
      <c r="B302" s="1" t="n">
        <v>45237</v>
      </c>
      <c r="C302" s="1" t="n">
        <v>46050</v>
      </c>
      <c r="D302" t="inlineStr">
        <is>
          <t>STOCKHOLMS LÄN</t>
        </is>
      </c>
      <c r="E302" t="inlineStr">
        <is>
          <t>NORRTÄLJE</t>
        </is>
      </c>
      <c r="G302" t="n">
        <v>6.5</v>
      </c>
      <c r="H302" t="n">
        <v>0</v>
      </c>
      <c r="I302" t="n">
        <v>0</v>
      </c>
      <c r="J302" t="n">
        <v>0</v>
      </c>
      <c r="K302" t="n">
        <v>0</v>
      </c>
      <c r="L302" t="n">
        <v>0</v>
      </c>
      <c r="M302" t="n">
        <v>0</v>
      </c>
      <c r="N302" t="n">
        <v>0</v>
      </c>
      <c r="O302" t="n">
        <v>0</v>
      </c>
      <c r="P302" t="n">
        <v>0</v>
      </c>
      <c r="Q302" t="n">
        <v>0</v>
      </c>
      <c r="R302" s="2" t="inlineStr"/>
    </row>
    <row r="303" ht="15" customHeight="1">
      <c r="A303" t="inlineStr">
        <is>
          <t>A 55696-2022</t>
        </is>
      </c>
      <c r="B303" s="1" t="n">
        <v>44888</v>
      </c>
      <c r="C303" s="1" t="n">
        <v>46050</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52260-2022</t>
        </is>
      </c>
      <c r="B304" s="1" t="n">
        <v>44869</v>
      </c>
      <c r="C304" s="1" t="n">
        <v>46050</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22412-2021</t>
        </is>
      </c>
      <c r="B305" s="1" t="n">
        <v>44326.61967592593</v>
      </c>
      <c r="C305" s="1" t="n">
        <v>46050</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25557-2023</t>
        </is>
      </c>
      <c r="B306" s="1" t="n">
        <v>45089</v>
      </c>
      <c r="C306" s="1" t="n">
        <v>46050</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46050</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13053-2022</t>
        </is>
      </c>
      <c r="B308" s="1" t="n">
        <v>44643</v>
      </c>
      <c r="C308" s="1" t="n">
        <v>46050</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29972-2024</t>
        </is>
      </c>
      <c r="B309" s="1" t="n">
        <v>45485</v>
      </c>
      <c r="C309" s="1" t="n">
        <v>46050</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27828-2022</t>
        </is>
      </c>
      <c r="B310" s="1" t="n">
        <v>44743.59765046297</v>
      </c>
      <c r="C310" s="1" t="n">
        <v>46050</v>
      </c>
      <c r="D310" t="inlineStr">
        <is>
          <t>STOCKHOLMS LÄN</t>
        </is>
      </c>
      <c r="E310" t="inlineStr">
        <is>
          <t>NORRTÄLJE</t>
        </is>
      </c>
      <c r="F310" t="inlineStr">
        <is>
          <t>Kommuner</t>
        </is>
      </c>
      <c r="G310" t="n">
        <v>1.6</v>
      </c>
      <c r="H310" t="n">
        <v>0</v>
      </c>
      <c r="I310" t="n">
        <v>0</v>
      </c>
      <c r="J310" t="n">
        <v>0</v>
      </c>
      <c r="K310" t="n">
        <v>0</v>
      </c>
      <c r="L310" t="n">
        <v>0</v>
      </c>
      <c r="M310" t="n">
        <v>0</v>
      </c>
      <c r="N310" t="n">
        <v>0</v>
      </c>
      <c r="O310" t="n">
        <v>0</v>
      </c>
      <c r="P310" t="n">
        <v>0</v>
      </c>
      <c r="Q310" t="n">
        <v>0</v>
      </c>
      <c r="R310" s="2" t="inlineStr"/>
    </row>
    <row r="311" ht="15" customHeight="1">
      <c r="A311" t="inlineStr">
        <is>
          <t>A 64137-2021</t>
        </is>
      </c>
      <c r="B311" s="1" t="n">
        <v>44510.51422453704</v>
      </c>
      <c r="C311" s="1" t="n">
        <v>46050</v>
      </c>
      <c r="D311" t="inlineStr">
        <is>
          <t>STOCKHOLMS LÄN</t>
        </is>
      </c>
      <c r="E311" t="inlineStr">
        <is>
          <t>NORRTÄLJE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48716-2023</t>
        </is>
      </c>
      <c r="B312" s="1" t="n">
        <v>45208.69671296296</v>
      </c>
      <c r="C312" s="1" t="n">
        <v>46050</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5027-2025</t>
        </is>
      </c>
      <c r="B313" s="1" t="n">
        <v>45691.41101851852</v>
      </c>
      <c r="C313" s="1" t="n">
        <v>46050</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16229-2022</t>
        </is>
      </c>
      <c r="B314" s="1" t="n">
        <v>44670.4190162037</v>
      </c>
      <c r="C314" s="1" t="n">
        <v>46050</v>
      </c>
      <c r="D314" t="inlineStr">
        <is>
          <t>STOCKHOLMS LÄN</t>
        </is>
      </c>
      <c r="E314" t="inlineStr">
        <is>
          <t>NORRTÄLJE</t>
        </is>
      </c>
      <c r="G314" t="n">
        <v>7.4</v>
      </c>
      <c r="H314" t="n">
        <v>0</v>
      </c>
      <c r="I314" t="n">
        <v>0</v>
      </c>
      <c r="J314" t="n">
        <v>0</v>
      </c>
      <c r="K314" t="n">
        <v>0</v>
      </c>
      <c r="L314" t="n">
        <v>0</v>
      </c>
      <c r="M314" t="n">
        <v>0</v>
      </c>
      <c r="N314" t="n">
        <v>0</v>
      </c>
      <c r="O314" t="n">
        <v>0</v>
      </c>
      <c r="P314" t="n">
        <v>0</v>
      </c>
      <c r="Q314" t="n">
        <v>0</v>
      </c>
      <c r="R314" s="2" t="inlineStr"/>
    </row>
    <row r="315" ht="15" customHeight="1">
      <c r="A315" t="inlineStr">
        <is>
          <t>A 11122-2021</t>
        </is>
      </c>
      <c r="B315" s="1" t="n">
        <v>44260</v>
      </c>
      <c r="C315" s="1" t="n">
        <v>46050</v>
      </c>
      <c r="D315" t="inlineStr">
        <is>
          <t>STOCKHOLMS LÄN</t>
        </is>
      </c>
      <c r="E315" t="inlineStr">
        <is>
          <t>NORRTÄLJE</t>
        </is>
      </c>
      <c r="F315" t="inlineStr">
        <is>
          <t>Holmen skog AB</t>
        </is>
      </c>
      <c r="G315" t="n">
        <v>2.1</v>
      </c>
      <c r="H315" t="n">
        <v>0</v>
      </c>
      <c r="I315" t="n">
        <v>0</v>
      </c>
      <c r="J315" t="n">
        <v>0</v>
      </c>
      <c r="K315" t="n">
        <v>0</v>
      </c>
      <c r="L315" t="n">
        <v>0</v>
      </c>
      <c r="M315" t="n">
        <v>0</v>
      </c>
      <c r="N315" t="n">
        <v>0</v>
      </c>
      <c r="O315" t="n">
        <v>0</v>
      </c>
      <c r="P315" t="n">
        <v>0</v>
      </c>
      <c r="Q315" t="n">
        <v>0</v>
      </c>
      <c r="R315" s="2" t="inlineStr"/>
    </row>
    <row r="316" ht="15" customHeight="1">
      <c r="A316" t="inlineStr">
        <is>
          <t>A 12268-2022</t>
        </is>
      </c>
      <c r="B316" s="1" t="n">
        <v>44637</v>
      </c>
      <c r="C316" s="1" t="n">
        <v>46050</v>
      </c>
      <c r="D316" t="inlineStr">
        <is>
          <t>STOCKHOLMS LÄN</t>
        </is>
      </c>
      <c r="E316" t="inlineStr">
        <is>
          <t>NORRTÄLJE</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20015-2023</t>
        </is>
      </c>
      <c r="B317" s="1" t="n">
        <v>45054</v>
      </c>
      <c r="C317" s="1" t="n">
        <v>46050</v>
      </c>
      <c r="D317" t="inlineStr">
        <is>
          <t>STOCKHOLMS LÄN</t>
        </is>
      </c>
      <c r="E317" t="inlineStr">
        <is>
          <t>NORRTÄLJE</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3273-2025</t>
        </is>
      </c>
      <c r="B318" s="1" t="n">
        <v>45679</v>
      </c>
      <c r="C318" s="1" t="n">
        <v>46050</v>
      </c>
      <c r="D318" t="inlineStr">
        <is>
          <t>STOCKHOLMS LÄN</t>
        </is>
      </c>
      <c r="E318" t="inlineStr">
        <is>
          <t>NORRTÄLJE</t>
        </is>
      </c>
      <c r="G318" t="n">
        <v>1.2</v>
      </c>
      <c r="H318" t="n">
        <v>0</v>
      </c>
      <c r="I318" t="n">
        <v>0</v>
      </c>
      <c r="J318" t="n">
        <v>0</v>
      </c>
      <c r="K318" t="n">
        <v>0</v>
      </c>
      <c r="L318" t="n">
        <v>0</v>
      </c>
      <c r="M318" t="n">
        <v>0</v>
      </c>
      <c r="N318" t="n">
        <v>0</v>
      </c>
      <c r="O318" t="n">
        <v>0</v>
      </c>
      <c r="P318" t="n">
        <v>0</v>
      </c>
      <c r="Q318" t="n">
        <v>0</v>
      </c>
      <c r="R318" s="2" t="inlineStr"/>
    </row>
    <row r="319" ht="15" customHeight="1">
      <c r="A319" t="inlineStr">
        <is>
          <t>A 24245-2024</t>
        </is>
      </c>
      <c r="B319" s="1" t="n">
        <v>45457</v>
      </c>
      <c r="C319" s="1" t="n">
        <v>46050</v>
      </c>
      <c r="D319" t="inlineStr">
        <is>
          <t>STOCKHOLMS LÄN</t>
        </is>
      </c>
      <c r="E319" t="inlineStr">
        <is>
          <t>NORRTÄLJE</t>
        </is>
      </c>
      <c r="F319" t="inlineStr">
        <is>
          <t>Holmen skog AB</t>
        </is>
      </c>
      <c r="G319" t="n">
        <v>3.4</v>
      </c>
      <c r="H319" t="n">
        <v>0</v>
      </c>
      <c r="I319" t="n">
        <v>0</v>
      </c>
      <c r="J319" t="n">
        <v>0</v>
      </c>
      <c r="K319" t="n">
        <v>0</v>
      </c>
      <c r="L319" t="n">
        <v>0</v>
      </c>
      <c r="M319" t="n">
        <v>0</v>
      </c>
      <c r="N319" t="n">
        <v>0</v>
      </c>
      <c r="O319" t="n">
        <v>0</v>
      </c>
      <c r="P319" t="n">
        <v>0</v>
      </c>
      <c r="Q319" t="n">
        <v>0</v>
      </c>
      <c r="R319" s="2" t="inlineStr"/>
    </row>
    <row r="320" ht="15" customHeight="1">
      <c r="A320" t="inlineStr">
        <is>
          <t>A 21291-2021</t>
        </is>
      </c>
      <c r="B320" s="1" t="n">
        <v>44319</v>
      </c>
      <c r="C320" s="1" t="n">
        <v>46050</v>
      </c>
      <c r="D320" t="inlineStr">
        <is>
          <t>STOCKHOLMS LÄN</t>
        </is>
      </c>
      <c r="E320" t="inlineStr">
        <is>
          <t>NORRTÄLJE</t>
        </is>
      </c>
      <c r="G320" t="n">
        <v>12.7</v>
      </c>
      <c r="H320" t="n">
        <v>0</v>
      </c>
      <c r="I320" t="n">
        <v>0</v>
      </c>
      <c r="J320" t="n">
        <v>0</v>
      </c>
      <c r="K320" t="n">
        <v>0</v>
      </c>
      <c r="L320" t="n">
        <v>0</v>
      </c>
      <c r="M320" t="n">
        <v>0</v>
      </c>
      <c r="N320" t="n">
        <v>0</v>
      </c>
      <c r="O320" t="n">
        <v>0</v>
      </c>
      <c r="P320" t="n">
        <v>0</v>
      </c>
      <c r="Q320" t="n">
        <v>0</v>
      </c>
      <c r="R320" s="2" t="inlineStr"/>
    </row>
    <row r="321" ht="15" customHeight="1">
      <c r="A321" t="inlineStr">
        <is>
          <t>A 15256-2023</t>
        </is>
      </c>
      <c r="B321" s="1" t="n">
        <v>45019.3959837963</v>
      </c>
      <c r="C321" s="1" t="n">
        <v>46050</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20428-2024</t>
        </is>
      </c>
      <c r="B322" s="1" t="n">
        <v>45435</v>
      </c>
      <c r="C322" s="1" t="n">
        <v>46050</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33226-2024</t>
        </is>
      </c>
      <c r="B323" s="1" t="n">
        <v>45518</v>
      </c>
      <c r="C323" s="1" t="n">
        <v>46050</v>
      </c>
      <c r="D323" t="inlineStr">
        <is>
          <t>STOCKHOLMS LÄN</t>
        </is>
      </c>
      <c r="E323" t="inlineStr">
        <is>
          <t>NORRTÄLJE</t>
        </is>
      </c>
      <c r="G323" t="n">
        <v>13.8</v>
      </c>
      <c r="H323" t="n">
        <v>0</v>
      </c>
      <c r="I323" t="n">
        <v>0</v>
      </c>
      <c r="J323" t="n">
        <v>0</v>
      </c>
      <c r="K323" t="n">
        <v>0</v>
      </c>
      <c r="L323" t="n">
        <v>0</v>
      </c>
      <c r="M323" t="n">
        <v>0</v>
      </c>
      <c r="N323" t="n">
        <v>0</v>
      </c>
      <c r="O323" t="n">
        <v>0</v>
      </c>
      <c r="P323" t="n">
        <v>0</v>
      </c>
      <c r="Q323" t="n">
        <v>0</v>
      </c>
      <c r="R323" s="2" t="inlineStr"/>
    </row>
    <row r="324" ht="15" customHeight="1">
      <c r="A324" t="inlineStr">
        <is>
          <t>A 13172-2025</t>
        </is>
      </c>
      <c r="B324" s="1" t="n">
        <v>45735.36873842592</v>
      </c>
      <c r="C324" s="1" t="n">
        <v>46050</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22456-2023</t>
        </is>
      </c>
      <c r="B325" s="1" t="n">
        <v>45070</v>
      </c>
      <c r="C325" s="1" t="n">
        <v>46050</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64145-2021</t>
        </is>
      </c>
      <c r="B326" s="1" t="n">
        <v>44510</v>
      </c>
      <c r="C326" s="1" t="n">
        <v>46050</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17785-2024</t>
        </is>
      </c>
      <c r="B327" s="1" t="n">
        <v>45418.6968287037</v>
      </c>
      <c r="C327" s="1" t="n">
        <v>46050</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1740-2023</t>
        </is>
      </c>
      <c r="B328" s="1" t="n">
        <v>44938</v>
      </c>
      <c r="C328" s="1" t="n">
        <v>46050</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4596-2023</t>
        </is>
      </c>
      <c r="B329" s="1" t="n">
        <v>44956</v>
      </c>
      <c r="C329" s="1" t="n">
        <v>46050</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22008-2024</t>
        </is>
      </c>
      <c r="B330" s="1" t="n">
        <v>45443</v>
      </c>
      <c r="C330" s="1" t="n">
        <v>46050</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6678-2025</t>
        </is>
      </c>
      <c r="B331" s="1" t="n">
        <v>45700</v>
      </c>
      <c r="C331" s="1" t="n">
        <v>46050</v>
      </c>
      <c r="D331" t="inlineStr">
        <is>
          <t>STOCKHOLMS LÄN</t>
        </is>
      </c>
      <c r="E331" t="inlineStr">
        <is>
          <t>NORRTÄLJE</t>
        </is>
      </c>
      <c r="F331" t="inlineStr">
        <is>
          <t>Övriga Aktiebolag</t>
        </is>
      </c>
      <c r="G331" t="n">
        <v>6.6</v>
      </c>
      <c r="H331" t="n">
        <v>0</v>
      </c>
      <c r="I331" t="n">
        <v>0</v>
      </c>
      <c r="J331" t="n">
        <v>0</v>
      </c>
      <c r="K331" t="n">
        <v>0</v>
      </c>
      <c r="L331" t="n">
        <v>0</v>
      </c>
      <c r="M331" t="n">
        <v>0</v>
      </c>
      <c r="N331" t="n">
        <v>0</v>
      </c>
      <c r="O331" t="n">
        <v>0</v>
      </c>
      <c r="P331" t="n">
        <v>0</v>
      </c>
      <c r="Q331" t="n">
        <v>0</v>
      </c>
      <c r="R331" s="2" t="inlineStr"/>
    </row>
    <row r="332" ht="15" customHeight="1">
      <c r="A332" t="inlineStr">
        <is>
          <t>A 10676-2025</t>
        </is>
      </c>
      <c r="B332" s="1" t="n">
        <v>45721.88684027778</v>
      </c>
      <c r="C332" s="1" t="n">
        <v>46050</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20852-2023</t>
        </is>
      </c>
      <c r="B333" s="1" t="n">
        <v>45058.78607638889</v>
      </c>
      <c r="C333" s="1" t="n">
        <v>46050</v>
      </c>
      <c r="D333" t="inlineStr">
        <is>
          <t>STOCKHOLMS LÄN</t>
        </is>
      </c>
      <c r="E333" t="inlineStr">
        <is>
          <t>NORRTÄLJE</t>
        </is>
      </c>
      <c r="G333" t="n">
        <v>3.5</v>
      </c>
      <c r="H333" t="n">
        <v>0</v>
      </c>
      <c r="I333" t="n">
        <v>0</v>
      </c>
      <c r="J333" t="n">
        <v>0</v>
      </c>
      <c r="K333" t="n">
        <v>0</v>
      </c>
      <c r="L333" t="n">
        <v>0</v>
      </c>
      <c r="M333" t="n">
        <v>0</v>
      </c>
      <c r="N333" t="n">
        <v>0</v>
      </c>
      <c r="O333" t="n">
        <v>0</v>
      </c>
      <c r="P333" t="n">
        <v>0</v>
      </c>
      <c r="Q333" t="n">
        <v>0</v>
      </c>
      <c r="R333" s="2" t="inlineStr"/>
    </row>
    <row r="334" ht="15" customHeight="1">
      <c r="A334" t="inlineStr">
        <is>
          <t>A 44917-2022</t>
        </is>
      </c>
      <c r="B334" s="1" t="n">
        <v>44841.52804398148</v>
      </c>
      <c r="C334" s="1" t="n">
        <v>46050</v>
      </c>
      <c r="D334" t="inlineStr">
        <is>
          <t>STOCKHOLMS LÄN</t>
        </is>
      </c>
      <c r="E334" t="inlineStr">
        <is>
          <t>NORRTÄLJE</t>
        </is>
      </c>
      <c r="F334" t="inlineStr">
        <is>
          <t>Holmen skog AB</t>
        </is>
      </c>
      <c r="G334" t="n">
        <v>3.3</v>
      </c>
      <c r="H334" t="n">
        <v>0</v>
      </c>
      <c r="I334" t="n">
        <v>0</v>
      </c>
      <c r="J334" t="n">
        <v>0</v>
      </c>
      <c r="K334" t="n">
        <v>0</v>
      </c>
      <c r="L334" t="n">
        <v>0</v>
      </c>
      <c r="M334" t="n">
        <v>0</v>
      </c>
      <c r="N334" t="n">
        <v>0</v>
      </c>
      <c r="O334" t="n">
        <v>0</v>
      </c>
      <c r="P334" t="n">
        <v>0</v>
      </c>
      <c r="Q334" t="n">
        <v>0</v>
      </c>
      <c r="R334" s="2" t="inlineStr"/>
    </row>
    <row r="335" ht="15" customHeight="1">
      <c r="A335" t="inlineStr">
        <is>
          <t>A 55058-2021</t>
        </is>
      </c>
      <c r="B335" s="1" t="n">
        <v>44474.62141203704</v>
      </c>
      <c r="C335" s="1" t="n">
        <v>46050</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19982-2022</t>
        </is>
      </c>
      <c r="B336" s="1" t="n">
        <v>44697</v>
      </c>
      <c r="C336" s="1" t="n">
        <v>46050</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45600.86128472222</v>
      </c>
      <c r="C337" s="1" t="n">
        <v>46050</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55012-2024</t>
        </is>
      </c>
      <c r="B338" s="1" t="n">
        <v>45621.34813657407</v>
      </c>
      <c r="C338" s="1" t="n">
        <v>46050</v>
      </c>
      <c r="D338" t="inlineStr">
        <is>
          <t>STOCKHOLMS LÄN</t>
        </is>
      </c>
      <c r="E338" t="inlineStr">
        <is>
          <t>NORRTÄLJE</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7413-2024</t>
        </is>
      </c>
      <c r="B339" s="1" t="n">
        <v>45345.6059837963</v>
      </c>
      <c r="C339" s="1" t="n">
        <v>46050</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12251-2025</t>
        </is>
      </c>
      <c r="B340" s="1" t="n">
        <v>45729.60859953704</v>
      </c>
      <c r="C340" s="1" t="n">
        <v>46050</v>
      </c>
      <c r="D340" t="inlineStr">
        <is>
          <t>STOCKHOLMS LÄN</t>
        </is>
      </c>
      <c r="E340" t="inlineStr">
        <is>
          <t>NORRTÄLJE</t>
        </is>
      </c>
      <c r="F340" t="inlineStr">
        <is>
          <t>Holmen skog AB</t>
        </is>
      </c>
      <c r="G340" t="n">
        <v>5.9</v>
      </c>
      <c r="H340" t="n">
        <v>0</v>
      </c>
      <c r="I340" t="n">
        <v>0</v>
      </c>
      <c r="J340" t="n">
        <v>0</v>
      </c>
      <c r="K340" t="n">
        <v>0</v>
      </c>
      <c r="L340" t="n">
        <v>0</v>
      </c>
      <c r="M340" t="n">
        <v>0</v>
      </c>
      <c r="N340" t="n">
        <v>0</v>
      </c>
      <c r="O340" t="n">
        <v>0</v>
      </c>
      <c r="P340" t="n">
        <v>0</v>
      </c>
      <c r="Q340" t="n">
        <v>0</v>
      </c>
      <c r="R340" s="2" t="inlineStr"/>
    </row>
    <row r="341" ht="15" customHeight="1">
      <c r="A341" t="inlineStr">
        <is>
          <t>A 58863-2024</t>
        </is>
      </c>
      <c r="B341" s="1" t="n">
        <v>45636.41572916666</v>
      </c>
      <c r="C341" s="1" t="n">
        <v>46050</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11900-2024</t>
        </is>
      </c>
      <c r="B342" s="1" t="n">
        <v>45376.55484953704</v>
      </c>
      <c r="C342" s="1" t="n">
        <v>46050</v>
      </c>
      <c r="D342" t="inlineStr">
        <is>
          <t>STOCKHOLMS LÄN</t>
        </is>
      </c>
      <c r="E342" t="inlineStr">
        <is>
          <t>NORRTÄLJE</t>
        </is>
      </c>
      <c r="G342" t="n">
        <v>4.2</v>
      </c>
      <c r="H342" t="n">
        <v>0</v>
      </c>
      <c r="I342" t="n">
        <v>0</v>
      </c>
      <c r="J342" t="n">
        <v>0</v>
      </c>
      <c r="K342" t="n">
        <v>0</v>
      </c>
      <c r="L342" t="n">
        <v>0</v>
      </c>
      <c r="M342" t="n">
        <v>0</v>
      </c>
      <c r="N342" t="n">
        <v>0</v>
      </c>
      <c r="O342" t="n">
        <v>0</v>
      </c>
      <c r="P342" t="n">
        <v>0</v>
      </c>
      <c r="Q342" t="n">
        <v>0</v>
      </c>
      <c r="R342" s="2" t="inlineStr"/>
    </row>
    <row r="343" ht="15" customHeight="1">
      <c r="A343" t="inlineStr">
        <is>
          <t>A 50154-2024</t>
        </is>
      </c>
      <c r="B343" s="1" t="n">
        <v>45600.4558912037</v>
      </c>
      <c r="C343" s="1" t="n">
        <v>46050</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58277-2023</t>
        </is>
      </c>
      <c r="B344" s="1" t="n">
        <v>45245</v>
      </c>
      <c r="C344" s="1" t="n">
        <v>46050</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42075-2023</t>
        </is>
      </c>
      <c r="B345" s="1" t="n">
        <v>45177</v>
      </c>
      <c r="C345" s="1" t="n">
        <v>46050</v>
      </c>
      <c r="D345" t="inlineStr">
        <is>
          <t>STOCKHOLMS LÄN</t>
        </is>
      </c>
      <c r="E345" t="inlineStr">
        <is>
          <t>NORRTÄLJE</t>
        </is>
      </c>
      <c r="G345" t="n">
        <v>2.5</v>
      </c>
      <c r="H345" t="n">
        <v>0</v>
      </c>
      <c r="I345" t="n">
        <v>0</v>
      </c>
      <c r="J345" t="n">
        <v>0</v>
      </c>
      <c r="K345" t="n">
        <v>0</v>
      </c>
      <c r="L345" t="n">
        <v>0</v>
      </c>
      <c r="M345" t="n">
        <v>0</v>
      </c>
      <c r="N345" t="n">
        <v>0</v>
      </c>
      <c r="O345" t="n">
        <v>0</v>
      </c>
      <c r="P345" t="n">
        <v>0</v>
      </c>
      <c r="Q345" t="n">
        <v>0</v>
      </c>
      <c r="R345" s="2" t="inlineStr"/>
    </row>
    <row r="346" ht="15" customHeight="1">
      <c r="A346" t="inlineStr">
        <is>
          <t>A 42867-2022</t>
        </is>
      </c>
      <c r="B346" s="1" t="n">
        <v>44832</v>
      </c>
      <c r="C346" s="1" t="n">
        <v>46050</v>
      </c>
      <c r="D346" t="inlineStr">
        <is>
          <t>STOCKHOLMS LÄN</t>
        </is>
      </c>
      <c r="E346" t="inlineStr">
        <is>
          <t>NORRTÄLJE</t>
        </is>
      </c>
      <c r="G346" t="n">
        <v>6.4</v>
      </c>
      <c r="H346" t="n">
        <v>0</v>
      </c>
      <c r="I346" t="n">
        <v>0</v>
      </c>
      <c r="J346" t="n">
        <v>0</v>
      </c>
      <c r="K346" t="n">
        <v>0</v>
      </c>
      <c r="L346" t="n">
        <v>0</v>
      </c>
      <c r="M346" t="n">
        <v>0</v>
      </c>
      <c r="N346" t="n">
        <v>0</v>
      </c>
      <c r="O346" t="n">
        <v>0</v>
      </c>
      <c r="P346" t="n">
        <v>0</v>
      </c>
      <c r="Q346" t="n">
        <v>0</v>
      </c>
      <c r="R346" s="2" t="inlineStr"/>
    </row>
    <row r="347" ht="15" customHeight="1">
      <c r="A347" t="inlineStr">
        <is>
          <t>A 11940-2023</t>
        </is>
      </c>
      <c r="B347" s="1" t="n">
        <v>44995</v>
      </c>
      <c r="C347" s="1" t="n">
        <v>46050</v>
      </c>
      <c r="D347" t="inlineStr">
        <is>
          <t>STOCKHOLMS LÄN</t>
        </is>
      </c>
      <c r="E347" t="inlineStr">
        <is>
          <t>NORRTÄLJE</t>
        </is>
      </c>
      <c r="G347" t="n">
        <v>0.7</v>
      </c>
      <c r="H347" t="n">
        <v>0</v>
      </c>
      <c r="I347" t="n">
        <v>0</v>
      </c>
      <c r="J347" t="n">
        <v>0</v>
      </c>
      <c r="K347" t="n">
        <v>0</v>
      </c>
      <c r="L347" t="n">
        <v>0</v>
      </c>
      <c r="M347" t="n">
        <v>0</v>
      </c>
      <c r="N347" t="n">
        <v>0</v>
      </c>
      <c r="O347" t="n">
        <v>0</v>
      </c>
      <c r="P347" t="n">
        <v>0</v>
      </c>
      <c r="Q347" t="n">
        <v>0</v>
      </c>
      <c r="R347" s="2" t="inlineStr"/>
    </row>
    <row r="348" ht="15" customHeight="1">
      <c r="A348" t="inlineStr">
        <is>
          <t>A 32705-2022</t>
        </is>
      </c>
      <c r="B348" s="1" t="n">
        <v>44783</v>
      </c>
      <c r="C348" s="1" t="n">
        <v>46050</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2281-2024</t>
        </is>
      </c>
      <c r="B349" s="1" t="n">
        <v>45310.40628472222</v>
      </c>
      <c r="C349" s="1" t="n">
        <v>46050</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47481-2024</t>
        </is>
      </c>
      <c r="B350" s="1" t="n">
        <v>45587</v>
      </c>
      <c r="C350" s="1" t="n">
        <v>46050</v>
      </c>
      <c r="D350" t="inlineStr">
        <is>
          <t>STOCKHOLMS LÄN</t>
        </is>
      </c>
      <c r="E350" t="inlineStr">
        <is>
          <t>NORRTÄLJE</t>
        </is>
      </c>
      <c r="G350" t="n">
        <v>0.5</v>
      </c>
      <c r="H350" t="n">
        <v>0</v>
      </c>
      <c r="I350" t="n">
        <v>0</v>
      </c>
      <c r="J350" t="n">
        <v>0</v>
      </c>
      <c r="K350" t="n">
        <v>0</v>
      </c>
      <c r="L350" t="n">
        <v>0</v>
      </c>
      <c r="M350" t="n">
        <v>0</v>
      </c>
      <c r="N350" t="n">
        <v>0</v>
      </c>
      <c r="O350" t="n">
        <v>0</v>
      </c>
      <c r="P350" t="n">
        <v>0</v>
      </c>
      <c r="Q350" t="n">
        <v>0</v>
      </c>
      <c r="R350" s="2" t="inlineStr"/>
    </row>
    <row r="351" ht="15" customHeight="1">
      <c r="A351" t="inlineStr">
        <is>
          <t>A 57037-2022</t>
        </is>
      </c>
      <c r="B351" s="1" t="n">
        <v>44895</v>
      </c>
      <c r="C351" s="1" t="n">
        <v>46050</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50108-2021</t>
        </is>
      </c>
      <c r="B352" s="1" t="n">
        <v>44456</v>
      </c>
      <c r="C352" s="1" t="n">
        <v>46050</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60525-2022</t>
        </is>
      </c>
      <c r="B353" s="1" t="n">
        <v>44904</v>
      </c>
      <c r="C353" s="1" t="n">
        <v>46050</v>
      </c>
      <c r="D353" t="inlineStr">
        <is>
          <t>STOCKHOLMS LÄN</t>
        </is>
      </c>
      <c r="E353" t="inlineStr">
        <is>
          <t>NORRTÄLJE</t>
        </is>
      </c>
      <c r="G353" t="n">
        <v>13.4</v>
      </c>
      <c r="H353" t="n">
        <v>0</v>
      </c>
      <c r="I353" t="n">
        <v>0</v>
      </c>
      <c r="J353" t="n">
        <v>0</v>
      </c>
      <c r="K353" t="n">
        <v>0</v>
      </c>
      <c r="L353" t="n">
        <v>0</v>
      </c>
      <c r="M353" t="n">
        <v>0</v>
      </c>
      <c r="N353" t="n">
        <v>0</v>
      </c>
      <c r="O353" t="n">
        <v>0</v>
      </c>
      <c r="P353" t="n">
        <v>0</v>
      </c>
      <c r="Q353" t="n">
        <v>0</v>
      </c>
      <c r="R353" s="2" t="inlineStr"/>
    </row>
    <row r="354" ht="15" customHeight="1">
      <c r="A354" t="inlineStr">
        <is>
          <t>A 7903-2021</t>
        </is>
      </c>
      <c r="B354" s="1" t="n">
        <v>44243.33587962963</v>
      </c>
      <c r="C354" s="1" t="n">
        <v>46050</v>
      </c>
      <c r="D354" t="inlineStr">
        <is>
          <t>STOCKHOLMS LÄN</t>
        </is>
      </c>
      <c r="E354" t="inlineStr">
        <is>
          <t>NORRTÄLJE</t>
        </is>
      </c>
      <c r="G354" t="n">
        <v>3.5</v>
      </c>
      <c r="H354" t="n">
        <v>0</v>
      </c>
      <c r="I354" t="n">
        <v>0</v>
      </c>
      <c r="J354" t="n">
        <v>0</v>
      </c>
      <c r="K354" t="n">
        <v>0</v>
      </c>
      <c r="L354" t="n">
        <v>0</v>
      </c>
      <c r="M354" t="n">
        <v>0</v>
      </c>
      <c r="N354" t="n">
        <v>0</v>
      </c>
      <c r="O354" t="n">
        <v>0</v>
      </c>
      <c r="P354" t="n">
        <v>0</v>
      </c>
      <c r="Q354" t="n">
        <v>0</v>
      </c>
      <c r="R354" s="2" t="inlineStr"/>
    </row>
    <row r="355" ht="15" customHeight="1">
      <c r="A355" t="inlineStr">
        <is>
          <t>A 23749-2024</t>
        </is>
      </c>
      <c r="B355" s="1" t="n">
        <v>45455.33037037037</v>
      </c>
      <c r="C355" s="1" t="n">
        <v>46050</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39213-2022</t>
        </is>
      </c>
      <c r="B356" s="1" t="n">
        <v>44817.56120370371</v>
      </c>
      <c r="C356" s="1" t="n">
        <v>46050</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51325-2023</t>
        </is>
      </c>
      <c r="B357" s="1" t="n">
        <v>45219</v>
      </c>
      <c r="C357" s="1" t="n">
        <v>46050</v>
      </c>
      <c r="D357" t="inlineStr">
        <is>
          <t>STOCKHOLMS LÄN</t>
        </is>
      </c>
      <c r="E357" t="inlineStr">
        <is>
          <t>NORRTÄLJE</t>
        </is>
      </c>
      <c r="G357" t="n">
        <v>2.2</v>
      </c>
      <c r="H357" t="n">
        <v>0</v>
      </c>
      <c r="I357" t="n">
        <v>0</v>
      </c>
      <c r="J357" t="n">
        <v>0</v>
      </c>
      <c r="K357" t="n">
        <v>0</v>
      </c>
      <c r="L357" t="n">
        <v>0</v>
      </c>
      <c r="M357" t="n">
        <v>0</v>
      </c>
      <c r="N357" t="n">
        <v>0</v>
      </c>
      <c r="O357" t="n">
        <v>0</v>
      </c>
      <c r="P357" t="n">
        <v>0</v>
      </c>
      <c r="Q357" t="n">
        <v>0</v>
      </c>
      <c r="R357" s="2" t="inlineStr"/>
    </row>
    <row r="358" ht="15" customHeight="1">
      <c r="A358" t="inlineStr">
        <is>
          <t>A 41976-2024</t>
        </is>
      </c>
      <c r="B358" s="1" t="n">
        <v>45561.62141203704</v>
      </c>
      <c r="C358" s="1" t="n">
        <v>46050</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59534-2024</t>
        </is>
      </c>
      <c r="B359" s="1" t="n">
        <v>45638.5987037037</v>
      </c>
      <c r="C359" s="1" t="n">
        <v>46050</v>
      </c>
      <c r="D359" t="inlineStr">
        <is>
          <t>STOCKHOLMS LÄN</t>
        </is>
      </c>
      <c r="E359" t="inlineStr">
        <is>
          <t>NORRTÄLJE</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31107-2022</t>
        </is>
      </c>
      <c r="B360" s="1" t="n">
        <v>44769.66864583334</v>
      </c>
      <c r="C360" s="1" t="n">
        <v>46050</v>
      </c>
      <c r="D360" t="inlineStr">
        <is>
          <t>STOCKHOLMS LÄN</t>
        </is>
      </c>
      <c r="E360" t="inlineStr">
        <is>
          <t>NORRTÄLJE</t>
        </is>
      </c>
      <c r="G360" t="n">
        <v>3.8</v>
      </c>
      <c r="H360" t="n">
        <v>0</v>
      </c>
      <c r="I360" t="n">
        <v>0</v>
      </c>
      <c r="J360" t="n">
        <v>0</v>
      </c>
      <c r="K360" t="n">
        <v>0</v>
      </c>
      <c r="L360" t="n">
        <v>0</v>
      </c>
      <c r="M360" t="n">
        <v>0</v>
      </c>
      <c r="N360" t="n">
        <v>0</v>
      </c>
      <c r="O360" t="n">
        <v>0</v>
      </c>
      <c r="P360" t="n">
        <v>0</v>
      </c>
      <c r="Q360" t="n">
        <v>0</v>
      </c>
      <c r="R360" s="2" t="inlineStr"/>
    </row>
    <row r="361" ht="15" customHeight="1">
      <c r="A361" t="inlineStr">
        <is>
          <t>A 13860-2023</t>
        </is>
      </c>
      <c r="B361" s="1" t="n">
        <v>45007</v>
      </c>
      <c r="C361" s="1" t="n">
        <v>46050</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6855-2025</t>
        </is>
      </c>
      <c r="B362" s="1" t="n">
        <v>45700</v>
      </c>
      <c r="C362" s="1" t="n">
        <v>46050</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34432-2021</t>
        </is>
      </c>
      <c r="B363" s="1" t="n">
        <v>44380.77346064815</v>
      </c>
      <c r="C363" s="1" t="n">
        <v>46050</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13314-2025</t>
        </is>
      </c>
      <c r="B364" s="1" t="n">
        <v>45735.59287037037</v>
      </c>
      <c r="C364" s="1" t="n">
        <v>46050</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23149-2024</t>
        </is>
      </c>
      <c r="B365" s="1" t="n">
        <v>45450.64208333333</v>
      </c>
      <c r="C365" s="1" t="n">
        <v>46050</v>
      </c>
      <c r="D365" t="inlineStr">
        <is>
          <t>STOCKHOLMS LÄN</t>
        </is>
      </c>
      <c r="E365" t="inlineStr">
        <is>
          <t>NORRTÄLJE</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23151-2024</t>
        </is>
      </c>
      <c r="B366" s="1" t="n">
        <v>45450</v>
      </c>
      <c r="C366" s="1" t="n">
        <v>46050</v>
      </c>
      <c r="D366" t="inlineStr">
        <is>
          <t>STOCKHOLMS LÄN</t>
        </is>
      </c>
      <c r="E366" t="inlineStr">
        <is>
          <t>NORRTÄLJE</t>
        </is>
      </c>
      <c r="F366" t="inlineStr">
        <is>
          <t>Kommuner</t>
        </is>
      </c>
      <c r="G366" t="n">
        <v>1.2</v>
      </c>
      <c r="H366" t="n">
        <v>0</v>
      </c>
      <c r="I366" t="n">
        <v>0</v>
      </c>
      <c r="J366" t="n">
        <v>0</v>
      </c>
      <c r="K366" t="n">
        <v>0</v>
      </c>
      <c r="L366" t="n">
        <v>0</v>
      </c>
      <c r="M366" t="n">
        <v>0</v>
      </c>
      <c r="N366" t="n">
        <v>0</v>
      </c>
      <c r="O366" t="n">
        <v>0</v>
      </c>
      <c r="P366" t="n">
        <v>0</v>
      </c>
      <c r="Q366" t="n">
        <v>0</v>
      </c>
      <c r="R366" s="2" t="inlineStr"/>
    </row>
    <row r="367" ht="15" customHeight="1">
      <c r="A367" t="inlineStr">
        <is>
          <t>A 12901-2024</t>
        </is>
      </c>
      <c r="B367" s="1" t="n">
        <v>45385.37922453704</v>
      </c>
      <c r="C367" s="1" t="n">
        <v>46050</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8950-2025</t>
        </is>
      </c>
      <c r="B368" s="1" t="n">
        <v>45713</v>
      </c>
      <c r="C368" s="1" t="n">
        <v>46050</v>
      </c>
      <c r="D368" t="inlineStr">
        <is>
          <t>STOCKHOLMS LÄN</t>
        </is>
      </c>
      <c r="E368" t="inlineStr">
        <is>
          <t>NORRTÄLJE</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12301-2025</t>
        </is>
      </c>
      <c r="B369" s="1" t="n">
        <v>45729.7271875</v>
      </c>
      <c r="C369" s="1" t="n">
        <v>46050</v>
      </c>
      <c r="D369" t="inlineStr">
        <is>
          <t>STOCKHOLMS LÄN</t>
        </is>
      </c>
      <c r="E369" t="inlineStr">
        <is>
          <t>NORRTÄLJE</t>
        </is>
      </c>
      <c r="G369" t="n">
        <v>3.2</v>
      </c>
      <c r="H369" t="n">
        <v>0</v>
      </c>
      <c r="I369" t="n">
        <v>0</v>
      </c>
      <c r="J369" t="n">
        <v>0</v>
      </c>
      <c r="K369" t="n">
        <v>0</v>
      </c>
      <c r="L369" t="n">
        <v>0</v>
      </c>
      <c r="M369" t="n">
        <v>0</v>
      </c>
      <c r="N369" t="n">
        <v>0</v>
      </c>
      <c r="O369" t="n">
        <v>0</v>
      </c>
      <c r="P369" t="n">
        <v>0</v>
      </c>
      <c r="Q369" t="n">
        <v>0</v>
      </c>
      <c r="R369" s="2" t="inlineStr"/>
    </row>
    <row r="370" ht="15" customHeight="1">
      <c r="A370" t="inlineStr">
        <is>
          <t>A 52001-2023</t>
        </is>
      </c>
      <c r="B370" s="1" t="n">
        <v>45223</v>
      </c>
      <c r="C370" s="1" t="n">
        <v>46050</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60185-2024</t>
        </is>
      </c>
      <c r="B371" s="1" t="n">
        <v>45642.64634259259</v>
      </c>
      <c r="C371" s="1" t="n">
        <v>46050</v>
      </c>
      <c r="D371" t="inlineStr">
        <is>
          <t>STOCKHOLMS LÄN</t>
        </is>
      </c>
      <c r="E371" t="inlineStr">
        <is>
          <t>NORRTÄLJE</t>
        </is>
      </c>
      <c r="G371" t="n">
        <v>0.3</v>
      </c>
      <c r="H371" t="n">
        <v>0</v>
      </c>
      <c r="I371" t="n">
        <v>0</v>
      </c>
      <c r="J371" t="n">
        <v>0</v>
      </c>
      <c r="K371" t="n">
        <v>0</v>
      </c>
      <c r="L371" t="n">
        <v>0</v>
      </c>
      <c r="M371" t="n">
        <v>0</v>
      </c>
      <c r="N371" t="n">
        <v>0</v>
      </c>
      <c r="O371" t="n">
        <v>0</v>
      </c>
      <c r="P371" t="n">
        <v>0</v>
      </c>
      <c r="Q371" t="n">
        <v>0</v>
      </c>
      <c r="R371" s="2" t="inlineStr"/>
    </row>
    <row r="372" ht="15" customHeight="1">
      <c r="A372" t="inlineStr">
        <is>
          <t>A 24351-2025</t>
        </is>
      </c>
      <c r="B372" s="1" t="n">
        <v>45797.58399305555</v>
      </c>
      <c r="C372" s="1" t="n">
        <v>46050</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13283-2025</t>
        </is>
      </c>
      <c r="B373" s="1" t="n">
        <v>45735</v>
      </c>
      <c r="C373" s="1" t="n">
        <v>46050</v>
      </c>
      <c r="D373" t="inlineStr">
        <is>
          <t>STOCKHOLMS LÄN</t>
        </is>
      </c>
      <c r="E373" t="inlineStr">
        <is>
          <t>NORRTÄLJE</t>
        </is>
      </c>
      <c r="G373" t="n">
        <v>4.9</v>
      </c>
      <c r="H373" t="n">
        <v>0</v>
      </c>
      <c r="I373" t="n">
        <v>0</v>
      </c>
      <c r="J373" t="n">
        <v>0</v>
      </c>
      <c r="K373" t="n">
        <v>0</v>
      </c>
      <c r="L373" t="n">
        <v>0</v>
      </c>
      <c r="M373" t="n">
        <v>0</v>
      </c>
      <c r="N373" t="n">
        <v>0</v>
      </c>
      <c r="O373" t="n">
        <v>0</v>
      </c>
      <c r="P373" t="n">
        <v>0</v>
      </c>
      <c r="Q373" t="n">
        <v>0</v>
      </c>
      <c r="R373" s="2" t="inlineStr"/>
    </row>
    <row r="374" ht="15" customHeight="1">
      <c r="A374" t="inlineStr">
        <is>
          <t>A 48686-2023</t>
        </is>
      </c>
      <c r="B374" s="1" t="n">
        <v>45208</v>
      </c>
      <c r="C374" s="1" t="n">
        <v>46050</v>
      </c>
      <c r="D374" t="inlineStr">
        <is>
          <t>STOCKHOLMS LÄN</t>
        </is>
      </c>
      <c r="E374" t="inlineStr">
        <is>
          <t>NORRTÄLJE</t>
        </is>
      </c>
      <c r="G374" t="n">
        <v>6</v>
      </c>
      <c r="H374" t="n">
        <v>0</v>
      </c>
      <c r="I374" t="n">
        <v>0</v>
      </c>
      <c r="J374" t="n">
        <v>0</v>
      </c>
      <c r="K374" t="n">
        <v>0</v>
      </c>
      <c r="L374" t="n">
        <v>0</v>
      </c>
      <c r="M374" t="n">
        <v>0</v>
      </c>
      <c r="N374" t="n">
        <v>0</v>
      </c>
      <c r="O374" t="n">
        <v>0</v>
      </c>
      <c r="P374" t="n">
        <v>0</v>
      </c>
      <c r="Q374" t="n">
        <v>0</v>
      </c>
      <c r="R374" s="2" t="inlineStr"/>
    </row>
    <row r="375" ht="15" customHeight="1">
      <c r="A375" t="inlineStr">
        <is>
          <t>A 48691-2023</t>
        </is>
      </c>
      <c r="B375" s="1" t="n">
        <v>45208</v>
      </c>
      <c r="C375" s="1" t="n">
        <v>46050</v>
      </c>
      <c r="D375" t="inlineStr">
        <is>
          <t>STOCKHOLMS LÄN</t>
        </is>
      </c>
      <c r="E375" t="inlineStr">
        <is>
          <t>NORRTÄLJE</t>
        </is>
      </c>
      <c r="G375" t="n">
        <v>5.8</v>
      </c>
      <c r="H375" t="n">
        <v>0</v>
      </c>
      <c r="I375" t="n">
        <v>0</v>
      </c>
      <c r="J375" t="n">
        <v>0</v>
      </c>
      <c r="K375" t="n">
        <v>0</v>
      </c>
      <c r="L375" t="n">
        <v>0</v>
      </c>
      <c r="M375" t="n">
        <v>0</v>
      </c>
      <c r="N375" t="n">
        <v>0</v>
      </c>
      <c r="O375" t="n">
        <v>0</v>
      </c>
      <c r="P375" t="n">
        <v>0</v>
      </c>
      <c r="Q375" t="n">
        <v>0</v>
      </c>
      <c r="R375" s="2" t="inlineStr"/>
    </row>
    <row r="376" ht="15" customHeight="1">
      <c r="A376" t="inlineStr">
        <is>
          <t>A 38720-2025</t>
        </is>
      </c>
      <c r="B376" s="1" t="n">
        <v>45886</v>
      </c>
      <c r="C376" s="1" t="n">
        <v>46050</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24687-2025</t>
        </is>
      </c>
      <c r="B377" s="1" t="n">
        <v>45798.66767361111</v>
      </c>
      <c r="C377" s="1" t="n">
        <v>46050</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21726-2022</t>
        </is>
      </c>
      <c r="B378" s="1" t="n">
        <v>44708</v>
      </c>
      <c r="C378" s="1" t="n">
        <v>46050</v>
      </c>
      <c r="D378" t="inlineStr">
        <is>
          <t>STOCKHOLMS LÄN</t>
        </is>
      </c>
      <c r="E378" t="inlineStr">
        <is>
          <t>NORRTÄLJE</t>
        </is>
      </c>
      <c r="G378" t="n">
        <v>0.2</v>
      </c>
      <c r="H378" t="n">
        <v>0</v>
      </c>
      <c r="I378" t="n">
        <v>0</v>
      </c>
      <c r="J378" t="n">
        <v>0</v>
      </c>
      <c r="K378" t="n">
        <v>0</v>
      </c>
      <c r="L378" t="n">
        <v>0</v>
      </c>
      <c r="M378" t="n">
        <v>0</v>
      </c>
      <c r="N378" t="n">
        <v>0</v>
      </c>
      <c r="O378" t="n">
        <v>0</v>
      </c>
      <c r="P378" t="n">
        <v>0</v>
      </c>
      <c r="Q378" t="n">
        <v>0</v>
      </c>
      <c r="R378" s="2" t="inlineStr"/>
    </row>
    <row r="379" ht="15" customHeight="1">
      <c r="A379" t="inlineStr">
        <is>
          <t>A 21739-2022</t>
        </is>
      </c>
      <c r="B379" s="1" t="n">
        <v>44708.36708333333</v>
      </c>
      <c r="C379" s="1" t="n">
        <v>46050</v>
      </c>
      <c r="D379" t="inlineStr">
        <is>
          <t>STOCKHOLMS LÄN</t>
        </is>
      </c>
      <c r="E379" t="inlineStr">
        <is>
          <t>NORRTÄLJE</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35210-2023</t>
        </is>
      </c>
      <c r="B380" s="1" t="n">
        <v>45145.63584490741</v>
      </c>
      <c r="C380" s="1" t="n">
        <v>46050</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59767-2022</t>
        </is>
      </c>
      <c r="B381" s="1" t="n">
        <v>44900</v>
      </c>
      <c r="C381" s="1" t="n">
        <v>46050</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5823-2023</t>
        </is>
      </c>
      <c r="B382" s="1" t="n">
        <v>44963</v>
      </c>
      <c r="C382" s="1" t="n">
        <v>46050</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19915-2024</t>
        </is>
      </c>
      <c r="B383" s="1" t="n">
        <v>45433.58431712963</v>
      </c>
      <c r="C383" s="1" t="n">
        <v>46050</v>
      </c>
      <c r="D383" t="inlineStr">
        <is>
          <t>STOCKHOLMS LÄN</t>
        </is>
      </c>
      <c r="E383" t="inlineStr">
        <is>
          <t>NORRTÄLJE</t>
        </is>
      </c>
      <c r="G383" t="n">
        <v>2</v>
      </c>
      <c r="H383" t="n">
        <v>0</v>
      </c>
      <c r="I383" t="n">
        <v>0</v>
      </c>
      <c r="J383" t="n">
        <v>0</v>
      </c>
      <c r="K383" t="n">
        <v>0</v>
      </c>
      <c r="L383" t="n">
        <v>0</v>
      </c>
      <c r="M383" t="n">
        <v>0</v>
      </c>
      <c r="N383" t="n">
        <v>0</v>
      </c>
      <c r="O383" t="n">
        <v>0</v>
      </c>
      <c r="P383" t="n">
        <v>0</v>
      </c>
      <c r="Q383" t="n">
        <v>0</v>
      </c>
      <c r="R383" s="2" t="inlineStr"/>
    </row>
    <row r="384" ht="15" customHeight="1">
      <c r="A384" t="inlineStr">
        <is>
          <t>A 15217-2023</t>
        </is>
      </c>
      <c r="B384" s="1" t="n">
        <v>45019.28847222222</v>
      </c>
      <c r="C384" s="1" t="n">
        <v>46050</v>
      </c>
      <c r="D384" t="inlineStr">
        <is>
          <t>STOCKHOLMS LÄN</t>
        </is>
      </c>
      <c r="E384" t="inlineStr">
        <is>
          <t>NORRTÄLJE</t>
        </is>
      </c>
      <c r="G384" t="n">
        <v>3.6</v>
      </c>
      <c r="H384" t="n">
        <v>0</v>
      </c>
      <c r="I384" t="n">
        <v>0</v>
      </c>
      <c r="J384" t="n">
        <v>0</v>
      </c>
      <c r="K384" t="n">
        <v>0</v>
      </c>
      <c r="L384" t="n">
        <v>0</v>
      </c>
      <c r="M384" t="n">
        <v>0</v>
      </c>
      <c r="N384" t="n">
        <v>0</v>
      </c>
      <c r="O384" t="n">
        <v>0</v>
      </c>
      <c r="P384" t="n">
        <v>0</v>
      </c>
      <c r="Q384" t="n">
        <v>0</v>
      </c>
      <c r="R384" s="2" t="inlineStr"/>
    </row>
    <row r="385" ht="15" customHeight="1">
      <c r="A385" t="inlineStr">
        <is>
          <t>A 24638-2025</t>
        </is>
      </c>
      <c r="B385" s="1" t="n">
        <v>45798</v>
      </c>
      <c r="C385" s="1" t="n">
        <v>46050</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50143-2023</t>
        </is>
      </c>
      <c r="B386" s="1" t="n">
        <v>45215</v>
      </c>
      <c r="C386" s="1" t="n">
        <v>46050</v>
      </c>
      <c r="D386" t="inlineStr">
        <is>
          <t>STOCKHOLMS LÄN</t>
        </is>
      </c>
      <c r="E386" t="inlineStr">
        <is>
          <t>NORRTÄLJE</t>
        </is>
      </c>
      <c r="G386" t="n">
        <v>10.3</v>
      </c>
      <c r="H386" t="n">
        <v>0</v>
      </c>
      <c r="I386" t="n">
        <v>0</v>
      </c>
      <c r="J386" t="n">
        <v>0</v>
      </c>
      <c r="K386" t="n">
        <v>0</v>
      </c>
      <c r="L386" t="n">
        <v>0</v>
      </c>
      <c r="M386" t="n">
        <v>0</v>
      </c>
      <c r="N386" t="n">
        <v>0</v>
      </c>
      <c r="O386" t="n">
        <v>0</v>
      </c>
      <c r="P386" t="n">
        <v>0</v>
      </c>
      <c r="Q386" t="n">
        <v>0</v>
      </c>
      <c r="R386" s="2" t="inlineStr"/>
    </row>
    <row r="387" ht="15" customHeight="1">
      <c r="A387" t="inlineStr">
        <is>
          <t>A 29176-2024</t>
        </is>
      </c>
      <c r="B387" s="1" t="n">
        <v>45482.53388888889</v>
      </c>
      <c r="C387" s="1" t="n">
        <v>46050</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36430-2024</t>
        </is>
      </c>
      <c r="B388" s="1" t="n">
        <v>45536</v>
      </c>
      <c r="C388" s="1" t="n">
        <v>46050</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51312-2023</t>
        </is>
      </c>
      <c r="B389" s="1" t="n">
        <v>45219.56697916667</v>
      </c>
      <c r="C389" s="1" t="n">
        <v>46050</v>
      </c>
      <c r="D389" t="inlineStr">
        <is>
          <t>STOCKHOLMS LÄN</t>
        </is>
      </c>
      <c r="E389" t="inlineStr">
        <is>
          <t>NORRTÄLJE</t>
        </is>
      </c>
      <c r="G389" t="n">
        <v>1.9</v>
      </c>
      <c r="H389" t="n">
        <v>0</v>
      </c>
      <c r="I389" t="n">
        <v>0</v>
      </c>
      <c r="J389" t="n">
        <v>0</v>
      </c>
      <c r="K389" t="n">
        <v>0</v>
      </c>
      <c r="L389" t="n">
        <v>0</v>
      </c>
      <c r="M389" t="n">
        <v>0</v>
      </c>
      <c r="N389" t="n">
        <v>0</v>
      </c>
      <c r="O389" t="n">
        <v>0</v>
      </c>
      <c r="P389" t="n">
        <v>0</v>
      </c>
      <c r="Q389" t="n">
        <v>0</v>
      </c>
      <c r="R389" s="2" t="inlineStr"/>
    </row>
    <row r="390" ht="15" customHeight="1">
      <c r="A390" t="inlineStr">
        <is>
          <t>A 35640-2024</t>
        </is>
      </c>
      <c r="B390" s="1" t="n">
        <v>45531</v>
      </c>
      <c r="C390" s="1" t="n">
        <v>46050</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28603-2024</t>
        </is>
      </c>
      <c r="B391" s="1" t="n">
        <v>45478.42887731481</v>
      </c>
      <c r="C391" s="1" t="n">
        <v>46050</v>
      </c>
      <c r="D391" t="inlineStr">
        <is>
          <t>STOCKHOLMS LÄN</t>
        </is>
      </c>
      <c r="E391" t="inlineStr">
        <is>
          <t>NORRTÄLJE</t>
        </is>
      </c>
      <c r="G391" t="n">
        <v>5.6</v>
      </c>
      <c r="H391" t="n">
        <v>0</v>
      </c>
      <c r="I391" t="n">
        <v>0</v>
      </c>
      <c r="J391" t="n">
        <v>0</v>
      </c>
      <c r="K391" t="n">
        <v>0</v>
      </c>
      <c r="L391" t="n">
        <v>0</v>
      </c>
      <c r="M391" t="n">
        <v>0</v>
      </c>
      <c r="N391" t="n">
        <v>0</v>
      </c>
      <c r="O391" t="n">
        <v>0</v>
      </c>
      <c r="P391" t="n">
        <v>0</v>
      </c>
      <c r="Q391" t="n">
        <v>0</v>
      </c>
      <c r="R391" s="2" t="inlineStr"/>
    </row>
    <row r="392" ht="15" customHeight="1">
      <c r="A392" t="inlineStr">
        <is>
          <t>A 43212-2022</t>
        </is>
      </c>
      <c r="B392" s="1" t="n">
        <v>44834.38636574074</v>
      </c>
      <c r="C392" s="1" t="n">
        <v>46050</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51653-2022</t>
        </is>
      </c>
      <c r="B393" s="1" t="n">
        <v>44867</v>
      </c>
      <c r="C393" s="1" t="n">
        <v>46050</v>
      </c>
      <c r="D393" t="inlineStr">
        <is>
          <t>STOCKHOLMS LÄN</t>
        </is>
      </c>
      <c r="E393" t="inlineStr">
        <is>
          <t>NORRTÄLJE</t>
        </is>
      </c>
      <c r="G393" t="n">
        <v>6.6</v>
      </c>
      <c r="H393" t="n">
        <v>0</v>
      </c>
      <c r="I393" t="n">
        <v>0</v>
      </c>
      <c r="J393" t="n">
        <v>0</v>
      </c>
      <c r="K393" t="n">
        <v>0</v>
      </c>
      <c r="L393" t="n">
        <v>0</v>
      </c>
      <c r="M393" t="n">
        <v>0</v>
      </c>
      <c r="N393" t="n">
        <v>0</v>
      </c>
      <c r="O393" t="n">
        <v>0</v>
      </c>
      <c r="P393" t="n">
        <v>0</v>
      </c>
      <c r="Q393" t="n">
        <v>0</v>
      </c>
      <c r="R393" s="2" t="inlineStr"/>
    </row>
    <row r="394" ht="15" customHeight="1">
      <c r="A394" t="inlineStr">
        <is>
          <t>A 24690-2025</t>
        </is>
      </c>
      <c r="B394" s="1" t="n">
        <v>45798.67082175926</v>
      </c>
      <c r="C394" s="1" t="n">
        <v>46050</v>
      </c>
      <c r="D394" t="inlineStr">
        <is>
          <t>STOCKHOLMS LÄN</t>
        </is>
      </c>
      <c r="E394" t="inlineStr">
        <is>
          <t>NORRTÄLJE</t>
        </is>
      </c>
      <c r="G394" t="n">
        <v>1</v>
      </c>
      <c r="H394" t="n">
        <v>0</v>
      </c>
      <c r="I394" t="n">
        <v>0</v>
      </c>
      <c r="J394" t="n">
        <v>0</v>
      </c>
      <c r="K394" t="n">
        <v>0</v>
      </c>
      <c r="L394" t="n">
        <v>0</v>
      </c>
      <c r="M394" t="n">
        <v>0</v>
      </c>
      <c r="N394" t="n">
        <v>0</v>
      </c>
      <c r="O394" t="n">
        <v>0</v>
      </c>
      <c r="P394" t="n">
        <v>0</v>
      </c>
      <c r="Q394" t="n">
        <v>0</v>
      </c>
      <c r="R394" s="2" t="inlineStr"/>
    </row>
    <row r="395" ht="15" customHeight="1">
      <c r="A395" t="inlineStr">
        <is>
          <t>A 38593-2025</t>
        </is>
      </c>
      <c r="B395" s="1" t="n">
        <v>45884.48696759259</v>
      </c>
      <c r="C395" s="1" t="n">
        <v>46050</v>
      </c>
      <c r="D395" t="inlineStr">
        <is>
          <t>STOCKHOLMS LÄN</t>
        </is>
      </c>
      <c r="E395" t="inlineStr">
        <is>
          <t>NORRTÄLJE</t>
        </is>
      </c>
      <c r="G395" t="n">
        <v>3</v>
      </c>
      <c r="H395" t="n">
        <v>0</v>
      </c>
      <c r="I395" t="n">
        <v>0</v>
      </c>
      <c r="J395" t="n">
        <v>0</v>
      </c>
      <c r="K395" t="n">
        <v>0</v>
      </c>
      <c r="L395" t="n">
        <v>0</v>
      </c>
      <c r="M395" t="n">
        <v>0</v>
      </c>
      <c r="N395" t="n">
        <v>0</v>
      </c>
      <c r="O395" t="n">
        <v>0</v>
      </c>
      <c r="P395" t="n">
        <v>0</v>
      </c>
      <c r="Q395" t="n">
        <v>0</v>
      </c>
      <c r="R395" s="2" t="inlineStr"/>
    </row>
    <row r="396" ht="15" customHeight="1">
      <c r="A396" t="inlineStr">
        <is>
          <t>A 47259-2024</t>
        </is>
      </c>
      <c r="B396" s="1" t="n">
        <v>45586</v>
      </c>
      <c r="C396" s="1" t="n">
        <v>46050</v>
      </c>
      <c r="D396" t="inlineStr">
        <is>
          <t>STOCKHOLMS LÄN</t>
        </is>
      </c>
      <c r="E396" t="inlineStr">
        <is>
          <t>NORRTÄLJE</t>
        </is>
      </c>
      <c r="G396" t="n">
        <v>1.8</v>
      </c>
      <c r="H396" t="n">
        <v>0</v>
      </c>
      <c r="I396" t="n">
        <v>0</v>
      </c>
      <c r="J396" t="n">
        <v>0</v>
      </c>
      <c r="K396" t="n">
        <v>0</v>
      </c>
      <c r="L396" t="n">
        <v>0</v>
      </c>
      <c r="M396" t="n">
        <v>0</v>
      </c>
      <c r="N396" t="n">
        <v>0</v>
      </c>
      <c r="O396" t="n">
        <v>0</v>
      </c>
      <c r="P396" t="n">
        <v>0</v>
      </c>
      <c r="Q396" t="n">
        <v>0</v>
      </c>
      <c r="R396" s="2" t="inlineStr"/>
    </row>
    <row r="397" ht="15" customHeight="1">
      <c r="A397" t="inlineStr">
        <is>
          <t>A 25702-2025</t>
        </is>
      </c>
      <c r="B397" s="1" t="n">
        <v>45800</v>
      </c>
      <c r="C397" s="1" t="n">
        <v>46050</v>
      </c>
      <c r="D397" t="inlineStr">
        <is>
          <t>STOCKHOLMS LÄN</t>
        </is>
      </c>
      <c r="E397" t="inlineStr">
        <is>
          <t>NORRTÄLJE</t>
        </is>
      </c>
      <c r="G397" t="n">
        <v>5.3</v>
      </c>
      <c r="H397" t="n">
        <v>0</v>
      </c>
      <c r="I397" t="n">
        <v>0</v>
      </c>
      <c r="J397" t="n">
        <v>0</v>
      </c>
      <c r="K397" t="n">
        <v>0</v>
      </c>
      <c r="L397" t="n">
        <v>0</v>
      </c>
      <c r="M397" t="n">
        <v>0</v>
      </c>
      <c r="N397" t="n">
        <v>0</v>
      </c>
      <c r="O397" t="n">
        <v>0</v>
      </c>
      <c r="P397" t="n">
        <v>0</v>
      </c>
      <c r="Q397" t="n">
        <v>0</v>
      </c>
      <c r="R397" s="2" t="inlineStr"/>
    </row>
    <row r="398" ht="15" customHeight="1">
      <c r="A398" t="inlineStr">
        <is>
          <t>A 4322-2023</t>
        </is>
      </c>
      <c r="B398" s="1" t="n">
        <v>44953.69298611111</v>
      </c>
      <c r="C398" s="1" t="n">
        <v>46050</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25712-2025</t>
        </is>
      </c>
      <c r="B399" s="1" t="n">
        <v>45803.69228009259</v>
      </c>
      <c r="C399" s="1" t="n">
        <v>46050</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25733-2025</t>
        </is>
      </c>
      <c r="B400" s="1" t="n">
        <v>45800</v>
      </c>
      <c r="C400" s="1" t="n">
        <v>46050</v>
      </c>
      <c r="D400" t="inlineStr">
        <is>
          <t>STOCKHOLMS LÄN</t>
        </is>
      </c>
      <c r="E400" t="inlineStr">
        <is>
          <t>NORRTÄLJE</t>
        </is>
      </c>
      <c r="G400" t="n">
        <v>2.2</v>
      </c>
      <c r="H400" t="n">
        <v>0</v>
      </c>
      <c r="I400" t="n">
        <v>0</v>
      </c>
      <c r="J400" t="n">
        <v>0</v>
      </c>
      <c r="K400" t="n">
        <v>0</v>
      </c>
      <c r="L400" t="n">
        <v>0</v>
      </c>
      <c r="M400" t="n">
        <v>0</v>
      </c>
      <c r="N400" t="n">
        <v>0</v>
      </c>
      <c r="O400" t="n">
        <v>0</v>
      </c>
      <c r="P400" t="n">
        <v>0</v>
      </c>
      <c r="Q400" t="n">
        <v>0</v>
      </c>
      <c r="R400" s="2" t="inlineStr"/>
    </row>
    <row r="401" ht="15" customHeight="1">
      <c r="A401" t="inlineStr">
        <is>
          <t>A 39238-2024</t>
        </is>
      </c>
      <c r="B401" s="1" t="n">
        <v>45549</v>
      </c>
      <c r="C401" s="1" t="n">
        <v>46050</v>
      </c>
      <c r="D401" t="inlineStr">
        <is>
          <t>STOCKHOLMS LÄN</t>
        </is>
      </c>
      <c r="E401" t="inlineStr">
        <is>
          <t>NORRTÄLJE</t>
        </is>
      </c>
      <c r="G401" t="n">
        <v>3.6</v>
      </c>
      <c r="H401" t="n">
        <v>0</v>
      </c>
      <c r="I401" t="n">
        <v>0</v>
      </c>
      <c r="J401" t="n">
        <v>0</v>
      </c>
      <c r="K401" t="n">
        <v>0</v>
      </c>
      <c r="L401" t="n">
        <v>0</v>
      </c>
      <c r="M401" t="n">
        <v>0</v>
      </c>
      <c r="N401" t="n">
        <v>0</v>
      </c>
      <c r="O401" t="n">
        <v>0</v>
      </c>
      <c r="P401" t="n">
        <v>0</v>
      </c>
      <c r="Q401" t="n">
        <v>0</v>
      </c>
      <c r="R401" s="2" t="inlineStr"/>
    </row>
    <row r="402" ht="15" customHeight="1">
      <c r="A402" t="inlineStr">
        <is>
          <t>A 25571-2025</t>
        </is>
      </c>
      <c r="B402" s="1" t="n">
        <v>45803.4675</v>
      </c>
      <c r="C402" s="1" t="n">
        <v>46050</v>
      </c>
      <c r="D402" t="inlineStr">
        <is>
          <t>STOCKHOLMS LÄN</t>
        </is>
      </c>
      <c r="E402" t="inlineStr">
        <is>
          <t>NORRTÄLJE</t>
        </is>
      </c>
      <c r="G402" t="n">
        <v>5.4</v>
      </c>
      <c r="H402" t="n">
        <v>0</v>
      </c>
      <c r="I402" t="n">
        <v>0</v>
      </c>
      <c r="J402" t="n">
        <v>0</v>
      </c>
      <c r="K402" t="n">
        <v>0</v>
      </c>
      <c r="L402" t="n">
        <v>0</v>
      </c>
      <c r="M402" t="n">
        <v>0</v>
      </c>
      <c r="N402" t="n">
        <v>0</v>
      </c>
      <c r="O402" t="n">
        <v>0</v>
      </c>
      <c r="P402" t="n">
        <v>0</v>
      </c>
      <c r="Q402" t="n">
        <v>0</v>
      </c>
      <c r="R402" s="2" t="inlineStr"/>
    </row>
    <row r="403" ht="15" customHeight="1">
      <c r="A403" t="inlineStr">
        <is>
          <t>A 25721-2025</t>
        </is>
      </c>
      <c r="B403" s="1" t="n">
        <v>45800</v>
      </c>
      <c r="C403" s="1" t="n">
        <v>46050</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25697-2025</t>
        </is>
      </c>
      <c r="B404" s="1" t="n">
        <v>45803.66587962963</v>
      </c>
      <c r="C404" s="1" t="n">
        <v>46050</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41218-2024</t>
        </is>
      </c>
      <c r="B405" s="1" t="n">
        <v>45559.54706018518</v>
      </c>
      <c r="C405" s="1" t="n">
        <v>46050</v>
      </c>
      <c r="D405" t="inlineStr">
        <is>
          <t>STOCKHOLMS LÄN</t>
        </is>
      </c>
      <c r="E405" t="inlineStr">
        <is>
          <t>NORRTÄLJE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38990-2022</t>
        </is>
      </c>
      <c r="B406" s="1" t="n">
        <v>44816</v>
      </c>
      <c r="C406" s="1" t="n">
        <v>46050</v>
      </c>
      <c r="D406" t="inlineStr">
        <is>
          <t>STOCKHOLMS LÄN</t>
        </is>
      </c>
      <c r="E406" t="inlineStr">
        <is>
          <t>NORRTÄLJE</t>
        </is>
      </c>
      <c r="G406" t="n">
        <v>5.7</v>
      </c>
      <c r="H406" t="n">
        <v>0</v>
      </c>
      <c r="I406" t="n">
        <v>0</v>
      </c>
      <c r="J406" t="n">
        <v>0</v>
      </c>
      <c r="K406" t="n">
        <v>0</v>
      </c>
      <c r="L406" t="n">
        <v>0</v>
      </c>
      <c r="M406" t="n">
        <v>0</v>
      </c>
      <c r="N406" t="n">
        <v>0</v>
      </c>
      <c r="O406" t="n">
        <v>0</v>
      </c>
      <c r="P406" t="n">
        <v>0</v>
      </c>
      <c r="Q406" t="n">
        <v>0</v>
      </c>
      <c r="R406" s="2" t="inlineStr"/>
    </row>
    <row r="407" ht="15" customHeight="1">
      <c r="A407" t="inlineStr">
        <is>
          <t>A 17956-2025</t>
        </is>
      </c>
      <c r="B407" s="1" t="n">
        <v>45760.91174768518</v>
      </c>
      <c r="C407" s="1" t="n">
        <v>46050</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875-2023</t>
        </is>
      </c>
      <c r="B408" s="1" t="n">
        <v>44931.65626157408</v>
      </c>
      <c r="C408" s="1" t="n">
        <v>46050</v>
      </c>
      <c r="D408" t="inlineStr">
        <is>
          <t>STOCKHOLMS LÄN</t>
        </is>
      </c>
      <c r="E408" t="inlineStr">
        <is>
          <t>NORRTÄLJE</t>
        </is>
      </c>
      <c r="G408" t="n">
        <v>2.2</v>
      </c>
      <c r="H408" t="n">
        <v>0</v>
      </c>
      <c r="I408" t="n">
        <v>0</v>
      </c>
      <c r="J408" t="n">
        <v>0</v>
      </c>
      <c r="K408" t="n">
        <v>0</v>
      </c>
      <c r="L408" t="n">
        <v>0</v>
      </c>
      <c r="M408" t="n">
        <v>0</v>
      </c>
      <c r="N408" t="n">
        <v>0</v>
      </c>
      <c r="O408" t="n">
        <v>0</v>
      </c>
      <c r="P408" t="n">
        <v>0</v>
      </c>
      <c r="Q408" t="n">
        <v>0</v>
      </c>
      <c r="R408" s="2" t="inlineStr"/>
    </row>
    <row r="409" ht="15" customHeight="1">
      <c r="A409" t="inlineStr">
        <is>
          <t>A 31236-2022</t>
        </is>
      </c>
      <c r="B409" s="1" t="n">
        <v>44771</v>
      </c>
      <c r="C409" s="1" t="n">
        <v>46050</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8315-2025</t>
        </is>
      </c>
      <c r="B410" s="1" t="n">
        <v>45708.61761574074</v>
      </c>
      <c r="C410" s="1" t="n">
        <v>46050</v>
      </c>
      <c r="D410" t="inlineStr">
        <is>
          <t>STOCKHOLMS LÄN</t>
        </is>
      </c>
      <c r="E410" t="inlineStr">
        <is>
          <t>NORRTÄLJE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31281-2022</t>
        </is>
      </c>
      <c r="B411" s="1" t="n">
        <v>44771</v>
      </c>
      <c r="C411" s="1" t="n">
        <v>46050</v>
      </c>
      <c r="D411" t="inlineStr">
        <is>
          <t>STOCKHOLMS LÄN</t>
        </is>
      </c>
      <c r="E411" t="inlineStr">
        <is>
          <t>NORRTÄLJE</t>
        </is>
      </c>
      <c r="F411" t="inlineStr">
        <is>
          <t>Holmen skog AB</t>
        </is>
      </c>
      <c r="G411" t="n">
        <v>5.2</v>
      </c>
      <c r="H411" t="n">
        <v>0</v>
      </c>
      <c r="I411" t="n">
        <v>0</v>
      </c>
      <c r="J411" t="n">
        <v>0</v>
      </c>
      <c r="K411" t="n">
        <v>0</v>
      </c>
      <c r="L411" t="n">
        <v>0</v>
      </c>
      <c r="M411" t="n">
        <v>0</v>
      </c>
      <c r="N411" t="n">
        <v>0</v>
      </c>
      <c r="O411" t="n">
        <v>0</v>
      </c>
      <c r="P411" t="n">
        <v>0</v>
      </c>
      <c r="Q411" t="n">
        <v>0</v>
      </c>
      <c r="R411" s="2" t="inlineStr"/>
    </row>
    <row r="412" ht="15" customHeight="1">
      <c r="A412" t="inlineStr">
        <is>
          <t>A 38449-2022</t>
        </is>
      </c>
      <c r="B412" s="1" t="n">
        <v>44813</v>
      </c>
      <c r="C412" s="1" t="n">
        <v>46050</v>
      </c>
      <c r="D412" t="inlineStr">
        <is>
          <t>STOCKHOLMS LÄN</t>
        </is>
      </c>
      <c r="E412" t="inlineStr">
        <is>
          <t>NORRTÄLJE</t>
        </is>
      </c>
      <c r="G412" t="n">
        <v>4.2</v>
      </c>
      <c r="H412" t="n">
        <v>0</v>
      </c>
      <c r="I412" t="n">
        <v>0</v>
      </c>
      <c r="J412" t="n">
        <v>0</v>
      </c>
      <c r="K412" t="n">
        <v>0</v>
      </c>
      <c r="L412" t="n">
        <v>0</v>
      </c>
      <c r="M412" t="n">
        <v>0</v>
      </c>
      <c r="N412" t="n">
        <v>0</v>
      </c>
      <c r="O412" t="n">
        <v>0</v>
      </c>
      <c r="P412" t="n">
        <v>0</v>
      </c>
      <c r="Q412" t="n">
        <v>0</v>
      </c>
      <c r="R412" s="2" t="inlineStr"/>
    </row>
    <row r="413" ht="15" customHeight="1">
      <c r="A413" t="inlineStr">
        <is>
          <t>A 34478-2025</t>
        </is>
      </c>
      <c r="B413" s="1" t="n">
        <v>45847.37414351852</v>
      </c>
      <c r="C413" s="1" t="n">
        <v>46050</v>
      </c>
      <c r="D413" t="inlineStr">
        <is>
          <t>STOCKHOLMS LÄN</t>
        </is>
      </c>
      <c r="E413" t="inlineStr">
        <is>
          <t>NORRTÄLJE</t>
        </is>
      </c>
      <c r="F413" t="inlineStr">
        <is>
          <t>Övriga Aktiebolag</t>
        </is>
      </c>
      <c r="G413" t="n">
        <v>10.8</v>
      </c>
      <c r="H413" t="n">
        <v>0</v>
      </c>
      <c r="I413" t="n">
        <v>0</v>
      </c>
      <c r="J413" t="n">
        <v>0</v>
      </c>
      <c r="K413" t="n">
        <v>0</v>
      </c>
      <c r="L413" t="n">
        <v>0</v>
      </c>
      <c r="M413" t="n">
        <v>0</v>
      </c>
      <c r="N413" t="n">
        <v>0</v>
      </c>
      <c r="O413" t="n">
        <v>0</v>
      </c>
      <c r="P413" t="n">
        <v>0</v>
      </c>
      <c r="Q413" t="n">
        <v>0</v>
      </c>
      <c r="R413" s="2" t="inlineStr"/>
    </row>
    <row r="414" ht="15" customHeight="1">
      <c r="A414" t="inlineStr">
        <is>
          <t>A 18665-2022</t>
        </is>
      </c>
      <c r="B414" s="1" t="n">
        <v>44687</v>
      </c>
      <c r="C414" s="1" t="n">
        <v>46050</v>
      </c>
      <c r="D414" t="inlineStr">
        <is>
          <t>STOCKHOLMS LÄN</t>
        </is>
      </c>
      <c r="E414" t="inlineStr">
        <is>
          <t>NORRTÄLJE</t>
        </is>
      </c>
      <c r="F414" t="inlineStr">
        <is>
          <t>Kyrkan</t>
        </is>
      </c>
      <c r="G414" t="n">
        <v>1.1</v>
      </c>
      <c r="H414" t="n">
        <v>0</v>
      </c>
      <c r="I414" t="n">
        <v>0</v>
      </c>
      <c r="J414" t="n">
        <v>0</v>
      </c>
      <c r="K414" t="n">
        <v>0</v>
      </c>
      <c r="L414" t="n">
        <v>0</v>
      </c>
      <c r="M414" t="n">
        <v>0</v>
      </c>
      <c r="N414" t="n">
        <v>0</v>
      </c>
      <c r="O414" t="n">
        <v>0</v>
      </c>
      <c r="P414" t="n">
        <v>0</v>
      </c>
      <c r="Q414" t="n">
        <v>0</v>
      </c>
      <c r="R414" s="2" t="inlineStr"/>
    </row>
    <row r="415" ht="15" customHeight="1">
      <c r="A415" t="inlineStr">
        <is>
          <t>A 27677-2025</t>
        </is>
      </c>
      <c r="B415" s="1" t="n">
        <v>45813.63650462963</v>
      </c>
      <c r="C415" s="1" t="n">
        <v>46050</v>
      </c>
      <c r="D415" t="inlineStr">
        <is>
          <t>STOCKHOLMS LÄN</t>
        </is>
      </c>
      <c r="E415" t="inlineStr">
        <is>
          <t>NORRTÄLJE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39152-2025</t>
        </is>
      </c>
      <c r="B416" s="1" t="n">
        <v>45888</v>
      </c>
      <c r="C416" s="1" t="n">
        <v>46050</v>
      </c>
      <c r="D416" t="inlineStr">
        <is>
          <t>STOCKHOLMS LÄN</t>
        </is>
      </c>
      <c r="E416" t="inlineStr">
        <is>
          <t>NORRTÄLJE</t>
        </is>
      </c>
      <c r="G416" t="n">
        <v>4.6</v>
      </c>
      <c r="H416" t="n">
        <v>0</v>
      </c>
      <c r="I416" t="n">
        <v>0</v>
      </c>
      <c r="J416" t="n">
        <v>0</v>
      </c>
      <c r="K416" t="n">
        <v>0</v>
      </c>
      <c r="L416" t="n">
        <v>0</v>
      </c>
      <c r="M416" t="n">
        <v>0</v>
      </c>
      <c r="N416" t="n">
        <v>0</v>
      </c>
      <c r="O416" t="n">
        <v>0</v>
      </c>
      <c r="P416" t="n">
        <v>0</v>
      </c>
      <c r="Q416" t="n">
        <v>0</v>
      </c>
      <c r="R416" s="2" t="inlineStr"/>
    </row>
    <row r="417" ht="15" customHeight="1">
      <c r="A417" t="inlineStr">
        <is>
          <t>A 53561-2023</t>
        </is>
      </c>
      <c r="B417" s="1" t="n">
        <v>45224</v>
      </c>
      <c r="C417" s="1" t="n">
        <v>46050</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58302-2022</t>
        </is>
      </c>
      <c r="B418" s="1" t="n">
        <v>44901</v>
      </c>
      <c r="C418" s="1" t="n">
        <v>46050</v>
      </c>
      <c r="D418" t="inlineStr">
        <is>
          <t>STOCKHOLMS LÄN</t>
        </is>
      </c>
      <c r="E418" t="inlineStr">
        <is>
          <t>NORRTÄLJE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26051-2025</t>
        </is>
      </c>
      <c r="B419" s="1" t="n">
        <v>45804.74479166666</v>
      </c>
      <c r="C419" s="1" t="n">
        <v>46050</v>
      </c>
      <c r="D419" t="inlineStr">
        <is>
          <t>STOCKHOLMS LÄN</t>
        </is>
      </c>
      <c r="E419" t="inlineStr">
        <is>
          <t>NORRTÄLJE</t>
        </is>
      </c>
      <c r="G419" t="n">
        <v>3.2</v>
      </c>
      <c r="H419" t="n">
        <v>0</v>
      </c>
      <c r="I419" t="n">
        <v>0</v>
      </c>
      <c r="J419" t="n">
        <v>0</v>
      </c>
      <c r="K419" t="n">
        <v>0</v>
      </c>
      <c r="L419" t="n">
        <v>0</v>
      </c>
      <c r="M419" t="n">
        <v>0</v>
      </c>
      <c r="N419" t="n">
        <v>0</v>
      </c>
      <c r="O419" t="n">
        <v>0</v>
      </c>
      <c r="P419" t="n">
        <v>0</v>
      </c>
      <c r="Q419" t="n">
        <v>0</v>
      </c>
      <c r="R419" s="2" t="inlineStr"/>
    </row>
    <row r="420" ht="15" customHeight="1">
      <c r="A420" t="inlineStr">
        <is>
          <t>A 39149-2025</t>
        </is>
      </c>
      <c r="B420" s="1" t="n">
        <v>45888.60714120371</v>
      </c>
      <c r="C420" s="1" t="n">
        <v>46050</v>
      </c>
      <c r="D420" t="inlineStr">
        <is>
          <t>STOCKHOLMS LÄN</t>
        </is>
      </c>
      <c r="E420" t="inlineStr">
        <is>
          <t>NORRTÄLJE</t>
        </is>
      </c>
      <c r="G420" t="n">
        <v>3.5</v>
      </c>
      <c r="H420" t="n">
        <v>0</v>
      </c>
      <c r="I420" t="n">
        <v>0</v>
      </c>
      <c r="J420" t="n">
        <v>0</v>
      </c>
      <c r="K420" t="n">
        <v>0</v>
      </c>
      <c r="L420" t="n">
        <v>0</v>
      </c>
      <c r="M420" t="n">
        <v>0</v>
      </c>
      <c r="N420" t="n">
        <v>0</v>
      </c>
      <c r="O420" t="n">
        <v>0</v>
      </c>
      <c r="P420" t="n">
        <v>0</v>
      </c>
      <c r="Q420" t="n">
        <v>0</v>
      </c>
      <c r="R420" s="2" t="inlineStr"/>
    </row>
    <row r="421" ht="15" customHeight="1">
      <c r="A421" t="inlineStr">
        <is>
          <t>A 38591-2023</t>
        </is>
      </c>
      <c r="B421" s="1" t="n">
        <v>45162</v>
      </c>
      <c r="C421" s="1" t="n">
        <v>46050</v>
      </c>
      <c r="D421" t="inlineStr">
        <is>
          <t>STOCKHOLMS LÄN</t>
        </is>
      </c>
      <c r="E421" t="inlineStr">
        <is>
          <t>NORRTÄLJE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30338-2022</t>
        </is>
      </c>
      <c r="B422" s="1" t="n">
        <v>44760</v>
      </c>
      <c r="C422" s="1" t="n">
        <v>46050</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2888-2022</t>
        </is>
      </c>
      <c r="B423" s="1" t="n">
        <v>44581</v>
      </c>
      <c r="C423" s="1" t="n">
        <v>46050</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52686-2024</t>
        </is>
      </c>
      <c r="B424" s="1" t="n">
        <v>45610.39271990741</v>
      </c>
      <c r="C424" s="1" t="n">
        <v>46050</v>
      </c>
      <c r="D424" t="inlineStr">
        <is>
          <t>STOCKHOLMS LÄN</t>
        </is>
      </c>
      <c r="E424" t="inlineStr">
        <is>
          <t>NORRTÄLJE</t>
        </is>
      </c>
      <c r="G424" t="n">
        <v>5.7</v>
      </c>
      <c r="H424" t="n">
        <v>0</v>
      </c>
      <c r="I424" t="n">
        <v>0</v>
      </c>
      <c r="J424" t="n">
        <v>0</v>
      </c>
      <c r="K424" t="n">
        <v>0</v>
      </c>
      <c r="L424" t="n">
        <v>0</v>
      </c>
      <c r="M424" t="n">
        <v>0</v>
      </c>
      <c r="N424" t="n">
        <v>0</v>
      </c>
      <c r="O424" t="n">
        <v>0</v>
      </c>
      <c r="P424" t="n">
        <v>0</v>
      </c>
      <c r="Q424" t="n">
        <v>0</v>
      </c>
      <c r="R424" s="2" t="inlineStr"/>
    </row>
    <row r="425" ht="15" customHeight="1">
      <c r="A425" t="inlineStr">
        <is>
          <t>A 20343-2024</t>
        </is>
      </c>
      <c r="B425" s="1" t="n">
        <v>45435.43466435185</v>
      </c>
      <c r="C425" s="1" t="n">
        <v>46050</v>
      </c>
      <c r="D425" t="inlineStr">
        <is>
          <t>STOCKHOLMS LÄN</t>
        </is>
      </c>
      <c r="E425" t="inlineStr">
        <is>
          <t>NORRTÄLJE</t>
        </is>
      </c>
      <c r="G425" t="n">
        <v>2.8</v>
      </c>
      <c r="H425" t="n">
        <v>0</v>
      </c>
      <c r="I425" t="n">
        <v>0</v>
      </c>
      <c r="J425" t="n">
        <v>0</v>
      </c>
      <c r="K425" t="n">
        <v>0</v>
      </c>
      <c r="L425" t="n">
        <v>0</v>
      </c>
      <c r="M425" t="n">
        <v>0</v>
      </c>
      <c r="N425" t="n">
        <v>0</v>
      </c>
      <c r="O425" t="n">
        <v>0</v>
      </c>
      <c r="P425" t="n">
        <v>0</v>
      </c>
      <c r="Q425" t="n">
        <v>0</v>
      </c>
      <c r="R425" s="2" t="inlineStr"/>
    </row>
    <row r="426" ht="15" customHeight="1">
      <c r="A426" t="inlineStr">
        <is>
          <t>A 20345-2024</t>
        </is>
      </c>
      <c r="B426" s="1" t="n">
        <v>45435.43820601852</v>
      </c>
      <c r="C426" s="1" t="n">
        <v>46050</v>
      </c>
      <c r="D426" t="inlineStr">
        <is>
          <t>STOCKHOLMS LÄN</t>
        </is>
      </c>
      <c r="E426" t="inlineStr">
        <is>
          <t>NORRTÄLJE</t>
        </is>
      </c>
      <c r="G426" t="n">
        <v>3.8</v>
      </c>
      <c r="H426" t="n">
        <v>0</v>
      </c>
      <c r="I426" t="n">
        <v>0</v>
      </c>
      <c r="J426" t="n">
        <v>0</v>
      </c>
      <c r="K426" t="n">
        <v>0</v>
      </c>
      <c r="L426" t="n">
        <v>0</v>
      </c>
      <c r="M426" t="n">
        <v>0</v>
      </c>
      <c r="N426" t="n">
        <v>0</v>
      </c>
      <c r="O426" t="n">
        <v>0</v>
      </c>
      <c r="P426" t="n">
        <v>0</v>
      </c>
      <c r="Q426" t="n">
        <v>0</v>
      </c>
      <c r="R426" s="2" t="inlineStr"/>
    </row>
    <row r="427" ht="15" customHeight="1">
      <c r="A427" t="inlineStr">
        <is>
          <t>A 9765-2024</t>
        </is>
      </c>
      <c r="B427" s="1" t="n">
        <v>45362.62811342593</v>
      </c>
      <c r="C427" s="1" t="n">
        <v>46050</v>
      </c>
      <c r="D427" t="inlineStr">
        <is>
          <t>STOCKHOLMS LÄN</t>
        </is>
      </c>
      <c r="E427" t="inlineStr">
        <is>
          <t>NORRTÄLJE</t>
        </is>
      </c>
      <c r="G427" t="n">
        <v>1.4</v>
      </c>
      <c r="H427" t="n">
        <v>0</v>
      </c>
      <c r="I427" t="n">
        <v>0</v>
      </c>
      <c r="J427" t="n">
        <v>0</v>
      </c>
      <c r="K427" t="n">
        <v>0</v>
      </c>
      <c r="L427" t="n">
        <v>0</v>
      </c>
      <c r="M427" t="n">
        <v>0</v>
      </c>
      <c r="N427" t="n">
        <v>0</v>
      </c>
      <c r="O427" t="n">
        <v>0</v>
      </c>
      <c r="P427" t="n">
        <v>0</v>
      </c>
      <c r="Q427" t="n">
        <v>0</v>
      </c>
      <c r="R427" s="2" t="inlineStr"/>
    </row>
    <row r="428" ht="15" customHeight="1">
      <c r="A428" t="inlineStr">
        <is>
          <t>A 39692-2025</t>
        </is>
      </c>
      <c r="B428" s="1" t="n">
        <v>45890.68083333333</v>
      </c>
      <c r="C428" s="1" t="n">
        <v>46050</v>
      </c>
      <c r="D428" t="inlineStr">
        <is>
          <t>STOCKHOLMS LÄN</t>
        </is>
      </c>
      <c r="E428" t="inlineStr">
        <is>
          <t>NORRTÄLJE</t>
        </is>
      </c>
      <c r="G428" t="n">
        <v>10.5</v>
      </c>
      <c r="H428" t="n">
        <v>0</v>
      </c>
      <c r="I428" t="n">
        <v>0</v>
      </c>
      <c r="J428" t="n">
        <v>0</v>
      </c>
      <c r="K428" t="n">
        <v>0</v>
      </c>
      <c r="L428" t="n">
        <v>0</v>
      </c>
      <c r="M428" t="n">
        <v>0</v>
      </c>
      <c r="N428" t="n">
        <v>0</v>
      </c>
      <c r="O428" t="n">
        <v>0</v>
      </c>
      <c r="P428" t="n">
        <v>0</v>
      </c>
      <c r="Q428" t="n">
        <v>0</v>
      </c>
      <c r="R428" s="2" t="inlineStr"/>
    </row>
    <row r="429" ht="15" customHeight="1">
      <c r="A429" t="inlineStr">
        <is>
          <t>A 59875-2024</t>
        </is>
      </c>
      <c r="B429" s="1" t="n">
        <v>45640.58716435185</v>
      </c>
      <c r="C429" s="1" t="n">
        <v>46050</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26708-2025</t>
        </is>
      </c>
      <c r="B430" s="1" t="n">
        <v>45810.45633101852</v>
      </c>
      <c r="C430" s="1" t="n">
        <v>46050</v>
      </c>
      <c r="D430" t="inlineStr">
        <is>
          <t>STOCKHOLMS LÄN</t>
        </is>
      </c>
      <c r="E430" t="inlineStr">
        <is>
          <t>NORRTÄLJE</t>
        </is>
      </c>
      <c r="G430" t="n">
        <v>1.4</v>
      </c>
      <c r="H430" t="n">
        <v>0</v>
      </c>
      <c r="I430" t="n">
        <v>0</v>
      </c>
      <c r="J430" t="n">
        <v>0</v>
      </c>
      <c r="K430" t="n">
        <v>0</v>
      </c>
      <c r="L430" t="n">
        <v>0</v>
      </c>
      <c r="M430" t="n">
        <v>0</v>
      </c>
      <c r="N430" t="n">
        <v>0</v>
      </c>
      <c r="O430" t="n">
        <v>0</v>
      </c>
      <c r="P430" t="n">
        <v>0</v>
      </c>
      <c r="Q430" t="n">
        <v>0</v>
      </c>
      <c r="R430" s="2" t="inlineStr"/>
    </row>
    <row r="431" ht="15" customHeight="1">
      <c r="A431" t="inlineStr">
        <is>
          <t>A 11-2024</t>
        </is>
      </c>
      <c r="B431" s="1" t="n">
        <v>45293</v>
      </c>
      <c r="C431" s="1" t="n">
        <v>46050</v>
      </c>
      <c r="D431" t="inlineStr">
        <is>
          <t>STOCKHOLMS LÄN</t>
        </is>
      </c>
      <c r="E431" t="inlineStr">
        <is>
          <t>NORRTÄLJE</t>
        </is>
      </c>
      <c r="F431" t="inlineStr">
        <is>
          <t>Sveaskog</t>
        </is>
      </c>
      <c r="G431" t="n">
        <v>3.2</v>
      </c>
      <c r="H431" t="n">
        <v>0</v>
      </c>
      <c r="I431" t="n">
        <v>0</v>
      </c>
      <c r="J431" t="n">
        <v>0</v>
      </c>
      <c r="K431" t="n">
        <v>0</v>
      </c>
      <c r="L431" t="n">
        <v>0</v>
      </c>
      <c r="M431" t="n">
        <v>0</v>
      </c>
      <c r="N431" t="n">
        <v>0</v>
      </c>
      <c r="O431" t="n">
        <v>0</v>
      </c>
      <c r="P431" t="n">
        <v>0</v>
      </c>
      <c r="Q431" t="n">
        <v>0</v>
      </c>
      <c r="R431" s="2" t="inlineStr"/>
    </row>
    <row r="432" ht="15" customHeight="1">
      <c r="A432" t="inlineStr">
        <is>
          <t>A 35639-2025</t>
        </is>
      </c>
      <c r="B432" s="1" t="n">
        <v>45859</v>
      </c>
      <c r="C432" s="1" t="n">
        <v>46050</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14559-2024</t>
        </is>
      </c>
      <c r="B433" s="1" t="n">
        <v>45394.72869212963</v>
      </c>
      <c r="C433" s="1" t="n">
        <v>46050</v>
      </c>
      <c r="D433" t="inlineStr">
        <is>
          <t>STOCKHOLMS LÄN</t>
        </is>
      </c>
      <c r="E433" t="inlineStr">
        <is>
          <t>NORRTÄLJE</t>
        </is>
      </c>
      <c r="G433" t="n">
        <v>4.2</v>
      </c>
      <c r="H433" t="n">
        <v>0</v>
      </c>
      <c r="I433" t="n">
        <v>0</v>
      </c>
      <c r="J433" t="n">
        <v>0</v>
      </c>
      <c r="K433" t="n">
        <v>0</v>
      </c>
      <c r="L433" t="n">
        <v>0</v>
      </c>
      <c r="M433" t="n">
        <v>0</v>
      </c>
      <c r="N433" t="n">
        <v>0</v>
      </c>
      <c r="O433" t="n">
        <v>0</v>
      </c>
      <c r="P433" t="n">
        <v>0</v>
      </c>
      <c r="Q433" t="n">
        <v>0</v>
      </c>
      <c r="R433" s="2" t="inlineStr"/>
    </row>
    <row r="434" ht="15" customHeight="1">
      <c r="A434" t="inlineStr">
        <is>
          <t>A 8433-2022</t>
        </is>
      </c>
      <c r="B434" s="1" t="n">
        <v>44611</v>
      </c>
      <c r="C434" s="1" t="n">
        <v>46050</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26702-2025</t>
        </is>
      </c>
      <c r="B435" s="1" t="n">
        <v>45810.45236111111</v>
      </c>
      <c r="C435" s="1" t="n">
        <v>46050</v>
      </c>
      <c r="D435" t="inlineStr">
        <is>
          <t>STOCKHOLMS LÄN</t>
        </is>
      </c>
      <c r="E435" t="inlineStr">
        <is>
          <t>NORRTÄLJE</t>
        </is>
      </c>
      <c r="G435" t="n">
        <v>7.3</v>
      </c>
      <c r="H435" t="n">
        <v>0</v>
      </c>
      <c r="I435" t="n">
        <v>0</v>
      </c>
      <c r="J435" t="n">
        <v>0</v>
      </c>
      <c r="K435" t="n">
        <v>0</v>
      </c>
      <c r="L435" t="n">
        <v>0</v>
      </c>
      <c r="M435" t="n">
        <v>0</v>
      </c>
      <c r="N435" t="n">
        <v>0</v>
      </c>
      <c r="O435" t="n">
        <v>0</v>
      </c>
      <c r="P435" t="n">
        <v>0</v>
      </c>
      <c r="Q435" t="n">
        <v>0</v>
      </c>
      <c r="R435" s="2" t="inlineStr"/>
    </row>
    <row r="436" ht="15" customHeight="1">
      <c r="A436" t="inlineStr">
        <is>
          <t>A 25525-2022</t>
        </is>
      </c>
      <c r="B436" s="1" t="n">
        <v>44732</v>
      </c>
      <c r="C436" s="1" t="n">
        <v>46050</v>
      </c>
      <c r="D436" t="inlineStr">
        <is>
          <t>STOCKHOLMS LÄN</t>
        </is>
      </c>
      <c r="E436" t="inlineStr">
        <is>
          <t>NORRTÄLJE</t>
        </is>
      </c>
      <c r="G436" t="n">
        <v>2.2</v>
      </c>
      <c r="H436" t="n">
        <v>0</v>
      </c>
      <c r="I436" t="n">
        <v>0</v>
      </c>
      <c r="J436" t="n">
        <v>0</v>
      </c>
      <c r="K436" t="n">
        <v>0</v>
      </c>
      <c r="L436" t="n">
        <v>0</v>
      </c>
      <c r="M436" t="n">
        <v>0</v>
      </c>
      <c r="N436" t="n">
        <v>0</v>
      </c>
      <c r="O436" t="n">
        <v>0</v>
      </c>
      <c r="P436" t="n">
        <v>0</v>
      </c>
      <c r="Q436" t="n">
        <v>0</v>
      </c>
      <c r="R436" s="2" t="inlineStr"/>
    </row>
    <row r="437" ht="15" customHeight="1">
      <c r="A437" t="inlineStr">
        <is>
          <t>A 12302-2025</t>
        </is>
      </c>
      <c r="B437" s="1" t="n">
        <v>45729.72851851852</v>
      </c>
      <c r="C437" s="1" t="n">
        <v>46050</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23061-2025</t>
        </is>
      </c>
      <c r="B438" s="1" t="n">
        <v>45790.81410879629</v>
      </c>
      <c r="C438" s="1" t="n">
        <v>46050</v>
      </c>
      <c r="D438" t="inlineStr">
        <is>
          <t>STOCKHOLMS LÄN</t>
        </is>
      </c>
      <c r="E438" t="inlineStr">
        <is>
          <t>NORRTÄLJE</t>
        </is>
      </c>
      <c r="G438" t="n">
        <v>1.4</v>
      </c>
      <c r="H438" t="n">
        <v>0</v>
      </c>
      <c r="I438" t="n">
        <v>0</v>
      </c>
      <c r="J438" t="n">
        <v>0</v>
      </c>
      <c r="K438" t="n">
        <v>0</v>
      </c>
      <c r="L438" t="n">
        <v>0</v>
      </c>
      <c r="M438" t="n">
        <v>0</v>
      </c>
      <c r="N438" t="n">
        <v>0</v>
      </c>
      <c r="O438" t="n">
        <v>0</v>
      </c>
      <c r="P438" t="n">
        <v>0</v>
      </c>
      <c r="Q438" t="n">
        <v>0</v>
      </c>
      <c r="R438" s="2" t="inlineStr"/>
    </row>
    <row r="439" ht="15" customHeight="1">
      <c r="A439" t="inlineStr">
        <is>
          <t>A 35636-2025</t>
        </is>
      </c>
      <c r="B439" s="1" t="n">
        <v>45859</v>
      </c>
      <c r="C439" s="1" t="n">
        <v>46050</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27040-2025</t>
        </is>
      </c>
      <c r="B440" s="1" t="n">
        <v>45811.60451388889</v>
      </c>
      <c r="C440" s="1" t="n">
        <v>46050</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26747-2025</t>
        </is>
      </c>
      <c r="B441" s="1" t="n">
        <v>45810.5333912037</v>
      </c>
      <c r="C441" s="1" t="n">
        <v>46050</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38889-2024</t>
        </is>
      </c>
      <c r="B442" s="1" t="n">
        <v>45547</v>
      </c>
      <c r="C442" s="1" t="n">
        <v>46050</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45451-2024</t>
        </is>
      </c>
      <c r="B443" s="1" t="n">
        <v>45576</v>
      </c>
      <c r="C443" s="1" t="n">
        <v>46050</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40172-2025</t>
        </is>
      </c>
      <c r="B444" s="1" t="n">
        <v>45894.6353125</v>
      </c>
      <c r="C444" s="1" t="n">
        <v>46050</v>
      </c>
      <c r="D444" t="inlineStr">
        <is>
          <t>STOCKHOLMS LÄN</t>
        </is>
      </c>
      <c r="E444" t="inlineStr">
        <is>
          <t>NORRTÄLJE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40033-2025</t>
        </is>
      </c>
      <c r="B445" s="1" t="n">
        <v>45893</v>
      </c>
      <c r="C445" s="1" t="n">
        <v>46050</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40032-2025</t>
        </is>
      </c>
      <c r="B446" s="1" t="n">
        <v>45893</v>
      </c>
      <c r="C446" s="1" t="n">
        <v>46050</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40292-2025</t>
        </is>
      </c>
      <c r="B447" s="1" t="n">
        <v>45895.3867824074</v>
      </c>
      <c r="C447" s="1" t="n">
        <v>46050</v>
      </c>
      <c r="D447" t="inlineStr">
        <is>
          <t>STOCKHOLMS LÄN</t>
        </is>
      </c>
      <c r="E447" t="inlineStr">
        <is>
          <t>NORRTÄLJE</t>
        </is>
      </c>
      <c r="G447" t="n">
        <v>3.5</v>
      </c>
      <c r="H447" t="n">
        <v>0</v>
      </c>
      <c r="I447" t="n">
        <v>0</v>
      </c>
      <c r="J447" t="n">
        <v>0</v>
      </c>
      <c r="K447" t="n">
        <v>0</v>
      </c>
      <c r="L447" t="n">
        <v>0</v>
      </c>
      <c r="M447" t="n">
        <v>0</v>
      </c>
      <c r="N447" t="n">
        <v>0</v>
      </c>
      <c r="O447" t="n">
        <v>0</v>
      </c>
      <c r="P447" t="n">
        <v>0</v>
      </c>
      <c r="Q447" t="n">
        <v>0</v>
      </c>
      <c r="R447" s="2" t="inlineStr"/>
    </row>
    <row r="448" ht="15" customHeight="1">
      <c r="A448" t="inlineStr">
        <is>
          <t>A 40294-2025</t>
        </is>
      </c>
      <c r="B448" s="1" t="n">
        <v>45895.38778935185</v>
      </c>
      <c r="C448" s="1" t="n">
        <v>46050</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40228-2025</t>
        </is>
      </c>
      <c r="B449" s="1" t="n">
        <v>45894.70854166667</v>
      </c>
      <c r="C449" s="1" t="n">
        <v>46050</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26675-2025</t>
        </is>
      </c>
      <c r="B450" s="1" t="n">
        <v>45810.42393518519</v>
      </c>
      <c r="C450" s="1" t="n">
        <v>46050</v>
      </c>
      <c r="D450" t="inlineStr">
        <is>
          <t>STOCKHOLMS LÄN</t>
        </is>
      </c>
      <c r="E450" t="inlineStr">
        <is>
          <t>NORRTÄLJE</t>
        </is>
      </c>
      <c r="G450" t="n">
        <v>2.7</v>
      </c>
      <c r="H450" t="n">
        <v>0</v>
      </c>
      <c r="I450" t="n">
        <v>0</v>
      </c>
      <c r="J450" t="n">
        <v>0</v>
      </c>
      <c r="K450" t="n">
        <v>0</v>
      </c>
      <c r="L450" t="n">
        <v>0</v>
      </c>
      <c r="M450" t="n">
        <v>0</v>
      </c>
      <c r="N450" t="n">
        <v>0</v>
      </c>
      <c r="O450" t="n">
        <v>0</v>
      </c>
      <c r="P450" t="n">
        <v>0</v>
      </c>
      <c r="Q450" t="n">
        <v>0</v>
      </c>
      <c r="R450" s="2" t="inlineStr"/>
    </row>
    <row r="451" ht="15" customHeight="1">
      <c r="A451" t="inlineStr">
        <is>
          <t>A 40230-2025</t>
        </is>
      </c>
      <c r="B451" s="1" t="n">
        <v>45894.71101851852</v>
      </c>
      <c r="C451" s="1" t="n">
        <v>46050</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27554-2025</t>
        </is>
      </c>
      <c r="B452" s="1" t="n">
        <v>45813.4709375</v>
      </c>
      <c r="C452" s="1" t="n">
        <v>46050</v>
      </c>
      <c r="D452" t="inlineStr">
        <is>
          <t>STOCKHOLMS LÄN</t>
        </is>
      </c>
      <c r="E452" t="inlineStr">
        <is>
          <t>NORRTÄLJE</t>
        </is>
      </c>
      <c r="F452" t="inlineStr">
        <is>
          <t>Övriga Aktiebolag</t>
        </is>
      </c>
      <c r="G452" t="n">
        <v>2.5</v>
      </c>
      <c r="H452" t="n">
        <v>0</v>
      </c>
      <c r="I452" t="n">
        <v>0</v>
      </c>
      <c r="J452" t="n">
        <v>0</v>
      </c>
      <c r="K452" t="n">
        <v>0</v>
      </c>
      <c r="L452" t="n">
        <v>0</v>
      </c>
      <c r="M452" t="n">
        <v>0</v>
      </c>
      <c r="N452" t="n">
        <v>0</v>
      </c>
      <c r="O452" t="n">
        <v>0</v>
      </c>
      <c r="P452" t="n">
        <v>0</v>
      </c>
      <c r="Q452" t="n">
        <v>0</v>
      </c>
      <c r="R452" s="2" t="inlineStr"/>
    </row>
    <row r="453" ht="15" customHeight="1">
      <c r="A453" t="inlineStr">
        <is>
          <t>A 40217-2025</t>
        </is>
      </c>
      <c r="B453" s="1" t="n">
        <v>45894.68864583333</v>
      </c>
      <c r="C453" s="1" t="n">
        <v>46050</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40097-2025</t>
        </is>
      </c>
      <c r="B454" s="1" t="n">
        <v>45894.48322916667</v>
      </c>
      <c r="C454" s="1" t="n">
        <v>46050</v>
      </c>
      <c r="D454" t="inlineStr">
        <is>
          <t>STOCKHOLMS LÄN</t>
        </is>
      </c>
      <c r="E454" t="inlineStr">
        <is>
          <t>NORRTÄLJE</t>
        </is>
      </c>
      <c r="G454" t="n">
        <v>3</v>
      </c>
      <c r="H454" t="n">
        <v>0</v>
      </c>
      <c r="I454" t="n">
        <v>0</v>
      </c>
      <c r="J454" t="n">
        <v>0</v>
      </c>
      <c r="K454" t="n">
        <v>0</v>
      </c>
      <c r="L454" t="n">
        <v>0</v>
      </c>
      <c r="M454" t="n">
        <v>0</v>
      </c>
      <c r="N454" t="n">
        <v>0</v>
      </c>
      <c r="O454" t="n">
        <v>0</v>
      </c>
      <c r="P454" t="n">
        <v>0</v>
      </c>
      <c r="Q454" t="n">
        <v>0</v>
      </c>
      <c r="R454" s="2" t="inlineStr"/>
    </row>
    <row r="455" ht="15" customHeight="1">
      <c r="A455" t="inlineStr">
        <is>
          <t>A 40829-2025</t>
        </is>
      </c>
      <c r="B455" s="1" t="n">
        <v>45897.50802083333</v>
      </c>
      <c r="C455" s="1" t="n">
        <v>46050</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40837-2025</t>
        </is>
      </c>
      <c r="B456" s="1" t="n">
        <v>45897.51328703704</v>
      </c>
      <c r="C456" s="1" t="n">
        <v>46050</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40529-2025</t>
        </is>
      </c>
      <c r="B457" s="1" t="n">
        <v>45896.38466435186</v>
      </c>
      <c r="C457" s="1" t="n">
        <v>46050</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40831-2025</t>
        </is>
      </c>
      <c r="B458" s="1" t="n">
        <v>45897.51077546296</v>
      </c>
      <c r="C458" s="1" t="n">
        <v>46050</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26644-2024</t>
        </is>
      </c>
      <c r="B459" s="1" t="n">
        <v>45469</v>
      </c>
      <c r="C459" s="1" t="n">
        <v>46050</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27700-2025</t>
        </is>
      </c>
      <c r="B460" s="1" t="n">
        <v>45813.6799537037</v>
      </c>
      <c r="C460" s="1" t="n">
        <v>46050</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27697-2025</t>
        </is>
      </c>
      <c r="B461" s="1" t="n">
        <v>45813.66961805556</v>
      </c>
      <c r="C461" s="1" t="n">
        <v>46050</v>
      </c>
      <c r="D461" t="inlineStr">
        <is>
          <t>STOCKHOLMS LÄN</t>
        </is>
      </c>
      <c r="E461" t="inlineStr">
        <is>
          <t>NORRTÄLJE</t>
        </is>
      </c>
      <c r="G461" t="n">
        <v>6.2</v>
      </c>
      <c r="H461" t="n">
        <v>0</v>
      </c>
      <c r="I461" t="n">
        <v>0</v>
      </c>
      <c r="J461" t="n">
        <v>0</v>
      </c>
      <c r="K461" t="n">
        <v>0</v>
      </c>
      <c r="L461" t="n">
        <v>0</v>
      </c>
      <c r="M461" t="n">
        <v>0</v>
      </c>
      <c r="N461" t="n">
        <v>0</v>
      </c>
      <c r="O461" t="n">
        <v>0</v>
      </c>
      <c r="P461" t="n">
        <v>0</v>
      </c>
      <c r="Q461" t="n">
        <v>0</v>
      </c>
      <c r="R461" s="2" t="inlineStr"/>
    </row>
    <row r="462" ht="15" customHeight="1">
      <c r="A462" t="inlineStr">
        <is>
          <t>A 2982-2023</t>
        </is>
      </c>
      <c r="B462" s="1" t="n">
        <v>44945.67409722223</v>
      </c>
      <c r="C462" s="1" t="n">
        <v>46050</v>
      </c>
      <c r="D462" t="inlineStr">
        <is>
          <t>STOCKHOLMS LÄN</t>
        </is>
      </c>
      <c r="E462" t="inlineStr">
        <is>
          <t>NORRTÄLJE</t>
        </is>
      </c>
      <c r="G462" t="n">
        <v>3.3</v>
      </c>
      <c r="H462" t="n">
        <v>0</v>
      </c>
      <c r="I462" t="n">
        <v>0</v>
      </c>
      <c r="J462" t="n">
        <v>0</v>
      </c>
      <c r="K462" t="n">
        <v>0</v>
      </c>
      <c r="L462" t="n">
        <v>0</v>
      </c>
      <c r="M462" t="n">
        <v>0</v>
      </c>
      <c r="N462" t="n">
        <v>0</v>
      </c>
      <c r="O462" t="n">
        <v>0</v>
      </c>
      <c r="P462" t="n">
        <v>0</v>
      </c>
      <c r="Q462" t="n">
        <v>0</v>
      </c>
      <c r="R462" s="2" t="inlineStr"/>
    </row>
    <row r="463" ht="15" customHeight="1">
      <c r="A463" t="inlineStr">
        <is>
          <t>A 27802-2025</t>
        </is>
      </c>
      <c r="B463" s="1" t="n">
        <v>45817.2565625</v>
      </c>
      <c r="C463" s="1" t="n">
        <v>46050</v>
      </c>
      <c r="D463" t="inlineStr">
        <is>
          <t>STOCKHOLMS LÄN</t>
        </is>
      </c>
      <c r="E463" t="inlineStr">
        <is>
          <t>NORRTÄLJE</t>
        </is>
      </c>
      <c r="G463" t="n">
        <v>3</v>
      </c>
      <c r="H463" t="n">
        <v>0</v>
      </c>
      <c r="I463" t="n">
        <v>0</v>
      </c>
      <c r="J463" t="n">
        <v>0</v>
      </c>
      <c r="K463" t="n">
        <v>0</v>
      </c>
      <c r="L463" t="n">
        <v>0</v>
      </c>
      <c r="M463" t="n">
        <v>0</v>
      </c>
      <c r="N463" t="n">
        <v>0</v>
      </c>
      <c r="O463" t="n">
        <v>0</v>
      </c>
      <c r="P463" t="n">
        <v>0</v>
      </c>
      <c r="Q463" t="n">
        <v>0</v>
      </c>
      <c r="R463" s="2" t="inlineStr"/>
    </row>
    <row r="464" ht="15" customHeight="1">
      <c r="A464" t="inlineStr">
        <is>
          <t>A 27806-2025</t>
        </is>
      </c>
      <c r="B464" s="1" t="n">
        <v>45817.30329861111</v>
      </c>
      <c r="C464" s="1" t="n">
        <v>46050</v>
      </c>
      <c r="D464" t="inlineStr">
        <is>
          <t>STOCKHOLMS LÄN</t>
        </is>
      </c>
      <c r="E464" t="inlineStr">
        <is>
          <t>NORRTÄLJE</t>
        </is>
      </c>
      <c r="G464" t="n">
        <v>3</v>
      </c>
      <c r="H464" t="n">
        <v>0</v>
      </c>
      <c r="I464" t="n">
        <v>0</v>
      </c>
      <c r="J464" t="n">
        <v>0</v>
      </c>
      <c r="K464" t="n">
        <v>0</v>
      </c>
      <c r="L464" t="n">
        <v>0</v>
      </c>
      <c r="M464" t="n">
        <v>0</v>
      </c>
      <c r="N464" t="n">
        <v>0</v>
      </c>
      <c r="O464" t="n">
        <v>0</v>
      </c>
      <c r="P464" t="n">
        <v>0</v>
      </c>
      <c r="Q464" t="n">
        <v>0</v>
      </c>
      <c r="R464" s="2" t="inlineStr"/>
    </row>
    <row r="465" ht="15" customHeight="1">
      <c r="A465" t="inlineStr">
        <is>
          <t>A 27808-2025</t>
        </is>
      </c>
      <c r="B465" s="1" t="n">
        <v>45817.31085648148</v>
      </c>
      <c r="C465" s="1" t="n">
        <v>46050</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27810-2025</t>
        </is>
      </c>
      <c r="B466" s="1" t="n">
        <v>45817.31708333334</v>
      </c>
      <c r="C466" s="1" t="n">
        <v>46050</v>
      </c>
      <c r="D466" t="inlineStr">
        <is>
          <t>STOCKHOLMS LÄN</t>
        </is>
      </c>
      <c r="E466" t="inlineStr">
        <is>
          <t>NORRTÄLJE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27811-2025</t>
        </is>
      </c>
      <c r="B467" s="1" t="n">
        <v>45817.31986111111</v>
      </c>
      <c r="C467" s="1" t="n">
        <v>46050</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27818-2025</t>
        </is>
      </c>
      <c r="B468" s="1" t="n">
        <v>45817.33503472222</v>
      </c>
      <c r="C468" s="1" t="n">
        <v>46050</v>
      </c>
      <c r="D468" t="inlineStr">
        <is>
          <t>STOCKHOLMS LÄN</t>
        </is>
      </c>
      <c r="E468" t="inlineStr">
        <is>
          <t>NORRTÄLJE</t>
        </is>
      </c>
      <c r="F468" t="inlineStr">
        <is>
          <t>Sveaskog</t>
        </is>
      </c>
      <c r="G468" t="n">
        <v>0.3</v>
      </c>
      <c r="H468" t="n">
        <v>0</v>
      </c>
      <c r="I468" t="n">
        <v>0</v>
      </c>
      <c r="J468" t="n">
        <v>0</v>
      </c>
      <c r="K468" t="n">
        <v>0</v>
      </c>
      <c r="L468" t="n">
        <v>0</v>
      </c>
      <c r="M468" t="n">
        <v>0</v>
      </c>
      <c r="N468" t="n">
        <v>0</v>
      </c>
      <c r="O468" t="n">
        <v>0</v>
      </c>
      <c r="P468" t="n">
        <v>0</v>
      </c>
      <c r="Q468" t="n">
        <v>0</v>
      </c>
      <c r="R468" s="2" t="inlineStr"/>
    </row>
    <row r="469" ht="15" customHeight="1">
      <c r="A469" t="inlineStr">
        <is>
          <t>A 12535-2025</t>
        </is>
      </c>
      <c r="B469" s="1" t="n">
        <v>45730.69502314815</v>
      </c>
      <c r="C469" s="1" t="n">
        <v>46050</v>
      </c>
      <c r="D469" t="inlineStr">
        <is>
          <t>STOCKHOLMS LÄN</t>
        </is>
      </c>
      <c r="E469" t="inlineStr">
        <is>
          <t>NORRTÄLJE</t>
        </is>
      </c>
      <c r="G469" t="n">
        <v>7.1</v>
      </c>
      <c r="H469" t="n">
        <v>0</v>
      </c>
      <c r="I469" t="n">
        <v>0</v>
      </c>
      <c r="J469" t="n">
        <v>0</v>
      </c>
      <c r="K469" t="n">
        <v>0</v>
      </c>
      <c r="L469" t="n">
        <v>0</v>
      </c>
      <c r="M469" t="n">
        <v>0</v>
      </c>
      <c r="N469" t="n">
        <v>0</v>
      </c>
      <c r="O469" t="n">
        <v>0</v>
      </c>
      <c r="P469" t="n">
        <v>0</v>
      </c>
      <c r="Q469" t="n">
        <v>0</v>
      </c>
      <c r="R469" s="2" t="inlineStr"/>
    </row>
    <row r="470" ht="15" customHeight="1">
      <c r="A470" t="inlineStr">
        <is>
          <t>A 27801-2025</t>
        </is>
      </c>
      <c r="B470" s="1" t="n">
        <v>45817.25471064815</v>
      </c>
      <c r="C470" s="1" t="n">
        <v>46050</v>
      </c>
      <c r="D470" t="inlineStr">
        <is>
          <t>STOCKHOLMS LÄN</t>
        </is>
      </c>
      <c r="E470" t="inlineStr">
        <is>
          <t>NORRTÄLJE</t>
        </is>
      </c>
      <c r="G470" t="n">
        <v>2</v>
      </c>
      <c r="H470" t="n">
        <v>0</v>
      </c>
      <c r="I470" t="n">
        <v>0</v>
      </c>
      <c r="J470" t="n">
        <v>0</v>
      </c>
      <c r="K470" t="n">
        <v>0</v>
      </c>
      <c r="L470" t="n">
        <v>0</v>
      </c>
      <c r="M470" t="n">
        <v>0</v>
      </c>
      <c r="N470" t="n">
        <v>0</v>
      </c>
      <c r="O470" t="n">
        <v>0</v>
      </c>
      <c r="P470" t="n">
        <v>0</v>
      </c>
      <c r="Q470" t="n">
        <v>0</v>
      </c>
      <c r="R470" s="2" t="inlineStr"/>
    </row>
    <row r="471" ht="15" customHeight="1">
      <c r="A471" t="inlineStr">
        <is>
          <t>A 37136-2023</t>
        </is>
      </c>
      <c r="B471" s="1" t="n">
        <v>45155</v>
      </c>
      <c r="C471" s="1" t="n">
        <v>46050</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41158-2025</t>
        </is>
      </c>
      <c r="B472" s="1" t="n">
        <v>45898.5315625</v>
      </c>
      <c r="C472" s="1" t="n">
        <v>46050</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15733-2025</t>
        </is>
      </c>
      <c r="B473" s="1" t="n">
        <v>45748</v>
      </c>
      <c r="C473" s="1" t="n">
        <v>46050</v>
      </c>
      <c r="D473" t="inlineStr">
        <is>
          <t>STOCKHOLMS LÄN</t>
        </is>
      </c>
      <c r="E473" t="inlineStr">
        <is>
          <t>NORRTÄLJE</t>
        </is>
      </c>
      <c r="G473" t="n">
        <v>13.3</v>
      </c>
      <c r="H473" t="n">
        <v>0</v>
      </c>
      <c r="I473" t="n">
        <v>0</v>
      </c>
      <c r="J473" t="n">
        <v>0</v>
      </c>
      <c r="K473" t="n">
        <v>0</v>
      </c>
      <c r="L473" t="n">
        <v>0</v>
      </c>
      <c r="M473" t="n">
        <v>0</v>
      </c>
      <c r="N473" t="n">
        <v>0</v>
      </c>
      <c r="O473" t="n">
        <v>0</v>
      </c>
      <c r="P473" t="n">
        <v>0</v>
      </c>
      <c r="Q473" t="n">
        <v>0</v>
      </c>
      <c r="R473" s="2" t="inlineStr"/>
    </row>
    <row r="474" ht="15" customHeight="1">
      <c r="A474" t="inlineStr">
        <is>
          <t>A 27803-2025</t>
        </is>
      </c>
      <c r="B474" s="1" t="n">
        <v>45817.291875</v>
      </c>
      <c r="C474" s="1" t="n">
        <v>46050</v>
      </c>
      <c r="D474" t="inlineStr">
        <is>
          <t>STOCKHOLMS LÄN</t>
        </is>
      </c>
      <c r="E474" t="inlineStr">
        <is>
          <t>NORRTÄLJE</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27813-2025</t>
        </is>
      </c>
      <c r="B475" s="1" t="n">
        <v>45817.32538194444</v>
      </c>
      <c r="C475" s="1" t="n">
        <v>46050</v>
      </c>
      <c r="D475" t="inlineStr">
        <is>
          <t>STOCKHOLMS LÄN</t>
        </is>
      </c>
      <c r="E475" t="inlineStr">
        <is>
          <t>NORRTÄLJE</t>
        </is>
      </c>
      <c r="G475" t="n">
        <v>1.6</v>
      </c>
      <c r="H475" t="n">
        <v>0</v>
      </c>
      <c r="I475" t="n">
        <v>0</v>
      </c>
      <c r="J475" t="n">
        <v>0</v>
      </c>
      <c r="K475" t="n">
        <v>0</v>
      </c>
      <c r="L475" t="n">
        <v>0</v>
      </c>
      <c r="M475" t="n">
        <v>0</v>
      </c>
      <c r="N475" t="n">
        <v>0</v>
      </c>
      <c r="O475" t="n">
        <v>0</v>
      </c>
      <c r="P475" t="n">
        <v>0</v>
      </c>
      <c r="Q475" t="n">
        <v>0</v>
      </c>
      <c r="R475" s="2" t="inlineStr"/>
    </row>
    <row r="476" ht="15" customHeight="1">
      <c r="A476" t="inlineStr">
        <is>
          <t>A 18787-2022</t>
        </is>
      </c>
      <c r="B476" s="1" t="n">
        <v>44687</v>
      </c>
      <c r="C476" s="1" t="n">
        <v>46050</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13718-2022</t>
        </is>
      </c>
      <c r="B477" s="1" t="n">
        <v>44649</v>
      </c>
      <c r="C477" s="1" t="n">
        <v>46050</v>
      </c>
      <c r="D477" t="inlineStr">
        <is>
          <t>STOCKHOLMS LÄN</t>
        </is>
      </c>
      <c r="E477" t="inlineStr">
        <is>
          <t>NORRTÄLJE</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19058-2024</t>
        </is>
      </c>
      <c r="B478" s="1" t="n">
        <v>45427.89121527778</v>
      </c>
      <c r="C478" s="1" t="n">
        <v>46050</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27821-2025</t>
        </is>
      </c>
      <c r="B479" s="1" t="n">
        <v>45817.34083333334</v>
      </c>
      <c r="C479" s="1" t="n">
        <v>46050</v>
      </c>
      <c r="D479" t="inlineStr">
        <is>
          <t>STOCKHOLMS LÄN</t>
        </is>
      </c>
      <c r="E479" t="inlineStr">
        <is>
          <t>NORRTÄLJE</t>
        </is>
      </c>
      <c r="G479" t="n">
        <v>3.2</v>
      </c>
      <c r="H479" t="n">
        <v>0</v>
      </c>
      <c r="I479" t="n">
        <v>0</v>
      </c>
      <c r="J479" t="n">
        <v>0</v>
      </c>
      <c r="K479" t="n">
        <v>0</v>
      </c>
      <c r="L479" t="n">
        <v>0</v>
      </c>
      <c r="M479" t="n">
        <v>0</v>
      </c>
      <c r="N479" t="n">
        <v>0</v>
      </c>
      <c r="O479" t="n">
        <v>0</v>
      </c>
      <c r="P479" t="n">
        <v>0</v>
      </c>
      <c r="Q479" t="n">
        <v>0</v>
      </c>
      <c r="R479" s="2" t="inlineStr"/>
    </row>
    <row r="480" ht="15" customHeight="1">
      <c r="A480" t="inlineStr">
        <is>
          <t>A 25621-2022</t>
        </is>
      </c>
      <c r="B480" s="1" t="n">
        <v>44732</v>
      </c>
      <c r="C480" s="1" t="n">
        <v>46050</v>
      </c>
      <c r="D480" t="inlineStr">
        <is>
          <t>STOCKHOLMS LÄN</t>
        </is>
      </c>
      <c r="E480" t="inlineStr">
        <is>
          <t>NORRTÄLJE</t>
        </is>
      </c>
      <c r="G480" t="n">
        <v>3.1</v>
      </c>
      <c r="H480" t="n">
        <v>0</v>
      </c>
      <c r="I480" t="n">
        <v>0</v>
      </c>
      <c r="J480" t="n">
        <v>0</v>
      </c>
      <c r="K480" t="n">
        <v>0</v>
      </c>
      <c r="L480" t="n">
        <v>0</v>
      </c>
      <c r="M480" t="n">
        <v>0</v>
      </c>
      <c r="N480" t="n">
        <v>0</v>
      </c>
      <c r="O480" t="n">
        <v>0</v>
      </c>
      <c r="P480" t="n">
        <v>0</v>
      </c>
      <c r="Q480" t="n">
        <v>0</v>
      </c>
      <c r="R480" s="2" t="inlineStr"/>
    </row>
    <row r="481" ht="15" customHeight="1">
      <c r="A481" t="inlineStr">
        <is>
          <t>A 36269-2022</t>
        </is>
      </c>
      <c r="B481" s="1" t="n">
        <v>44803</v>
      </c>
      <c r="C481" s="1" t="n">
        <v>46050</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36308-2022</t>
        </is>
      </c>
      <c r="B482" s="1" t="n">
        <v>44803</v>
      </c>
      <c r="C482" s="1" t="n">
        <v>46050</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15528-2025</t>
        </is>
      </c>
      <c r="B483" s="1" t="n">
        <v>45747.63471064815</v>
      </c>
      <c r="C483" s="1" t="n">
        <v>46050</v>
      </c>
      <c r="D483" t="inlineStr">
        <is>
          <t>STOCKHOLMS LÄN</t>
        </is>
      </c>
      <c r="E483" t="inlineStr">
        <is>
          <t>NORRTÄLJE</t>
        </is>
      </c>
      <c r="G483" t="n">
        <v>10</v>
      </c>
      <c r="H483" t="n">
        <v>0</v>
      </c>
      <c r="I483" t="n">
        <v>0</v>
      </c>
      <c r="J483" t="n">
        <v>0</v>
      </c>
      <c r="K483" t="n">
        <v>0</v>
      </c>
      <c r="L483" t="n">
        <v>0</v>
      </c>
      <c r="M483" t="n">
        <v>0</v>
      </c>
      <c r="N483" t="n">
        <v>0</v>
      </c>
      <c r="O483" t="n">
        <v>0</v>
      </c>
      <c r="P483" t="n">
        <v>0</v>
      </c>
      <c r="Q483" t="n">
        <v>0</v>
      </c>
      <c r="R483" s="2" t="inlineStr"/>
    </row>
    <row r="484" ht="15" customHeight="1">
      <c r="A484" t="inlineStr">
        <is>
          <t>A 11901-2024</t>
        </is>
      </c>
      <c r="B484" s="1" t="n">
        <v>45376.55638888889</v>
      </c>
      <c r="C484" s="1" t="n">
        <v>46050</v>
      </c>
      <c r="D484" t="inlineStr">
        <is>
          <t>STOCKHOLMS LÄN</t>
        </is>
      </c>
      <c r="E484" t="inlineStr">
        <is>
          <t>NORRTÄLJE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41053-2025</t>
        </is>
      </c>
      <c r="B485" s="1" t="n">
        <v>45898.40480324074</v>
      </c>
      <c r="C485" s="1" t="n">
        <v>46050</v>
      </c>
      <c r="D485" t="inlineStr">
        <is>
          <t>STOCKHOLMS LÄN</t>
        </is>
      </c>
      <c r="E485" t="inlineStr">
        <is>
          <t>NORRTÄLJE</t>
        </is>
      </c>
      <c r="F485" t="inlineStr">
        <is>
          <t>Holmen skog AB</t>
        </is>
      </c>
      <c r="G485" t="n">
        <v>2.5</v>
      </c>
      <c r="H485" t="n">
        <v>0</v>
      </c>
      <c r="I485" t="n">
        <v>0</v>
      </c>
      <c r="J485" t="n">
        <v>0</v>
      </c>
      <c r="K485" t="n">
        <v>0</v>
      </c>
      <c r="L485" t="n">
        <v>0</v>
      </c>
      <c r="M485" t="n">
        <v>0</v>
      </c>
      <c r="N485" t="n">
        <v>0</v>
      </c>
      <c r="O485" t="n">
        <v>0</v>
      </c>
      <c r="P485" t="n">
        <v>0</v>
      </c>
      <c r="Q485" t="n">
        <v>0</v>
      </c>
      <c r="R485" s="2" t="inlineStr"/>
    </row>
    <row r="486" ht="15" customHeight="1">
      <c r="A486" t="inlineStr">
        <is>
          <t>A 41275-2025</t>
        </is>
      </c>
      <c r="B486" s="1" t="n">
        <v>45898.62625</v>
      </c>
      <c r="C486" s="1" t="n">
        <v>46050</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41272-2025</t>
        </is>
      </c>
      <c r="B487" s="1" t="n">
        <v>45898.62373842593</v>
      </c>
      <c r="C487" s="1" t="n">
        <v>46050</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6919-2025</t>
        </is>
      </c>
      <c r="B488" s="1" t="n">
        <v>45701.44372685185</v>
      </c>
      <c r="C488" s="1" t="n">
        <v>46050</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32100-2022</t>
        </is>
      </c>
      <c r="B489" s="1" t="n">
        <v>44778</v>
      </c>
      <c r="C489" s="1" t="n">
        <v>46050</v>
      </c>
      <c r="D489" t="inlineStr">
        <is>
          <t>STOCKHOLMS LÄN</t>
        </is>
      </c>
      <c r="E489" t="inlineStr">
        <is>
          <t>NORRTÄLJE</t>
        </is>
      </c>
      <c r="G489" t="n">
        <v>3.3</v>
      </c>
      <c r="H489" t="n">
        <v>0</v>
      </c>
      <c r="I489" t="n">
        <v>0</v>
      </c>
      <c r="J489" t="n">
        <v>0</v>
      </c>
      <c r="K489" t="n">
        <v>0</v>
      </c>
      <c r="L489" t="n">
        <v>0</v>
      </c>
      <c r="M489" t="n">
        <v>0</v>
      </c>
      <c r="N489" t="n">
        <v>0</v>
      </c>
      <c r="O489" t="n">
        <v>0</v>
      </c>
      <c r="P489" t="n">
        <v>0</v>
      </c>
      <c r="Q489" t="n">
        <v>0</v>
      </c>
      <c r="R489" s="2" t="inlineStr"/>
    </row>
    <row r="490" ht="15" customHeight="1">
      <c r="A490" t="inlineStr">
        <is>
          <t>A 11332-2025</t>
        </is>
      </c>
      <c r="B490" s="1" t="n">
        <v>45726.48152777777</v>
      </c>
      <c r="C490" s="1" t="n">
        <v>46050</v>
      </c>
      <c r="D490" t="inlineStr">
        <is>
          <t>STOCKHOLMS LÄN</t>
        </is>
      </c>
      <c r="E490" t="inlineStr">
        <is>
          <t>NORRTÄLJE</t>
        </is>
      </c>
      <c r="G490" t="n">
        <v>4.6</v>
      </c>
      <c r="H490" t="n">
        <v>0</v>
      </c>
      <c r="I490" t="n">
        <v>0</v>
      </c>
      <c r="J490" t="n">
        <v>0</v>
      </c>
      <c r="K490" t="n">
        <v>0</v>
      </c>
      <c r="L490" t="n">
        <v>0</v>
      </c>
      <c r="M490" t="n">
        <v>0</v>
      </c>
      <c r="N490" t="n">
        <v>0</v>
      </c>
      <c r="O490" t="n">
        <v>0</v>
      </c>
      <c r="P490" t="n">
        <v>0</v>
      </c>
      <c r="Q490" t="n">
        <v>0</v>
      </c>
      <c r="R490" s="2" t="inlineStr"/>
    </row>
    <row r="491" ht="15" customHeight="1">
      <c r="A491" t="inlineStr">
        <is>
          <t>A 41301-2025</t>
        </is>
      </c>
      <c r="B491" s="1" t="n">
        <v>45898.68826388889</v>
      </c>
      <c r="C491" s="1" t="n">
        <v>46050</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37444-2021</t>
        </is>
      </c>
      <c r="B492" s="1" t="n">
        <v>44398</v>
      </c>
      <c r="C492" s="1" t="n">
        <v>46050</v>
      </c>
      <c r="D492" t="inlineStr">
        <is>
          <t>STOCKHOLMS LÄN</t>
        </is>
      </c>
      <c r="E492" t="inlineStr">
        <is>
          <t>NORRTÄLJE</t>
        </is>
      </c>
      <c r="F492" t="inlineStr">
        <is>
          <t>Holmen skog AB</t>
        </is>
      </c>
      <c r="G492" t="n">
        <v>3.2</v>
      </c>
      <c r="H492" t="n">
        <v>0</v>
      </c>
      <c r="I492" t="n">
        <v>0</v>
      </c>
      <c r="J492" t="n">
        <v>0</v>
      </c>
      <c r="K492" t="n">
        <v>0</v>
      </c>
      <c r="L492" t="n">
        <v>0</v>
      </c>
      <c r="M492" t="n">
        <v>0</v>
      </c>
      <c r="N492" t="n">
        <v>0</v>
      </c>
      <c r="O492" t="n">
        <v>0</v>
      </c>
      <c r="P492" t="n">
        <v>0</v>
      </c>
      <c r="Q492" t="n">
        <v>0</v>
      </c>
      <c r="R492" s="2" t="inlineStr"/>
    </row>
    <row r="493" ht="15" customHeight="1">
      <c r="A493" t="inlineStr">
        <is>
          <t>A 30886-2022</t>
        </is>
      </c>
      <c r="B493" s="1" t="n">
        <v>44767.60601851852</v>
      </c>
      <c r="C493" s="1" t="n">
        <v>46050</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9654-2022</t>
        </is>
      </c>
      <c r="B494" s="1" t="n">
        <v>44617</v>
      </c>
      <c r="C494" s="1" t="n">
        <v>46050</v>
      </c>
      <c r="D494" t="inlineStr">
        <is>
          <t>STOCKHOLMS LÄN</t>
        </is>
      </c>
      <c r="E494" t="inlineStr">
        <is>
          <t>NORRTÄLJE</t>
        </is>
      </c>
      <c r="G494" t="n">
        <v>6.4</v>
      </c>
      <c r="H494" t="n">
        <v>0</v>
      </c>
      <c r="I494" t="n">
        <v>0</v>
      </c>
      <c r="J494" t="n">
        <v>0</v>
      </c>
      <c r="K494" t="n">
        <v>0</v>
      </c>
      <c r="L494" t="n">
        <v>0</v>
      </c>
      <c r="M494" t="n">
        <v>0</v>
      </c>
      <c r="N494" t="n">
        <v>0</v>
      </c>
      <c r="O494" t="n">
        <v>0</v>
      </c>
      <c r="P494" t="n">
        <v>0</v>
      </c>
      <c r="Q494" t="n">
        <v>0</v>
      </c>
      <c r="R494" s="2" t="inlineStr"/>
    </row>
    <row r="495" ht="15" customHeight="1">
      <c r="A495" t="inlineStr">
        <is>
          <t>A 41174-2025</t>
        </is>
      </c>
      <c r="B495" s="1" t="n">
        <v>45898.54921296296</v>
      </c>
      <c r="C495" s="1" t="n">
        <v>46050</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41030-2025</t>
        </is>
      </c>
      <c r="B496" s="1" t="n">
        <v>45898.37636574074</v>
      </c>
      <c r="C496" s="1" t="n">
        <v>46050</v>
      </c>
      <c r="D496" t="inlineStr">
        <is>
          <t>STOCKHOLMS LÄN</t>
        </is>
      </c>
      <c r="E496" t="inlineStr">
        <is>
          <t>NORRTÄLJE</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44075-2023</t>
        </is>
      </c>
      <c r="B497" s="1" t="n">
        <v>45188.41637731482</v>
      </c>
      <c r="C497" s="1" t="n">
        <v>46050</v>
      </c>
      <c r="D497" t="inlineStr">
        <is>
          <t>STOCKHOLMS LÄN</t>
        </is>
      </c>
      <c r="E497" t="inlineStr">
        <is>
          <t>NORRTÄLJE</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41036-2025</t>
        </is>
      </c>
      <c r="B498" s="1" t="n">
        <v>45898.38552083333</v>
      </c>
      <c r="C498" s="1" t="n">
        <v>46050</v>
      </c>
      <c r="D498" t="inlineStr">
        <is>
          <t>STOCKHOLMS LÄN</t>
        </is>
      </c>
      <c r="E498" t="inlineStr">
        <is>
          <t>NORRTÄLJE</t>
        </is>
      </c>
      <c r="F498" t="inlineStr">
        <is>
          <t>Holmen skog AB</t>
        </is>
      </c>
      <c r="G498" t="n">
        <v>2.7</v>
      </c>
      <c r="H498" t="n">
        <v>0</v>
      </c>
      <c r="I498" t="n">
        <v>0</v>
      </c>
      <c r="J498" t="n">
        <v>0</v>
      </c>
      <c r="K498" t="n">
        <v>0</v>
      </c>
      <c r="L498" t="n">
        <v>0</v>
      </c>
      <c r="M498" t="n">
        <v>0</v>
      </c>
      <c r="N498" t="n">
        <v>0</v>
      </c>
      <c r="O498" t="n">
        <v>0</v>
      </c>
      <c r="P498" t="n">
        <v>0</v>
      </c>
      <c r="Q498" t="n">
        <v>0</v>
      </c>
      <c r="R498" s="2" t="inlineStr"/>
    </row>
    <row r="499" ht="15" customHeight="1">
      <c r="A499" t="inlineStr">
        <is>
          <t>A 1453-2025</t>
        </is>
      </c>
      <c r="B499" s="1" t="n">
        <v>45670.3079050926</v>
      </c>
      <c r="C499" s="1" t="n">
        <v>46050</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41106-2025</t>
        </is>
      </c>
      <c r="B500" s="1" t="n">
        <v>45898.45636574074</v>
      </c>
      <c r="C500" s="1" t="n">
        <v>46050</v>
      </c>
      <c r="D500" t="inlineStr">
        <is>
          <t>STOCKHOLMS LÄN</t>
        </is>
      </c>
      <c r="E500" t="inlineStr">
        <is>
          <t>NORRTÄLJE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41110-2025</t>
        </is>
      </c>
      <c r="B501" s="1" t="n">
        <v>45898.45976851852</v>
      </c>
      <c r="C501" s="1" t="n">
        <v>46050</v>
      </c>
      <c r="D501" t="inlineStr">
        <is>
          <t>STOCKHOLMS LÄN</t>
        </is>
      </c>
      <c r="E501" t="inlineStr">
        <is>
          <t>NORRTÄLJE</t>
        </is>
      </c>
      <c r="F501" t="inlineStr">
        <is>
          <t>Holmen skog AB</t>
        </is>
      </c>
      <c r="G501" t="n">
        <v>6.7</v>
      </c>
      <c r="H501" t="n">
        <v>0</v>
      </c>
      <c r="I501" t="n">
        <v>0</v>
      </c>
      <c r="J501" t="n">
        <v>0</v>
      </c>
      <c r="K501" t="n">
        <v>0</v>
      </c>
      <c r="L501" t="n">
        <v>0</v>
      </c>
      <c r="M501" t="n">
        <v>0</v>
      </c>
      <c r="N501" t="n">
        <v>0</v>
      </c>
      <c r="O501" t="n">
        <v>0</v>
      </c>
      <c r="P501" t="n">
        <v>0</v>
      </c>
      <c r="Q501" t="n">
        <v>0</v>
      </c>
      <c r="R501" s="2" t="inlineStr"/>
    </row>
    <row r="502" ht="15" customHeight="1">
      <c r="A502" t="inlineStr">
        <is>
          <t>A 41259-2025</t>
        </is>
      </c>
      <c r="B502" s="1" t="n">
        <v>45898.61054398148</v>
      </c>
      <c r="C502" s="1" t="n">
        <v>46050</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5804-2025</t>
        </is>
      </c>
      <c r="B503" s="1" t="n">
        <v>45694.68207175926</v>
      </c>
      <c r="C503" s="1" t="n">
        <v>46050</v>
      </c>
      <c r="D503" t="inlineStr">
        <is>
          <t>STOCKHOLMS LÄN</t>
        </is>
      </c>
      <c r="E503" t="inlineStr">
        <is>
          <t>NORRTÄLJE</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10511-2025</t>
        </is>
      </c>
      <c r="B504" s="1" t="n">
        <v>45721.40780092592</v>
      </c>
      <c r="C504" s="1" t="n">
        <v>46050</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50907-2022</t>
        </is>
      </c>
      <c r="B505" s="1" t="n">
        <v>44867.62090277778</v>
      </c>
      <c r="C505" s="1" t="n">
        <v>46050</v>
      </c>
      <c r="D505" t="inlineStr">
        <is>
          <t>STOCKHOLMS LÄN</t>
        </is>
      </c>
      <c r="E505" t="inlineStr">
        <is>
          <t>NORRTÄLJE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29003-2023</t>
        </is>
      </c>
      <c r="B506" s="1" t="n">
        <v>45104</v>
      </c>
      <c r="C506" s="1" t="n">
        <v>46050</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19057-2024</t>
        </is>
      </c>
      <c r="B507" s="1" t="n">
        <v>45427.88731481481</v>
      </c>
      <c r="C507" s="1" t="n">
        <v>46050</v>
      </c>
      <c r="D507" t="inlineStr">
        <is>
          <t>STOCKHOLMS LÄN</t>
        </is>
      </c>
      <c r="E507" t="inlineStr">
        <is>
          <t>NORRTÄLJE</t>
        </is>
      </c>
      <c r="G507" t="n">
        <v>3</v>
      </c>
      <c r="H507" t="n">
        <v>0</v>
      </c>
      <c r="I507" t="n">
        <v>0</v>
      </c>
      <c r="J507" t="n">
        <v>0</v>
      </c>
      <c r="K507" t="n">
        <v>0</v>
      </c>
      <c r="L507" t="n">
        <v>0</v>
      </c>
      <c r="M507" t="n">
        <v>0</v>
      </c>
      <c r="N507" t="n">
        <v>0</v>
      </c>
      <c r="O507" t="n">
        <v>0</v>
      </c>
      <c r="P507" t="n">
        <v>0</v>
      </c>
      <c r="Q507" t="n">
        <v>0</v>
      </c>
      <c r="R507" s="2" t="inlineStr"/>
    </row>
    <row r="508" ht="15" customHeight="1">
      <c r="A508" t="inlineStr">
        <is>
          <t>A 33295-2023</t>
        </is>
      </c>
      <c r="B508" s="1" t="n">
        <v>45127.69371527778</v>
      </c>
      <c r="C508" s="1" t="n">
        <v>46050</v>
      </c>
      <c r="D508" t="inlineStr">
        <is>
          <t>STOCKHOLMS LÄN</t>
        </is>
      </c>
      <c r="E508" t="inlineStr">
        <is>
          <t>NORRTÄLJE</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14127-2025</t>
        </is>
      </c>
      <c r="B509" s="1" t="n">
        <v>45740.47055555556</v>
      </c>
      <c r="C509" s="1" t="n">
        <v>46050</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16980-2023</t>
        </is>
      </c>
      <c r="B510" s="1" t="n">
        <v>45033</v>
      </c>
      <c r="C510" s="1" t="n">
        <v>46050</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41966-2025</t>
        </is>
      </c>
      <c r="B511" s="1" t="n">
        <v>45903.47456018518</v>
      </c>
      <c r="C511" s="1" t="n">
        <v>46050</v>
      </c>
      <c r="D511" t="inlineStr">
        <is>
          <t>STOCKHOLMS LÄN</t>
        </is>
      </c>
      <c r="E511" t="inlineStr">
        <is>
          <t>NORRTÄLJE</t>
        </is>
      </c>
      <c r="F511" t="inlineStr">
        <is>
          <t>Sveaskog</t>
        </is>
      </c>
      <c r="G511" t="n">
        <v>3.7</v>
      </c>
      <c r="H511" t="n">
        <v>0</v>
      </c>
      <c r="I511" t="n">
        <v>0</v>
      </c>
      <c r="J511" t="n">
        <v>0</v>
      </c>
      <c r="K511" t="n">
        <v>0</v>
      </c>
      <c r="L511" t="n">
        <v>0</v>
      </c>
      <c r="M511" t="n">
        <v>0</v>
      </c>
      <c r="N511" t="n">
        <v>0</v>
      </c>
      <c r="O511" t="n">
        <v>0</v>
      </c>
      <c r="P511" t="n">
        <v>0</v>
      </c>
      <c r="Q511" t="n">
        <v>0</v>
      </c>
      <c r="R511" s="2" t="inlineStr"/>
    </row>
    <row r="512" ht="15" customHeight="1">
      <c r="A512" t="inlineStr">
        <is>
          <t>A 42038-2025</t>
        </is>
      </c>
      <c r="B512" s="1" t="n">
        <v>45903.61431712963</v>
      </c>
      <c r="C512" s="1" t="n">
        <v>46050</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32595-2023</t>
        </is>
      </c>
      <c r="B513" s="1" t="n">
        <v>45121</v>
      </c>
      <c r="C513" s="1" t="n">
        <v>46050</v>
      </c>
      <c r="D513" t="inlineStr">
        <is>
          <t>STOCKHOLMS LÄN</t>
        </is>
      </c>
      <c r="E513" t="inlineStr">
        <is>
          <t>NORRTÄLJE</t>
        </is>
      </c>
      <c r="G513" t="n">
        <v>2.4</v>
      </c>
      <c r="H513" t="n">
        <v>0</v>
      </c>
      <c r="I513" t="n">
        <v>0</v>
      </c>
      <c r="J513" t="n">
        <v>0</v>
      </c>
      <c r="K513" t="n">
        <v>0</v>
      </c>
      <c r="L513" t="n">
        <v>0</v>
      </c>
      <c r="M513" t="n">
        <v>0</v>
      </c>
      <c r="N513" t="n">
        <v>0</v>
      </c>
      <c r="O513" t="n">
        <v>0</v>
      </c>
      <c r="P513" t="n">
        <v>0</v>
      </c>
      <c r="Q513" t="n">
        <v>0</v>
      </c>
      <c r="R513" s="2" t="inlineStr"/>
    </row>
    <row r="514" ht="15" customHeight="1">
      <c r="A514" t="inlineStr">
        <is>
          <t>A 41964-2025</t>
        </is>
      </c>
      <c r="B514" s="1" t="n">
        <v>45903.47270833333</v>
      </c>
      <c r="C514" s="1" t="n">
        <v>46050</v>
      </c>
      <c r="D514" t="inlineStr">
        <is>
          <t>STOCKHOLMS LÄN</t>
        </is>
      </c>
      <c r="E514" t="inlineStr">
        <is>
          <t>NORRTÄLJE</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29250-2025</t>
        </is>
      </c>
      <c r="B515" s="1" t="n">
        <v>45824.37275462963</v>
      </c>
      <c r="C515" s="1" t="n">
        <v>46050</v>
      </c>
      <c r="D515" t="inlineStr">
        <is>
          <t>STOCKHOLMS LÄN</t>
        </is>
      </c>
      <c r="E515" t="inlineStr">
        <is>
          <t>NORRTÄLJE</t>
        </is>
      </c>
      <c r="F515" t="inlineStr">
        <is>
          <t>Sveaskog</t>
        </is>
      </c>
      <c r="G515" t="n">
        <v>6.4</v>
      </c>
      <c r="H515" t="n">
        <v>0</v>
      </c>
      <c r="I515" t="n">
        <v>0</v>
      </c>
      <c r="J515" t="n">
        <v>0</v>
      </c>
      <c r="K515" t="n">
        <v>0</v>
      </c>
      <c r="L515" t="n">
        <v>0</v>
      </c>
      <c r="M515" t="n">
        <v>0</v>
      </c>
      <c r="N515" t="n">
        <v>0</v>
      </c>
      <c r="O515" t="n">
        <v>0</v>
      </c>
      <c r="P515" t="n">
        <v>0</v>
      </c>
      <c r="Q515" t="n">
        <v>0</v>
      </c>
      <c r="R515" s="2" t="inlineStr"/>
    </row>
    <row r="516" ht="15" customHeight="1">
      <c r="A516" t="inlineStr">
        <is>
          <t>A 37550-2022</t>
        </is>
      </c>
      <c r="B516" s="1" t="n">
        <v>44809</v>
      </c>
      <c r="C516" s="1" t="n">
        <v>46050</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30699-2025</t>
        </is>
      </c>
      <c r="B517" s="1" t="n">
        <v>45831.54618055555</v>
      </c>
      <c r="C517" s="1" t="n">
        <v>46050</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48161-2022</t>
        </is>
      </c>
      <c r="B518" s="1" t="n">
        <v>44858</v>
      </c>
      <c r="C518" s="1" t="n">
        <v>46050</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48798-2021</t>
        </is>
      </c>
      <c r="B519" s="1" t="n">
        <v>44452</v>
      </c>
      <c r="C519" s="1" t="n">
        <v>46050</v>
      </c>
      <c r="D519" t="inlineStr">
        <is>
          <t>STOCKHOLMS LÄN</t>
        </is>
      </c>
      <c r="E519" t="inlineStr">
        <is>
          <t>NORRTÄLJE</t>
        </is>
      </c>
      <c r="G519" t="n">
        <v>2</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46050</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54776-2023</t>
        </is>
      </c>
      <c r="B521" s="1" t="n">
        <v>45236.46369212963</v>
      </c>
      <c r="C521" s="1" t="n">
        <v>46050</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20011-2025</t>
        </is>
      </c>
      <c r="B522" s="1" t="n">
        <v>45772.29622685185</v>
      </c>
      <c r="C522" s="1" t="n">
        <v>46050</v>
      </c>
      <c r="D522" t="inlineStr">
        <is>
          <t>STOCKHOLMS LÄN</t>
        </is>
      </c>
      <c r="E522" t="inlineStr">
        <is>
          <t>NORRTÄLJE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42856-2025</t>
        </is>
      </c>
      <c r="B523" s="1" t="n">
        <v>45908</v>
      </c>
      <c r="C523" s="1" t="n">
        <v>46050</v>
      </c>
      <c r="D523" t="inlineStr">
        <is>
          <t>STOCKHOLMS LÄN</t>
        </is>
      </c>
      <c r="E523" t="inlineStr">
        <is>
          <t>NORRTÄLJE</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57442-2021</t>
        </is>
      </c>
      <c r="B524" s="1" t="n">
        <v>44483</v>
      </c>
      <c r="C524" s="1" t="n">
        <v>46050</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55952-2024</t>
        </is>
      </c>
      <c r="B525" s="1" t="n">
        <v>45623.62563657408</v>
      </c>
      <c r="C525" s="1" t="n">
        <v>46050</v>
      </c>
      <c r="D525" t="inlineStr">
        <is>
          <t>STOCKHOLMS LÄN</t>
        </is>
      </c>
      <c r="E525" t="inlineStr">
        <is>
          <t>NORRTÄLJE</t>
        </is>
      </c>
      <c r="F525" t="inlineStr">
        <is>
          <t>Holmen skog AB</t>
        </is>
      </c>
      <c r="G525" t="n">
        <v>2.8</v>
      </c>
      <c r="H525" t="n">
        <v>0</v>
      </c>
      <c r="I525" t="n">
        <v>0</v>
      </c>
      <c r="J525" t="n">
        <v>0</v>
      </c>
      <c r="K525" t="n">
        <v>0</v>
      </c>
      <c r="L525" t="n">
        <v>0</v>
      </c>
      <c r="M525" t="n">
        <v>0</v>
      </c>
      <c r="N525" t="n">
        <v>0</v>
      </c>
      <c r="O525" t="n">
        <v>0</v>
      </c>
      <c r="P525" t="n">
        <v>0</v>
      </c>
      <c r="Q525" t="n">
        <v>0</v>
      </c>
      <c r="R525" s="2" t="inlineStr"/>
    </row>
    <row r="526" ht="15" customHeight="1">
      <c r="A526" t="inlineStr">
        <is>
          <t>A 8135-2025</t>
        </is>
      </c>
      <c r="B526" s="1" t="n">
        <v>45707.84997685185</v>
      </c>
      <c r="C526" s="1" t="n">
        <v>46050</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3383-2023</t>
        </is>
      </c>
      <c r="B527" s="1" t="n">
        <v>44949</v>
      </c>
      <c r="C527" s="1" t="n">
        <v>46050</v>
      </c>
      <c r="D527" t="inlineStr">
        <is>
          <t>STOCKHOLMS LÄN</t>
        </is>
      </c>
      <c r="E527" t="inlineStr">
        <is>
          <t>NORRTÄLJE</t>
        </is>
      </c>
      <c r="G527" t="n">
        <v>14.6</v>
      </c>
      <c r="H527" t="n">
        <v>0</v>
      </c>
      <c r="I527" t="n">
        <v>0</v>
      </c>
      <c r="J527" t="n">
        <v>0</v>
      </c>
      <c r="K527" t="n">
        <v>0</v>
      </c>
      <c r="L527" t="n">
        <v>0</v>
      </c>
      <c r="M527" t="n">
        <v>0</v>
      </c>
      <c r="N527" t="n">
        <v>0</v>
      </c>
      <c r="O527" t="n">
        <v>0</v>
      </c>
      <c r="P527" t="n">
        <v>0</v>
      </c>
      <c r="Q527" t="n">
        <v>0</v>
      </c>
      <c r="R527" s="2" t="inlineStr"/>
    </row>
    <row r="528" ht="15" customHeight="1">
      <c r="A528" t="inlineStr">
        <is>
          <t>A 30639-2025</t>
        </is>
      </c>
      <c r="B528" s="1" t="n">
        <v>45831.4844212963</v>
      </c>
      <c r="C528" s="1" t="n">
        <v>46050</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30668-2025</t>
        </is>
      </c>
      <c r="B529" s="1" t="n">
        <v>45831.51659722222</v>
      </c>
      <c r="C529" s="1" t="n">
        <v>46050</v>
      </c>
      <c r="D529" t="inlineStr">
        <is>
          <t>STOCKHOLMS LÄN</t>
        </is>
      </c>
      <c r="E529" t="inlineStr">
        <is>
          <t>NORRTÄLJE</t>
        </is>
      </c>
      <c r="G529" t="n">
        <v>4.9</v>
      </c>
      <c r="H529" t="n">
        <v>0</v>
      </c>
      <c r="I529" t="n">
        <v>0</v>
      </c>
      <c r="J529" t="n">
        <v>0</v>
      </c>
      <c r="K529" t="n">
        <v>0</v>
      </c>
      <c r="L529" t="n">
        <v>0</v>
      </c>
      <c r="M529" t="n">
        <v>0</v>
      </c>
      <c r="N529" t="n">
        <v>0</v>
      </c>
      <c r="O529" t="n">
        <v>0</v>
      </c>
      <c r="P529" t="n">
        <v>0</v>
      </c>
      <c r="Q529" t="n">
        <v>0</v>
      </c>
      <c r="R529" s="2" t="inlineStr"/>
    </row>
    <row r="530" ht="15" customHeight="1">
      <c r="A530" t="inlineStr">
        <is>
          <t>A 13148-2021</t>
        </is>
      </c>
      <c r="B530" s="1" t="n">
        <v>44272</v>
      </c>
      <c r="C530" s="1" t="n">
        <v>46050</v>
      </c>
      <c r="D530" t="inlineStr">
        <is>
          <t>STOCKHOLMS LÄN</t>
        </is>
      </c>
      <c r="E530" t="inlineStr">
        <is>
          <t>NORRTÄLJE</t>
        </is>
      </c>
      <c r="G530" t="n">
        <v>12.4</v>
      </c>
      <c r="H530" t="n">
        <v>0</v>
      </c>
      <c r="I530" t="n">
        <v>0</v>
      </c>
      <c r="J530" t="n">
        <v>0</v>
      </c>
      <c r="K530" t="n">
        <v>0</v>
      </c>
      <c r="L530" t="n">
        <v>0</v>
      </c>
      <c r="M530" t="n">
        <v>0</v>
      </c>
      <c r="N530" t="n">
        <v>0</v>
      </c>
      <c r="O530" t="n">
        <v>0</v>
      </c>
      <c r="P530" t="n">
        <v>0</v>
      </c>
      <c r="Q530" t="n">
        <v>0</v>
      </c>
      <c r="R530" s="2" t="inlineStr"/>
    </row>
    <row r="531" ht="15" customHeight="1">
      <c r="A531" t="inlineStr">
        <is>
          <t>A 24835-2025</t>
        </is>
      </c>
      <c r="B531" s="1" t="n">
        <v>45799</v>
      </c>
      <c r="C531" s="1" t="n">
        <v>46050</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21732-2023</t>
        </is>
      </c>
      <c r="B532" s="1" t="n">
        <v>45063</v>
      </c>
      <c r="C532" s="1" t="n">
        <v>46050</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23307-2024</t>
        </is>
      </c>
      <c r="B533" s="1" t="n">
        <v>45453</v>
      </c>
      <c r="C533" s="1" t="n">
        <v>46050</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43169-2025</t>
        </is>
      </c>
      <c r="B534" s="1" t="n">
        <v>45910</v>
      </c>
      <c r="C534" s="1" t="n">
        <v>46050</v>
      </c>
      <c r="D534" t="inlineStr">
        <is>
          <t>STOCKHOLMS LÄN</t>
        </is>
      </c>
      <c r="E534" t="inlineStr">
        <is>
          <t>NORRTÄLJE</t>
        </is>
      </c>
      <c r="G534" t="n">
        <v>6.9</v>
      </c>
      <c r="H534" t="n">
        <v>0</v>
      </c>
      <c r="I534" t="n">
        <v>0</v>
      </c>
      <c r="J534" t="n">
        <v>0</v>
      </c>
      <c r="K534" t="n">
        <v>0</v>
      </c>
      <c r="L534" t="n">
        <v>0</v>
      </c>
      <c r="M534" t="n">
        <v>0</v>
      </c>
      <c r="N534" t="n">
        <v>0</v>
      </c>
      <c r="O534" t="n">
        <v>0</v>
      </c>
      <c r="P534" t="n">
        <v>0</v>
      </c>
      <c r="Q534" t="n">
        <v>0</v>
      </c>
      <c r="R534" s="2" t="inlineStr"/>
    </row>
    <row r="535" ht="15" customHeight="1">
      <c r="A535" t="inlineStr">
        <is>
          <t>A 31170-2025</t>
        </is>
      </c>
      <c r="B535" s="1" t="n">
        <v>45832.66385416667</v>
      </c>
      <c r="C535" s="1" t="n">
        <v>46050</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30719-2025</t>
        </is>
      </c>
      <c r="B536" s="1" t="n">
        <v>45831</v>
      </c>
      <c r="C536" s="1" t="n">
        <v>46050</v>
      </c>
      <c r="D536" t="inlineStr">
        <is>
          <t>STOCKHOLMS LÄN</t>
        </is>
      </c>
      <c r="E536" t="inlineStr">
        <is>
          <t>NORRTÄLJE</t>
        </is>
      </c>
      <c r="G536" t="n">
        <v>0.5</v>
      </c>
      <c r="H536" t="n">
        <v>0</v>
      </c>
      <c r="I536" t="n">
        <v>0</v>
      </c>
      <c r="J536" t="n">
        <v>0</v>
      </c>
      <c r="K536" t="n">
        <v>0</v>
      </c>
      <c r="L536" t="n">
        <v>0</v>
      </c>
      <c r="M536" t="n">
        <v>0</v>
      </c>
      <c r="N536" t="n">
        <v>0</v>
      </c>
      <c r="O536" t="n">
        <v>0</v>
      </c>
      <c r="P536" t="n">
        <v>0</v>
      </c>
      <c r="Q536" t="n">
        <v>0</v>
      </c>
      <c r="R536" s="2" t="inlineStr"/>
    </row>
    <row r="537" ht="15" customHeight="1">
      <c r="A537" t="inlineStr">
        <is>
          <t>A 43269-2025</t>
        </is>
      </c>
      <c r="B537" s="1" t="n">
        <v>45910.5819212963</v>
      </c>
      <c r="C537" s="1" t="n">
        <v>46050</v>
      </c>
      <c r="D537" t="inlineStr">
        <is>
          <t>STOCKHOLMS LÄN</t>
        </is>
      </c>
      <c r="E537" t="inlineStr">
        <is>
          <t>NORRTÄLJE</t>
        </is>
      </c>
      <c r="G537" t="n">
        <v>3.7</v>
      </c>
      <c r="H537" t="n">
        <v>0</v>
      </c>
      <c r="I537" t="n">
        <v>0</v>
      </c>
      <c r="J537" t="n">
        <v>0</v>
      </c>
      <c r="K537" t="n">
        <v>0</v>
      </c>
      <c r="L537" t="n">
        <v>0</v>
      </c>
      <c r="M537" t="n">
        <v>0</v>
      </c>
      <c r="N537" t="n">
        <v>0</v>
      </c>
      <c r="O537" t="n">
        <v>0</v>
      </c>
      <c r="P537" t="n">
        <v>0</v>
      </c>
      <c r="Q537" t="n">
        <v>0</v>
      </c>
      <c r="R537" s="2" t="inlineStr"/>
    </row>
    <row r="538" ht="15" customHeight="1">
      <c r="A538" t="inlineStr">
        <is>
          <t>A 31880-2025</t>
        </is>
      </c>
      <c r="B538" s="1" t="n">
        <v>45834.65538194445</v>
      </c>
      <c r="C538" s="1" t="n">
        <v>46050</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37085-2021</t>
        </is>
      </c>
      <c r="B539" s="1" t="n">
        <v>44395</v>
      </c>
      <c r="C539" s="1" t="n">
        <v>46050</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32122-2025</t>
        </is>
      </c>
      <c r="B540" s="1" t="n">
        <v>45835.4928125</v>
      </c>
      <c r="C540" s="1" t="n">
        <v>46050</v>
      </c>
      <c r="D540" t="inlineStr">
        <is>
          <t>STOCKHOLMS LÄN</t>
        </is>
      </c>
      <c r="E540" t="inlineStr">
        <is>
          <t>NORRTÄLJE</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56428-2023</t>
        </is>
      </c>
      <c r="B541" s="1" t="n">
        <v>45243.45289351852</v>
      </c>
      <c r="C541" s="1" t="n">
        <v>46050</v>
      </c>
      <c r="D541" t="inlineStr">
        <is>
          <t>STOCKHOLMS LÄN</t>
        </is>
      </c>
      <c r="E541" t="inlineStr">
        <is>
          <t>NORRTÄLJE</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31868-2025</t>
        </is>
      </c>
      <c r="B542" s="1" t="n">
        <v>45834.6447337963</v>
      </c>
      <c r="C542" s="1" t="n">
        <v>46050</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6413-2025</t>
        </is>
      </c>
      <c r="B543" s="1" t="n">
        <v>45699.46283564815</v>
      </c>
      <c r="C543" s="1" t="n">
        <v>46050</v>
      </c>
      <c r="D543" t="inlineStr">
        <is>
          <t>STOCKHOLMS LÄN</t>
        </is>
      </c>
      <c r="E543" t="inlineStr">
        <is>
          <t>NORRTÄLJE</t>
        </is>
      </c>
      <c r="G543" t="n">
        <v>3.6</v>
      </c>
      <c r="H543" t="n">
        <v>0</v>
      </c>
      <c r="I543" t="n">
        <v>0</v>
      </c>
      <c r="J543" t="n">
        <v>0</v>
      </c>
      <c r="K543" t="n">
        <v>0</v>
      </c>
      <c r="L543" t="n">
        <v>0</v>
      </c>
      <c r="M543" t="n">
        <v>0</v>
      </c>
      <c r="N543" t="n">
        <v>0</v>
      </c>
      <c r="O543" t="n">
        <v>0</v>
      </c>
      <c r="P543" t="n">
        <v>0</v>
      </c>
      <c r="Q543" t="n">
        <v>0</v>
      </c>
      <c r="R543" s="2" t="inlineStr"/>
    </row>
    <row r="544" ht="15" customHeight="1">
      <c r="A544" t="inlineStr">
        <is>
          <t>A 43916-2025</t>
        </is>
      </c>
      <c r="B544" s="1" t="n">
        <v>45914.78884259259</v>
      </c>
      <c r="C544" s="1" t="n">
        <v>46050</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17556-2025</t>
        </is>
      </c>
      <c r="B545" s="1" t="n">
        <v>45757.62482638889</v>
      </c>
      <c r="C545" s="1" t="n">
        <v>46050</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32016-2025</t>
        </is>
      </c>
      <c r="B546" s="1" t="n">
        <v>45835</v>
      </c>
      <c r="C546" s="1" t="n">
        <v>46050</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32283-2025</t>
        </is>
      </c>
      <c r="B547" s="1" t="n">
        <v>45835.68076388889</v>
      </c>
      <c r="C547" s="1" t="n">
        <v>46050</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31874-2025</t>
        </is>
      </c>
      <c r="B548" s="1" t="n">
        <v>45834</v>
      </c>
      <c r="C548" s="1" t="n">
        <v>46050</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32094-2025</t>
        </is>
      </c>
      <c r="B549" s="1" t="n">
        <v>45835.46034722222</v>
      </c>
      <c r="C549" s="1" t="n">
        <v>46050</v>
      </c>
      <c r="D549" t="inlineStr">
        <is>
          <t>STOCKHOLMS LÄN</t>
        </is>
      </c>
      <c r="E549" t="inlineStr">
        <is>
          <t>NORRTÄLJE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42094-2023</t>
        </is>
      </c>
      <c r="B550" s="1" t="n">
        <v>45177.61498842593</v>
      </c>
      <c r="C550" s="1" t="n">
        <v>46050</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44354-2025</t>
        </is>
      </c>
      <c r="B551" s="1" t="n">
        <v>45916.44655092592</v>
      </c>
      <c r="C551" s="1" t="n">
        <v>46050</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32480-2025</t>
        </is>
      </c>
      <c r="B552" s="1" t="n">
        <v>45838.43261574074</v>
      </c>
      <c r="C552" s="1" t="n">
        <v>46050</v>
      </c>
      <c r="D552" t="inlineStr">
        <is>
          <t>STOCKHOLMS LÄN</t>
        </is>
      </c>
      <c r="E552" t="inlineStr">
        <is>
          <t>NORRTÄLJE</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32872-2025</t>
        </is>
      </c>
      <c r="B553" s="1" t="n">
        <v>45839</v>
      </c>
      <c r="C553" s="1" t="n">
        <v>46050</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32903-2025</t>
        </is>
      </c>
      <c r="B554" s="1" t="n">
        <v>45839.62398148148</v>
      </c>
      <c r="C554" s="1" t="n">
        <v>46050</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32395-2025</t>
        </is>
      </c>
      <c r="B555" s="1" t="n">
        <v>45837.93730324074</v>
      </c>
      <c r="C555" s="1" t="n">
        <v>46050</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32396-2025</t>
        </is>
      </c>
      <c r="B556" s="1" t="n">
        <v>45837</v>
      </c>
      <c r="C556" s="1" t="n">
        <v>46050</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32397-2025</t>
        </is>
      </c>
      <c r="B557" s="1" t="n">
        <v>45837.94081018519</v>
      </c>
      <c r="C557" s="1" t="n">
        <v>46050</v>
      </c>
      <c r="D557" t="inlineStr">
        <is>
          <t>STOCKHOLMS LÄN</t>
        </is>
      </c>
      <c r="E557" t="inlineStr">
        <is>
          <t>NORRTÄLJE</t>
        </is>
      </c>
      <c r="G557" t="n">
        <v>5.9</v>
      </c>
      <c r="H557" t="n">
        <v>0</v>
      </c>
      <c r="I557" t="n">
        <v>0</v>
      </c>
      <c r="J557" t="n">
        <v>0</v>
      </c>
      <c r="K557" t="n">
        <v>0</v>
      </c>
      <c r="L557" t="n">
        <v>0</v>
      </c>
      <c r="M557" t="n">
        <v>0</v>
      </c>
      <c r="N557" t="n">
        <v>0</v>
      </c>
      <c r="O557" t="n">
        <v>0</v>
      </c>
      <c r="P557" t="n">
        <v>0</v>
      </c>
      <c r="Q557" t="n">
        <v>0</v>
      </c>
      <c r="R557" s="2" t="inlineStr"/>
    </row>
    <row r="558" ht="15" customHeight="1">
      <c r="A558" t="inlineStr">
        <is>
          <t>A 44306-2025</t>
        </is>
      </c>
      <c r="B558" s="1" t="n">
        <v>45916.37736111111</v>
      </c>
      <c r="C558" s="1" t="n">
        <v>46050</v>
      </c>
      <c r="D558" t="inlineStr">
        <is>
          <t>STOCKHOLMS LÄN</t>
        </is>
      </c>
      <c r="E558" t="inlineStr">
        <is>
          <t>NORRTÄLJE</t>
        </is>
      </c>
      <c r="G558" t="n">
        <v>2.8</v>
      </c>
      <c r="H558" t="n">
        <v>0</v>
      </c>
      <c r="I558" t="n">
        <v>0</v>
      </c>
      <c r="J558" t="n">
        <v>0</v>
      </c>
      <c r="K558" t="n">
        <v>0</v>
      </c>
      <c r="L558" t="n">
        <v>0</v>
      </c>
      <c r="M558" t="n">
        <v>0</v>
      </c>
      <c r="N558" t="n">
        <v>0</v>
      </c>
      <c r="O558" t="n">
        <v>0</v>
      </c>
      <c r="P558" t="n">
        <v>0</v>
      </c>
      <c r="Q558" t="n">
        <v>0</v>
      </c>
      <c r="R558" s="2" t="inlineStr"/>
    </row>
    <row r="559" ht="15" customHeight="1">
      <c r="A559" t="inlineStr">
        <is>
          <t>A 44343-2025</t>
        </is>
      </c>
      <c r="B559" s="1" t="n">
        <v>45916.43378472222</v>
      </c>
      <c r="C559" s="1" t="n">
        <v>46050</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44349-2025</t>
        </is>
      </c>
      <c r="B560" s="1" t="n">
        <v>45916.43929398148</v>
      </c>
      <c r="C560" s="1" t="n">
        <v>46050</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44311-2025</t>
        </is>
      </c>
      <c r="B561" s="1" t="n">
        <v>45916.38394675926</v>
      </c>
      <c r="C561" s="1" t="n">
        <v>46050</v>
      </c>
      <c r="D561" t="inlineStr">
        <is>
          <t>STOCKHOLMS LÄN</t>
        </is>
      </c>
      <c r="E561" t="inlineStr">
        <is>
          <t>NORRTÄLJE</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8370-2025</t>
        </is>
      </c>
      <c r="B562" s="1" t="n">
        <v>45708</v>
      </c>
      <c r="C562" s="1" t="n">
        <v>46050</v>
      </c>
      <c r="D562" t="inlineStr">
        <is>
          <t>STOCKHOLMS LÄN</t>
        </is>
      </c>
      <c r="E562" t="inlineStr">
        <is>
          <t>NORRTÄLJE</t>
        </is>
      </c>
      <c r="F562" t="inlineStr">
        <is>
          <t>Övriga Aktiebolag</t>
        </is>
      </c>
      <c r="G562" t="n">
        <v>5.6</v>
      </c>
      <c r="H562" t="n">
        <v>0</v>
      </c>
      <c r="I562" t="n">
        <v>0</v>
      </c>
      <c r="J562" t="n">
        <v>0</v>
      </c>
      <c r="K562" t="n">
        <v>0</v>
      </c>
      <c r="L562" t="n">
        <v>0</v>
      </c>
      <c r="M562" t="n">
        <v>0</v>
      </c>
      <c r="N562" t="n">
        <v>0</v>
      </c>
      <c r="O562" t="n">
        <v>0</v>
      </c>
      <c r="P562" t="n">
        <v>0</v>
      </c>
      <c r="Q562" t="n">
        <v>0</v>
      </c>
      <c r="R562" s="2" t="inlineStr"/>
    </row>
    <row r="563" ht="15" customHeight="1">
      <c r="A563" t="inlineStr">
        <is>
          <t>A 44333-2025</t>
        </is>
      </c>
      <c r="B563" s="1" t="n">
        <v>45916.42293981482</v>
      </c>
      <c r="C563" s="1" t="n">
        <v>46050</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3299-2022</t>
        </is>
      </c>
      <c r="B564" s="1" t="n">
        <v>44584.91001157407</v>
      </c>
      <c r="C564" s="1" t="n">
        <v>46050</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12348-2025</t>
        </is>
      </c>
      <c r="B565" s="1" t="n">
        <v>45730.35026620371</v>
      </c>
      <c r="C565" s="1" t="n">
        <v>46050</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17545-2025</t>
        </is>
      </c>
      <c r="B566" s="1" t="n">
        <v>45757.60658564815</v>
      </c>
      <c r="C566" s="1" t="n">
        <v>46050</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25094-2023</t>
        </is>
      </c>
      <c r="B567" s="1" t="n">
        <v>45086.3629050926</v>
      </c>
      <c r="C567" s="1" t="n">
        <v>46050</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36157-2024</t>
        </is>
      </c>
      <c r="B568" s="1" t="n">
        <v>45534.38240740741</v>
      </c>
      <c r="C568" s="1" t="n">
        <v>46050</v>
      </c>
      <c r="D568" t="inlineStr">
        <is>
          <t>STOCKHOLMS LÄN</t>
        </is>
      </c>
      <c r="E568" t="inlineStr">
        <is>
          <t>NORRTÄLJE</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44937-2025</t>
        </is>
      </c>
      <c r="B569" s="1" t="n">
        <v>45918</v>
      </c>
      <c r="C569" s="1" t="n">
        <v>46050</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47694-2023</t>
        </is>
      </c>
      <c r="B570" s="1" t="n">
        <v>45203.63303240741</v>
      </c>
      <c r="C570" s="1" t="n">
        <v>46050</v>
      </c>
      <c r="D570" t="inlineStr">
        <is>
          <t>STOCKHOLMS LÄN</t>
        </is>
      </c>
      <c r="E570" t="inlineStr">
        <is>
          <t>NORRTÄLJE</t>
        </is>
      </c>
      <c r="G570" t="n">
        <v>5.2</v>
      </c>
      <c r="H570" t="n">
        <v>0</v>
      </c>
      <c r="I570" t="n">
        <v>0</v>
      </c>
      <c r="J570" t="n">
        <v>0</v>
      </c>
      <c r="K570" t="n">
        <v>0</v>
      </c>
      <c r="L570" t="n">
        <v>0</v>
      </c>
      <c r="M570" t="n">
        <v>0</v>
      </c>
      <c r="N570" t="n">
        <v>0</v>
      </c>
      <c r="O570" t="n">
        <v>0</v>
      </c>
      <c r="P570" t="n">
        <v>0</v>
      </c>
      <c r="Q570" t="n">
        <v>0</v>
      </c>
      <c r="R570" s="2" t="inlineStr"/>
    </row>
    <row r="571" ht="15" customHeight="1">
      <c r="A571" t="inlineStr">
        <is>
          <t>A 33702-2025</t>
        </is>
      </c>
      <c r="B571" s="1" t="n">
        <v>45841.74596064815</v>
      </c>
      <c r="C571" s="1" t="n">
        <v>46050</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35532-2024</t>
        </is>
      </c>
      <c r="B572" s="1" t="n">
        <v>45531</v>
      </c>
      <c r="C572" s="1" t="n">
        <v>46050</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33211-2025</t>
        </is>
      </c>
      <c r="B573" s="1" t="n">
        <v>45840.62755787037</v>
      </c>
      <c r="C573" s="1" t="n">
        <v>46050</v>
      </c>
      <c r="D573" t="inlineStr">
        <is>
          <t>STOCKHOLMS LÄN</t>
        </is>
      </c>
      <c r="E573" t="inlineStr">
        <is>
          <t>NORRTÄLJE</t>
        </is>
      </c>
      <c r="G573" t="n">
        <v>5.1</v>
      </c>
      <c r="H573" t="n">
        <v>0</v>
      </c>
      <c r="I573" t="n">
        <v>0</v>
      </c>
      <c r="J573" t="n">
        <v>0</v>
      </c>
      <c r="K573" t="n">
        <v>0</v>
      </c>
      <c r="L573" t="n">
        <v>0</v>
      </c>
      <c r="M573" t="n">
        <v>0</v>
      </c>
      <c r="N573" t="n">
        <v>0</v>
      </c>
      <c r="O573" t="n">
        <v>0</v>
      </c>
      <c r="P573" t="n">
        <v>0</v>
      </c>
      <c r="Q573" t="n">
        <v>0</v>
      </c>
      <c r="R573" s="2" t="inlineStr"/>
    </row>
    <row r="574" ht="15" customHeight="1">
      <c r="A574" t="inlineStr">
        <is>
          <t>A 1654-2025</t>
        </is>
      </c>
      <c r="B574" s="1" t="n">
        <v>45670.65921296296</v>
      </c>
      <c r="C574" s="1" t="n">
        <v>46050</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62644-2023</t>
        </is>
      </c>
      <c r="B575" s="1" t="n">
        <v>45271</v>
      </c>
      <c r="C575" s="1" t="n">
        <v>46050</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33265-2025</t>
        </is>
      </c>
      <c r="B576" s="1" t="n">
        <v>45840.67829861111</v>
      </c>
      <c r="C576" s="1" t="n">
        <v>46050</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22359-2025</t>
        </is>
      </c>
      <c r="B577" s="1" t="n">
        <v>45786</v>
      </c>
      <c r="C577" s="1" t="n">
        <v>46050</v>
      </c>
      <c r="D577" t="inlineStr">
        <is>
          <t>STOCKHOLMS LÄN</t>
        </is>
      </c>
      <c r="E577" t="inlineStr">
        <is>
          <t>NORRTÄLJE</t>
        </is>
      </c>
      <c r="G577" t="n">
        <v>5</v>
      </c>
      <c r="H577" t="n">
        <v>0</v>
      </c>
      <c r="I577" t="n">
        <v>0</v>
      </c>
      <c r="J577" t="n">
        <v>0</v>
      </c>
      <c r="K577" t="n">
        <v>0</v>
      </c>
      <c r="L577" t="n">
        <v>0</v>
      </c>
      <c r="M577" t="n">
        <v>0</v>
      </c>
      <c r="N577" t="n">
        <v>0</v>
      </c>
      <c r="O577" t="n">
        <v>0</v>
      </c>
      <c r="P577" t="n">
        <v>0</v>
      </c>
      <c r="Q577" t="n">
        <v>0</v>
      </c>
      <c r="R577" s="2" t="inlineStr"/>
    </row>
    <row r="578" ht="15" customHeight="1">
      <c r="A578" t="inlineStr">
        <is>
          <t>A 11229-2022</t>
        </is>
      </c>
      <c r="B578" s="1" t="n">
        <v>44629</v>
      </c>
      <c r="C578" s="1" t="n">
        <v>46050</v>
      </c>
      <c r="D578" t="inlineStr">
        <is>
          <t>STOCKHOLMS LÄN</t>
        </is>
      </c>
      <c r="E578" t="inlineStr">
        <is>
          <t>NORRTÄLJE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33552-2025</t>
        </is>
      </c>
      <c r="B579" s="1" t="n">
        <v>45841.5737962963</v>
      </c>
      <c r="C579" s="1" t="n">
        <v>46050</v>
      </c>
      <c r="D579" t="inlineStr">
        <is>
          <t>STOCKHOLMS LÄN</t>
        </is>
      </c>
      <c r="E579" t="inlineStr">
        <is>
          <t>NORRTÄLJE</t>
        </is>
      </c>
      <c r="G579" t="n">
        <v>8.9</v>
      </c>
      <c r="H579" t="n">
        <v>0</v>
      </c>
      <c r="I579" t="n">
        <v>0</v>
      </c>
      <c r="J579" t="n">
        <v>0</v>
      </c>
      <c r="K579" t="n">
        <v>0</v>
      </c>
      <c r="L579" t="n">
        <v>0</v>
      </c>
      <c r="M579" t="n">
        <v>0</v>
      </c>
      <c r="N579" t="n">
        <v>0</v>
      </c>
      <c r="O579" t="n">
        <v>0</v>
      </c>
      <c r="P579" t="n">
        <v>0</v>
      </c>
      <c r="Q579" t="n">
        <v>0</v>
      </c>
      <c r="R579" s="2" t="inlineStr"/>
    </row>
    <row r="580" ht="15" customHeight="1">
      <c r="A580" t="inlineStr">
        <is>
          <t>A 33336-2025</t>
        </is>
      </c>
      <c r="B580" s="1" t="n">
        <v>45841.35611111111</v>
      </c>
      <c r="C580" s="1" t="n">
        <v>46050</v>
      </c>
      <c r="D580" t="inlineStr">
        <is>
          <t>STOCKHOLMS LÄN</t>
        </is>
      </c>
      <c r="E580" t="inlineStr">
        <is>
          <t>NORRTÄLJE</t>
        </is>
      </c>
      <c r="G580" t="n">
        <v>2.4</v>
      </c>
      <c r="H580" t="n">
        <v>0</v>
      </c>
      <c r="I580" t="n">
        <v>0</v>
      </c>
      <c r="J580" t="n">
        <v>0</v>
      </c>
      <c r="K580" t="n">
        <v>0</v>
      </c>
      <c r="L580" t="n">
        <v>0</v>
      </c>
      <c r="M580" t="n">
        <v>0</v>
      </c>
      <c r="N580" t="n">
        <v>0</v>
      </c>
      <c r="O580" t="n">
        <v>0</v>
      </c>
      <c r="P580" t="n">
        <v>0</v>
      </c>
      <c r="Q580" t="n">
        <v>0</v>
      </c>
      <c r="R580" s="2" t="inlineStr"/>
    </row>
    <row r="581" ht="15" customHeight="1">
      <c r="A581" t="inlineStr">
        <is>
          <t>A 33824-2025</t>
        </is>
      </c>
      <c r="B581" s="1" t="n">
        <v>45842.46885416667</v>
      </c>
      <c r="C581" s="1" t="n">
        <v>46050</v>
      </c>
      <c r="D581" t="inlineStr">
        <is>
          <t>STOCKHOLMS LÄN</t>
        </is>
      </c>
      <c r="E581" t="inlineStr">
        <is>
          <t>NORRTÄLJE</t>
        </is>
      </c>
      <c r="G581" t="n">
        <v>1.9</v>
      </c>
      <c r="H581" t="n">
        <v>0</v>
      </c>
      <c r="I581" t="n">
        <v>0</v>
      </c>
      <c r="J581" t="n">
        <v>0</v>
      </c>
      <c r="K581" t="n">
        <v>0</v>
      </c>
      <c r="L581" t="n">
        <v>0</v>
      </c>
      <c r="M581" t="n">
        <v>0</v>
      </c>
      <c r="N581" t="n">
        <v>0</v>
      </c>
      <c r="O581" t="n">
        <v>0</v>
      </c>
      <c r="P581" t="n">
        <v>0</v>
      </c>
      <c r="Q581" t="n">
        <v>0</v>
      </c>
      <c r="R581" s="2" t="inlineStr"/>
    </row>
    <row r="582" ht="15" customHeight="1">
      <c r="A582" t="inlineStr">
        <is>
          <t>A 34006-2025</t>
        </is>
      </c>
      <c r="B582" s="1" t="n">
        <v>45844.62609953704</v>
      </c>
      <c r="C582" s="1" t="n">
        <v>46050</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34139-2025</t>
        </is>
      </c>
      <c r="B583" s="1" t="n">
        <v>45845</v>
      </c>
      <c r="C583" s="1" t="n">
        <v>46050</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45697-2025</t>
        </is>
      </c>
      <c r="B584" s="1" t="n">
        <v>45923.39877314815</v>
      </c>
      <c r="C584" s="1" t="n">
        <v>46050</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34010-2025</t>
        </is>
      </c>
      <c r="B585" s="1" t="n">
        <v>45844.91234953704</v>
      </c>
      <c r="C585" s="1" t="n">
        <v>46050</v>
      </c>
      <c r="D585" t="inlineStr">
        <is>
          <t>STOCKHOLMS LÄN</t>
        </is>
      </c>
      <c r="E585" t="inlineStr">
        <is>
          <t>NORRTÄLJE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57353-2024</t>
        </is>
      </c>
      <c r="B586" s="1" t="n">
        <v>45629.65143518519</v>
      </c>
      <c r="C586" s="1" t="n">
        <v>46050</v>
      </c>
      <c r="D586" t="inlineStr">
        <is>
          <t>STOCKHOLMS LÄN</t>
        </is>
      </c>
      <c r="E586" t="inlineStr">
        <is>
          <t>NORRTÄLJE</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48587-2023</t>
        </is>
      </c>
      <c r="B587" s="1" t="n">
        <v>45208</v>
      </c>
      <c r="C587" s="1" t="n">
        <v>46050</v>
      </c>
      <c r="D587" t="inlineStr">
        <is>
          <t>STOCKHOLMS LÄN</t>
        </is>
      </c>
      <c r="E587" t="inlineStr">
        <is>
          <t>NORRTÄLJE</t>
        </is>
      </c>
      <c r="G587" t="n">
        <v>7</v>
      </c>
      <c r="H587" t="n">
        <v>0</v>
      </c>
      <c r="I587" t="n">
        <v>0</v>
      </c>
      <c r="J587" t="n">
        <v>0</v>
      </c>
      <c r="K587" t="n">
        <v>0</v>
      </c>
      <c r="L587" t="n">
        <v>0</v>
      </c>
      <c r="M587" t="n">
        <v>0</v>
      </c>
      <c r="N587" t="n">
        <v>0</v>
      </c>
      <c r="O587" t="n">
        <v>0</v>
      </c>
      <c r="P587" t="n">
        <v>0</v>
      </c>
      <c r="Q587" t="n">
        <v>0</v>
      </c>
      <c r="R587" s="2" t="inlineStr"/>
    </row>
    <row r="588" ht="15" customHeight="1">
      <c r="A588" t="inlineStr">
        <is>
          <t>A 46415-2025</t>
        </is>
      </c>
      <c r="B588" s="1" t="n">
        <v>45925.58636574074</v>
      </c>
      <c r="C588" s="1" t="n">
        <v>46050</v>
      </c>
      <c r="D588" t="inlineStr">
        <is>
          <t>STOCKHOLMS LÄN</t>
        </is>
      </c>
      <c r="E588" t="inlineStr">
        <is>
          <t>NORRTÄLJE</t>
        </is>
      </c>
      <c r="G588" t="n">
        <v>3.8</v>
      </c>
      <c r="H588" t="n">
        <v>0</v>
      </c>
      <c r="I588" t="n">
        <v>0</v>
      </c>
      <c r="J588" t="n">
        <v>0</v>
      </c>
      <c r="K588" t="n">
        <v>0</v>
      </c>
      <c r="L588" t="n">
        <v>0</v>
      </c>
      <c r="M588" t="n">
        <v>0</v>
      </c>
      <c r="N588" t="n">
        <v>0</v>
      </c>
      <c r="O588" t="n">
        <v>0</v>
      </c>
      <c r="P588" t="n">
        <v>0</v>
      </c>
      <c r="Q588" t="n">
        <v>0</v>
      </c>
      <c r="R588" s="2" t="inlineStr"/>
    </row>
    <row r="589" ht="15" customHeight="1">
      <c r="A589" t="inlineStr">
        <is>
          <t>A 36689-2023</t>
        </is>
      </c>
      <c r="B589" s="1" t="n">
        <v>45152</v>
      </c>
      <c r="C589" s="1" t="n">
        <v>46050</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46073-2024</t>
        </is>
      </c>
      <c r="B590" s="1" t="n">
        <v>45581</v>
      </c>
      <c r="C590" s="1" t="n">
        <v>46050</v>
      </c>
      <c r="D590" t="inlineStr">
        <is>
          <t>STOCKHOLMS LÄN</t>
        </is>
      </c>
      <c r="E590" t="inlineStr">
        <is>
          <t>NORRTÄLJE</t>
        </is>
      </c>
      <c r="G590" t="n">
        <v>2</v>
      </c>
      <c r="H590" t="n">
        <v>0</v>
      </c>
      <c r="I590" t="n">
        <v>0</v>
      </c>
      <c r="J590" t="n">
        <v>0</v>
      </c>
      <c r="K590" t="n">
        <v>0</v>
      </c>
      <c r="L590" t="n">
        <v>0</v>
      </c>
      <c r="M590" t="n">
        <v>0</v>
      </c>
      <c r="N590" t="n">
        <v>0</v>
      </c>
      <c r="O590" t="n">
        <v>0</v>
      </c>
      <c r="P590" t="n">
        <v>0</v>
      </c>
      <c r="Q590" t="n">
        <v>0</v>
      </c>
      <c r="R590" s="2" t="inlineStr"/>
    </row>
    <row r="591" ht="15" customHeight="1">
      <c r="A591" t="inlineStr">
        <is>
          <t>A 2549-2022</t>
        </is>
      </c>
      <c r="B591" s="1" t="n">
        <v>44580</v>
      </c>
      <c r="C591" s="1" t="n">
        <v>46050</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4438-2023</t>
        </is>
      </c>
      <c r="B592" s="1" t="n">
        <v>44956</v>
      </c>
      <c r="C592" s="1" t="n">
        <v>46050</v>
      </c>
      <c r="D592" t="inlineStr">
        <is>
          <t>STOCKHOLMS LÄN</t>
        </is>
      </c>
      <c r="E592" t="inlineStr">
        <is>
          <t>NORRTÄLJE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47758-2023</t>
        </is>
      </c>
      <c r="B593" s="1" t="n">
        <v>45203.83891203703</v>
      </c>
      <c r="C593" s="1" t="n">
        <v>46050</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46900-2025</t>
        </is>
      </c>
      <c r="B594" s="1" t="n">
        <v>45929.38712962963</v>
      </c>
      <c r="C594" s="1" t="n">
        <v>46050</v>
      </c>
      <c r="D594" t="inlineStr">
        <is>
          <t>STOCKHOLMS LÄN</t>
        </is>
      </c>
      <c r="E594" t="inlineStr">
        <is>
          <t>NORRTÄLJE</t>
        </is>
      </c>
      <c r="F594" t="inlineStr">
        <is>
          <t>Holmen skog AB</t>
        </is>
      </c>
      <c r="G594" t="n">
        <v>6.2</v>
      </c>
      <c r="H594" t="n">
        <v>0</v>
      </c>
      <c r="I594" t="n">
        <v>0</v>
      </c>
      <c r="J594" t="n">
        <v>0</v>
      </c>
      <c r="K594" t="n">
        <v>0</v>
      </c>
      <c r="L594" t="n">
        <v>0</v>
      </c>
      <c r="M594" t="n">
        <v>0</v>
      </c>
      <c r="N594" t="n">
        <v>0</v>
      </c>
      <c r="O594" t="n">
        <v>0</v>
      </c>
      <c r="P594" t="n">
        <v>0</v>
      </c>
      <c r="Q594" t="n">
        <v>0</v>
      </c>
      <c r="R594" s="2" t="inlineStr"/>
    </row>
    <row r="595" ht="15" customHeight="1">
      <c r="A595" t="inlineStr">
        <is>
          <t>A 51061-2023</t>
        </is>
      </c>
      <c r="B595" s="1" t="n">
        <v>45218.65849537037</v>
      </c>
      <c r="C595" s="1" t="n">
        <v>46050</v>
      </c>
      <c r="D595" t="inlineStr">
        <is>
          <t>STOCKHOLMS LÄN</t>
        </is>
      </c>
      <c r="E595" t="inlineStr">
        <is>
          <t>NORRTÄLJE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22697-2022</t>
        </is>
      </c>
      <c r="B596" s="1" t="n">
        <v>44714.56040509259</v>
      </c>
      <c r="C596" s="1" t="n">
        <v>46050</v>
      </c>
      <c r="D596" t="inlineStr">
        <is>
          <t>STOCKHOLMS LÄN</t>
        </is>
      </c>
      <c r="E596" t="inlineStr">
        <is>
          <t>NORRTÄLJE</t>
        </is>
      </c>
      <c r="G596" t="n">
        <v>5.6</v>
      </c>
      <c r="H596" t="n">
        <v>0</v>
      </c>
      <c r="I596" t="n">
        <v>0</v>
      </c>
      <c r="J596" t="n">
        <v>0</v>
      </c>
      <c r="K596" t="n">
        <v>0</v>
      </c>
      <c r="L596" t="n">
        <v>0</v>
      </c>
      <c r="M596" t="n">
        <v>0</v>
      </c>
      <c r="N596" t="n">
        <v>0</v>
      </c>
      <c r="O596" t="n">
        <v>0</v>
      </c>
      <c r="P596" t="n">
        <v>0</v>
      </c>
      <c r="Q596" t="n">
        <v>0</v>
      </c>
      <c r="R596" s="2" t="inlineStr"/>
    </row>
    <row r="597" ht="15" customHeight="1">
      <c r="A597" t="inlineStr">
        <is>
          <t>A 45549-2022</t>
        </is>
      </c>
      <c r="B597" s="1" t="n">
        <v>44845.48064814815</v>
      </c>
      <c r="C597" s="1" t="n">
        <v>46050</v>
      </c>
      <c r="D597" t="inlineStr">
        <is>
          <t>STOCKHOLMS LÄN</t>
        </is>
      </c>
      <c r="E597" t="inlineStr">
        <is>
          <t>NORRTÄLJE</t>
        </is>
      </c>
      <c r="G597" t="n">
        <v>0.8</v>
      </c>
      <c r="H597" t="n">
        <v>0</v>
      </c>
      <c r="I597" t="n">
        <v>0</v>
      </c>
      <c r="J597" t="n">
        <v>0</v>
      </c>
      <c r="K597" t="n">
        <v>0</v>
      </c>
      <c r="L597" t="n">
        <v>0</v>
      </c>
      <c r="M597" t="n">
        <v>0</v>
      </c>
      <c r="N597" t="n">
        <v>0</v>
      </c>
      <c r="O597" t="n">
        <v>0</v>
      </c>
      <c r="P597" t="n">
        <v>0</v>
      </c>
      <c r="Q597" t="n">
        <v>0</v>
      </c>
      <c r="R597" s="2" t="inlineStr"/>
    </row>
    <row r="598" ht="15" customHeight="1">
      <c r="A598" t="inlineStr">
        <is>
          <t>A 54396-2021</t>
        </is>
      </c>
      <c r="B598" s="1" t="n">
        <v>44472</v>
      </c>
      <c r="C598" s="1" t="n">
        <v>46050</v>
      </c>
      <c r="D598" t="inlineStr">
        <is>
          <t>STOCKHOLMS LÄN</t>
        </is>
      </c>
      <c r="E598" t="inlineStr">
        <is>
          <t>NORRTÄLJE</t>
        </is>
      </c>
      <c r="G598" t="n">
        <v>2.6</v>
      </c>
      <c r="H598" t="n">
        <v>0</v>
      </c>
      <c r="I598" t="n">
        <v>0</v>
      </c>
      <c r="J598" t="n">
        <v>0</v>
      </c>
      <c r="K598" t="n">
        <v>0</v>
      </c>
      <c r="L598" t="n">
        <v>0</v>
      </c>
      <c r="M598" t="n">
        <v>0</v>
      </c>
      <c r="N598" t="n">
        <v>0</v>
      </c>
      <c r="O598" t="n">
        <v>0</v>
      </c>
      <c r="P598" t="n">
        <v>0</v>
      </c>
      <c r="Q598" t="n">
        <v>0</v>
      </c>
      <c r="R598" s="2" t="inlineStr"/>
    </row>
    <row r="599" ht="15" customHeight="1">
      <c r="A599" t="inlineStr">
        <is>
          <t>A 24727-2023</t>
        </is>
      </c>
      <c r="B599" s="1" t="n">
        <v>45084.57695601852</v>
      </c>
      <c r="C599" s="1" t="n">
        <v>46050</v>
      </c>
      <c r="D599" t="inlineStr">
        <is>
          <t>STOCKHOLMS LÄN</t>
        </is>
      </c>
      <c r="E599" t="inlineStr">
        <is>
          <t>NORRTÄLJE</t>
        </is>
      </c>
      <c r="F599" t="inlineStr">
        <is>
          <t>Holmen skog AB</t>
        </is>
      </c>
      <c r="G599" t="n">
        <v>2.2</v>
      </c>
      <c r="H599" t="n">
        <v>0</v>
      </c>
      <c r="I599" t="n">
        <v>0</v>
      </c>
      <c r="J599" t="n">
        <v>0</v>
      </c>
      <c r="K599" t="n">
        <v>0</v>
      </c>
      <c r="L599" t="n">
        <v>0</v>
      </c>
      <c r="M599" t="n">
        <v>0</v>
      </c>
      <c r="N599" t="n">
        <v>0</v>
      </c>
      <c r="O599" t="n">
        <v>0</v>
      </c>
      <c r="P599" t="n">
        <v>0</v>
      </c>
      <c r="Q599" t="n">
        <v>0</v>
      </c>
      <c r="R599" s="2" t="inlineStr"/>
    </row>
    <row r="600" ht="15" customHeight="1">
      <c r="A600" t="inlineStr">
        <is>
          <t>A 35256-2025</t>
        </is>
      </c>
      <c r="B600" s="1" t="n">
        <v>45853</v>
      </c>
      <c r="C600" s="1" t="n">
        <v>46050</v>
      </c>
      <c r="D600" t="inlineStr">
        <is>
          <t>STOCKHOLMS LÄN</t>
        </is>
      </c>
      <c r="E600" t="inlineStr">
        <is>
          <t>NORRTÄLJE</t>
        </is>
      </c>
      <c r="G600" t="n">
        <v>6.4</v>
      </c>
      <c r="H600" t="n">
        <v>0</v>
      </c>
      <c r="I600" t="n">
        <v>0</v>
      </c>
      <c r="J600" t="n">
        <v>0</v>
      </c>
      <c r="K600" t="n">
        <v>0</v>
      </c>
      <c r="L600" t="n">
        <v>0</v>
      </c>
      <c r="M600" t="n">
        <v>0</v>
      </c>
      <c r="N600" t="n">
        <v>0</v>
      </c>
      <c r="O600" t="n">
        <v>0</v>
      </c>
      <c r="P600" t="n">
        <v>0</v>
      </c>
      <c r="Q600" t="n">
        <v>0</v>
      </c>
      <c r="R600" s="2" t="inlineStr"/>
    </row>
    <row r="601" ht="15" customHeight="1">
      <c r="A601" t="inlineStr">
        <is>
          <t>A 48722-2023</t>
        </is>
      </c>
      <c r="B601" s="1" t="n">
        <v>45208.70996527778</v>
      </c>
      <c r="C601" s="1" t="n">
        <v>46050</v>
      </c>
      <c r="D601" t="inlineStr">
        <is>
          <t>STOCKHOLMS LÄN</t>
        </is>
      </c>
      <c r="E601" t="inlineStr">
        <is>
          <t>NORRTÄLJE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35235-2024</t>
        </is>
      </c>
      <c r="B602" s="1" t="n">
        <v>45530</v>
      </c>
      <c r="C602" s="1" t="n">
        <v>46050</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35110-2025</t>
        </is>
      </c>
      <c r="B603" s="1" t="n">
        <v>45852.58030092593</v>
      </c>
      <c r="C603" s="1" t="n">
        <v>46050</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1448-2023</t>
        </is>
      </c>
      <c r="B604" s="1" t="n">
        <v>44937</v>
      </c>
      <c r="C604" s="1" t="n">
        <v>46050</v>
      </c>
      <c r="D604" t="inlineStr">
        <is>
          <t>STOCKHOLMS LÄN</t>
        </is>
      </c>
      <c r="E604" t="inlineStr">
        <is>
          <t>NORRTÄLJE</t>
        </is>
      </c>
      <c r="G604" t="n">
        <v>1.9</v>
      </c>
      <c r="H604" t="n">
        <v>0</v>
      </c>
      <c r="I604" t="n">
        <v>0</v>
      </c>
      <c r="J604" t="n">
        <v>0</v>
      </c>
      <c r="K604" t="n">
        <v>0</v>
      </c>
      <c r="L604" t="n">
        <v>0</v>
      </c>
      <c r="M604" t="n">
        <v>0</v>
      </c>
      <c r="N604" t="n">
        <v>0</v>
      </c>
      <c r="O604" t="n">
        <v>0</v>
      </c>
      <c r="P604" t="n">
        <v>0</v>
      </c>
      <c r="Q604" t="n">
        <v>0</v>
      </c>
      <c r="R604" s="2" t="inlineStr"/>
    </row>
    <row r="605" ht="15" customHeight="1">
      <c r="A605" t="inlineStr">
        <is>
          <t>A 35254-2025</t>
        </is>
      </c>
      <c r="B605" s="1" t="n">
        <v>45853</v>
      </c>
      <c r="C605" s="1" t="n">
        <v>46050</v>
      </c>
      <c r="D605" t="inlineStr">
        <is>
          <t>STOCKHOLMS LÄN</t>
        </is>
      </c>
      <c r="E605" t="inlineStr">
        <is>
          <t>NORRTÄLJE</t>
        </is>
      </c>
      <c r="G605" t="n">
        <v>6.5</v>
      </c>
      <c r="H605" t="n">
        <v>0</v>
      </c>
      <c r="I605" t="n">
        <v>0</v>
      </c>
      <c r="J605" t="n">
        <v>0</v>
      </c>
      <c r="K605" t="n">
        <v>0</v>
      </c>
      <c r="L605" t="n">
        <v>0</v>
      </c>
      <c r="M605" t="n">
        <v>0</v>
      </c>
      <c r="N605" t="n">
        <v>0</v>
      </c>
      <c r="O605" t="n">
        <v>0</v>
      </c>
      <c r="P605" t="n">
        <v>0</v>
      </c>
      <c r="Q605" t="n">
        <v>0</v>
      </c>
      <c r="R605" s="2" t="inlineStr"/>
    </row>
    <row r="606" ht="15" customHeight="1">
      <c r="A606" t="inlineStr">
        <is>
          <t>A 8736-2024</t>
        </is>
      </c>
      <c r="B606" s="1" t="n">
        <v>45356.4722800926</v>
      </c>
      <c r="C606" s="1" t="n">
        <v>46050</v>
      </c>
      <c r="D606" t="inlineStr">
        <is>
          <t>STOCKHOLMS LÄN</t>
        </is>
      </c>
      <c r="E606" t="inlineStr">
        <is>
          <t>NORRTÄLJE</t>
        </is>
      </c>
      <c r="G606" t="n">
        <v>8.9</v>
      </c>
      <c r="H606" t="n">
        <v>0</v>
      </c>
      <c r="I606" t="n">
        <v>0</v>
      </c>
      <c r="J606" t="n">
        <v>0</v>
      </c>
      <c r="K606" t="n">
        <v>0</v>
      </c>
      <c r="L606" t="n">
        <v>0</v>
      </c>
      <c r="M606" t="n">
        <v>0</v>
      </c>
      <c r="N606" t="n">
        <v>0</v>
      </c>
      <c r="O606" t="n">
        <v>0</v>
      </c>
      <c r="P606" t="n">
        <v>0</v>
      </c>
      <c r="Q606" t="n">
        <v>0</v>
      </c>
      <c r="R606" s="2" t="inlineStr"/>
    </row>
    <row r="607" ht="15" customHeight="1">
      <c r="A607" t="inlineStr">
        <is>
          <t>A 35479-2025</t>
        </is>
      </c>
      <c r="B607" s="1" t="n">
        <v>45855.69387731481</v>
      </c>
      <c r="C607" s="1" t="n">
        <v>46050</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33149-2022</t>
        </is>
      </c>
      <c r="B608" s="1" t="n">
        <v>44785</v>
      </c>
      <c r="C608" s="1" t="n">
        <v>46050</v>
      </c>
      <c r="D608" t="inlineStr">
        <is>
          <t>STOCKHOLMS LÄN</t>
        </is>
      </c>
      <c r="E608" t="inlineStr">
        <is>
          <t>NORRTÄLJE</t>
        </is>
      </c>
      <c r="F608" t="inlineStr">
        <is>
          <t>Holmen skog AB</t>
        </is>
      </c>
      <c r="G608" t="n">
        <v>4.4</v>
      </c>
      <c r="H608" t="n">
        <v>0</v>
      </c>
      <c r="I608" t="n">
        <v>0</v>
      </c>
      <c r="J608" t="n">
        <v>0</v>
      </c>
      <c r="K608" t="n">
        <v>0</v>
      </c>
      <c r="L608" t="n">
        <v>0</v>
      </c>
      <c r="M608" t="n">
        <v>0</v>
      </c>
      <c r="N608" t="n">
        <v>0</v>
      </c>
      <c r="O608" t="n">
        <v>0</v>
      </c>
      <c r="P608" t="n">
        <v>0</v>
      </c>
      <c r="Q608" t="n">
        <v>0</v>
      </c>
      <c r="R608" s="2" t="inlineStr"/>
    </row>
    <row r="609" ht="15" customHeight="1">
      <c r="A609" t="inlineStr">
        <is>
          <t>A 35451-2025</t>
        </is>
      </c>
      <c r="B609" s="1" t="n">
        <v>45855.57033564815</v>
      </c>
      <c r="C609" s="1" t="n">
        <v>46050</v>
      </c>
      <c r="D609" t="inlineStr">
        <is>
          <t>STOCKHOLMS LÄN</t>
        </is>
      </c>
      <c r="E609" t="inlineStr">
        <is>
          <t>NORRTÄLJE</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35478-2025</t>
        </is>
      </c>
      <c r="B610" s="1" t="n">
        <v>45855.68413194444</v>
      </c>
      <c r="C610" s="1" t="n">
        <v>46050</v>
      </c>
      <c r="D610" t="inlineStr">
        <is>
          <t>STOCKHOLMS LÄN</t>
        </is>
      </c>
      <c r="E610" t="inlineStr">
        <is>
          <t>NORRTÄLJE</t>
        </is>
      </c>
      <c r="F610" t="inlineStr">
        <is>
          <t>Holmen skog AB</t>
        </is>
      </c>
      <c r="G610" t="n">
        <v>2.7</v>
      </c>
      <c r="H610" t="n">
        <v>0</v>
      </c>
      <c r="I610" t="n">
        <v>0</v>
      </c>
      <c r="J610" t="n">
        <v>0</v>
      </c>
      <c r="K610" t="n">
        <v>0</v>
      </c>
      <c r="L610" t="n">
        <v>0</v>
      </c>
      <c r="M610" t="n">
        <v>0</v>
      </c>
      <c r="N610" t="n">
        <v>0</v>
      </c>
      <c r="O610" t="n">
        <v>0</v>
      </c>
      <c r="P610" t="n">
        <v>0</v>
      </c>
      <c r="Q610" t="n">
        <v>0</v>
      </c>
      <c r="R610" s="2" t="inlineStr"/>
    </row>
    <row r="611" ht="15" customHeight="1">
      <c r="A611" t="inlineStr">
        <is>
          <t>A 47498-2025</t>
        </is>
      </c>
      <c r="B611" s="1" t="n">
        <v>45930.8134375</v>
      </c>
      <c r="C611" s="1" t="n">
        <v>46050</v>
      </c>
      <c r="D611" t="inlineStr">
        <is>
          <t>STOCKHOLMS LÄN</t>
        </is>
      </c>
      <c r="E611" t="inlineStr">
        <is>
          <t>NORRTÄLJE</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47460-2025</t>
        </is>
      </c>
      <c r="B612" s="1" t="n">
        <v>45930.66012731481</v>
      </c>
      <c r="C612" s="1" t="n">
        <v>46050</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47496-2025</t>
        </is>
      </c>
      <c r="B613" s="1" t="n">
        <v>45930.79252314815</v>
      </c>
      <c r="C613" s="1" t="n">
        <v>46050</v>
      </c>
      <c r="D613" t="inlineStr">
        <is>
          <t>STOCKHOLMS LÄN</t>
        </is>
      </c>
      <c r="E613" t="inlineStr">
        <is>
          <t>NORRTÄLJE</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47497-2025</t>
        </is>
      </c>
      <c r="B614" s="1" t="n">
        <v>45930.80217592593</v>
      </c>
      <c r="C614" s="1" t="n">
        <v>46050</v>
      </c>
      <c r="D614" t="inlineStr">
        <is>
          <t>STOCKHOLMS LÄN</t>
        </is>
      </c>
      <c r="E614" t="inlineStr">
        <is>
          <t>NORRTÄLJE</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48360-2025</t>
        </is>
      </c>
      <c r="B615" s="1" t="n">
        <v>45933.66253472222</v>
      </c>
      <c r="C615" s="1" t="n">
        <v>46050</v>
      </c>
      <c r="D615" t="inlineStr">
        <is>
          <t>STOCKHOLMS LÄN</t>
        </is>
      </c>
      <c r="E615" t="inlineStr">
        <is>
          <t>NORRTÄLJE</t>
        </is>
      </c>
      <c r="G615" t="n">
        <v>4.1</v>
      </c>
      <c r="H615" t="n">
        <v>0</v>
      </c>
      <c r="I615" t="n">
        <v>0</v>
      </c>
      <c r="J615" t="n">
        <v>0</v>
      </c>
      <c r="K615" t="n">
        <v>0</v>
      </c>
      <c r="L615" t="n">
        <v>0</v>
      </c>
      <c r="M615" t="n">
        <v>0</v>
      </c>
      <c r="N615" t="n">
        <v>0</v>
      </c>
      <c r="O615" t="n">
        <v>0</v>
      </c>
      <c r="P615" t="n">
        <v>0</v>
      </c>
      <c r="Q615" t="n">
        <v>0</v>
      </c>
      <c r="R615" s="2" t="inlineStr"/>
    </row>
    <row r="616" ht="15" customHeight="1">
      <c r="A616" t="inlineStr">
        <is>
          <t>A 48370-2025</t>
        </is>
      </c>
      <c r="B616" s="1" t="n">
        <v>45933.67854166667</v>
      </c>
      <c r="C616" s="1" t="n">
        <v>46050</v>
      </c>
      <c r="D616" t="inlineStr">
        <is>
          <t>STOCKHOLMS LÄN</t>
        </is>
      </c>
      <c r="E616" t="inlineStr">
        <is>
          <t>NORRTÄLJE</t>
        </is>
      </c>
      <c r="G616" t="n">
        <v>4.5</v>
      </c>
      <c r="H616" t="n">
        <v>0</v>
      </c>
      <c r="I616" t="n">
        <v>0</v>
      </c>
      <c r="J616" t="n">
        <v>0</v>
      </c>
      <c r="K616" t="n">
        <v>0</v>
      </c>
      <c r="L616" t="n">
        <v>0</v>
      </c>
      <c r="M616" t="n">
        <v>0</v>
      </c>
      <c r="N616" t="n">
        <v>0</v>
      </c>
      <c r="O616" t="n">
        <v>0</v>
      </c>
      <c r="P616" t="n">
        <v>0</v>
      </c>
      <c r="Q616" t="n">
        <v>0</v>
      </c>
      <c r="R616" s="2" t="inlineStr"/>
    </row>
    <row r="617" ht="15" customHeight="1">
      <c r="A617" t="inlineStr">
        <is>
          <t>A 48364-2025</t>
        </is>
      </c>
      <c r="B617" s="1" t="n">
        <v>45933.66796296297</v>
      </c>
      <c r="C617" s="1" t="n">
        <v>46050</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34444-2024</t>
        </is>
      </c>
      <c r="B618" s="1" t="n">
        <v>45525</v>
      </c>
      <c r="C618" s="1" t="n">
        <v>46050</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6537-2024</t>
        </is>
      </c>
      <c r="B619" s="1" t="n">
        <v>45341.39853009259</v>
      </c>
      <c r="C619" s="1" t="n">
        <v>46050</v>
      </c>
      <c r="D619" t="inlineStr">
        <is>
          <t>STOCKHOLMS LÄN</t>
        </is>
      </c>
      <c r="E619" t="inlineStr">
        <is>
          <t>NORRTÄLJE</t>
        </is>
      </c>
      <c r="G619" t="n">
        <v>1.2</v>
      </c>
      <c r="H619" t="n">
        <v>0</v>
      </c>
      <c r="I619" t="n">
        <v>0</v>
      </c>
      <c r="J619" t="n">
        <v>0</v>
      </c>
      <c r="K619" t="n">
        <v>0</v>
      </c>
      <c r="L619" t="n">
        <v>0</v>
      </c>
      <c r="M619" t="n">
        <v>0</v>
      </c>
      <c r="N619" t="n">
        <v>0</v>
      </c>
      <c r="O619" t="n">
        <v>0</v>
      </c>
      <c r="P619" t="n">
        <v>0</v>
      </c>
      <c r="Q619" t="n">
        <v>0</v>
      </c>
      <c r="R619" s="2" t="inlineStr"/>
    </row>
    <row r="620" ht="15" customHeight="1">
      <c r="A620" t="inlineStr">
        <is>
          <t>A 40175-2024</t>
        </is>
      </c>
      <c r="B620" s="1" t="n">
        <v>45554.55707175926</v>
      </c>
      <c r="C620" s="1" t="n">
        <v>46050</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20698-2025</t>
        </is>
      </c>
      <c r="B621" s="1" t="n">
        <v>45776.47122685185</v>
      </c>
      <c r="C621" s="1" t="n">
        <v>46050</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48174-2025</t>
        </is>
      </c>
      <c r="B622" s="1" t="n">
        <v>45933.44230324074</v>
      </c>
      <c r="C622" s="1" t="n">
        <v>46050</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54558-2024</t>
        </is>
      </c>
      <c r="B623" s="1" t="n">
        <v>45617.62358796296</v>
      </c>
      <c r="C623" s="1" t="n">
        <v>46050</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48127-2025</t>
        </is>
      </c>
      <c r="B624" s="1" t="n">
        <v>45933.36621527778</v>
      </c>
      <c r="C624" s="1" t="n">
        <v>46050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48179-2025</t>
        </is>
      </c>
      <c r="B625" s="1" t="n">
        <v>45933.44907407407</v>
      </c>
      <c r="C625" s="1" t="n">
        <v>46050</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23056-2023</t>
        </is>
      </c>
      <c r="B626" s="1" t="n">
        <v>45075</v>
      </c>
      <c r="C626" s="1" t="n">
        <v>46050</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48718-2025</t>
        </is>
      </c>
      <c r="B627" s="1" t="n">
        <v>45936</v>
      </c>
      <c r="C627" s="1" t="n">
        <v>46050</v>
      </c>
      <c r="D627" t="inlineStr">
        <is>
          <t>STOCKHOLMS LÄN</t>
        </is>
      </c>
      <c r="E627" t="inlineStr">
        <is>
          <t>NORRTÄLJE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47431-2023</t>
        </is>
      </c>
      <c r="B628" s="1" t="n">
        <v>45202</v>
      </c>
      <c r="C628" s="1" t="n">
        <v>46050</v>
      </c>
      <c r="D628" t="inlineStr">
        <is>
          <t>STOCKHOLMS LÄN</t>
        </is>
      </c>
      <c r="E628" t="inlineStr">
        <is>
          <t>NORRTÄLJE</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48593-2025</t>
        </is>
      </c>
      <c r="B629" s="1" t="n">
        <v>45936.4627662037</v>
      </c>
      <c r="C629" s="1" t="n">
        <v>46050</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46050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22232-2024</t>
        </is>
      </c>
      <c r="B631" s="1" t="n">
        <v>45446.4287962963</v>
      </c>
      <c r="C631" s="1" t="n">
        <v>46050</v>
      </c>
      <c r="D631" t="inlineStr">
        <is>
          <t>STOCKHOLMS LÄN</t>
        </is>
      </c>
      <c r="E631" t="inlineStr">
        <is>
          <t>NORRTÄLJE</t>
        </is>
      </c>
      <c r="G631" t="n">
        <v>12.8</v>
      </c>
      <c r="H631" t="n">
        <v>0</v>
      </c>
      <c r="I631" t="n">
        <v>0</v>
      </c>
      <c r="J631" t="n">
        <v>0</v>
      </c>
      <c r="K631" t="n">
        <v>0</v>
      </c>
      <c r="L631" t="n">
        <v>0</v>
      </c>
      <c r="M631" t="n">
        <v>0</v>
      </c>
      <c r="N631" t="n">
        <v>0</v>
      </c>
      <c r="O631" t="n">
        <v>0</v>
      </c>
      <c r="P631" t="n">
        <v>0</v>
      </c>
      <c r="Q631" t="n">
        <v>0</v>
      </c>
      <c r="R631" s="2" t="inlineStr"/>
    </row>
    <row r="632" ht="15" customHeight="1">
      <c r="A632" t="inlineStr">
        <is>
          <t>A 59468-2023</t>
        </is>
      </c>
      <c r="B632" s="1" t="n">
        <v>45254.41509259259</v>
      </c>
      <c r="C632" s="1" t="n">
        <v>46050</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36396-2025</t>
        </is>
      </c>
      <c r="B633" s="1" t="n">
        <v>45868.62267361111</v>
      </c>
      <c r="C633" s="1" t="n">
        <v>46050</v>
      </c>
      <c r="D633" t="inlineStr">
        <is>
          <t>STOCKHOLMS LÄN</t>
        </is>
      </c>
      <c r="E633" t="inlineStr">
        <is>
          <t>NORRTÄLJE</t>
        </is>
      </c>
      <c r="G633" t="n">
        <v>4.1</v>
      </c>
      <c r="H633" t="n">
        <v>0</v>
      </c>
      <c r="I633" t="n">
        <v>0</v>
      </c>
      <c r="J633" t="n">
        <v>0</v>
      </c>
      <c r="K633" t="n">
        <v>0</v>
      </c>
      <c r="L633" t="n">
        <v>0</v>
      </c>
      <c r="M633" t="n">
        <v>0</v>
      </c>
      <c r="N633" t="n">
        <v>0</v>
      </c>
      <c r="O633" t="n">
        <v>0</v>
      </c>
      <c r="P633" t="n">
        <v>0</v>
      </c>
      <c r="Q633" t="n">
        <v>0</v>
      </c>
      <c r="R633" s="2" t="inlineStr"/>
    </row>
    <row r="634" ht="15" customHeight="1">
      <c r="A634" t="inlineStr">
        <is>
          <t>A 48443-2025</t>
        </is>
      </c>
      <c r="B634" s="1" t="n">
        <v>45935.55326388889</v>
      </c>
      <c r="C634" s="1" t="n">
        <v>46050</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12532-2025</t>
        </is>
      </c>
      <c r="B635" s="1" t="n">
        <v>45730.69143518519</v>
      </c>
      <c r="C635" s="1" t="n">
        <v>46050</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5732-2023</t>
        </is>
      </c>
      <c r="B636" s="1" t="n">
        <v>44962</v>
      </c>
      <c r="C636" s="1" t="n">
        <v>46050</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10653-2022</t>
        </is>
      </c>
      <c r="B637" s="1" t="n">
        <v>44624.59434027778</v>
      </c>
      <c r="C637" s="1" t="n">
        <v>46050</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21729-2024</t>
        </is>
      </c>
      <c r="B638" s="1" t="n">
        <v>45442</v>
      </c>
      <c r="C638" s="1" t="n">
        <v>46050</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11854-2025</t>
        </is>
      </c>
      <c r="B639" s="1" t="n">
        <v>45728.38924768518</v>
      </c>
      <c r="C639" s="1" t="n">
        <v>46050</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14762-2024</t>
        </is>
      </c>
      <c r="B640" s="1" t="n">
        <v>45397</v>
      </c>
      <c r="C640" s="1" t="n">
        <v>46050</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48780-2025</t>
        </is>
      </c>
      <c r="B641" s="1" t="n">
        <v>45937.30377314815</v>
      </c>
      <c r="C641" s="1" t="n">
        <v>46050</v>
      </c>
      <c r="D641" t="inlineStr">
        <is>
          <t>STOCKHOLMS LÄN</t>
        </is>
      </c>
      <c r="E641" t="inlineStr">
        <is>
          <t>NORRTÄLJE</t>
        </is>
      </c>
      <c r="G641" t="n">
        <v>7.7</v>
      </c>
      <c r="H641" t="n">
        <v>0</v>
      </c>
      <c r="I641" t="n">
        <v>0</v>
      </c>
      <c r="J641" t="n">
        <v>0</v>
      </c>
      <c r="K641" t="n">
        <v>0</v>
      </c>
      <c r="L641" t="n">
        <v>0</v>
      </c>
      <c r="M641" t="n">
        <v>0</v>
      </c>
      <c r="N641" t="n">
        <v>0</v>
      </c>
      <c r="O641" t="n">
        <v>0</v>
      </c>
      <c r="P641" t="n">
        <v>0</v>
      </c>
      <c r="Q641" t="n">
        <v>0</v>
      </c>
      <c r="R641" s="2" t="inlineStr"/>
    </row>
    <row r="642" ht="15" customHeight="1">
      <c r="A642" t="inlineStr">
        <is>
          <t>A 59712-2024</t>
        </is>
      </c>
      <c r="B642" s="1" t="n">
        <v>45639.45166666667</v>
      </c>
      <c r="C642" s="1" t="n">
        <v>46050</v>
      </c>
      <c r="D642" t="inlineStr">
        <is>
          <t>STOCKHOLMS LÄN</t>
        </is>
      </c>
      <c r="E642" t="inlineStr">
        <is>
          <t>NORRTÄLJE</t>
        </is>
      </c>
      <c r="G642" t="n">
        <v>4.4</v>
      </c>
      <c r="H642" t="n">
        <v>0</v>
      </c>
      <c r="I642" t="n">
        <v>0</v>
      </c>
      <c r="J642" t="n">
        <v>0</v>
      </c>
      <c r="K642" t="n">
        <v>0</v>
      </c>
      <c r="L642" t="n">
        <v>0</v>
      </c>
      <c r="M642" t="n">
        <v>0</v>
      </c>
      <c r="N642" t="n">
        <v>0</v>
      </c>
      <c r="O642" t="n">
        <v>0</v>
      </c>
      <c r="P642" t="n">
        <v>0</v>
      </c>
      <c r="Q642" t="n">
        <v>0</v>
      </c>
      <c r="R642" s="2" t="inlineStr"/>
    </row>
    <row r="643" ht="15" customHeight="1">
      <c r="A643" t="inlineStr">
        <is>
          <t>A 35127-2023</t>
        </is>
      </c>
      <c r="B643" s="1" t="n">
        <v>45145.51</v>
      </c>
      <c r="C643" s="1" t="n">
        <v>46050</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49129-2025</t>
        </is>
      </c>
      <c r="B644" s="1" t="n">
        <v>45937.89517361111</v>
      </c>
      <c r="C644" s="1" t="n">
        <v>46050</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37261-2025</t>
        </is>
      </c>
      <c r="B645" s="1" t="n">
        <v>45876.45253472222</v>
      </c>
      <c r="C645" s="1" t="n">
        <v>46050</v>
      </c>
      <c r="D645" t="inlineStr">
        <is>
          <t>STOCKHOLMS LÄN</t>
        </is>
      </c>
      <c r="E645" t="inlineStr">
        <is>
          <t>NORRTÄLJE</t>
        </is>
      </c>
      <c r="F645" t="inlineStr">
        <is>
          <t>Kommuner</t>
        </is>
      </c>
      <c r="G645" t="n">
        <v>2.2</v>
      </c>
      <c r="H645" t="n">
        <v>0</v>
      </c>
      <c r="I645" t="n">
        <v>0</v>
      </c>
      <c r="J645" t="n">
        <v>0</v>
      </c>
      <c r="K645" t="n">
        <v>0</v>
      </c>
      <c r="L645" t="n">
        <v>0</v>
      </c>
      <c r="M645" t="n">
        <v>0</v>
      </c>
      <c r="N645" t="n">
        <v>0</v>
      </c>
      <c r="O645" t="n">
        <v>0</v>
      </c>
      <c r="P645" t="n">
        <v>0</v>
      </c>
      <c r="Q645" t="n">
        <v>0</v>
      </c>
      <c r="R645" s="2" t="inlineStr"/>
    </row>
    <row r="646" ht="15" customHeight="1">
      <c r="A646" t="inlineStr">
        <is>
          <t>A 45255-2022</t>
        </is>
      </c>
      <c r="B646" s="1" t="n">
        <v>44840</v>
      </c>
      <c r="C646" s="1" t="n">
        <v>46050</v>
      </c>
      <c r="D646" t="inlineStr">
        <is>
          <t>STOCKHOLMS LÄN</t>
        </is>
      </c>
      <c r="E646" t="inlineStr">
        <is>
          <t>NORRTÄLJE</t>
        </is>
      </c>
      <c r="G646" t="n">
        <v>4.1</v>
      </c>
      <c r="H646" t="n">
        <v>0</v>
      </c>
      <c r="I646" t="n">
        <v>0</v>
      </c>
      <c r="J646" t="n">
        <v>0</v>
      </c>
      <c r="K646" t="n">
        <v>0</v>
      </c>
      <c r="L646" t="n">
        <v>0</v>
      </c>
      <c r="M646" t="n">
        <v>0</v>
      </c>
      <c r="N646" t="n">
        <v>0</v>
      </c>
      <c r="O646" t="n">
        <v>0</v>
      </c>
      <c r="P646" t="n">
        <v>0</v>
      </c>
      <c r="Q646" t="n">
        <v>0</v>
      </c>
      <c r="R646" s="2" t="inlineStr"/>
    </row>
    <row r="647" ht="15" customHeight="1">
      <c r="A647" t="inlineStr">
        <is>
          <t>A 59893-2022</t>
        </is>
      </c>
      <c r="B647" s="1" t="n">
        <v>44908.77368055555</v>
      </c>
      <c r="C647" s="1" t="n">
        <v>46050</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39905-2023</t>
        </is>
      </c>
      <c r="B648" s="1" t="n">
        <v>45168.44489583333</v>
      </c>
      <c r="C648" s="1" t="n">
        <v>46050</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5645-2023</t>
        </is>
      </c>
      <c r="B649" s="1" t="n">
        <v>44960.60469907407</v>
      </c>
      <c r="C649" s="1" t="n">
        <v>46050</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68361-2021</t>
        </is>
      </c>
      <c r="B650" s="1" t="n">
        <v>44528.91494212963</v>
      </c>
      <c r="C650" s="1" t="n">
        <v>46050</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37628-2025</t>
        </is>
      </c>
      <c r="B651" s="1" t="n">
        <v>45880.46189814815</v>
      </c>
      <c r="C651" s="1" t="n">
        <v>46050</v>
      </c>
      <c r="D651" t="inlineStr">
        <is>
          <t>STOCKHOLMS LÄN</t>
        </is>
      </c>
      <c r="E651" t="inlineStr">
        <is>
          <t>NORRTÄLJE</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29369-2024</t>
        </is>
      </c>
      <c r="B652" s="1" t="n">
        <v>45483.57244212963</v>
      </c>
      <c r="C652" s="1" t="n">
        <v>46050</v>
      </c>
      <c r="D652" t="inlineStr">
        <is>
          <t>STOCKHOLMS LÄN</t>
        </is>
      </c>
      <c r="E652" t="inlineStr">
        <is>
          <t>NORRTÄLJE</t>
        </is>
      </c>
      <c r="G652" t="n">
        <v>15.9</v>
      </c>
      <c r="H652" t="n">
        <v>0</v>
      </c>
      <c r="I652" t="n">
        <v>0</v>
      </c>
      <c r="J652" t="n">
        <v>0</v>
      </c>
      <c r="K652" t="n">
        <v>0</v>
      </c>
      <c r="L652" t="n">
        <v>0</v>
      </c>
      <c r="M652" t="n">
        <v>0</v>
      </c>
      <c r="N652" t="n">
        <v>0</v>
      </c>
      <c r="O652" t="n">
        <v>0</v>
      </c>
      <c r="P652" t="n">
        <v>0</v>
      </c>
      <c r="Q652" t="n">
        <v>0</v>
      </c>
      <c r="R652" s="2" t="inlineStr"/>
    </row>
    <row r="653" ht="15" customHeight="1">
      <c r="A653" t="inlineStr">
        <is>
          <t>A 37632-2025</t>
        </is>
      </c>
      <c r="B653" s="1" t="n">
        <v>45880.46524305556</v>
      </c>
      <c r="C653" s="1" t="n">
        <v>46050</v>
      </c>
      <c r="D653" t="inlineStr">
        <is>
          <t>STOCKHOLMS LÄN</t>
        </is>
      </c>
      <c r="E653" t="inlineStr">
        <is>
          <t>NORRTÄLJE</t>
        </is>
      </c>
      <c r="F653" t="inlineStr">
        <is>
          <t>Sveaskog</t>
        </is>
      </c>
      <c r="G653" t="n">
        <v>6.4</v>
      </c>
      <c r="H653" t="n">
        <v>0</v>
      </c>
      <c r="I653" t="n">
        <v>0</v>
      </c>
      <c r="J653" t="n">
        <v>0</v>
      </c>
      <c r="K653" t="n">
        <v>0</v>
      </c>
      <c r="L653" t="n">
        <v>0</v>
      </c>
      <c r="M653" t="n">
        <v>0</v>
      </c>
      <c r="N653" t="n">
        <v>0</v>
      </c>
      <c r="O653" t="n">
        <v>0</v>
      </c>
      <c r="P653" t="n">
        <v>0</v>
      </c>
      <c r="Q653" t="n">
        <v>0</v>
      </c>
      <c r="R653" s="2" t="inlineStr"/>
    </row>
    <row r="654" ht="15" customHeight="1">
      <c r="A654" t="inlineStr">
        <is>
          <t>A 29841-2024</t>
        </is>
      </c>
      <c r="B654" s="1" t="n">
        <v>45485.60261574074</v>
      </c>
      <c r="C654" s="1" t="n">
        <v>46050</v>
      </c>
      <c r="D654" t="inlineStr">
        <is>
          <t>STOCKHOLMS LÄN</t>
        </is>
      </c>
      <c r="E654" t="inlineStr">
        <is>
          <t>NORRTÄLJE</t>
        </is>
      </c>
      <c r="G654" t="n">
        <v>15.9</v>
      </c>
      <c r="H654" t="n">
        <v>0</v>
      </c>
      <c r="I654" t="n">
        <v>0</v>
      </c>
      <c r="J654" t="n">
        <v>0</v>
      </c>
      <c r="K654" t="n">
        <v>0</v>
      </c>
      <c r="L654" t="n">
        <v>0</v>
      </c>
      <c r="M654" t="n">
        <v>0</v>
      </c>
      <c r="N654" t="n">
        <v>0</v>
      </c>
      <c r="O654" t="n">
        <v>0</v>
      </c>
      <c r="P654" t="n">
        <v>0</v>
      </c>
      <c r="Q654" t="n">
        <v>0</v>
      </c>
      <c r="R654" s="2" t="inlineStr"/>
    </row>
    <row r="655" ht="15" customHeight="1">
      <c r="A655" t="inlineStr">
        <is>
          <t>A 60529-2023</t>
        </is>
      </c>
      <c r="B655" s="1" t="n">
        <v>45259</v>
      </c>
      <c r="C655" s="1" t="n">
        <v>46050</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50097-2025</t>
        </is>
      </c>
      <c r="B656" s="1" t="n">
        <v>45943.50207175926</v>
      </c>
      <c r="C656" s="1" t="n">
        <v>46050</v>
      </c>
      <c r="D656" t="inlineStr">
        <is>
          <t>STOCKHOLMS LÄN</t>
        </is>
      </c>
      <c r="E656" t="inlineStr">
        <is>
          <t>NORRTÄLJE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20692-2025</t>
        </is>
      </c>
      <c r="B657" s="1" t="n">
        <v>45776.46369212963</v>
      </c>
      <c r="C657" s="1" t="n">
        <v>46050</v>
      </c>
      <c r="D657" t="inlineStr">
        <is>
          <t>STOCKHOLMS LÄN</t>
        </is>
      </c>
      <c r="E657" t="inlineStr">
        <is>
          <t>NORRTÄLJE</t>
        </is>
      </c>
      <c r="G657" t="n">
        <v>2.1</v>
      </c>
      <c r="H657" t="n">
        <v>0</v>
      </c>
      <c r="I657" t="n">
        <v>0</v>
      </c>
      <c r="J657" t="n">
        <v>0</v>
      </c>
      <c r="K657" t="n">
        <v>0</v>
      </c>
      <c r="L657" t="n">
        <v>0</v>
      </c>
      <c r="M657" t="n">
        <v>0</v>
      </c>
      <c r="N657" t="n">
        <v>0</v>
      </c>
      <c r="O657" t="n">
        <v>0</v>
      </c>
      <c r="P657" t="n">
        <v>0</v>
      </c>
      <c r="Q657" t="n">
        <v>0</v>
      </c>
      <c r="R657" s="2" t="inlineStr"/>
    </row>
    <row r="658" ht="15" customHeight="1">
      <c r="A658" t="inlineStr">
        <is>
          <t>A 49836-2025</t>
        </is>
      </c>
      <c r="B658" s="1" t="n">
        <v>45940.46862268518</v>
      </c>
      <c r="C658" s="1" t="n">
        <v>46050</v>
      </c>
      <c r="D658" t="inlineStr">
        <is>
          <t>STOCKHOLMS LÄN</t>
        </is>
      </c>
      <c r="E658" t="inlineStr">
        <is>
          <t>NORRTÄLJE</t>
        </is>
      </c>
      <c r="G658" t="n">
        <v>3.5</v>
      </c>
      <c r="H658" t="n">
        <v>0</v>
      </c>
      <c r="I658" t="n">
        <v>0</v>
      </c>
      <c r="J658" t="n">
        <v>0</v>
      </c>
      <c r="K658" t="n">
        <v>0</v>
      </c>
      <c r="L658" t="n">
        <v>0</v>
      </c>
      <c r="M658" t="n">
        <v>0</v>
      </c>
      <c r="N658" t="n">
        <v>0</v>
      </c>
      <c r="O658" t="n">
        <v>0</v>
      </c>
      <c r="P658" t="n">
        <v>0</v>
      </c>
      <c r="Q658" t="n">
        <v>0</v>
      </c>
      <c r="R658" s="2" t="inlineStr"/>
    </row>
    <row r="659" ht="15" customHeight="1">
      <c r="A659" t="inlineStr">
        <is>
          <t>A 37630-2025</t>
        </is>
      </c>
      <c r="B659" s="1" t="n">
        <v>45880.46372685185</v>
      </c>
      <c r="C659" s="1" t="n">
        <v>46050</v>
      </c>
      <c r="D659" t="inlineStr">
        <is>
          <t>STOCKHOLMS LÄN</t>
        </is>
      </c>
      <c r="E659" t="inlineStr">
        <is>
          <t>NORRTÄLJE</t>
        </is>
      </c>
      <c r="F659" t="inlineStr">
        <is>
          <t>Sveaskog</t>
        </is>
      </c>
      <c r="G659" t="n">
        <v>12.9</v>
      </c>
      <c r="H659" t="n">
        <v>0</v>
      </c>
      <c r="I659" t="n">
        <v>0</v>
      </c>
      <c r="J659" t="n">
        <v>0</v>
      </c>
      <c r="K659" t="n">
        <v>0</v>
      </c>
      <c r="L659" t="n">
        <v>0</v>
      </c>
      <c r="M659" t="n">
        <v>0</v>
      </c>
      <c r="N659" t="n">
        <v>0</v>
      </c>
      <c r="O659" t="n">
        <v>0</v>
      </c>
      <c r="P659" t="n">
        <v>0</v>
      </c>
      <c r="Q659" t="n">
        <v>0</v>
      </c>
      <c r="R659" s="2" t="inlineStr"/>
    </row>
    <row r="660" ht="15" customHeight="1">
      <c r="A660" t="inlineStr">
        <is>
          <t>A 46071-2024</t>
        </is>
      </c>
      <c r="B660" s="1" t="n">
        <v>45581</v>
      </c>
      <c r="C660" s="1" t="n">
        <v>46050</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19706-2023</t>
        </is>
      </c>
      <c r="B661" s="1" t="n">
        <v>45051.455</v>
      </c>
      <c r="C661" s="1" t="n">
        <v>46050</v>
      </c>
      <c r="D661" t="inlineStr">
        <is>
          <t>STOCKHOLMS LÄN</t>
        </is>
      </c>
      <c r="E661" t="inlineStr">
        <is>
          <t>NORRTÄLJE</t>
        </is>
      </c>
      <c r="G661" t="n">
        <v>0.2</v>
      </c>
      <c r="H661" t="n">
        <v>0</v>
      </c>
      <c r="I661" t="n">
        <v>0</v>
      </c>
      <c r="J661" t="n">
        <v>0</v>
      </c>
      <c r="K661" t="n">
        <v>0</v>
      </c>
      <c r="L661" t="n">
        <v>0</v>
      </c>
      <c r="M661" t="n">
        <v>0</v>
      </c>
      <c r="N661" t="n">
        <v>0</v>
      </c>
      <c r="O661" t="n">
        <v>0</v>
      </c>
      <c r="P661" t="n">
        <v>0</v>
      </c>
      <c r="Q661" t="n">
        <v>0</v>
      </c>
      <c r="R661" s="2" t="inlineStr"/>
    </row>
    <row r="662" ht="15" customHeight="1">
      <c r="A662" t="inlineStr">
        <is>
          <t>A 50327-2025</t>
        </is>
      </c>
      <c r="B662" s="1" t="n">
        <v>45944.46387731482</v>
      </c>
      <c r="C662" s="1" t="n">
        <v>46050</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18539-2021</t>
        </is>
      </c>
      <c r="B663" s="1" t="n">
        <v>44306</v>
      </c>
      <c r="C663" s="1" t="n">
        <v>46050</v>
      </c>
      <c r="D663" t="inlineStr">
        <is>
          <t>STOCKHOLMS LÄN</t>
        </is>
      </c>
      <c r="E663" t="inlineStr">
        <is>
          <t>NORRTÄLJE</t>
        </is>
      </c>
      <c r="F663" t="inlineStr">
        <is>
          <t>Holmen skog AB</t>
        </is>
      </c>
      <c r="G663" t="n">
        <v>5.5</v>
      </c>
      <c r="H663" t="n">
        <v>0</v>
      </c>
      <c r="I663" t="n">
        <v>0</v>
      </c>
      <c r="J663" t="n">
        <v>0</v>
      </c>
      <c r="K663" t="n">
        <v>0</v>
      </c>
      <c r="L663" t="n">
        <v>0</v>
      </c>
      <c r="M663" t="n">
        <v>0</v>
      </c>
      <c r="N663" t="n">
        <v>0</v>
      </c>
      <c r="O663" t="n">
        <v>0</v>
      </c>
      <c r="P663" t="n">
        <v>0</v>
      </c>
      <c r="Q663" t="n">
        <v>0</v>
      </c>
      <c r="R663" s="2" t="inlineStr"/>
    </row>
    <row r="664" ht="15" customHeight="1">
      <c r="A664" t="inlineStr">
        <is>
          <t>A 13137-2024</t>
        </is>
      </c>
      <c r="B664" s="1" t="n">
        <v>45386.34175925926</v>
      </c>
      <c r="C664" s="1" t="n">
        <v>46050</v>
      </c>
      <c r="D664" t="inlineStr">
        <is>
          <t>STOCKHOLMS LÄN</t>
        </is>
      </c>
      <c r="E664" t="inlineStr">
        <is>
          <t>NORRTÄLJE</t>
        </is>
      </c>
      <c r="G664" t="n">
        <v>5</v>
      </c>
      <c r="H664" t="n">
        <v>0</v>
      </c>
      <c r="I664" t="n">
        <v>0</v>
      </c>
      <c r="J664" t="n">
        <v>0</v>
      </c>
      <c r="K664" t="n">
        <v>0</v>
      </c>
      <c r="L664" t="n">
        <v>0</v>
      </c>
      <c r="M664" t="n">
        <v>0</v>
      </c>
      <c r="N664" t="n">
        <v>0</v>
      </c>
      <c r="O664" t="n">
        <v>0</v>
      </c>
      <c r="P664" t="n">
        <v>0</v>
      </c>
      <c r="Q664" t="n">
        <v>0</v>
      </c>
      <c r="R664" s="2" t="inlineStr"/>
    </row>
    <row r="665" ht="15" customHeight="1">
      <c r="A665" t="inlineStr">
        <is>
          <t>A 17612-2022</t>
        </is>
      </c>
      <c r="B665" s="1" t="n">
        <v>44680</v>
      </c>
      <c r="C665" s="1" t="n">
        <v>46050</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50563-2025</t>
        </is>
      </c>
      <c r="B666" s="1" t="n">
        <v>45944</v>
      </c>
      <c r="C666" s="1" t="n">
        <v>46050</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16835-2022</t>
        </is>
      </c>
      <c r="B667" s="1" t="n">
        <v>44673</v>
      </c>
      <c r="C667" s="1" t="n">
        <v>46050</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50333-2025</t>
        </is>
      </c>
      <c r="B668" s="1" t="n">
        <v>45944.47178240741</v>
      </c>
      <c r="C668" s="1" t="n">
        <v>46050</v>
      </c>
      <c r="D668" t="inlineStr">
        <is>
          <t>STOCKHOLMS LÄN</t>
        </is>
      </c>
      <c r="E668" t="inlineStr">
        <is>
          <t>NORRTÄLJE</t>
        </is>
      </c>
      <c r="G668" t="n">
        <v>4.2</v>
      </c>
      <c r="H668" t="n">
        <v>0</v>
      </c>
      <c r="I668" t="n">
        <v>0</v>
      </c>
      <c r="J668" t="n">
        <v>0</v>
      </c>
      <c r="K668" t="n">
        <v>0</v>
      </c>
      <c r="L668" t="n">
        <v>0</v>
      </c>
      <c r="M668" t="n">
        <v>0</v>
      </c>
      <c r="N668" t="n">
        <v>0</v>
      </c>
      <c r="O668" t="n">
        <v>0</v>
      </c>
      <c r="P668" t="n">
        <v>0</v>
      </c>
      <c r="Q668" t="n">
        <v>0</v>
      </c>
      <c r="R668" s="2" t="inlineStr"/>
    </row>
    <row r="669" ht="15" customHeight="1">
      <c r="A669" t="inlineStr">
        <is>
          <t>A 62765-2022</t>
        </is>
      </c>
      <c r="B669" s="1" t="n">
        <v>44637</v>
      </c>
      <c r="C669" s="1" t="n">
        <v>46050</v>
      </c>
      <c r="D669" t="inlineStr">
        <is>
          <t>STOCKHOLMS LÄN</t>
        </is>
      </c>
      <c r="E669" t="inlineStr">
        <is>
          <t>NORRTÄLJE</t>
        </is>
      </c>
      <c r="G669" t="n">
        <v>2.7</v>
      </c>
      <c r="H669" t="n">
        <v>0</v>
      </c>
      <c r="I669" t="n">
        <v>0</v>
      </c>
      <c r="J669" t="n">
        <v>0</v>
      </c>
      <c r="K669" t="n">
        <v>0</v>
      </c>
      <c r="L669" t="n">
        <v>0</v>
      </c>
      <c r="M669" t="n">
        <v>0</v>
      </c>
      <c r="N669" t="n">
        <v>0</v>
      </c>
      <c r="O669" t="n">
        <v>0</v>
      </c>
      <c r="P669" t="n">
        <v>0</v>
      </c>
      <c r="Q669" t="n">
        <v>0</v>
      </c>
      <c r="R669" s="2" t="inlineStr"/>
    </row>
    <row r="670" ht="15" customHeight="1">
      <c r="A670" t="inlineStr">
        <is>
          <t>A 24350-2025</t>
        </is>
      </c>
      <c r="B670" s="1" t="n">
        <v>45797.58350694444</v>
      </c>
      <c r="C670" s="1" t="n">
        <v>46050</v>
      </c>
      <c r="D670" t="inlineStr">
        <is>
          <t>STOCKHOLMS LÄN</t>
        </is>
      </c>
      <c r="E670" t="inlineStr">
        <is>
          <t>NORRTÄLJE</t>
        </is>
      </c>
      <c r="G670" t="n">
        <v>4.5</v>
      </c>
      <c r="H670" t="n">
        <v>0</v>
      </c>
      <c r="I670" t="n">
        <v>0</v>
      </c>
      <c r="J670" t="n">
        <v>0</v>
      </c>
      <c r="K670" t="n">
        <v>0</v>
      </c>
      <c r="L670" t="n">
        <v>0</v>
      </c>
      <c r="M670" t="n">
        <v>0</v>
      </c>
      <c r="N670" t="n">
        <v>0</v>
      </c>
      <c r="O670" t="n">
        <v>0</v>
      </c>
      <c r="P670" t="n">
        <v>0</v>
      </c>
      <c r="Q670" t="n">
        <v>0</v>
      </c>
      <c r="R670" s="2" t="inlineStr"/>
    </row>
    <row r="671" ht="15" customHeight="1">
      <c r="A671" t="inlineStr">
        <is>
          <t>A 26703-2025</t>
        </is>
      </c>
      <c r="B671" s="1" t="n">
        <v>45810.45263888889</v>
      </c>
      <c r="C671" s="1" t="n">
        <v>46050</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58404-2023</t>
        </is>
      </c>
      <c r="B672" s="1" t="n">
        <v>45245</v>
      </c>
      <c r="C672" s="1" t="n">
        <v>46050</v>
      </c>
      <c r="D672" t="inlineStr">
        <is>
          <t>STOCKHOLMS LÄN</t>
        </is>
      </c>
      <c r="E672" t="inlineStr">
        <is>
          <t>NORRTÄLJE</t>
        </is>
      </c>
      <c r="G672" t="n">
        <v>53.5</v>
      </c>
      <c r="H672" t="n">
        <v>0</v>
      </c>
      <c r="I672" t="n">
        <v>0</v>
      </c>
      <c r="J672" t="n">
        <v>0</v>
      </c>
      <c r="K672" t="n">
        <v>0</v>
      </c>
      <c r="L672" t="n">
        <v>0</v>
      </c>
      <c r="M672" t="n">
        <v>0</v>
      </c>
      <c r="N672" t="n">
        <v>0</v>
      </c>
      <c r="O672" t="n">
        <v>0</v>
      </c>
      <c r="P672" t="n">
        <v>0</v>
      </c>
      <c r="Q672" t="n">
        <v>0</v>
      </c>
      <c r="R672" s="2" t="inlineStr"/>
    </row>
    <row r="673" ht="15" customHeight="1">
      <c r="A673" t="inlineStr">
        <is>
          <t>A 51122-2025</t>
        </is>
      </c>
      <c r="B673" s="1" t="n">
        <v>45947.53693287037</v>
      </c>
      <c r="C673" s="1" t="n">
        <v>46050</v>
      </c>
      <c r="D673" t="inlineStr">
        <is>
          <t>STOCKHOLMS LÄN</t>
        </is>
      </c>
      <c r="E673" t="inlineStr">
        <is>
          <t>NORRTÄLJE</t>
        </is>
      </c>
      <c r="G673" t="n">
        <v>3.8</v>
      </c>
      <c r="H673" t="n">
        <v>0</v>
      </c>
      <c r="I673" t="n">
        <v>0</v>
      </c>
      <c r="J673" t="n">
        <v>0</v>
      </c>
      <c r="K673" t="n">
        <v>0</v>
      </c>
      <c r="L673" t="n">
        <v>0</v>
      </c>
      <c r="M673" t="n">
        <v>0</v>
      </c>
      <c r="N673" t="n">
        <v>0</v>
      </c>
      <c r="O673" t="n">
        <v>0</v>
      </c>
      <c r="P673" t="n">
        <v>0</v>
      </c>
      <c r="Q673" t="n">
        <v>0</v>
      </c>
      <c r="R673" s="2" t="inlineStr"/>
    </row>
    <row r="674" ht="15" customHeight="1">
      <c r="A674" t="inlineStr">
        <is>
          <t>A 51233-2025</t>
        </is>
      </c>
      <c r="B674" s="1" t="n">
        <v>45947.68232638889</v>
      </c>
      <c r="C674" s="1" t="n">
        <v>46050</v>
      </c>
      <c r="D674" t="inlineStr">
        <is>
          <t>STOCKHOLMS LÄN</t>
        </is>
      </c>
      <c r="E674" t="inlineStr">
        <is>
          <t>NORRTÄLJE</t>
        </is>
      </c>
      <c r="F674" t="inlineStr">
        <is>
          <t>Naturvårdsverket</t>
        </is>
      </c>
      <c r="G674" t="n">
        <v>8.1</v>
      </c>
      <c r="H674" t="n">
        <v>0</v>
      </c>
      <c r="I674" t="n">
        <v>0</v>
      </c>
      <c r="J674" t="n">
        <v>0</v>
      </c>
      <c r="K674" t="n">
        <v>0</v>
      </c>
      <c r="L674" t="n">
        <v>0</v>
      </c>
      <c r="M674" t="n">
        <v>0</v>
      </c>
      <c r="N674" t="n">
        <v>0</v>
      </c>
      <c r="O674" t="n">
        <v>0</v>
      </c>
      <c r="P674" t="n">
        <v>0</v>
      </c>
      <c r="Q674" t="n">
        <v>0</v>
      </c>
      <c r="R674" s="2" t="inlineStr"/>
    </row>
    <row r="675" ht="15" customHeight="1">
      <c r="A675" t="inlineStr">
        <is>
          <t>A 51236-2025</t>
        </is>
      </c>
      <c r="B675" s="1" t="n">
        <v>45947.69078703703</v>
      </c>
      <c r="C675" s="1" t="n">
        <v>46050</v>
      </c>
      <c r="D675" t="inlineStr">
        <is>
          <t>STOCKHOLMS LÄN</t>
        </is>
      </c>
      <c r="E675" t="inlineStr">
        <is>
          <t>NORRTÄLJE</t>
        </is>
      </c>
      <c r="F675" t="inlineStr">
        <is>
          <t>Naturvårdsverket</t>
        </is>
      </c>
      <c r="G675" t="n">
        <v>6.3</v>
      </c>
      <c r="H675" t="n">
        <v>0</v>
      </c>
      <c r="I675" t="n">
        <v>0</v>
      </c>
      <c r="J675" t="n">
        <v>0</v>
      </c>
      <c r="K675" t="n">
        <v>0</v>
      </c>
      <c r="L675" t="n">
        <v>0</v>
      </c>
      <c r="M675" t="n">
        <v>0</v>
      </c>
      <c r="N675" t="n">
        <v>0</v>
      </c>
      <c r="O675" t="n">
        <v>0</v>
      </c>
      <c r="P675" t="n">
        <v>0</v>
      </c>
      <c r="Q675" t="n">
        <v>0</v>
      </c>
      <c r="R675" s="2" t="inlineStr"/>
    </row>
    <row r="676" ht="15" customHeight="1">
      <c r="A676" t="inlineStr">
        <is>
          <t>A 51241-2025</t>
        </is>
      </c>
      <c r="B676" s="1" t="n">
        <v>45947.71726851852</v>
      </c>
      <c r="C676" s="1" t="n">
        <v>46050</v>
      </c>
      <c r="D676" t="inlineStr">
        <is>
          <t>STOCKHOLMS LÄN</t>
        </is>
      </c>
      <c r="E676" t="inlineStr">
        <is>
          <t>NORRTÄLJE</t>
        </is>
      </c>
      <c r="F676" t="inlineStr">
        <is>
          <t>Naturvårdsverket</t>
        </is>
      </c>
      <c r="G676" t="n">
        <v>6.4</v>
      </c>
      <c r="H676" t="n">
        <v>0</v>
      </c>
      <c r="I676" t="n">
        <v>0</v>
      </c>
      <c r="J676" t="n">
        <v>0</v>
      </c>
      <c r="K676" t="n">
        <v>0</v>
      </c>
      <c r="L676" t="n">
        <v>0</v>
      </c>
      <c r="M676" t="n">
        <v>0</v>
      </c>
      <c r="N676" t="n">
        <v>0</v>
      </c>
      <c r="O676" t="n">
        <v>0</v>
      </c>
      <c r="P676" t="n">
        <v>0</v>
      </c>
      <c r="Q676" t="n">
        <v>0</v>
      </c>
      <c r="R676" s="2" t="inlineStr"/>
    </row>
    <row r="677" ht="15" customHeight="1">
      <c r="A677" t="inlineStr">
        <is>
          <t>A 51240-2025</t>
        </is>
      </c>
      <c r="B677" s="1" t="n">
        <v>45947.70420138889</v>
      </c>
      <c r="C677" s="1" t="n">
        <v>46050</v>
      </c>
      <c r="D677" t="inlineStr">
        <is>
          <t>STOCKHOLMS LÄN</t>
        </is>
      </c>
      <c r="E677" t="inlineStr">
        <is>
          <t>NORRTÄLJE</t>
        </is>
      </c>
      <c r="F677" t="inlineStr">
        <is>
          <t>Naturvårdsverket</t>
        </is>
      </c>
      <c r="G677" t="n">
        <v>3</v>
      </c>
      <c r="H677" t="n">
        <v>0</v>
      </c>
      <c r="I677" t="n">
        <v>0</v>
      </c>
      <c r="J677" t="n">
        <v>0</v>
      </c>
      <c r="K677" t="n">
        <v>0</v>
      </c>
      <c r="L677" t="n">
        <v>0</v>
      </c>
      <c r="M677" t="n">
        <v>0</v>
      </c>
      <c r="N677" t="n">
        <v>0</v>
      </c>
      <c r="O677" t="n">
        <v>0</v>
      </c>
      <c r="P677" t="n">
        <v>0</v>
      </c>
      <c r="Q677" t="n">
        <v>0</v>
      </c>
      <c r="R677" s="2" t="inlineStr"/>
    </row>
    <row r="678" ht="15" customHeight="1">
      <c r="A678" t="inlineStr">
        <is>
          <t>A 8586-2023</t>
        </is>
      </c>
      <c r="B678" s="1" t="n">
        <v>44977</v>
      </c>
      <c r="C678" s="1" t="n">
        <v>46050</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38153-2025</t>
        </is>
      </c>
      <c r="B679" s="1" t="n">
        <v>45882.59722222222</v>
      </c>
      <c r="C679" s="1" t="n">
        <v>46050</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51121-2025</t>
        </is>
      </c>
      <c r="B680" s="1" t="n">
        <v>45947.53293981482</v>
      </c>
      <c r="C680" s="1" t="n">
        <v>46050</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59477-2025</t>
        </is>
      </c>
      <c r="B681" s="1" t="n">
        <v>45989.58679398148</v>
      </c>
      <c r="C681" s="1" t="n">
        <v>46050</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16202-2022</t>
        </is>
      </c>
      <c r="B682" s="1" t="n">
        <v>44670</v>
      </c>
      <c r="C682" s="1" t="n">
        <v>46050</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22816-2021</t>
        </is>
      </c>
      <c r="B683" s="1" t="n">
        <v>44325</v>
      </c>
      <c r="C683" s="1" t="n">
        <v>46050</v>
      </c>
      <c r="D683" t="inlineStr">
        <is>
          <t>STOCKHOLMS LÄN</t>
        </is>
      </c>
      <c r="E683" t="inlineStr">
        <is>
          <t>NORRTÄLJE</t>
        </is>
      </c>
      <c r="G683" t="n">
        <v>4.5</v>
      </c>
      <c r="H683" t="n">
        <v>0</v>
      </c>
      <c r="I683" t="n">
        <v>0</v>
      </c>
      <c r="J683" t="n">
        <v>0</v>
      </c>
      <c r="K683" t="n">
        <v>0</v>
      </c>
      <c r="L683" t="n">
        <v>0</v>
      </c>
      <c r="M683" t="n">
        <v>0</v>
      </c>
      <c r="N683" t="n">
        <v>0</v>
      </c>
      <c r="O683" t="n">
        <v>0</v>
      </c>
      <c r="P683" t="n">
        <v>0</v>
      </c>
      <c r="Q683" t="n">
        <v>0</v>
      </c>
      <c r="R683" s="2" t="inlineStr"/>
    </row>
    <row r="684" ht="15" customHeight="1">
      <c r="A684" t="inlineStr">
        <is>
          <t>A 55018-2024</t>
        </is>
      </c>
      <c r="B684" s="1" t="n">
        <v>45621.35712962963</v>
      </c>
      <c r="C684" s="1" t="n">
        <v>46050</v>
      </c>
      <c r="D684" t="inlineStr">
        <is>
          <t>STOCKHOLMS LÄN</t>
        </is>
      </c>
      <c r="E684" t="inlineStr">
        <is>
          <t>NORRTÄLJE</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50136-2023</t>
        </is>
      </c>
      <c r="B685" s="1" t="n">
        <v>45215</v>
      </c>
      <c r="C685" s="1" t="n">
        <v>46050</v>
      </c>
      <c r="D685" t="inlineStr">
        <is>
          <t>STOCKHOLMS LÄN</t>
        </is>
      </c>
      <c r="E685" t="inlineStr">
        <is>
          <t>NORRTÄLJE</t>
        </is>
      </c>
      <c r="G685" t="n">
        <v>5.2</v>
      </c>
      <c r="H685" t="n">
        <v>0</v>
      </c>
      <c r="I685" t="n">
        <v>0</v>
      </c>
      <c r="J685" t="n">
        <v>0</v>
      </c>
      <c r="K685" t="n">
        <v>0</v>
      </c>
      <c r="L685" t="n">
        <v>0</v>
      </c>
      <c r="M685" t="n">
        <v>0</v>
      </c>
      <c r="N685" t="n">
        <v>0</v>
      </c>
      <c r="O685" t="n">
        <v>0</v>
      </c>
      <c r="P685" t="n">
        <v>0</v>
      </c>
      <c r="Q685" t="n">
        <v>0</v>
      </c>
      <c r="R685" s="2" t="inlineStr"/>
    </row>
    <row r="686" ht="15" customHeight="1">
      <c r="A686" t="inlineStr">
        <is>
          <t>A 25656-2023</t>
        </is>
      </c>
      <c r="B686" s="1" t="n">
        <v>45089</v>
      </c>
      <c r="C686" s="1" t="n">
        <v>46050</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6003-2025</t>
        </is>
      </c>
      <c r="B687" s="1" t="n">
        <v>45695.57881944445</v>
      </c>
      <c r="C687" s="1" t="n">
        <v>46050</v>
      </c>
      <c r="D687" t="inlineStr">
        <is>
          <t>STOCKHOLMS LÄN</t>
        </is>
      </c>
      <c r="E687" t="inlineStr">
        <is>
          <t>NORRTÄLJE</t>
        </is>
      </c>
      <c r="F687" t="inlineStr">
        <is>
          <t>Holmen skog AB</t>
        </is>
      </c>
      <c r="G687" t="n">
        <v>2.3</v>
      </c>
      <c r="H687" t="n">
        <v>0</v>
      </c>
      <c r="I687" t="n">
        <v>0</v>
      </c>
      <c r="J687" t="n">
        <v>0</v>
      </c>
      <c r="K687" t="n">
        <v>0</v>
      </c>
      <c r="L687" t="n">
        <v>0</v>
      </c>
      <c r="M687" t="n">
        <v>0</v>
      </c>
      <c r="N687" t="n">
        <v>0</v>
      </c>
      <c r="O687" t="n">
        <v>0</v>
      </c>
      <c r="P687" t="n">
        <v>0</v>
      </c>
      <c r="Q687" t="n">
        <v>0</v>
      </c>
      <c r="R687" s="2" t="inlineStr"/>
    </row>
    <row r="688" ht="15" customHeight="1">
      <c r="A688" t="inlineStr">
        <is>
          <t>A 51532-2025</t>
        </is>
      </c>
      <c r="B688" s="1" t="n">
        <v>45950.68297453703</v>
      </c>
      <c r="C688" s="1" t="n">
        <v>46050</v>
      </c>
      <c r="D688" t="inlineStr">
        <is>
          <t>STOCKHOLMS LÄN</t>
        </is>
      </c>
      <c r="E688" t="inlineStr">
        <is>
          <t>NORRTÄLJE</t>
        </is>
      </c>
      <c r="F688" t="inlineStr">
        <is>
          <t>Naturvårdsverket</t>
        </is>
      </c>
      <c r="G688" t="n">
        <v>17.3</v>
      </c>
      <c r="H688" t="n">
        <v>0</v>
      </c>
      <c r="I688" t="n">
        <v>0</v>
      </c>
      <c r="J688" t="n">
        <v>0</v>
      </c>
      <c r="K688" t="n">
        <v>0</v>
      </c>
      <c r="L688" t="n">
        <v>0</v>
      </c>
      <c r="M688" t="n">
        <v>0</v>
      </c>
      <c r="N688" t="n">
        <v>0</v>
      </c>
      <c r="O688" t="n">
        <v>0</v>
      </c>
      <c r="P688" t="n">
        <v>0</v>
      </c>
      <c r="Q688" t="n">
        <v>0</v>
      </c>
      <c r="R688" s="2" t="inlineStr"/>
    </row>
    <row r="689" ht="15" customHeight="1">
      <c r="A689" t="inlineStr">
        <is>
          <t>A 51789-2025</t>
        </is>
      </c>
      <c r="B689" s="1" t="n">
        <v>45951.68046296296</v>
      </c>
      <c r="C689" s="1" t="n">
        <v>46050</v>
      </c>
      <c r="D689" t="inlineStr">
        <is>
          <t>STOCKHOLMS LÄN</t>
        </is>
      </c>
      <c r="E689" t="inlineStr">
        <is>
          <t>NORRTÄLJE</t>
        </is>
      </c>
      <c r="F689" t="inlineStr">
        <is>
          <t>Naturvårdsverket</t>
        </is>
      </c>
      <c r="G689" t="n">
        <v>8.9</v>
      </c>
      <c r="H689" t="n">
        <v>0</v>
      </c>
      <c r="I689" t="n">
        <v>0</v>
      </c>
      <c r="J689" t="n">
        <v>0</v>
      </c>
      <c r="K689" t="n">
        <v>0</v>
      </c>
      <c r="L689" t="n">
        <v>0</v>
      </c>
      <c r="M689" t="n">
        <v>0</v>
      </c>
      <c r="N689" t="n">
        <v>0</v>
      </c>
      <c r="O689" t="n">
        <v>0</v>
      </c>
      <c r="P689" t="n">
        <v>0</v>
      </c>
      <c r="Q689" t="n">
        <v>0</v>
      </c>
      <c r="R689" s="2" t="inlineStr"/>
    </row>
    <row r="690" ht="15" customHeight="1">
      <c r="A690" t="inlineStr">
        <is>
          <t>A 11902-2024</t>
        </is>
      </c>
      <c r="B690" s="1" t="n">
        <v>45376.55704861111</v>
      </c>
      <c r="C690" s="1" t="n">
        <v>46050</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38049-2023</t>
        </is>
      </c>
      <c r="B691" s="1" t="n">
        <v>45159</v>
      </c>
      <c r="C691" s="1" t="n">
        <v>46050</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59535-2024</t>
        </is>
      </c>
      <c r="B692" s="1" t="n">
        <v>45638.59979166667</v>
      </c>
      <c r="C692" s="1" t="n">
        <v>46050</v>
      </c>
      <c r="D692" t="inlineStr">
        <is>
          <t>STOCKHOLMS LÄN</t>
        </is>
      </c>
      <c r="E692" t="inlineStr">
        <is>
          <t>NORRTÄLJE</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46050</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4183-2025</t>
        </is>
      </c>
      <c r="B694" s="1" t="n">
        <v>45685.44592592592</v>
      </c>
      <c r="C694" s="1" t="n">
        <v>46050</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51960-2025</t>
        </is>
      </c>
      <c r="B695" s="1" t="n">
        <v>45952.54755787037</v>
      </c>
      <c r="C695" s="1" t="n">
        <v>46050</v>
      </c>
      <c r="D695" t="inlineStr">
        <is>
          <t>STOCKHOLMS LÄN</t>
        </is>
      </c>
      <c r="E695" t="inlineStr">
        <is>
          <t>NORRTÄLJE</t>
        </is>
      </c>
      <c r="G695" t="n">
        <v>2</v>
      </c>
      <c r="H695" t="n">
        <v>0</v>
      </c>
      <c r="I695" t="n">
        <v>0</v>
      </c>
      <c r="J695" t="n">
        <v>0</v>
      </c>
      <c r="K695" t="n">
        <v>0</v>
      </c>
      <c r="L695" t="n">
        <v>0</v>
      </c>
      <c r="M695" t="n">
        <v>0</v>
      </c>
      <c r="N695" t="n">
        <v>0</v>
      </c>
      <c r="O695" t="n">
        <v>0</v>
      </c>
      <c r="P695" t="n">
        <v>0</v>
      </c>
      <c r="Q695" t="n">
        <v>0</v>
      </c>
      <c r="R695" s="2" t="inlineStr"/>
    </row>
    <row r="696" ht="15" customHeight="1">
      <c r="A696" t="inlineStr">
        <is>
          <t>A 9480-2025</t>
        </is>
      </c>
      <c r="B696" s="1" t="n">
        <v>45715</v>
      </c>
      <c r="C696" s="1" t="n">
        <v>46050</v>
      </c>
      <c r="D696" t="inlineStr">
        <is>
          <t>STOCKHOLMS LÄN</t>
        </is>
      </c>
      <c r="E696" t="inlineStr">
        <is>
          <t>NORRTÄLJE</t>
        </is>
      </c>
      <c r="F696" t="inlineStr">
        <is>
          <t>Övriga Aktiebolag</t>
        </is>
      </c>
      <c r="G696" t="n">
        <v>3.9</v>
      </c>
      <c r="H696" t="n">
        <v>0</v>
      </c>
      <c r="I696" t="n">
        <v>0</v>
      </c>
      <c r="J696" t="n">
        <v>0</v>
      </c>
      <c r="K696" t="n">
        <v>0</v>
      </c>
      <c r="L696" t="n">
        <v>0</v>
      </c>
      <c r="M696" t="n">
        <v>0</v>
      </c>
      <c r="N696" t="n">
        <v>0</v>
      </c>
      <c r="O696" t="n">
        <v>0</v>
      </c>
      <c r="P696" t="n">
        <v>0</v>
      </c>
      <c r="Q696" t="n">
        <v>0</v>
      </c>
      <c r="R696" s="2" t="inlineStr"/>
    </row>
    <row r="697" ht="15" customHeight="1">
      <c r="A697" t="inlineStr">
        <is>
          <t>A 65499-2021</t>
        </is>
      </c>
      <c r="B697" s="1" t="n">
        <v>44516</v>
      </c>
      <c r="C697" s="1" t="n">
        <v>46050</v>
      </c>
      <c r="D697" t="inlineStr">
        <is>
          <t>STOCKHOLMS LÄN</t>
        </is>
      </c>
      <c r="E697" t="inlineStr">
        <is>
          <t>NORRTÄLJE</t>
        </is>
      </c>
      <c r="F697" t="inlineStr">
        <is>
          <t>Kommuner</t>
        </is>
      </c>
      <c r="G697" t="n">
        <v>5.2</v>
      </c>
      <c r="H697" t="n">
        <v>0</v>
      </c>
      <c r="I697" t="n">
        <v>0</v>
      </c>
      <c r="J697" t="n">
        <v>0</v>
      </c>
      <c r="K697" t="n">
        <v>0</v>
      </c>
      <c r="L697" t="n">
        <v>0</v>
      </c>
      <c r="M697" t="n">
        <v>0</v>
      </c>
      <c r="N697" t="n">
        <v>0</v>
      </c>
      <c r="O697" t="n">
        <v>0</v>
      </c>
      <c r="P697" t="n">
        <v>0</v>
      </c>
      <c r="Q697" t="n">
        <v>0</v>
      </c>
      <c r="R697" s="2" t="inlineStr"/>
    </row>
    <row r="698" ht="15" customHeight="1">
      <c r="A698" t="inlineStr">
        <is>
          <t>A 51941-2025</t>
        </is>
      </c>
      <c r="B698" s="1" t="n">
        <v>45952.52261574074</v>
      </c>
      <c r="C698" s="1" t="n">
        <v>46050</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52061-2025</t>
        </is>
      </c>
      <c r="B699" s="1" t="n">
        <v>45952.63679398148</v>
      </c>
      <c r="C699" s="1" t="n">
        <v>46050</v>
      </c>
      <c r="D699" t="inlineStr">
        <is>
          <t>STOCKHOLMS LÄN</t>
        </is>
      </c>
      <c r="E699" t="inlineStr">
        <is>
          <t>NORRTÄLJE</t>
        </is>
      </c>
      <c r="G699" t="n">
        <v>9.5</v>
      </c>
      <c r="H699" t="n">
        <v>0</v>
      </c>
      <c r="I699" t="n">
        <v>0</v>
      </c>
      <c r="J699" t="n">
        <v>0</v>
      </c>
      <c r="K699" t="n">
        <v>0</v>
      </c>
      <c r="L699" t="n">
        <v>0</v>
      </c>
      <c r="M699" t="n">
        <v>0</v>
      </c>
      <c r="N699" t="n">
        <v>0</v>
      </c>
      <c r="O699" t="n">
        <v>0</v>
      </c>
      <c r="P699" t="n">
        <v>0</v>
      </c>
      <c r="Q699" t="n">
        <v>0</v>
      </c>
      <c r="R699" s="2" t="inlineStr"/>
    </row>
    <row r="700" ht="15" customHeight="1">
      <c r="A700" t="inlineStr">
        <is>
          <t>A 51945-2025</t>
        </is>
      </c>
      <c r="B700" s="1" t="n">
        <v>45952.52679398148</v>
      </c>
      <c r="C700" s="1" t="n">
        <v>46050</v>
      </c>
      <c r="D700" t="inlineStr">
        <is>
          <t>STOCKHOLMS LÄN</t>
        </is>
      </c>
      <c r="E700" t="inlineStr">
        <is>
          <t>NORRTÄLJE</t>
        </is>
      </c>
      <c r="G700" t="n">
        <v>7</v>
      </c>
      <c r="H700" t="n">
        <v>0</v>
      </c>
      <c r="I700" t="n">
        <v>0</v>
      </c>
      <c r="J700" t="n">
        <v>0</v>
      </c>
      <c r="K700" t="n">
        <v>0</v>
      </c>
      <c r="L700" t="n">
        <v>0</v>
      </c>
      <c r="M700" t="n">
        <v>0</v>
      </c>
      <c r="N700" t="n">
        <v>0</v>
      </c>
      <c r="O700" t="n">
        <v>0</v>
      </c>
      <c r="P700" t="n">
        <v>0</v>
      </c>
      <c r="Q700" t="n">
        <v>0</v>
      </c>
      <c r="R700" s="2" t="inlineStr"/>
    </row>
    <row r="701" ht="15" customHeight="1">
      <c r="A701" t="inlineStr">
        <is>
          <t>A 52251-2025</t>
        </is>
      </c>
      <c r="B701" s="1" t="n">
        <v>45953.49185185185</v>
      </c>
      <c r="C701" s="1" t="n">
        <v>46050</v>
      </c>
      <c r="D701" t="inlineStr">
        <is>
          <t>STOCKHOLMS LÄN</t>
        </is>
      </c>
      <c r="E701" t="inlineStr">
        <is>
          <t>NORRTÄLJE</t>
        </is>
      </c>
      <c r="G701" t="n">
        <v>6.2</v>
      </c>
      <c r="H701" t="n">
        <v>0</v>
      </c>
      <c r="I701" t="n">
        <v>0</v>
      </c>
      <c r="J701" t="n">
        <v>0</v>
      </c>
      <c r="K701" t="n">
        <v>0</v>
      </c>
      <c r="L701" t="n">
        <v>0</v>
      </c>
      <c r="M701" t="n">
        <v>0</v>
      </c>
      <c r="N701" t="n">
        <v>0</v>
      </c>
      <c r="O701" t="n">
        <v>0</v>
      </c>
      <c r="P701" t="n">
        <v>0</v>
      </c>
      <c r="Q701" t="n">
        <v>0</v>
      </c>
      <c r="R701" s="2" t="inlineStr"/>
    </row>
    <row r="702" ht="15" customHeight="1">
      <c r="A702" t="inlineStr">
        <is>
          <t>A 52254-2025</t>
        </is>
      </c>
      <c r="B702" s="1" t="n">
        <v>45953.49519675926</v>
      </c>
      <c r="C702" s="1" t="n">
        <v>46050</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52773-2025</t>
        </is>
      </c>
      <c r="B703" s="1" t="n">
        <v>45957.41457175926</v>
      </c>
      <c r="C703" s="1" t="n">
        <v>46050</v>
      </c>
      <c r="D703" t="inlineStr">
        <is>
          <t>STOCKHOLMS LÄN</t>
        </is>
      </c>
      <c r="E703" t="inlineStr">
        <is>
          <t>NORRTÄLJE</t>
        </is>
      </c>
      <c r="F703" t="inlineStr">
        <is>
          <t>Sveaskog</t>
        </is>
      </c>
      <c r="G703" t="n">
        <v>10.5</v>
      </c>
      <c r="H703" t="n">
        <v>0</v>
      </c>
      <c r="I703" t="n">
        <v>0</v>
      </c>
      <c r="J703" t="n">
        <v>0</v>
      </c>
      <c r="K703" t="n">
        <v>0</v>
      </c>
      <c r="L703" t="n">
        <v>0</v>
      </c>
      <c r="M703" t="n">
        <v>0</v>
      </c>
      <c r="N703" t="n">
        <v>0</v>
      </c>
      <c r="O703" t="n">
        <v>0</v>
      </c>
      <c r="P703" t="n">
        <v>0</v>
      </c>
      <c r="Q703" t="n">
        <v>0</v>
      </c>
      <c r="R703" s="2" t="inlineStr"/>
    </row>
    <row r="704" ht="15" customHeight="1">
      <c r="A704" t="inlineStr">
        <is>
          <t>A 52777-2025</t>
        </is>
      </c>
      <c r="B704" s="1" t="n">
        <v>45957.41832175926</v>
      </c>
      <c r="C704" s="1" t="n">
        <v>46050</v>
      </c>
      <c r="D704" t="inlineStr">
        <is>
          <t>STOCKHOLMS LÄN</t>
        </is>
      </c>
      <c r="E704" t="inlineStr">
        <is>
          <t>NORRTÄLJE</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52526-2025</t>
        </is>
      </c>
      <c r="B705" s="1" t="n">
        <v>45954.53061342592</v>
      </c>
      <c r="C705" s="1" t="n">
        <v>46050</v>
      </c>
      <c r="D705" t="inlineStr">
        <is>
          <t>STOCKHOLMS LÄN</t>
        </is>
      </c>
      <c r="E705" t="inlineStr">
        <is>
          <t>NORRTÄLJE</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24522-2023</t>
        </is>
      </c>
      <c r="B706" s="1" t="n">
        <v>45082.69179398148</v>
      </c>
      <c r="C706" s="1" t="n">
        <v>46050</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53000-2025</t>
        </is>
      </c>
      <c r="B707" s="1" t="n">
        <v>45957.74357638889</v>
      </c>
      <c r="C707" s="1" t="n">
        <v>46050</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25625-2023</t>
        </is>
      </c>
      <c r="B708" s="1" t="n">
        <v>45089</v>
      </c>
      <c r="C708" s="1" t="n">
        <v>46050</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37147-2023</t>
        </is>
      </c>
      <c r="B709" s="1" t="n">
        <v>45155</v>
      </c>
      <c r="C709" s="1" t="n">
        <v>46050</v>
      </c>
      <c r="D709" t="inlineStr">
        <is>
          <t>STOCKHOLMS LÄN</t>
        </is>
      </c>
      <c r="E709" t="inlineStr">
        <is>
          <t>NORRTÄLJE</t>
        </is>
      </c>
      <c r="G709" t="n">
        <v>8</v>
      </c>
      <c r="H709" t="n">
        <v>0</v>
      </c>
      <c r="I709" t="n">
        <v>0</v>
      </c>
      <c r="J709" t="n">
        <v>0</v>
      </c>
      <c r="K709" t="n">
        <v>0</v>
      </c>
      <c r="L709" t="n">
        <v>0</v>
      </c>
      <c r="M709" t="n">
        <v>0</v>
      </c>
      <c r="N709" t="n">
        <v>0</v>
      </c>
      <c r="O709" t="n">
        <v>0</v>
      </c>
      <c r="P709" t="n">
        <v>0</v>
      </c>
      <c r="Q709" t="n">
        <v>0</v>
      </c>
      <c r="R709" s="2" t="inlineStr"/>
    </row>
    <row r="710" ht="15" customHeight="1">
      <c r="A710" t="inlineStr">
        <is>
          <t>A 7186-2024</t>
        </is>
      </c>
      <c r="B710" s="1" t="n">
        <v>45344</v>
      </c>
      <c r="C710" s="1" t="n">
        <v>46050</v>
      </c>
      <c r="D710" t="inlineStr">
        <is>
          <t>STOCKHOLMS LÄN</t>
        </is>
      </c>
      <c r="E710" t="inlineStr">
        <is>
          <t>NORRTÄLJE</t>
        </is>
      </c>
      <c r="G710" t="n">
        <v>4.9</v>
      </c>
      <c r="H710" t="n">
        <v>0</v>
      </c>
      <c r="I710" t="n">
        <v>0</v>
      </c>
      <c r="J710" t="n">
        <v>0</v>
      </c>
      <c r="K710" t="n">
        <v>0</v>
      </c>
      <c r="L710" t="n">
        <v>0</v>
      </c>
      <c r="M710" t="n">
        <v>0</v>
      </c>
      <c r="N710" t="n">
        <v>0</v>
      </c>
      <c r="O710" t="n">
        <v>0</v>
      </c>
      <c r="P710" t="n">
        <v>0</v>
      </c>
      <c r="Q710" t="n">
        <v>0</v>
      </c>
      <c r="R710" s="2" t="inlineStr"/>
    </row>
    <row r="711" ht="15" customHeight="1">
      <c r="A711" t="inlineStr">
        <is>
          <t>A 52703-2025</t>
        </is>
      </c>
      <c r="B711" s="1" t="n">
        <v>45956.88643518519</v>
      </c>
      <c r="C711" s="1" t="n">
        <v>46050</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52729-2025</t>
        </is>
      </c>
      <c r="B712" s="1" t="n">
        <v>45957.3636574074</v>
      </c>
      <c r="C712" s="1" t="n">
        <v>46050</v>
      </c>
      <c r="D712" t="inlineStr">
        <is>
          <t>STOCKHOLMS LÄN</t>
        </is>
      </c>
      <c r="E712" t="inlineStr">
        <is>
          <t>NORRTÄLJE</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52734-2025</t>
        </is>
      </c>
      <c r="B713" s="1" t="n">
        <v>45957.3710300926</v>
      </c>
      <c r="C713" s="1" t="n">
        <v>46050</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57602-2024</t>
        </is>
      </c>
      <c r="B714" s="1" t="n">
        <v>45630.52866898148</v>
      </c>
      <c r="C714" s="1" t="n">
        <v>46050</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64600-2021</t>
        </is>
      </c>
      <c r="B715" s="1" t="n">
        <v>44511.70518518519</v>
      </c>
      <c r="C715" s="1" t="n">
        <v>46050</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50602-2021</t>
        </is>
      </c>
      <c r="B716" s="1" t="n">
        <v>44459</v>
      </c>
      <c r="C716" s="1" t="n">
        <v>46050</v>
      </c>
      <c r="D716" t="inlineStr">
        <is>
          <t>STOCKHOLMS LÄN</t>
        </is>
      </c>
      <c r="E716" t="inlineStr">
        <is>
          <t>NORRTÄLJE</t>
        </is>
      </c>
      <c r="F716" t="inlineStr">
        <is>
          <t>Holmen skog AB</t>
        </is>
      </c>
      <c r="G716" t="n">
        <v>2</v>
      </c>
      <c r="H716" t="n">
        <v>0</v>
      </c>
      <c r="I716" t="n">
        <v>0</v>
      </c>
      <c r="J716" t="n">
        <v>0</v>
      </c>
      <c r="K716" t="n">
        <v>0</v>
      </c>
      <c r="L716" t="n">
        <v>0</v>
      </c>
      <c r="M716" t="n">
        <v>0</v>
      </c>
      <c r="N716" t="n">
        <v>0</v>
      </c>
      <c r="O716" t="n">
        <v>0</v>
      </c>
      <c r="P716" t="n">
        <v>0</v>
      </c>
      <c r="Q716" t="n">
        <v>0</v>
      </c>
      <c r="R716" s="2" t="inlineStr"/>
    </row>
    <row r="717" ht="15" customHeight="1">
      <c r="A717" t="inlineStr">
        <is>
          <t>A 26365-2024</t>
        </is>
      </c>
      <c r="B717" s="1" t="n">
        <v>45469</v>
      </c>
      <c r="C717" s="1" t="n">
        <v>46050</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52776-2025</t>
        </is>
      </c>
      <c r="B718" s="1" t="n">
        <v>45957.41724537037</v>
      </c>
      <c r="C718" s="1" t="n">
        <v>46050</v>
      </c>
      <c r="D718" t="inlineStr">
        <is>
          <t>STOCKHOLMS LÄN</t>
        </is>
      </c>
      <c r="E718" t="inlineStr">
        <is>
          <t>NORRTÄLJE</t>
        </is>
      </c>
      <c r="F718" t="inlineStr">
        <is>
          <t>Sveaskog</t>
        </is>
      </c>
      <c r="G718" t="n">
        <v>2.5</v>
      </c>
      <c r="H718" t="n">
        <v>0</v>
      </c>
      <c r="I718" t="n">
        <v>0</v>
      </c>
      <c r="J718" t="n">
        <v>0</v>
      </c>
      <c r="K718" t="n">
        <v>0</v>
      </c>
      <c r="L718" t="n">
        <v>0</v>
      </c>
      <c r="M718" t="n">
        <v>0</v>
      </c>
      <c r="N718" t="n">
        <v>0</v>
      </c>
      <c r="O718" t="n">
        <v>0</v>
      </c>
      <c r="P718" t="n">
        <v>0</v>
      </c>
      <c r="Q718" t="n">
        <v>0</v>
      </c>
      <c r="R718" s="2" t="inlineStr"/>
    </row>
    <row r="719" ht="15" customHeight="1">
      <c r="A719" t="inlineStr">
        <is>
          <t>A 52529-2025</t>
        </is>
      </c>
      <c r="B719" s="1" t="n">
        <v>45954.53229166667</v>
      </c>
      <c r="C719" s="1" t="n">
        <v>46050</v>
      </c>
      <c r="D719" t="inlineStr">
        <is>
          <t>STOCKHOLMS LÄN</t>
        </is>
      </c>
      <c r="E719" t="inlineStr">
        <is>
          <t>NORRTÄLJE</t>
        </is>
      </c>
      <c r="F719" t="inlineStr">
        <is>
          <t>Sveaskog</t>
        </is>
      </c>
      <c r="G719" t="n">
        <v>7.8</v>
      </c>
      <c r="H719" t="n">
        <v>0</v>
      </c>
      <c r="I719" t="n">
        <v>0</v>
      </c>
      <c r="J719" t="n">
        <v>0</v>
      </c>
      <c r="K719" t="n">
        <v>0</v>
      </c>
      <c r="L719" t="n">
        <v>0</v>
      </c>
      <c r="M719" t="n">
        <v>0</v>
      </c>
      <c r="N719" t="n">
        <v>0</v>
      </c>
      <c r="O719" t="n">
        <v>0</v>
      </c>
      <c r="P719" t="n">
        <v>0</v>
      </c>
      <c r="Q719" t="n">
        <v>0</v>
      </c>
      <c r="R719" s="2" t="inlineStr"/>
    </row>
    <row r="720" ht="15" customHeight="1">
      <c r="A720" t="inlineStr">
        <is>
          <t>A 52704-2025</t>
        </is>
      </c>
      <c r="B720" s="1" t="n">
        <v>45956.89097222222</v>
      </c>
      <c r="C720" s="1" t="n">
        <v>46050</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52553-2025</t>
        </is>
      </c>
      <c r="B721" s="1" t="n">
        <v>45954.5624537037</v>
      </c>
      <c r="C721" s="1" t="n">
        <v>46050</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26640-2023</t>
        </is>
      </c>
      <c r="B722" s="1" t="n">
        <v>45092</v>
      </c>
      <c r="C722" s="1" t="n">
        <v>46050</v>
      </c>
      <c r="D722" t="inlineStr">
        <is>
          <t>STOCKHOLMS LÄN</t>
        </is>
      </c>
      <c r="E722" t="inlineStr">
        <is>
          <t>NORRTÄLJE</t>
        </is>
      </c>
      <c r="G722" t="n">
        <v>5.7</v>
      </c>
      <c r="H722" t="n">
        <v>0</v>
      </c>
      <c r="I722" t="n">
        <v>0</v>
      </c>
      <c r="J722" t="n">
        <v>0</v>
      </c>
      <c r="K722" t="n">
        <v>0</v>
      </c>
      <c r="L722" t="n">
        <v>0</v>
      </c>
      <c r="M722" t="n">
        <v>0</v>
      </c>
      <c r="N722" t="n">
        <v>0</v>
      </c>
      <c r="O722" t="n">
        <v>0</v>
      </c>
      <c r="P722" t="n">
        <v>0</v>
      </c>
      <c r="Q722" t="n">
        <v>0</v>
      </c>
      <c r="R722" s="2" t="inlineStr"/>
    </row>
    <row r="723" ht="15" customHeight="1">
      <c r="A723" t="inlineStr">
        <is>
          <t>A 31827-2023</t>
        </is>
      </c>
      <c r="B723" s="1" t="n">
        <v>45118</v>
      </c>
      <c r="C723" s="1" t="n">
        <v>46050</v>
      </c>
      <c r="D723" t="inlineStr">
        <is>
          <t>STOCKHOLMS LÄN</t>
        </is>
      </c>
      <c r="E723" t="inlineStr">
        <is>
          <t>NORRTÄLJE</t>
        </is>
      </c>
      <c r="F723" t="inlineStr">
        <is>
          <t>Kyrkan</t>
        </is>
      </c>
      <c r="G723" t="n">
        <v>4.9</v>
      </c>
      <c r="H723" t="n">
        <v>0</v>
      </c>
      <c r="I723" t="n">
        <v>0</v>
      </c>
      <c r="J723" t="n">
        <v>0</v>
      </c>
      <c r="K723" t="n">
        <v>0</v>
      </c>
      <c r="L723" t="n">
        <v>0</v>
      </c>
      <c r="M723" t="n">
        <v>0</v>
      </c>
      <c r="N723" t="n">
        <v>0</v>
      </c>
      <c r="O723" t="n">
        <v>0</v>
      </c>
      <c r="P723" t="n">
        <v>0</v>
      </c>
      <c r="Q723" t="n">
        <v>0</v>
      </c>
      <c r="R723" s="2" t="inlineStr"/>
    </row>
    <row r="724" ht="15" customHeight="1">
      <c r="A724" t="inlineStr">
        <is>
          <t>A 58993-2022</t>
        </is>
      </c>
      <c r="B724" s="1" t="n">
        <v>44903</v>
      </c>
      <c r="C724" s="1" t="n">
        <v>46050</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28900-2022</t>
        </is>
      </c>
      <c r="B725" s="1" t="n">
        <v>44749.55258101852</v>
      </c>
      <c r="C725" s="1" t="n">
        <v>46050</v>
      </c>
      <c r="D725" t="inlineStr">
        <is>
          <t>STOCKHOLMS LÄN</t>
        </is>
      </c>
      <c r="E725" t="inlineStr">
        <is>
          <t>NORRTÄLJE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17574-2025</t>
        </is>
      </c>
      <c r="B726" s="1" t="n">
        <v>45757.65178240741</v>
      </c>
      <c r="C726" s="1" t="n">
        <v>46050</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53299-2025</t>
        </is>
      </c>
      <c r="B727" s="1" t="n">
        <v>45959.31901620371</v>
      </c>
      <c r="C727" s="1" t="n">
        <v>46050</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53087-2025</t>
        </is>
      </c>
      <c r="B728" s="1" t="n">
        <v>45958.41065972222</v>
      </c>
      <c r="C728" s="1" t="n">
        <v>46050</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53115-2025</t>
        </is>
      </c>
      <c r="B729" s="1" t="n">
        <v>45958.44614583333</v>
      </c>
      <c r="C729" s="1" t="n">
        <v>46050</v>
      </c>
      <c r="D729" t="inlineStr">
        <is>
          <t>STOCKHOLMS LÄN</t>
        </is>
      </c>
      <c r="E729" t="inlineStr">
        <is>
          <t>NORRTÄLJE</t>
        </is>
      </c>
      <c r="F729" t="inlineStr">
        <is>
          <t>Kyrkan</t>
        </is>
      </c>
      <c r="G729" t="n">
        <v>2.5</v>
      </c>
      <c r="H729" t="n">
        <v>0</v>
      </c>
      <c r="I729" t="n">
        <v>0</v>
      </c>
      <c r="J729" t="n">
        <v>0</v>
      </c>
      <c r="K729" t="n">
        <v>0</v>
      </c>
      <c r="L729" t="n">
        <v>0</v>
      </c>
      <c r="M729" t="n">
        <v>0</v>
      </c>
      <c r="N729" t="n">
        <v>0</v>
      </c>
      <c r="O729" t="n">
        <v>0</v>
      </c>
      <c r="P729" t="n">
        <v>0</v>
      </c>
      <c r="Q729" t="n">
        <v>0</v>
      </c>
      <c r="R729" s="2" t="inlineStr"/>
    </row>
    <row r="730" ht="15" customHeight="1">
      <c r="A730" t="inlineStr">
        <is>
          <t>A 53629-2025</t>
        </is>
      </c>
      <c r="B730" s="1" t="n">
        <v>45960.49570601852</v>
      </c>
      <c r="C730" s="1" t="n">
        <v>46050</v>
      </c>
      <c r="D730" t="inlineStr">
        <is>
          <t>STOCKHOLMS LÄN</t>
        </is>
      </c>
      <c r="E730" t="inlineStr">
        <is>
          <t>NORRTÄLJE</t>
        </is>
      </c>
      <c r="F730" t="inlineStr">
        <is>
          <t>Naturvårdsverket</t>
        </is>
      </c>
      <c r="G730" t="n">
        <v>7.9</v>
      </c>
      <c r="H730" t="n">
        <v>0</v>
      </c>
      <c r="I730" t="n">
        <v>0</v>
      </c>
      <c r="J730" t="n">
        <v>0</v>
      </c>
      <c r="K730" t="n">
        <v>0</v>
      </c>
      <c r="L730" t="n">
        <v>0</v>
      </c>
      <c r="M730" t="n">
        <v>0</v>
      </c>
      <c r="N730" t="n">
        <v>0</v>
      </c>
      <c r="O730" t="n">
        <v>0</v>
      </c>
      <c r="P730" t="n">
        <v>0</v>
      </c>
      <c r="Q730" t="n">
        <v>0</v>
      </c>
      <c r="R730" s="2" t="inlineStr"/>
    </row>
    <row r="731" ht="15" customHeight="1">
      <c r="A731" t="inlineStr">
        <is>
          <t>A 58297-2023</t>
        </is>
      </c>
      <c r="B731" s="1" t="n">
        <v>45245</v>
      </c>
      <c r="C731" s="1" t="n">
        <v>46050</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20304-2023</t>
        </is>
      </c>
      <c r="B732" s="1" t="n">
        <v>45056</v>
      </c>
      <c r="C732" s="1" t="n">
        <v>46050</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12299-2025</t>
        </is>
      </c>
      <c r="B733" s="1" t="n">
        <v>45729.71065972222</v>
      </c>
      <c r="C733" s="1" t="n">
        <v>46050</v>
      </c>
      <c r="D733" t="inlineStr">
        <is>
          <t>STOCKHOLMS LÄN</t>
        </is>
      </c>
      <c r="E733" t="inlineStr">
        <is>
          <t>NORRTÄLJE</t>
        </is>
      </c>
      <c r="F733" t="inlineStr">
        <is>
          <t>Holmen skog AB</t>
        </is>
      </c>
      <c r="G733" t="n">
        <v>6.9</v>
      </c>
      <c r="H733" t="n">
        <v>0</v>
      </c>
      <c r="I733" t="n">
        <v>0</v>
      </c>
      <c r="J733" t="n">
        <v>0</v>
      </c>
      <c r="K733" t="n">
        <v>0</v>
      </c>
      <c r="L733" t="n">
        <v>0</v>
      </c>
      <c r="M733" t="n">
        <v>0</v>
      </c>
      <c r="N733" t="n">
        <v>0</v>
      </c>
      <c r="O733" t="n">
        <v>0</v>
      </c>
      <c r="P733" t="n">
        <v>0</v>
      </c>
      <c r="Q733" t="n">
        <v>0</v>
      </c>
      <c r="R733" s="2" t="inlineStr"/>
    </row>
    <row r="734" ht="15" customHeight="1">
      <c r="A734" t="inlineStr">
        <is>
          <t>A 22157-2023</t>
        </is>
      </c>
      <c r="B734" s="1" t="n">
        <v>45069</v>
      </c>
      <c r="C734" s="1" t="n">
        <v>46050</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c r="U734">
        <f>HYPERLINK("https://klasma.github.io/Logging_0188/knärot/A 22157-2023 karta knärot.png", "A 22157-2023")</f>
        <v/>
      </c>
      <c r="V734">
        <f>HYPERLINK("https://klasma.github.io/Logging_0188/klagomål/A 22157-2023 FSC-klagomål.docx", "A 22157-2023")</f>
        <v/>
      </c>
      <c r="W734">
        <f>HYPERLINK("https://klasma.github.io/Logging_0188/klagomålsmail/A 22157-2023 FSC-klagomål mail.docx", "A 22157-2023")</f>
        <v/>
      </c>
      <c r="X734">
        <f>HYPERLINK("https://klasma.github.io/Logging_0188/tillsyn/A 22157-2023 tillsynsbegäran.docx", "A 22157-2023")</f>
        <v/>
      </c>
      <c r="Y734">
        <f>HYPERLINK("https://klasma.github.io/Logging_0188/tillsynsmail/A 22157-2023 tillsynsbegäran mail.docx", "A 22157-2023")</f>
        <v/>
      </c>
    </row>
    <row r="735" ht="15" customHeight="1">
      <c r="A735" t="inlineStr">
        <is>
          <t>A 11929-2024</t>
        </is>
      </c>
      <c r="B735" s="1" t="n">
        <v>45376.64532407407</v>
      </c>
      <c r="C735" s="1" t="n">
        <v>46050</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53747-2025</t>
        </is>
      </c>
      <c r="B736" s="1" t="n">
        <v>45960.65415509259</v>
      </c>
      <c r="C736" s="1" t="n">
        <v>46050</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8296-2023</t>
        </is>
      </c>
      <c r="B737" s="1" t="n">
        <v>44974</v>
      </c>
      <c r="C737" s="1" t="n">
        <v>46050</v>
      </c>
      <c r="D737" t="inlineStr">
        <is>
          <t>STOCKHOLMS LÄN</t>
        </is>
      </c>
      <c r="E737" t="inlineStr">
        <is>
          <t>NORRTÄLJE</t>
        </is>
      </c>
      <c r="G737" t="n">
        <v>3.8</v>
      </c>
      <c r="H737" t="n">
        <v>0</v>
      </c>
      <c r="I737" t="n">
        <v>0</v>
      </c>
      <c r="J737" t="n">
        <v>0</v>
      </c>
      <c r="K737" t="n">
        <v>0</v>
      </c>
      <c r="L737" t="n">
        <v>0</v>
      </c>
      <c r="M737" t="n">
        <v>0</v>
      </c>
      <c r="N737" t="n">
        <v>0</v>
      </c>
      <c r="O737" t="n">
        <v>0</v>
      </c>
      <c r="P737" t="n">
        <v>0</v>
      </c>
      <c r="Q737" t="n">
        <v>0</v>
      </c>
      <c r="R737" s="2" t="inlineStr"/>
    </row>
    <row r="738" ht="15" customHeight="1">
      <c r="A738" t="inlineStr">
        <is>
          <t>A 24575-2024</t>
        </is>
      </c>
      <c r="B738" s="1" t="n">
        <v>45460.45523148148</v>
      </c>
      <c r="C738" s="1" t="n">
        <v>46050</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64899-2023</t>
        </is>
      </c>
      <c r="B739" s="1" t="n">
        <v>45282</v>
      </c>
      <c r="C739" s="1" t="n">
        <v>46050</v>
      </c>
      <c r="D739" t="inlineStr">
        <is>
          <t>STOCKHOLMS LÄN</t>
        </is>
      </c>
      <c r="E739" t="inlineStr">
        <is>
          <t>NORRTÄLJE</t>
        </is>
      </c>
      <c r="G739" t="n">
        <v>6.3</v>
      </c>
      <c r="H739" t="n">
        <v>0</v>
      </c>
      <c r="I739" t="n">
        <v>0</v>
      </c>
      <c r="J739" t="n">
        <v>0</v>
      </c>
      <c r="K739" t="n">
        <v>0</v>
      </c>
      <c r="L739" t="n">
        <v>0</v>
      </c>
      <c r="M739" t="n">
        <v>0</v>
      </c>
      <c r="N739" t="n">
        <v>0</v>
      </c>
      <c r="O739" t="n">
        <v>0</v>
      </c>
      <c r="P739" t="n">
        <v>0</v>
      </c>
      <c r="Q739" t="n">
        <v>0</v>
      </c>
      <c r="R739" s="2" t="inlineStr"/>
    </row>
    <row r="740" ht="15" customHeight="1">
      <c r="A740" t="inlineStr">
        <is>
          <t>A 52593-2024</t>
        </is>
      </c>
      <c r="B740" s="1" t="n">
        <v>45609.70778935185</v>
      </c>
      <c r="C740" s="1" t="n">
        <v>46050</v>
      </c>
      <c r="D740" t="inlineStr">
        <is>
          <t>STOCKHOLMS LÄN</t>
        </is>
      </c>
      <c r="E740" t="inlineStr">
        <is>
          <t>NORRTÄLJE</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52617-2024</t>
        </is>
      </c>
      <c r="B741" s="1" t="n">
        <v>45609.85146990741</v>
      </c>
      <c r="C741" s="1" t="n">
        <v>46050</v>
      </c>
      <c r="D741" t="inlineStr">
        <is>
          <t>STOCKHOLMS LÄN</t>
        </is>
      </c>
      <c r="E741" t="inlineStr">
        <is>
          <t>NORRTÄLJE</t>
        </is>
      </c>
      <c r="G741" t="n">
        <v>0.8</v>
      </c>
      <c r="H741" t="n">
        <v>0</v>
      </c>
      <c r="I741" t="n">
        <v>0</v>
      </c>
      <c r="J741" t="n">
        <v>0</v>
      </c>
      <c r="K741" t="n">
        <v>0</v>
      </c>
      <c r="L741" t="n">
        <v>0</v>
      </c>
      <c r="M741" t="n">
        <v>0</v>
      </c>
      <c r="N741" t="n">
        <v>0</v>
      </c>
      <c r="O741" t="n">
        <v>0</v>
      </c>
      <c r="P741" t="n">
        <v>0</v>
      </c>
      <c r="Q741" t="n">
        <v>0</v>
      </c>
      <c r="R741" s="2" t="inlineStr"/>
    </row>
    <row r="742" ht="15" customHeight="1">
      <c r="A742" t="inlineStr">
        <is>
          <t>A 22816-2021</t>
        </is>
      </c>
      <c r="B742" s="1" t="n">
        <v>44325</v>
      </c>
      <c r="C742" s="1" t="n">
        <v>46050</v>
      </c>
      <c r="D742" t="inlineStr">
        <is>
          <t>STOCKHOLMS LÄN</t>
        </is>
      </c>
      <c r="E742" t="inlineStr">
        <is>
          <t>NORRTÄLJE</t>
        </is>
      </c>
      <c r="G742" t="n">
        <v>4.5</v>
      </c>
      <c r="H742" t="n">
        <v>0</v>
      </c>
      <c r="I742" t="n">
        <v>0</v>
      </c>
      <c r="J742" t="n">
        <v>0</v>
      </c>
      <c r="K742" t="n">
        <v>0</v>
      </c>
      <c r="L742" t="n">
        <v>0</v>
      </c>
      <c r="M742" t="n">
        <v>0</v>
      </c>
      <c r="N742" t="n">
        <v>0</v>
      </c>
      <c r="O742" t="n">
        <v>0</v>
      </c>
      <c r="P742" t="n">
        <v>0</v>
      </c>
      <c r="Q742" t="n">
        <v>0</v>
      </c>
      <c r="R742" s="2" t="inlineStr"/>
    </row>
    <row r="743" ht="15" customHeight="1">
      <c r="A743" t="inlineStr">
        <is>
          <t>A 59904-2023</t>
        </is>
      </c>
      <c r="B743" s="1" t="n">
        <v>45257</v>
      </c>
      <c r="C743" s="1" t="n">
        <v>46050</v>
      </c>
      <c r="D743" t="inlineStr">
        <is>
          <t>STOCKHOLMS LÄN</t>
        </is>
      </c>
      <c r="E743" t="inlineStr">
        <is>
          <t>NORRTÄLJE</t>
        </is>
      </c>
      <c r="G743" t="n">
        <v>17.4</v>
      </c>
      <c r="H743" t="n">
        <v>0</v>
      </c>
      <c r="I743" t="n">
        <v>0</v>
      </c>
      <c r="J743" t="n">
        <v>0</v>
      </c>
      <c r="K743" t="n">
        <v>0</v>
      </c>
      <c r="L743" t="n">
        <v>0</v>
      </c>
      <c r="M743" t="n">
        <v>0</v>
      </c>
      <c r="N743" t="n">
        <v>0</v>
      </c>
      <c r="O743" t="n">
        <v>0</v>
      </c>
      <c r="P743" t="n">
        <v>0</v>
      </c>
      <c r="Q743" t="n">
        <v>0</v>
      </c>
      <c r="R743" s="2" t="inlineStr"/>
    </row>
    <row r="744" ht="15" customHeight="1">
      <c r="A744" t="inlineStr">
        <is>
          <t>A 9914-2023</t>
        </is>
      </c>
      <c r="B744" s="1" t="n">
        <v>44985</v>
      </c>
      <c r="C744" s="1" t="n">
        <v>46050</v>
      </c>
      <c r="D744" t="inlineStr">
        <is>
          <t>STOCKHOLMS LÄN</t>
        </is>
      </c>
      <c r="E744" t="inlineStr">
        <is>
          <t>NORRTÄLJE</t>
        </is>
      </c>
      <c r="G744" t="n">
        <v>4.2</v>
      </c>
      <c r="H744" t="n">
        <v>0</v>
      </c>
      <c r="I744" t="n">
        <v>0</v>
      </c>
      <c r="J744" t="n">
        <v>0</v>
      </c>
      <c r="K744" t="n">
        <v>0</v>
      </c>
      <c r="L744" t="n">
        <v>0</v>
      </c>
      <c r="M744" t="n">
        <v>0</v>
      </c>
      <c r="N744" t="n">
        <v>0</v>
      </c>
      <c r="O744" t="n">
        <v>0</v>
      </c>
      <c r="P744" t="n">
        <v>0</v>
      </c>
      <c r="Q744" t="n">
        <v>0</v>
      </c>
      <c r="R744" s="2" t="inlineStr"/>
    </row>
    <row r="745" ht="15" customHeight="1">
      <c r="A745" t="inlineStr">
        <is>
          <t>A 11062-2024</t>
        </is>
      </c>
      <c r="B745" s="1" t="n">
        <v>45370</v>
      </c>
      <c r="C745" s="1" t="n">
        <v>46050</v>
      </c>
      <c r="D745" t="inlineStr">
        <is>
          <t>STOCKHOLMS LÄN</t>
        </is>
      </c>
      <c r="E745" t="inlineStr">
        <is>
          <t>NORRTÄLJE</t>
        </is>
      </c>
      <c r="G745" t="n">
        <v>3.2</v>
      </c>
      <c r="H745" t="n">
        <v>0</v>
      </c>
      <c r="I745" t="n">
        <v>0</v>
      </c>
      <c r="J745" t="n">
        <v>0</v>
      </c>
      <c r="K745" t="n">
        <v>0</v>
      </c>
      <c r="L745" t="n">
        <v>0</v>
      </c>
      <c r="M745" t="n">
        <v>0</v>
      </c>
      <c r="N745" t="n">
        <v>0</v>
      </c>
      <c r="O745" t="n">
        <v>0</v>
      </c>
      <c r="P745" t="n">
        <v>0</v>
      </c>
      <c r="Q745" t="n">
        <v>0</v>
      </c>
      <c r="R745" s="2" t="inlineStr"/>
    </row>
    <row r="746" ht="15" customHeight="1">
      <c r="A746" t="inlineStr">
        <is>
          <t>A 33569-2023</t>
        </is>
      </c>
      <c r="B746" s="1" t="n">
        <v>45131.666875</v>
      </c>
      <c r="C746" s="1" t="n">
        <v>46050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15905-2023</t>
        </is>
      </c>
      <c r="B747" s="1" t="n">
        <v>45022</v>
      </c>
      <c r="C747" s="1" t="n">
        <v>46050</v>
      </c>
      <c r="D747" t="inlineStr">
        <is>
          <t>STOCKHOLMS LÄN</t>
        </is>
      </c>
      <c r="E747" t="inlineStr">
        <is>
          <t>NORRTÄLJE</t>
        </is>
      </c>
      <c r="G747" t="n">
        <v>3.2</v>
      </c>
      <c r="H747" t="n">
        <v>0</v>
      </c>
      <c r="I747" t="n">
        <v>0</v>
      </c>
      <c r="J747" t="n">
        <v>0</v>
      </c>
      <c r="K747" t="n">
        <v>0</v>
      </c>
      <c r="L747" t="n">
        <v>0</v>
      </c>
      <c r="M747" t="n">
        <v>0</v>
      </c>
      <c r="N747" t="n">
        <v>0</v>
      </c>
      <c r="O747" t="n">
        <v>0</v>
      </c>
      <c r="P747" t="n">
        <v>0</v>
      </c>
      <c r="Q747" t="n">
        <v>0</v>
      </c>
      <c r="R747" s="2" t="inlineStr"/>
    </row>
    <row r="748" ht="15" customHeight="1">
      <c r="A748" t="inlineStr">
        <is>
          <t>A 62708-2025</t>
        </is>
      </c>
      <c r="B748" s="1" t="n">
        <v>46008.50986111111</v>
      </c>
      <c r="C748" s="1" t="n">
        <v>46050</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15956-2023</t>
        </is>
      </c>
      <c r="B749" s="1" t="n">
        <v>45022.61003472222</v>
      </c>
      <c r="C749" s="1" t="n">
        <v>46050</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62689-2025</t>
        </is>
      </c>
      <c r="B750" s="1" t="n">
        <v>46008.47171296296</v>
      </c>
      <c r="C750" s="1" t="n">
        <v>46050</v>
      </c>
      <c r="D750" t="inlineStr">
        <is>
          <t>STOCKHOLMS LÄN</t>
        </is>
      </c>
      <c r="E750" t="inlineStr">
        <is>
          <t>NORRTÄLJE</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62681-2025</t>
        </is>
      </c>
      <c r="B751" s="1" t="n">
        <v>46008.45534722223</v>
      </c>
      <c r="C751" s="1" t="n">
        <v>46050</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47626-2022</t>
        </is>
      </c>
      <c r="B752" s="1" t="n">
        <v>44854</v>
      </c>
      <c r="C752" s="1" t="n">
        <v>46050</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62206-2022</t>
        </is>
      </c>
      <c r="B753" s="1" t="n">
        <v>44922</v>
      </c>
      <c r="C753" s="1" t="n">
        <v>46050</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62922-2025</t>
        </is>
      </c>
      <c r="B754" s="1" t="n">
        <v>46009.38064814815</v>
      </c>
      <c r="C754" s="1" t="n">
        <v>46050</v>
      </c>
      <c r="D754" t="inlineStr">
        <is>
          <t>STOCKHOLMS LÄN</t>
        </is>
      </c>
      <c r="E754" t="inlineStr">
        <is>
          <t>NORRTÄLJE</t>
        </is>
      </c>
      <c r="G754" t="n">
        <v>0.5</v>
      </c>
      <c r="H754" t="n">
        <v>0</v>
      </c>
      <c r="I754" t="n">
        <v>0</v>
      </c>
      <c r="J754" t="n">
        <v>0</v>
      </c>
      <c r="K754" t="n">
        <v>0</v>
      </c>
      <c r="L754" t="n">
        <v>0</v>
      </c>
      <c r="M754" t="n">
        <v>0</v>
      </c>
      <c r="N754" t="n">
        <v>0</v>
      </c>
      <c r="O754" t="n">
        <v>0</v>
      </c>
      <c r="P754" t="n">
        <v>0</v>
      </c>
      <c r="Q754" t="n">
        <v>0</v>
      </c>
      <c r="R754" s="2" t="inlineStr"/>
    </row>
    <row r="755" ht="15" customHeight="1">
      <c r="A755" t="inlineStr">
        <is>
          <t>A 20618-2022</t>
        </is>
      </c>
      <c r="B755" s="1" t="n">
        <v>44700.50659722222</v>
      </c>
      <c r="C755" s="1" t="n">
        <v>46050</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40192-2023</t>
        </is>
      </c>
      <c r="B756" s="1" t="n">
        <v>45169</v>
      </c>
      <c r="C756" s="1" t="n">
        <v>46050</v>
      </c>
      <c r="D756" t="inlineStr">
        <is>
          <t>STOCKHOLMS LÄN</t>
        </is>
      </c>
      <c r="E756" t="inlineStr">
        <is>
          <t>NORRTÄLJE</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54907-2025</t>
        </is>
      </c>
      <c r="B757" s="1" t="n">
        <v>45967.37137731481</v>
      </c>
      <c r="C757" s="1" t="n">
        <v>46050</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11900-2022</t>
        </is>
      </c>
      <c r="B758" s="1" t="n">
        <v>44635</v>
      </c>
      <c r="C758" s="1" t="n">
        <v>46050</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10973-2025</t>
        </is>
      </c>
      <c r="B759" s="1" t="n">
        <v>45723</v>
      </c>
      <c r="C759" s="1" t="n">
        <v>46050</v>
      </c>
      <c r="D759" t="inlineStr">
        <is>
          <t>STOCKHOLMS LÄN</t>
        </is>
      </c>
      <c r="E759" t="inlineStr">
        <is>
          <t>NORRTÄLJE</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27885-2022</t>
        </is>
      </c>
      <c r="B760" s="1" t="n">
        <v>44743.67418981482</v>
      </c>
      <c r="C760" s="1" t="n">
        <v>46050</v>
      </c>
      <c r="D760" t="inlineStr">
        <is>
          <t>STOCKHOLMS LÄN</t>
        </is>
      </c>
      <c r="E760" t="inlineStr">
        <is>
          <t>NORRTÄLJE</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55503-2025</t>
        </is>
      </c>
      <c r="B761" s="1" t="n">
        <v>45971</v>
      </c>
      <c r="C761" s="1" t="n">
        <v>46050</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55599-2025</t>
        </is>
      </c>
      <c r="B762" s="1" t="n">
        <v>45971.76810185185</v>
      </c>
      <c r="C762" s="1" t="n">
        <v>46050</v>
      </c>
      <c r="D762" t="inlineStr">
        <is>
          <t>STOCKHOLMS LÄN</t>
        </is>
      </c>
      <c r="E762" t="inlineStr">
        <is>
          <t>NORRTÄLJE</t>
        </is>
      </c>
      <c r="F762" t="inlineStr">
        <is>
          <t>Holmen skog AB</t>
        </is>
      </c>
      <c r="G762" t="n">
        <v>6.4</v>
      </c>
      <c r="H762" t="n">
        <v>0</v>
      </c>
      <c r="I762" t="n">
        <v>0</v>
      </c>
      <c r="J762" t="n">
        <v>0</v>
      </c>
      <c r="K762" t="n">
        <v>0</v>
      </c>
      <c r="L762" t="n">
        <v>0</v>
      </c>
      <c r="M762" t="n">
        <v>0</v>
      </c>
      <c r="N762" t="n">
        <v>0</v>
      </c>
      <c r="O762" t="n">
        <v>0</v>
      </c>
      <c r="P762" t="n">
        <v>0</v>
      </c>
      <c r="Q762" t="n">
        <v>0</v>
      </c>
      <c r="R762" s="2" t="inlineStr"/>
    </row>
    <row r="763" ht="15" customHeight="1">
      <c r="A763" t="inlineStr">
        <is>
          <t>A 56114-2025</t>
        </is>
      </c>
      <c r="B763" s="1" t="n">
        <v>45973.74474537037</v>
      </c>
      <c r="C763" s="1" t="n">
        <v>46050</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60224-2023</t>
        </is>
      </c>
      <c r="B764" s="1" t="n">
        <v>45257</v>
      </c>
      <c r="C764" s="1" t="n">
        <v>46050</v>
      </c>
      <c r="D764" t="inlineStr">
        <is>
          <t>STOCKHOLMS LÄN</t>
        </is>
      </c>
      <c r="E764" t="inlineStr">
        <is>
          <t>NORRTÄLJE</t>
        </is>
      </c>
      <c r="G764" t="n">
        <v>8.1</v>
      </c>
      <c r="H764" t="n">
        <v>0</v>
      </c>
      <c r="I764" t="n">
        <v>0</v>
      </c>
      <c r="J764" t="n">
        <v>0</v>
      </c>
      <c r="K764" t="n">
        <v>0</v>
      </c>
      <c r="L764" t="n">
        <v>0</v>
      </c>
      <c r="M764" t="n">
        <v>0</v>
      </c>
      <c r="N764" t="n">
        <v>0</v>
      </c>
      <c r="O764" t="n">
        <v>0</v>
      </c>
      <c r="P764" t="n">
        <v>0</v>
      </c>
      <c r="Q764" t="n">
        <v>0</v>
      </c>
      <c r="R764" s="2" t="inlineStr"/>
    </row>
    <row r="765" ht="15" customHeight="1">
      <c r="A765" t="inlineStr">
        <is>
          <t>A 5158-2024</t>
        </is>
      </c>
      <c r="B765" s="1" t="n">
        <v>45330.50098379629</v>
      </c>
      <c r="C765" s="1" t="n">
        <v>46050</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9130-2025</t>
        </is>
      </c>
      <c r="B766" s="1" t="n">
        <v>45713.92623842593</v>
      </c>
      <c r="C766" s="1" t="n">
        <v>46050</v>
      </c>
      <c r="D766" t="inlineStr">
        <is>
          <t>STOCKHOLMS LÄN</t>
        </is>
      </c>
      <c r="E766" t="inlineStr">
        <is>
          <t>NORRTÄLJE</t>
        </is>
      </c>
      <c r="G766" t="n">
        <v>16</v>
      </c>
      <c r="H766" t="n">
        <v>0</v>
      </c>
      <c r="I766" t="n">
        <v>0</v>
      </c>
      <c r="J766" t="n">
        <v>0</v>
      </c>
      <c r="K766" t="n">
        <v>0</v>
      </c>
      <c r="L766" t="n">
        <v>0</v>
      </c>
      <c r="M766" t="n">
        <v>0</v>
      </c>
      <c r="N766" t="n">
        <v>0</v>
      </c>
      <c r="O766" t="n">
        <v>0</v>
      </c>
      <c r="P766" t="n">
        <v>0</v>
      </c>
      <c r="Q766" t="n">
        <v>0</v>
      </c>
      <c r="R766" s="2" t="inlineStr"/>
    </row>
    <row r="767" ht="15" customHeight="1">
      <c r="A767" t="inlineStr">
        <is>
          <t>A 17551-2025</t>
        </is>
      </c>
      <c r="B767" s="1" t="n">
        <v>45757.61421296297</v>
      </c>
      <c r="C767" s="1" t="n">
        <v>46050</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55010-2024</t>
        </is>
      </c>
      <c r="B768" s="1" t="n">
        <v>45621.34425925926</v>
      </c>
      <c r="C768" s="1" t="n">
        <v>46050</v>
      </c>
      <c r="D768" t="inlineStr">
        <is>
          <t>STOCKHOLMS LÄN</t>
        </is>
      </c>
      <c r="E768" t="inlineStr">
        <is>
          <t>NORRTÄLJE</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31105-2022</t>
        </is>
      </c>
      <c r="B769" s="1" t="n">
        <v>44769.66039351852</v>
      </c>
      <c r="C769" s="1" t="n">
        <v>46050</v>
      </c>
      <c r="D769" t="inlineStr">
        <is>
          <t>STOCKHOLMS LÄN</t>
        </is>
      </c>
      <c r="E769" t="inlineStr">
        <is>
          <t>NORRTÄLJE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56207-2025</t>
        </is>
      </c>
      <c r="B770" s="1" t="n">
        <v>45974.47329861111</v>
      </c>
      <c r="C770" s="1" t="n">
        <v>46050</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30620-2022</t>
        </is>
      </c>
      <c r="B771" s="1" t="n">
        <v>44763.40914351852</v>
      </c>
      <c r="C771" s="1" t="n">
        <v>46050</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50113-2024</t>
        </is>
      </c>
      <c r="B772" s="1" t="n">
        <v>45600.411875</v>
      </c>
      <c r="C772" s="1" t="n">
        <v>46050</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28365-2022</t>
        </is>
      </c>
      <c r="B773" s="1" t="n">
        <v>44747</v>
      </c>
      <c r="C773" s="1" t="n">
        <v>46050</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42955-2022</t>
        </is>
      </c>
      <c r="B774" s="1" t="n">
        <v>44833.40876157407</v>
      </c>
      <c r="C774" s="1" t="n">
        <v>46050</v>
      </c>
      <c r="D774" t="inlineStr">
        <is>
          <t>STOCKHOLMS LÄN</t>
        </is>
      </c>
      <c r="E774" t="inlineStr">
        <is>
          <t>NORRTÄLJE</t>
        </is>
      </c>
      <c r="G774" t="n">
        <v>13.1</v>
      </c>
      <c r="H774" t="n">
        <v>0</v>
      </c>
      <c r="I774" t="n">
        <v>0</v>
      </c>
      <c r="J774" t="n">
        <v>0</v>
      </c>
      <c r="K774" t="n">
        <v>0</v>
      </c>
      <c r="L774" t="n">
        <v>0</v>
      </c>
      <c r="M774" t="n">
        <v>0</v>
      </c>
      <c r="N774" t="n">
        <v>0</v>
      </c>
      <c r="O774" t="n">
        <v>0</v>
      </c>
      <c r="P774" t="n">
        <v>0</v>
      </c>
      <c r="Q774" t="n">
        <v>0</v>
      </c>
      <c r="R774" s="2" t="inlineStr"/>
    </row>
    <row r="775" ht="15" customHeight="1">
      <c r="A775" t="inlineStr">
        <is>
          <t>A 1283-2025</t>
        </is>
      </c>
      <c r="B775" s="1" t="n">
        <v>45667.49878472222</v>
      </c>
      <c r="C775" s="1" t="n">
        <v>46050</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9703-2021</t>
        </is>
      </c>
      <c r="B776" s="1" t="n">
        <v>44252</v>
      </c>
      <c r="C776" s="1" t="n">
        <v>46050</v>
      </c>
      <c r="D776" t="inlineStr">
        <is>
          <t>STOCKHOLMS LÄN</t>
        </is>
      </c>
      <c r="E776" t="inlineStr">
        <is>
          <t>NORRTÄLJE</t>
        </is>
      </c>
      <c r="G776" t="n">
        <v>3.4</v>
      </c>
      <c r="H776" t="n">
        <v>0</v>
      </c>
      <c r="I776" t="n">
        <v>0</v>
      </c>
      <c r="J776" t="n">
        <v>0</v>
      </c>
      <c r="K776" t="n">
        <v>0</v>
      </c>
      <c r="L776" t="n">
        <v>0</v>
      </c>
      <c r="M776" t="n">
        <v>0</v>
      </c>
      <c r="N776" t="n">
        <v>0</v>
      </c>
      <c r="O776" t="n">
        <v>0</v>
      </c>
      <c r="P776" t="n">
        <v>0</v>
      </c>
      <c r="Q776" t="n">
        <v>0</v>
      </c>
      <c r="R776" s="2" t="inlineStr"/>
    </row>
    <row r="777" ht="15" customHeight="1">
      <c r="A777" t="inlineStr">
        <is>
          <t>A 13767-2025</t>
        </is>
      </c>
      <c r="B777" s="1" t="n">
        <v>45737.43347222222</v>
      </c>
      <c r="C777" s="1" t="n">
        <v>46050</v>
      </c>
      <c r="D777" t="inlineStr">
        <is>
          <t>STOCKHOLMS LÄN</t>
        </is>
      </c>
      <c r="E777" t="inlineStr">
        <is>
          <t>NORRTÄLJE</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20013-2025</t>
        </is>
      </c>
      <c r="B778" s="1" t="n">
        <v>45772.30436342592</v>
      </c>
      <c r="C778" s="1" t="n">
        <v>46050</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53362-2023</t>
        </is>
      </c>
      <c r="B779" s="1" t="n">
        <v>45223</v>
      </c>
      <c r="C779" s="1" t="n">
        <v>46050</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15422-2024</t>
        </is>
      </c>
      <c r="B780" s="1" t="n">
        <v>45401.3653125</v>
      </c>
      <c r="C780" s="1" t="n">
        <v>46050</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30508-2023</t>
        </is>
      </c>
      <c r="B781" s="1" t="n">
        <v>45111</v>
      </c>
      <c r="C781" s="1" t="n">
        <v>46050</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58403-2025</t>
        </is>
      </c>
      <c r="B782" s="1" t="n">
        <v>45985.56777777777</v>
      </c>
      <c r="C782" s="1" t="n">
        <v>46050</v>
      </c>
      <c r="D782" t="inlineStr">
        <is>
          <t>STOCKHOLMS LÄN</t>
        </is>
      </c>
      <c r="E782" t="inlineStr">
        <is>
          <t>NORRTÄLJE</t>
        </is>
      </c>
      <c r="F782" t="inlineStr">
        <is>
          <t>Naturvårdsverket</t>
        </is>
      </c>
      <c r="G782" t="n">
        <v>13.5</v>
      </c>
      <c r="H782" t="n">
        <v>0</v>
      </c>
      <c r="I782" t="n">
        <v>0</v>
      </c>
      <c r="J782" t="n">
        <v>0</v>
      </c>
      <c r="K782" t="n">
        <v>0</v>
      </c>
      <c r="L782" t="n">
        <v>0</v>
      </c>
      <c r="M782" t="n">
        <v>0</v>
      </c>
      <c r="N782" t="n">
        <v>0</v>
      </c>
      <c r="O782" t="n">
        <v>0</v>
      </c>
      <c r="P782" t="n">
        <v>0</v>
      </c>
      <c r="Q782" t="n">
        <v>0</v>
      </c>
      <c r="R782" s="2" t="inlineStr"/>
    </row>
    <row r="783" ht="15" customHeight="1">
      <c r="A783" t="inlineStr">
        <is>
          <t>A 16008-2025</t>
        </is>
      </c>
      <c r="B783" s="1" t="n">
        <v>45749</v>
      </c>
      <c r="C783" s="1" t="n">
        <v>46050</v>
      </c>
      <c r="D783" t="inlineStr">
        <is>
          <t>STOCKHOLMS LÄN</t>
        </is>
      </c>
      <c r="E783" t="inlineStr">
        <is>
          <t>NORRTÄLJE</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58142-2025</t>
        </is>
      </c>
      <c r="B784" s="1" t="n">
        <v>45982.63791666667</v>
      </c>
      <c r="C784" s="1" t="n">
        <v>46050</v>
      </c>
      <c r="D784" t="inlineStr">
        <is>
          <t>STOCKHOLMS LÄN</t>
        </is>
      </c>
      <c r="E784" t="inlineStr">
        <is>
          <t>NORRTÄLJE</t>
        </is>
      </c>
      <c r="G784" t="n">
        <v>3.3</v>
      </c>
      <c r="H784" t="n">
        <v>0</v>
      </c>
      <c r="I784" t="n">
        <v>0</v>
      </c>
      <c r="J784" t="n">
        <v>0</v>
      </c>
      <c r="K784" t="n">
        <v>0</v>
      </c>
      <c r="L784" t="n">
        <v>0</v>
      </c>
      <c r="M784" t="n">
        <v>0</v>
      </c>
      <c r="N784" t="n">
        <v>0</v>
      </c>
      <c r="O784" t="n">
        <v>0</v>
      </c>
      <c r="P784" t="n">
        <v>0</v>
      </c>
      <c r="Q784" t="n">
        <v>0</v>
      </c>
      <c r="R784" s="2" t="inlineStr"/>
    </row>
    <row r="785" ht="15" customHeight="1">
      <c r="A785" t="inlineStr">
        <is>
          <t>A 57953-2025</t>
        </is>
      </c>
      <c r="B785" s="1" t="n">
        <v>45982.35016203704</v>
      </c>
      <c r="C785" s="1" t="n">
        <v>46050</v>
      </c>
      <c r="D785" t="inlineStr">
        <is>
          <t>STOCKHOLMS LÄN</t>
        </is>
      </c>
      <c r="E785" t="inlineStr">
        <is>
          <t>NORRTÄLJE</t>
        </is>
      </c>
      <c r="F785" t="inlineStr">
        <is>
          <t>Sveaskog</t>
        </is>
      </c>
      <c r="G785" t="n">
        <v>3</v>
      </c>
      <c r="H785" t="n">
        <v>0</v>
      </c>
      <c r="I785" t="n">
        <v>0</v>
      </c>
      <c r="J785" t="n">
        <v>0</v>
      </c>
      <c r="K785" t="n">
        <v>0</v>
      </c>
      <c r="L785" t="n">
        <v>0</v>
      </c>
      <c r="M785" t="n">
        <v>0</v>
      </c>
      <c r="N785" t="n">
        <v>0</v>
      </c>
      <c r="O785" t="n">
        <v>0</v>
      </c>
      <c r="P785" t="n">
        <v>0</v>
      </c>
      <c r="Q785" t="n">
        <v>0</v>
      </c>
      <c r="R785" s="2" t="inlineStr"/>
    </row>
    <row r="786" ht="15" customHeight="1">
      <c r="A786" t="inlineStr">
        <is>
          <t>A 21158-2022</t>
        </is>
      </c>
      <c r="B786" s="1" t="n">
        <v>44704</v>
      </c>
      <c r="C786" s="1" t="n">
        <v>46050</v>
      </c>
      <c r="D786" t="inlineStr">
        <is>
          <t>STOCKHOLMS LÄN</t>
        </is>
      </c>
      <c r="E786" t="inlineStr">
        <is>
          <t>NORRTÄLJE</t>
        </is>
      </c>
      <c r="G786" t="n">
        <v>17.8</v>
      </c>
      <c r="H786" t="n">
        <v>0</v>
      </c>
      <c r="I786" t="n">
        <v>0</v>
      </c>
      <c r="J786" t="n">
        <v>0</v>
      </c>
      <c r="K786" t="n">
        <v>0</v>
      </c>
      <c r="L786" t="n">
        <v>0</v>
      </c>
      <c r="M786" t="n">
        <v>0</v>
      </c>
      <c r="N786" t="n">
        <v>0</v>
      </c>
      <c r="O786" t="n">
        <v>0</v>
      </c>
      <c r="P786" t="n">
        <v>0</v>
      </c>
      <c r="Q786" t="n">
        <v>0</v>
      </c>
      <c r="R786" s="2" t="inlineStr"/>
    </row>
    <row r="787" ht="15" customHeight="1">
      <c r="A787" t="inlineStr">
        <is>
          <t>A 197-2026</t>
        </is>
      </c>
      <c r="B787" s="1" t="n">
        <v>46026</v>
      </c>
      <c r="C787" s="1" t="n">
        <v>46050</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32101-2022</t>
        </is>
      </c>
      <c r="B788" s="1" t="n">
        <v>44778.69210648148</v>
      </c>
      <c r="C788" s="1" t="n">
        <v>46050</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23150-2024</t>
        </is>
      </c>
      <c r="B789" s="1" t="n">
        <v>45450.64643518518</v>
      </c>
      <c r="C789" s="1" t="n">
        <v>46050</v>
      </c>
      <c r="D789" t="inlineStr">
        <is>
          <t>STOCKHOLMS LÄN</t>
        </is>
      </c>
      <c r="E789" t="inlineStr">
        <is>
          <t>NORRTÄLJE</t>
        </is>
      </c>
      <c r="F789" t="inlineStr">
        <is>
          <t>Kommuner</t>
        </is>
      </c>
      <c r="G789" t="n">
        <v>2.7</v>
      </c>
      <c r="H789" t="n">
        <v>0</v>
      </c>
      <c r="I789" t="n">
        <v>0</v>
      </c>
      <c r="J789" t="n">
        <v>0</v>
      </c>
      <c r="K789" t="n">
        <v>0</v>
      </c>
      <c r="L789" t="n">
        <v>0</v>
      </c>
      <c r="M789" t="n">
        <v>0</v>
      </c>
      <c r="N789" t="n">
        <v>0</v>
      </c>
      <c r="O789" t="n">
        <v>0</v>
      </c>
      <c r="P789" t="n">
        <v>0</v>
      </c>
      <c r="Q789" t="n">
        <v>0</v>
      </c>
      <c r="R789" s="2" t="inlineStr"/>
    </row>
    <row r="790" ht="15" customHeight="1">
      <c r="A790" t="inlineStr">
        <is>
          <t>A 24933-2023</t>
        </is>
      </c>
      <c r="B790" s="1" t="n">
        <v>45085.5309375</v>
      </c>
      <c r="C790" s="1" t="n">
        <v>46050</v>
      </c>
      <c r="D790" t="inlineStr">
        <is>
          <t>STOCKHOLMS LÄN</t>
        </is>
      </c>
      <c r="E790" t="inlineStr">
        <is>
          <t>NORRTÄLJE</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124-2026</t>
        </is>
      </c>
      <c r="B791" s="1" t="n">
        <v>46024.58378472222</v>
      </c>
      <c r="C791" s="1" t="n">
        <v>46050</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56631-2024</t>
        </is>
      </c>
      <c r="B792" s="1" t="n">
        <v>45625</v>
      </c>
      <c r="C792" s="1" t="n">
        <v>46050</v>
      </c>
      <c r="D792" t="inlineStr">
        <is>
          <t>STOCKHOLMS LÄN</t>
        </is>
      </c>
      <c r="E792" t="inlineStr">
        <is>
          <t>NORRTÄLJE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58939-2025</t>
        </is>
      </c>
      <c r="B793" s="1" t="n">
        <v>45987.5681712963</v>
      </c>
      <c r="C793" s="1" t="n">
        <v>46050</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652-2025</t>
        </is>
      </c>
      <c r="B794" s="1" t="n">
        <v>45664</v>
      </c>
      <c r="C794" s="1" t="n">
        <v>46050</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693-2026</t>
        </is>
      </c>
      <c r="B795" s="1" t="n">
        <v>46029.6133449074</v>
      </c>
      <c r="C795" s="1" t="n">
        <v>46050</v>
      </c>
      <c r="D795" t="inlineStr">
        <is>
          <t>STOCKHOLMS LÄN</t>
        </is>
      </c>
      <c r="E795" t="inlineStr">
        <is>
          <t>NORRTÄLJE</t>
        </is>
      </c>
      <c r="G795" t="n">
        <v>9.6</v>
      </c>
      <c r="H795" t="n">
        <v>0</v>
      </c>
      <c r="I795" t="n">
        <v>0</v>
      </c>
      <c r="J795" t="n">
        <v>0</v>
      </c>
      <c r="K795" t="n">
        <v>0</v>
      </c>
      <c r="L795" t="n">
        <v>0</v>
      </c>
      <c r="M795" t="n">
        <v>0</v>
      </c>
      <c r="N795" t="n">
        <v>0</v>
      </c>
      <c r="O795" t="n">
        <v>0</v>
      </c>
      <c r="P795" t="n">
        <v>0</v>
      </c>
      <c r="Q795" t="n">
        <v>0</v>
      </c>
      <c r="R795" s="2" t="inlineStr"/>
    </row>
    <row r="796" ht="15" customHeight="1">
      <c r="A796" t="inlineStr">
        <is>
          <t>A 718-2026</t>
        </is>
      </c>
      <c r="B796" s="1" t="n">
        <v>46029.63174768518</v>
      </c>
      <c r="C796" s="1" t="n">
        <v>46050</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694-2026</t>
        </is>
      </c>
      <c r="B797" s="1" t="n">
        <v>46029.61375</v>
      </c>
      <c r="C797" s="1" t="n">
        <v>46050</v>
      </c>
      <c r="D797" t="inlineStr">
        <is>
          <t>STOCKHOLMS LÄN</t>
        </is>
      </c>
      <c r="E797" t="inlineStr">
        <is>
          <t>NORRTÄLJE</t>
        </is>
      </c>
      <c r="G797" t="n">
        <v>9.6</v>
      </c>
      <c r="H797" t="n">
        <v>0</v>
      </c>
      <c r="I797" t="n">
        <v>0</v>
      </c>
      <c r="J797" t="n">
        <v>0</v>
      </c>
      <c r="K797" t="n">
        <v>0</v>
      </c>
      <c r="L797" t="n">
        <v>0</v>
      </c>
      <c r="M797" t="n">
        <v>0</v>
      </c>
      <c r="N797" t="n">
        <v>0</v>
      </c>
      <c r="O797" t="n">
        <v>0</v>
      </c>
      <c r="P797" t="n">
        <v>0</v>
      </c>
      <c r="Q797" t="n">
        <v>0</v>
      </c>
      <c r="R797" s="2" t="inlineStr"/>
    </row>
    <row r="798" ht="15" customHeight="1">
      <c r="A798" t="inlineStr">
        <is>
          <t>A 5389-2025</t>
        </is>
      </c>
      <c r="B798" s="1" t="n">
        <v>45692</v>
      </c>
      <c r="C798" s="1" t="n">
        <v>46050</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13051-2021</t>
        </is>
      </c>
      <c r="B799" s="1" t="n">
        <v>44272</v>
      </c>
      <c r="C799" s="1" t="n">
        <v>46050</v>
      </c>
      <c r="D799" t="inlineStr">
        <is>
          <t>STOCKHOLMS LÄN</t>
        </is>
      </c>
      <c r="E799" t="inlineStr">
        <is>
          <t>NORRTÄLJE</t>
        </is>
      </c>
      <c r="G799" t="n">
        <v>9.1</v>
      </c>
      <c r="H799" t="n">
        <v>0</v>
      </c>
      <c r="I799" t="n">
        <v>0</v>
      </c>
      <c r="J799" t="n">
        <v>0</v>
      </c>
      <c r="K799" t="n">
        <v>0</v>
      </c>
      <c r="L799" t="n">
        <v>0</v>
      </c>
      <c r="M799" t="n">
        <v>0</v>
      </c>
      <c r="N799" t="n">
        <v>0</v>
      </c>
      <c r="O799" t="n">
        <v>0</v>
      </c>
      <c r="P799" t="n">
        <v>0</v>
      </c>
      <c r="Q799" t="n">
        <v>0</v>
      </c>
      <c r="R799" s="2" t="inlineStr"/>
    </row>
    <row r="800" ht="15" customHeight="1">
      <c r="A800" t="inlineStr">
        <is>
          <t>A 475-2026</t>
        </is>
      </c>
      <c r="B800" s="1" t="n">
        <v>46029.39351851852</v>
      </c>
      <c r="C800" s="1" t="n">
        <v>46050</v>
      </c>
      <c r="D800" t="inlineStr">
        <is>
          <t>STOCKHOLMS LÄN</t>
        </is>
      </c>
      <c r="E800" t="inlineStr">
        <is>
          <t>NORRTÄLJE</t>
        </is>
      </c>
      <c r="G800" t="n">
        <v>4.6</v>
      </c>
      <c r="H800" t="n">
        <v>0</v>
      </c>
      <c r="I800" t="n">
        <v>0</v>
      </c>
      <c r="J800" t="n">
        <v>0</v>
      </c>
      <c r="K800" t="n">
        <v>0</v>
      </c>
      <c r="L800" t="n">
        <v>0</v>
      </c>
      <c r="M800" t="n">
        <v>0</v>
      </c>
      <c r="N800" t="n">
        <v>0</v>
      </c>
      <c r="O800" t="n">
        <v>0</v>
      </c>
      <c r="P800" t="n">
        <v>0</v>
      </c>
      <c r="Q800" t="n">
        <v>0</v>
      </c>
      <c r="R800" s="2" t="inlineStr"/>
    </row>
    <row r="801" ht="15" customHeight="1">
      <c r="A801" t="inlineStr">
        <is>
          <t>A 717-2026</t>
        </is>
      </c>
      <c r="B801" s="1" t="n">
        <v>46029.63028935185</v>
      </c>
      <c r="C801" s="1" t="n">
        <v>46050</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11499-2023</t>
        </is>
      </c>
      <c r="B802" s="1" t="n">
        <v>44993.66707175926</v>
      </c>
      <c r="C802" s="1" t="n">
        <v>46050</v>
      </c>
      <c r="D802" t="inlineStr">
        <is>
          <t>STOCKHOLMS LÄN</t>
        </is>
      </c>
      <c r="E802" t="inlineStr">
        <is>
          <t>NORRTÄLJE</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576-2023</t>
        </is>
      </c>
      <c r="B803" s="1" t="n">
        <v>44925</v>
      </c>
      <c r="C803" s="1" t="n">
        <v>46050</v>
      </c>
      <c r="D803" t="inlineStr">
        <is>
          <t>STOCKHOLMS LÄN</t>
        </is>
      </c>
      <c r="E803" t="inlineStr">
        <is>
          <t>NORRTÄLJE</t>
        </is>
      </c>
      <c r="G803" t="n">
        <v>7.2</v>
      </c>
      <c r="H803" t="n">
        <v>0</v>
      </c>
      <c r="I803" t="n">
        <v>0</v>
      </c>
      <c r="J803" t="n">
        <v>0</v>
      </c>
      <c r="K803" t="n">
        <v>0</v>
      </c>
      <c r="L803" t="n">
        <v>0</v>
      </c>
      <c r="M803" t="n">
        <v>0</v>
      </c>
      <c r="N803" t="n">
        <v>0</v>
      </c>
      <c r="O803" t="n">
        <v>0</v>
      </c>
      <c r="P803" t="n">
        <v>0</v>
      </c>
      <c r="Q803" t="n">
        <v>0</v>
      </c>
      <c r="R803" s="2" t="inlineStr"/>
    </row>
    <row r="804" ht="15" customHeight="1">
      <c r="A804" t="inlineStr">
        <is>
          <t>A 10678-2025</t>
        </is>
      </c>
      <c r="B804" s="1" t="n">
        <v>45721.89123842592</v>
      </c>
      <c r="C804" s="1" t="n">
        <v>46050</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31936-2022</t>
        </is>
      </c>
      <c r="B805" s="1" t="n">
        <v>44777</v>
      </c>
      <c r="C805" s="1" t="n">
        <v>46050</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59873-2024</t>
        </is>
      </c>
      <c r="B806" s="1" t="n">
        <v>45640.57305555556</v>
      </c>
      <c r="C806" s="1" t="n">
        <v>46050</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35916-2024</t>
        </is>
      </c>
      <c r="B807" s="1" t="n">
        <v>45533</v>
      </c>
      <c r="C807" s="1" t="n">
        <v>46050</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10098-2022</t>
        </is>
      </c>
      <c r="B808" s="1" t="n">
        <v>44621</v>
      </c>
      <c r="C808" s="1" t="n">
        <v>46050</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812-2026</t>
        </is>
      </c>
      <c r="B809" s="1" t="n">
        <v>46030.33358796296</v>
      </c>
      <c r="C809" s="1" t="n">
        <v>46050</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63161-2023</t>
        </is>
      </c>
      <c r="B810" s="1" t="n">
        <v>45273</v>
      </c>
      <c r="C810" s="1" t="n">
        <v>46050</v>
      </c>
      <c r="D810" t="inlineStr">
        <is>
          <t>STOCKHOLMS LÄN</t>
        </is>
      </c>
      <c r="E810" t="inlineStr">
        <is>
          <t>NORRTÄLJE</t>
        </is>
      </c>
      <c r="G810" t="n">
        <v>1.6</v>
      </c>
      <c r="H810" t="n">
        <v>0</v>
      </c>
      <c r="I810" t="n">
        <v>0</v>
      </c>
      <c r="J810" t="n">
        <v>0</v>
      </c>
      <c r="K810" t="n">
        <v>0</v>
      </c>
      <c r="L810" t="n">
        <v>0</v>
      </c>
      <c r="M810" t="n">
        <v>0</v>
      </c>
      <c r="N810" t="n">
        <v>0</v>
      </c>
      <c r="O810" t="n">
        <v>0</v>
      </c>
      <c r="P810" t="n">
        <v>0</v>
      </c>
      <c r="Q810" t="n">
        <v>0</v>
      </c>
      <c r="R810" s="2" t="inlineStr"/>
    </row>
    <row r="811" ht="15" customHeight="1">
      <c r="A811" t="inlineStr">
        <is>
          <t>A 59041-2025</t>
        </is>
      </c>
      <c r="B811" s="1" t="n">
        <v>45988</v>
      </c>
      <c r="C811" s="1" t="n">
        <v>46050</v>
      </c>
      <c r="D811" t="inlineStr">
        <is>
          <t>STOCKHOLMS LÄN</t>
        </is>
      </c>
      <c r="E811" t="inlineStr">
        <is>
          <t>NORRTÄLJE</t>
        </is>
      </c>
      <c r="G811" t="n">
        <v>6.6</v>
      </c>
      <c r="H811" t="n">
        <v>0</v>
      </c>
      <c r="I811" t="n">
        <v>0</v>
      </c>
      <c r="J811" t="n">
        <v>0</v>
      </c>
      <c r="K811" t="n">
        <v>0</v>
      </c>
      <c r="L811" t="n">
        <v>0</v>
      </c>
      <c r="M811" t="n">
        <v>0</v>
      </c>
      <c r="N811" t="n">
        <v>0</v>
      </c>
      <c r="O811" t="n">
        <v>0</v>
      </c>
      <c r="P811" t="n">
        <v>0</v>
      </c>
      <c r="Q811" t="n">
        <v>0</v>
      </c>
      <c r="R811" s="2" t="inlineStr"/>
    </row>
    <row r="812" ht="15" customHeight="1">
      <c r="A812" t="inlineStr">
        <is>
          <t>A 7796-2025</t>
        </is>
      </c>
      <c r="B812" s="1" t="n">
        <v>45706.60130787037</v>
      </c>
      <c r="C812" s="1" t="n">
        <v>46050</v>
      </c>
      <c r="D812" t="inlineStr">
        <is>
          <t>STOCKHOLMS LÄN</t>
        </is>
      </c>
      <c r="E812" t="inlineStr">
        <is>
          <t>NORRTÄLJE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15552-2021</t>
        </is>
      </c>
      <c r="B813" s="1" t="n">
        <v>44285</v>
      </c>
      <c r="C813" s="1" t="n">
        <v>46050</v>
      </c>
      <c r="D813" t="inlineStr">
        <is>
          <t>STOCKHOLMS LÄN</t>
        </is>
      </c>
      <c r="E813" t="inlineStr">
        <is>
          <t>NORRTÄLJE</t>
        </is>
      </c>
      <c r="G813" t="n">
        <v>10</v>
      </c>
      <c r="H813" t="n">
        <v>0</v>
      </c>
      <c r="I813" t="n">
        <v>0</v>
      </c>
      <c r="J813" t="n">
        <v>0</v>
      </c>
      <c r="K813" t="n">
        <v>0</v>
      </c>
      <c r="L813" t="n">
        <v>0</v>
      </c>
      <c r="M813" t="n">
        <v>0</v>
      </c>
      <c r="N813" t="n">
        <v>0</v>
      </c>
      <c r="O813" t="n">
        <v>0</v>
      </c>
      <c r="P813" t="n">
        <v>0</v>
      </c>
      <c r="Q813" t="n">
        <v>0</v>
      </c>
      <c r="R813" s="2" t="inlineStr"/>
    </row>
    <row r="814" ht="15" customHeight="1">
      <c r="A814" t="inlineStr">
        <is>
          <t>A 58040-2024</t>
        </is>
      </c>
      <c r="B814" s="1" t="n">
        <v>45631.73952546297</v>
      </c>
      <c r="C814" s="1" t="n">
        <v>46050</v>
      </c>
      <c r="D814" t="inlineStr">
        <is>
          <t>STOCKHOLMS LÄN</t>
        </is>
      </c>
      <c r="E814" t="inlineStr">
        <is>
          <t>NORRTÄLJE</t>
        </is>
      </c>
      <c r="G814" t="n">
        <v>2.1</v>
      </c>
      <c r="H814" t="n">
        <v>0</v>
      </c>
      <c r="I814" t="n">
        <v>0</v>
      </c>
      <c r="J814" t="n">
        <v>0</v>
      </c>
      <c r="K814" t="n">
        <v>0</v>
      </c>
      <c r="L814" t="n">
        <v>0</v>
      </c>
      <c r="M814" t="n">
        <v>0</v>
      </c>
      <c r="N814" t="n">
        <v>0</v>
      </c>
      <c r="O814" t="n">
        <v>0</v>
      </c>
      <c r="P814" t="n">
        <v>0</v>
      </c>
      <c r="Q814" t="n">
        <v>0</v>
      </c>
      <c r="R814" s="2" t="inlineStr"/>
    </row>
    <row r="815" ht="15" customHeight="1">
      <c r="A815" t="inlineStr">
        <is>
          <t>A 58041-2024</t>
        </is>
      </c>
      <c r="B815" s="1" t="n">
        <v>45631.74673611111</v>
      </c>
      <c r="C815" s="1" t="n">
        <v>46050</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59914-2025</t>
        </is>
      </c>
      <c r="B816" s="1" t="n">
        <v>45993.37056712963</v>
      </c>
      <c r="C816" s="1" t="n">
        <v>46050</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30268-2024</t>
        </is>
      </c>
      <c r="B817" s="1" t="n">
        <v>45490.60572916667</v>
      </c>
      <c r="C817" s="1" t="n">
        <v>46050</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12407-2025</t>
        </is>
      </c>
      <c r="B818" s="1" t="n">
        <v>45730.42851851852</v>
      </c>
      <c r="C818" s="1" t="n">
        <v>46050</v>
      </c>
      <c r="D818" t="inlineStr">
        <is>
          <t>STOCKHOLMS LÄN</t>
        </is>
      </c>
      <c r="E818" t="inlineStr">
        <is>
          <t>NORRTÄLJE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59672-2025</t>
        </is>
      </c>
      <c r="B819" s="1" t="n">
        <v>45992.45884259259</v>
      </c>
      <c r="C819" s="1" t="n">
        <v>46050</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19025-2025</t>
        </is>
      </c>
      <c r="B820" s="1" t="n">
        <v>45764.6359837963</v>
      </c>
      <c r="C820" s="1" t="n">
        <v>46050</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54276-2021</t>
        </is>
      </c>
      <c r="B821" s="1" t="n">
        <v>44470</v>
      </c>
      <c r="C821" s="1" t="n">
        <v>46050</v>
      </c>
      <c r="D821" t="inlineStr">
        <is>
          <t>STOCKHOLMS LÄN</t>
        </is>
      </c>
      <c r="E821" t="inlineStr">
        <is>
          <t>NORRTÄLJE</t>
        </is>
      </c>
      <c r="G821" t="n">
        <v>7.3</v>
      </c>
      <c r="H821" t="n">
        <v>0</v>
      </c>
      <c r="I821" t="n">
        <v>0</v>
      </c>
      <c r="J821" t="n">
        <v>0</v>
      </c>
      <c r="K821" t="n">
        <v>0</v>
      </c>
      <c r="L821" t="n">
        <v>0</v>
      </c>
      <c r="M821" t="n">
        <v>0</v>
      </c>
      <c r="N821" t="n">
        <v>0</v>
      </c>
      <c r="O821" t="n">
        <v>0</v>
      </c>
      <c r="P821" t="n">
        <v>0</v>
      </c>
      <c r="Q821" t="n">
        <v>0</v>
      </c>
      <c r="R821" s="2" t="inlineStr"/>
    </row>
    <row r="822" ht="15" customHeight="1">
      <c r="A822" t="inlineStr">
        <is>
          <t>A 4316-2023</t>
        </is>
      </c>
      <c r="B822" s="1" t="n">
        <v>44953.67443287037</v>
      </c>
      <c r="C822" s="1" t="n">
        <v>46050</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57788-2025</t>
        </is>
      </c>
      <c r="B823" s="1" t="n">
        <v>45981.5778125</v>
      </c>
      <c r="C823" s="1" t="n">
        <v>46050</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41587-2023</t>
        </is>
      </c>
      <c r="B824" s="1" t="n">
        <v>45175</v>
      </c>
      <c r="C824" s="1" t="n">
        <v>46050</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59907-2025</t>
        </is>
      </c>
      <c r="B825" s="1" t="n">
        <v>45993.35350694445</v>
      </c>
      <c r="C825" s="1" t="n">
        <v>46050</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1755-2026</t>
        </is>
      </c>
      <c r="B826" s="1" t="n">
        <v>46034.66230324074</v>
      </c>
      <c r="C826" s="1" t="n">
        <v>46050</v>
      </c>
      <c r="D826" t="inlineStr">
        <is>
          <t>STOCKHOLMS LÄN</t>
        </is>
      </c>
      <c r="E826" t="inlineStr">
        <is>
          <t>NORRTÄLJE</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17304-2024</t>
        </is>
      </c>
      <c r="B827" s="1" t="n">
        <v>45414</v>
      </c>
      <c r="C827" s="1" t="n">
        <v>46050</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59924-2025</t>
        </is>
      </c>
      <c r="B828" s="1" t="n">
        <v>45993.38928240741</v>
      </c>
      <c r="C828" s="1" t="n">
        <v>46050</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11280-2023</t>
        </is>
      </c>
      <c r="B829" s="1" t="n">
        <v>44992</v>
      </c>
      <c r="C829" s="1" t="n">
        <v>46050</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26668-2024</t>
        </is>
      </c>
      <c r="B830" s="1" t="n">
        <v>45469</v>
      </c>
      <c r="C830" s="1" t="n">
        <v>46050</v>
      </c>
      <c r="D830" t="inlineStr">
        <is>
          <t>STOCKHOLMS LÄN</t>
        </is>
      </c>
      <c r="E830" t="inlineStr">
        <is>
          <t>NORRTÄLJE</t>
        </is>
      </c>
      <c r="G830" t="n">
        <v>4.8</v>
      </c>
      <c r="H830" t="n">
        <v>0</v>
      </c>
      <c r="I830" t="n">
        <v>0</v>
      </c>
      <c r="J830" t="n">
        <v>0</v>
      </c>
      <c r="K830" t="n">
        <v>0</v>
      </c>
      <c r="L830" t="n">
        <v>0</v>
      </c>
      <c r="M830" t="n">
        <v>0</v>
      </c>
      <c r="N830" t="n">
        <v>0</v>
      </c>
      <c r="O830" t="n">
        <v>0</v>
      </c>
      <c r="P830" t="n">
        <v>0</v>
      </c>
      <c r="Q830" t="n">
        <v>0</v>
      </c>
      <c r="R830" s="2" t="inlineStr"/>
    </row>
    <row r="831" ht="15" customHeight="1">
      <c r="A831" t="inlineStr">
        <is>
          <t>A 2116-2026</t>
        </is>
      </c>
      <c r="B831" s="1" t="n">
        <v>46036.38108796296</v>
      </c>
      <c r="C831" s="1" t="n">
        <v>46050</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60253-2025</t>
        </is>
      </c>
      <c r="B832" s="1" t="n">
        <v>45994.59827546297</v>
      </c>
      <c r="C832" s="1" t="n">
        <v>46050</v>
      </c>
      <c r="D832" t="inlineStr">
        <is>
          <t>STOCKHOLMS LÄN</t>
        </is>
      </c>
      <c r="E832" t="inlineStr">
        <is>
          <t>NORRTÄLJE</t>
        </is>
      </c>
      <c r="F832" t="inlineStr">
        <is>
          <t>Holmen skog AB</t>
        </is>
      </c>
      <c r="G832" t="n">
        <v>3.6</v>
      </c>
      <c r="H832" t="n">
        <v>0</v>
      </c>
      <c r="I832" t="n">
        <v>0</v>
      </c>
      <c r="J832" t="n">
        <v>0</v>
      </c>
      <c r="K832" t="n">
        <v>0</v>
      </c>
      <c r="L832" t="n">
        <v>0</v>
      </c>
      <c r="M832" t="n">
        <v>0</v>
      </c>
      <c r="N832" t="n">
        <v>0</v>
      </c>
      <c r="O832" t="n">
        <v>0</v>
      </c>
      <c r="P832" t="n">
        <v>0</v>
      </c>
      <c r="Q832" t="n">
        <v>0</v>
      </c>
      <c r="R832" s="2" t="inlineStr"/>
    </row>
    <row r="833" ht="15" customHeight="1">
      <c r="A833" t="inlineStr">
        <is>
          <t>A 31926-2022</t>
        </is>
      </c>
      <c r="B833" s="1" t="n">
        <v>44777</v>
      </c>
      <c r="C833" s="1" t="n">
        <v>46050</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46050</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11041-2025</t>
        </is>
      </c>
      <c r="B835" s="1" t="n">
        <v>45723</v>
      </c>
      <c r="C835" s="1" t="n">
        <v>46050</v>
      </c>
      <c r="D835" t="inlineStr">
        <is>
          <t>STOCKHOLMS LÄN</t>
        </is>
      </c>
      <c r="E835" t="inlineStr">
        <is>
          <t>NORRTÄLJE</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9469-2021</t>
        </is>
      </c>
      <c r="B836" s="1" t="n">
        <v>44251</v>
      </c>
      <c r="C836" s="1" t="n">
        <v>46050</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46050</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28809-2023</t>
        </is>
      </c>
      <c r="B838" s="1" t="n">
        <v>45104</v>
      </c>
      <c r="C838" s="1" t="n">
        <v>46050</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28813-2023</t>
        </is>
      </c>
      <c r="B839" s="1" t="n">
        <v>45104</v>
      </c>
      <c r="C839" s="1" t="n">
        <v>46050</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40656-2022</t>
        </is>
      </c>
      <c r="B840" s="1" t="n">
        <v>44824.36069444445</v>
      </c>
      <c r="C840" s="1" t="n">
        <v>46050</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60694-2024</t>
        </is>
      </c>
      <c r="B841" s="1" t="n">
        <v>45644.47878472223</v>
      </c>
      <c r="C841" s="1" t="n">
        <v>46050</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19450-2025</t>
        </is>
      </c>
      <c r="B842" s="1" t="n">
        <v>45770</v>
      </c>
      <c r="C842" s="1" t="n">
        <v>46050</v>
      </c>
      <c r="D842" t="inlineStr">
        <is>
          <t>STOCKHOLMS LÄN</t>
        </is>
      </c>
      <c r="E842" t="inlineStr">
        <is>
          <t>NORRTÄLJE</t>
        </is>
      </c>
      <c r="G842" t="n">
        <v>5.3</v>
      </c>
      <c r="H842" t="n">
        <v>0</v>
      </c>
      <c r="I842" t="n">
        <v>0</v>
      </c>
      <c r="J842" t="n">
        <v>0</v>
      </c>
      <c r="K842" t="n">
        <v>0</v>
      </c>
      <c r="L842" t="n">
        <v>0</v>
      </c>
      <c r="M842" t="n">
        <v>0</v>
      </c>
      <c r="N842" t="n">
        <v>0</v>
      </c>
      <c r="O842" t="n">
        <v>0</v>
      </c>
      <c r="P842" t="n">
        <v>0</v>
      </c>
      <c r="Q842" t="n">
        <v>0</v>
      </c>
      <c r="R842" s="2" t="inlineStr"/>
    </row>
    <row r="843" ht="15" customHeight="1">
      <c r="A843" t="inlineStr">
        <is>
          <t>A 60214-2025</t>
        </is>
      </c>
      <c r="B843" s="1" t="n">
        <v>45994.53761574074</v>
      </c>
      <c r="C843" s="1" t="n">
        <v>46050</v>
      </c>
      <c r="D843" t="inlineStr">
        <is>
          <t>STOCKHOLMS LÄN</t>
        </is>
      </c>
      <c r="E843" t="inlineStr">
        <is>
          <t>NORRTÄLJE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2088-2026</t>
        </is>
      </c>
      <c r="B844" s="1" t="n">
        <v>46036.35909722222</v>
      </c>
      <c r="C844" s="1" t="n">
        <v>46050</v>
      </c>
      <c r="D844" t="inlineStr">
        <is>
          <t>STOCKHOLMS LÄN</t>
        </is>
      </c>
      <c r="E844" t="inlineStr">
        <is>
          <t>NORRTÄLJE</t>
        </is>
      </c>
      <c r="G844" t="n">
        <v>7</v>
      </c>
      <c r="H844" t="n">
        <v>0</v>
      </c>
      <c r="I844" t="n">
        <v>0</v>
      </c>
      <c r="J844" t="n">
        <v>0</v>
      </c>
      <c r="K844" t="n">
        <v>0</v>
      </c>
      <c r="L844" t="n">
        <v>0</v>
      </c>
      <c r="M844" t="n">
        <v>0</v>
      </c>
      <c r="N844" t="n">
        <v>0</v>
      </c>
      <c r="O844" t="n">
        <v>0</v>
      </c>
      <c r="P844" t="n">
        <v>0</v>
      </c>
      <c r="Q844" t="n">
        <v>0</v>
      </c>
      <c r="R844" s="2" t="inlineStr"/>
    </row>
    <row r="845" ht="15" customHeight="1">
      <c r="A845" t="inlineStr">
        <is>
          <t>A 60223-2025</t>
        </is>
      </c>
      <c r="B845" s="1" t="n">
        <v>45994.54497685185</v>
      </c>
      <c r="C845" s="1" t="n">
        <v>46050</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33353-2023</t>
        </is>
      </c>
      <c r="B846" s="1" t="n">
        <v>45128</v>
      </c>
      <c r="C846" s="1" t="n">
        <v>46050</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60745-2025</t>
        </is>
      </c>
      <c r="B847" s="1" t="n">
        <v>45999.37753472223</v>
      </c>
      <c r="C847" s="1" t="n">
        <v>46050</v>
      </c>
      <c r="D847" t="inlineStr">
        <is>
          <t>STOCKHOLMS LÄN</t>
        </is>
      </c>
      <c r="E847" t="inlineStr">
        <is>
          <t>NORRTÄLJE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3966-2024</t>
        </is>
      </c>
      <c r="B848" s="1" t="n">
        <v>45322</v>
      </c>
      <c r="C848" s="1" t="n">
        <v>46050</v>
      </c>
      <c r="D848" t="inlineStr">
        <is>
          <t>STOCKHOLMS LÄN</t>
        </is>
      </c>
      <c r="E848" t="inlineStr">
        <is>
          <t>NORRTÄLJE</t>
        </is>
      </c>
      <c r="G848" t="n">
        <v>5.3</v>
      </c>
      <c r="H848" t="n">
        <v>0</v>
      </c>
      <c r="I848" t="n">
        <v>0</v>
      </c>
      <c r="J848" t="n">
        <v>0</v>
      </c>
      <c r="K848" t="n">
        <v>0</v>
      </c>
      <c r="L848" t="n">
        <v>0</v>
      </c>
      <c r="M848" t="n">
        <v>0</v>
      </c>
      <c r="N848" t="n">
        <v>0</v>
      </c>
      <c r="O848" t="n">
        <v>0</v>
      </c>
      <c r="P848" t="n">
        <v>0</v>
      </c>
      <c r="Q848" t="n">
        <v>0</v>
      </c>
      <c r="R848" s="2" t="inlineStr"/>
    </row>
    <row r="849" ht="15" customHeight="1">
      <c r="A849" t="inlineStr">
        <is>
          <t>A 60649-2025</t>
        </is>
      </c>
      <c r="B849" s="1" t="n">
        <v>45996.4560300926</v>
      </c>
      <c r="C849" s="1" t="n">
        <v>46050</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60948-2025</t>
        </is>
      </c>
      <c r="B850" s="1" t="n">
        <v>45999.650625</v>
      </c>
      <c r="C850" s="1" t="n">
        <v>46050</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1789-2026</t>
        </is>
      </c>
      <c r="B851" s="1" t="n">
        <v>46034</v>
      </c>
      <c r="C851" s="1" t="n">
        <v>46050</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23262-2023</t>
        </is>
      </c>
      <c r="B852" s="1" t="n">
        <v>45075.90270833333</v>
      </c>
      <c r="C852" s="1" t="n">
        <v>46050</v>
      </c>
      <c r="D852" t="inlineStr">
        <is>
          <t>STOCKHOLMS LÄN</t>
        </is>
      </c>
      <c r="E852" t="inlineStr">
        <is>
          <t>NORRTÄLJE</t>
        </is>
      </c>
      <c r="F852" t="inlineStr">
        <is>
          <t>Kommuner</t>
        </is>
      </c>
      <c r="G852" t="n">
        <v>1.9</v>
      </c>
      <c r="H852" t="n">
        <v>0</v>
      </c>
      <c r="I852" t="n">
        <v>0</v>
      </c>
      <c r="J852" t="n">
        <v>0</v>
      </c>
      <c r="K852" t="n">
        <v>0</v>
      </c>
      <c r="L852" t="n">
        <v>0</v>
      </c>
      <c r="M852" t="n">
        <v>0</v>
      </c>
      <c r="N852" t="n">
        <v>0</v>
      </c>
      <c r="O852" t="n">
        <v>0</v>
      </c>
      <c r="P852" t="n">
        <v>0</v>
      </c>
      <c r="Q852" t="n">
        <v>0</v>
      </c>
      <c r="R852" s="2" t="inlineStr"/>
    </row>
    <row r="853" ht="15" customHeight="1">
      <c r="A853" t="inlineStr">
        <is>
          <t>A 23268-2023</t>
        </is>
      </c>
      <c r="B853" s="1" t="n">
        <v>45075.91042824074</v>
      </c>
      <c r="C853" s="1" t="n">
        <v>46050</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23270-2023</t>
        </is>
      </c>
      <c r="B854" s="1" t="n">
        <v>45075.91265046296</v>
      </c>
      <c r="C854" s="1" t="n">
        <v>46050</v>
      </c>
      <c r="D854" t="inlineStr">
        <is>
          <t>STOCKHOLMS LÄN</t>
        </is>
      </c>
      <c r="E854" t="inlineStr">
        <is>
          <t>NORRTÄLJE</t>
        </is>
      </c>
      <c r="G854" t="n">
        <v>12.3</v>
      </c>
      <c r="H854" t="n">
        <v>0</v>
      </c>
      <c r="I854" t="n">
        <v>0</v>
      </c>
      <c r="J854" t="n">
        <v>0</v>
      </c>
      <c r="K854" t="n">
        <v>0</v>
      </c>
      <c r="L854" t="n">
        <v>0</v>
      </c>
      <c r="M854" t="n">
        <v>0</v>
      </c>
      <c r="N854" t="n">
        <v>0</v>
      </c>
      <c r="O854" t="n">
        <v>0</v>
      </c>
      <c r="P854" t="n">
        <v>0</v>
      </c>
      <c r="Q854" t="n">
        <v>0</v>
      </c>
      <c r="R854" s="2" t="inlineStr"/>
    </row>
    <row r="855" ht="15" customHeight="1">
      <c r="A855" t="inlineStr">
        <is>
          <t>A 23274-2023</t>
        </is>
      </c>
      <c r="B855" s="1" t="n">
        <v>45075.92153935185</v>
      </c>
      <c r="C855" s="1" t="n">
        <v>46050</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60928-2025</t>
        </is>
      </c>
      <c r="B856" s="1" t="n">
        <v>45999.633125</v>
      </c>
      <c r="C856" s="1" t="n">
        <v>46050</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17843-2024</t>
        </is>
      </c>
      <c r="B857" s="1" t="n">
        <v>45418</v>
      </c>
      <c r="C857" s="1" t="n">
        <v>46050</v>
      </c>
      <c r="D857" t="inlineStr">
        <is>
          <t>STOCKHOLMS LÄN</t>
        </is>
      </c>
      <c r="E857" t="inlineStr">
        <is>
          <t>NORRTÄLJE</t>
        </is>
      </c>
      <c r="G857" t="n">
        <v>5.4</v>
      </c>
      <c r="H857" t="n">
        <v>0</v>
      </c>
      <c r="I857" t="n">
        <v>0</v>
      </c>
      <c r="J857" t="n">
        <v>0</v>
      </c>
      <c r="K857" t="n">
        <v>0</v>
      </c>
      <c r="L857" t="n">
        <v>0</v>
      </c>
      <c r="M857" t="n">
        <v>0</v>
      </c>
      <c r="N857" t="n">
        <v>0</v>
      </c>
      <c r="O857" t="n">
        <v>0</v>
      </c>
      <c r="P857" t="n">
        <v>0</v>
      </c>
      <c r="Q857" t="n">
        <v>0</v>
      </c>
      <c r="R857" s="2" t="inlineStr"/>
    </row>
    <row r="858" ht="15" customHeight="1">
      <c r="A858" t="inlineStr">
        <is>
          <t>A 26636-2023</t>
        </is>
      </c>
      <c r="B858" s="1" t="n">
        <v>45092</v>
      </c>
      <c r="C858" s="1" t="n">
        <v>46050</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26637-2023</t>
        </is>
      </c>
      <c r="B859" s="1" t="n">
        <v>45092</v>
      </c>
      <c r="C859" s="1" t="n">
        <v>46050</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3933-2026</t>
        </is>
      </c>
      <c r="B860" s="1" t="n">
        <v>46043.79916666666</v>
      </c>
      <c r="C860" s="1" t="n">
        <v>46050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72704-2021</t>
        </is>
      </c>
      <c r="B861" s="1" t="n">
        <v>44546</v>
      </c>
      <c r="C861" s="1" t="n">
        <v>46050</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52743-2024</t>
        </is>
      </c>
      <c r="B862" s="1" t="n">
        <v>45610.47414351852</v>
      </c>
      <c r="C862" s="1" t="n">
        <v>46050</v>
      </c>
      <c r="D862" t="inlineStr">
        <is>
          <t>STOCKHOLMS LÄN</t>
        </is>
      </c>
      <c r="E862" t="inlineStr">
        <is>
          <t>NORRTÄLJE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16852-2024</t>
        </is>
      </c>
      <c r="B863" s="1" t="n">
        <v>45411.54768518519</v>
      </c>
      <c r="C863" s="1" t="n">
        <v>46050</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61160-2025</t>
        </is>
      </c>
      <c r="B864" s="1" t="n">
        <v>46000.55262731481</v>
      </c>
      <c r="C864" s="1" t="n">
        <v>46050</v>
      </c>
      <c r="D864" t="inlineStr">
        <is>
          <t>STOCKHOLMS LÄN</t>
        </is>
      </c>
      <c r="E864" t="inlineStr">
        <is>
          <t>NORRTÄLJE</t>
        </is>
      </c>
      <c r="G864" t="n">
        <v>5.3</v>
      </c>
      <c r="H864" t="n">
        <v>0</v>
      </c>
      <c r="I864" t="n">
        <v>0</v>
      </c>
      <c r="J864" t="n">
        <v>0</v>
      </c>
      <c r="K864" t="n">
        <v>0</v>
      </c>
      <c r="L864" t="n">
        <v>0</v>
      </c>
      <c r="M864" t="n">
        <v>0</v>
      </c>
      <c r="N864" t="n">
        <v>0</v>
      </c>
      <c r="O864" t="n">
        <v>0</v>
      </c>
      <c r="P864" t="n">
        <v>0</v>
      </c>
      <c r="Q864" t="n">
        <v>0</v>
      </c>
      <c r="R864" s="2" t="inlineStr"/>
    </row>
    <row r="865" ht="15" customHeight="1">
      <c r="A865" t="inlineStr">
        <is>
          <t>A 61419-2025</t>
        </is>
      </c>
      <c r="B865" s="1" t="n">
        <v>46001.54137731482</v>
      </c>
      <c r="C865" s="1" t="n">
        <v>46050</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61430-2025</t>
        </is>
      </c>
      <c r="B866" s="1" t="n">
        <v>46001.55583333333</v>
      </c>
      <c r="C866" s="1" t="n">
        <v>46050</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55755-2023</t>
        </is>
      </c>
      <c r="B867" s="1" t="n">
        <v>45239</v>
      </c>
      <c r="C867" s="1" t="n">
        <v>46050</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3549-2026</t>
        </is>
      </c>
      <c r="B868" s="1" t="n">
        <v>46042.64372685185</v>
      </c>
      <c r="C868" s="1" t="n">
        <v>46050</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61452-2025</t>
        </is>
      </c>
      <c r="B869" s="1" t="n">
        <v>46001.58043981482</v>
      </c>
      <c r="C869" s="1" t="n">
        <v>46050</v>
      </c>
      <c r="D869" t="inlineStr">
        <is>
          <t>STOCKHOLMS LÄN</t>
        </is>
      </c>
      <c r="E869" t="inlineStr">
        <is>
          <t>NORRTÄLJE</t>
        </is>
      </c>
      <c r="F869" t="inlineStr">
        <is>
          <t>Holmen skog AB</t>
        </is>
      </c>
      <c r="G869" t="n">
        <v>3.7</v>
      </c>
      <c r="H869" t="n">
        <v>0</v>
      </c>
      <c r="I869" t="n">
        <v>0</v>
      </c>
      <c r="J869" t="n">
        <v>0</v>
      </c>
      <c r="K869" t="n">
        <v>0</v>
      </c>
      <c r="L869" t="n">
        <v>0</v>
      </c>
      <c r="M869" t="n">
        <v>0</v>
      </c>
      <c r="N869" t="n">
        <v>0</v>
      </c>
      <c r="O869" t="n">
        <v>0</v>
      </c>
      <c r="P869" t="n">
        <v>0</v>
      </c>
      <c r="Q869" t="n">
        <v>0</v>
      </c>
      <c r="R869" s="2" t="inlineStr"/>
    </row>
    <row r="870" ht="15" customHeight="1">
      <c r="A870" t="inlineStr">
        <is>
          <t>A 17348-2024</t>
        </is>
      </c>
      <c r="B870" s="1" t="n">
        <v>45414.58650462963</v>
      </c>
      <c r="C870" s="1" t="n">
        <v>46050</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61289-2025</t>
        </is>
      </c>
      <c r="B871" s="1" t="n">
        <v>46000.73659722223</v>
      </c>
      <c r="C871" s="1" t="n">
        <v>46050</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61769-2025</t>
        </is>
      </c>
      <c r="B872" s="1" t="n">
        <v>46002.64556712963</v>
      </c>
      <c r="C872" s="1" t="n">
        <v>46050</v>
      </c>
      <c r="D872" t="inlineStr">
        <is>
          <t>STOCKHOLMS LÄN</t>
        </is>
      </c>
      <c r="E872" t="inlineStr">
        <is>
          <t>NORRTÄLJE</t>
        </is>
      </c>
      <c r="G872" t="n">
        <v>2.9</v>
      </c>
      <c r="H872" t="n">
        <v>0</v>
      </c>
      <c r="I872" t="n">
        <v>0</v>
      </c>
      <c r="J872" t="n">
        <v>0</v>
      </c>
      <c r="K872" t="n">
        <v>0</v>
      </c>
      <c r="L872" t="n">
        <v>0</v>
      </c>
      <c r="M872" t="n">
        <v>0</v>
      </c>
      <c r="N872" t="n">
        <v>0</v>
      </c>
      <c r="O872" t="n">
        <v>0</v>
      </c>
      <c r="P872" t="n">
        <v>0</v>
      </c>
      <c r="Q872" t="n">
        <v>0</v>
      </c>
      <c r="R872" s="2" t="inlineStr"/>
    </row>
    <row r="873" ht="15" customHeight="1">
      <c r="A873" t="inlineStr">
        <is>
          <t>A 13089-2022</t>
        </is>
      </c>
      <c r="B873" s="1" t="n">
        <v>44643</v>
      </c>
      <c r="C873" s="1" t="n">
        <v>46050</v>
      </c>
      <c r="D873" t="inlineStr">
        <is>
          <t>STOCKHOLMS LÄN</t>
        </is>
      </c>
      <c r="E873" t="inlineStr">
        <is>
          <t>NORRTÄLJE</t>
        </is>
      </c>
      <c r="G873" t="n">
        <v>4.5</v>
      </c>
      <c r="H873" t="n">
        <v>0</v>
      </c>
      <c r="I873" t="n">
        <v>0</v>
      </c>
      <c r="J873" t="n">
        <v>0</v>
      </c>
      <c r="K873" t="n">
        <v>0</v>
      </c>
      <c r="L873" t="n">
        <v>0</v>
      </c>
      <c r="M873" t="n">
        <v>0</v>
      </c>
      <c r="N873" t="n">
        <v>0</v>
      </c>
      <c r="O873" t="n">
        <v>0</v>
      </c>
      <c r="P873" t="n">
        <v>0</v>
      </c>
      <c r="Q873" t="n">
        <v>0</v>
      </c>
      <c r="R873" s="2" t="inlineStr"/>
    </row>
    <row r="874" ht="15" customHeight="1">
      <c r="A874" t="inlineStr">
        <is>
          <t>A 4235-2026</t>
        </is>
      </c>
      <c r="B874" s="1" t="n">
        <v>46044.89895833333</v>
      </c>
      <c r="C874" s="1" t="n">
        <v>46050</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48145-2024</t>
        </is>
      </c>
      <c r="B875" s="1" t="n">
        <v>45589.6756712963</v>
      </c>
      <c r="C875" s="1" t="n">
        <v>46050</v>
      </c>
      <c r="D875" t="inlineStr">
        <is>
          <t>STOCKHOLMS LÄN</t>
        </is>
      </c>
      <c r="E875" t="inlineStr">
        <is>
          <t>NORRTÄLJE</t>
        </is>
      </c>
      <c r="G875" t="n">
        <v>3.4</v>
      </c>
      <c r="H875" t="n">
        <v>0</v>
      </c>
      <c r="I875" t="n">
        <v>0</v>
      </c>
      <c r="J875" t="n">
        <v>0</v>
      </c>
      <c r="K875" t="n">
        <v>0</v>
      </c>
      <c r="L875" t="n">
        <v>0</v>
      </c>
      <c r="M875" t="n">
        <v>0</v>
      </c>
      <c r="N875" t="n">
        <v>0</v>
      </c>
      <c r="O875" t="n">
        <v>0</v>
      </c>
      <c r="P875" t="n">
        <v>0</v>
      </c>
      <c r="Q875" t="n">
        <v>0</v>
      </c>
      <c r="R875" s="2" t="inlineStr"/>
    </row>
    <row r="876" ht="15" customHeight="1">
      <c r="A876" t="inlineStr">
        <is>
          <t>A 39610-2025</t>
        </is>
      </c>
      <c r="B876" s="1" t="n">
        <v>45890</v>
      </c>
      <c r="C876" s="1" t="n">
        <v>46050</v>
      </c>
      <c r="D876" t="inlineStr">
        <is>
          <t>STOCKHOLMS LÄN</t>
        </is>
      </c>
      <c r="E876" t="inlineStr">
        <is>
          <t>NORRTÄLJE</t>
        </is>
      </c>
      <c r="G876" t="n">
        <v>28.6</v>
      </c>
      <c r="H876" t="n">
        <v>0</v>
      </c>
      <c r="I876" t="n">
        <v>0</v>
      </c>
      <c r="J876" t="n">
        <v>0</v>
      </c>
      <c r="K876" t="n">
        <v>0</v>
      </c>
      <c r="L876" t="n">
        <v>0</v>
      </c>
      <c r="M876" t="n">
        <v>0</v>
      </c>
      <c r="N876" t="n">
        <v>0</v>
      </c>
      <c r="O876" t="n">
        <v>0</v>
      </c>
      <c r="P876" t="n">
        <v>0</v>
      </c>
      <c r="Q876" t="n">
        <v>0</v>
      </c>
      <c r="R876" s="2" t="inlineStr"/>
    </row>
    <row r="877" ht="15" customHeight="1">
      <c r="A877" t="inlineStr">
        <is>
          <t>A 23998-2024</t>
        </is>
      </c>
      <c r="B877" s="1" t="n">
        <v>45456</v>
      </c>
      <c r="C877" s="1" t="n">
        <v>46050</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61764-2025</t>
        </is>
      </c>
      <c r="B878" s="1" t="n">
        <v>46002.62763888889</v>
      </c>
      <c r="C878" s="1" t="n">
        <v>46050</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15447-2023</t>
        </is>
      </c>
      <c r="B879" s="1" t="n">
        <v>45020</v>
      </c>
      <c r="C879" s="1" t="n">
        <v>46050</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4232-2026</t>
        </is>
      </c>
      <c r="B880" s="1" t="n">
        <v>46044.89594907407</v>
      </c>
      <c r="C880" s="1" t="n">
        <v>46050</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54358-2022</t>
        </is>
      </c>
      <c r="B881" s="1" t="n">
        <v>44882</v>
      </c>
      <c r="C881" s="1" t="n">
        <v>46050</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23263-2023</t>
        </is>
      </c>
      <c r="B882" s="1" t="n">
        <v>45075</v>
      </c>
      <c r="C882" s="1" t="n">
        <v>46050</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23264-2023</t>
        </is>
      </c>
      <c r="B883" s="1" t="n">
        <v>45075</v>
      </c>
      <c r="C883" s="1" t="n">
        <v>46050</v>
      </c>
      <c r="D883" t="inlineStr">
        <is>
          <t>STOCKHOLMS LÄN</t>
        </is>
      </c>
      <c r="E883" t="inlineStr">
        <is>
          <t>NORRTÄLJE</t>
        </is>
      </c>
      <c r="G883" t="n">
        <v>2.9</v>
      </c>
      <c r="H883" t="n">
        <v>0</v>
      </c>
      <c r="I883" t="n">
        <v>0</v>
      </c>
      <c r="J883" t="n">
        <v>0</v>
      </c>
      <c r="K883" t="n">
        <v>0</v>
      </c>
      <c r="L883" t="n">
        <v>0</v>
      </c>
      <c r="M883" t="n">
        <v>0</v>
      </c>
      <c r="N883" t="n">
        <v>0</v>
      </c>
      <c r="O883" t="n">
        <v>0</v>
      </c>
      <c r="P883" t="n">
        <v>0</v>
      </c>
      <c r="Q883" t="n">
        <v>0</v>
      </c>
      <c r="R883" s="2" t="inlineStr"/>
    </row>
    <row r="884" ht="15" customHeight="1">
      <c r="A884" t="inlineStr">
        <is>
          <t>A 23267-2023</t>
        </is>
      </c>
      <c r="B884" s="1" t="n">
        <v>45075.90934027778</v>
      </c>
      <c r="C884" s="1" t="n">
        <v>46050</v>
      </c>
      <c r="D884" t="inlineStr">
        <is>
          <t>STOCKHOLMS LÄN</t>
        </is>
      </c>
      <c r="E884" t="inlineStr">
        <is>
          <t>NORRTÄLJE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23269-2023</t>
        </is>
      </c>
      <c r="B885" s="1" t="n">
        <v>45075.91148148148</v>
      </c>
      <c r="C885" s="1" t="n">
        <v>46050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19911-2025</t>
        </is>
      </c>
      <c r="B886" s="1" t="n">
        <v>45771</v>
      </c>
      <c r="C886" s="1" t="n">
        <v>46050</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4231-2026</t>
        </is>
      </c>
      <c r="B887" s="1" t="n">
        <v>46044.89506944444</v>
      </c>
      <c r="C887" s="1" t="n">
        <v>46050</v>
      </c>
      <c r="D887" t="inlineStr">
        <is>
          <t>STOCKHOLMS LÄN</t>
        </is>
      </c>
      <c r="E887" t="inlineStr">
        <is>
          <t>NORRTÄLJE</t>
        </is>
      </c>
      <c r="G887" t="n">
        <v>2.9</v>
      </c>
      <c r="H887" t="n">
        <v>0</v>
      </c>
      <c r="I887" t="n">
        <v>0</v>
      </c>
      <c r="J887" t="n">
        <v>0</v>
      </c>
      <c r="K887" t="n">
        <v>0</v>
      </c>
      <c r="L887" t="n">
        <v>0</v>
      </c>
      <c r="M887" t="n">
        <v>0</v>
      </c>
      <c r="N887" t="n">
        <v>0</v>
      </c>
      <c r="O887" t="n">
        <v>0</v>
      </c>
      <c r="P887" t="n">
        <v>0</v>
      </c>
      <c r="Q887" t="n">
        <v>0</v>
      </c>
      <c r="R887" s="2" t="inlineStr"/>
    </row>
    <row r="888" ht="15" customHeight="1">
      <c r="A888" t="inlineStr">
        <is>
          <t>A 4227-2026</t>
        </is>
      </c>
      <c r="B888" s="1" t="n">
        <v>46044.87450231481</v>
      </c>
      <c r="C888" s="1" t="n">
        <v>46050</v>
      </c>
      <c r="D888" t="inlineStr">
        <is>
          <t>STOCKHOLMS LÄN</t>
        </is>
      </c>
      <c r="E888" t="inlineStr">
        <is>
          <t>NORRTÄLJE</t>
        </is>
      </c>
      <c r="G888" t="n">
        <v>3.6</v>
      </c>
      <c r="H888" t="n">
        <v>0</v>
      </c>
      <c r="I888" t="n">
        <v>0</v>
      </c>
      <c r="J888" t="n">
        <v>0</v>
      </c>
      <c r="K888" t="n">
        <v>0</v>
      </c>
      <c r="L888" t="n">
        <v>0</v>
      </c>
      <c r="M888" t="n">
        <v>0</v>
      </c>
      <c r="N888" t="n">
        <v>0</v>
      </c>
      <c r="O888" t="n">
        <v>0</v>
      </c>
      <c r="P888" t="n">
        <v>0</v>
      </c>
      <c r="Q888" t="n">
        <v>0</v>
      </c>
      <c r="R888" s="2" t="inlineStr"/>
    </row>
    <row r="889" ht="15" customHeight="1">
      <c r="A889" t="inlineStr">
        <is>
          <t>A 4230-2026</t>
        </is>
      </c>
      <c r="B889" s="1" t="n">
        <v>46044.89366898148</v>
      </c>
      <c r="C889" s="1" t="n">
        <v>46050</v>
      </c>
      <c r="D889" t="inlineStr">
        <is>
          <t>STOCKHOLMS LÄN</t>
        </is>
      </c>
      <c r="E889" t="inlineStr">
        <is>
          <t>NORRTÄLJE</t>
        </is>
      </c>
      <c r="G889" t="n">
        <v>10.8</v>
      </c>
      <c r="H889" t="n">
        <v>0</v>
      </c>
      <c r="I889" t="n">
        <v>0</v>
      </c>
      <c r="J889" t="n">
        <v>0</v>
      </c>
      <c r="K889" t="n">
        <v>0</v>
      </c>
      <c r="L889" t="n">
        <v>0</v>
      </c>
      <c r="M889" t="n">
        <v>0</v>
      </c>
      <c r="N889" t="n">
        <v>0</v>
      </c>
      <c r="O889" t="n">
        <v>0</v>
      </c>
      <c r="P889" t="n">
        <v>0</v>
      </c>
      <c r="Q889" t="n">
        <v>0</v>
      </c>
      <c r="R889" s="2" t="inlineStr"/>
    </row>
    <row r="890" ht="15" customHeight="1">
      <c r="A890" t="inlineStr">
        <is>
          <t>A 5831-2022</t>
        </is>
      </c>
      <c r="B890" s="1" t="n">
        <v>44596</v>
      </c>
      <c r="C890" s="1" t="n">
        <v>46050</v>
      </c>
      <c r="D890" t="inlineStr">
        <is>
          <t>STOCKHOLMS LÄN</t>
        </is>
      </c>
      <c r="E890" t="inlineStr">
        <is>
          <t>NORRTÄLJE</t>
        </is>
      </c>
      <c r="G890" t="n">
        <v>4.8</v>
      </c>
      <c r="H890" t="n">
        <v>0</v>
      </c>
      <c r="I890" t="n">
        <v>0</v>
      </c>
      <c r="J890" t="n">
        <v>0</v>
      </c>
      <c r="K890" t="n">
        <v>0</v>
      </c>
      <c r="L890" t="n">
        <v>0</v>
      </c>
      <c r="M890" t="n">
        <v>0</v>
      </c>
      <c r="N890" t="n">
        <v>0</v>
      </c>
      <c r="O890" t="n">
        <v>0</v>
      </c>
      <c r="P890" t="n">
        <v>0</v>
      </c>
      <c r="Q890" t="n">
        <v>0</v>
      </c>
      <c r="R890" s="2" t="inlineStr"/>
    </row>
    <row r="891" ht="15" customHeight="1">
      <c r="A891" t="inlineStr">
        <is>
          <t>A 5867-2022</t>
        </is>
      </c>
      <c r="B891" s="1" t="n">
        <v>44596.66335648148</v>
      </c>
      <c r="C891" s="1" t="n">
        <v>46050</v>
      </c>
      <c r="D891" t="inlineStr">
        <is>
          <t>STOCKHOLMS LÄN</t>
        </is>
      </c>
      <c r="E891" t="inlineStr">
        <is>
          <t>NORRTÄLJE</t>
        </is>
      </c>
      <c r="F891" t="inlineStr">
        <is>
          <t>Naturvårdsverket</t>
        </is>
      </c>
      <c r="G891" t="n">
        <v>1.6</v>
      </c>
      <c r="H891" t="n">
        <v>0</v>
      </c>
      <c r="I891" t="n">
        <v>0</v>
      </c>
      <c r="J891" t="n">
        <v>0</v>
      </c>
      <c r="K891" t="n">
        <v>0</v>
      </c>
      <c r="L891" t="n">
        <v>0</v>
      </c>
      <c r="M891" t="n">
        <v>0</v>
      </c>
      <c r="N891" t="n">
        <v>0</v>
      </c>
      <c r="O891" t="n">
        <v>0</v>
      </c>
      <c r="P891" t="n">
        <v>0</v>
      </c>
      <c r="Q891" t="n">
        <v>0</v>
      </c>
      <c r="R891" s="2" t="inlineStr"/>
    </row>
    <row r="892" ht="15" customHeight="1">
      <c r="A892" t="inlineStr">
        <is>
          <t>A 20244-2025</t>
        </is>
      </c>
      <c r="B892" s="1" t="n">
        <v>45772.71221064815</v>
      </c>
      <c r="C892" s="1" t="n">
        <v>46050</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48633-2023</t>
        </is>
      </c>
      <c r="B893" s="1" t="n">
        <v>45208.58004629629</v>
      </c>
      <c r="C893" s="1" t="n">
        <v>46050</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5227-2026</t>
        </is>
      </c>
      <c r="B894" s="1" t="n">
        <v>46049.80460648148</v>
      </c>
      <c r="C894" s="1" t="n">
        <v>46050</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5241-2026</t>
        </is>
      </c>
      <c r="B895" s="1" t="n">
        <v>46049.86471064815</v>
      </c>
      <c r="C895" s="1" t="n">
        <v>46050</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5224-2026</t>
        </is>
      </c>
      <c r="B896" s="1" t="n">
        <v>46049.79521990741</v>
      </c>
      <c r="C896" s="1" t="n">
        <v>46050</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39669-2024</t>
        </is>
      </c>
      <c r="B897" s="1" t="n">
        <v>45552.52827546297</v>
      </c>
      <c r="C897" s="1" t="n">
        <v>46050</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4886-2026</t>
        </is>
      </c>
      <c r="B898" s="1" t="n">
        <v>46048.66328703704</v>
      </c>
      <c r="C898" s="1" t="n">
        <v>46050</v>
      </c>
      <c r="D898" t="inlineStr">
        <is>
          <t>STOCKHOLMS LÄN</t>
        </is>
      </c>
      <c r="E898" t="inlineStr">
        <is>
          <t>NORRTÄLJE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4549-2026</t>
        </is>
      </c>
      <c r="B899" s="1" t="n">
        <v>46047.53840277778</v>
      </c>
      <c r="C899" s="1" t="n">
        <v>46050</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5226-2026</t>
        </is>
      </c>
      <c r="B900" s="1" t="n">
        <v>46049.79961805556</v>
      </c>
      <c r="C900" s="1" t="n">
        <v>46050</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33279-2025</t>
        </is>
      </c>
      <c r="B901" s="1" t="n">
        <v>45840</v>
      </c>
      <c r="C901" s="1" t="n">
        <v>46050</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53499-2025</t>
        </is>
      </c>
      <c r="B902" s="1" t="n">
        <v>45960</v>
      </c>
      <c r="C902" s="1" t="n">
        <v>46050</v>
      </c>
      <c r="D902" t="inlineStr">
        <is>
          <t>STOCKHOLMS LÄN</t>
        </is>
      </c>
      <c r="E902" t="inlineStr">
        <is>
          <t>NORRTÄLJE</t>
        </is>
      </c>
      <c r="G902" t="n">
        <v>23.8</v>
      </c>
      <c r="H902" t="n">
        <v>0</v>
      </c>
      <c r="I902" t="n">
        <v>0</v>
      </c>
      <c r="J902" t="n">
        <v>0</v>
      </c>
      <c r="K902" t="n">
        <v>0</v>
      </c>
      <c r="L902" t="n">
        <v>0</v>
      </c>
      <c r="M902" t="n">
        <v>0</v>
      </c>
      <c r="N902" t="n">
        <v>0</v>
      </c>
      <c r="O902" t="n">
        <v>0</v>
      </c>
      <c r="P902" t="n">
        <v>0</v>
      </c>
      <c r="Q902" t="n">
        <v>0</v>
      </c>
      <c r="R902" s="2" t="inlineStr"/>
    </row>
    <row r="903" ht="15" customHeight="1">
      <c r="A903" t="inlineStr">
        <is>
          <t>A 43170-2023</t>
        </is>
      </c>
      <c r="B903" s="1" t="n">
        <v>45183</v>
      </c>
      <c r="C903" s="1" t="n">
        <v>46050</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9-2024</t>
        </is>
      </c>
      <c r="B904" s="1" t="n">
        <v>45293</v>
      </c>
      <c r="C904" s="1" t="n">
        <v>46050</v>
      </c>
      <c r="D904" t="inlineStr">
        <is>
          <t>STOCKHOLMS LÄN</t>
        </is>
      </c>
      <c r="E904" t="inlineStr">
        <is>
          <t>NORRTÄLJE</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22832-2021</t>
        </is>
      </c>
      <c r="B905" s="1" t="n">
        <v>44325</v>
      </c>
      <c r="C905" s="1" t="n">
        <v>46050</v>
      </c>
      <c r="D905" t="inlineStr">
        <is>
          <t>STOCKHOLMS LÄN</t>
        </is>
      </c>
      <c r="E905" t="inlineStr">
        <is>
          <t>NORRTÄLJE</t>
        </is>
      </c>
      <c r="G905" t="n">
        <v>6.8</v>
      </c>
      <c r="H905" t="n">
        <v>0</v>
      </c>
      <c r="I905" t="n">
        <v>0</v>
      </c>
      <c r="J905" t="n">
        <v>0</v>
      </c>
      <c r="K905" t="n">
        <v>0</v>
      </c>
      <c r="L905" t="n">
        <v>0</v>
      </c>
      <c r="M905" t="n">
        <v>0</v>
      </c>
      <c r="N905" t="n">
        <v>0</v>
      </c>
      <c r="O905" t="n">
        <v>0</v>
      </c>
      <c r="P905" t="n">
        <v>0</v>
      </c>
      <c r="Q905" t="n">
        <v>0</v>
      </c>
      <c r="R905" s="2" t="inlineStr"/>
    </row>
    <row r="906" ht="15" customHeight="1">
      <c r="A906" t="inlineStr">
        <is>
          <t>A 16913-2025</t>
        </is>
      </c>
      <c r="B906" s="1" t="n">
        <v>45755.36583333334</v>
      </c>
      <c r="C906" s="1" t="n">
        <v>46050</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4035-2023</t>
        </is>
      </c>
      <c r="B907" s="1" t="n">
        <v>44952.57989583333</v>
      </c>
      <c r="C907" s="1" t="n">
        <v>46050</v>
      </c>
      <c r="D907" t="inlineStr">
        <is>
          <t>STOCKHOLMS LÄN</t>
        </is>
      </c>
      <c r="E907" t="inlineStr">
        <is>
          <t>NORRTÄLJE</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33793-2022</t>
        </is>
      </c>
      <c r="B908" s="1" t="n">
        <v>44790</v>
      </c>
      <c r="C908" s="1" t="n">
        <v>46050</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53600-2022</t>
        </is>
      </c>
      <c r="B909" s="1" t="n">
        <v>44879.70518518519</v>
      </c>
      <c r="C909" s="1" t="n">
        <v>46050</v>
      </c>
      <c r="D909" t="inlineStr">
        <is>
          <t>STOCKHOLMS LÄN</t>
        </is>
      </c>
      <c r="E909" t="inlineStr">
        <is>
          <t>NORRTÄLJE</t>
        </is>
      </c>
      <c r="G909" t="n">
        <v>4.3</v>
      </c>
      <c r="H909" t="n">
        <v>0</v>
      </c>
      <c r="I909" t="n">
        <v>0</v>
      </c>
      <c r="J909" t="n">
        <v>0</v>
      </c>
      <c r="K909" t="n">
        <v>0</v>
      </c>
      <c r="L909" t="n">
        <v>0</v>
      </c>
      <c r="M909" t="n">
        <v>0</v>
      </c>
      <c r="N909" t="n">
        <v>0</v>
      </c>
      <c r="O909" t="n">
        <v>0</v>
      </c>
      <c r="P909" t="n">
        <v>0</v>
      </c>
      <c r="Q909" t="n">
        <v>0</v>
      </c>
      <c r="R909" s="2" t="inlineStr"/>
    </row>
    <row r="910" ht="15" customHeight="1">
      <c r="A910" t="inlineStr">
        <is>
          <t>A 7697-2025</t>
        </is>
      </c>
      <c r="B910" s="1" t="n">
        <v>45706.40086805556</v>
      </c>
      <c r="C910" s="1" t="n">
        <v>46050</v>
      </c>
      <c r="D910" t="inlineStr">
        <is>
          <t>STOCKHOLMS LÄN</t>
        </is>
      </c>
      <c r="E910" t="inlineStr">
        <is>
          <t>NORRTÄLJE</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30221-2024</t>
        </is>
      </c>
      <c r="B911" s="1" t="n">
        <v>45490.45342592592</v>
      </c>
      <c r="C911" s="1" t="n">
        <v>46050</v>
      </c>
      <c r="D911" t="inlineStr">
        <is>
          <t>STOCKHOLMS LÄN</t>
        </is>
      </c>
      <c r="E911" t="inlineStr">
        <is>
          <t>NORRTÄLJE</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13-2024</t>
        </is>
      </c>
      <c r="B912" s="1" t="n">
        <v>45293.37263888889</v>
      </c>
      <c r="C912" s="1" t="n">
        <v>46050</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19-2024</t>
        </is>
      </c>
      <c r="B913" s="1" t="n">
        <v>45293</v>
      </c>
      <c r="C913" s="1" t="n">
        <v>46050</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31559-2022</t>
        </is>
      </c>
      <c r="B914" s="1" t="n">
        <v>44775</v>
      </c>
      <c r="C914" s="1" t="n">
        <v>46050</v>
      </c>
      <c r="D914" t="inlineStr">
        <is>
          <t>STOCKHOLMS LÄN</t>
        </is>
      </c>
      <c r="E914" t="inlineStr">
        <is>
          <t>NORRTÄLJE</t>
        </is>
      </c>
      <c r="G914" t="n">
        <v>5.6</v>
      </c>
      <c r="H914" t="n">
        <v>0</v>
      </c>
      <c r="I914" t="n">
        <v>0</v>
      </c>
      <c r="J914" t="n">
        <v>0</v>
      </c>
      <c r="K914" t="n">
        <v>0</v>
      </c>
      <c r="L914" t="n">
        <v>0</v>
      </c>
      <c r="M914" t="n">
        <v>0</v>
      </c>
      <c r="N914" t="n">
        <v>0</v>
      </c>
      <c r="O914" t="n">
        <v>0</v>
      </c>
      <c r="P914" t="n">
        <v>0</v>
      </c>
      <c r="Q914" t="n">
        <v>0</v>
      </c>
      <c r="R914" s="2" t="inlineStr"/>
    </row>
    <row r="915" ht="15" customHeight="1">
      <c r="A915" t="inlineStr">
        <is>
          <t>A 8419-2025</t>
        </is>
      </c>
      <c r="B915" s="1" t="n">
        <v>45709.40231481481</v>
      </c>
      <c r="C915" s="1" t="n">
        <v>46050</v>
      </c>
      <c r="D915" t="inlineStr">
        <is>
          <t>STOCKHOLMS LÄN</t>
        </is>
      </c>
      <c r="E915" t="inlineStr">
        <is>
          <t>NORRTÄLJE</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35161-2022</t>
        </is>
      </c>
      <c r="B916" s="1" t="n">
        <v>44797</v>
      </c>
      <c r="C916" s="1" t="n">
        <v>46050</v>
      </c>
      <c r="D916" t="inlineStr">
        <is>
          <t>STOCKHOLMS LÄN</t>
        </is>
      </c>
      <c r="E916" t="inlineStr">
        <is>
          <t>NORRTÄLJE</t>
        </is>
      </c>
      <c r="G916" t="n">
        <v>6</v>
      </c>
      <c r="H916" t="n">
        <v>0</v>
      </c>
      <c r="I916" t="n">
        <v>0</v>
      </c>
      <c r="J916" t="n">
        <v>0</v>
      </c>
      <c r="K916" t="n">
        <v>0</v>
      </c>
      <c r="L916" t="n">
        <v>0</v>
      </c>
      <c r="M916" t="n">
        <v>0</v>
      </c>
      <c r="N916" t="n">
        <v>0</v>
      </c>
      <c r="O916" t="n">
        <v>0</v>
      </c>
      <c r="P916" t="n">
        <v>0</v>
      </c>
      <c r="Q916" t="n">
        <v>0</v>
      </c>
      <c r="R916" s="2" t="inlineStr"/>
    </row>
    <row r="917" ht="15" customHeight="1">
      <c r="A917" t="inlineStr">
        <is>
          <t>A 58989-2021</t>
        </is>
      </c>
      <c r="B917" s="1" t="n">
        <v>44490.02482638889</v>
      </c>
      <c r="C917" s="1" t="n">
        <v>46050</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46988-2024</t>
        </is>
      </c>
      <c r="B918" s="1" t="n">
        <v>45586</v>
      </c>
      <c r="C918" s="1" t="n">
        <v>46050</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21529-2021</t>
        </is>
      </c>
      <c r="B919" s="1" t="n">
        <v>44321</v>
      </c>
      <c r="C919" s="1" t="n">
        <v>46050</v>
      </c>
      <c r="D919" t="inlineStr">
        <is>
          <t>STOCKHOLMS LÄN</t>
        </is>
      </c>
      <c r="E919" t="inlineStr">
        <is>
          <t>NORRTÄLJE</t>
        </is>
      </c>
      <c r="G919" t="n">
        <v>2.7</v>
      </c>
      <c r="H919" t="n">
        <v>0</v>
      </c>
      <c r="I919" t="n">
        <v>0</v>
      </c>
      <c r="J919" t="n">
        <v>0</v>
      </c>
      <c r="K919" t="n">
        <v>0</v>
      </c>
      <c r="L919" t="n">
        <v>0</v>
      </c>
      <c r="M919" t="n">
        <v>0</v>
      </c>
      <c r="N919" t="n">
        <v>0</v>
      </c>
      <c r="O919" t="n">
        <v>0</v>
      </c>
      <c r="P919" t="n">
        <v>0</v>
      </c>
      <c r="Q919" t="n">
        <v>0</v>
      </c>
      <c r="R919" s="2" t="inlineStr"/>
    </row>
    <row r="920" ht="15" customHeight="1">
      <c r="A920" t="inlineStr">
        <is>
          <t>A 13701-2022</t>
        </is>
      </c>
      <c r="B920" s="1" t="n">
        <v>44648</v>
      </c>
      <c r="C920" s="1" t="n">
        <v>46050</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14132-2025</t>
        </is>
      </c>
      <c r="B921" s="1" t="n">
        <v>45740.47550925926</v>
      </c>
      <c r="C921" s="1" t="n">
        <v>46050</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14133-2025</t>
        </is>
      </c>
      <c r="B922" s="1" t="n">
        <v>45740.47724537037</v>
      </c>
      <c r="C922" s="1" t="n">
        <v>46050</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8792-2025</t>
        </is>
      </c>
      <c r="B923" s="1" t="n">
        <v>45712</v>
      </c>
      <c r="C923" s="1" t="n">
        <v>46050</v>
      </c>
      <c r="D923" t="inlineStr">
        <is>
          <t>STOCKHOLMS LÄN</t>
        </is>
      </c>
      <c r="E923" t="inlineStr">
        <is>
          <t>NORRTÄLJE</t>
        </is>
      </c>
      <c r="F923" t="inlineStr">
        <is>
          <t>Övriga Aktiebolag</t>
        </is>
      </c>
      <c r="G923" t="n">
        <v>6.6</v>
      </c>
      <c r="H923" t="n">
        <v>0</v>
      </c>
      <c r="I923" t="n">
        <v>0</v>
      </c>
      <c r="J923" t="n">
        <v>0</v>
      </c>
      <c r="K923" t="n">
        <v>0</v>
      </c>
      <c r="L923" t="n">
        <v>0</v>
      </c>
      <c r="M923" t="n">
        <v>0</v>
      </c>
      <c r="N923" t="n">
        <v>0</v>
      </c>
      <c r="O923" t="n">
        <v>0</v>
      </c>
      <c r="P923" t="n">
        <v>0</v>
      </c>
      <c r="Q923" t="n">
        <v>0</v>
      </c>
      <c r="R923" s="2" t="inlineStr"/>
    </row>
    <row r="924" ht="15" customHeight="1">
      <c r="A924" t="inlineStr">
        <is>
          <t>A 24887-2023</t>
        </is>
      </c>
      <c r="B924" s="1" t="n">
        <v>45085</v>
      </c>
      <c r="C924" s="1" t="n">
        <v>46050</v>
      </c>
      <c r="D924" t="inlineStr">
        <is>
          <t>STOCKHOLMS LÄN</t>
        </is>
      </c>
      <c r="E924" t="inlineStr">
        <is>
          <t>NORRTÄLJE</t>
        </is>
      </c>
      <c r="G924" t="n">
        <v>13.9</v>
      </c>
      <c r="H924" t="n">
        <v>0</v>
      </c>
      <c r="I924" t="n">
        <v>0</v>
      </c>
      <c r="J924" t="n">
        <v>0</v>
      </c>
      <c r="K924" t="n">
        <v>0</v>
      </c>
      <c r="L924" t="n">
        <v>0</v>
      </c>
      <c r="M924" t="n">
        <v>0</v>
      </c>
      <c r="N924" t="n">
        <v>0</v>
      </c>
      <c r="O924" t="n">
        <v>0</v>
      </c>
      <c r="P924" t="n">
        <v>0</v>
      </c>
      <c r="Q924" t="n">
        <v>0</v>
      </c>
      <c r="R924" s="2" t="inlineStr"/>
    </row>
    <row r="925" ht="15" customHeight="1">
      <c r="A925" t="inlineStr">
        <is>
          <t>A 38612-2022</t>
        </is>
      </c>
      <c r="B925" s="1" t="n">
        <v>44813</v>
      </c>
      <c r="C925" s="1" t="n">
        <v>46050</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4326-2023</t>
        </is>
      </c>
      <c r="B926" s="1" t="n">
        <v>44953.70481481482</v>
      </c>
      <c r="C926" s="1" t="n">
        <v>46050</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54504-2024</t>
        </is>
      </c>
      <c r="B927" s="1" t="n">
        <v>45617.58453703704</v>
      </c>
      <c r="C927" s="1" t="n">
        <v>46050</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21745-2023</t>
        </is>
      </c>
      <c r="B928" s="1" t="n">
        <v>45065.55917824074</v>
      </c>
      <c r="C928" s="1" t="n">
        <v>46050</v>
      </c>
      <c r="D928" t="inlineStr">
        <is>
          <t>STOCKHOLMS LÄN</t>
        </is>
      </c>
      <c r="E928" t="inlineStr">
        <is>
          <t>NORRTÄLJE</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21894-2023</t>
        </is>
      </c>
      <c r="B929" s="1" t="n">
        <v>45068.51783564815</v>
      </c>
      <c r="C929" s="1" t="n">
        <v>46050</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13276-2022</t>
        </is>
      </c>
      <c r="B930" s="1" t="n">
        <v>44644</v>
      </c>
      <c r="C930" s="1" t="n">
        <v>46050</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28182-2022</t>
        </is>
      </c>
      <c r="B931" s="1" t="n">
        <v>44746.58530092592</v>
      </c>
      <c r="C931" s="1" t="n">
        <v>46050</v>
      </c>
      <c r="D931" t="inlineStr">
        <is>
          <t>STOCKHOLMS LÄN</t>
        </is>
      </c>
      <c r="E931" t="inlineStr">
        <is>
          <t>NORRTÄLJE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34461-2023</t>
        </is>
      </c>
      <c r="B932" s="1" t="n">
        <v>45139</v>
      </c>
      <c r="C932" s="1" t="n">
        <v>46050</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51046-2023</t>
        </is>
      </c>
      <c r="B933" s="1" t="n">
        <v>45218</v>
      </c>
      <c r="C933" s="1" t="n">
        <v>46050</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17382-2024</t>
        </is>
      </c>
      <c r="B934" s="1" t="n">
        <v>45414.65855324074</v>
      </c>
      <c r="C934" s="1" t="n">
        <v>46050</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6070-2022</t>
        </is>
      </c>
      <c r="B935" s="1" t="n">
        <v>44599.58428240741</v>
      </c>
      <c r="C935" s="1" t="n">
        <v>46050</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17039-2024</t>
        </is>
      </c>
      <c r="B936" s="1" t="n">
        <v>45412.4104050926</v>
      </c>
      <c r="C936" s="1" t="n">
        <v>46050</v>
      </c>
      <c r="D936" t="inlineStr">
        <is>
          <t>STOCKHOLMS LÄN</t>
        </is>
      </c>
      <c r="E936" t="inlineStr">
        <is>
          <t>NORRTÄLJE</t>
        </is>
      </c>
      <c r="G936" t="n">
        <v>5.9</v>
      </c>
      <c r="H936" t="n">
        <v>0</v>
      </c>
      <c r="I936" t="n">
        <v>0</v>
      </c>
      <c r="J936" t="n">
        <v>0</v>
      </c>
      <c r="K936" t="n">
        <v>0</v>
      </c>
      <c r="L936" t="n">
        <v>0</v>
      </c>
      <c r="M936" t="n">
        <v>0</v>
      </c>
      <c r="N936" t="n">
        <v>0</v>
      </c>
      <c r="O936" t="n">
        <v>0</v>
      </c>
      <c r="P936" t="n">
        <v>0</v>
      </c>
      <c r="Q936" t="n">
        <v>0</v>
      </c>
      <c r="R936" s="2" t="inlineStr"/>
    </row>
    <row r="937" ht="15" customHeight="1">
      <c r="A937" t="inlineStr">
        <is>
          <t>A 48180-2023</t>
        </is>
      </c>
      <c r="B937" s="1" t="n">
        <v>45205</v>
      </c>
      <c r="C937" s="1" t="n">
        <v>46050</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35695-2023</t>
        </is>
      </c>
      <c r="B938" s="1" t="n">
        <v>45147.65407407407</v>
      </c>
      <c r="C938" s="1" t="n">
        <v>46050</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45173-2023</t>
        </is>
      </c>
      <c r="B939" s="1" t="n">
        <v>45191</v>
      </c>
      <c r="C939" s="1" t="n">
        <v>46050</v>
      </c>
      <c r="D939" t="inlineStr">
        <is>
          <t>STOCKHOLMS LÄN</t>
        </is>
      </c>
      <c r="E939" t="inlineStr">
        <is>
          <t>NORRTÄLJE</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24705-2023</t>
        </is>
      </c>
      <c r="B940" s="1" t="n">
        <v>45084.54459490741</v>
      </c>
      <c r="C940" s="1" t="n">
        <v>46050</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21696-2024</t>
        </is>
      </c>
      <c r="B941" s="1" t="n">
        <v>45442.45686342593</v>
      </c>
      <c r="C941" s="1" t="n">
        <v>46050</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67990-2021</t>
        </is>
      </c>
      <c r="B942" s="1" t="n">
        <v>44525</v>
      </c>
      <c r="C942" s="1" t="n">
        <v>46050</v>
      </c>
      <c r="D942" t="inlineStr">
        <is>
          <t>STOCKHOLMS LÄN</t>
        </is>
      </c>
      <c r="E942" t="inlineStr">
        <is>
          <t>NORRTÄLJE</t>
        </is>
      </c>
      <c r="F942" t="inlineStr">
        <is>
          <t>Sveaskog</t>
        </is>
      </c>
      <c r="G942" t="n">
        <v>7.8</v>
      </c>
      <c r="H942" t="n">
        <v>0</v>
      </c>
      <c r="I942" t="n">
        <v>0</v>
      </c>
      <c r="J942" t="n">
        <v>0</v>
      </c>
      <c r="K942" t="n">
        <v>0</v>
      </c>
      <c r="L942" t="n">
        <v>0</v>
      </c>
      <c r="M942" t="n">
        <v>0</v>
      </c>
      <c r="N942" t="n">
        <v>0</v>
      </c>
      <c r="O942" t="n">
        <v>0</v>
      </c>
      <c r="P942" t="n">
        <v>0</v>
      </c>
      <c r="Q942" t="n">
        <v>0</v>
      </c>
      <c r="R942" s="2" t="inlineStr"/>
    </row>
    <row r="943" ht="15" customHeight="1">
      <c r="A943" t="inlineStr">
        <is>
          <t>A 71552-2021</t>
        </is>
      </c>
      <c r="B943" s="1" t="n">
        <v>44540</v>
      </c>
      <c r="C943" s="1" t="n">
        <v>46050</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73992-2021</t>
        </is>
      </c>
      <c r="B944" s="1" t="n">
        <v>44556</v>
      </c>
      <c r="C944" s="1" t="n">
        <v>46050</v>
      </c>
      <c r="D944" t="inlineStr">
        <is>
          <t>STOCKHOLMS LÄN</t>
        </is>
      </c>
      <c r="E944" t="inlineStr">
        <is>
          <t>NORRTÄLJE</t>
        </is>
      </c>
      <c r="G944" t="n">
        <v>12.5</v>
      </c>
      <c r="H944" t="n">
        <v>0</v>
      </c>
      <c r="I944" t="n">
        <v>0</v>
      </c>
      <c r="J944" t="n">
        <v>0</v>
      </c>
      <c r="K944" t="n">
        <v>0</v>
      </c>
      <c r="L944" t="n">
        <v>0</v>
      </c>
      <c r="M944" t="n">
        <v>0</v>
      </c>
      <c r="N944" t="n">
        <v>0</v>
      </c>
      <c r="O944" t="n">
        <v>0</v>
      </c>
      <c r="P944" t="n">
        <v>0</v>
      </c>
      <c r="Q944" t="n">
        <v>0</v>
      </c>
      <c r="R944" s="2" t="inlineStr"/>
    </row>
    <row r="945" ht="15" customHeight="1">
      <c r="A945" t="inlineStr">
        <is>
          <t>A 26113-2024</t>
        </is>
      </c>
      <c r="B945" s="1" t="n">
        <v>45468.45541666666</v>
      </c>
      <c r="C945" s="1" t="n">
        <v>46050</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26116-2024</t>
        </is>
      </c>
      <c r="B946" s="1" t="n">
        <v>45468.45747685185</v>
      </c>
      <c r="C946" s="1" t="n">
        <v>46050</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15978-2024</t>
        </is>
      </c>
      <c r="B947" s="1" t="n">
        <v>45405.57927083333</v>
      </c>
      <c r="C947" s="1" t="n">
        <v>46050</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11333-2025</t>
        </is>
      </c>
      <c r="B948" s="1" t="n">
        <v>45726.48377314815</v>
      </c>
      <c r="C948" s="1" t="n">
        <v>46050</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34391-2023</t>
        </is>
      </c>
      <c r="B949" s="1" t="n">
        <v>45139.51457175926</v>
      </c>
      <c r="C949" s="1" t="n">
        <v>46050</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67921-2021</t>
        </is>
      </c>
      <c r="B950" s="1" t="n">
        <v>44525</v>
      </c>
      <c r="C950" s="1" t="n">
        <v>46050</v>
      </c>
      <c r="D950" t="inlineStr">
        <is>
          <t>STOCKHOLMS LÄN</t>
        </is>
      </c>
      <c r="E950" t="inlineStr">
        <is>
          <t>NORRTÄLJE</t>
        </is>
      </c>
      <c r="G950" t="n">
        <v>6.3</v>
      </c>
      <c r="H950" t="n">
        <v>0</v>
      </c>
      <c r="I950" t="n">
        <v>0</v>
      </c>
      <c r="J950" t="n">
        <v>0</v>
      </c>
      <c r="K950" t="n">
        <v>0</v>
      </c>
      <c r="L950" t="n">
        <v>0</v>
      </c>
      <c r="M950" t="n">
        <v>0</v>
      </c>
      <c r="N950" t="n">
        <v>0</v>
      </c>
      <c r="O950" t="n">
        <v>0</v>
      </c>
      <c r="P950" t="n">
        <v>0</v>
      </c>
      <c r="Q950" t="n">
        <v>0</v>
      </c>
      <c r="R950" s="2" t="inlineStr"/>
    </row>
    <row r="951" ht="15" customHeight="1">
      <c r="A951" t="inlineStr">
        <is>
          <t>A 25681-2024</t>
        </is>
      </c>
      <c r="B951" s="1" t="n">
        <v>45463.80486111111</v>
      </c>
      <c r="C951" s="1" t="n">
        <v>46050</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58853-2024</t>
        </is>
      </c>
      <c r="B952" s="1" t="n">
        <v>45636.38974537037</v>
      </c>
      <c r="C952" s="1" t="n">
        <v>46050</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35438-2023</t>
        </is>
      </c>
      <c r="B953" s="1" t="n">
        <v>45146</v>
      </c>
      <c r="C953" s="1" t="n">
        <v>46050</v>
      </c>
      <c r="D953" t="inlineStr">
        <is>
          <t>STOCKHOLMS LÄN</t>
        </is>
      </c>
      <c r="E953" t="inlineStr">
        <is>
          <t>NORRTÄLJE</t>
        </is>
      </c>
      <c r="F953" t="inlineStr">
        <is>
          <t>Kommuner</t>
        </is>
      </c>
      <c r="G953" t="n">
        <v>1.9</v>
      </c>
      <c r="H953" t="n">
        <v>0</v>
      </c>
      <c r="I953" t="n">
        <v>0</v>
      </c>
      <c r="J953" t="n">
        <v>0</v>
      </c>
      <c r="K953" t="n">
        <v>0</v>
      </c>
      <c r="L953" t="n">
        <v>0</v>
      </c>
      <c r="M953" t="n">
        <v>0</v>
      </c>
      <c r="N953" t="n">
        <v>0</v>
      </c>
      <c r="O953" t="n">
        <v>0</v>
      </c>
      <c r="P953" t="n">
        <v>0</v>
      </c>
      <c r="Q953" t="n">
        <v>0</v>
      </c>
      <c r="R953" s="2" t="inlineStr"/>
    </row>
    <row r="954" ht="15" customHeight="1">
      <c r="A954" t="inlineStr">
        <is>
          <t>A 20291-2022</t>
        </is>
      </c>
      <c r="B954" s="1" t="n">
        <v>44698</v>
      </c>
      <c r="C954" s="1" t="n">
        <v>46050</v>
      </c>
      <c r="D954" t="inlineStr">
        <is>
          <t>STOCKHOLMS LÄN</t>
        </is>
      </c>
      <c r="E954" t="inlineStr">
        <is>
          <t>NORRTÄLJE</t>
        </is>
      </c>
      <c r="F954" t="inlineStr">
        <is>
          <t>Naturvårdsverket</t>
        </is>
      </c>
      <c r="G954" t="n">
        <v>2</v>
      </c>
      <c r="H954" t="n">
        <v>0</v>
      </c>
      <c r="I954" t="n">
        <v>0</v>
      </c>
      <c r="J954" t="n">
        <v>0</v>
      </c>
      <c r="K954" t="n">
        <v>0</v>
      </c>
      <c r="L954" t="n">
        <v>0</v>
      </c>
      <c r="M954" t="n">
        <v>0</v>
      </c>
      <c r="N954" t="n">
        <v>0</v>
      </c>
      <c r="O954" t="n">
        <v>0</v>
      </c>
      <c r="P954" t="n">
        <v>0</v>
      </c>
      <c r="Q954" t="n">
        <v>0</v>
      </c>
      <c r="R954" s="2" t="inlineStr"/>
    </row>
    <row r="955" ht="15" customHeight="1">
      <c r="A955" t="inlineStr">
        <is>
          <t>A 26115-2024</t>
        </is>
      </c>
      <c r="B955" s="1" t="n">
        <v>45468.45628472222</v>
      </c>
      <c r="C955" s="1" t="n">
        <v>46050</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19118-2022</t>
        </is>
      </c>
      <c r="B956" s="1" t="n">
        <v>44691.5652662037</v>
      </c>
      <c r="C956" s="1" t="n">
        <v>46050</v>
      </c>
      <c r="D956" t="inlineStr">
        <is>
          <t>STOCKHOLMS LÄN</t>
        </is>
      </c>
      <c r="E956" t="inlineStr">
        <is>
          <t>NORRTÄLJE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8739-2024</t>
        </is>
      </c>
      <c r="B957" s="1" t="n">
        <v>45356.47784722222</v>
      </c>
      <c r="C957" s="1" t="n">
        <v>46050</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38759-2022</t>
        </is>
      </c>
      <c r="B958" s="1" t="n">
        <v>44816</v>
      </c>
      <c r="C958" s="1" t="n">
        <v>46050</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32857-2021</t>
        </is>
      </c>
      <c r="B959" s="1" t="n">
        <v>44375</v>
      </c>
      <c r="C959" s="1" t="n">
        <v>46050</v>
      </c>
      <c r="D959" t="inlineStr">
        <is>
          <t>STOCKHOLMS LÄN</t>
        </is>
      </c>
      <c r="E959" t="inlineStr">
        <is>
          <t>NORRTÄLJE</t>
        </is>
      </c>
      <c r="G959" t="n">
        <v>2.9</v>
      </c>
      <c r="H959" t="n">
        <v>0</v>
      </c>
      <c r="I959" t="n">
        <v>0</v>
      </c>
      <c r="J959" t="n">
        <v>0</v>
      </c>
      <c r="K959" t="n">
        <v>0</v>
      </c>
      <c r="L959" t="n">
        <v>0</v>
      </c>
      <c r="M959" t="n">
        <v>0</v>
      </c>
      <c r="N959" t="n">
        <v>0</v>
      </c>
      <c r="O959" t="n">
        <v>0</v>
      </c>
      <c r="P959" t="n">
        <v>0</v>
      </c>
      <c r="Q959" t="n">
        <v>0</v>
      </c>
      <c r="R959" s="2" t="inlineStr"/>
    </row>
    <row r="960" ht="15" customHeight="1">
      <c r="A960" t="inlineStr">
        <is>
          <t>A 29714-2023</t>
        </is>
      </c>
      <c r="B960" s="1" t="n">
        <v>45107.42538194444</v>
      </c>
      <c r="C960" s="1" t="n">
        <v>46050</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23271-2023</t>
        </is>
      </c>
      <c r="B961" s="1" t="n">
        <v>45075.91362268518</v>
      </c>
      <c r="C961" s="1" t="n">
        <v>46050</v>
      </c>
      <c r="D961" t="inlineStr">
        <is>
          <t>STOCKHOLMS LÄN</t>
        </is>
      </c>
      <c r="E961" t="inlineStr">
        <is>
          <t>NORRTÄLJE</t>
        </is>
      </c>
      <c r="G961" t="n">
        <v>5.1</v>
      </c>
      <c r="H961" t="n">
        <v>0</v>
      </c>
      <c r="I961" t="n">
        <v>0</v>
      </c>
      <c r="J961" t="n">
        <v>0</v>
      </c>
      <c r="K961" t="n">
        <v>0</v>
      </c>
      <c r="L961" t="n">
        <v>0</v>
      </c>
      <c r="M961" t="n">
        <v>0</v>
      </c>
      <c r="N961" t="n">
        <v>0</v>
      </c>
      <c r="O961" t="n">
        <v>0</v>
      </c>
      <c r="P961" t="n">
        <v>0</v>
      </c>
      <c r="Q961" t="n">
        <v>0</v>
      </c>
      <c r="R961" s="2" t="inlineStr"/>
    </row>
    <row r="962" ht="15" customHeight="1">
      <c r="A962" t="inlineStr">
        <is>
          <t>A 23273-2023</t>
        </is>
      </c>
      <c r="B962" s="1" t="n">
        <v>45075.91971064815</v>
      </c>
      <c r="C962" s="1" t="n">
        <v>46050</v>
      </c>
      <c r="D962" t="inlineStr">
        <is>
          <t>STOCKHOLMS LÄN</t>
        </is>
      </c>
      <c r="E962" t="inlineStr">
        <is>
          <t>NORRTÄLJE</t>
        </is>
      </c>
      <c r="G962" t="n">
        <v>7.5</v>
      </c>
      <c r="H962" t="n">
        <v>0</v>
      </c>
      <c r="I962" t="n">
        <v>0</v>
      </c>
      <c r="J962" t="n">
        <v>0</v>
      </c>
      <c r="K962" t="n">
        <v>0</v>
      </c>
      <c r="L962" t="n">
        <v>0</v>
      </c>
      <c r="M962" t="n">
        <v>0</v>
      </c>
      <c r="N962" t="n">
        <v>0</v>
      </c>
      <c r="O962" t="n">
        <v>0</v>
      </c>
      <c r="P962" t="n">
        <v>0</v>
      </c>
      <c r="Q962" t="n">
        <v>0</v>
      </c>
      <c r="R962" s="2" t="inlineStr"/>
    </row>
    <row r="963" ht="15" customHeight="1">
      <c r="A963" t="inlineStr">
        <is>
          <t>A 7603-2025</t>
        </is>
      </c>
      <c r="B963" s="1" t="n">
        <v>45705.66126157407</v>
      </c>
      <c r="C963" s="1" t="n">
        <v>46050</v>
      </c>
      <c r="D963" t="inlineStr">
        <is>
          <t>STOCKHOLMS LÄN</t>
        </is>
      </c>
      <c r="E963" t="inlineStr">
        <is>
          <t>NORRTÄLJE</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30802-2022</t>
        </is>
      </c>
      <c r="B964" s="1" t="n">
        <v>44764</v>
      </c>
      <c r="C964" s="1" t="n">
        <v>46050</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55369-2023</t>
        </is>
      </c>
      <c r="B965" s="1" t="n">
        <v>45238</v>
      </c>
      <c r="C965" s="1" t="n">
        <v>46050</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61113-2023</t>
        </is>
      </c>
      <c r="B966" s="1" t="n">
        <v>45261</v>
      </c>
      <c r="C966" s="1" t="n">
        <v>46050</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3283-2025</t>
        </is>
      </c>
      <c r="B967" s="1" t="n">
        <v>45679</v>
      </c>
      <c r="C967" s="1" t="n">
        <v>46050</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34295-2024</t>
        </is>
      </c>
      <c r="B968" s="1" t="n">
        <v>45524</v>
      </c>
      <c r="C968" s="1" t="n">
        <v>46050</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58311-2023</t>
        </is>
      </c>
      <c r="B969" s="1" t="n">
        <v>45245</v>
      </c>
      <c r="C969" s="1" t="n">
        <v>46050</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23692-2024</t>
        </is>
      </c>
      <c r="B970" s="1" t="n">
        <v>45454.65774305556</v>
      </c>
      <c r="C970" s="1" t="n">
        <v>46050</v>
      </c>
      <c r="D970" t="inlineStr">
        <is>
          <t>STOCKHOLMS LÄN</t>
        </is>
      </c>
      <c r="E970" t="inlineStr">
        <is>
          <t>NORRTÄLJE</t>
        </is>
      </c>
      <c r="G970" t="n">
        <v>3.7</v>
      </c>
      <c r="H970" t="n">
        <v>0</v>
      </c>
      <c r="I970" t="n">
        <v>0</v>
      </c>
      <c r="J970" t="n">
        <v>0</v>
      </c>
      <c r="K970" t="n">
        <v>0</v>
      </c>
      <c r="L970" t="n">
        <v>0</v>
      </c>
      <c r="M970" t="n">
        <v>0</v>
      </c>
      <c r="N970" t="n">
        <v>0</v>
      </c>
      <c r="O970" t="n">
        <v>0</v>
      </c>
      <c r="P970" t="n">
        <v>0</v>
      </c>
      <c r="Q970" t="n">
        <v>0</v>
      </c>
      <c r="R970" s="2" t="inlineStr"/>
    </row>
    <row r="971" ht="15" customHeight="1">
      <c r="A971" t="inlineStr">
        <is>
          <t>A 20473-2021</t>
        </is>
      </c>
      <c r="B971" s="1" t="n">
        <v>44315</v>
      </c>
      <c r="C971" s="1" t="n">
        <v>46050</v>
      </c>
      <c r="D971" t="inlineStr">
        <is>
          <t>STOCKHOLMS LÄN</t>
        </is>
      </c>
      <c r="E971" t="inlineStr">
        <is>
          <t>NORRTÄLJE</t>
        </is>
      </c>
      <c r="F971" t="inlineStr">
        <is>
          <t>Övriga Aktiebolag</t>
        </is>
      </c>
      <c r="G971" t="n">
        <v>3.6</v>
      </c>
      <c r="H971" t="n">
        <v>0</v>
      </c>
      <c r="I971" t="n">
        <v>0</v>
      </c>
      <c r="J971" t="n">
        <v>0</v>
      </c>
      <c r="K971" t="n">
        <v>0</v>
      </c>
      <c r="L971" t="n">
        <v>0</v>
      </c>
      <c r="M971" t="n">
        <v>0</v>
      </c>
      <c r="N971" t="n">
        <v>0</v>
      </c>
      <c r="O971" t="n">
        <v>0</v>
      </c>
      <c r="P971" t="n">
        <v>0</v>
      </c>
      <c r="Q971" t="n">
        <v>0</v>
      </c>
      <c r="R971" s="2" t="inlineStr"/>
    </row>
    <row r="972" ht="15" customHeight="1">
      <c r="A972" t="inlineStr">
        <is>
          <t>A 54273-2021</t>
        </is>
      </c>
      <c r="B972" s="1" t="n">
        <v>44470.72987268519</v>
      </c>
      <c r="C972" s="1" t="n">
        <v>46050</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7806-2025</t>
        </is>
      </c>
      <c r="B973" s="1" t="n">
        <v>45706.61178240741</v>
      </c>
      <c r="C973" s="1" t="n">
        <v>46050</v>
      </c>
      <c r="D973" t="inlineStr">
        <is>
          <t>STOCKHOLMS LÄN</t>
        </is>
      </c>
      <c r="E973" t="inlineStr">
        <is>
          <t>NORRTÄLJE</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53792-2023</t>
        </is>
      </c>
      <c r="B974" s="1" t="n">
        <v>45231.34144675926</v>
      </c>
      <c r="C974" s="1" t="n">
        <v>46050</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21329-2022</t>
        </is>
      </c>
      <c r="B975" s="1" t="n">
        <v>44705.60626157407</v>
      </c>
      <c r="C975" s="1" t="n">
        <v>46050</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44866.63775462963</v>
      </c>
      <c r="C976" s="1" t="n">
        <v>46050</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24501-2023</t>
        </is>
      </c>
      <c r="B977" s="1" t="n">
        <v>45082</v>
      </c>
      <c r="C977" s="1" t="n">
        <v>46050</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24520-2023</t>
        </is>
      </c>
      <c r="B978" s="1" t="n">
        <v>45082.68922453704</v>
      </c>
      <c r="C978" s="1" t="n">
        <v>46050</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60654-2023</t>
        </is>
      </c>
      <c r="B979" s="1" t="n">
        <v>45260.43225694444</v>
      </c>
      <c r="C979" s="1" t="n">
        <v>46050</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60656-2023</t>
        </is>
      </c>
      <c r="B980" s="1" t="n">
        <v>45260.4333449074</v>
      </c>
      <c r="C980" s="1" t="n">
        <v>46050</v>
      </c>
      <c r="D980" t="inlineStr">
        <is>
          <t>STOCKHOLMS LÄN</t>
        </is>
      </c>
      <c r="E980" t="inlineStr">
        <is>
          <t>NORRTÄLJE</t>
        </is>
      </c>
      <c r="G980" t="n">
        <v>4.8</v>
      </c>
      <c r="H980" t="n">
        <v>0</v>
      </c>
      <c r="I980" t="n">
        <v>0</v>
      </c>
      <c r="J980" t="n">
        <v>0</v>
      </c>
      <c r="K980" t="n">
        <v>0</v>
      </c>
      <c r="L980" t="n">
        <v>0</v>
      </c>
      <c r="M980" t="n">
        <v>0</v>
      </c>
      <c r="N980" t="n">
        <v>0</v>
      </c>
      <c r="O980" t="n">
        <v>0</v>
      </c>
      <c r="P980" t="n">
        <v>0</v>
      </c>
      <c r="Q980" t="n">
        <v>0</v>
      </c>
      <c r="R980" s="2" t="inlineStr"/>
    </row>
    <row r="981" ht="15" customHeight="1">
      <c r="A981" t="inlineStr">
        <is>
          <t>A 54496-2024</t>
        </is>
      </c>
      <c r="B981" s="1" t="n">
        <v>45617.57439814815</v>
      </c>
      <c r="C981" s="1" t="n">
        <v>46050</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21386-2023</t>
        </is>
      </c>
      <c r="B982" s="1" t="n">
        <v>45063.35880787037</v>
      </c>
      <c r="C982" s="1" t="n">
        <v>46050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10642-2025</t>
        </is>
      </c>
      <c r="B983" s="1" t="n">
        <v>45721.65858796296</v>
      </c>
      <c r="C983" s="1" t="n">
        <v>46050</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20144-2023</t>
        </is>
      </c>
      <c r="B984" s="1" t="n">
        <v>45055.43509259259</v>
      </c>
      <c r="C984" s="1" t="n">
        <v>46050</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53312-2024</t>
        </is>
      </c>
      <c r="B985" s="1" t="n">
        <v>45614.39627314815</v>
      </c>
      <c r="C985" s="1" t="n">
        <v>46050</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39202-2024</t>
        </is>
      </c>
      <c r="B986" s="1" t="n">
        <v>45548.72306712963</v>
      </c>
      <c r="C986" s="1" t="n">
        <v>46050</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22756-2022</t>
        </is>
      </c>
      <c r="B987" s="1" t="n">
        <v>44714.92253472222</v>
      </c>
      <c r="C987" s="1" t="n">
        <v>46050</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4581-2025</t>
        </is>
      </c>
      <c r="B988" s="1" t="n">
        <v>45687</v>
      </c>
      <c r="C988" s="1" t="n">
        <v>46050</v>
      </c>
      <c r="D988" t="inlineStr">
        <is>
          <t>STOCKHOLMS LÄN</t>
        </is>
      </c>
      <c r="E988" t="inlineStr">
        <is>
          <t>NORRTÄLJE</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60765-2023</t>
        </is>
      </c>
      <c r="B989" s="1" t="n">
        <v>45260</v>
      </c>
      <c r="C989" s="1" t="n">
        <v>46050</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23801-2022</t>
        </is>
      </c>
      <c r="B990" s="1" t="n">
        <v>44722</v>
      </c>
      <c r="C990" s="1" t="n">
        <v>46050</v>
      </c>
      <c r="D990" t="inlineStr">
        <is>
          <t>STOCKHOLMS LÄN</t>
        </is>
      </c>
      <c r="E990" t="inlineStr">
        <is>
          <t>NORRTÄLJE</t>
        </is>
      </c>
      <c r="G990" t="n">
        <v>6.8</v>
      </c>
      <c r="H990" t="n">
        <v>0</v>
      </c>
      <c r="I990" t="n">
        <v>0</v>
      </c>
      <c r="J990" t="n">
        <v>0</v>
      </c>
      <c r="K990" t="n">
        <v>0</v>
      </c>
      <c r="L990" t="n">
        <v>0</v>
      </c>
      <c r="M990" t="n">
        <v>0</v>
      </c>
      <c r="N990" t="n">
        <v>0</v>
      </c>
      <c r="O990" t="n">
        <v>0</v>
      </c>
      <c r="P990" t="n">
        <v>0</v>
      </c>
      <c r="Q990" t="n">
        <v>0</v>
      </c>
      <c r="R990" s="2" t="inlineStr"/>
    </row>
    <row r="991" ht="15" customHeight="1">
      <c r="A991" t="inlineStr">
        <is>
          <t>A 59276-2023</t>
        </is>
      </c>
      <c r="B991" s="1" t="n">
        <v>45253.55641203704</v>
      </c>
      <c r="C991" s="1" t="n">
        <v>46050</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46914-2022</t>
        </is>
      </c>
      <c r="B992" s="1" t="n">
        <v>44851</v>
      </c>
      <c r="C992" s="1" t="n">
        <v>46050</v>
      </c>
      <c r="D992" t="inlineStr">
        <is>
          <t>STOCKHOLMS LÄN</t>
        </is>
      </c>
      <c r="E992" t="inlineStr">
        <is>
          <t>NORRTÄLJE</t>
        </is>
      </c>
      <c r="G992" t="n">
        <v>2.4</v>
      </c>
      <c r="H992" t="n">
        <v>0</v>
      </c>
      <c r="I992" t="n">
        <v>0</v>
      </c>
      <c r="J992" t="n">
        <v>0</v>
      </c>
      <c r="K992" t="n">
        <v>0</v>
      </c>
      <c r="L992" t="n">
        <v>0</v>
      </c>
      <c r="M992" t="n">
        <v>0</v>
      </c>
      <c r="N992" t="n">
        <v>0</v>
      </c>
      <c r="O992" t="n">
        <v>0</v>
      </c>
      <c r="P992" t="n">
        <v>0</v>
      </c>
      <c r="Q992" t="n">
        <v>0</v>
      </c>
      <c r="R992" s="2" t="inlineStr"/>
    </row>
    <row r="993" ht="15" customHeight="1">
      <c r="A993" t="inlineStr">
        <is>
          <t>A 18541-2023</t>
        </is>
      </c>
      <c r="B993" s="1" t="n">
        <v>45042.74291666667</v>
      </c>
      <c r="C993" s="1" t="n">
        <v>46050</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3509-2022</t>
        </is>
      </c>
      <c r="B994" s="1" t="n">
        <v>44585</v>
      </c>
      <c r="C994" s="1" t="n">
        <v>46050</v>
      </c>
      <c r="D994" t="inlineStr">
        <is>
          <t>STOCKHOLMS LÄN</t>
        </is>
      </c>
      <c r="E994" t="inlineStr">
        <is>
          <t>NORRTÄLJE</t>
        </is>
      </c>
      <c r="F994" t="inlineStr">
        <is>
          <t>Kommuner</t>
        </is>
      </c>
      <c r="G994" t="n">
        <v>0.8</v>
      </c>
      <c r="H994" t="n">
        <v>0</v>
      </c>
      <c r="I994" t="n">
        <v>0</v>
      </c>
      <c r="J994" t="n">
        <v>0</v>
      </c>
      <c r="K994" t="n">
        <v>0</v>
      </c>
      <c r="L994" t="n">
        <v>0</v>
      </c>
      <c r="M994" t="n">
        <v>0</v>
      </c>
      <c r="N994" t="n">
        <v>0</v>
      </c>
      <c r="O994" t="n">
        <v>0</v>
      </c>
      <c r="P994" t="n">
        <v>0</v>
      </c>
      <c r="Q994" t="n">
        <v>0</v>
      </c>
      <c r="R994" s="2" t="inlineStr"/>
    </row>
    <row r="995" ht="15" customHeight="1">
      <c r="A995" t="inlineStr">
        <is>
          <t>A 26407-2024</t>
        </is>
      </c>
      <c r="B995" s="1" t="n">
        <v>45469</v>
      </c>
      <c r="C995" s="1" t="n">
        <v>46050</v>
      </c>
      <c r="D995" t="inlineStr">
        <is>
          <t>STOCKHOLMS LÄN</t>
        </is>
      </c>
      <c r="E995" t="inlineStr">
        <is>
          <t>NORRTÄLJE</t>
        </is>
      </c>
      <c r="G995" t="n">
        <v>3.5</v>
      </c>
      <c r="H995" t="n">
        <v>0</v>
      </c>
      <c r="I995" t="n">
        <v>0</v>
      </c>
      <c r="J995" t="n">
        <v>0</v>
      </c>
      <c r="K995" t="n">
        <v>0</v>
      </c>
      <c r="L995" t="n">
        <v>0</v>
      </c>
      <c r="M995" t="n">
        <v>0</v>
      </c>
      <c r="N995" t="n">
        <v>0</v>
      </c>
      <c r="O995" t="n">
        <v>0</v>
      </c>
      <c r="P995" t="n">
        <v>0</v>
      </c>
      <c r="Q995" t="n">
        <v>0</v>
      </c>
      <c r="R995" s="2" t="inlineStr"/>
    </row>
    <row r="996" ht="15" customHeight="1">
      <c r="A996" t="inlineStr">
        <is>
          <t>A 12890-2024</t>
        </is>
      </c>
      <c r="B996" s="1" t="n">
        <v>45385.36243055556</v>
      </c>
      <c r="C996" s="1" t="n">
        <v>46050</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47419-2023</t>
        </is>
      </c>
      <c r="B997" s="1" t="n">
        <v>45202.65660879629</v>
      </c>
      <c r="C997" s="1" t="n">
        <v>46050</v>
      </c>
      <c r="D997" t="inlineStr">
        <is>
          <t>STOCKHOLMS LÄN</t>
        </is>
      </c>
      <c r="E997" t="inlineStr">
        <is>
          <t>NORRTÄLJE</t>
        </is>
      </c>
      <c r="G997" t="n">
        <v>11.4</v>
      </c>
      <c r="H997" t="n">
        <v>0</v>
      </c>
      <c r="I997" t="n">
        <v>0</v>
      </c>
      <c r="J997" t="n">
        <v>0</v>
      </c>
      <c r="K997" t="n">
        <v>0</v>
      </c>
      <c r="L997" t="n">
        <v>0</v>
      </c>
      <c r="M997" t="n">
        <v>0</v>
      </c>
      <c r="N997" t="n">
        <v>0</v>
      </c>
      <c r="O997" t="n">
        <v>0</v>
      </c>
      <c r="P997" t="n">
        <v>0</v>
      </c>
      <c r="Q997" t="n">
        <v>0</v>
      </c>
      <c r="R997" s="2" t="inlineStr"/>
    </row>
    <row r="998" ht="15" customHeight="1">
      <c r="A998" t="inlineStr">
        <is>
          <t>A 23070-2023</t>
        </is>
      </c>
      <c r="B998" s="1" t="n">
        <v>45075</v>
      </c>
      <c r="C998" s="1" t="n">
        <v>46050</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27824-2022</t>
        </is>
      </c>
      <c r="B999" s="1" t="n">
        <v>44743.59331018518</v>
      </c>
      <c r="C999" s="1" t="n">
        <v>46050</v>
      </c>
      <c r="D999" t="inlineStr">
        <is>
          <t>STOCKHOLMS LÄN</t>
        </is>
      </c>
      <c r="E999" t="inlineStr">
        <is>
          <t>NORRTÄLJE</t>
        </is>
      </c>
      <c r="F999" t="inlineStr">
        <is>
          <t>Kommuner</t>
        </is>
      </c>
      <c r="G999" t="n">
        <v>3.1</v>
      </c>
      <c r="H999" t="n">
        <v>0</v>
      </c>
      <c r="I999" t="n">
        <v>0</v>
      </c>
      <c r="J999" t="n">
        <v>0</v>
      </c>
      <c r="K999" t="n">
        <v>0</v>
      </c>
      <c r="L999" t="n">
        <v>0</v>
      </c>
      <c r="M999" t="n">
        <v>0</v>
      </c>
      <c r="N999" t="n">
        <v>0</v>
      </c>
      <c r="O999" t="n">
        <v>0</v>
      </c>
      <c r="P999" t="n">
        <v>0</v>
      </c>
      <c r="Q999" t="n">
        <v>0</v>
      </c>
      <c r="R999" s="2" t="inlineStr"/>
    </row>
    <row r="1000" ht="15" customHeight="1">
      <c r="A1000" t="inlineStr">
        <is>
          <t>A 25619-2022</t>
        </is>
      </c>
      <c r="B1000" s="1" t="n">
        <v>44732</v>
      </c>
      <c r="C1000" s="1" t="n">
        <v>46050</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36246-2021</t>
        </is>
      </c>
      <c r="B1001" s="1" t="n">
        <v>44390</v>
      </c>
      <c r="C1001" s="1" t="n">
        <v>46050</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19952-2023</t>
        </is>
      </c>
      <c r="B1002" s="1" t="n">
        <v>45054.54091435186</v>
      </c>
      <c r="C1002" s="1" t="n">
        <v>46050</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19994-2023</t>
        </is>
      </c>
      <c r="B1003" s="1" t="n">
        <v>45054</v>
      </c>
      <c r="C1003" s="1" t="n">
        <v>46050</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14130-2025</t>
        </is>
      </c>
      <c r="B1004" s="1" t="n">
        <v>45740.47288194444</v>
      </c>
      <c r="C1004" s="1" t="n">
        <v>46050</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574-2023</t>
        </is>
      </c>
      <c r="B1005" s="1" t="n">
        <v>44925</v>
      </c>
      <c r="C1005" s="1" t="n">
        <v>46050</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30283-2022</t>
        </is>
      </c>
      <c r="B1006" s="1" t="n">
        <v>44760</v>
      </c>
      <c r="C1006" s="1" t="n">
        <v>46050</v>
      </c>
      <c r="D1006" t="inlineStr">
        <is>
          <t>STOCKHOLMS LÄN</t>
        </is>
      </c>
      <c r="E1006" t="inlineStr">
        <is>
          <t>NORRTÄLJE</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30290-2022</t>
        </is>
      </c>
      <c r="B1007" s="1" t="n">
        <v>44760</v>
      </c>
      <c r="C1007" s="1" t="n">
        <v>46050</v>
      </c>
      <c r="D1007" t="inlineStr">
        <is>
          <t>STOCKHOLMS LÄN</t>
        </is>
      </c>
      <c r="E1007" t="inlineStr">
        <is>
          <t>NORRTÄLJE</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29684-2021</t>
        </is>
      </c>
      <c r="B1008" s="1" t="n">
        <v>44362.37172453704</v>
      </c>
      <c r="C1008" s="1" t="n">
        <v>46050</v>
      </c>
      <c r="D1008" t="inlineStr">
        <is>
          <t>STOCKHOLMS LÄN</t>
        </is>
      </c>
      <c r="E1008" t="inlineStr">
        <is>
          <t>NORRTÄLJE</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60884-2024</t>
        </is>
      </c>
      <c r="B1009" s="1" t="n">
        <v>45644.90815972222</v>
      </c>
      <c r="C1009" s="1" t="n">
        <v>46050</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38610-2022</t>
        </is>
      </c>
      <c r="B1010" s="1" t="n">
        <v>44813.59915509259</v>
      </c>
      <c r="C1010" s="1" t="n">
        <v>46050</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10090-2022</t>
        </is>
      </c>
      <c r="B1011" s="1" t="n">
        <v>44621</v>
      </c>
      <c r="C1011" s="1" t="n">
        <v>46050</v>
      </c>
      <c r="D1011" t="inlineStr">
        <is>
          <t>STOCKHOLMS LÄN</t>
        </is>
      </c>
      <c r="E1011" t="inlineStr">
        <is>
          <t>NORRTÄLJE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14724-2022</t>
        </is>
      </c>
      <c r="B1012" s="1" t="n">
        <v>44656</v>
      </c>
      <c r="C1012" s="1" t="n">
        <v>46050</v>
      </c>
      <c r="D1012" t="inlineStr">
        <is>
          <t>STOCKHOLMS LÄN</t>
        </is>
      </c>
      <c r="E1012" t="inlineStr">
        <is>
          <t>NORRTÄLJE</t>
        </is>
      </c>
      <c r="F1012" t="inlineStr">
        <is>
          <t>Sveaskog</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18846-2022</t>
        </is>
      </c>
      <c r="B1013" s="1" t="n">
        <v>44690</v>
      </c>
      <c r="C1013" s="1" t="n">
        <v>46050</v>
      </c>
      <c r="D1013" t="inlineStr">
        <is>
          <t>STOCKHOLMS LÄN</t>
        </is>
      </c>
      <c r="E1013" t="inlineStr">
        <is>
          <t>NORRTÄLJE</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43300-2023</t>
        </is>
      </c>
      <c r="B1014" s="1" t="n">
        <v>45183</v>
      </c>
      <c r="C1014" s="1" t="n">
        <v>46050</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25654-2023</t>
        </is>
      </c>
      <c r="B1015" s="1" t="n">
        <v>45089</v>
      </c>
      <c r="C1015" s="1" t="n">
        <v>46050</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23125-2022</t>
        </is>
      </c>
      <c r="B1016" s="1" t="n">
        <v>44719</v>
      </c>
      <c r="C1016" s="1" t="n">
        <v>46050</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20121-2022</t>
        </is>
      </c>
      <c r="B1017" s="1" t="n">
        <v>44698</v>
      </c>
      <c r="C1017" s="1" t="n">
        <v>46050</v>
      </c>
      <c r="D1017" t="inlineStr">
        <is>
          <t>STOCKHOLMS LÄN</t>
        </is>
      </c>
      <c r="E1017" t="inlineStr">
        <is>
          <t>NORRTÄLJE</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33385-2024</t>
        </is>
      </c>
      <c r="B1018" s="1" t="n">
        <v>45519</v>
      </c>
      <c r="C1018" s="1" t="n">
        <v>46050</v>
      </c>
      <c r="D1018" t="inlineStr">
        <is>
          <t>STOCKHOLMS LÄN</t>
        </is>
      </c>
      <c r="E1018" t="inlineStr">
        <is>
          <t>NORRTÄLJE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41172-2023</t>
        </is>
      </c>
      <c r="B1019" s="1" t="n">
        <v>45170</v>
      </c>
      <c r="C1019" s="1" t="n">
        <v>46050</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73307-2021</t>
        </is>
      </c>
      <c r="B1020" s="1" t="n">
        <v>44549</v>
      </c>
      <c r="C1020" s="1" t="n">
        <v>46050</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50534-2024</t>
        </is>
      </c>
      <c r="B1021" s="1" t="n">
        <v>45601.56726851852</v>
      </c>
      <c r="C1021" s="1" t="n">
        <v>46050</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11988-2021</t>
        </is>
      </c>
      <c r="B1022" s="1" t="n">
        <v>44266</v>
      </c>
      <c r="C1022" s="1" t="n">
        <v>46050</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12132-2021</t>
        </is>
      </c>
      <c r="B1023" s="1" t="n">
        <v>44266</v>
      </c>
      <c r="C1023" s="1" t="n">
        <v>46050</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65499-2021</t>
        </is>
      </c>
      <c r="B1024" s="1" t="n">
        <v>44516</v>
      </c>
      <c r="C1024" s="1" t="n">
        <v>46050</v>
      </c>
      <c r="D1024" t="inlineStr">
        <is>
          <t>STOCKHOLMS LÄN</t>
        </is>
      </c>
      <c r="E1024" t="inlineStr">
        <is>
          <t>NORRTÄLJE</t>
        </is>
      </c>
      <c r="F1024" t="inlineStr">
        <is>
          <t>Kommuner</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65511-2021</t>
        </is>
      </c>
      <c r="B1025" s="1" t="n">
        <v>44516.40674768519</v>
      </c>
      <c r="C1025" s="1" t="n">
        <v>46050</v>
      </c>
      <c r="D1025" t="inlineStr">
        <is>
          <t>STOCKHOLMS LÄN</t>
        </is>
      </c>
      <c r="E1025" t="inlineStr">
        <is>
          <t>NORRTÄLJE</t>
        </is>
      </c>
      <c r="F1025" t="inlineStr">
        <is>
          <t>Kommuner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22833-2024</t>
        </is>
      </c>
      <c r="B1026" s="1" t="n">
        <v>45448.56746527777</v>
      </c>
      <c r="C1026" s="1" t="n">
        <v>46050</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32514-2022</t>
        </is>
      </c>
      <c r="B1027" s="1" t="n">
        <v>44782</v>
      </c>
      <c r="C1027" s="1" t="n">
        <v>46050</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29362-2022</t>
        </is>
      </c>
      <c r="B1028" s="1" t="n">
        <v>44753</v>
      </c>
      <c r="C1028" s="1" t="n">
        <v>46050</v>
      </c>
      <c r="D1028" t="inlineStr">
        <is>
          <t>STOCKHOLMS LÄN</t>
        </is>
      </c>
      <c r="E1028" t="inlineStr">
        <is>
          <t>NORRTÄLJE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58492-2022</t>
        </is>
      </c>
      <c r="B1029" s="1" t="n">
        <v>44902</v>
      </c>
      <c r="C1029" s="1" t="n">
        <v>46050</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51315-2021</t>
        </is>
      </c>
      <c r="B1030" s="1" t="n">
        <v>44461</v>
      </c>
      <c r="C1030" s="1" t="n">
        <v>46050</v>
      </c>
      <c r="D1030" t="inlineStr">
        <is>
          <t>STOCKHOLMS LÄN</t>
        </is>
      </c>
      <c r="E1030" t="inlineStr">
        <is>
          <t>NORRTÄLJE</t>
        </is>
      </c>
      <c r="F1030" t="inlineStr">
        <is>
          <t>Holmen skog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14873-2025</t>
        </is>
      </c>
      <c r="B1031" s="1" t="n">
        <v>45743.44953703704</v>
      </c>
      <c r="C1031" s="1" t="n">
        <v>46050</v>
      </c>
      <c r="D1031" t="inlineStr">
        <is>
          <t>STOCKHOLMS LÄN</t>
        </is>
      </c>
      <c r="E1031" t="inlineStr">
        <is>
          <t>NORRTÄLJE</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34773-2022</t>
        </is>
      </c>
      <c r="B1032" s="1" t="n">
        <v>44795</v>
      </c>
      <c r="C1032" s="1" t="n">
        <v>46050</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33173-2024</t>
        </is>
      </c>
      <c r="B1033" s="1" t="n">
        <v>45518</v>
      </c>
      <c r="C1033" s="1" t="n">
        <v>46050</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4484-2025</t>
        </is>
      </c>
      <c r="B1034" s="1" t="n">
        <v>45686.65545138889</v>
      </c>
      <c r="C1034" s="1" t="n">
        <v>46050</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33878-2024</t>
        </is>
      </c>
      <c r="B1035" s="1" t="n">
        <v>45522.44414351852</v>
      </c>
      <c r="C1035" s="1" t="n">
        <v>46050</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9246-2024</t>
        </is>
      </c>
      <c r="B1036" s="1" t="n">
        <v>45357</v>
      </c>
      <c r="C1036" s="1" t="n">
        <v>46050</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35698-2023</t>
        </is>
      </c>
      <c r="B1037" s="1" t="n">
        <v>45147</v>
      </c>
      <c r="C1037" s="1" t="n">
        <v>46050</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62398-2022</t>
        </is>
      </c>
      <c r="B1038" s="1" t="n">
        <v>44923.90159722222</v>
      </c>
      <c r="C1038" s="1" t="n">
        <v>46050</v>
      </c>
      <c r="D1038" t="inlineStr">
        <is>
          <t>STOCKHOLMS LÄN</t>
        </is>
      </c>
      <c r="E1038" t="inlineStr">
        <is>
          <t>NORRTÄLJE</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49700-2023</t>
        </is>
      </c>
      <c r="B1039" s="1" t="n">
        <v>45212</v>
      </c>
      <c r="C1039" s="1" t="n">
        <v>46050</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32071-2023</t>
        </is>
      </c>
      <c r="B1040" s="1" t="n">
        <v>45119.57728009259</v>
      </c>
      <c r="C1040" s="1" t="n">
        <v>46050</v>
      </c>
      <c r="D1040" t="inlineStr">
        <is>
          <t>STOCKHOLMS LÄN</t>
        </is>
      </c>
      <c r="E1040" t="inlineStr">
        <is>
          <t>NORRTÄLJE</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1425-2025</t>
        </is>
      </c>
      <c r="B1041" s="1" t="n">
        <v>45668.67446759259</v>
      </c>
      <c r="C1041" s="1" t="n">
        <v>46050</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17775-2022</t>
        </is>
      </c>
      <c r="B1042" s="1" t="n">
        <v>44682.78430555556</v>
      </c>
      <c r="C1042" s="1" t="n">
        <v>46050</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38720-2022</t>
        </is>
      </c>
      <c r="B1043" s="1" t="n">
        <v>44815.74539351852</v>
      </c>
      <c r="C1043" s="1" t="n">
        <v>46050</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10215-2023</t>
        </is>
      </c>
      <c r="B1044" s="1" t="n">
        <v>44986.5887962963</v>
      </c>
      <c r="C1044" s="1" t="n">
        <v>46050</v>
      </c>
      <c r="D1044" t="inlineStr">
        <is>
          <t>STOCKHOLMS LÄN</t>
        </is>
      </c>
      <c r="E1044" t="inlineStr">
        <is>
          <t>NORRTÄLJE</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25609-2023</t>
        </is>
      </c>
      <c r="B1045" s="1" t="n">
        <v>45089</v>
      </c>
      <c r="C1045" s="1" t="n">
        <v>46050</v>
      </c>
      <c r="D1045" t="inlineStr">
        <is>
          <t>STOCKHOLMS LÄN</t>
        </is>
      </c>
      <c r="E1045" t="inlineStr">
        <is>
          <t>NORRTÄLJE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20014-2025</t>
        </is>
      </c>
      <c r="B1046" s="1" t="n">
        <v>45772.3078125</v>
      </c>
      <c r="C1046" s="1" t="n">
        <v>46050</v>
      </c>
      <c r="D1046" t="inlineStr">
        <is>
          <t>STOCKHOLMS LÄN</t>
        </is>
      </c>
      <c r="E1046" t="inlineStr">
        <is>
          <t>NORRTÄLJE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20136-2025</t>
        </is>
      </c>
      <c r="B1047" s="1" t="n">
        <v>45772.51127314815</v>
      </c>
      <c r="C1047" s="1" t="n">
        <v>46050</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2287-2024</t>
        </is>
      </c>
      <c r="B1048" s="1" t="n">
        <v>45310</v>
      </c>
      <c r="C1048" s="1" t="n">
        <v>46050</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13785-2024</t>
        </is>
      </c>
      <c r="B1049" s="1" t="n">
        <v>45391.3395949074</v>
      </c>
      <c r="C1049" s="1" t="n">
        <v>46050</v>
      </c>
      <c r="D1049" t="inlineStr">
        <is>
          <t>STOCKHOLMS LÄN</t>
        </is>
      </c>
      <c r="E1049" t="inlineStr">
        <is>
          <t>NORRTÄLJE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50469-2022</t>
        </is>
      </c>
      <c r="B1050" s="1" t="n">
        <v>44866.49827546296</v>
      </c>
      <c r="C1050" s="1" t="n">
        <v>46050</v>
      </c>
      <c r="D1050" t="inlineStr">
        <is>
          <t>STOCKHOLMS LÄN</t>
        </is>
      </c>
      <c r="E1050" t="inlineStr">
        <is>
          <t>NORRTÄLJE</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51116-2022</t>
        </is>
      </c>
      <c r="B1051" s="1" t="n">
        <v>44868.45741898148</v>
      </c>
      <c r="C1051" s="1" t="n">
        <v>46050</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60217-2021</t>
        </is>
      </c>
      <c r="B1052" s="1" t="n">
        <v>44495.5893287037</v>
      </c>
      <c r="C1052" s="1" t="n">
        <v>46050</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5839-2023</t>
        </is>
      </c>
      <c r="B1053" s="1" t="n">
        <v>44963</v>
      </c>
      <c r="C1053" s="1" t="n">
        <v>46050</v>
      </c>
      <c r="D1053" t="inlineStr">
        <is>
          <t>STOCKHOLMS LÄN</t>
        </is>
      </c>
      <c r="E1053" t="inlineStr">
        <is>
          <t>NORRTÄLJE</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38985-2022</t>
        </is>
      </c>
      <c r="B1054" s="1" t="n">
        <v>44816</v>
      </c>
      <c r="C1054" s="1" t="n">
        <v>46050</v>
      </c>
      <c r="D1054" t="inlineStr">
        <is>
          <t>STOCKHOLMS LÄN</t>
        </is>
      </c>
      <c r="E1054" t="inlineStr">
        <is>
          <t>NORRTÄLJE</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5665-2025</t>
        </is>
      </c>
      <c r="B1055" s="1" t="n">
        <v>45693</v>
      </c>
      <c r="C1055" s="1" t="n">
        <v>46050</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3426-2025</t>
        </is>
      </c>
      <c r="B1056" s="1" t="n">
        <v>45680.42665509259</v>
      </c>
      <c r="C1056" s="1" t="n">
        <v>46050</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58530-2024</t>
        </is>
      </c>
      <c r="B1057" s="1" t="n">
        <v>45635.44788194444</v>
      </c>
      <c r="C1057" s="1" t="n">
        <v>46050</v>
      </c>
      <c r="D1057" t="inlineStr">
        <is>
          <t>STOCKHOLMS LÄN</t>
        </is>
      </c>
      <c r="E1057" t="inlineStr">
        <is>
          <t>NORRTÄLJE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22421-2021</t>
        </is>
      </c>
      <c r="B1058" s="1" t="n">
        <v>44326</v>
      </c>
      <c r="C1058" s="1" t="n">
        <v>46050</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40761-2024</t>
        </is>
      </c>
      <c r="B1059" s="1" t="n">
        <v>45558.46283564815</v>
      </c>
      <c r="C1059" s="1" t="n">
        <v>46050</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44956.65920138889</v>
      </c>
      <c r="C1060" s="1" t="n">
        <v>46050</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4593-2023</t>
        </is>
      </c>
      <c r="B1061" s="1" t="n">
        <v>44956</v>
      </c>
      <c r="C1061" s="1" t="n">
        <v>46050</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13171-2025</t>
        </is>
      </c>
      <c r="B1062" s="1" t="n">
        <v>45735.36594907408</v>
      </c>
      <c r="C1062" s="1" t="n">
        <v>46050</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51978-2023</t>
        </is>
      </c>
      <c r="B1063" s="1" t="n">
        <v>45223</v>
      </c>
      <c r="C1063" s="1" t="n">
        <v>46050</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18092-2022</t>
        </is>
      </c>
      <c r="B1064" s="1" t="n">
        <v>44684</v>
      </c>
      <c r="C1064" s="1" t="n">
        <v>46050</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59310-2023</t>
        </is>
      </c>
      <c r="B1065" s="1" t="n">
        <v>45253.61146990741</v>
      </c>
      <c r="C1065" s="1" t="n">
        <v>46050</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9329-2023</t>
        </is>
      </c>
      <c r="B1066" s="1" t="n">
        <v>44980</v>
      </c>
      <c r="C1066" s="1" t="n">
        <v>46050</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59878-2024</t>
        </is>
      </c>
      <c r="B1067" s="1" t="n">
        <v>45640.60240740741</v>
      </c>
      <c r="C1067" s="1" t="n">
        <v>46050</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41335-2023</t>
        </is>
      </c>
      <c r="B1068" s="1" t="n">
        <v>45174.68702546296</v>
      </c>
      <c r="C1068" s="1" t="n">
        <v>46050</v>
      </c>
      <c r="D1068" t="inlineStr">
        <is>
          <t>STOCKHOLMS LÄN</t>
        </is>
      </c>
      <c r="E1068" t="inlineStr">
        <is>
          <t>NORRTÄLJE</t>
        </is>
      </c>
      <c r="F1068" t="inlineStr">
        <is>
          <t>Holmen skog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33040-2021</t>
        </is>
      </c>
      <c r="B1069" s="1" t="n">
        <v>44376.50728009259</v>
      </c>
      <c r="C1069" s="1" t="n">
        <v>46050</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33053-2021</t>
        </is>
      </c>
      <c r="B1070" s="1" t="n">
        <v>44376</v>
      </c>
      <c r="C1070" s="1" t="n">
        <v>46050</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43150-2023</t>
        </is>
      </c>
      <c r="B1071" s="1" t="n">
        <v>45183</v>
      </c>
      <c r="C1071" s="1" t="n">
        <v>46050</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5950-2021</t>
        </is>
      </c>
      <c r="B1072" s="1" t="n">
        <v>44231</v>
      </c>
      <c r="C1072" s="1" t="n">
        <v>46050</v>
      </c>
      <c r="D1072" t="inlineStr">
        <is>
          <t>STOCKHOLMS LÄN</t>
        </is>
      </c>
      <c r="E1072" t="inlineStr">
        <is>
          <t>NORRTÄLJE</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54259-2023</t>
        </is>
      </c>
      <c r="B1073" s="1" t="n">
        <v>45232</v>
      </c>
      <c r="C1073" s="1" t="n">
        <v>46050</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60822-2023</t>
        </is>
      </c>
      <c r="B1074" s="1" t="n">
        <v>45259</v>
      </c>
      <c r="C1074" s="1" t="n">
        <v>46050</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12031-2021</t>
        </is>
      </c>
      <c r="B1075" s="1" t="n">
        <v>44266</v>
      </c>
      <c r="C1075" s="1" t="n">
        <v>46050</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27381-2024</t>
        </is>
      </c>
      <c r="B1076" s="1" t="n">
        <v>45473.94501157408</v>
      </c>
      <c r="C1076" s="1" t="n">
        <v>46050</v>
      </c>
      <c r="D1076" t="inlineStr">
        <is>
          <t>STOCKHOLMS LÄN</t>
        </is>
      </c>
      <c r="E1076" t="inlineStr">
        <is>
          <t>NORRTÄLJE</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23265-2023</t>
        </is>
      </c>
      <c r="B1077" s="1" t="n">
        <v>45075.90703703704</v>
      </c>
      <c r="C1077" s="1" t="n">
        <v>46050</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26117-2024</t>
        </is>
      </c>
      <c r="B1078" s="1" t="n">
        <v>45468.45877314815</v>
      </c>
      <c r="C1078" s="1" t="n">
        <v>46050</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20336-2024</t>
        </is>
      </c>
      <c r="B1079" s="1" t="n">
        <v>45435.43123842592</v>
      </c>
      <c r="C1079" s="1" t="n">
        <v>46050</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1847-2023</t>
        </is>
      </c>
      <c r="B1080" s="1" t="n">
        <v>44938</v>
      </c>
      <c r="C1080" s="1" t="n">
        <v>46050</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59721-2024</t>
        </is>
      </c>
      <c r="B1081" s="1" t="n">
        <v>45639.47385416667</v>
      </c>
      <c r="C1081" s="1" t="n">
        <v>46050</v>
      </c>
      <c r="D1081" t="inlineStr">
        <is>
          <t>STOCKHOLMS LÄN</t>
        </is>
      </c>
      <c r="E1081" t="inlineStr">
        <is>
          <t>NORRTÄLJE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37010-2022</t>
        </is>
      </c>
      <c r="B1082" s="1" t="n">
        <v>44806.41576388889</v>
      </c>
      <c r="C1082" s="1" t="n">
        <v>46050</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951-2023</t>
        </is>
      </c>
      <c r="B1083" s="1" t="n">
        <v>44934</v>
      </c>
      <c r="C1083" s="1" t="n">
        <v>46050</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44959.74533564815</v>
      </c>
      <c r="C1084" s="1" t="n">
        <v>46050</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50182-2024</t>
        </is>
      </c>
      <c r="B1085" s="1" t="n">
        <v>45600.47275462963</v>
      </c>
      <c r="C1085" s="1" t="n">
        <v>46050</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12629-2024</t>
        </is>
      </c>
      <c r="B1086" s="1" t="n">
        <v>45383</v>
      </c>
      <c r="C1086" s="1" t="n">
        <v>46050</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35708-2022</t>
        </is>
      </c>
      <c r="B1087" s="1" t="n">
        <v>44799.65013888889</v>
      </c>
      <c r="C1087" s="1" t="n">
        <v>46050</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45220-2024</t>
        </is>
      </c>
      <c r="B1088" s="1" t="n">
        <v>45575</v>
      </c>
      <c r="C1088" s="1" t="n">
        <v>46050</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21731-2023</t>
        </is>
      </c>
      <c r="B1089" s="1" t="n">
        <v>45063</v>
      </c>
      <c r="C1089" s="1" t="n">
        <v>46050</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23266-2023</t>
        </is>
      </c>
      <c r="B1090" s="1" t="n">
        <v>45075.90817129629</v>
      </c>
      <c r="C1090" s="1" t="n">
        <v>46050</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47521-2024</t>
        </is>
      </c>
      <c r="B1091" s="1" t="n">
        <v>45587.62565972222</v>
      </c>
      <c r="C1091" s="1" t="n">
        <v>46050</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58260-2023</t>
        </is>
      </c>
      <c r="B1092" s="1" t="n">
        <v>45245</v>
      </c>
      <c r="C1092" s="1" t="n">
        <v>46050</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58261-2023</t>
        </is>
      </c>
      <c r="B1093" s="1" t="n">
        <v>45245</v>
      </c>
      <c r="C1093" s="1" t="n">
        <v>46050</v>
      </c>
      <c r="D1093" t="inlineStr">
        <is>
          <t>STOCKHOLMS LÄN</t>
        </is>
      </c>
      <c r="E1093" t="inlineStr">
        <is>
          <t>NORRTÄLJE</t>
        </is>
      </c>
      <c r="G1093" t="n">
        <v>53.5</v>
      </c>
      <c r="H1093" t="n">
        <v>0</v>
      </c>
      <c r="I1093" t="n">
        <v>0</v>
      </c>
      <c r="J1093" t="n">
        <v>0</v>
      </c>
      <c r="K1093" t="n">
        <v>0</v>
      </c>
      <c r="L1093" t="n">
        <v>0</v>
      </c>
      <c r="M1093" t="n">
        <v>0</v>
      </c>
      <c r="N1093" t="n">
        <v>0</v>
      </c>
      <c r="O1093" t="n">
        <v>0</v>
      </c>
      <c r="P1093" t="n">
        <v>0</v>
      </c>
      <c r="Q1093" t="n">
        <v>0</v>
      </c>
      <c r="R1093" s="2" t="inlineStr"/>
    </row>
    <row r="1094" ht="15" customHeight="1">
      <c r="A1094" t="inlineStr">
        <is>
          <t>A 29266-2022</t>
        </is>
      </c>
      <c r="B1094" s="1" t="n">
        <v>44750.66068287037</v>
      </c>
      <c r="C1094" s="1" t="n">
        <v>46050</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29278-2022</t>
        </is>
      </c>
      <c r="B1095" s="1" t="n">
        <v>44750</v>
      </c>
      <c r="C1095" s="1" t="n">
        <v>46050</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37273-2024</t>
        </is>
      </c>
      <c r="B1096" s="1" t="n">
        <v>45540</v>
      </c>
      <c r="C1096" s="1" t="n">
        <v>46050</v>
      </c>
      <c r="D1096" t="inlineStr">
        <is>
          <t>STOCKHOLMS LÄN</t>
        </is>
      </c>
      <c r="E1096" t="inlineStr">
        <is>
          <t>NORRTÄLJE</t>
        </is>
      </c>
      <c r="F1096" t="inlineStr">
        <is>
          <t>Sveaskog</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12908-2025</t>
        </is>
      </c>
      <c r="B1097" s="1" t="n">
        <v>45733.82105324074</v>
      </c>
      <c r="C1097" s="1" t="n">
        <v>46050</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23060-2023</t>
        </is>
      </c>
      <c r="B1098" s="1" t="n">
        <v>45075</v>
      </c>
      <c r="C1098" s="1" t="n">
        <v>46050</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32103-2022</t>
        </is>
      </c>
      <c r="B1099" s="1" t="n">
        <v>44778</v>
      </c>
      <c r="C1099" s="1" t="n">
        <v>46050</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6401-2024</t>
        </is>
      </c>
      <c r="B1100" s="1" t="n">
        <v>45338</v>
      </c>
      <c r="C1100" s="1" t="n">
        <v>46050</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59504-2023</t>
        </is>
      </c>
      <c r="B1101" s="1" t="n">
        <v>45254</v>
      </c>
      <c r="C1101" s="1" t="n">
        <v>46050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52321-2024</t>
        </is>
      </c>
      <c r="B1102" s="1" t="n">
        <v>45608</v>
      </c>
      <c r="C1102" s="1" t="n">
        <v>46050</v>
      </c>
      <c r="D1102" t="inlineStr">
        <is>
          <t>STOCKHOLMS LÄN</t>
        </is>
      </c>
      <c r="E1102" t="inlineStr">
        <is>
          <t>NORRTÄLJE</t>
        </is>
      </c>
      <c r="G1102" t="n">
        <v>18.1</v>
      </c>
      <c r="H1102" t="n">
        <v>0</v>
      </c>
      <c r="I1102" t="n">
        <v>0</v>
      </c>
      <c r="J1102" t="n">
        <v>0</v>
      </c>
      <c r="K1102" t="n">
        <v>0</v>
      </c>
      <c r="L1102" t="n">
        <v>0</v>
      </c>
      <c r="M1102" t="n">
        <v>0</v>
      </c>
      <c r="N1102" t="n">
        <v>0</v>
      </c>
      <c r="O1102" t="n">
        <v>0</v>
      </c>
      <c r="P1102" t="n">
        <v>0</v>
      </c>
      <c r="Q1102" t="n">
        <v>0</v>
      </c>
      <c r="R1102" s="2" t="inlineStr"/>
    </row>
    <row r="1103" ht="15" customHeight="1">
      <c r="A1103" t="inlineStr">
        <is>
          <t>A 48151-2024</t>
        </is>
      </c>
      <c r="B1103" s="1" t="n">
        <v>45589.68289351852</v>
      </c>
      <c r="C1103" s="1" t="n">
        <v>46050</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20370-2025</t>
        </is>
      </c>
      <c r="B1104" s="1" t="n">
        <v>45775.41451388889</v>
      </c>
      <c r="C1104" s="1" t="n">
        <v>46050</v>
      </c>
      <c r="D1104" t="inlineStr">
        <is>
          <t>STOCKHOLMS LÄN</t>
        </is>
      </c>
      <c r="E1104" t="inlineStr">
        <is>
          <t>NORRTÄLJE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19580-2022</t>
        </is>
      </c>
      <c r="B1105" s="1" t="n">
        <v>44693</v>
      </c>
      <c r="C1105" s="1" t="n">
        <v>46050</v>
      </c>
      <c r="D1105" t="inlineStr">
        <is>
          <t>STOCKHOLMS LÄN</t>
        </is>
      </c>
      <c r="E1105" t="inlineStr">
        <is>
          <t>NORRTÄLJE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30731-2023</t>
        </is>
      </c>
      <c r="B1106" s="1" t="n">
        <v>45112</v>
      </c>
      <c r="C1106" s="1" t="n">
        <v>46050</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4580-2025</t>
        </is>
      </c>
      <c r="B1107" s="1" t="n">
        <v>45687.5038425926</v>
      </c>
      <c r="C1107" s="1" t="n">
        <v>46050</v>
      </c>
      <c r="D1107" t="inlineStr">
        <is>
          <t>STOCKHOLMS LÄN</t>
        </is>
      </c>
      <c r="E1107" t="inlineStr">
        <is>
          <t>NORRTÄLJE</t>
        </is>
      </c>
      <c r="F1107" t="inlineStr">
        <is>
          <t>Holmen skog AB</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31057-2022</t>
        </is>
      </c>
      <c r="B1108" s="1" t="n">
        <v>44769</v>
      </c>
      <c r="C1108" s="1" t="n">
        <v>46050</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31140-2023</t>
        </is>
      </c>
      <c r="B1109" s="1" t="n">
        <v>45113</v>
      </c>
      <c r="C1109" s="1" t="n">
        <v>46050</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31149-2023</t>
        </is>
      </c>
      <c r="B1110" s="1" t="n">
        <v>45113</v>
      </c>
      <c r="C1110" s="1" t="n">
        <v>46050</v>
      </c>
      <c r="D1110" t="inlineStr">
        <is>
          <t>STOCKHOLMS LÄN</t>
        </is>
      </c>
      <c r="E1110" t="inlineStr">
        <is>
          <t>NORRTÄLJE</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4658-2024</t>
        </is>
      </c>
      <c r="B1111" s="1" t="n">
        <v>45328.46336805556</v>
      </c>
      <c r="C1111" s="1" t="n">
        <v>46050</v>
      </c>
      <c r="D1111" t="inlineStr">
        <is>
          <t>STOCKHOLMS LÄN</t>
        </is>
      </c>
      <c r="E1111" t="inlineStr">
        <is>
          <t>NORRTÄLJE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19131-2025</t>
        </is>
      </c>
      <c r="B1112" s="1" t="n">
        <v>45769</v>
      </c>
      <c r="C1112" s="1" t="n">
        <v>46050</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7571-2024</t>
        </is>
      </c>
      <c r="B1113" s="1" t="n">
        <v>45348.46300925926</v>
      </c>
      <c r="C1113" s="1" t="n">
        <v>46050</v>
      </c>
      <c r="D1113" t="inlineStr">
        <is>
          <t>STOCKHOLMS LÄN</t>
        </is>
      </c>
      <c r="E1113" t="inlineStr">
        <is>
          <t>NORRTÄLJE</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11849-2025</t>
        </is>
      </c>
      <c r="B1114" s="1" t="n">
        <v>45728.38409722222</v>
      </c>
      <c r="C1114" s="1" t="n">
        <v>46050</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40425-2021</t>
        </is>
      </c>
      <c r="B1115" s="1" t="n">
        <v>44419</v>
      </c>
      <c r="C1115" s="1" t="n">
        <v>46050</v>
      </c>
      <c r="D1115" t="inlineStr">
        <is>
          <t>STOCKHOLMS LÄN</t>
        </is>
      </c>
      <c r="E1115" t="inlineStr">
        <is>
          <t>NORRTÄLJE</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58990-2021</t>
        </is>
      </c>
      <c r="B1116" s="1" t="n">
        <v>44490.03621527777</v>
      </c>
      <c r="C1116" s="1" t="n">
        <v>46050</v>
      </c>
      <c r="D1116" t="inlineStr">
        <is>
          <t>STOCKHOLMS LÄN</t>
        </is>
      </c>
      <c r="E1116" t="inlineStr">
        <is>
          <t>NORRTÄLJE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46050</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20699-2025</t>
        </is>
      </c>
      <c r="B1118" s="1" t="n">
        <v>45776.47346064815</v>
      </c>
      <c r="C1118" s="1" t="n">
        <v>46050</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3152-2024</t>
        </is>
      </c>
      <c r="B1119" s="1" t="n">
        <v>45316.60306712963</v>
      </c>
      <c r="C1119" s="1" t="n">
        <v>46050</v>
      </c>
      <c r="D1119" t="inlineStr">
        <is>
          <t>STOCKHOLMS LÄN</t>
        </is>
      </c>
      <c r="E1119" t="inlineStr">
        <is>
          <t>NORRTÄLJE</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59326-2023</t>
        </is>
      </c>
      <c r="B1120" s="1" t="n">
        <v>45253.63089120371</v>
      </c>
      <c r="C1120" s="1" t="n">
        <v>46050</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46050</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20779-2025</t>
        </is>
      </c>
      <c r="B1122" s="1" t="n">
        <v>45776.59871527777</v>
      </c>
      <c r="C1122" s="1" t="n">
        <v>46050</v>
      </c>
      <c r="D1122" t="inlineStr">
        <is>
          <t>STOCKHOLMS LÄN</t>
        </is>
      </c>
      <c r="E1122" t="inlineStr">
        <is>
          <t>NORRTÄLJE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21771-2025</t>
        </is>
      </c>
      <c r="B1123" s="1" t="n">
        <v>45783</v>
      </c>
      <c r="C1123" s="1" t="n">
        <v>46050</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21778-2025</t>
        </is>
      </c>
      <c r="B1124" s="1" t="n">
        <v>45783.66429398148</v>
      </c>
      <c r="C1124" s="1" t="n">
        <v>46050</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22202-2025</t>
        </is>
      </c>
      <c r="B1125" s="1" t="n">
        <v>45785.65300925926</v>
      </c>
      <c r="C1125" s="1" t="n">
        <v>46050</v>
      </c>
      <c r="D1125" t="inlineStr">
        <is>
          <t>STOCKHOLMS LÄN</t>
        </is>
      </c>
      <c r="E1125" t="inlineStr">
        <is>
          <t>NORRTÄLJE</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16620-2024</t>
        </is>
      </c>
      <c r="B1126" s="1" t="n">
        <v>45408.57707175926</v>
      </c>
      <c r="C1126" s="1" t="n">
        <v>46050</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22416-2025</t>
        </is>
      </c>
      <c r="B1127" s="1" t="n">
        <v>45786.55645833333</v>
      </c>
      <c r="C1127" s="1" t="n">
        <v>46050</v>
      </c>
      <c r="D1127" t="inlineStr">
        <is>
          <t>STOCKHOLMS LÄN</t>
        </is>
      </c>
      <c r="E1127" t="inlineStr">
        <is>
          <t>NORRTÄLJE</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58785-2024</t>
        </is>
      </c>
      <c r="B1128" s="1" t="n">
        <v>45635.88849537037</v>
      </c>
      <c r="C1128" s="1" t="n">
        <v>46050</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2182-2022</t>
        </is>
      </c>
      <c r="B1129" s="1" t="n">
        <v>44578</v>
      </c>
      <c r="C1129" s="1" t="n">
        <v>46050</v>
      </c>
      <c r="D1129" t="inlineStr">
        <is>
          <t>STOCKHOLMS LÄN</t>
        </is>
      </c>
      <c r="E1129" t="inlineStr">
        <is>
          <t>NORRTÄLJE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13268-2025</t>
        </is>
      </c>
      <c r="B1130" s="1" t="n">
        <v>45735</v>
      </c>
      <c r="C1130" s="1" t="n">
        <v>46050</v>
      </c>
      <c r="D1130" t="inlineStr">
        <is>
          <t>STOCKHOLMS LÄN</t>
        </is>
      </c>
      <c r="E1130" t="inlineStr">
        <is>
          <t>NORRTÄLJE</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8414-2025</t>
        </is>
      </c>
      <c r="B1131" s="1" t="n">
        <v>45709.39361111111</v>
      </c>
      <c r="C1131" s="1" t="n">
        <v>46050</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46050</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44891-2023</t>
        </is>
      </c>
      <c r="B1133" s="1" t="n">
        <v>45187</v>
      </c>
      <c r="C1133" s="1" t="n">
        <v>46050</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12902-2024</t>
        </is>
      </c>
      <c r="B1134" s="1" t="n">
        <v>45385.38146990741</v>
      </c>
      <c r="C1134" s="1" t="n">
        <v>46050</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44032-2024</t>
        </is>
      </c>
      <c r="B1135" s="1" t="n">
        <v>45572.57828703704</v>
      </c>
      <c r="C1135" s="1" t="n">
        <v>46050</v>
      </c>
      <c r="D1135" t="inlineStr">
        <is>
          <t>STOCKHOLMS LÄN</t>
        </is>
      </c>
      <c r="E1135" t="inlineStr">
        <is>
          <t>NORRTÄLJE</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24563-2024</t>
        </is>
      </c>
      <c r="B1136" s="1" t="n">
        <v>45460.44347222222</v>
      </c>
      <c r="C1136" s="1" t="n">
        <v>46050</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39237-2024</t>
        </is>
      </c>
      <c r="B1137" s="1" t="n">
        <v>45549</v>
      </c>
      <c r="C1137" s="1" t="n">
        <v>46050</v>
      </c>
      <c r="D1137" t="inlineStr">
        <is>
          <t>STOCKHOLMS LÄN</t>
        </is>
      </c>
      <c r="E1137" t="inlineStr">
        <is>
          <t>NORRTÄLJE</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45746-2024</t>
        </is>
      </c>
      <c r="B1138" s="1" t="n">
        <v>45579</v>
      </c>
      <c r="C1138" s="1" t="n">
        <v>46050</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8400-2024</t>
        </is>
      </c>
      <c r="B1139" s="1" t="n">
        <v>45352.74090277778</v>
      </c>
      <c r="C1139" s="1" t="n">
        <v>46050</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62998-2023</t>
        </is>
      </c>
      <c r="B1140" s="1" t="n">
        <v>45272.64479166667</v>
      </c>
      <c r="C1140" s="1" t="n">
        <v>46050</v>
      </c>
      <c r="D1140" t="inlineStr">
        <is>
          <t>STOCKHOLMS LÄN</t>
        </is>
      </c>
      <c r="E1140" t="inlineStr">
        <is>
          <t>NORRTÄLJE</t>
        </is>
      </c>
      <c r="G1140" t="n">
        <v>16.3</v>
      </c>
      <c r="H1140" t="n">
        <v>0</v>
      </c>
      <c r="I1140" t="n">
        <v>0</v>
      </c>
      <c r="J1140" t="n">
        <v>0</v>
      </c>
      <c r="K1140" t="n">
        <v>0</v>
      </c>
      <c r="L1140" t="n">
        <v>0</v>
      </c>
      <c r="M1140" t="n">
        <v>0</v>
      </c>
      <c r="N1140" t="n">
        <v>0</v>
      </c>
      <c r="O1140" t="n">
        <v>0</v>
      </c>
      <c r="P1140" t="n">
        <v>0</v>
      </c>
      <c r="Q1140" t="n">
        <v>0</v>
      </c>
      <c r="R1140" s="2" t="inlineStr"/>
    </row>
    <row r="1141" ht="15" customHeight="1">
      <c r="A1141" t="inlineStr">
        <is>
          <t>A 63015-2023</t>
        </is>
      </c>
      <c r="B1141" s="1" t="n">
        <v>45272</v>
      </c>
      <c r="C1141" s="1" t="n">
        <v>46050</v>
      </c>
      <c r="D1141" t="inlineStr">
        <is>
          <t>STOCKHOLMS LÄN</t>
        </is>
      </c>
      <c r="E1141" t="inlineStr">
        <is>
          <t>NORRTÄLJE</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27831-2024</t>
        </is>
      </c>
      <c r="B1142" s="1" t="n">
        <v>45475.61896990741</v>
      </c>
      <c r="C1142" s="1" t="n">
        <v>46050</v>
      </c>
      <c r="D1142" t="inlineStr">
        <is>
          <t>STOCKHOLMS LÄN</t>
        </is>
      </c>
      <c r="E1142" t="inlineStr">
        <is>
          <t>NORRTÄLJE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33175-2024</t>
        </is>
      </c>
      <c r="B1143" s="1" t="n">
        <v>45518</v>
      </c>
      <c r="C1143" s="1" t="n">
        <v>46050</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21803-2022</t>
        </is>
      </c>
      <c r="B1144" s="1" t="n">
        <v>44708.67822916667</v>
      </c>
      <c r="C1144" s="1" t="n">
        <v>46050</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c r="A1145" t="inlineStr">
        <is>
          <t>A 20730-2024</t>
        </is>
      </c>
      <c r="B1145" s="1" t="n">
        <v>45436</v>
      </c>
      <c r="C1145" s="1" t="n">
        <v>46050</v>
      </c>
      <c r="D1145" t="inlineStr">
        <is>
          <t>STOCKHOLMS LÄN</t>
        </is>
      </c>
      <c r="E1145" t="inlineStr">
        <is>
          <t>NORRTÄLJE</t>
        </is>
      </c>
      <c r="G1145" t="n">
        <v>7.3</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2026-01-28T11:04:10Z</dcterms:created>
  <dcterms:modified xmlns:dcterms="http://purl.org/dc/terms/" xmlns:xsi="http://www.w3.org/2001/XMLSchema-instance" xsi:type="dcterms:W3CDTF">2026-01-28T11:04:11Z</dcterms:modified>
</cp:coreProperties>
</file>