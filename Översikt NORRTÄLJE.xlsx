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46070</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46070</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46070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46070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46070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46070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46070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46070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46070</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46070</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46070</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46070</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46070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46070</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46070</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46070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46070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46070</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46070</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47274-2024</t>
        </is>
      </c>
      <c r="B25" s="1" t="n">
        <v>45586</v>
      </c>
      <c r="C25" s="1" t="n">
        <v>46070</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50326-2024</t>
        </is>
      </c>
      <c r="B26" s="1" t="n">
        <v>45600</v>
      </c>
      <c r="C26" s="1" t="n">
        <v>46070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46070</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46070</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25732-2025</t>
        </is>
      </c>
      <c r="B29" s="1" t="n">
        <v>45800</v>
      </c>
      <c r="C29" s="1" t="n">
        <v>46070</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59582-2024</t>
        </is>
      </c>
      <c r="B30" s="1" t="n">
        <v>45638</v>
      </c>
      <c r="C30" s="1" t="n">
        <v>46070</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46070</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61099-2025</t>
        </is>
      </c>
      <c r="B32" s="1" t="n">
        <v>46000.44185185185</v>
      </c>
      <c r="C32" s="1" t="n">
        <v>46070</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45811-2022</t>
        </is>
      </c>
      <c r="B33" s="1" t="n">
        <v>44846</v>
      </c>
      <c r="C33" s="1" t="n">
        <v>46070</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46070</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46070</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46070</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46070</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46070</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46070</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46070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46070</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46070</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56791-2025</t>
        </is>
      </c>
      <c r="B43" s="1" t="n">
        <v>45978</v>
      </c>
      <c r="C43" s="1" t="n">
        <v>46070</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15804-2025</t>
        </is>
      </c>
      <c r="B44" s="1" t="n">
        <v>45748.6521875</v>
      </c>
      <c r="C44" s="1" t="n">
        <v>46070</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46070</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46070</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46070</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46070</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46070</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72305-2021</t>
        </is>
      </c>
      <c r="B50" s="1" t="n">
        <v>44545</v>
      </c>
      <c r="C50" s="1" t="n">
        <v>46070</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47212-2025</t>
        </is>
      </c>
      <c r="B51" s="1" t="n">
        <v>45930</v>
      </c>
      <c r="C51" s="1" t="n">
        <v>46070</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46070</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46070</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46070</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46070</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46070</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46070</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46070</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46070</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46070</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46070</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46070</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46070</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46070</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46070</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46070</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27870-2022</t>
        </is>
      </c>
      <c r="B67" s="1" t="n">
        <v>44743.64592592593</v>
      </c>
      <c r="C67" s="1" t="n">
        <v>46070</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50618-2022</t>
        </is>
      </c>
      <c r="B68" s="1" t="n">
        <v>44866</v>
      </c>
      <c r="C68" s="1" t="n">
        <v>46070</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20185-2022</t>
        </is>
      </c>
      <c r="B69" s="1" t="n">
        <v>44698</v>
      </c>
      <c r="C69" s="1" t="n">
        <v>46070</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46070</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46070</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46070</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46070</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46070</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46070</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50697-2025</t>
        </is>
      </c>
      <c r="B76" s="1" t="n">
        <v>45945.90854166666</v>
      </c>
      <c r="C76" s="1" t="n">
        <v>46070</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22190-2024</t>
        </is>
      </c>
      <c r="B77" s="1" t="n">
        <v>45446.35888888889</v>
      </c>
      <c r="C77" s="1" t="n">
        <v>46070</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46070</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46070</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53608-2025</t>
        </is>
      </c>
      <c r="B80" s="1" t="n">
        <v>45960</v>
      </c>
      <c r="C80" s="1" t="n">
        <v>46070</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51220-2023</t>
        </is>
      </c>
      <c r="B81" s="1" t="n">
        <v>45219</v>
      </c>
      <c r="C81" s="1" t="n">
        <v>46070</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46070</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46070</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46070</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46070</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46070</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46070</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46070</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46070</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46070</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46070</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4595-2023</t>
        </is>
      </c>
      <c r="B92" s="1" t="n">
        <v>44956</v>
      </c>
      <c r="C92" s="1" t="n">
        <v>46070</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23905-2025</t>
        </is>
      </c>
      <c r="B93" s="1" t="n">
        <v>45794.63298611111</v>
      </c>
      <c r="C93" s="1" t="n">
        <v>46070</v>
      </c>
      <c r="D93" t="inlineStr">
        <is>
          <t>STOCKHOLMS LÄN</t>
        </is>
      </c>
      <c r="E93" t="inlineStr">
        <is>
          <t>NORRTÄLJE</t>
        </is>
      </c>
      <c r="G93" t="n">
        <v>8.4</v>
      </c>
      <c r="H93" t="n">
        <v>1</v>
      </c>
      <c r="I93" t="n">
        <v>0</v>
      </c>
      <c r="J93" t="n">
        <v>0</v>
      </c>
      <c r="K93" t="n">
        <v>0</v>
      </c>
      <c r="L93" t="n">
        <v>0</v>
      </c>
      <c r="M93" t="n">
        <v>0</v>
      </c>
      <c r="N93" t="n">
        <v>0</v>
      </c>
      <c r="O93" t="n">
        <v>0</v>
      </c>
      <c r="P93" t="n">
        <v>0</v>
      </c>
      <c r="Q93" t="n">
        <v>1</v>
      </c>
      <c r="R93" s="2" t="inlineStr">
        <is>
          <t>Blåsippa</t>
        </is>
      </c>
      <c r="S93">
        <f>HYPERLINK("https://klasma.github.io/Logging_0188/artfynd/A 23905-2025 artfynd.xlsx", "A 23905-2025")</f>
        <v/>
      </c>
      <c r="T93">
        <f>HYPERLINK("https://klasma.github.io/Logging_0188/kartor/A 23905-2025 karta.png", "A 23905-2025")</f>
        <v/>
      </c>
      <c r="V93">
        <f>HYPERLINK("https://klasma.github.io/Logging_0188/klagomål/A 23905-2025 FSC-klagomål.docx", "A 23905-2025")</f>
        <v/>
      </c>
      <c r="W93">
        <f>HYPERLINK("https://klasma.github.io/Logging_0188/klagomålsmail/A 23905-2025 FSC-klagomål mail.docx", "A 23905-2025")</f>
        <v/>
      </c>
      <c r="X93">
        <f>HYPERLINK("https://klasma.github.io/Logging_0188/tillsyn/A 23905-2025 tillsynsbegäran.docx", "A 23905-2025")</f>
        <v/>
      </c>
      <c r="Y93">
        <f>HYPERLINK("https://klasma.github.io/Logging_0188/tillsynsmail/A 23905-2025 tillsynsbegäran mail.docx", "A 23905-2025")</f>
        <v/>
      </c>
    </row>
    <row r="94" ht="15" customHeight="1">
      <c r="A94" t="inlineStr">
        <is>
          <t>A 25669-2025</t>
        </is>
      </c>
      <c r="B94" s="1" t="n">
        <v>45803.62766203703</v>
      </c>
      <c r="C94" s="1" t="n">
        <v>46070</v>
      </c>
      <c r="D94" t="inlineStr">
        <is>
          <t>STOCKHOLMS LÄN</t>
        </is>
      </c>
      <c r="E94" t="inlineStr">
        <is>
          <t>NORRTÄLJE</t>
        </is>
      </c>
      <c r="F94" t="inlineStr">
        <is>
          <t>Holmen skog AB</t>
        </is>
      </c>
      <c r="G94" t="n">
        <v>3.1</v>
      </c>
      <c r="H94" t="n">
        <v>1</v>
      </c>
      <c r="I94" t="n">
        <v>0</v>
      </c>
      <c r="J94" t="n">
        <v>0</v>
      </c>
      <c r="K94" t="n">
        <v>0</v>
      </c>
      <c r="L94" t="n">
        <v>0</v>
      </c>
      <c r="M94" t="n">
        <v>0</v>
      </c>
      <c r="N94" t="n">
        <v>0</v>
      </c>
      <c r="O94" t="n">
        <v>0</v>
      </c>
      <c r="P94" t="n">
        <v>0</v>
      </c>
      <c r="Q94" t="n">
        <v>1</v>
      </c>
      <c r="R94" s="2" t="inlineStr">
        <is>
          <t>Tjäder</t>
        </is>
      </c>
      <c r="S94">
        <f>HYPERLINK("https://klasma.github.io/Logging_0188/artfynd/A 25669-2025 artfynd.xlsx", "A 25669-2025")</f>
        <v/>
      </c>
      <c r="T94">
        <f>HYPERLINK("https://klasma.github.io/Logging_0188/kartor/A 25669-2025 karta.png", "A 25669-2025")</f>
        <v/>
      </c>
      <c r="V94">
        <f>HYPERLINK("https://klasma.github.io/Logging_0188/klagomål/A 25669-2025 FSC-klagomål.docx", "A 25669-2025")</f>
        <v/>
      </c>
      <c r="W94">
        <f>HYPERLINK("https://klasma.github.io/Logging_0188/klagomålsmail/A 25669-2025 FSC-klagomål mail.docx", "A 25669-2025")</f>
        <v/>
      </c>
      <c r="X94">
        <f>HYPERLINK("https://klasma.github.io/Logging_0188/tillsyn/A 25669-2025 tillsynsbegäran.docx", "A 25669-2025")</f>
        <v/>
      </c>
      <c r="Y94">
        <f>HYPERLINK("https://klasma.github.io/Logging_0188/tillsynsmail/A 25669-2025 tillsynsbegäran mail.docx", "A 25669-2025")</f>
        <v/>
      </c>
      <c r="Z94">
        <f>HYPERLINK("https://klasma.github.io/Logging_0188/fåglar/A 25669-2025 prioriterade fågelarter.docx", "A 25669-2025")</f>
        <v/>
      </c>
    </row>
    <row r="95" ht="15" customHeight="1">
      <c r="A95" t="inlineStr">
        <is>
          <t>A 35764-2024</t>
        </is>
      </c>
      <c r="B95" s="1" t="n">
        <v>45532</v>
      </c>
      <c r="C95" s="1" t="n">
        <v>46070</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25725-2025</t>
        </is>
      </c>
      <c r="B96" s="1" t="n">
        <v>45800</v>
      </c>
      <c r="C96" s="1" t="n">
        <v>46070</v>
      </c>
      <c r="D96" t="inlineStr">
        <is>
          <t>STOCKHOLMS LÄN</t>
        </is>
      </c>
      <c r="E96" t="inlineStr">
        <is>
          <t>NORRTÄLJE</t>
        </is>
      </c>
      <c r="G96" t="n">
        <v>5.2</v>
      </c>
      <c r="H96" t="n">
        <v>0</v>
      </c>
      <c r="I96" t="n">
        <v>0</v>
      </c>
      <c r="J96" t="n">
        <v>1</v>
      </c>
      <c r="K96" t="n">
        <v>0</v>
      </c>
      <c r="L96" t="n">
        <v>0</v>
      </c>
      <c r="M96" t="n">
        <v>0</v>
      </c>
      <c r="N96" t="n">
        <v>0</v>
      </c>
      <c r="O96" t="n">
        <v>1</v>
      </c>
      <c r="P96" t="n">
        <v>0</v>
      </c>
      <c r="Q96" t="n">
        <v>1</v>
      </c>
      <c r="R96" s="2" t="inlineStr">
        <is>
          <t>Tallticka</t>
        </is>
      </c>
      <c r="S96">
        <f>HYPERLINK("https://klasma.github.io/Logging_0188/artfynd/A 25725-2025 artfynd.xlsx", "A 25725-2025")</f>
        <v/>
      </c>
      <c r="T96">
        <f>HYPERLINK("https://klasma.github.io/Logging_0188/kartor/A 25725-2025 karta.png", "A 25725-2025")</f>
        <v/>
      </c>
      <c r="V96">
        <f>HYPERLINK("https://klasma.github.io/Logging_0188/klagomål/A 25725-2025 FSC-klagomål.docx", "A 25725-2025")</f>
        <v/>
      </c>
      <c r="W96">
        <f>HYPERLINK("https://klasma.github.io/Logging_0188/klagomålsmail/A 25725-2025 FSC-klagomål mail.docx", "A 25725-2025")</f>
        <v/>
      </c>
      <c r="X96">
        <f>HYPERLINK("https://klasma.github.io/Logging_0188/tillsyn/A 25725-2025 tillsynsbegäran.docx", "A 25725-2025")</f>
        <v/>
      </c>
      <c r="Y96">
        <f>HYPERLINK("https://klasma.github.io/Logging_0188/tillsynsmail/A 25725-2025 tillsynsbegäran mail.docx", "A 25725-2025")</f>
        <v/>
      </c>
    </row>
    <row r="97" ht="15" customHeight="1">
      <c r="A97" t="inlineStr">
        <is>
          <t>A 24535-2023</t>
        </is>
      </c>
      <c r="B97" s="1" t="n">
        <v>45082</v>
      </c>
      <c r="C97" s="1" t="n">
        <v>46070</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25709-2025</t>
        </is>
      </c>
      <c r="B98" s="1" t="n">
        <v>45800</v>
      </c>
      <c r="C98" s="1" t="n">
        <v>46070</v>
      </c>
      <c r="D98" t="inlineStr">
        <is>
          <t>STOCKHOLMS LÄN</t>
        </is>
      </c>
      <c r="E98" t="inlineStr">
        <is>
          <t>NORRTÄLJE</t>
        </is>
      </c>
      <c r="G98" t="n">
        <v>4.6</v>
      </c>
      <c r="H98" t="n">
        <v>0</v>
      </c>
      <c r="I98" t="n">
        <v>0</v>
      </c>
      <c r="J98" t="n">
        <v>1</v>
      </c>
      <c r="K98" t="n">
        <v>0</v>
      </c>
      <c r="L98" t="n">
        <v>0</v>
      </c>
      <c r="M98" t="n">
        <v>0</v>
      </c>
      <c r="N98" t="n">
        <v>0</v>
      </c>
      <c r="O98" t="n">
        <v>1</v>
      </c>
      <c r="P98" t="n">
        <v>0</v>
      </c>
      <c r="Q98" t="n">
        <v>1</v>
      </c>
      <c r="R98" s="2" t="inlineStr">
        <is>
          <t>Ullticka</t>
        </is>
      </c>
      <c r="S98">
        <f>HYPERLINK("https://klasma.github.io/Logging_0188/artfynd/A 25709-2025 artfynd.xlsx", "A 25709-2025")</f>
        <v/>
      </c>
      <c r="T98">
        <f>HYPERLINK("https://klasma.github.io/Logging_0188/kartor/A 25709-2025 karta.png", "A 25709-2025")</f>
        <v/>
      </c>
      <c r="V98">
        <f>HYPERLINK("https://klasma.github.io/Logging_0188/klagomål/A 25709-2025 FSC-klagomål.docx", "A 25709-2025")</f>
        <v/>
      </c>
      <c r="W98">
        <f>HYPERLINK("https://klasma.github.io/Logging_0188/klagomålsmail/A 25709-2025 FSC-klagomål mail.docx", "A 25709-2025")</f>
        <v/>
      </c>
      <c r="X98">
        <f>HYPERLINK("https://klasma.github.io/Logging_0188/tillsyn/A 25709-2025 tillsynsbegäran.docx", "A 25709-2025")</f>
        <v/>
      </c>
      <c r="Y98">
        <f>HYPERLINK("https://klasma.github.io/Logging_0188/tillsynsmail/A 25709-2025 tillsynsbegäran mail.docx", "A 25709-2025")</f>
        <v/>
      </c>
    </row>
    <row r="99" ht="15" customHeight="1">
      <c r="A99" t="inlineStr">
        <is>
          <t>A 35649-2023</t>
        </is>
      </c>
      <c r="B99" s="1" t="n">
        <v>45146</v>
      </c>
      <c r="C99" s="1" t="n">
        <v>46070</v>
      </c>
      <c r="D99" t="inlineStr">
        <is>
          <t>STOCKHOLMS LÄN</t>
        </is>
      </c>
      <c r="E99" t="inlineStr">
        <is>
          <t>NORRTÄLJE</t>
        </is>
      </c>
      <c r="G99" t="n">
        <v>25.1</v>
      </c>
      <c r="H99" t="n">
        <v>0</v>
      </c>
      <c r="I99" t="n">
        <v>0</v>
      </c>
      <c r="J99" t="n">
        <v>1</v>
      </c>
      <c r="K99" t="n">
        <v>0</v>
      </c>
      <c r="L99" t="n">
        <v>0</v>
      </c>
      <c r="M99" t="n">
        <v>0</v>
      </c>
      <c r="N99" t="n">
        <v>0</v>
      </c>
      <c r="O99" t="n">
        <v>1</v>
      </c>
      <c r="P99" t="n">
        <v>0</v>
      </c>
      <c r="Q99" t="n">
        <v>1</v>
      </c>
      <c r="R99" s="2" t="inlineStr">
        <is>
          <t>Månlåsbräken</t>
        </is>
      </c>
      <c r="S99">
        <f>HYPERLINK("https://klasma.github.io/Logging_0188/artfynd/A 35649-2023 artfynd.xlsx", "A 35649-2023")</f>
        <v/>
      </c>
      <c r="T99">
        <f>HYPERLINK("https://klasma.github.io/Logging_0188/kartor/A 35649-2023 karta.png", "A 35649-2023")</f>
        <v/>
      </c>
      <c r="V99">
        <f>HYPERLINK("https://klasma.github.io/Logging_0188/klagomål/A 35649-2023 FSC-klagomål.docx", "A 35649-2023")</f>
        <v/>
      </c>
      <c r="W99">
        <f>HYPERLINK("https://klasma.github.io/Logging_0188/klagomålsmail/A 35649-2023 FSC-klagomål mail.docx", "A 35649-2023")</f>
        <v/>
      </c>
      <c r="X99">
        <f>HYPERLINK("https://klasma.github.io/Logging_0188/tillsyn/A 35649-2023 tillsynsbegäran.docx", "A 35649-2023")</f>
        <v/>
      </c>
      <c r="Y99">
        <f>HYPERLINK("https://klasma.github.io/Logging_0188/tillsynsmail/A 35649-2023 tillsynsbegäran mail.docx", "A 35649-2023")</f>
        <v/>
      </c>
    </row>
    <row r="100" ht="15" customHeight="1">
      <c r="A100" t="inlineStr">
        <is>
          <t>A 40861-2025</t>
        </is>
      </c>
      <c r="B100" s="1" t="n">
        <v>45897.56356481482</v>
      </c>
      <c r="C100" s="1" t="n">
        <v>46070</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46070</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4532-2025</t>
        </is>
      </c>
      <c r="B102" s="1" t="n">
        <v>45687.34177083334</v>
      </c>
      <c r="C102" s="1" t="n">
        <v>46070</v>
      </c>
      <c r="D102" t="inlineStr">
        <is>
          <t>STOCKHOLMS LÄN</t>
        </is>
      </c>
      <c r="E102" t="inlineStr">
        <is>
          <t>NORRTÄLJE</t>
        </is>
      </c>
      <c r="F102" t="inlineStr">
        <is>
          <t>Holmen skog AB</t>
        </is>
      </c>
      <c r="G102" t="n">
        <v>6.4</v>
      </c>
      <c r="H102" t="n">
        <v>1</v>
      </c>
      <c r="I102" t="n">
        <v>0</v>
      </c>
      <c r="J102" t="n">
        <v>0</v>
      </c>
      <c r="K102" t="n">
        <v>0</v>
      </c>
      <c r="L102" t="n">
        <v>1</v>
      </c>
      <c r="M102" t="n">
        <v>0</v>
      </c>
      <c r="N102" t="n">
        <v>0</v>
      </c>
      <c r="O102" t="n">
        <v>1</v>
      </c>
      <c r="P102" t="n">
        <v>1</v>
      </c>
      <c r="Q102" t="n">
        <v>1</v>
      </c>
      <c r="R102" s="2" t="inlineStr">
        <is>
          <t>Asknätfjäril</t>
        </is>
      </c>
      <c r="S102">
        <f>HYPERLINK("https://klasma.github.io/Logging_0188/artfynd/A 4532-2025 artfynd.xlsx", "A 4532-2025")</f>
        <v/>
      </c>
      <c r="T102">
        <f>HYPERLINK("https://klasma.github.io/Logging_0188/kartor/A 4532-2025 karta.png", "A 4532-2025")</f>
        <v/>
      </c>
      <c r="V102">
        <f>HYPERLINK("https://klasma.github.io/Logging_0188/klagomål/A 4532-2025 FSC-klagomål.docx", "A 4532-2025")</f>
        <v/>
      </c>
      <c r="W102">
        <f>HYPERLINK("https://klasma.github.io/Logging_0188/klagomålsmail/A 4532-2025 FSC-klagomål mail.docx", "A 4532-2025")</f>
        <v/>
      </c>
      <c r="X102">
        <f>HYPERLINK("https://klasma.github.io/Logging_0188/tillsyn/A 4532-2025 tillsynsbegäran.docx", "A 4532-2025")</f>
        <v/>
      </c>
      <c r="Y102">
        <f>HYPERLINK("https://klasma.github.io/Logging_0188/tillsynsmail/A 4532-2025 tillsynsbegäran mail.docx", "A 4532-2025")</f>
        <v/>
      </c>
    </row>
    <row r="103" ht="15" customHeight="1">
      <c r="A103" t="inlineStr">
        <is>
          <t>A 6381-2023</t>
        </is>
      </c>
      <c r="B103" s="1" t="n">
        <v>44965</v>
      </c>
      <c r="C103" s="1" t="n">
        <v>46070</v>
      </c>
      <c r="D103" t="inlineStr">
        <is>
          <t>STOCKHOLMS LÄN</t>
        </is>
      </c>
      <c r="E103" t="inlineStr">
        <is>
          <t>NORRTÄLJE</t>
        </is>
      </c>
      <c r="G103" t="n">
        <v>3.5</v>
      </c>
      <c r="H103" t="n">
        <v>1</v>
      </c>
      <c r="I103" t="n">
        <v>1</v>
      </c>
      <c r="J103" t="n">
        <v>0</v>
      </c>
      <c r="K103" t="n">
        <v>0</v>
      </c>
      <c r="L103" t="n">
        <v>0</v>
      </c>
      <c r="M103" t="n">
        <v>0</v>
      </c>
      <c r="N103" t="n">
        <v>0</v>
      </c>
      <c r="O103" t="n">
        <v>0</v>
      </c>
      <c r="P103" t="n">
        <v>0</v>
      </c>
      <c r="Q103" t="n">
        <v>1</v>
      </c>
      <c r="R103" s="2" t="inlineStr">
        <is>
          <t>Guckusko</t>
        </is>
      </c>
      <c r="S103">
        <f>HYPERLINK("https://klasma.github.io/Logging_0188/artfynd/A 6381-2023 artfynd.xlsx", "A 6381-2023")</f>
        <v/>
      </c>
      <c r="T103">
        <f>HYPERLINK("https://klasma.github.io/Logging_0188/kartor/A 6381-2023 karta.png", "A 6381-2023")</f>
        <v/>
      </c>
      <c r="V103">
        <f>HYPERLINK("https://klasma.github.io/Logging_0188/klagomål/A 6381-2023 FSC-klagomål.docx", "A 6381-2023")</f>
        <v/>
      </c>
      <c r="W103">
        <f>HYPERLINK("https://klasma.github.io/Logging_0188/klagomålsmail/A 6381-2023 FSC-klagomål mail.docx", "A 6381-2023")</f>
        <v/>
      </c>
      <c r="X103">
        <f>HYPERLINK("https://klasma.github.io/Logging_0188/tillsyn/A 6381-2023 tillsynsbegäran.docx", "A 6381-2023")</f>
        <v/>
      </c>
      <c r="Y103">
        <f>HYPERLINK("https://klasma.github.io/Logging_0188/tillsynsmail/A 6381-2023 tillsynsbegäran mail.docx", "A 6381-2023")</f>
        <v/>
      </c>
    </row>
    <row r="104" ht="15" customHeight="1">
      <c r="A104" t="inlineStr">
        <is>
          <t>A 42313-2025</t>
        </is>
      </c>
      <c r="B104" s="1" t="n">
        <v>45904.6575</v>
      </c>
      <c r="C104" s="1" t="n">
        <v>46070</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35691-2023</t>
        </is>
      </c>
      <c r="B105" s="1" t="n">
        <v>45147.65222222222</v>
      </c>
      <c r="C105" s="1" t="n">
        <v>46070</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46070</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62715-2025</t>
        </is>
      </c>
      <c r="B107" s="1" t="n">
        <v>46008.52034722222</v>
      </c>
      <c r="C107" s="1" t="n">
        <v>46070</v>
      </c>
      <c r="D107" t="inlineStr">
        <is>
          <t>STOCKHOLMS LÄN</t>
        </is>
      </c>
      <c r="E107" t="inlineStr">
        <is>
          <t>NORRTÄLJE</t>
        </is>
      </c>
      <c r="G107" t="n">
        <v>0.8</v>
      </c>
      <c r="H107" t="n">
        <v>0</v>
      </c>
      <c r="I107" t="n">
        <v>1</v>
      </c>
      <c r="J107" t="n">
        <v>0</v>
      </c>
      <c r="K107" t="n">
        <v>0</v>
      </c>
      <c r="L107" t="n">
        <v>0</v>
      </c>
      <c r="M107" t="n">
        <v>0</v>
      </c>
      <c r="N107" t="n">
        <v>0</v>
      </c>
      <c r="O107" t="n">
        <v>0</v>
      </c>
      <c r="P107" t="n">
        <v>0</v>
      </c>
      <c r="Q107" t="n">
        <v>1</v>
      </c>
      <c r="R107" s="2" t="inlineStr">
        <is>
          <t>Granbarkgnagare</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29946-2025</t>
        </is>
      </c>
      <c r="B108" s="1" t="n">
        <v>45826.46392361111</v>
      </c>
      <c r="C108" s="1" t="n">
        <v>46070</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50854-2022</t>
        </is>
      </c>
      <c r="B109" s="1" t="n">
        <v>44863</v>
      </c>
      <c r="C109" s="1" t="n">
        <v>46070</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33548-2025</t>
        </is>
      </c>
      <c r="B110" s="1" t="n">
        <v>45841.5721875</v>
      </c>
      <c r="C110" s="1" t="n">
        <v>46070</v>
      </c>
      <c r="D110" t="inlineStr">
        <is>
          <t>STOCKHOLMS LÄN</t>
        </is>
      </c>
      <c r="E110" t="inlineStr">
        <is>
          <t>NORRTÄLJE</t>
        </is>
      </c>
      <c r="G110" t="n">
        <v>12.2</v>
      </c>
      <c r="H110" t="n">
        <v>0</v>
      </c>
      <c r="I110" t="n">
        <v>0</v>
      </c>
      <c r="J110" t="n">
        <v>1</v>
      </c>
      <c r="K110" t="n">
        <v>0</v>
      </c>
      <c r="L110" t="n">
        <v>0</v>
      </c>
      <c r="M110" t="n">
        <v>0</v>
      </c>
      <c r="N110" t="n">
        <v>0</v>
      </c>
      <c r="O110" t="n">
        <v>1</v>
      </c>
      <c r="P110" t="n">
        <v>0</v>
      </c>
      <c r="Q110" t="n">
        <v>1</v>
      </c>
      <c r="R110" s="2" t="inlineStr">
        <is>
          <t>Dofttaggsvamp</t>
        </is>
      </c>
      <c r="S110">
        <f>HYPERLINK("https://klasma.github.io/Logging_0188/artfynd/A 33548-2025 artfynd.xlsx", "A 33548-2025")</f>
        <v/>
      </c>
      <c r="T110">
        <f>HYPERLINK("https://klasma.github.io/Logging_0188/kartor/A 33548-2025 karta.png", "A 33548-2025")</f>
        <v/>
      </c>
      <c r="V110">
        <f>HYPERLINK("https://klasma.github.io/Logging_0188/klagomål/A 33548-2025 FSC-klagomål.docx", "A 33548-2025")</f>
        <v/>
      </c>
      <c r="W110">
        <f>HYPERLINK("https://klasma.github.io/Logging_0188/klagomålsmail/A 33548-2025 FSC-klagomål mail.docx", "A 33548-2025")</f>
        <v/>
      </c>
      <c r="X110">
        <f>HYPERLINK("https://klasma.github.io/Logging_0188/tillsyn/A 33548-2025 tillsynsbegäran.docx", "A 33548-2025")</f>
        <v/>
      </c>
      <c r="Y110">
        <f>HYPERLINK("https://klasma.github.io/Logging_0188/tillsynsmail/A 33548-2025 tillsynsbegäran mail.docx", "A 33548-2025")</f>
        <v/>
      </c>
    </row>
    <row r="111" ht="15" customHeight="1">
      <c r="A111" t="inlineStr">
        <is>
          <t>A 33546-2025</t>
        </is>
      </c>
      <c r="B111" s="1" t="n">
        <v>45841.56996527778</v>
      </c>
      <c r="C111" s="1" t="n">
        <v>46070</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39158-2025</t>
        </is>
      </c>
      <c r="B112" s="1" t="n">
        <v>45888</v>
      </c>
      <c r="C112" s="1" t="n">
        <v>46070</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26120-2024</t>
        </is>
      </c>
      <c r="B113" s="1" t="n">
        <v>45468.45995370371</v>
      </c>
      <c r="C113" s="1" t="n">
        <v>46070</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46070</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46070</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63292-2025</t>
        </is>
      </c>
      <c r="B116" s="1" t="n">
        <v>46010.59232638889</v>
      </c>
      <c r="C116" s="1" t="n">
        <v>46070</v>
      </c>
      <c r="D116" t="inlineStr">
        <is>
          <t>STOCKHOLMS LÄN</t>
        </is>
      </c>
      <c r="E116" t="inlineStr">
        <is>
          <t>NORRTÄLJE</t>
        </is>
      </c>
      <c r="G116" t="n">
        <v>11.1</v>
      </c>
      <c r="H116" t="n">
        <v>1</v>
      </c>
      <c r="I116" t="n">
        <v>1</v>
      </c>
      <c r="J116" t="n">
        <v>0</v>
      </c>
      <c r="K116" t="n">
        <v>0</v>
      </c>
      <c r="L116" t="n">
        <v>0</v>
      </c>
      <c r="M116" t="n">
        <v>0</v>
      </c>
      <c r="N116" t="n">
        <v>0</v>
      </c>
      <c r="O116" t="n">
        <v>0</v>
      </c>
      <c r="P116" t="n">
        <v>0</v>
      </c>
      <c r="Q116" t="n">
        <v>1</v>
      </c>
      <c r="R116" s="2" t="inlineStr">
        <is>
          <t>Nästrot</t>
        </is>
      </c>
      <c r="S116">
        <f>HYPERLINK("https://klasma.github.io/Logging_0188/artfynd/A 63292-2025 artfynd.xlsx", "A 63292-2025")</f>
        <v/>
      </c>
      <c r="T116">
        <f>HYPERLINK("https://klasma.github.io/Logging_0188/kartor/A 63292-2025 karta.png", "A 63292-2025")</f>
        <v/>
      </c>
      <c r="V116">
        <f>HYPERLINK("https://klasma.github.io/Logging_0188/klagomål/A 63292-2025 FSC-klagomål.docx", "A 63292-2025")</f>
        <v/>
      </c>
      <c r="W116">
        <f>HYPERLINK("https://klasma.github.io/Logging_0188/klagomålsmail/A 63292-2025 FSC-klagomål mail.docx", "A 63292-2025")</f>
        <v/>
      </c>
      <c r="X116">
        <f>HYPERLINK("https://klasma.github.io/Logging_0188/tillsyn/A 63292-2025 tillsynsbegäran.docx", "A 63292-2025")</f>
        <v/>
      </c>
      <c r="Y116">
        <f>HYPERLINK("https://klasma.github.io/Logging_0188/tillsynsmail/A 63292-2025 tillsynsbegäran mail.docx", "A 63292-2025")</f>
        <v/>
      </c>
    </row>
    <row r="117" ht="15" customHeight="1">
      <c r="A117" t="inlineStr">
        <is>
          <t>A 8371-2025</t>
        </is>
      </c>
      <c r="B117" s="1" t="n">
        <v>45708</v>
      </c>
      <c r="C117" s="1" t="n">
        <v>46070</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52775-2025</t>
        </is>
      </c>
      <c r="B118" s="1" t="n">
        <v>45957.41608796296</v>
      </c>
      <c r="C118" s="1" t="n">
        <v>46070</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53716-2025</t>
        </is>
      </c>
      <c r="B119" s="1" t="n">
        <v>45960.61782407408</v>
      </c>
      <c r="C119" s="1" t="n">
        <v>46070</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16870-2025</t>
        </is>
      </c>
      <c r="B120" s="1" t="n">
        <v>45754</v>
      </c>
      <c r="C120" s="1" t="n">
        <v>46070</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7734-2026</t>
        </is>
      </c>
      <c r="B121" s="1" t="n">
        <v>46062.52902777777</v>
      </c>
      <c r="C121" s="1" t="n">
        <v>46070</v>
      </c>
      <c r="D121" t="inlineStr">
        <is>
          <t>STOCKHOLMS LÄN</t>
        </is>
      </c>
      <c r="E121" t="inlineStr">
        <is>
          <t>NORRTÄLJE</t>
        </is>
      </c>
      <c r="G121" t="n">
        <v>6.6</v>
      </c>
      <c r="H121" t="n">
        <v>0</v>
      </c>
      <c r="I121" t="n">
        <v>1</v>
      </c>
      <c r="J121" t="n">
        <v>0</v>
      </c>
      <c r="K121" t="n">
        <v>0</v>
      </c>
      <c r="L121" t="n">
        <v>0</v>
      </c>
      <c r="M121" t="n">
        <v>0</v>
      </c>
      <c r="N121" t="n">
        <v>0</v>
      </c>
      <c r="O121" t="n">
        <v>0</v>
      </c>
      <c r="P121" t="n">
        <v>0</v>
      </c>
      <c r="Q121" t="n">
        <v>1</v>
      </c>
      <c r="R121" s="2" t="inlineStr">
        <is>
          <t>Kastanjefjällskivling</t>
        </is>
      </c>
      <c r="S121">
        <f>HYPERLINK("https://klasma.github.io/Logging_0188/artfynd/A 7734-2026 artfynd.xlsx", "A 7734-2026")</f>
        <v/>
      </c>
      <c r="T121">
        <f>HYPERLINK("https://klasma.github.io/Logging_0188/kartor/A 7734-2026 karta.png", "A 7734-2026")</f>
        <v/>
      </c>
      <c r="V121">
        <f>HYPERLINK("https://klasma.github.io/Logging_0188/klagomål/A 7734-2026 FSC-klagomål.docx", "A 7734-2026")</f>
        <v/>
      </c>
      <c r="W121">
        <f>HYPERLINK("https://klasma.github.io/Logging_0188/klagomålsmail/A 7734-2026 FSC-klagomål mail.docx", "A 7734-2026")</f>
        <v/>
      </c>
      <c r="X121">
        <f>HYPERLINK("https://klasma.github.io/Logging_0188/tillsyn/A 7734-2026 tillsynsbegäran.docx", "A 7734-2026")</f>
        <v/>
      </c>
      <c r="Y121">
        <f>HYPERLINK("https://klasma.github.io/Logging_0188/tillsynsmail/A 7734-2026 tillsynsbegäran mail.docx", "A 7734-2026")</f>
        <v/>
      </c>
    </row>
    <row r="122" ht="15" customHeight="1">
      <c r="A122" t="inlineStr">
        <is>
          <t>A 24330-2023</t>
        </is>
      </c>
      <c r="B122" s="1" t="n">
        <v>45081</v>
      </c>
      <c r="C122" s="1" t="n">
        <v>46070</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21744-2023</t>
        </is>
      </c>
      <c r="B123" s="1" t="n">
        <v>45065</v>
      </c>
      <c r="C123" s="1" t="n">
        <v>46070</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52611-2024</t>
        </is>
      </c>
      <c r="B124" s="1" t="n">
        <v>45609.83747685186</v>
      </c>
      <c r="C124" s="1" t="n">
        <v>46070</v>
      </c>
      <c r="D124" t="inlineStr">
        <is>
          <t>STOCKHOLMS LÄN</t>
        </is>
      </c>
      <c r="E124" t="inlineStr">
        <is>
          <t>NORRTÄLJE</t>
        </is>
      </c>
      <c r="G124" t="n">
        <v>10.6</v>
      </c>
      <c r="H124" t="n">
        <v>1</v>
      </c>
      <c r="I124" t="n">
        <v>0</v>
      </c>
      <c r="J124" t="n">
        <v>0</v>
      </c>
      <c r="K124" t="n">
        <v>0</v>
      </c>
      <c r="L124" t="n">
        <v>0</v>
      </c>
      <c r="M124" t="n">
        <v>0</v>
      </c>
      <c r="N124" t="n">
        <v>0</v>
      </c>
      <c r="O124" t="n">
        <v>0</v>
      </c>
      <c r="P124" t="n">
        <v>0</v>
      </c>
      <c r="Q124" t="n">
        <v>1</v>
      </c>
      <c r="R124" s="2" t="inlineStr">
        <is>
          <t>Blåsippa</t>
        </is>
      </c>
      <c r="S124">
        <f>HYPERLINK("https://klasma.github.io/Logging_0188/artfynd/A 52611-2024 artfynd.xlsx", "A 52611-2024")</f>
        <v/>
      </c>
      <c r="T124">
        <f>HYPERLINK("https://klasma.github.io/Logging_0188/kartor/A 52611-2024 karta.png", "A 52611-2024")</f>
        <v/>
      </c>
      <c r="V124">
        <f>HYPERLINK("https://klasma.github.io/Logging_0188/klagomål/A 52611-2024 FSC-klagomål.docx", "A 52611-2024")</f>
        <v/>
      </c>
      <c r="W124">
        <f>HYPERLINK("https://klasma.github.io/Logging_0188/klagomålsmail/A 52611-2024 FSC-klagomål mail.docx", "A 52611-2024")</f>
        <v/>
      </c>
      <c r="X124">
        <f>HYPERLINK("https://klasma.github.io/Logging_0188/tillsyn/A 52611-2024 tillsynsbegäran.docx", "A 52611-2024")</f>
        <v/>
      </c>
      <c r="Y124">
        <f>HYPERLINK("https://klasma.github.io/Logging_0188/tillsynsmail/A 52611-2024 tillsynsbegäran mail.docx", "A 52611-2024")</f>
        <v/>
      </c>
    </row>
    <row r="125" ht="15" customHeight="1">
      <c r="A125" t="inlineStr">
        <is>
          <t>A 364-2026</t>
        </is>
      </c>
      <c r="B125" s="1" t="n">
        <v>46027.67134259259</v>
      </c>
      <c r="C125" s="1" t="n">
        <v>46070</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59682-2025</t>
        </is>
      </c>
      <c r="B126" s="1" t="n">
        <v>45992.47116898148</v>
      </c>
      <c r="C126" s="1" t="n">
        <v>46070</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26635-2023</t>
        </is>
      </c>
      <c r="B127" s="1" t="n">
        <v>45092</v>
      </c>
      <c r="C127" s="1" t="n">
        <v>46070</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47898-2022</t>
        </is>
      </c>
      <c r="B128" s="1" t="n">
        <v>44855</v>
      </c>
      <c r="C128" s="1" t="n">
        <v>46070</v>
      </c>
      <c r="D128" t="inlineStr">
        <is>
          <t>STOCKHOLMS LÄN</t>
        </is>
      </c>
      <c r="E128" t="inlineStr">
        <is>
          <t>NORRTÄLJE</t>
        </is>
      </c>
      <c r="G128" t="n">
        <v>6.7</v>
      </c>
      <c r="H128" t="n">
        <v>1</v>
      </c>
      <c r="I128" t="n">
        <v>1</v>
      </c>
      <c r="J128" t="n">
        <v>0</v>
      </c>
      <c r="K128" t="n">
        <v>0</v>
      </c>
      <c r="L128" t="n">
        <v>0</v>
      </c>
      <c r="M128" t="n">
        <v>0</v>
      </c>
      <c r="N128" t="n">
        <v>0</v>
      </c>
      <c r="O128" t="n">
        <v>0</v>
      </c>
      <c r="P128" t="n">
        <v>0</v>
      </c>
      <c r="Q128" t="n">
        <v>1</v>
      </c>
      <c r="R128" s="2" t="inlineStr">
        <is>
          <t>Guckusko</t>
        </is>
      </c>
      <c r="S128">
        <f>HYPERLINK("https://klasma.github.io/Logging_0188/artfynd/A 47898-2022 artfynd.xlsx", "A 47898-2022")</f>
        <v/>
      </c>
      <c r="T128">
        <f>HYPERLINK("https://klasma.github.io/Logging_0188/kartor/A 47898-2022 karta.png", "A 47898-2022")</f>
        <v/>
      </c>
      <c r="V128">
        <f>HYPERLINK("https://klasma.github.io/Logging_0188/klagomål/A 47898-2022 FSC-klagomål.docx", "A 47898-2022")</f>
        <v/>
      </c>
      <c r="W128">
        <f>HYPERLINK("https://klasma.github.io/Logging_0188/klagomålsmail/A 47898-2022 FSC-klagomål mail.docx", "A 47898-2022")</f>
        <v/>
      </c>
      <c r="X128">
        <f>HYPERLINK("https://klasma.github.io/Logging_0188/tillsyn/A 47898-2022 tillsynsbegäran.docx", "A 47898-2022")</f>
        <v/>
      </c>
      <c r="Y128">
        <f>HYPERLINK("https://klasma.github.io/Logging_0188/tillsynsmail/A 47898-2022 tillsynsbegäran mail.docx", "A 47898-2022")</f>
        <v/>
      </c>
    </row>
    <row r="129" ht="15" customHeight="1">
      <c r="A129" t="inlineStr">
        <is>
          <t>A 14365-2025</t>
        </is>
      </c>
      <c r="B129" s="1" t="n">
        <v>45741.38688657407</v>
      </c>
      <c r="C129" s="1" t="n">
        <v>46070</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46070</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4385-2023</t>
        </is>
      </c>
      <c r="B131" s="1" t="n">
        <v>44955.71322916666</v>
      </c>
      <c r="C131" s="1" t="n">
        <v>46070</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4860-2022</t>
        </is>
      </c>
      <c r="B132" s="1" t="n">
        <v>44592</v>
      </c>
      <c r="C132" s="1" t="n">
        <v>46070</v>
      </c>
      <c r="D132" t="inlineStr">
        <is>
          <t>STOCKHOLMS LÄN</t>
        </is>
      </c>
      <c r="E132" t="inlineStr">
        <is>
          <t>NORRTÄLJE</t>
        </is>
      </c>
      <c r="G132" t="n">
        <v>22.3</v>
      </c>
      <c r="H132" t="n">
        <v>0</v>
      </c>
      <c r="I132" t="n">
        <v>0</v>
      </c>
      <c r="J132" t="n">
        <v>1</v>
      </c>
      <c r="K132" t="n">
        <v>0</v>
      </c>
      <c r="L132" t="n">
        <v>0</v>
      </c>
      <c r="M132" t="n">
        <v>0</v>
      </c>
      <c r="N132" t="n">
        <v>0</v>
      </c>
      <c r="O132" t="n">
        <v>1</v>
      </c>
      <c r="P132" t="n">
        <v>0</v>
      </c>
      <c r="Q132" t="n">
        <v>1</v>
      </c>
      <c r="R132" s="2" t="inlineStr">
        <is>
          <t>Igelkott</t>
        </is>
      </c>
      <c r="S132">
        <f>HYPERLINK("https://klasma.github.io/Logging_0188/artfynd/A 4860-2022 artfynd.xlsx", "A 4860-2022")</f>
        <v/>
      </c>
      <c r="T132">
        <f>HYPERLINK("https://klasma.github.io/Logging_0188/kartor/A 4860-2022 karta.png", "A 4860-2022")</f>
        <v/>
      </c>
      <c r="V132">
        <f>HYPERLINK("https://klasma.github.io/Logging_0188/klagomål/A 4860-2022 FSC-klagomål.docx", "A 4860-2022")</f>
        <v/>
      </c>
      <c r="W132">
        <f>HYPERLINK("https://klasma.github.io/Logging_0188/klagomålsmail/A 4860-2022 FSC-klagomål mail.docx", "A 4860-2022")</f>
        <v/>
      </c>
      <c r="X132">
        <f>HYPERLINK("https://klasma.github.io/Logging_0188/tillsyn/A 4860-2022 tillsynsbegäran.docx", "A 4860-2022")</f>
        <v/>
      </c>
      <c r="Y132">
        <f>HYPERLINK("https://klasma.github.io/Logging_0188/tillsynsmail/A 4860-2022 tillsynsbegäran mail.docx", "A 4860-2022")</f>
        <v/>
      </c>
    </row>
    <row r="133" ht="15" customHeight="1">
      <c r="A133" t="inlineStr">
        <is>
          <t>A 19829-2022</t>
        </is>
      </c>
      <c r="B133" s="1" t="n">
        <v>44695.43527777777</v>
      </c>
      <c r="C133" s="1" t="n">
        <v>46070</v>
      </c>
      <c r="D133" t="inlineStr">
        <is>
          <t>STOCKHOLMS LÄN</t>
        </is>
      </c>
      <c r="E133" t="inlineStr">
        <is>
          <t>NORRTÄLJE</t>
        </is>
      </c>
      <c r="G133" t="n">
        <v>2</v>
      </c>
      <c r="H133" t="n">
        <v>1</v>
      </c>
      <c r="I133" t="n">
        <v>1</v>
      </c>
      <c r="J133" t="n">
        <v>0</v>
      </c>
      <c r="K133" t="n">
        <v>0</v>
      </c>
      <c r="L133" t="n">
        <v>0</v>
      </c>
      <c r="M133" t="n">
        <v>0</v>
      </c>
      <c r="N133" t="n">
        <v>0</v>
      </c>
      <c r="O133" t="n">
        <v>0</v>
      </c>
      <c r="P133" t="n">
        <v>0</v>
      </c>
      <c r="Q133" t="n">
        <v>1</v>
      </c>
      <c r="R133" s="2" t="inlineStr">
        <is>
          <t>Guckusko</t>
        </is>
      </c>
      <c r="S133">
        <f>HYPERLINK("https://klasma.github.io/Logging_0188/artfynd/A 19829-2022 artfynd.xlsx", "A 19829-2022")</f>
        <v/>
      </c>
      <c r="T133">
        <f>HYPERLINK("https://klasma.github.io/Logging_0188/kartor/A 19829-2022 karta.png", "A 19829-2022")</f>
        <v/>
      </c>
      <c r="V133">
        <f>HYPERLINK("https://klasma.github.io/Logging_0188/klagomål/A 19829-2022 FSC-klagomål.docx", "A 19829-2022")</f>
        <v/>
      </c>
      <c r="W133">
        <f>HYPERLINK("https://klasma.github.io/Logging_0188/klagomålsmail/A 19829-2022 FSC-klagomål mail.docx", "A 19829-2022")</f>
        <v/>
      </c>
      <c r="X133">
        <f>HYPERLINK("https://klasma.github.io/Logging_0188/tillsyn/A 19829-2022 tillsynsbegäran.docx", "A 19829-2022")</f>
        <v/>
      </c>
      <c r="Y133">
        <f>HYPERLINK("https://klasma.github.io/Logging_0188/tillsynsmail/A 19829-2022 tillsynsbegäran mail.docx", "A 19829-2022")</f>
        <v/>
      </c>
    </row>
    <row r="134" ht="15" customHeight="1">
      <c r="A134" t="inlineStr">
        <is>
          <t>A 28816-2023</t>
        </is>
      </c>
      <c r="B134" s="1" t="n">
        <v>45104</v>
      </c>
      <c r="C134" s="1" t="n">
        <v>46070</v>
      </c>
      <c r="D134" t="inlineStr">
        <is>
          <t>STOCKHOLMS LÄN</t>
        </is>
      </c>
      <c r="E134" t="inlineStr">
        <is>
          <t>NORRTÄLJE</t>
        </is>
      </c>
      <c r="F134" t="inlineStr">
        <is>
          <t>Kommuner</t>
        </is>
      </c>
      <c r="G134" t="n">
        <v>0.5</v>
      </c>
      <c r="H134" t="n">
        <v>1</v>
      </c>
      <c r="I134" t="n">
        <v>0</v>
      </c>
      <c r="J134" t="n">
        <v>0</v>
      </c>
      <c r="K134" t="n">
        <v>0</v>
      </c>
      <c r="L134" t="n">
        <v>0</v>
      </c>
      <c r="M134" t="n">
        <v>0</v>
      </c>
      <c r="N134" t="n">
        <v>0</v>
      </c>
      <c r="O134" t="n">
        <v>0</v>
      </c>
      <c r="P134" t="n">
        <v>0</v>
      </c>
      <c r="Q134" t="n">
        <v>1</v>
      </c>
      <c r="R134" s="2" t="inlineStr">
        <is>
          <t>Kungsfågel</t>
        </is>
      </c>
      <c r="S134">
        <f>HYPERLINK("https://klasma.github.io/Logging_0188/artfynd/A 28816-2023 artfynd.xlsx", "A 28816-2023")</f>
        <v/>
      </c>
      <c r="T134">
        <f>HYPERLINK("https://klasma.github.io/Logging_0188/kartor/A 28816-2023 karta.png", "A 28816-2023")</f>
        <v/>
      </c>
      <c r="V134">
        <f>HYPERLINK("https://klasma.github.io/Logging_0188/klagomål/A 28816-2023 FSC-klagomål.docx", "A 28816-2023")</f>
        <v/>
      </c>
      <c r="W134">
        <f>HYPERLINK("https://klasma.github.io/Logging_0188/klagomålsmail/A 28816-2023 FSC-klagomål mail.docx", "A 28816-2023")</f>
        <v/>
      </c>
      <c r="X134">
        <f>HYPERLINK("https://klasma.github.io/Logging_0188/tillsyn/A 28816-2023 tillsynsbegäran.docx", "A 28816-2023")</f>
        <v/>
      </c>
      <c r="Y134">
        <f>HYPERLINK("https://klasma.github.io/Logging_0188/tillsynsmail/A 28816-2023 tillsynsbegäran mail.docx", "A 28816-2023")</f>
        <v/>
      </c>
      <c r="Z134">
        <f>HYPERLINK("https://klasma.github.io/Logging_0188/fåglar/A 28816-2023 prioriterade fågelarter.docx", "A 28816-2023")</f>
        <v/>
      </c>
    </row>
    <row r="135" ht="15" customHeight="1">
      <c r="A135" t="inlineStr">
        <is>
          <t>A 52508-2023</t>
        </is>
      </c>
      <c r="B135" s="1" t="n">
        <v>45225</v>
      </c>
      <c r="C135" s="1" t="n">
        <v>46070</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46070</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46070</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46070</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46070</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46070</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46070</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9955-2022</t>
        </is>
      </c>
      <c r="B142" s="1" t="n">
        <v>44620</v>
      </c>
      <c r="C142" s="1" t="n">
        <v>46070</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18580-2021</t>
        </is>
      </c>
      <c r="B143" s="1" t="n">
        <v>44306</v>
      </c>
      <c r="C143" s="1" t="n">
        <v>46070</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46070</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46070</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46070</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46070</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46070</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46070</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46070</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46070</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46070</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46070</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46070</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46070</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46070</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46070</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46070</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46070</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46070</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46070</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46070</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46070</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46070</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46070</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46070</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46070</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46070</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9719-2021</t>
        </is>
      </c>
      <c r="B169" s="1" t="n">
        <v>44252</v>
      </c>
      <c r="C169" s="1" t="n">
        <v>46070</v>
      </c>
      <c r="D169" t="inlineStr">
        <is>
          <t>STOCKHOLMS LÄN</t>
        </is>
      </c>
      <c r="E169" t="inlineStr">
        <is>
          <t>NORRTÄLJE</t>
        </is>
      </c>
      <c r="F169" t="inlineStr">
        <is>
          <t>Holmen skog AB</t>
        </is>
      </c>
      <c r="G169" t="n">
        <v>2</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46070</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46070</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8338-2021</t>
        </is>
      </c>
      <c r="B172" s="1" t="n">
        <v>44244</v>
      </c>
      <c r="C172" s="1" t="n">
        <v>46070</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46070</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46070</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46070</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46070</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46070</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46070</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43374-2022</t>
        </is>
      </c>
      <c r="B179" s="1" t="n">
        <v>44834</v>
      </c>
      <c r="C179" s="1" t="n">
        <v>46070</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46070</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46070</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18609-2021</t>
        </is>
      </c>
      <c r="B182" s="1" t="n">
        <v>44306</v>
      </c>
      <c r="C182" s="1" t="n">
        <v>46070</v>
      </c>
      <c r="D182" t="inlineStr">
        <is>
          <t>STOCKHOLMS LÄN</t>
        </is>
      </c>
      <c r="E182" t="inlineStr">
        <is>
          <t>NORRTÄLJE</t>
        </is>
      </c>
      <c r="G182" t="n">
        <v>9.5</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46070</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46070</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46070</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45539-2022</t>
        </is>
      </c>
      <c r="B186" s="1" t="n">
        <v>44845.47585648148</v>
      </c>
      <c r="C186" s="1" t="n">
        <v>46070</v>
      </c>
      <c r="D186" t="inlineStr">
        <is>
          <t>STOCKHOLMS LÄN</t>
        </is>
      </c>
      <c r="E186" t="inlineStr">
        <is>
          <t>NORRTÄLJE</t>
        </is>
      </c>
      <c r="G186" t="n">
        <v>0.3</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46070</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46070</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46070</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46070</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46070</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14381-2021</t>
        </is>
      </c>
      <c r="B192" s="1" t="n">
        <v>44279</v>
      </c>
      <c r="C192" s="1" t="n">
        <v>46070</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46070</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17703-2021</t>
        </is>
      </c>
      <c r="B194" s="1" t="n">
        <v>44300</v>
      </c>
      <c r="C194" s="1" t="n">
        <v>46070</v>
      </c>
      <c r="D194" t="inlineStr">
        <is>
          <t>STOCKHOLMS LÄN</t>
        </is>
      </c>
      <c r="E194" t="inlineStr">
        <is>
          <t>NORRTÄLJE</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23770-2022</t>
        </is>
      </c>
      <c r="B195" s="1" t="n">
        <v>44722</v>
      </c>
      <c r="C195" s="1" t="n">
        <v>46070</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27538-2022</t>
        </is>
      </c>
      <c r="B196" s="1" t="n">
        <v>44742</v>
      </c>
      <c r="C196" s="1" t="n">
        <v>46070</v>
      </c>
      <c r="D196" t="inlineStr">
        <is>
          <t>STOCKHOLMS LÄN</t>
        </is>
      </c>
      <c r="E196" t="inlineStr">
        <is>
          <t>NORRTÄLJE</t>
        </is>
      </c>
      <c r="G196" t="n">
        <v>2.2</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46070</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46070</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23122-2021</t>
        </is>
      </c>
      <c r="B199" s="1" t="n">
        <v>44330</v>
      </c>
      <c r="C199" s="1" t="n">
        <v>46070</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46070</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23123-2021</t>
        </is>
      </c>
      <c r="B201" s="1" t="n">
        <v>44330</v>
      </c>
      <c r="C201" s="1" t="n">
        <v>46070</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36975-2022</t>
        </is>
      </c>
      <c r="B202" s="1" t="n">
        <v>44806.34577546296</v>
      </c>
      <c r="C202" s="1" t="n">
        <v>46070</v>
      </c>
      <c r="D202" t="inlineStr">
        <is>
          <t>STOCKHOLMS LÄN</t>
        </is>
      </c>
      <c r="E202" t="inlineStr">
        <is>
          <t>NORRTÄLJE</t>
        </is>
      </c>
      <c r="G202" t="n">
        <v>4.7</v>
      </c>
      <c r="H202" t="n">
        <v>0</v>
      </c>
      <c r="I202" t="n">
        <v>0</v>
      </c>
      <c r="J202" t="n">
        <v>0</v>
      </c>
      <c r="K202" t="n">
        <v>0</v>
      </c>
      <c r="L202" t="n">
        <v>0</v>
      </c>
      <c r="M202" t="n">
        <v>0</v>
      </c>
      <c r="N202" t="n">
        <v>0</v>
      </c>
      <c r="O202" t="n">
        <v>0</v>
      </c>
      <c r="P202" t="n">
        <v>0</v>
      </c>
      <c r="Q202" t="n">
        <v>0</v>
      </c>
      <c r="R202" s="2" t="inlineStr"/>
    </row>
    <row r="203" ht="15" customHeight="1">
      <c r="A203" t="inlineStr">
        <is>
          <t>A 64212-2021</t>
        </is>
      </c>
      <c r="B203" s="1" t="n">
        <v>44510</v>
      </c>
      <c r="C203" s="1" t="n">
        <v>46070</v>
      </c>
      <c r="D203" t="inlineStr">
        <is>
          <t>STOCKHOLMS LÄN</t>
        </is>
      </c>
      <c r="E203" t="inlineStr">
        <is>
          <t>NORRTÄLJE</t>
        </is>
      </c>
      <c r="G203" t="n">
        <v>28.7</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46070</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44274-2021</t>
        </is>
      </c>
      <c r="B205" s="1" t="n">
        <v>44435</v>
      </c>
      <c r="C205" s="1" t="n">
        <v>46070</v>
      </c>
      <c r="D205" t="inlineStr">
        <is>
          <t>STOCKHOLMS LÄN</t>
        </is>
      </c>
      <c r="E205" t="inlineStr">
        <is>
          <t>NORRTÄLJE</t>
        </is>
      </c>
      <c r="G205" t="n">
        <v>1</v>
      </c>
      <c r="H205" t="n">
        <v>0</v>
      </c>
      <c r="I205" t="n">
        <v>0</v>
      </c>
      <c r="J205" t="n">
        <v>0</v>
      </c>
      <c r="K205" t="n">
        <v>0</v>
      </c>
      <c r="L205" t="n">
        <v>0</v>
      </c>
      <c r="M205" t="n">
        <v>0</v>
      </c>
      <c r="N205" t="n">
        <v>0</v>
      </c>
      <c r="O205" t="n">
        <v>0</v>
      </c>
      <c r="P205" t="n">
        <v>0</v>
      </c>
      <c r="Q205" t="n">
        <v>0</v>
      </c>
      <c r="R205" s="2" t="inlineStr"/>
    </row>
    <row r="206" ht="15" customHeight="1">
      <c r="A206" t="inlineStr">
        <is>
          <t>A 50970-2022</t>
        </is>
      </c>
      <c r="B206" s="1" t="n">
        <v>44867</v>
      </c>
      <c r="C206" s="1" t="n">
        <v>46070</v>
      </c>
      <c r="D206" t="inlineStr">
        <is>
          <t>STOCKHOLMS LÄN</t>
        </is>
      </c>
      <c r="E206" t="inlineStr">
        <is>
          <t>NORRTÄLJE</t>
        </is>
      </c>
      <c r="G206" t="n">
        <v>9</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46070</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46070</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46070</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36565-2021</t>
        </is>
      </c>
      <c r="B210" s="1" t="n">
        <v>44391.5580787037</v>
      </c>
      <c r="C210" s="1" t="n">
        <v>46070</v>
      </c>
      <c r="D210" t="inlineStr">
        <is>
          <t>STOCKHOLMS LÄN</t>
        </is>
      </c>
      <c r="E210" t="inlineStr">
        <is>
          <t>NORRTÄLJE</t>
        </is>
      </c>
      <c r="G210" t="n">
        <v>1.8</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46070</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32561-2021</t>
        </is>
      </c>
      <c r="B212" s="1" t="n">
        <v>44375</v>
      </c>
      <c r="C212" s="1" t="n">
        <v>46070</v>
      </c>
      <c r="D212" t="inlineStr">
        <is>
          <t>STOCKHOLMS LÄN</t>
        </is>
      </c>
      <c r="E212" t="inlineStr">
        <is>
          <t>NORRTÄLJE</t>
        </is>
      </c>
      <c r="G212" t="n">
        <v>3.4</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46070</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65611-2021</t>
        </is>
      </c>
      <c r="B214" s="1" t="n">
        <v>44516.5275462963</v>
      </c>
      <c r="C214" s="1" t="n">
        <v>46070</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60813-2021</t>
        </is>
      </c>
      <c r="B215" s="1" t="n">
        <v>44496</v>
      </c>
      <c r="C215" s="1" t="n">
        <v>46070</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46070</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17460-2021</t>
        </is>
      </c>
      <c r="B217" s="1" t="n">
        <v>44299</v>
      </c>
      <c r="C217" s="1" t="n">
        <v>46070</v>
      </c>
      <c r="D217" t="inlineStr">
        <is>
          <t>STOCKHOLMS LÄN</t>
        </is>
      </c>
      <c r="E217" t="inlineStr">
        <is>
          <t>NORRTÄLJE</t>
        </is>
      </c>
      <c r="G217" t="n">
        <v>3.2</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46070</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46070</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30129-2021</t>
        </is>
      </c>
      <c r="B220" s="1" t="n">
        <v>44363.5784375</v>
      </c>
      <c r="C220" s="1" t="n">
        <v>46070</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46070</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46070</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46070</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46070</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46070</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46070</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46070</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46070</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46070</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46070</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46070</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22316-2022</t>
        </is>
      </c>
      <c r="B232" s="1" t="n">
        <v>44712.83118055556</v>
      </c>
      <c r="C232" s="1" t="n">
        <v>46070</v>
      </c>
      <c r="D232" t="inlineStr">
        <is>
          <t>STOCKHOLMS LÄN</t>
        </is>
      </c>
      <c r="E232" t="inlineStr">
        <is>
          <t>NORRTÄLJE</t>
        </is>
      </c>
      <c r="G232" t="n">
        <v>6.3</v>
      </c>
      <c r="H232" t="n">
        <v>0</v>
      </c>
      <c r="I232" t="n">
        <v>0</v>
      </c>
      <c r="J232" t="n">
        <v>0</v>
      </c>
      <c r="K232" t="n">
        <v>0</v>
      </c>
      <c r="L232" t="n">
        <v>0</v>
      </c>
      <c r="M232" t="n">
        <v>0</v>
      </c>
      <c r="N232" t="n">
        <v>0</v>
      </c>
      <c r="O232" t="n">
        <v>0</v>
      </c>
      <c r="P232" t="n">
        <v>0</v>
      </c>
      <c r="Q232" t="n">
        <v>0</v>
      </c>
      <c r="R232" s="2" t="inlineStr"/>
    </row>
    <row r="233" ht="15" customHeight="1">
      <c r="A233" t="inlineStr">
        <is>
          <t>A 30624-2022</t>
        </is>
      </c>
      <c r="B233" s="1" t="n">
        <v>44763.4182175926</v>
      </c>
      <c r="C233" s="1" t="n">
        <v>46070</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46070</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33046-2021</t>
        </is>
      </c>
      <c r="B235" s="1" t="n">
        <v>44376</v>
      </c>
      <c r="C235" s="1" t="n">
        <v>46070</v>
      </c>
      <c r="D235" t="inlineStr">
        <is>
          <t>STOCKHOLMS LÄN</t>
        </is>
      </c>
      <c r="E235" t="inlineStr">
        <is>
          <t>NORRTÄLJE</t>
        </is>
      </c>
      <c r="G235" t="n">
        <v>2.1</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46070</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46070</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46070</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46070</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46070</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46070</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46070</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46070</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46070</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46070</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46070</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46070</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46070</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46070</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14543-2022</t>
        </is>
      </c>
      <c r="B250" s="1" t="n">
        <v>44655.45373842592</v>
      </c>
      <c r="C250" s="1" t="n">
        <v>46070</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46070</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46070</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46070</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46070</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46070</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46070</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12782-2021</t>
        </is>
      </c>
      <c r="B257" s="1" t="n">
        <v>44270</v>
      </c>
      <c r="C257" s="1" t="n">
        <v>46070</v>
      </c>
      <c r="D257" t="inlineStr">
        <is>
          <t>STOCKHOLMS LÄN</t>
        </is>
      </c>
      <c r="E257" t="inlineStr">
        <is>
          <t>NORRTÄLJE</t>
        </is>
      </c>
      <c r="G257" t="n">
        <v>3.8</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46070</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52139-2022</t>
        </is>
      </c>
      <c r="B259" s="1" t="n">
        <v>44868</v>
      </c>
      <c r="C259" s="1" t="n">
        <v>46070</v>
      </c>
      <c r="D259" t="inlineStr">
        <is>
          <t>STOCKHOLMS LÄN</t>
        </is>
      </c>
      <c r="E259" t="inlineStr">
        <is>
          <t>NORRTÄLJE</t>
        </is>
      </c>
      <c r="G259" t="n">
        <v>3.2</v>
      </c>
      <c r="H259" t="n">
        <v>0</v>
      </c>
      <c r="I259" t="n">
        <v>0</v>
      </c>
      <c r="J259" t="n">
        <v>0</v>
      </c>
      <c r="K259" t="n">
        <v>0</v>
      </c>
      <c r="L259" t="n">
        <v>0</v>
      </c>
      <c r="M259" t="n">
        <v>0</v>
      </c>
      <c r="N259" t="n">
        <v>0</v>
      </c>
      <c r="O259" t="n">
        <v>0</v>
      </c>
      <c r="P259" t="n">
        <v>0</v>
      </c>
      <c r="Q259" t="n">
        <v>0</v>
      </c>
      <c r="R259" s="2" t="inlineStr"/>
      <c r="U259">
        <f>HYPERLINK("https://klasma.github.io/Logging_0188/knärot/A 52139-2022 karta knärot.png", "A 52139-2022")</f>
        <v/>
      </c>
      <c r="V259">
        <f>HYPERLINK("https://klasma.github.io/Logging_0188/klagomål/A 52139-2022 FSC-klagomål.docx", "A 52139-2022")</f>
        <v/>
      </c>
      <c r="W259">
        <f>HYPERLINK("https://klasma.github.io/Logging_0188/klagomålsmail/A 52139-2022 FSC-klagomål mail.docx", "A 52139-2022")</f>
        <v/>
      </c>
      <c r="X259">
        <f>HYPERLINK("https://klasma.github.io/Logging_0188/tillsyn/A 52139-2022 tillsynsbegäran.docx", "A 52139-2022")</f>
        <v/>
      </c>
      <c r="Y259">
        <f>HYPERLINK("https://klasma.github.io/Logging_0188/tillsynsmail/A 52139-2022 tillsynsbegäran mail.docx", "A 52139-2022")</f>
        <v/>
      </c>
    </row>
    <row r="260" ht="15" customHeight="1">
      <c r="A260" t="inlineStr">
        <is>
          <t>A 9446-2021</t>
        </is>
      </c>
      <c r="B260" s="1" t="n">
        <v>44251</v>
      </c>
      <c r="C260" s="1" t="n">
        <v>46070</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17673-2021</t>
        </is>
      </c>
      <c r="B261" s="1" t="n">
        <v>44300</v>
      </c>
      <c r="C261" s="1" t="n">
        <v>46070</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c r="T261">
        <f>HYPERLINK("https://klasma.github.io/Logging_0188/kartor/A 17673-2021 karta.png", "A 17673-2021")</f>
        <v/>
      </c>
      <c r="V261">
        <f>HYPERLINK("https://klasma.github.io/Logging_0188/klagomål/A 17673-2021 FSC-klagomål.docx", "A 17673-2021")</f>
        <v/>
      </c>
      <c r="W261">
        <f>HYPERLINK("https://klasma.github.io/Logging_0188/klagomålsmail/A 17673-2021 FSC-klagomål mail.docx", "A 17673-2021")</f>
        <v/>
      </c>
      <c r="X261">
        <f>HYPERLINK("https://klasma.github.io/Logging_0188/tillsyn/A 17673-2021 tillsynsbegäran.docx", "A 17673-2021")</f>
        <v/>
      </c>
      <c r="Y261">
        <f>HYPERLINK("https://klasma.github.io/Logging_0188/tillsynsmail/A 17673-2021 tillsynsbegäran mail.docx", "A 17673-2021")</f>
        <v/>
      </c>
      <c r="Z261">
        <f>HYPERLINK("https://klasma.github.io/Logging_0188/fåglar/A 17673-2021 prioriterade fågelarter.docx", "A 17673-2021")</f>
        <v/>
      </c>
    </row>
    <row r="262" ht="15" customHeight="1">
      <c r="A262" t="inlineStr">
        <is>
          <t>A 62030-2021</t>
        </is>
      </c>
      <c r="B262" s="1" t="n">
        <v>44502</v>
      </c>
      <c r="C262" s="1" t="n">
        <v>46070</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27217-2021</t>
        </is>
      </c>
      <c r="B263" s="1" t="n">
        <v>44350</v>
      </c>
      <c r="C263" s="1" t="n">
        <v>46070</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46070</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23453-2021</t>
        </is>
      </c>
      <c r="B265" s="1" t="n">
        <v>44333</v>
      </c>
      <c r="C265" s="1" t="n">
        <v>46070</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46070</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27214-2021</t>
        </is>
      </c>
      <c r="B267" s="1" t="n">
        <v>44350</v>
      </c>
      <c r="C267" s="1" t="n">
        <v>46070</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7565-2022</t>
        </is>
      </c>
      <c r="B268" s="1" t="n">
        <v>44607</v>
      </c>
      <c r="C268" s="1" t="n">
        <v>46070</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41822-2021</t>
        </is>
      </c>
      <c r="B269" s="1" t="n">
        <v>44425</v>
      </c>
      <c r="C269" s="1" t="n">
        <v>46070</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41823-2021</t>
        </is>
      </c>
      <c r="B270" s="1" t="n">
        <v>44425</v>
      </c>
      <c r="C270" s="1" t="n">
        <v>46070</v>
      </c>
      <c r="D270" t="inlineStr">
        <is>
          <t>STOCKHOLMS LÄN</t>
        </is>
      </c>
      <c r="E270" t="inlineStr">
        <is>
          <t>NORRTÄLJE</t>
        </is>
      </c>
      <c r="G270" t="n">
        <v>2.4</v>
      </c>
      <c r="H270" t="n">
        <v>0</v>
      </c>
      <c r="I270" t="n">
        <v>0</v>
      </c>
      <c r="J270" t="n">
        <v>0</v>
      </c>
      <c r="K270" t="n">
        <v>0</v>
      </c>
      <c r="L270" t="n">
        <v>0</v>
      </c>
      <c r="M270" t="n">
        <v>0</v>
      </c>
      <c r="N270" t="n">
        <v>0</v>
      </c>
      <c r="O270" t="n">
        <v>0</v>
      </c>
      <c r="P270" t="n">
        <v>0</v>
      </c>
      <c r="Q270" t="n">
        <v>0</v>
      </c>
      <c r="R270" s="2" t="inlineStr"/>
    </row>
    <row r="271" ht="15" customHeight="1">
      <c r="A271" t="inlineStr">
        <is>
          <t>A 20295-2022</t>
        </is>
      </c>
      <c r="B271" s="1" t="n">
        <v>44698</v>
      </c>
      <c r="C271" s="1" t="n">
        <v>46070</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37415-2021</t>
        </is>
      </c>
      <c r="B272" s="1" t="n">
        <v>44397</v>
      </c>
      <c r="C272" s="1" t="n">
        <v>46070</v>
      </c>
      <c r="D272" t="inlineStr">
        <is>
          <t>STOCKHOLMS LÄN</t>
        </is>
      </c>
      <c r="E272" t="inlineStr">
        <is>
          <t>NORRTÄLJE</t>
        </is>
      </c>
      <c r="F272" t="inlineStr">
        <is>
          <t>Övriga Aktiebolag</t>
        </is>
      </c>
      <c r="G272" t="n">
        <v>3</v>
      </c>
      <c r="H272" t="n">
        <v>0</v>
      </c>
      <c r="I272" t="n">
        <v>0</v>
      </c>
      <c r="J272" t="n">
        <v>0</v>
      </c>
      <c r="K272" t="n">
        <v>0</v>
      </c>
      <c r="L272" t="n">
        <v>0</v>
      </c>
      <c r="M272" t="n">
        <v>0</v>
      </c>
      <c r="N272" t="n">
        <v>0</v>
      </c>
      <c r="O272" t="n">
        <v>0</v>
      </c>
      <c r="P272" t="n">
        <v>0</v>
      </c>
      <c r="Q272" t="n">
        <v>0</v>
      </c>
      <c r="R272" s="2" t="inlineStr"/>
    </row>
    <row r="273" ht="15" customHeight="1">
      <c r="A273" t="inlineStr">
        <is>
          <t>A 8160-2022</t>
        </is>
      </c>
      <c r="B273" s="1" t="n">
        <v>44609</v>
      </c>
      <c r="C273" s="1" t="n">
        <v>46070</v>
      </c>
      <c r="D273" t="inlineStr">
        <is>
          <t>STOCKHOLMS LÄN</t>
        </is>
      </c>
      <c r="E273" t="inlineStr">
        <is>
          <t>NORRTÄLJE</t>
        </is>
      </c>
      <c r="G273" t="n">
        <v>3.9</v>
      </c>
      <c r="H273" t="n">
        <v>0</v>
      </c>
      <c r="I273" t="n">
        <v>0</v>
      </c>
      <c r="J273" t="n">
        <v>0</v>
      </c>
      <c r="K273" t="n">
        <v>0</v>
      </c>
      <c r="L273" t="n">
        <v>0</v>
      </c>
      <c r="M273" t="n">
        <v>0</v>
      </c>
      <c r="N273" t="n">
        <v>0</v>
      </c>
      <c r="O273" t="n">
        <v>0</v>
      </c>
      <c r="P273" t="n">
        <v>0</v>
      </c>
      <c r="Q273" t="n">
        <v>0</v>
      </c>
      <c r="R273" s="2" t="inlineStr"/>
    </row>
    <row r="274" ht="15" customHeight="1">
      <c r="A274" t="inlineStr">
        <is>
          <t>A 30286-2022</t>
        </is>
      </c>
      <c r="B274" s="1" t="n">
        <v>44760</v>
      </c>
      <c r="C274" s="1" t="n">
        <v>46070</v>
      </c>
      <c r="D274" t="inlineStr">
        <is>
          <t>STOCKHOLMS LÄN</t>
        </is>
      </c>
      <c r="E274" t="inlineStr">
        <is>
          <t>NORRTÄLJE</t>
        </is>
      </c>
      <c r="G274" t="n">
        <v>0.3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46070</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56219-2021</t>
        </is>
      </c>
      <c r="B276" s="1" t="n">
        <v>44477</v>
      </c>
      <c r="C276" s="1" t="n">
        <v>46070</v>
      </c>
      <c r="D276" t="inlineStr">
        <is>
          <t>STOCKHOLMS LÄN</t>
        </is>
      </c>
      <c r="E276" t="inlineStr">
        <is>
          <t>NORRTÄLJE</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15226-2022</t>
        </is>
      </c>
      <c r="B277" s="1" t="n">
        <v>44658</v>
      </c>
      <c r="C277" s="1" t="n">
        <v>46070</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3300-2022</t>
        </is>
      </c>
      <c r="B278" s="1" t="n">
        <v>44584.91538194445</v>
      </c>
      <c r="C278" s="1" t="n">
        <v>46070</v>
      </c>
      <c r="D278" t="inlineStr">
        <is>
          <t>STOCKHOLMS LÄN</t>
        </is>
      </c>
      <c r="E278" t="inlineStr">
        <is>
          <t>NORRTÄLJE</t>
        </is>
      </c>
      <c r="G278" t="n">
        <v>0.4</v>
      </c>
      <c r="H278" t="n">
        <v>0</v>
      </c>
      <c r="I278" t="n">
        <v>0</v>
      </c>
      <c r="J278" t="n">
        <v>0</v>
      </c>
      <c r="K278" t="n">
        <v>0</v>
      </c>
      <c r="L278" t="n">
        <v>0</v>
      </c>
      <c r="M278" t="n">
        <v>0</v>
      </c>
      <c r="N278" t="n">
        <v>0</v>
      </c>
      <c r="O278" t="n">
        <v>0</v>
      </c>
      <c r="P278" t="n">
        <v>0</v>
      </c>
      <c r="Q278" t="n">
        <v>0</v>
      </c>
      <c r="R278" s="2" t="inlineStr"/>
    </row>
    <row r="279" ht="15" customHeight="1">
      <c r="A279" t="inlineStr">
        <is>
          <t>A 17388-2022</t>
        </is>
      </c>
      <c r="B279" s="1" t="n">
        <v>44678</v>
      </c>
      <c r="C279" s="1" t="n">
        <v>46070</v>
      </c>
      <c r="D279" t="inlineStr">
        <is>
          <t>STOCKHOLMS LÄN</t>
        </is>
      </c>
      <c r="E279" t="inlineStr">
        <is>
          <t>NORRTÄLJE</t>
        </is>
      </c>
      <c r="G279" t="n">
        <v>2.4</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46070</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46070</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10521-2022</t>
        </is>
      </c>
      <c r="B282" s="1" t="n">
        <v>44623</v>
      </c>
      <c r="C282" s="1" t="n">
        <v>46070</v>
      </c>
      <c r="D282" t="inlineStr">
        <is>
          <t>STOCKHOLMS LÄN</t>
        </is>
      </c>
      <c r="E282" t="inlineStr">
        <is>
          <t>NORRTÄLJE</t>
        </is>
      </c>
      <c r="G282" t="n">
        <v>2.9</v>
      </c>
      <c r="H282" t="n">
        <v>0</v>
      </c>
      <c r="I282" t="n">
        <v>0</v>
      </c>
      <c r="J282" t="n">
        <v>0</v>
      </c>
      <c r="K282" t="n">
        <v>0</v>
      </c>
      <c r="L282" t="n">
        <v>0</v>
      </c>
      <c r="M282" t="n">
        <v>0</v>
      </c>
      <c r="N282" t="n">
        <v>0</v>
      </c>
      <c r="O282" t="n">
        <v>0</v>
      </c>
      <c r="P282" t="n">
        <v>0</v>
      </c>
      <c r="Q282" t="n">
        <v>0</v>
      </c>
      <c r="R282" s="2" t="inlineStr"/>
    </row>
    <row r="283" ht="15" customHeight="1">
      <c r="A283" t="inlineStr">
        <is>
          <t>A 16117-2022</t>
        </is>
      </c>
      <c r="B283" s="1" t="n">
        <v>44665.65474537037</v>
      </c>
      <c r="C283" s="1" t="n">
        <v>46070</v>
      </c>
      <c r="D283" t="inlineStr">
        <is>
          <t>STOCKHOLMS LÄN</t>
        </is>
      </c>
      <c r="E283" t="inlineStr">
        <is>
          <t>NORRTÄLJE</t>
        </is>
      </c>
      <c r="G283" t="n">
        <v>8.1</v>
      </c>
      <c r="H283" t="n">
        <v>0</v>
      </c>
      <c r="I283" t="n">
        <v>0</v>
      </c>
      <c r="J283" t="n">
        <v>0</v>
      </c>
      <c r="K283" t="n">
        <v>0</v>
      </c>
      <c r="L283" t="n">
        <v>0</v>
      </c>
      <c r="M283" t="n">
        <v>0</v>
      </c>
      <c r="N283" t="n">
        <v>0</v>
      </c>
      <c r="O283" t="n">
        <v>0</v>
      </c>
      <c r="P283" t="n">
        <v>0</v>
      </c>
      <c r="Q283" t="n">
        <v>0</v>
      </c>
      <c r="R283" s="2" t="inlineStr"/>
    </row>
    <row r="284" ht="15" customHeight="1">
      <c r="A284" t="inlineStr">
        <is>
          <t>A 16132-2022</t>
        </is>
      </c>
      <c r="B284" s="1" t="n">
        <v>44665.78351851852</v>
      </c>
      <c r="C284" s="1" t="n">
        <v>46070</v>
      </c>
      <c r="D284" t="inlineStr">
        <is>
          <t>STOCKHOLMS LÄN</t>
        </is>
      </c>
      <c r="E284" t="inlineStr">
        <is>
          <t>NORRTÄLJE</t>
        </is>
      </c>
      <c r="G284" t="n">
        <v>4.4</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46070</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25463-2021</t>
        </is>
      </c>
      <c r="B286" s="1" t="n">
        <v>44342</v>
      </c>
      <c r="C286" s="1" t="n">
        <v>46070</v>
      </c>
      <c r="D286" t="inlineStr">
        <is>
          <t>STOCKHOLMS LÄN</t>
        </is>
      </c>
      <c r="E286" t="inlineStr">
        <is>
          <t>NORRTÄLJE</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17772-2022</t>
        </is>
      </c>
      <c r="B287" s="1" t="n">
        <v>44682.76528935185</v>
      </c>
      <c r="C287" s="1" t="n">
        <v>46070</v>
      </c>
      <c r="D287" t="inlineStr">
        <is>
          <t>STOCKHOLMS LÄN</t>
        </is>
      </c>
      <c r="E287" t="inlineStr">
        <is>
          <t>NORRTÄLJE</t>
        </is>
      </c>
      <c r="G287" t="n">
        <v>4</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46070</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24101-2022</t>
        </is>
      </c>
      <c r="B289" s="1" t="n">
        <v>44725</v>
      </c>
      <c r="C289" s="1" t="n">
        <v>46070</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46070</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5611-2022</t>
        </is>
      </c>
      <c r="B291" s="1" t="n">
        <v>44595</v>
      </c>
      <c r="C291" s="1" t="n">
        <v>46070</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32055-2021</t>
        </is>
      </c>
      <c r="B292" s="1" t="n">
        <v>44370.72197916666</v>
      </c>
      <c r="C292" s="1" t="n">
        <v>46070</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38721-2022</t>
        </is>
      </c>
      <c r="B293" s="1" t="n">
        <v>44815</v>
      </c>
      <c r="C293" s="1" t="n">
        <v>46070</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60184-2021</t>
        </is>
      </c>
      <c r="B294" s="1" t="n">
        <v>44495</v>
      </c>
      <c r="C294" s="1" t="n">
        <v>46070</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71880-2021</t>
        </is>
      </c>
      <c r="B295" s="1" t="n">
        <v>44543</v>
      </c>
      <c r="C295" s="1" t="n">
        <v>46070</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27828-2022</t>
        </is>
      </c>
      <c r="B296" s="1" t="n">
        <v>44743.59765046297</v>
      </c>
      <c r="C296" s="1" t="n">
        <v>46070</v>
      </c>
      <c r="D296" t="inlineStr">
        <is>
          <t>STOCKHOLMS LÄN</t>
        </is>
      </c>
      <c r="E296" t="inlineStr">
        <is>
          <t>NORRTÄLJE</t>
        </is>
      </c>
      <c r="F296" t="inlineStr">
        <is>
          <t>Kommuner</t>
        </is>
      </c>
      <c r="G296" t="n">
        <v>1.6</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46070</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46070</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33226-2024</t>
        </is>
      </c>
      <c r="B299" s="1" t="n">
        <v>45518</v>
      </c>
      <c r="C299" s="1" t="n">
        <v>46070</v>
      </c>
      <c r="D299" t="inlineStr">
        <is>
          <t>STOCKHOLMS LÄN</t>
        </is>
      </c>
      <c r="E299" t="inlineStr">
        <is>
          <t>NORRTÄLJE</t>
        </is>
      </c>
      <c r="G299" t="n">
        <v>13.8</v>
      </c>
      <c r="H299" t="n">
        <v>0</v>
      </c>
      <c r="I299" t="n">
        <v>0</v>
      </c>
      <c r="J299" t="n">
        <v>0</v>
      </c>
      <c r="K299" t="n">
        <v>0</v>
      </c>
      <c r="L299" t="n">
        <v>0</v>
      </c>
      <c r="M299" t="n">
        <v>0</v>
      </c>
      <c r="N299" t="n">
        <v>0</v>
      </c>
      <c r="O299" t="n">
        <v>0</v>
      </c>
      <c r="P299" t="n">
        <v>0</v>
      </c>
      <c r="Q299" t="n">
        <v>0</v>
      </c>
      <c r="R299" s="2" t="inlineStr"/>
    </row>
    <row r="300" ht="15" customHeight="1">
      <c r="A300" t="inlineStr">
        <is>
          <t>A 55696-2022</t>
        </is>
      </c>
      <c r="B300" s="1" t="n">
        <v>44888</v>
      </c>
      <c r="C300" s="1" t="n">
        <v>46070</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46070</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22412-2021</t>
        </is>
      </c>
      <c r="B302" s="1" t="n">
        <v>44326.61967592593</v>
      </c>
      <c r="C302" s="1" t="n">
        <v>46070</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46070</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25557-2023</t>
        </is>
      </c>
      <c r="B304" s="1" t="n">
        <v>45089</v>
      </c>
      <c r="C304" s="1" t="n">
        <v>46070</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27715-2022</t>
        </is>
      </c>
      <c r="B305" s="1" t="n">
        <v>44743.47407407407</v>
      </c>
      <c r="C305" s="1" t="n">
        <v>46070</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13053-2022</t>
        </is>
      </c>
      <c r="B306" s="1" t="n">
        <v>44643</v>
      </c>
      <c r="C306" s="1" t="n">
        <v>46070</v>
      </c>
      <c r="D306" t="inlineStr">
        <is>
          <t>STOCKHOLMS LÄN</t>
        </is>
      </c>
      <c r="E306" t="inlineStr">
        <is>
          <t>NORRTÄLJE</t>
        </is>
      </c>
      <c r="G306" t="n">
        <v>2.8</v>
      </c>
      <c r="H306" t="n">
        <v>0</v>
      </c>
      <c r="I306" t="n">
        <v>0</v>
      </c>
      <c r="J306" t="n">
        <v>0</v>
      </c>
      <c r="K306" t="n">
        <v>0</v>
      </c>
      <c r="L306" t="n">
        <v>0</v>
      </c>
      <c r="M306" t="n">
        <v>0</v>
      </c>
      <c r="N306" t="n">
        <v>0</v>
      </c>
      <c r="O306" t="n">
        <v>0</v>
      </c>
      <c r="P306" t="n">
        <v>0</v>
      </c>
      <c r="Q306" t="n">
        <v>0</v>
      </c>
      <c r="R306" s="2" t="inlineStr"/>
    </row>
    <row r="307" ht="15" customHeight="1">
      <c r="A307" t="inlineStr">
        <is>
          <t>A 29972-2024</t>
        </is>
      </c>
      <c r="B307" s="1" t="n">
        <v>45485</v>
      </c>
      <c r="C307" s="1" t="n">
        <v>46070</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15915-2023</t>
        </is>
      </c>
      <c r="B308" s="1" t="n">
        <v>45022</v>
      </c>
      <c r="C308" s="1" t="n">
        <v>46070</v>
      </c>
      <c r="D308" t="inlineStr">
        <is>
          <t>STOCKHOLMS LÄN</t>
        </is>
      </c>
      <c r="E308" t="inlineStr">
        <is>
          <t>NORRTÄLJE</t>
        </is>
      </c>
      <c r="G308" t="n">
        <v>2.9</v>
      </c>
      <c r="H308" t="n">
        <v>0</v>
      </c>
      <c r="I308" t="n">
        <v>0</v>
      </c>
      <c r="J308" t="n">
        <v>0</v>
      </c>
      <c r="K308" t="n">
        <v>0</v>
      </c>
      <c r="L308" t="n">
        <v>0</v>
      </c>
      <c r="M308" t="n">
        <v>0</v>
      </c>
      <c r="N308" t="n">
        <v>0</v>
      </c>
      <c r="O308" t="n">
        <v>0</v>
      </c>
      <c r="P308" t="n">
        <v>0</v>
      </c>
      <c r="Q308" t="n">
        <v>0</v>
      </c>
      <c r="R308" s="2" t="inlineStr"/>
    </row>
    <row r="309" ht="15" customHeight="1">
      <c r="A309" t="inlineStr">
        <is>
          <t>A 48716-2023</t>
        </is>
      </c>
      <c r="B309" s="1" t="n">
        <v>45208.69671296296</v>
      </c>
      <c r="C309" s="1" t="n">
        <v>46070</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64137-2021</t>
        </is>
      </c>
      <c r="B310" s="1" t="n">
        <v>44510.51422453704</v>
      </c>
      <c r="C310" s="1" t="n">
        <v>46070</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5027-2025</t>
        </is>
      </c>
      <c r="B311" s="1" t="n">
        <v>45691.41101851852</v>
      </c>
      <c r="C311" s="1" t="n">
        <v>46070</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11122-2021</t>
        </is>
      </c>
      <c r="B312" s="1" t="n">
        <v>44260</v>
      </c>
      <c r="C312" s="1" t="n">
        <v>46070</v>
      </c>
      <c r="D312" t="inlineStr">
        <is>
          <t>STOCKHOLMS LÄN</t>
        </is>
      </c>
      <c r="E312" t="inlineStr">
        <is>
          <t>NORRTÄLJE</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12268-2022</t>
        </is>
      </c>
      <c r="B313" s="1" t="n">
        <v>44637</v>
      </c>
      <c r="C313" s="1" t="n">
        <v>46070</v>
      </c>
      <c r="D313" t="inlineStr">
        <is>
          <t>STOCKHOLMS LÄN</t>
        </is>
      </c>
      <c r="E313" t="inlineStr">
        <is>
          <t>NORRTÄLJE</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20015-2023</t>
        </is>
      </c>
      <c r="B314" s="1" t="n">
        <v>45054</v>
      </c>
      <c r="C314" s="1" t="n">
        <v>46070</v>
      </c>
      <c r="D314" t="inlineStr">
        <is>
          <t>STOCKHOLMS LÄN</t>
        </is>
      </c>
      <c r="E314" t="inlineStr">
        <is>
          <t>NORRTÄLJE</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3273-2025</t>
        </is>
      </c>
      <c r="B315" s="1" t="n">
        <v>45679</v>
      </c>
      <c r="C315" s="1" t="n">
        <v>46070</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24245-2024</t>
        </is>
      </c>
      <c r="B316" s="1" t="n">
        <v>45457</v>
      </c>
      <c r="C316" s="1" t="n">
        <v>46070</v>
      </c>
      <c r="D316" t="inlineStr">
        <is>
          <t>STOCKHOLMS LÄN</t>
        </is>
      </c>
      <c r="E316" t="inlineStr">
        <is>
          <t>NORRTÄLJE</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21291-2021</t>
        </is>
      </c>
      <c r="B317" s="1" t="n">
        <v>44319</v>
      </c>
      <c r="C317" s="1" t="n">
        <v>46070</v>
      </c>
      <c r="D317" t="inlineStr">
        <is>
          <t>STOCKHOLMS LÄN</t>
        </is>
      </c>
      <c r="E317" t="inlineStr">
        <is>
          <t>NORRTÄLJE</t>
        </is>
      </c>
      <c r="G317" t="n">
        <v>12.7</v>
      </c>
      <c r="H317" t="n">
        <v>0</v>
      </c>
      <c r="I317" t="n">
        <v>0</v>
      </c>
      <c r="J317" t="n">
        <v>0</v>
      </c>
      <c r="K317" t="n">
        <v>0</v>
      </c>
      <c r="L317" t="n">
        <v>0</v>
      </c>
      <c r="M317" t="n">
        <v>0</v>
      </c>
      <c r="N317" t="n">
        <v>0</v>
      </c>
      <c r="O317" t="n">
        <v>0</v>
      </c>
      <c r="P317" t="n">
        <v>0</v>
      </c>
      <c r="Q317" t="n">
        <v>0</v>
      </c>
      <c r="R317" s="2" t="inlineStr"/>
    </row>
    <row r="318" ht="15" customHeight="1">
      <c r="A318" t="inlineStr">
        <is>
          <t>A 13172-2025</t>
        </is>
      </c>
      <c r="B318" s="1" t="n">
        <v>45735.36873842592</v>
      </c>
      <c r="C318" s="1" t="n">
        <v>46070</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15256-2023</t>
        </is>
      </c>
      <c r="B319" s="1" t="n">
        <v>45019.3959837963</v>
      </c>
      <c r="C319" s="1" t="n">
        <v>46070</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46070</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22456-2023</t>
        </is>
      </c>
      <c r="B321" s="1" t="n">
        <v>45070</v>
      </c>
      <c r="C321" s="1" t="n">
        <v>46070</v>
      </c>
      <c r="D321" t="inlineStr">
        <is>
          <t>STOCKHOLMS LÄN</t>
        </is>
      </c>
      <c r="E321" t="inlineStr">
        <is>
          <t>NORRTÄLJE</t>
        </is>
      </c>
      <c r="G321" t="n">
        <v>3.1</v>
      </c>
      <c r="H321" t="n">
        <v>0</v>
      </c>
      <c r="I321" t="n">
        <v>0</v>
      </c>
      <c r="J321" t="n">
        <v>0</v>
      </c>
      <c r="K321" t="n">
        <v>0</v>
      </c>
      <c r="L321" t="n">
        <v>0</v>
      </c>
      <c r="M321" t="n">
        <v>0</v>
      </c>
      <c r="N321" t="n">
        <v>0</v>
      </c>
      <c r="O321" t="n">
        <v>0</v>
      </c>
      <c r="P321" t="n">
        <v>0</v>
      </c>
      <c r="Q321" t="n">
        <v>0</v>
      </c>
      <c r="R321" s="2" t="inlineStr"/>
    </row>
    <row r="322" ht="15" customHeight="1">
      <c r="A322" t="inlineStr">
        <is>
          <t>A 64145-2021</t>
        </is>
      </c>
      <c r="B322" s="1" t="n">
        <v>44510</v>
      </c>
      <c r="C322" s="1" t="n">
        <v>46070</v>
      </c>
      <c r="D322" t="inlineStr">
        <is>
          <t>STOCKHOLMS LÄN</t>
        </is>
      </c>
      <c r="E322" t="inlineStr">
        <is>
          <t>NORRTÄLJE</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17785-2024</t>
        </is>
      </c>
      <c r="B323" s="1" t="n">
        <v>45418.6968287037</v>
      </c>
      <c r="C323" s="1" t="n">
        <v>46070</v>
      </c>
      <c r="D323" t="inlineStr">
        <is>
          <t>STOCKHOLMS LÄN</t>
        </is>
      </c>
      <c r="E323" t="inlineStr">
        <is>
          <t>NORRTÄLJE</t>
        </is>
      </c>
      <c r="G323" t="n">
        <v>1</v>
      </c>
      <c r="H323" t="n">
        <v>0</v>
      </c>
      <c r="I323" t="n">
        <v>0</v>
      </c>
      <c r="J323" t="n">
        <v>0</v>
      </c>
      <c r="K323" t="n">
        <v>0</v>
      </c>
      <c r="L323" t="n">
        <v>0</v>
      </c>
      <c r="M323" t="n">
        <v>0</v>
      </c>
      <c r="N323" t="n">
        <v>0</v>
      </c>
      <c r="O323" t="n">
        <v>0</v>
      </c>
      <c r="P323" t="n">
        <v>0</v>
      </c>
      <c r="Q323" t="n">
        <v>0</v>
      </c>
      <c r="R323" s="2" t="inlineStr"/>
    </row>
    <row r="324" ht="15" customHeight="1">
      <c r="A324" t="inlineStr">
        <is>
          <t>A 1740-2023</t>
        </is>
      </c>
      <c r="B324" s="1" t="n">
        <v>44938</v>
      </c>
      <c r="C324" s="1" t="n">
        <v>46070</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4596-2023</t>
        </is>
      </c>
      <c r="B325" s="1" t="n">
        <v>44956</v>
      </c>
      <c r="C325" s="1" t="n">
        <v>46070</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6678-2025</t>
        </is>
      </c>
      <c r="B326" s="1" t="n">
        <v>45700</v>
      </c>
      <c r="C326" s="1" t="n">
        <v>46070</v>
      </c>
      <c r="D326" t="inlineStr">
        <is>
          <t>STOCKHOLMS LÄN</t>
        </is>
      </c>
      <c r="E326" t="inlineStr">
        <is>
          <t>NORRTÄLJE</t>
        </is>
      </c>
      <c r="F326" t="inlineStr">
        <is>
          <t>Övriga Aktiebolag</t>
        </is>
      </c>
      <c r="G326" t="n">
        <v>6.6</v>
      </c>
      <c r="H326" t="n">
        <v>0</v>
      </c>
      <c r="I326" t="n">
        <v>0</v>
      </c>
      <c r="J326" t="n">
        <v>0</v>
      </c>
      <c r="K326" t="n">
        <v>0</v>
      </c>
      <c r="L326" t="n">
        <v>0</v>
      </c>
      <c r="M326" t="n">
        <v>0</v>
      </c>
      <c r="N326" t="n">
        <v>0</v>
      </c>
      <c r="O326" t="n">
        <v>0</v>
      </c>
      <c r="P326" t="n">
        <v>0</v>
      </c>
      <c r="Q326" t="n">
        <v>0</v>
      </c>
      <c r="R326" s="2" t="inlineStr"/>
    </row>
    <row r="327" ht="15" customHeight="1">
      <c r="A327" t="inlineStr">
        <is>
          <t>A 19982-2022</t>
        </is>
      </c>
      <c r="B327" s="1" t="n">
        <v>44697</v>
      </c>
      <c r="C327" s="1" t="n">
        <v>46070</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10676-2025</t>
        </is>
      </c>
      <c r="B328" s="1" t="n">
        <v>45721.88684027778</v>
      </c>
      <c r="C328" s="1" t="n">
        <v>46070</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42075-2023</t>
        </is>
      </c>
      <c r="B329" s="1" t="n">
        <v>45177</v>
      </c>
      <c r="C329" s="1" t="n">
        <v>46070</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50108-2021</t>
        </is>
      </c>
      <c r="B330" s="1" t="n">
        <v>44456</v>
      </c>
      <c r="C330" s="1" t="n">
        <v>46070</v>
      </c>
      <c r="D330" t="inlineStr">
        <is>
          <t>STOCKHOLMS LÄN</t>
        </is>
      </c>
      <c r="E330" t="inlineStr">
        <is>
          <t>NORRTÄLJE</t>
        </is>
      </c>
      <c r="G330" t="n">
        <v>0.7</v>
      </c>
      <c r="H330" t="n">
        <v>0</v>
      </c>
      <c r="I330" t="n">
        <v>0</v>
      </c>
      <c r="J330" t="n">
        <v>0</v>
      </c>
      <c r="K330" t="n">
        <v>0</v>
      </c>
      <c r="L330" t="n">
        <v>0</v>
      </c>
      <c r="M330" t="n">
        <v>0</v>
      </c>
      <c r="N330" t="n">
        <v>0</v>
      </c>
      <c r="O330" t="n">
        <v>0</v>
      </c>
      <c r="P330" t="n">
        <v>0</v>
      </c>
      <c r="Q330" t="n">
        <v>0</v>
      </c>
      <c r="R330" s="2" t="inlineStr"/>
    </row>
    <row r="331" ht="15" customHeight="1">
      <c r="A331" t="inlineStr">
        <is>
          <t>A 50355-2024</t>
        </is>
      </c>
      <c r="B331" s="1" t="n">
        <v>45600.86128472222</v>
      </c>
      <c r="C331" s="1" t="n">
        <v>46070</v>
      </c>
      <c r="D331" t="inlineStr">
        <is>
          <t>STOCKHOLMS LÄN</t>
        </is>
      </c>
      <c r="E331" t="inlineStr">
        <is>
          <t>NORRTÄLJE</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44917-2022</t>
        </is>
      </c>
      <c r="B332" s="1" t="n">
        <v>44841.52804398148</v>
      </c>
      <c r="C332" s="1" t="n">
        <v>46070</v>
      </c>
      <c r="D332" t="inlineStr">
        <is>
          <t>STOCKHOLMS LÄN</t>
        </is>
      </c>
      <c r="E332" t="inlineStr">
        <is>
          <t>NORRTÄLJE</t>
        </is>
      </c>
      <c r="F332" t="inlineStr">
        <is>
          <t>Holmen skog AB</t>
        </is>
      </c>
      <c r="G332" t="n">
        <v>3.3</v>
      </c>
      <c r="H332" t="n">
        <v>0</v>
      </c>
      <c r="I332" t="n">
        <v>0</v>
      </c>
      <c r="J332" t="n">
        <v>0</v>
      </c>
      <c r="K332" t="n">
        <v>0</v>
      </c>
      <c r="L332" t="n">
        <v>0</v>
      </c>
      <c r="M332" t="n">
        <v>0</v>
      </c>
      <c r="N332" t="n">
        <v>0</v>
      </c>
      <c r="O332" t="n">
        <v>0</v>
      </c>
      <c r="P332" t="n">
        <v>0</v>
      </c>
      <c r="Q332" t="n">
        <v>0</v>
      </c>
      <c r="R332" s="2" t="inlineStr"/>
    </row>
    <row r="333" ht="15" customHeight="1">
      <c r="A333" t="inlineStr">
        <is>
          <t>A 55012-2024</t>
        </is>
      </c>
      <c r="B333" s="1" t="n">
        <v>45621.34813657407</v>
      </c>
      <c r="C333" s="1" t="n">
        <v>46070</v>
      </c>
      <c r="D333" t="inlineStr">
        <is>
          <t>STOCKHOLMS LÄN</t>
        </is>
      </c>
      <c r="E333" t="inlineStr">
        <is>
          <t>NORRTÄLJE</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55058-2021</t>
        </is>
      </c>
      <c r="B334" s="1" t="n">
        <v>44474.62141203704</v>
      </c>
      <c r="C334" s="1" t="n">
        <v>46070</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20852-2023</t>
        </is>
      </c>
      <c r="B335" s="1" t="n">
        <v>45058.78607638889</v>
      </c>
      <c r="C335" s="1" t="n">
        <v>46070</v>
      </c>
      <c r="D335" t="inlineStr">
        <is>
          <t>STOCKHOLMS LÄN</t>
        </is>
      </c>
      <c r="E335" t="inlineStr">
        <is>
          <t>NORRTÄLJE</t>
        </is>
      </c>
      <c r="G335" t="n">
        <v>3.5</v>
      </c>
      <c r="H335" t="n">
        <v>0</v>
      </c>
      <c r="I335" t="n">
        <v>0</v>
      </c>
      <c r="J335" t="n">
        <v>0</v>
      </c>
      <c r="K335" t="n">
        <v>0</v>
      </c>
      <c r="L335" t="n">
        <v>0</v>
      </c>
      <c r="M335" t="n">
        <v>0</v>
      </c>
      <c r="N335" t="n">
        <v>0</v>
      </c>
      <c r="O335" t="n">
        <v>0</v>
      </c>
      <c r="P335" t="n">
        <v>0</v>
      </c>
      <c r="Q335" t="n">
        <v>0</v>
      </c>
      <c r="R335" s="2" t="inlineStr"/>
    </row>
    <row r="336" ht="15" customHeight="1">
      <c r="A336" t="inlineStr">
        <is>
          <t>A 7413-2024</t>
        </is>
      </c>
      <c r="B336" s="1" t="n">
        <v>45345.6059837963</v>
      </c>
      <c r="C336" s="1" t="n">
        <v>46070</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12251-2025</t>
        </is>
      </c>
      <c r="B337" s="1" t="n">
        <v>45729.60859953704</v>
      </c>
      <c r="C337" s="1" t="n">
        <v>46070</v>
      </c>
      <c r="D337" t="inlineStr">
        <is>
          <t>STOCKHOLMS LÄN</t>
        </is>
      </c>
      <c r="E337" t="inlineStr">
        <is>
          <t>NORRTÄLJE</t>
        </is>
      </c>
      <c r="F337" t="inlineStr">
        <is>
          <t>Holmen skog AB</t>
        </is>
      </c>
      <c r="G337" t="n">
        <v>5.9</v>
      </c>
      <c r="H337" t="n">
        <v>0</v>
      </c>
      <c r="I337" t="n">
        <v>0</v>
      </c>
      <c r="J337" t="n">
        <v>0</v>
      </c>
      <c r="K337" t="n">
        <v>0</v>
      </c>
      <c r="L337" t="n">
        <v>0</v>
      </c>
      <c r="M337" t="n">
        <v>0</v>
      </c>
      <c r="N337" t="n">
        <v>0</v>
      </c>
      <c r="O337" t="n">
        <v>0</v>
      </c>
      <c r="P337" t="n">
        <v>0</v>
      </c>
      <c r="Q337" t="n">
        <v>0</v>
      </c>
      <c r="R337" s="2" t="inlineStr"/>
    </row>
    <row r="338" ht="15" customHeight="1">
      <c r="A338" t="inlineStr">
        <is>
          <t>A 58863-2024</t>
        </is>
      </c>
      <c r="B338" s="1" t="n">
        <v>45636.41572916666</v>
      </c>
      <c r="C338" s="1" t="n">
        <v>46070</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50154-2024</t>
        </is>
      </c>
      <c r="B339" s="1" t="n">
        <v>45600.4558912037</v>
      </c>
      <c r="C339" s="1" t="n">
        <v>46070</v>
      </c>
      <c r="D339" t="inlineStr">
        <is>
          <t>STOCKHOLMS LÄN</t>
        </is>
      </c>
      <c r="E339" t="inlineStr">
        <is>
          <t>NORRTÄLJE</t>
        </is>
      </c>
      <c r="G339" t="n">
        <v>2.5</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46070</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38720-2025</t>
        </is>
      </c>
      <c r="B341" s="1" t="n">
        <v>45886</v>
      </c>
      <c r="C341" s="1" t="n">
        <v>46070</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61289-2025</t>
        </is>
      </c>
      <c r="B342" s="1" t="n">
        <v>46000.73659722223</v>
      </c>
      <c r="C342" s="1" t="n">
        <v>46070</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42867-2022</t>
        </is>
      </c>
      <c r="B343" s="1" t="n">
        <v>44832</v>
      </c>
      <c r="C343" s="1" t="n">
        <v>46070</v>
      </c>
      <c r="D343" t="inlineStr">
        <is>
          <t>STOCKHOLMS LÄN</t>
        </is>
      </c>
      <c r="E343" t="inlineStr">
        <is>
          <t>NORRTÄLJE</t>
        </is>
      </c>
      <c r="G343" t="n">
        <v>6.4</v>
      </c>
      <c r="H343" t="n">
        <v>0</v>
      </c>
      <c r="I343" t="n">
        <v>0</v>
      </c>
      <c r="J343" t="n">
        <v>0</v>
      </c>
      <c r="K343" t="n">
        <v>0</v>
      </c>
      <c r="L343" t="n">
        <v>0</v>
      </c>
      <c r="M343" t="n">
        <v>0</v>
      </c>
      <c r="N343" t="n">
        <v>0</v>
      </c>
      <c r="O343" t="n">
        <v>0</v>
      </c>
      <c r="P343" t="n">
        <v>0</v>
      </c>
      <c r="Q343" t="n">
        <v>0</v>
      </c>
      <c r="R343" s="2" t="inlineStr"/>
    </row>
    <row r="344" ht="15" customHeight="1">
      <c r="A344" t="inlineStr">
        <is>
          <t>A 61769-2025</t>
        </is>
      </c>
      <c r="B344" s="1" t="n">
        <v>46002.64556712963</v>
      </c>
      <c r="C344" s="1" t="n">
        <v>46070</v>
      </c>
      <c r="D344" t="inlineStr">
        <is>
          <t>STOCKHOLMS LÄN</t>
        </is>
      </c>
      <c r="E344" t="inlineStr">
        <is>
          <t>NORRTÄLJE</t>
        </is>
      </c>
      <c r="G344" t="n">
        <v>2.9</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46070</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58277-2023</t>
        </is>
      </c>
      <c r="B346" s="1" t="n">
        <v>45245</v>
      </c>
      <c r="C346" s="1" t="n">
        <v>46070</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32705-2022</t>
        </is>
      </c>
      <c r="B347" s="1" t="n">
        <v>44783</v>
      </c>
      <c r="C347" s="1" t="n">
        <v>46070</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47481-2024</t>
        </is>
      </c>
      <c r="B348" s="1" t="n">
        <v>45587</v>
      </c>
      <c r="C348" s="1" t="n">
        <v>46070</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57037-2022</t>
        </is>
      </c>
      <c r="B349" s="1" t="n">
        <v>44895</v>
      </c>
      <c r="C349" s="1" t="n">
        <v>46070</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11940-2023</t>
        </is>
      </c>
      <c r="B350" s="1" t="n">
        <v>44995</v>
      </c>
      <c r="C350" s="1" t="n">
        <v>46070</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38593-2025</t>
        </is>
      </c>
      <c r="B351" s="1" t="n">
        <v>45884.48696759259</v>
      </c>
      <c r="C351" s="1" t="n">
        <v>46070</v>
      </c>
      <c r="D351" t="inlineStr">
        <is>
          <t>STOCKHOLMS LÄN</t>
        </is>
      </c>
      <c r="E351" t="inlineStr">
        <is>
          <t>NORRTÄLJE</t>
        </is>
      </c>
      <c r="G351" t="n">
        <v>3</v>
      </c>
      <c r="H351" t="n">
        <v>0</v>
      </c>
      <c r="I351" t="n">
        <v>0</v>
      </c>
      <c r="J351" t="n">
        <v>0</v>
      </c>
      <c r="K351" t="n">
        <v>0</v>
      </c>
      <c r="L351" t="n">
        <v>0</v>
      </c>
      <c r="M351" t="n">
        <v>0</v>
      </c>
      <c r="N351" t="n">
        <v>0</v>
      </c>
      <c r="O351" t="n">
        <v>0</v>
      </c>
      <c r="P351" t="n">
        <v>0</v>
      </c>
      <c r="Q351" t="n">
        <v>0</v>
      </c>
      <c r="R351" s="2" t="inlineStr"/>
    </row>
    <row r="352" ht="15" customHeight="1">
      <c r="A352" t="inlineStr">
        <is>
          <t>A 2281-2024</t>
        </is>
      </c>
      <c r="B352" s="1" t="n">
        <v>45310.40628472222</v>
      </c>
      <c r="C352" s="1" t="n">
        <v>46070</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60525-2022</t>
        </is>
      </c>
      <c r="B353" s="1" t="n">
        <v>44904</v>
      </c>
      <c r="C353" s="1" t="n">
        <v>46070</v>
      </c>
      <c r="D353" t="inlineStr">
        <is>
          <t>STOCKHOLMS LÄN</t>
        </is>
      </c>
      <c r="E353" t="inlineStr">
        <is>
          <t>NORRTÄLJE</t>
        </is>
      </c>
      <c r="G353" t="n">
        <v>13.4</v>
      </c>
      <c r="H353" t="n">
        <v>0</v>
      </c>
      <c r="I353" t="n">
        <v>0</v>
      </c>
      <c r="J353" t="n">
        <v>0</v>
      </c>
      <c r="K353" t="n">
        <v>0</v>
      </c>
      <c r="L353" t="n">
        <v>0</v>
      </c>
      <c r="M353" t="n">
        <v>0</v>
      </c>
      <c r="N353" t="n">
        <v>0</v>
      </c>
      <c r="O353" t="n">
        <v>0</v>
      </c>
      <c r="P353" t="n">
        <v>0</v>
      </c>
      <c r="Q353" t="n">
        <v>0</v>
      </c>
      <c r="R353" s="2" t="inlineStr"/>
    </row>
    <row r="354" ht="15" customHeight="1">
      <c r="A354" t="inlineStr">
        <is>
          <t>A 62998-2023</t>
        </is>
      </c>
      <c r="B354" s="1" t="n">
        <v>45272.64479166667</v>
      </c>
      <c r="C354" s="1" t="n">
        <v>46070</v>
      </c>
      <c r="D354" t="inlineStr">
        <is>
          <t>STOCKHOLMS LÄN</t>
        </is>
      </c>
      <c r="E354" t="inlineStr">
        <is>
          <t>NORRTÄLJE</t>
        </is>
      </c>
      <c r="G354" t="n">
        <v>16.3</v>
      </c>
      <c r="H354" t="n">
        <v>0</v>
      </c>
      <c r="I354" t="n">
        <v>0</v>
      </c>
      <c r="J354" t="n">
        <v>0</v>
      </c>
      <c r="K354" t="n">
        <v>0</v>
      </c>
      <c r="L354" t="n">
        <v>0</v>
      </c>
      <c r="M354" t="n">
        <v>0</v>
      </c>
      <c r="N354" t="n">
        <v>0</v>
      </c>
      <c r="O354" t="n">
        <v>0</v>
      </c>
      <c r="P354" t="n">
        <v>0</v>
      </c>
      <c r="Q354" t="n">
        <v>0</v>
      </c>
      <c r="R354" s="2" t="inlineStr"/>
    </row>
    <row r="355" ht="15" customHeight="1">
      <c r="A355" t="inlineStr">
        <is>
          <t>A 63015-2023</t>
        </is>
      </c>
      <c r="B355" s="1" t="n">
        <v>45272</v>
      </c>
      <c r="C355" s="1" t="n">
        <v>46070</v>
      </c>
      <c r="D355" t="inlineStr">
        <is>
          <t>STOCKHOLMS LÄN</t>
        </is>
      </c>
      <c r="E355" t="inlineStr">
        <is>
          <t>NORRTÄLJE</t>
        </is>
      </c>
      <c r="G355" t="n">
        <v>13.1</v>
      </c>
      <c r="H355" t="n">
        <v>0</v>
      </c>
      <c r="I355" t="n">
        <v>0</v>
      </c>
      <c r="J355" t="n">
        <v>0</v>
      </c>
      <c r="K355" t="n">
        <v>0</v>
      </c>
      <c r="L355" t="n">
        <v>0</v>
      </c>
      <c r="M355" t="n">
        <v>0</v>
      </c>
      <c r="N355" t="n">
        <v>0</v>
      </c>
      <c r="O355" t="n">
        <v>0</v>
      </c>
      <c r="P355" t="n">
        <v>0</v>
      </c>
      <c r="Q355" t="n">
        <v>0</v>
      </c>
      <c r="R355" s="2" t="inlineStr"/>
    </row>
    <row r="356" ht="15" customHeight="1">
      <c r="A356" t="inlineStr">
        <is>
          <t>A 27831-2024</t>
        </is>
      </c>
      <c r="B356" s="1" t="n">
        <v>45475.61896990741</v>
      </c>
      <c r="C356" s="1" t="n">
        <v>46070</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33175-2024</t>
        </is>
      </c>
      <c r="B357" s="1" t="n">
        <v>45518</v>
      </c>
      <c r="C357" s="1" t="n">
        <v>46070</v>
      </c>
      <c r="D357" t="inlineStr">
        <is>
          <t>STOCKHOLMS LÄN</t>
        </is>
      </c>
      <c r="E357" t="inlineStr">
        <is>
          <t>NORRTÄLJE</t>
        </is>
      </c>
      <c r="G357" t="n">
        <v>2.1</v>
      </c>
      <c r="H357" t="n">
        <v>0</v>
      </c>
      <c r="I357" t="n">
        <v>0</v>
      </c>
      <c r="J357" t="n">
        <v>0</v>
      </c>
      <c r="K357" t="n">
        <v>0</v>
      </c>
      <c r="L357" t="n">
        <v>0</v>
      </c>
      <c r="M357" t="n">
        <v>0</v>
      </c>
      <c r="N357" t="n">
        <v>0</v>
      </c>
      <c r="O357" t="n">
        <v>0</v>
      </c>
      <c r="P357" t="n">
        <v>0</v>
      </c>
      <c r="Q357" t="n">
        <v>0</v>
      </c>
      <c r="R357" s="2" t="inlineStr"/>
    </row>
    <row r="358" ht="15" customHeight="1">
      <c r="A358" t="inlineStr">
        <is>
          <t>A 39213-2022</t>
        </is>
      </c>
      <c r="B358" s="1" t="n">
        <v>44817.56120370371</v>
      </c>
      <c r="C358" s="1" t="n">
        <v>46070</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21803-2022</t>
        </is>
      </c>
      <c r="B359" s="1" t="n">
        <v>44708.67822916667</v>
      </c>
      <c r="C359" s="1" t="n">
        <v>46070</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20730-2024</t>
        </is>
      </c>
      <c r="B360" s="1" t="n">
        <v>45436</v>
      </c>
      <c r="C360" s="1" t="n">
        <v>46070</v>
      </c>
      <c r="D360" t="inlineStr">
        <is>
          <t>STOCKHOLMS LÄN</t>
        </is>
      </c>
      <c r="E360" t="inlineStr">
        <is>
          <t>NORRTÄLJE</t>
        </is>
      </c>
      <c r="G360" t="n">
        <v>7.3</v>
      </c>
      <c r="H360" t="n">
        <v>0</v>
      </c>
      <c r="I360" t="n">
        <v>0</v>
      </c>
      <c r="J360" t="n">
        <v>0</v>
      </c>
      <c r="K360" t="n">
        <v>0</v>
      </c>
      <c r="L360" t="n">
        <v>0</v>
      </c>
      <c r="M360" t="n">
        <v>0</v>
      </c>
      <c r="N360" t="n">
        <v>0</v>
      </c>
      <c r="O360" t="n">
        <v>0</v>
      </c>
      <c r="P360" t="n">
        <v>0</v>
      </c>
      <c r="Q360" t="n">
        <v>0</v>
      </c>
      <c r="R360" s="2" t="inlineStr"/>
    </row>
    <row r="361" ht="15" customHeight="1">
      <c r="A361" t="inlineStr">
        <is>
          <t>A 61764-2025</t>
        </is>
      </c>
      <c r="B361" s="1" t="n">
        <v>46002.62763888889</v>
      </c>
      <c r="C361" s="1" t="n">
        <v>46070</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41976-2024</t>
        </is>
      </c>
      <c r="B362" s="1" t="n">
        <v>45561.62141203704</v>
      </c>
      <c r="C362" s="1" t="n">
        <v>46070</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51325-2023</t>
        </is>
      </c>
      <c r="B363" s="1" t="n">
        <v>45219</v>
      </c>
      <c r="C363" s="1" t="n">
        <v>46070</v>
      </c>
      <c r="D363" t="inlineStr">
        <is>
          <t>STOCKHOLMS LÄN</t>
        </is>
      </c>
      <c r="E363" t="inlineStr">
        <is>
          <t>NORRTÄLJE</t>
        </is>
      </c>
      <c r="G363" t="n">
        <v>2.2</v>
      </c>
      <c r="H363" t="n">
        <v>0</v>
      </c>
      <c r="I363" t="n">
        <v>0</v>
      </c>
      <c r="J363" t="n">
        <v>0</v>
      </c>
      <c r="K363" t="n">
        <v>0</v>
      </c>
      <c r="L363" t="n">
        <v>0</v>
      </c>
      <c r="M363" t="n">
        <v>0</v>
      </c>
      <c r="N363" t="n">
        <v>0</v>
      </c>
      <c r="O363" t="n">
        <v>0</v>
      </c>
      <c r="P363" t="n">
        <v>0</v>
      </c>
      <c r="Q363" t="n">
        <v>0</v>
      </c>
      <c r="R363" s="2" t="inlineStr"/>
    </row>
    <row r="364" ht="15" customHeight="1">
      <c r="A364" t="inlineStr">
        <is>
          <t>A 12901-2024</t>
        </is>
      </c>
      <c r="B364" s="1" t="n">
        <v>45385.37922453704</v>
      </c>
      <c r="C364" s="1" t="n">
        <v>46070</v>
      </c>
      <c r="D364" t="inlineStr">
        <is>
          <t>STOCKHOLMS LÄN</t>
        </is>
      </c>
      <c r="E364" t="inlineStr">
        <is>
          <t>NORRTÄLJE</t>
        </is>
      </c>
      <c r="G364" t="n">
        <v>2.7</v>
      </c>
      <c r="H364" t="n">
        <v>0</v>
      </c>
      <c r="I364" t="n">
        <v>0</v>
      </c>
      <c r="J364" t="n">
        <v>0</v>
      </c>
      <c r="K364" t="n">
        <v>0</v>
      </c>
      <c r="L364" t="n">
        <v>0</v>
      </c>
      <c r="M364" t="n">
        <v>0</v>
      </c>
      <c r="N364" t="n">
        <v>0</v>
      </c>
      <c r="O364" t="n">
        <v>0</v>
      </c>
      <c r="P364" t="n">
        <v>0</v>
      </c>
      <c r="Q364" t="n">
        <v>0</v>
      </c>
      <c r="R364" s="2" t="inlineStr"/>
    </row>
    <row r="365" ht="15" customHeight="1">
      <c r="A365" t="inlineStr">
        <is>
          <t>A 8950-2025</t>
        </is>
      </c>
      <c r="B365" s="1" t="n">
        <v>45713</v>
      </c>
      <c r="C365" s="1" t="n">
        <v>46070</v>
      </c>
      <c r="D365" t="inlineStr">
        <is>
          <t>STOCKHOLMS LÄN</t>
        </is>
      </c>
      <c r="E365" t="inlineStr">
        <is>
          <t>NORRTÄLJE</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27677-2025</t>
        </is>
      </c>
      <c r="B366" s="1" t="n">
        <v>45813.63650462963</v>
      </c>
      <c r="C366" s="1" t="n">
        <v>46070</v>
      </c>
      <c r="D366" t="inlineStr">
        <is>
          <t>STOCKHOLMS LÄN</t>
        </is>
      </c>
      <c r="E366" t="inlineStr">
        <is>
          <t>NORRTÄLJE</t>
        </is>
      </c>
      <c r="G366" t="n">
        <v>2</v>
      </c>
      <c r="H366" t="n">
        <v>0</v>
      </c>
      <c r="I366" t="n">
        <v>0</v>
      </c>
      <c r="J366" t="n">
        <v>0</v>
      </c>
      <c r="K366" t="n">
        <v>0</v>
      </c>
      <c r="L366" t="n">
        <v>0</v>
      </c>
      <c r="M366" t="n">
        <v>0</v>
      </c>
      <c r="N366" t="n">
        <v>0</v>
      </c>
      <c r="O366" t="n">
        <v>0</v>
      </c>
      <c r="P366" t="n">
        <v>0</v>
      </c>
      <c r="Q366" t="n">
        <v>0</v>
      </c>
      <c r="R366" s="2" t="inlineStr"/>
    </row>
    <row r="367" ht="15" customHeight="1">
      <c r="A367" t="inlineStr">
        <is>
          <t>A 59534-2024</t>
        </is>
      </c>
      <c r="B367" s="1" t="n">
        <v>45638.5987037037</v>
      </c>
      <c r="C367" s="1" t="n">
        <v>46070</v>
      </c>
      <c r="D367" t="inlineStr">
        <is>
          <t>STOCKHOLMS LÄN</t>
        </is>
      </c>
      <c r="E367" t="inlineStr">
        <is>
          <t>NORRTÄLJE</t>
        </is>
      </c>
      <c r="F367" t="inlineStr">
        <is>
          <t>Holmen skog AB</t>
        </is>
      </c>
      <c r="G367" t="n">
        <v>1.3</v>
      </c>
      <c r="H367" t="n">
        <v>0</v>
      </c>
      <c r="I367" t="n">
        <v>0</v>
      </c>
      <c r="J367" t="n">
        <v>0</v>
      </c>
      <c r="K367" t="n">
        <v>0</v>
      </c>
      <c r="L367" t="n">
        <v>0</v>
      </c>
      <c r="M367" t="n">
        <v>0</v>
      </c>
      <c r="N367" t="n">
        <v>0</v>
      </c>
      <c r="O367" t="n">
        <v>0</v>
      </c>
      <c r="P367" t="n">
        <v>0</v>
      </c>
      <c r="Q367" t="n">
        <v>0</v>
      </c>
      <c r="R367" s="2" t="inlineStr"/>
    </row>
    <row r="368" ht="15" customHeight="1">
      <c r="A368" t="inlineStr">
        <is>
          <t>A 31107-2022</t>
        </is>
      </c>
      <c r="B368" s="1" t="n">
        <v>44769.66864583334</v>
      </c>
      <c r="C368" s="1" t="n">
        <v>46070</v>
      </c>
      <c r="D368" t="inlineStr">
        <is>
          <t>STOCKHOLMS LÄN</t>
        </is>
      </c>
      <c r="E368" t="inlineStr">
        <is>
          <t>NORRTÄLJE</t>
        </is>
      </c>
      <c r="G368" t="n">
        <v>3.8</v>
      </c>
      <c r="H368" t="n">
        <v>0</v>
      </c>
      <c r="I368" t="n">
        <v>0</v>
      </c>
      <c r="J368" t="n">
        <v>0</v>
      </c>
      <c r="K368" t="n">
        <v>0</v>
      </c>
      <c r="L368" t="n">
        <v>0</v>
      </c>
      <c r="M368" t="n">
        <v>0</v>
      </c>
      <c r="N368" t="n">
        <v>0</v>
      </c>
      <c r="O368" t="n">
        <v>0</v>
      </c>
      <c r="P368" t="n">
        <v>0</v>
      </c>
      <c r="Q368" t="n">
        <v>0</v>
      </c>
      <c r="R368" s="2" t="inlineStr"/>
    </row>
    <row r="369" ht="15" customHeight="1">
      <c r="A369" t="inlineStr">
        <is>
          <t>A 39152-2025</t>
        </is>
      </c>
      <c r="B369" s="1" t="n">
        <v>45888</v>
      </c>
      <c r="C369" s="1" t="n">
        <v>46070</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13860-2023</t>
        </is>
      </c>
      <c r="B370" s="1" t="n">
        <v>45007</v>
      </c>
      <c r="C370" s="1" t="n">
        <v>46070</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6855-2025</t>
        </is>
      </c>
      <c r="B371" s="1" t="n">
        <v>45700</v>
      </c>
      <c r="C371" s="1" t="n">
        <v>46070</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12301-2025</t>
        </is>
      </c>
      <c r="B372" s="1" t="n">
        <v>45729.7271875</v>
      </c>
      <c r="C372" s="1" t="n">
        <v>46070</v>
      </c>
      <c r="D372" t="inlineStr">
        <is>
          <t>STOCKHOLMS LÄN</t>
        </is>
      </c>
      <c r="E372" t="inlineStr">
        <is>
          <t>NORRTÄLJE</t>
        </is>
      </c>
      <c r="G372" t="n">
        <v>3.2</v>
      </c>
      <c r="H372" t="n">
        <v>0</v>
      </c>
      <c r="I372" t="n">
        <v>0</v>
      </c>
      <c r="J372" t="n">
        <v>0</v>
      </c>
      <c r="K372" t="n">
        <v>0</v>
      </c>
      <c r="L372" t="n">
        <v>0</v>
      </c>
      <c r="M372" t="n">
        <v>0</v>
      </c>
      <c r="N372" t="n">
        <v>0</v>
      </c>
      <c r="O372" t="n">
        <v>0</v>
      </c>
      <c r="P372" t="n">
        <v>0</v>
      </c>
      <c r="Q372" t="n">
        <v>0</v>
      </c>
      <c r="R372" s="2" t="inlineStr"/>
    </row>
    <row r="373" ht="15" customHeight="1">
      <c r="A373" t="inlineStr">
        <is>
          <t>A 24351-2025</t>
        </is>
      </c>
      <c r="B373" s="1" t="n">
        <v>45797.58399305555</v>
      </c>
      <c r="C373" s="1" t="n">
        <v>46070</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13283-2025</t>
        </is>
      </c>
      <c r="B374" s="1" t="n">
        <v>45735</v>
      </c>
      <c r="C374" s="1" t="n">
        <v>46070</v>
      </c>
      <c r="D374" t="inlineStr">
        <is>
          <t>STOCKHOLMS LÄN</t>
        </is>
      </c>
      <c r="E374" t="inlineStr">
        <is>
          <t>NORRTÄLJE</t>
        </is>
      </c>
      <c r="G374" t="n">
        <v>4.9</v>
      </c>
      <c r="H374" t="n">
        <v>0</v>
      </c>
      <c r="I374" t="n">
        <v>0</v>
      </c>
      <c r="J374" t="n">
        <v>0</v>
      </c>
      <c r="K374" t="n">
        <v>0</v>
      </c>
      <c r="L374" t="n">
        <v>0</v>
      </c>
      <c r="M374" t="n">
        <v>0</v>
      </c>
      <c r="N374" t="n">
        <v>0</v>
      </c>
      <c r="O374" t="n">
        <v>0</v>
      </c>
      <c r="P374" t="n">
        <v>0</v>
      </c>
      <c r="Q374" t="n">
        <v>0</v>
      </c>
      <c r="R374" s="2" t="inlineStr"/>
    </row>
    <row r="375" ht="15" customHeight="1">
      <c r="A375" t="inlineStr">
        <is>
          <t>A 13314-2025</t>
        </is>
      </c>
      <c r="B375" s="1" t="n">
        <v>45735.59287037037</v>
      </c>
      <c r="C375" s="1" t="n">
        <v>46070</v>
      </c>
      <c r="D375" t="inlineStr">
        <is>
          <t>STOCKHOLMS LÄN</t>
        </is>
      </c>
      <c r="E375" t="inlineStr">
        <is>
          <t>NORRTÄLJE</t>
        </is>
      </c>
      <c r="G375" t="n">
        <v>2.4</v>
      </c>
      <c r="H375" t="n">
        <v>0</v>
      </c>
      <c r="I375" t="n">
        <v>0</v>
      </c>
      <c r="J375" t="n">
        <v>0</v>
      </c>
      <c r="K375" t="n">
        <v>0</v>
      </c>
      <c r="L375" t="n">
        <v>0</v>
      </c>
      <c r="M375" t="n">
        <v>0</v>
      </c>
      <c r="N375" t="n">
        <v>0</v>
      </c>
      <c r="O375" t="n">
        <v>0</v>
      </c>
      <c r="P375" t="n">
        <v>0</v>
      </c>
      <c r="Q375" t="n">
        <v>0</v>
      </c>
      <c r="R375" s="2" t="inlineStr"/>
    </row>
    <row r="376" ht="15" customHeight="1">
      <c r="A376" t="inlineStr">
        <is>
          <t>A 39149-2025</t>
        </is>
      </c>
      <c r="B376" s="1" t="n">
        <v>45888.60714120371</v>
      </c>
      <c r="C376" s="1" t="n">
        <v>46070</v>
      </c>
      <c r="D376" t="inlineStr">
        <is>
          <t>STOCKHOLMS LÄN</t>
        </is>
      </c>
      <c r="E376" t="inlineStr">
        <is>
          <t>NORRTÄLJE</t>
        </is>
      </c>
      <c r="G376" t="n">
        <v>3.5</v>
      </c>
      <c r="H376" t="n">
        <v>0</v>
      </c>
      <c r="I376" t="n">
        <v>0</v>
      </c>
      <c r="J376" t="n">
        <v>0</v>
      </c>
      <c r="K376" t="n">
        <v>0</v>
      </c>
      <c r="L376" t="n">
        <v>0</v>
      </c>
      <c r="M376" t="n">
        <v>0</v>
      </c>
      <c r="N376" t="n">
        <v>0</v>
      </c>
      <c r="O376" t="n">
        <v>0</v>
      </c>
      <c r="P376" t="n">
        <v>0</v>
      </c>
      <c r="Q376" t="n">
        <v>0</v>
      </c>
      <c r="R376" s="2" t="inlineStr"/>
    </row>
    <row r="377" ht="15" customHeight="1">
      <c r="A377" t="inlineStr">
        <is>
          <t>A 24687-2025</t>
        </is>
      </c>
      <c r="B377" s="1" t="n">
        <v>45798.66767361111</v>
      </c>
      <c r="C377" s="1" t="n">
        <v>46070</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34432-2021</t>
        </is>
      </c>
      <c r="B378" s="1" t="n">
        <v>44380.77346064815</v>
      </c>
      <c r="C378" s="1" t="n">
        <v>46070</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4232-2026</t>
        </is>
      </c>
      <c r="B379" s="1" t="n">
        <v>46044.89594907407</v>
      </c>
      <c r="C379" s="1" t="n">
        <v>46070</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24638-2025</t>
        </is>
      </c>
      <c r="B380" s="1" t="n">
        <v>45798</v>
      </c>
      <c r="C380" s="1" t="n">
        <v>46070</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39692-2025</t>
        </is>
      </c>
      <c r="B381" s="1" t="n">
        <v>45890.68083333333</v>
      </c>
      <c r="C381" s="1" t="n">
        <v>46070</v>
      </c>
      <c r="D381" t="inlineStr">
        <is>
          <t>STOCKHOLMS LÄN</t>
        </is>
      </c>
      <c r="E381" t="inlineStr">
        <is>
          <t>NORRTÄLJE</t>
        </is>
      </c>
      <c r="G381" t="n">
        <v>10.5</v>
      </c>
      <c r="H381" t="n">
        <v>0</v>
      </c>
      <c r="I381" t="n">
        <v>0</v>
      </c>
      <c r="J381" t="n">
        <v>0</v>
      </c>
      <c r="K381" t="n">
        <v>0</v>
      </c>
      <c r="L381" t="n">
        <v>0</v>
      </c>
      <c r="M381" t="n">
        <v>0</v>
      </c>
      <c r="N381" t="n">
        <v>0</v>
      </c>
      <c r="O381" t="n">
        <v>0</v>
      </c>
      <c r="P381" t="n">
        <v>0</v>
      </c>
      <c r="Q381" t="n">
        <v>0</v>
      </c>
      <c r="R381" s="2" t="inlineStr"/>
    </row>
    <row r="382" ht="15" customHeight="1">
      <c r="A382" t="inlineStr">
        <is>
          <t>A 28603-2024</t>
        </is>
      </c>
      <c r="B382" s="1" t="n">
        <v>45478.42887731481</v>
      </c>
      <c r="C382" s="1" t="n">
        <v>46070</v>
      </c>
      <c r="D382" t="inlineStr">
        <is>
          <t>STOCKHOLMS LÄN</t>
        </is>
      </c>
      <c r="E382" t="inlineStr">
        <is>
          <t>NORRTÄLJE</t>
        </is>
      </c>
      <c r="G382" t="n">
        <v>5.6</v>
      </c>
      <c r="H382" t="n">
        <v>0</v>
      </c>
      <c r="I382" t="n">
        <v>0</v>
      </c>
      <c r="J382" t="n">
        <v>0</v>
      </c>
      <c r="K382" t="n">
        <v>0</v>
      </c>
      <c r="L382" t="n">
        <v>0</v>
      </c>
      <c r="M382" t="n">
        <v>0</v>
      </c>
      <c r="N382" t="n">
        <v>0</v>
      </c>
      <c r="O382" t="n">
        <v>0</v>
      </c>
      <c r="P382" t="n">
        <v>0</v>
      </c>
      <c r="Q382" t="n">
        <v>0</v>
      </c>
      <c r="R382" s="2" t="inlineStr"/>
    </row>
    <row r="383" ht="15" customHeight="1">
      <c r="A383" t="inlineStr">
        <is>
          <t>A 35639-2025</t>
        </is>
      </c>
      <c r="B383" s="1" t="n">
        <v>45859</v>
      </c>
      <c r="C383" s="1" t="n">
        <v>46070</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23149-2024</t>
        </is>
      </c>
      <c r="B384" s="1" t="n">
        <v>45450.64208333333</v>
      </c>
      <c r="C384" s="1" t="n">
        <v>46070</v>
      </c>
      <c r="D384" t="inlineStr">
        <is>
          <t>STOCKHOLMS LÄN</t>
        </is>
      </c>
      <c r="E384" t="inlineStr">
        <is>
          <t>NORRTÄLJE</t>
        </is>
      </c>
      <c r="F384" t="inlineStr">
        <is>
          <t>Kommuner</t>
        </is>
      </c>
      <c r="G384" t="n">
        <v>1.3</v>
      </c>
      <c r="H384" t="n">
        <v>0</v>
      </c>
      <c r="I384" t="n">
        <v>0</v>
      </c>
      <c r="J384" t="n">
        <v>0</v>
      </c>
      <c r="K384" t="n">
        <v>0</v>
      </c>
      <c r="L384" t="n">
        <v>0</v>
      </c>
      <c r="M384" t="n">
        <v>0</v>
      </c>
      <c r="N384" t="n">
        <v>0</v>
      </c>
      <c r="O384" t="n">
        <v>0</v>
      </c>
      <c r="P384" t="n">
        <v>0</v>
      </c>
      <c r="Q384" t="n">
        <v>0</v>
      </c>
      <c r="R384" s="2" t="inlineStr"/>
    </row>
    <row r="385" ht="15" customHeight="1">
      <c r="A385" t="inlineStr">
        <is>
          <t>A 23151-2024</t>
        </is>
      </c>
      <c r="B385" s="1" t="n">
        <v>45450</v>
      </c>
      <c r="C385" s="1" t="n">
        <v>46070</v>
      </c>
      <c r="D385" t="inlineStr">
        <is>
          <t>STOCKHOLMS LÄN</t>
        </is>
      </c>
      <c r="E385" t="inlineStr">
        <is>
          <t>NORRTÄLJE</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24690-2025</t>
        </is>
      </c>
      <c r="B386" s="1" t="n">
        <v>45798.67082175926</v>
      </c>
      <c r="C386" s="1" t="n">
        <v>46070</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35636-2025</t>
        </is>
      </c>
      <c r="B387" s="1" t="n">
        <v>45859</v>
      </c>
      <c r="C387" s="1" t="n">
        <v>46070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47259-2024</t>
        </is>
      </c>
      <c r="B388" s="1" t="n">
        <v>45586</v>
      </c>
      <c r="C388" s="1" t="n">
        <v>46070</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25702-2025</t>
        </is>
      </c>
      <c r="B389" s="1" t="n">
        <v>45800</v>
      </c>
      <c r="C389" s="1" t="n">
        <v>46070</v>
      </c>
      <c r="D389" t="inlineStr">
        <is>
          <t>STOCKHOLMS LÄN</t>
        </is>
      </c>
      <c r="E389" t="inlineStr">
        <is>
          <t>NORRTÄLJE</t>
        </is>
      </c>
      <c r="G389" t="n">
        <v>5.3</v>
      </c>
      <c r="H389" t="n">
        <v>0</v>
      </c>
      <c r="I389" t="n">
        <v>0</v>
      </c>
      <c r="J389" t="n">
        <v>0</v>
      </c>
      <c r="K389" t="n">
        <v>0</v>
      </c>
      <c r="L389" t="n">
        <v>0</v>
      </c>
      <c r="M389" t="n">
        <v>0</v>
      </c>
      <c r="N389" t="n">
        <v>0</v>
      </c>
      <c r="O389" t="n">
        <v>0</v>
      </c>
      <c r="P389" t="n">
        <v>0</v>
      </c>
      <c r="Q389" t="n">
        <v>0</v>
      </c>
      <c r="R389" s="2" t="inlineStr"/>
    </row>
    <row r="390" ht="15" customHeight="1">
      <c r="A390" t="inlineStr">
        <is>
          <t>A 52001-2023</t>
        </is>
      </c>
      <c r="B390" s="1" t="n">
        <v>45223</v>
      </c>
      <c r="C390" s="1" t="n">
        <v>46070</v>
      </c>
      <c r="D390" t="inlineStr">
        <is>
          <t>STOCKHOLMS LÄN</t>
        </is>
      </c>
      <c r="E390" t="inlineStr">
        <is>
          <t>NORRTÄLJE</t>
        </is>
      </c>
      <c r="G390" t="n">
        <v>0.7</v>
      </c>
      <c r="H390" t="n">
        <v>0</v>
      </c>
      <c r="I390" t="n">
        <v>0</v>
      </c>
      <c r="J390" t="n">
        <v>0</v>
      </c>
      <c r="K390" t="n">
        <v>0</v>
      </c>
      <c r="L390" t="n">
        <v>0</v>
      </c>
      <c r="M390" t="n">
        <v>0</v>
      </c>
      <c r="N390" t="n">
        <v>0</v>
      </c>
      <c r="O390" t="n">
        <v>0</v>
      </c>
      <c r="P390" t="n">
        <v>0</v>
      </c>
      <c r="Q390" t="n">
        <v>0</v>
      </c>
      <c r="R390" s="2" t="inlineStr"/>
    </row>
    <row r="391" ht="15" customHeight="1">
      <c r="A391" t="inlineStr">
        <is>
          <t>A 25712-2025</t>
        </is>
      </c>
      <c r="B391" s="1" t="n">
        <v>45803.69228009259</v>
      </c>
      <c r="C391" s="1" t="n">
        <v>46070</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60185-2024</t>
        </is>
      </c>
      <c r="B392" s="1" t="n">
        <v>45642.64634259259</v>
      </c>
      <c r="C392" s="1" t="n">
        <v>46070</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40172-2025</t>
        </is>
      </c>
      <c r="B393" s="1" t="n">
        <v>45894.6353125</v>
      </c>
      <c r="C393" s="1" t="n">
        <v>46070</v>
      </c>
      <c r="D393" t="inlineStr">
        <is>
          <t>STOCKHOLMS LÄN</t>
        </is>
      </c>
      <c r="E393" t="inlineStr">
        <is>
          <t>NORRTÄLJE</t>
        </is>
      </c>
      <c r="G393" t="n">
        <v>6</v>
      </c>
      <c r="H393" t="n">
        <v>0</v>
      </c>
      <c r="I393" t="n">
        <v>0</v>
      </c>
      <c r="J393" t="n">
        <v>0</v>
      </c>
      <c r="K393" t="n">
        <v>0</v>
      </c>
      <c r="L393" t="n">
        <v>0</v>
      </c>
      <c r="M393" t="n">
        <v>0</v>
      </c>
      <c r="N393" t="n">
        <v>0</v>
      </c>
      <c r="O393" t="n">
        <v>0</v>
      </c>
      <c r="P393" t="n">
        <v>0</v>
      </c>
      <c r="Q393" t="n">
        <v>0</v>
      </c>
      <c r="R393" s="2" t="inlineStr"/>
    </row>
    <row r="394" ht="15" customHeight="1">
      <c r="A394" t="inlineStr">
        <is>
          <t>A 48686-2023</t>
        </is>
      </c>
      <c r="B394" s="1" t="n">
        <v>45208</v>
      </c>
      <c r="C394" s="1" t="n">
        <v>46070</v>
      </c>
      <c r="D394" t="inlineStr">
        <is>
          <t>STOCKHOLMS LÄN</t>
        </is>
      </c>
      <c r="E394" t="inlineStr">
        <is>
          <t>NORRTÄLJE</t>
        </is>
      </c>
      <c r="G394" t="n">
        <v>6</v>
      </c>
      <c r="H394" t="n">
        <v>0</v>
      </c>
      <c r="I394" t="n">
        <v>0</v>
      </c>
      <c r="J394" t="n">
        <v>0</v>
      </c>
      <c r="K394" t="n">
        <v>0</v>
      </c>
      <c r="L394" t="n">
        <v>0</v>
      </c>
      <c r="M394" t="n">
        <v>0</v>
      </c>
      <c r="N394" t="n">
        <v>0</v>
      </c>
      <c r="O394" t="n">
        <v>0</v>
      </c>
      <c r="P394" t="n">
        <v>0</v>
      </c>
      <c r="Q394" t="n">
        <v>0</v>
      </c>
      <c r="R394" s="2" t="inlineStr"/>
    </row>
    <row r="395" ht="15" customHeight="1">
      <c r="A395" t="inlineStr">
        <is>
          <t>A 48691-2023</t>
        </is>
      </c>
      <c r="B395" s="1" t="n">
        <v>45208</v>
      </c>
      <c r="C395" s="1" t="n">
        <v>46070</v>
      </c>
      <c r="D395" t="inlineStr">
        <is>
          <t>STOCKHOLMS LÄN</t>
        </is>
      </c>
      <c r="E395" t="inlineStr">
        <is>
          <t>NORRTÄLJE</t>
        </is>
      </c>
      <c r="G395" t="n">
        <v>5.8</v>
      </c>
      <c r="H395" t="n">
        <v>0</v>
      </c>
      <c r="I395" t="n">
        <v>0</v>
      </c>
      <c r="J395" t="n">
        <v>0</v>
      </c>
      <c r="K395" t="n">
        <v>0</v>
      </c>
      <c r="L395" t="n">
        <v>0</v>
      </c>
      <c r="M395" t="n">
        <v>0</v>
      </c>
      <c r="N395" t="n">
        <v>0</v>
      </c>
      <c r="O395" t="n">
        <v>0</v>
      </c>
      <c r="P395" t="n">
        <v>0</v>
      </c>
      <c r="Q395" t="n">
        <v>0</v>
      </c>
      <c r="R395" s="2" t="inlineStr"/>
    </row>
    <row r="396" ht="15" customHeight="1">
      <c r="A396" t="inlineStr">
        <is>
          <t>A 40033-2025</t>
        </is>
      </c>
      <c r="B396" s="1" t="n">
        <v>45893</v>
      </c>
      <c r="C396" s="1" t="n">
        <v>46070</v>
      </c>
      <c r="D396" t="inlineStr">
        <is>
          <t>STOCKHOLMS LÄN</t>
        </is>
      </c>
      <c r="E396" t="inlineStr">
        <is>
          <t>NORRTÄLJE</t>
        </is>
      </c>
      <c r="G396" t="n">
        <v>1.7</v>
      </c>
      <c r="H396" t="n">
        <v>0</v>
      </c>
      <c r="I396" t="n">
        <v>0</v>
      </c>
      <c r="J396" t="n">
        <v>0</v>
      </c>
      <c r="K396" t="n">
        <v>0</v>
      </c>
      <c r="L396" t="n">
        <v>0</v>
      </c>
      <c r="M396" t="n">
        <v>0</v>
      </c>
      <c r="N396" t="n">
        <v>0</v>
      </c>
      <c r="O396" t="n">
        <v>0</v>
      </c>
      <c r="P396" t="n">
        <v>0</v>
      </c>
      <c r="Q396" t="n">
        <v>0</v>
      </c>
      <c r="R396" s="2" t="inlineStr"/>
    </row>
    <row r="397" ht="15" customHeight="1">
      <c r="A397" t="inlineStr">
        <is>
          <t>A 40032-2025</t>
        </is>
      </c>
      <c r="B397" s="1" t="n">
        <v>45893</v>
      </c>
      <c r="C397" s="1" t="n">
        <v>46070</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25733-2025</t>
        </is>
      </c>
      <c r="B398" s="1" t="n">
        <v>45800</v>
      </c>
      <c r="C398" s="1" t="n">
        <v>46070</v>
      </c>
      <c r="D398" t="inlineStr">
        <is>
          <t>STOCKHOLMS LÄN</t>
        </is>
      </c>
      <c r="E398" t="inlineStr">
        <is>
          <t>NORRTÄLJE</t>
        </is>
      </c>
      <c r="G398" t="n">
        <v>2.2</v>
      </c>
      <c r="H398" t="n">
        <v>0</v>
      </c>
      <c r="I398" t="n">
        <v>0</v>
      </c>
      <c r="J398" t="n">
        <v>0</v>
      </c>
      <c r="K398" t="n">
        <v>0</v>
      </c>
      <c r="L398" t="n">
        <v>0</v>
      </c>
      <c r="M398" t="n">
        <v>0</v>
      </c>
      <c r="N398" t="n">
        <v>0</v>
      </c>
      <c r="O398" t="n">
        <v>0</v>
      </c>
      <c r="P398" t="n">
        <v>0</v>
      </c>
      <c r="Q398" t="n">
        <v>0</v>
      </c>
      <c r="R398" s="2" t="inlineStr"/>
    </row>
    <row r="399" ht="15" customHeight="1">
      <c r="A399" t="inlineStr">
        <is>
          <t>A 39238-2024</t>
        </is>
      </c>
      <c r="B399" s="1" t="n">
        <v>45549</v>
      </c>
      <c r="C399" s="1" t="n">
        <v>46070</v>
      </c>
      <c r="D399" t="inlineStr">
        <is>
          <t>STOCKHOLMS LÄN</t>
        </is>
      </c>
      <c r="E399" t="inlineStr">
        <is>
          <t>NORRTÄLJE</t>
        </is>
      </c>
      <c r="G399" t="n">
        <v>3.6</v>
      </c>
      <c r="H399" t="n">
        <v>0</v>
      </c>
      <c r="I399" t="n">
        <v>0</v>
      </c>
      <c r="J399" t="n">
        <v>0</v>
      </c>
      <c r="K399" t="n">
        <v>0</v>
      </c>
      <c r="L399" t="n">
        <v>0</v>
      </c>
      <c r="M399" t="n">
        <v>0</v>
      </c>
      <c r="N399" t="n">
        <v>0</v>
      </c>
      <c r="O399" t="n">
        <v>0</v>
      </c>
      <c r="P399" t="n">
        <v>0</v>
      </c>
      <c r="Q399" t="n">
        <v>0</v>
      </c>
      <c r="R399" s="2" t="inlineStr"/>
    </row>
    <row r="400" ht="15" customHeight="1">
      <c r="A400" t="inlineStr">
        <is>
          <t>A 40292-2025</t>
        </is>
      </c>
      <c r="B400" s="1" t="n">
        <v>45895.3867824074</v>
      </c>
      <c r="C400" s="1" t="n">
        <v>46070</v>
      </c>
      <c r="D400" t="inlineStr">
        <is>
          <t>STOCKHOLMS LÄN</t>
        </is>
      </c>
      <c r="E400" t="inlineStr">
        <is>
          <t>NORRTÄLJE</t>
        </is>
      </c>
      <c r="G400" t="n">
        <v>3.5</v>
      </c>
      <c r="H400" t="n">
        <v>0</v>
      </c>
      <c r="I400" t="n">
        <v>0</v>
      </c>
      <c r="J400" t="n">
        <v>0</v>
      </c>
      <c r="K400" t="n">
        <v>0</v>
      </c>
      <c r="L400" t="n">
        <v>0</v>
      </c>
      <c r="M400" t="n">
        <v>0</v>
      </c>
      <c r="N400" t="n">
        <v>0</v>
      </c>
      <c r="O400" t="n">
        <v>0</v>
      </c>
      <c r="P400" t="n">
        <v>0</v>
      </c>
      <c r="Q400" t="n">
        <v>0</v>
      </c>
      <c r="R400" s="2" t="inlineStr"/>
    </row>
    <row r="401" ht="15" customHeight="1">
      <c r="A401" t="inlineStr">
        <is>
          <t>A 40294-2025</t>
        </is>
      </c>
      <c r="B401" s="1" t="n">
        <v>45895.38778935185</v>
      </c>
      <c r="C401" s="1" t="n">
        <v>46070</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25571-2025</t>
        </is>
      </c>
      <c r="B402" s="1" t="n">
        <v>45803.4675</v>
      </c>
      <c r="C402" s="1" t="n">
        <v>46070</v>
      </c>
      <c r="D402" t="inlineStr">
        <is>
          <t>STOCKHOLMS LÄN</t>
        </is>
      </c>
      <c r="E402" t="inlineStr">
        <is>
          <t>NORRTÄLJE</t>
        </is>
      </c>
      <c r="G402" t="n">
        <v>5.4</v>
      </c>
      <c r="H402" t="n">
        <v>0</v>
      </c>
      <c r="I402" t="n">
        <v>0</v>
      </c>
      <c r="J402" t="n">
        <v>0</v>
      </c>
      <c r="K402" t="n">
        <v>0</v>
      </c>
      <c r="L402" t="n">
        <v>0</v>
      </c>
      <c r="M402" t="n">
        <v>0</v>
      </c>
      <c r="N402" t="n">
        <v>0</v>
      </c>
      <c r="O402" t="n">
        <v>0</v>
      </c>
      <c r="P402" t="n">
        <v>0</v>
      </c>
      <c r="Q402" t="n">
        <v>0</v>
      </c>
      <c r="R402" s="2" t="inlineStr"/>
    </row>
    <row r="403" ht="15" customHeight="1">
      <c r="A403" t="inlineStr">
        <is>
          <t>A 25721-2025</t>
        </is>
      </c>
      <c r="B403" s="1" t="n">
        <v>45800</v>
      </c>
      <c r="C403" s="1" t="n">
        <v>46070</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40228-2025</t>
        </is>
      </c>
      <c r="B404" s="1" t="n">
        <v>45894.70854166667</v>
      </c>
      <c r="C404" s="1" t="n">
        <v>46070</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25697-2025</t>
        </is>
      </c>
      <c r="B405" s="1" t="n">
        <v>45803.66587962963</v>
      </c>
      <c r="C405" s="1" t="n">
        <v>46070</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41218-2024</t>
        </is>
      </c>
      <c r="B406" s="1" t="n">
        <v>45559.54706018518</v>
      </c>
      <c r="C406" s="1" t="n">
        <v>46070</v>
      </c>
      <c r="D406" t="inlineStr">
        <is>
          <t>STOCKHOLMS LÄN</t>
        </is>
      </c>
      <c r="E406" t="inlineStr">
        <is>
          <t>NORRTÄLJE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40230-2025</t>
        </is>
      </c>
      <c r="B407" s="1" t="n">
        <v>45894.71101851852</v>
      </c>
      <c r="C407" s="1" t="n">
        <v>46070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38449-2022</t>
        </is>
      </c>
      <c r="B408" s="1" t="n">
        <v>44813</v>
      </c>
      <c r="C408" s="1" t="n">
        <v>46070</v>
      </c>
      <c r="D408" t="inlineStr">
        <is>
          <t>STOCKHOLMS LÄN</t>
        </is>
      </c>
      <c r="E408" t="inlineStr">
        <is>
          <t>NORRTÄLJE</t>
        </is>
      </c>
      <c r="G408" t="n">
        <v>4.2</v>
      </c>
      <c r="H408" t="n">
        <v>0</v>
      </c>
      <c r="I408" t="n">
        <v>0</v>
      </c>
      <c r="J408" t="n">
        <v>0</v>
      </c>
      <c r="K408" t="n">
        <v>0</v>
      </c>
      <c r="L408" t="n">
        <v>0</v>
      </c>
      <c r="M408" t="n">
        <v>0</v>
      </c>
      <c r="N408" t="n">
        <v>0</v>
      </c>
      <c r="O408" t="n">
        <v>0</v>
      </c>
      <c r="P408" t="n">
        <v>0</v>
      </c>
      <c r="Q408" t="n">
        <v>0</v>
      </c>
      <c r="R408" s="2" t="inlineStr"/>
    </row>
    <row r="409" ht="15" customHeight="1">
      <c r="A409" t="inlineStr">
        <is>
          <t>A 21726-2022</t>
        </is>
      </c>
      <c r="B409" s="1" t="n">
        <v>44708</v>
      </c>
      <c r="C409" s="1" t="n">
        <v>46070</v>
      </c>
      <c r="D409" t="inlineStr">
        <is>
          <t>STOCKHOLMS LÄN</t>
        </is>
      </c>
      <c r="E409" t="inlineStr">
        <is>
          <t>NORRTÄLJE</t>
        </is>
      </c>
      <c r="G409" t="n">
        <v>0.2</v>
      </c>
      <c r="H409" t="n">
        <v>0</v>
      </c>
      <c r="I409" t="n">
        <v>0</v>
      </c>
      <c r="J409" t="n">
        <v>0</v>
      </c>
      <c r="K409" t="n">
        <v>0</v>
      </c>
      <c r="L409" t="n">
        <v>0</v>
      </c>
      <c r="M409" t="n">
        <v>0</v>
      </c>
      <c r="N409" t="n">
        <v>0</v>
      </c>
      <c r="O409" t="n">
        <v>0</v>
      </c>
      <c r="P409" t="n">
        <v>0</v>
      </c>
      <c r="Q409" t="n">
        <v>0</v>
      </c>
      <c r="R409" s="2" t="inlineStr"/>
    </row>
    <row r="410" ht="15" customHeight="1">
      <c r="A410" t="inlineStr">
        <is>
          <t>A 21739-2022</t>
        </is>
      </c>
      <c r="B410" s="1" t="n">
        <v>44708.36708333333</v>
      </c>
      <c r="C410" s="1" t="n">
        <v>46070</v>
      </c>
      <c r="D410" t="inlineStr">
        <is>
          <t>STOCKHOLMS LÄN</t>
        </is>
      </c>
      <c r="E410" t="inlineStr">
        <is>
          <t>NORRTÄLJE</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40217-2025</t>
        </is>
      </c>
      <c r="B411" s="1" t="n">
        <v>45894.68864583333</v>
      </c>
      <c r="C411" s="1" t="n">
        <v>46070</v>
      </c>
      <c r="D411" t="inlineStr">
        <is>
          <t>STOCKHOLMS LÄN</t>
        </is>
      </c>
      <c r="E411" t="inlineStr">
        <is>
          <t>NORRTÄLJE</t>
        </is>
      </c>
      <c r="G411" t="n">
        <v>0.8</v>
      </c>
      <c r="H411" t="n">
        <v>0</v>
      </c>
      <c r="I411" t="n">
        <v>0</v>
      </c>
      <c r="J411" t="n">
        <v>0</v>
      </c>
      <c r="K411" t="n">
        <v>0</v>
      </c>
      <c r="L411" t="n">
        <v>0</v>
      </c>
      <c r="M411" t="n">
        <v>0</v>
      </c>
      <c r="N411" t="n">
        <v>0</v>
      </c>
      <c r="O411" t="n">
        <v>0</v>
      </c>
      <c r="P411" t="n">
        <v>0</v>
      </c>
      <c r="Q411" t="n">
        <v>0</v>
      </c>
      <c r="R411" s="2" t="inlineStr"/>
    </row>
    <row r="412" ht="15" customHeight="1">
      <c r="A412" t="inlineStr">
        <is>
          <t>A 35210-2023</t>
        </is>
      </c>
      <c r="B412" s="1" t="n">
        <v>45145.63584490741</v>
      </c>
      <c r="C412" s="1" t="n">
        <v>46070</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40097-2025</t>
        </is>
      </c>
      <c r="B413" s="1" t="n">
        <v>45894.48322916667</v>
      </c>
      <c r="C413" s="1" t="n">
        <v>46070</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59767-2022</t>
        </is>
      </c>
      <c r="B414" s="1" t="n">
        <v>44900</v>
      </c>
      <c r="C414" s="1" t="n">
        <v>46070</v>
      </c>
      <c r="D414" t="inlineStr">
        <is>
          <t>STOCKHOLMS LÄN</t>
        </is>
      </c>
      <c r="E414" t="inlineStr">
        <is>
          <t>NORRTÄLJE</t>
        </is>
      </c>
      <c r="G414" t="n">
        <v>2.2</v>
      </c>
      <c r="H414" t="n">
        <v>0</v>
      </c>
      <c r="I414" t="n">
        <v>0</v>
      </c>
      <c r="J414" t="n">
        <v>0</v>
      </c>
      <c r="K414" t="n">
        <v>0</v>
      </c>
      <c r="L414" t="n">
        <v>0</v>
      </c>
      <c r="M414" t="n">
        <v>0</v>
      </c>
      <c r="N414" t="n">
        <v>0</v>
      </c>
      <c r="O414" t="n">
        <v>0</v>
      </c>
      <c r="P414" t="n">
        <v>0</v>
      </c>
      <c r="Q414" t="n">
        <v>0</v>
      </c>
      <c r="R414" s="2" t="inlineStr"/>
    </row>
    <row r="415" ht="15" customHeight="1">
      <c r="A415" t="inlineStr">
        <is>
          <t>A 40829-2025</t>
        </is>
      </c>
      <c r="B415" s="1" t="n">
        <v>45897.50802083333</v>
      </c>
      <c r="C415" s="1" t="n">
        <v>46070</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40837-2025</t>
        </is>
      </c>
      <c r="B416" s="1" t="n">
        <v>45897.51328703704</v>
      </c>
      <c r="C416" s="1" t="n">
        <v>46070</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53561-2023</t>
        </is>
      </c>
      <c r="B417" s="1" t="n">
        <v>45224</v>
      </c>
      <c r="C417" s="1" t="n">
        <v>46070</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5823-2023</t>
        </is>
      </c>
      <c r="B418" s="1" t="n">
        <v>44963</v>
      </c>
      <c r="C418" s="1" t="n">
        <v>46070</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40529-2025</t>
        </is>
      </c>
      <c r="B419" s="1" t="n">
        <v>45896.38466435186</v>
      </c>
      <c r="C419" s="1" t="n">
        <v>46070</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19915-2024</t>
        </is>
      </c>
      <c r="B420" s="1" t="n">
        <v>45433.58431712963</v>
      </c>
      <c r="C420" s="1" t="n">
        <v>46070</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15217-2023</t>
        </is>
      </c>
      <c r="B421" s="1" t="n">
        <v>45019.28847222222</v>
      </c>
      <c r="C421" s="1" t="n">
        <v>46070</v>
      </c>
      <c r="D421" t="inlineStr">
        <is>
          <t>STOCKHOLMS LÄN</t>
        </is>
      </c>
      <c r="E421" t="inlineStr">
        <is>
          <t>NORRTÄLJE</t>
        </is>
      </c>
      <c r="G421" t="n">
        <v>3.6</v>
      </c>
      <c r="H421" t="n">
        <v>0</v>
      </c>
      <c r="I421" t="n">
        <v>0</v>
      </c>
      <c r="J421" t="n">
        <v>0</v>
      </c>
      <c r="K421" t="n">
        <v>0</v>
      </c>
      <c r="L421" t="n">
        <v>0</v>
      </c>
      <c r="M421" t="n">
        <v>0</v>
      </c>
      <c r="N421" t="n">
        <v>0</v>
      </c>
      <c r="O421" t="n">
        <v>0</v>
      </c>
      <c r="P421" t="n">
        <v>0</v>
      </c>
      <c r="Q421" t="n">
        <v>0</v>
      </c>
      <c r="R421" s="2" t="inlineStr"/>
    </row>
    <row r="422" ht="15" customHeight="1">
      <c r="A422" t="inlineStr">
        <is>
          <t>A 40831-2025</t>
        </is>
      </c>
      <c r="B422" s="1" t="n">
        <v>45897.51077546296</v>
      </c>
      <c r="C422" s="1" t="n">
        <v>46070</v>
      </c>
      <c r="D422" t="inlineStr">
        <is>
          <t>STOCKHOLMS LÄN</t>
        </is>
      </c>
      <c r="E422" t="inlineStr">
        <is>
          <t>NORRTÄLJE</t>
        </is>
      </c>
      <c r="G422" t="n">
        <v>1.8</v>
      </c>
      <c r="H422" t="n">
        <v>0</v>
      </c>
      <c r="I422" t="n">
        <v>0</v>
      </c>
      <c r="J422" t="n">
        <v>0</v>
      </c>
      <c r="K422" t="n">
        <v>0</v>
      </c>
      <c r="L422" t="n">
        <v>0</v>
      </c>
      <c r="M422" t="n">
        <v>0</v>
      </c>
      <c r="N422" t="n">
        <v>0</v>
      </c>
      <c r="O422" t="n">
        <v>0</v>
      </c>
      <c r="P422" t="n">
        <v>0</v>
      </c>
      <c r="Q422" t="n">
        <v>0</v>
      </c>
      <c r="R422" s="2" t="inlineStr"/>
    </row>
    <row r="423" ht="15" customHeight="1">
      <c r="A423" t="inlineStr">
        <is>
          <t>A 50143-2023</t>
        </is>
      </c>
      <c r="B423" s="1" t="n">
        <v>45215</v>
      </c>
      <c r="C423" s="1" t="n">
        <v>46070</v>
      </c>
      <c r="D423" t="inlineStr">
        <is>
          <t>STOCKHOLMS LÄN</t>
        </is>
      </c>
      <c r="E423" t="inlineStr">
        <is>
          <t>NORRTÄLJE</t>
        </is>
      </c>
      <c r="G423" t="n">
        <v>10.3</v>
      </c>
      <c r="H423" t="n">
        <v>0</v>
      </c>
      <c r="I423" t="n">
        <v>0</v>
      </c>
      <c r="J423" t="n">
        <v>0</v>
      </c>
      <c r="K423" t="n">
        <v>0</v>
      </c>
      <c r="L423" t="n">
        <v>0</v>
      </c>
      <c r="M423" t="n">
        <v>0</v>
      </c>
      <c r="N423" t="n">
        <v>0</v>
      </c>
      <c r="O423" t="n">
        <v>0</v>
      </c>
      <c r="P423" t="n">
        <v>0</v>
      </c>
      <c r="Q423" t="n">
        <v>0</v>
      </c>
      <c r="R423" s="2" t="inlineStr"/>
    </row>
    <row r="424" ht="15" customHeight="1">
      <c r="A424" t="inlineStr">
        <is>
          <t>A 26051-2025</t>
        </is>
      </c>
      <c r="B424" s="1" t="n">
        <v>45804.74479166666</v>
      </c>
      <c r="C424" s="1" t="n">
        <v>46070</v>
      </c>
      <c r="D424" t="inlineStr">
        <is>
          <t>STOCKHOLMS LÄN</t>
        </is>
      </c>
      <c r="E424" t="inlineStr">
        <is>
          <t>NORRTÄLJE</t>
        </is>
      </c>
      <c r="G424" t="n">
        <v>3.2</v>
      </c>
      <c r="H424" t="n">
        <v>0</v>
      </c>
      <c r="I424" t="n">
        <v>0</v>
      </c>
      <c r="J424" t="n">
        <v>0</v>
      </c>
      <c r="K424" t="n">
        <v>0</v>
      </c>
      <c r="L424" t="n">
        <v>0</v>
      </c>
      <c r="M424" t="n">
        <v>0</v>
      </c>
      <c r="N424" t="n">
        <v>0</v>
      </c>
      <c r="O424" t="n">
        <v>0</v>
      </c>
      <c r="P424" t="n">
        <v>0</v>
      </c>
      <c r="Q424" t="n">
        <v>0</v>
      </c>
      <c r="R424" s="2" t="inlineStr"/>
    </row>
    <row r="425" ht="15" customHeight="1">
      <c r="A425" t="inlineStr">
        <is>
          <t>A 29176-2024</t>
        </is>
      </c>
      <c r="B425" s="1" t="n">
        <v>45482.53388888889</v>
      </c>
      <c r="C425" s="1" t="n">
        <v>46070</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36430-2024</t>
        </is>
      </c>
      <c r="B426" s="1" t="n">
        <v>45536</v>
      </c>
      <c r="C426" s="1" t="n">
        <v>46070</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51312-2023</t>
        </is>
      </c>
      <c r="B427" s="1" t="n">
        <v>45219.56697916667</v>
      </c>
      <c r="C427" s="1" t="n">
        <v>46070</v>
      </c>
      <c r="D427" t="inlineStr">
        <is>
          <t>STOCKHOLMS LÄN</t>
        </is>
      </c>
      <c r="E427" t="inlineStr">
        <is>
          <t>NORRTÄLJE</t>
        </is>
      </c>
      <c r="G427" t="n">
        <v>1.9</v>
      </c>
      <c r="H427" t="n">
        <v>0</v>
      </c>
      <c r="I427" t="n">
        <v>0</v>
      </c>
      <c r="J427" t="n">
        <v>0</v>
      </c>
      <c r="K427" t="n">
        <v>0</v>
      </c>
      <c r="L427" t="n">
        <v>0</v>
      </c>
      <c r="M427" t="n">
        <v>0</v>
      </c>
      <c r="N427" t="n">
        <v>0</v>
      </c>
      <c r="O427" t="n">
        <v>0</v>
      </c>
      <c r="P427" t="n">
        <v>0</v>
      </c>
      <c r="Q427" t="n">
        <v>0</v>
      </c>
      <c r="R427" s="2" t="inlineStr"/>
    </row>
    <row r="428" ht="15" customHeight="1">
      <c r="A428" t="inlineStr">
        <is>
          <t>A 35640-2024</t>
        </is>
      </c>
      <c r="B428" s="1" t="n">
        <v>45531</v>
      </c>
      <c r="C428" s="1" t="n">
        <v>46070</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41158-2025</t>
        </is>
      </c>
      <c r="B429" s="1" t="n">
        <v>45898.5315625</v>
      </c>
      <c r="C429" s="1" t="n">
        <v>46070</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15733-2025</t>
        </is>
      </c>
      <c r="B430" s="1" t="n">
        <v>45748</v>
      </c>
      <c r="C430" s="1" t="n">
        <v>46070</v>
      </c>
      <c r="D430" t="inlineStr">
        <is>
          <t>STOCKHOLMS LÄN</t>
        </is>
      </c>
      <c r="E430" t="inlineStr">
        <is>
          <t>NORRTÄLJE</t>
        </is>
      </c>
      <c r="G430" t="n">
        <v>13.3</v>
      </c>
      <c r="H430" t="n">
        <v>0</v>
      </c>
      <c r="I430" t="n">
        <v>0</v>
      </c>
      <c r="J430" t="n">
        <v>0</v>
      </c>
      <c r="K430" t="n">
        <v>0</v>
      </c>
      <c r="L430" t="n">
        <v>0</v>
      </c>
      <c r="M430" t="n">
        <v>0</v>
      </c>
      <c r="N430" t="n">
        <v>0</v>
      </c>
      <c r="O430" t="n">
        <v>0</v>
      </c>
      <c r="P430" t="n">
        <v>0</v>
      </c>
      <c r="Q430" t="n">
        <v>0</v>
      </c>
      <c r="R430" s="2" t="inlineStr"/>
    </row>
    <row r="431" ht="15" customHeight="1">
      <c r="A431" t="inlineStr">
        <is>
          <t>A 43212-2022</t>
        </is>
      </c>
      <c r="B431" s="1" t="n">
        <v>44834.38636574074</v>
      </c>
      <c r="C431" s="1" t="n">
        <v>46070</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51653-2022</t>
        </is>
      </c>
      <c r="B432" s="1" t="n">
        <v>44867</v>
      </c>
      <c r="C432" s="1" t="n">
        <v>46070</v>
      </c>
      <c r="D432" t="inlineStr">
        <is>
          <t>STOCKHOLMS LÄN</t>
        </is>
      </c>
      <c r="E432" t="inlineStr">
        <is>
          <t>NORRTÄLJE</t>
        </is>
      </c>
      <c r="G432" t="n">
        <v>6.6</v>
      </c>
      <c r="H432" t="n">
        <v>0</v>
      </c>
      <c r="I432" t="n">
        <v>0</v>
      </c>
      <c r="J432" t="n">
        <v>0</v>
      </c>
      <c r="K432" t="n">
        <v>0</v>
      </c>
      <c r="L432" t="n">
        <v>0</v>
      </c>
      <c r="M432" t="n">
        <v>0</v>
      </c>
      <c r="N432" t="n">
        <v>0</v>
      </c>
      <c r="O432" t="n">
        <v>0</v>
      </c>
      <c r="P432" t="n">
        <v>0</v>
      </c>
      <c r="Q432" t="n">
        <v>0</v>
      </c>
      <c r="R432" s="2" t="inlineStr"/>
    </row>
    <row r="433" ht="15" customHeight="1">
      <c r="A433" t="inlineStr">
        <is>
          <t>A 4230-2026</t>
        </is>
      </c>
      <c r="B433" s="1" t="n">
        <v>46044.89366898148</v>
      </c>
      <c r="C433" s="1" t="n">
        <v>46070</v>
      </c>
      <c r="D433" t="inlineStr">
        <is>
          <t>STOCKHOLMS LÄN</t>
        </is>
      </c>
      <c r="E433" t="inlineStr">
        <is>
          <t>NORRTÄLJE</t>
        </is>
      </c>
      <c r="G433" t="n">
        <v>10.8</v>
      </c>
      <c r="H433" t="n">
        <v>0</v>
      </c>
      <c r="I433" t="n">
        <v>0</v>
      </c>
      <c r="J433" t="n">
        <v>0</v>
      </c>
      <c r="K433" t="n">
        <v>0</v>
      </c>
      <c r="L433" t="n">
        <v>0</v>
      </c>
      <c r="M433" t="n">
        <v>0</v>
      </c>
      <c r="N433" t="n">
        <v>0</v>
      </c>
      <c r="O433" t="n">
        <v>0</v>
      </c>
      <c r="P433" t="n">
        <v>0</v>
      </c>
      <c r="Q433" t="n">
        <v>0</v>
      </c>
      <c r="R433" s="2" t="inlineStr"/>
    </row>
    <row r="434" ht="15" customHeight="1">
      <c r="A434" t="inlineStr">
        <is>
          <t>A 19058-2024</t>
        </is>
      </c>
      <c r="B434" s="1" t="n">
        <v>45427.89121527778</v>
      </c>
      <c r="C434" s="1" t="n">
        <v>46070</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26708-2025</t>
        </is>
      </c>
      <c r="B435" s="1" t="n">
        <v>45810.45633101852</v>
      </c>
      <c r="C435" s="1" t="n">
        <v>46070</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41053-2025</t>
        </is>
      </c>
      <c r="B436" s="1" t="n">
        <v>45898.40480324074</v>
      </c>
      <c r="C436" s="1" t="n">
        <v>46070</v>
      </c>
      <c r="D436" t="inlineStr">
        <is>
          <t>STOCKHOLMS LÄN</t>
        </is>
      </c>
      <c r="E436" t="inlineStr">
        <is>
          <t>NORRTÄLJE</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41275-2025</t>
        </is>
      </c>
      <c r="B437" s="1" t="n">
        <v>45898.62625</v>
      </c>
      <c r="C437" s="1" t="n">
        <v>46070</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41272-2025</t>
        </is>
      </c>
      <c r="B438" s="1" t="n">
        <v>45898.62373842593</v>
      </c>
      <c r="C438" s="1" t="n">
        <v>46070</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26702-2025</t>
        </is>
      </c>
      <c r="B439" s="1" t="n">
        <v>45810.45236111111</v>
      </c>
      <c r="C439" s="1" t="n">
        <v>46070</v>
      </c>
      <c r="D439" t="inlineStr">
        <is>
          <t>STOCKHOLMS LÄN</t>
        </is>
      </c>
      <c r="E439" t="inlineStr">
        <is>
          <t>NORRTÄLJE</t>
        </is>
      </c>
      <c r="G439" t="n">
        <v>7.3</v>
      </c>
      <c r="H439" t="n">
        <v>0</v>
      </c>
      <c r="I439" t="n">
        <v>0</v>
      </c>
      <c r="J439" t="n">
        <v>0</v>
      </c>
      <c r="K439" t="n">
        <v>0</v>
      </c>
      <c r="L439" t="n">
        <v>0</v>
      </c>
      <c r="M439" t="n">
        <v>0</v>
      </c>
      <c r="N439" t="n">
        <v>0</v>
      </c>
      <c r="O439" t="n">
        <v>0</v>
      </c>
      <c r="P439" t="n">
        <v>0</v>
      </c>
      <c r="Q439" t="n">
        <v>0</v>
      </c>
      <c r="R439" s="2" t="inlineStr"/>
    </row>
    <row r="440" ht="15" customHeight="1">
      <c r="A440" t="inlineStr">
        <is>
          <t>A 4322-2023</t>
        </is>
      </c>
      <c r="B440" s="1" t="n">
        <v>44953.69298611111</v>
      </c>
      <c r="C440" s="1" t="n">
        <v>46070</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41301-2025</t>
        </is>
      </c>
      <c r="B441" s="1" t="n">
        <v>45898.68826388889</v>
      </c>
      <c r="C441" s="1" t="n">
        <v>46070</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23061-2025</t>
        </is>
      </c>
      <c r="B442" s="1" t="n">
        <v>45790.81410879629</v>
      </c>
      <c r="C442" s="1" t="n">
        <v>46070</v>
      </c>
      <c r="D442" t="inlineStr">
        <is>
          <t>STOCKHOLMS LÄN</t>
        </is>
      </c>
      <c r="E442" t="inlineStr">
        <is>
          <t>NORRTÄLJE</t>
        </is>
      </c>
      <c r="G442" t="n">
        <v>1.4</v>
      </c>
      <c r="H442" t="n">
        <v>0</v>
      </c>
      <c r="I442" t="n">
        <v>0</v>
      </c>
      <c r="J442" t="n">
        <v>0</v>
      </c>
      <c r="K442" t="n">
        <v>0</v>
      </c>
      <c r="L442" t="n">
        <v>0</v>
      </c>
      <c r="M442" t="n">
        <v>0</v>
      </c>
      <c r="N442" t="n">
        <v>0</v>
      </c>
      <c r="O442" t="n">
        <v>0</v>
      </c>
      <c r="P442" t="n">
        <v>0</v>
      </c>
      <c r="Q442" t="n">
        <v>0</v>
      </c>
      <c r="R442" s="2" t="inlineStr"/>
    </row>
    <row r="443" ht="15" customHeight="1">
      <c r="A443" t="inlineStr">
        <is>
          <t>A 27040-2025</t>
        </is>
      </c>
      <c r="B443" s="1" t="n">
        <v>45811.60451388889</v>
      </c>
      <c r="C443" s="1" t="n">
        <v>46070</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26747-2025</t>
        </is>
      </c>
      <c r="B444" s="1" t="n">
        <v>45810.5333912037</v>
      </c>
      <c r="C444" s="1" t="n">
        <v>46070</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41174-2025</t>
        </is>
      </c>
      <c r="B445" s="1" t="n">
        <v>45898.54921296296</v>
      </c>
      <c r="C445" s="1" t="n">
        <v>46070</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46070</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41036-2025</t>
        </is>
      </c>
      <c r="B447" s="1" t="n">
        <v>45898.38552083333</v>
      </c>
      <c r="C447" s="1" t="n">
        <v>46070</v>
      </c>
      <c r="D447" t="inlineStr">
        <is>
          <t>STOCKHOLMS LÄN</t>
        </is>
      </c>
      <c r="E447" t="inlineStr">
        <is>
          <t>NORRTÄLJE</t>
        </is>
      </c>
      <c r="F447" t="inlineStr">
        <is>
          <t>Holmen skog AB</t>
        </is>
      </c>
      <c r="G447" t="n">
        <v>2.7</v>
      </c>
      <c r="H447" t="n">
        <v>0</v>
      </c>
      <c r="I447" t="n">
        <v>0</v>
      </c>
      <c r="J447" t="n">
        <v>0</v>
      </c>
      <c r="K447" t="n">
        <v>0</v>
      </c>
      <c r="L447" t="n">
        <v>0</v>
      </c>
      <c r="M447" t="n">
        <v>0</v>
      </c>
      <c r="N447" t="n">
        <v>0</v>
      </c>
      <c r="O447" t="n">
        <v>0</v>
      </c>
      <c r="P447" t="n">
        <v>0</v>
      </c>
      <c r="Q447" t="n">
        <v>0</v>
      </c>
      <c r="R447" s="2" t="inlineStr"/>
    </row>
    <row r="448" ht="15" customHeight="1">
      <c r="A448" t="inlineStr">
        <is>
          <t>A 41106-2025</t>
        </is>
      </c>
      <c r="B448" s="1" t="n">
        <v>45898.45636574074</v>
      </c>
      <c r="C448" s="1" t="n">
        <v>46070</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41110-2025</t>
        </is>
      </c>
      <c r="B449" s="1" t="n">
        <v>45898.45976851852</v>
      </c>
      <c r="C449" s="1" t="n">
        <v>46070</v>
      </c>
      <c r="D449" t="inlineStr">
        <is>
          <t>STOCKHOLMS LÄN</t>
        </is>
      </c>
      <c r="E449" t="inlineStr">
        <is>
          <t>NORRTÄLJE</t>
        </is>
      </c>
      <c r="F449" t="inlineStr">
        <is>
          <t>Holmen skog AB</t>
        </is>
      </c>
      <c r="G449" t="n">
        <v>6.7</v>
      </c>
      <c r="H449" t="n">
        <v>0</v>
      </c>
      <c r="I449" t="n">
        <v>0</v>
      </c>
      <c r="J449" t="n">
        <v>0</v>
      </c>
      <c r="K449" t="n">
        <v>0</v>
      </c>
      <c r="L449" t="n">
        <v>0</v>
      </c>
      <c r="M449" t="n">
        <v>0</v>
      </c>
      <c r="N449" t="n">
        <v>0</v>
      </c>
      <c r="O449" t="n">
        <v>0</v>
      </c>
      <c r="P449" t="n">
        <v>0</v>
      </c>
      <c r="Q449" t="n">
        <v>0</v>
      </c>
      <c r="R449" s="2" t="inlineStr"/>
    </row>
    <row r="450" ht="15" customHeight="1">
      <c r="A450" t="inlineStr">
        <is>
          <t>A 26675-2025</t>
        </is>
      </c>
      <c r="B450" s="1" t="n">
        <v>45810.42393518519</v>
      </c>
      <c r="C450" s="1" t="n">
        <v>46070</v>
      </c>
      <c r="D450" t="inlineStr">
        <is>
          <t>STOCKHOLMS LÄN</t>
        </is>
      </c>
      <c r="E450" t="inlineStr">
        <is>
          <t>NORRTÄLJE</t>
        </is>
      </c>
      <c r="G450" t="n">
        <v>2.7</v>
      </c>
      <c r="H450" t="n">
        <v>0</v>
      </c>
      <c r="I450" t="n">
        <v>0</v>
      </c>
      <c r="J450" t="n">
        <v>0</v>
      </c>
      <c r="K450" t="n">
        <v>0</v>
      </c>
      <c r="L450" t="n">
        <v>0</v>
      </c>
      <c r="M450" t="n">
        <v>0</v>
      </c>
      <c r="N450" t="n">
        <v>0</v>
      </c>
      <c r="O450" t="n">
        <v>0</v>
      </c>
      <c r="P450" t="n">
        <v>0</v>
      </c>
      <c r="Q450" t="n">
        <v>0</v>
      </c>
      <c r="R450" s="2" t="inlineStr"/>
    </row>
    <row r="451" ht="15" customHeight="1">
      <c r="A451" t="inlineStr">
        <is>
          <t>A 41259-2025</t>
        </is>
      </c>
      <c r="B451" s="1" t="n">
        <v>45898.61054398148</v>
      </c>
      <c r="C451" s="1" t="n">
        <v>46070</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38990-2022</t>
        </is>
      </c>
      <c r="B452" s="1" t="n">
        <v>44816</v>
      </c>
      <c r="C452" s="1" t="n">
        <v>46070</v>
      </c>
      <c r="D452" t="inlineStr">
        <is>
          <t>STOCKHOLMS LÄN</t>
        </is>
      </c>
      <c r="E452" t="inlineStr">
        <is>
          <t>NORRTÄLJE</t>
        </is>
      </c>
      <c r="G452" t="n">
        <v>5.7</v>
      </c>
      <c r="H452" t="n">
        <v>0</v>
      </c>
      <c r="I452" t="n">
        <v>0</v>
      </c>
      <c r="J452" t="n">
        <v>0</v>
      </c>
      <c r="K452" t="n">
        <v>0</v>
      </c>
      <c r="L452" t="n">
        <v>0</v>
      </c>
      <c r="M452" t="n">
        <v>0</v>
      </c>
      <c r="N452" t="n">
        <v>0</v>
      </c>
      <c r="O452" t="n">
        <v>0</v>
      </c>
      <c r="P452" t="n">
        <v>0</v>
      </c>
      <c r="Q452" t="n">
        <v>0</v>
      </c>
      <c r="R452" s="2" t="inlineStr"/>
    </row>
    <row r="453" ht="15" customHeight="1">
      <c r="A453" t="inlineStr">
        <is>
          <t>A 10511-2025</t>
        </is>
      </c>
      <c r="B453" s="1" t="n">
        <v>45721.40780092592</v>
      </c>
      <c r="C453" s="1" t="n">
        <v>46070</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17956-2025</t>
        </is>
      </c>
      <c r="B454" s="1" t="n">
        <v>45760.91174768518</v>
      </c>
      <c r="C454" s="1" t="n">
        <v>46070</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875-2023</t>
        </is>
      </c>
      <c r="B455" s="1" t="n">
        <v>44931.65626157408</v>
      </c>
      <c r="C455" s="1" t="n">
        <v>46070</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31236-2022</t>
        </is>
      </c>
      <c r="B456" s="1" t="n">
        <v>44771</v>
      </c>
      <c r="C456" s="1" t="n">
        <v>46070</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8315-2025</t>
        </is>
      </c>
      <c r="B457" s="1" t="n">
        <v>45708.61761574074</v>
      </c>
      <c r="C457" s="1" t="n">
        <v>46070</v>
      </c>
      <c r="D457" t="inlineStr">
        <is>
          <t>STOCKHOLMS LÄN</t>
        </is>
      </c>
      <c r="E457" t="inlineStr">
        <is>
          <t>NORRTÄLJE</t>
        </is>
      </c>
      <c r="G457" t="n">
        <v>3.9</v>
      </c>
      <c r="H457" t="n">
        <v>0</v>
      </c>
      <c r="I457" t="n">
        <v>0</v>
      </c>
      <c r="J457" t="n">
        <v>0</v>
      </c>
      <c r="K457" t="n">
        <v>0</v>
      </c>
      <c r="L457" t="n">
        <v>0</v>
      </c>
      <c r="M457" t="n">
        <v>0</v>
      </c>
      <c r="N457" t="n">
        <v>0</v>
      </c>
      <c r="O457" t="n">
        <v>0</v>
      </c>
      <c r="P457" t="n">
        <v>0</v>
      </c>
      <c r="Q457" t="n">
        <v>0</v>
      </c>
      <c r="R457" s="2" t="inlineStr"/>
    </row>
    <row r="458" ht="15" customHeight="1">
      <c r="A458" t="inlineStr">
        <is>
          <t>A 31281-2022</t>
        </is>
      </c>
      <c r="B458" s="1" t="n">
        <v>44771</v>
      </c>
      <c r="C458" s="1" t="n">
        <v>46070</v>
      </c>
      <c r="D458" t="inlineStr">
        <is>
          <t>STOCKHOLMS LÄN</t>
        </is>
      </c>
      <c r="E458" t="inlineStr">
        <is>
          <t>NORRTÄLJE</t>
        </is>
      </c>
      <c r="F458" t="inlineStr">
        <is>
          <t>Holmen skog AB</t>
        </is>
      </c>
      <c r="G458" t="n">
        <v>5.2</v>
      </c>
      <c r="H458" t="n">
        <v>0</v>
      </c>
      <c r="I458" t="n">
        <v>0</v>
      </c>
      <c r="J458" t="n">
        <v>0</v>
      </c>
      <c r="K458" t="n">
        <v>0</v>
      </c>
      <c r="L458" t="n">
        <v>0</v>
      </c>
      <c r="M458" t="n">
        <v>0</v>
      </c>
      <c r="N458" t="n">
        <v>0</v>
      </c>
      <c r="O458" t="n">
        <v>0</v>
      </c>
      <c r="P458" t="n">
        <v>0</v>
      </c>
      <c r="Q458" t="n">
        <v>0</v>
      </c>
      <c r="R458" s="2" t="inlineStr"/>
    </row>
    <row r="459" ht="15" customHeight="1">
      <c r="A459" t="inlineStr">
        <is>
          <t>A 27554-2025</t>
        </is>
      </c>
      <c r="B459" s="1" t="n">
        <v>45813.4709375</v>
      </c>
      <c r="C459" s="1" t="n">
        <v>46070</v>
      </c>
      <c r="D459" t="inlineStr">
        <is>
          <t>STOCKHOLMS LÄN</t>
        </is>
      </c>
      <c r="E459" t="inlineStr">
        <is>
          <t>NORRTÄLJE</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19057-2024</t>
        </is>
      </c>
      <c r="B460" s="1" t="n">
        <v>45427.88731481481</v>
      </c>
      <c r="C460" s="1" t="n">
        <v>46070</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41966-2025</t>
        </is>
      </c>
      <c r="B461" s="1" t="n">
        <v>45903.47456018518</v>
      </c>
      <c r="C461" s="1" t="n">
        <v>46070</v>
      </c>
      <c r="D461" t="inlineStr">
        <is>
          <t>STOCKHOLMS LÄN</t>
        </is>
      </c>
      <c r="E461" t="inlineStr">
        <is>
          <t>NORRTÄLJE</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27700-2025</t>
        </is>
      </c>
      <c r="B462" s="1" t="n">
        <v>45813.6799537037</v>
      </c>
      <c r="C462" s="1" t="n">
        <v>46070</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42038-2025</t>
        </is>
      </c>
      <c r="B463" s="1" t="n">
        <v>45903.61431712963</v>
      </c>
      <c r="C463" s="1" t="n">
        <v>46070</v>
      </c>
      <c r="D463" t="inlineStr">
        <is>
          <t>STOCKHOLMS LÄN</t>
        </is>
      </c>
      <c r="E463" t="inlineStr">
        <is>
          <t>NORRTÄLJE</t>
        </is>
      </c>
      <c r="F463" t="inlineStr">
        <is>
          <t>Sveaskog</t>
        </is>
      </c>
      <c r="G463" t="n">
        <v>6.4</v>
      </c>
      <c r="H463" t="n">
        <v>0</v>
      </c>
      <c r="I463" t="n">
        <v>0</v>
      </c>
      <c r="J463" t="n">
        <v>0</v>
      </c>
      <c r="K463" t="n">
        <v>0</v>
      </c>
      <c r="L463" t="n">
        <v>0</v>
      </c>
      <c r="M463" t="n">
        <v>0</v>
      </c>
      <c r="N463" t="n">
        <v>0</v>
      </c>
      <c r="O463" t="n">
        <v>0</v>
      </c>
      <c r="P463" t="n">
        <v>0</v>
      </c>
      <c r="Q463" t="n">
        <v>0</v>
      </c>
      <c r="R463" s="2" t="inlineStr"/>
    </row>
    <row r="464" ht="15" customHeight="1">
      <c r="A464" t="inlineStr">
        <is>
          <t>A 5227-2026</t>
        </is>
      </c>
      <c r="B464" s="1" t="n">
        <v>46049.80460648148</v>
      </c>
      <c r="C464" s="1" t="n">
        <v>46070</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5241-2026</t>
        </is>
      </c>
      <c r="B465" s="1" t="n">
        <v>46049.86471064815</v>
      </c>
      <c r="C465" s="1" t="n">
        <v>46070</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27697-2025</t>
        </is>
      </c>
      <c r="B466" s="1" t="n">
        <v>45813.66961805556</v>
      </c>
      <c r="C466" s="1" t="n">
        <v>46070</v>
      </c>
      <c r="D466" t="inlineStr">
        <is>
          <t>STOCKHOLMS LÄN</t>
        </is>
      </c>
      <c r="E466" t="inlineStr">
        <is>
          <t>NORRTÄLJE</t>
        </is>
      </c>
      <c r="G466" t="n">
        <v>6.2</v>
      </c>
      <c r="H466" t="n">
        <v>0</v>
      </c>
      <c r="I466" t="n">
        <v>0</v>
      </c>
      <c r="J466" t="n">
        <v>0</v>
      </c>
      <c r="K466" t="n">
        <v>0</v>
      </c>
      <c r="L466" t="n">
        <v>0</v>
      </c>
      <c r="M466" t="n">
        <v>0</v>
      </c>
      <c r="N466" t="n">
        <v>0</v>
      </c>
      <c r="O466" t="n">
        <v>0</v>
      </c>
      <c r="P466" t="n">
        <v>0</v>
      </c>
      <c r="Q466" t="n">
        <v>0</v>
      </c>
      <c r="R466" s="2" t="inlineStr"/>
    </row>
    <row r="467" ht="15" customHeight="1">
      <c r="A467" t="inlineStr">
        <is>
          <t>A 18665-2022</t>
        </is>
      </c>
      <c r="B467" s="1" t="n">
        <v>44687</v>
      </c>
      <c r="C467" s="1" t="n">
        <v>46070</v>
      </c>
      <c r="D467" t="inlineStr">
        <is>
          <t>STOCKHOLMS LÄN</t>
        </is>
      </c>
      <c r="E467" t="inlineStr">
        <is>
          <t>NORRTÄLJE</t>
        </is>
      </c>
      <c r="F467" t="inlineStr">
        <is>
          <t>Kyrkan</t>
        </is>
      </c>
      <c r="G467" t="n">
        <v>1.1</v>
      </c>
      <c r="H467" t="n">
        <v>0</v>
      </c>
      <c r="I467" t="n">
        <v>0</v>
      </c>
      <c r="J467" t="n">
        <v>0</v>
      </c>
      <c r="K467" t="n">
        <v>0</v>
      </c>
      <c r="L467" t="n">
        <v>0</v>
      </c>
      <c r="M467" t="n">
        <v>0</v>
      </c>
      <c r="N467" t="n">
        <v>0</v>
      </c>
      <c r="O467" t="n">
        <v>0</v>
      </c>
      <c r="P467" t="n">
        <v>0</v>
      </c>
      <c r="Q467" t="n">
        <v>0</v>
      </c>
      <c r="R467" s="2" t="inlineStr"/>
    </row>
    <row r="468" ht="15" customHeight="1">
      <c r="A468" t="inlineStr">
        <is>
          <t>A 27802-2025</t>
        </is>
      </c>
      <c r="B468" s="1" t="n">
        <v>45817.2565625</v>
      </c>
      <c r="C468" s="1" t="n">
        <v>46070</v>
      </c>
      <c r="D468" t="inlineStr">
        <is>
          <t>STOCKHOLMS LÄN</t>
        </is>
      </c>
      <c r="E468" t="inlineStr">
        <is>
          <t>NORRTÄLJE</t>
        </is>
      </c>
      <c r="G468" t="n">
        <v>3</v>
      </c>
      <c r="H468" t="n">
        <v>0</v>
      </c>
      <c r="I468" t="n">
        <v>0</v>
      </c>
      <c r="J468" t="n">
        <v>0</v>
      </c>
      <c r="K468" t="n">
        <v>0</v>
      </c>
      <c r="L468" t="n">
        <v>0</v>
      </c>
      <c r="M468" t="n">
        <v>0</v>
      </c>
      <c r="N468" t="n">
        <v>0</v>
      </c>
      <c r="O468" t="n">
        <v>0</v>
      </c>
      <c r="P468" t="n">
        <v>0</v>
      </c>
      <c r="Q468" t="n">
        <v>0</v>
      </c>
      <c r="R468" s="2" t="inlineStr"/>
    </row>
    <row r="469" ht="15" customHeight="1">
      <c r="A469" t="inlineStr">
        <is>
          <t>A 27806-2025</t>
        </is>
      </c>
      <c r="B469" s="1" t="n">
        <v>45817.30329861111</v>
      </c>
      <c r="C469" s="1" t="n">
        <v>46070</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27808-2025</t>
        </is>
      </c>
      <c r="B470" s="1" t="n">
        <v>45817.31085648148</v>
      </c>
      <c r="C470" s="1" t="n">
        <v>46070</v>
      </c>
      <c r="D470" t="inlineStr">
        <is>
          <t>STOCKHOLMS LÄN</t>
        </is>
      </c>
      <c r="E470" t="inlineStr">
        <is>
          <t>NORRTÄLJE</t>
        </is>
      </c>
      <c r="G470" t="n">
        <v>1.8</v>
      </c>
      <c r="H470" t="n">
        <v>0</v>
      </c>
      <c r="I470" t="n">
        <v>0</v>
      </c>
      <c r="J470" t="n">
        <v>0</v>
      </c>
      <c r="K470" t="n">
        <v>0</v>
      </c>
      <c r="L470" t="n">
        <v>0</v>
      </c>
      <c r="M470" t="n">
        <v>0</v>
      </c>
      <c r="N470" t="n">
        <v>0</v>
      </c>
      <c r="O470" t="n">
        <v>0</v>
      </c>
      <c r="P470" t="n">
        <v>0</v>
      </c>
      <c r="Q470" t="n">
        <v>0</v>
      </c>
      <c r="R470" s="2" t="inlineStr"/>
    </row>
    <row r="471" ht="15" customHeight="1">
      <c r="A471" t="inlineStr">
        <is>
          <t>A 27810-2025</t>
        </is>
      </c>
      <c r="B471" s="1" t="n">
        <v>45817.31708333334</v>
      </c>
      <c r="C471" s="1" t="n">
        <v>46070</v>
      </c>
      <c r="D471" t="inlineStr">
        <is>
          <t>STOCKHOLMS LÄN</t>
        </is>
      </c>
      <c r="E471" t="inlineStr">
        <is>
          <t>NORRTÄLJE</t>
        </is>
      </c>
      <c r="G471" t="n">
        <v>3.9</v>
      </c>
      <c r="H471" t="n">
        <v>0</v>
      </c>
      <c r="I471" t="n">
        <v>0</v>
      </c>
      <c r="J471" t="n">
        <v>0</v>
      </c>
      <c r="K471" t="n">
        <v>0</v>
      </c>
      <c r="L471" t="n">
        <v>0</v>
      </c>
      <c r="M471" t="n">
        <v>0</v>
      </c>
      <c r="N471" t="n">
        <v>0</v>
      </c>
      <c r="O471" t="n">
        <v>0</v>
      </c>
      <c r="P471" t="n">
        <v>0</v>
      </c>
      <c r="Q471" t="n">
        <v>0</v>
      </c>
      <c r="R471" s="2" t="inlineStr"/>
    </row>
    <row r="472" ht="15" customHeight="1">
      <c r="A472" t="inlineStr">
        <is>
          <t>A 27811-2025</t>
        </is>
      </c>
      <c r="B472" s="1" t="n">
        <v>45817.31986111111</v>
      </c>
      <c r="C472" s="1" t="n">
        <v>46070</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27818-2025</t>
        </is>
      </c>
      <c r="B473" s="1" t="n">
        <v>45817.33503472222</v>
      </c>
      <c r="C473" s="1" t="n">
        <v>46070</v>
      </c>
      <c r="D473" t="inlineStr">
        <is>
          <t>STOCKHOLMS LÄN</t>
        </is>
      </c>
      <c r="E473" t="inlineStr">
        <is>
          <t>NORRTÄLJE</t>
        </is>
      </c>
      <c r="F473" t="inlineStr">
        <is>
          <t>Sveaskog</t>
        </is>
      </c>
      <c r="G473" t="n">
        <v>0.3</v>
      </c>
      <c r="H473" t="n">
        <v>0</v>
      </c>
      <c r="I473" t="n">
        <v>0</v>
      </c>
      <c r="J473" t="n">
        <v>0</v>
      </c>
      <c r="K473" t="n">
        <v>0</v>
      </c>
      <c r="L473" t="n">
        <v>0</v>
      </c>
      <c r="M473" t="n">
        <v>0</v>
      </c>
      <c r="N473" t="n">
        <v>0</v>
      </c>
      <c r="O473" t="n">
        <v>0</v>
      </c>
      <c r="P473" t="n">
        <v>0</v>
      </c>
      <c r="Q473" t="n">
        <v>0</v>
      </c>
      <c r="R473" s="2" t="inlineStr"/>
    </row>
    <row r="474" ht="15" customHeight="1">
      <c r="A474" t="inlineStr">
        <is>
          <t>A 41964-2025</t>
        </is>
      </c>
      <c r="B474" s="1" t="n">
        <v>45903.47270833333</v>
      </c>
      <c r="C474" s="1" t="n">
        <v>46070</v>
      </c>
      <c r="D474" t="inlineStr">
        <is>
          <t>STOCKHOLMS LÄN</t>
        </is>
      </c>
      <c r="E474" t="inlineStr">
        <is>
          <t>NORRTÄLJE</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5224-2026</t>
        </is>
      </c>
      <c r="B475" s="1" t="n">
        <v>46049.79521990741</v>
      </c>
      <c r="C475" s="1" t="n">
        <v>46070</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27801-2025</t>
        </is>
      </c>
      <c r="B476" s="1" t="n">
        <v>45817.25471064815</v>
      </c>
      <c r="C476" s="1" t="n">
        <v>46070</v>
      </c>
      <c r="D476" t="inlineStr">
        <is>
          <t>STOCKHOLMS LÄN</t>
        </is>
      </c>
      <c r="E476" t="inlineStr">
        <is>
          <t>NORRTÄLJE</t>
        </is>
      </c>
      <c r="G476" t="n">
        <v>2</v>
      </c>
      <c r="H476" t="n">
        <v>0</v>
      </c>
      <c r="I476" t="n">
        <v>0</v>
      </c>
      <c r="J476" t="n">
        <v>0</v>
      </c>
      <c r="K476" t="n">
        <v>0</v>
      </c>
      <c r="L476" t="n">
        <v>0</v>
      </c>
      <c r="M476" t="n">
        <v>0</v>
      </c>
      <c r="N476" t="n">
        <v>0</v>
      </c>
      <c r="O476" t="n">
        <v>0</v>
      </c>
      <c r="P476" t="n">
        <v>0</v>
      </c>
      <c r="Q476" t="n">
        <v>0</v>
      </c>
      <c r="R476" s="2" t="inlineStr"/>
    </row>
    <row r="477" ht="15" customHeight="1">
      <c r="A477" t="inlineStr">
        <is>
          <t>A 58302-2022</t>
        </is>
      </c>
      <c r="B477" s="1" t="n">
        <v>44901</v>
      </c>
      <c r="C477" s="1" t="n">
        <v>46070</v>
      </c>
      <c r="D477" t="inlineStr">
        <is>
          <t>STOCKHOLMS LÄN</t>
        </is>
      </c>
      <c r="E477" t="inlineStr">
        <is>
          <t>NORRTÄLJE</t>
        </is>
      </c>
      <c r="G477" t="n">
        <v>3.9</v>
      </c>
      <c r="H477" t="n">
        <v>0</v>
      </c>
      <c r="I477" t="n">
        <v>0</v>
      </c>
      <c r="J477" t="n">
        <v>0</v>
      </c>
      <c r="K477" t="n">
        <v>0</v>
      </c>
      <c r="L477" t="n">
        <v>0</v>
      </c>
      <c r="M477" t="n">
        <v>0</v>
      </c>
      <c r="N477" t="n">
        <v>0</v>
      </c>
      <c r="O477" t="n">
        <v>0</v>
      </c>
      <c r="P477" t="n">
        <v>0</v>
      </c>
      <c r="Q477" t="n">
        <v>0</v>
      </c>
      <c r="R477" s="2" t="inlineStr"/>
    </row>
    <row r="478" ht="15" customHeight="1">
      <c r="A478" t="inlineStr">
        <is>
          <t>A 27803-2025</t>
        </is>
      </c>
      <c r="B478" s="1" t="n">
        <v>45817.291875</v>
      </c>
      <c r="C478" s="1" t="n">
        <v>46070</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27813-2025</t>
        </is>
      </c>
      <c r="B479" s="1" t="n">
        <v>45817.32538194444</v>
      </c>
      <c r="C479" s="1" t="n">
        <v>46070</v>
      </c>
      <c r="D479" t="inlineStr">
        <is>
          <t>STOCKHOLMS LÄN</t>
        </is>
      </c>
      <c r="E479" t="inlineStr">
        <is>
          <t>NORRTÄLJE</t>
        </is>
      </c>
      <c r="G479" t="n">
        <v>1.6</v>
      </c>
      <c r="H479" t="n">
        <v>0</v>
      </c>
      <c r="I479" t="n">
        <v>0</v>
      </c>
      <c r="J479" t="n">
        <v>0</v>
      </c>
      <c r="K479" t="n">
        <v>0</v>
      </c>
      <c r="L479" t="n">
        <v>0</v>
      </c>
      <c r="M479" t="n">
        <v>0</v>
      </c>
      <c r="N479" t="n">
        <v>0</v>
      </c>
      <c r="O479" t="n">
        <v>0</v>
      </c>
      <c r="P479" t="n">
        <v>0</v>
      </c>
      <c r="Q479" t="n">
        <v>0</v>
      </c>
      <c r="R479" s="2" t="inlineStr"/>
    </row>
    <row r="480" ht="15" customHeight="1">
      <c r="A480" t="inlineStr">
        <is>
          <t>A 4886-2026</t>
        </is>
      </c>
      <c r="B480" s="1" t="n">
        <v>46048.66328703704</v>
      </c>
      <c r="C480" s="1" t="n">
        <v>46070</v>
      </c>
      <c r="D480" t="inlineStr">
        <is>
          <t>STOCKHOLMS LÄN</t>
        </is>
      </c>
      <c r="E480" t="inlineStr">
        <is>
          <t>NORRTÄLJE</t>
        </is>
      </c>
      <c r="G480" t="n">
        <v>2</v>
      </c>
      <c r="H480" t="n">
        <v>0</v>
      </c>
      <c r="I480" t="n">
        <v>0</v>
      </c>
      <c r="J480" t="n">
        <v>0</v>
      </c>
      <c r="K480" t="n">
        <v>0</v>
      </c>
      <c r="L480" t="n">
        <v>0</v>
      </c>
      <c r="M480" t="n">
        <v>0</v>
      </c>
      <c r="N480" t="n">
        <v>0</v>
      </c>
      <c r="O480" t="n">
        <v>0</v>
      </c>
      <c r="P480" t="n">
        <v>0</v>
      </c>
      <c r="Q480" t="n">
        <v>0</v>
      </c>
      <c r="R480" s="2" t="inlineStr"/>
    </row>
    <row r="481" ht="15" customHeight="1">
      <c r="A481" t="inlineStr">
        <is>
          <t>A 27821-2025</t>
        </is>
      </c>
      <c r="B481" s="1" t="n">
        <v>45817.34083333334</v>
      </c>
      <c r="C481" s="1" t="n">
        <v>46070</v>
      </c>
      <c r="D481" t="inlineStr">
        <is>
          <t>STOCKHOLMS LÄN</t>
        </is>
      </c>
      <c r="E481" t="inlineStr">
        <is>
          <t>NORRTÄLJE</t>
        </is>
      </c>
      <c r="G481" t="n">
        <v>3.2</v>
      </c>
      <c r="H481" t="n">
        <v>0</v>
      </c>
      <c r="I481" t="n">
        <v>0</v>
      </c>
      <c r="J481" t="n">
        <v>0</v>
      </c>
      <c r="K481" t="n">
        <v>0</v>
      </c>
      <c r="L481" t="n">
        <v>0</v>
      </c>
      <c r="M481" t="n">
        <v>0</v>
      </c>
      <c r="N481" t="n">
        <v>0</v>
      </c>
      <c r="O481" t="n">
        <v>0</v>
      </c>
      <c r="P481" t="n">
        <v>0</v>
      </c>
      <c r="Q481" t="n">
        <v>0</v>
      </c>
      <c r="R481" s="2" t="inlineStr"/>
    </row>
    <row r="482" ht="15" customHeight="1">
      <c r="A482" t="inlineStr">
        <is>
          <t>A 38591-2023</t>
        </is>
      </c>
      <c r="B482" s="1" t="n">
        <v>45162</v>
      </c>
      <c r="C482" s="1" t="n">
        <v>46070</v>
      </c>
      <c r="D482" t="inlineStr">
        <is>
          <t>STOCKHOLMS LÄN</t>
        </is>
      </c>
      <c r="E482" t="inlineStr">
        <is>
          <t>NORRTÄLJE</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30338-2022</t>
        </is>
      </c>
      <c r="B483" s="1" t="n">
        <v>44760</v>
      </c>
      <c r="C483" s="1" t="n">
        <v>46070</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2888-2022</t>
        </is>
      </c>
      <c r="B484" s="1" t="n">
        <v>44581</v>
      </c>
      <c r="C484" s="1" t="n">
        <v>46070</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5226-2026</t>
        </is>
      </c>
      <c r="B485" s="1" t="n">
        <v>46049.79961805556</v>
      </c>
      <c r="C485" s="1" t="n">
        <v>46070</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52686-2024</t>
        </is>
      </c>
      <c r="B486" s="1" t="n">
        <v>45610.39271990741</v>
      </c>
      <c r="C486" s="1" t="n">
        <v>46070</v>
      </c>
      <c r="D486" t="inlineStr">
        <is>
          <t>STOCKHOLMS LÄN</t>
        </is>
      </c>
      <c r="E486" t="inlineStr">
        <is>
          <t>NORRTÄLJE</t>
        </is>
      </c>
      <c r="G486" t="n">
        <v>5.7</v>
      </c>
      <c r="H486" t="n">
        <v>0</v>
      </c>
      <c r="I486" t="n">
        <v>0</v>
      </c>
      <c r="J486" t="n">
        <v>0</v>
      </c>
      <c r="K486" t="n">
        <v>0</v>
      </c>
      <c r="L486" t="n">
        <v>0</v>
      </c>
      <c r="M486" t="n">
        <v>0</v>
      </c>
      <c r="N486" t="n">
        <v>0</v>
      </c>
      <c r="O486" t="n">
        <v>0</v>
      </c>
      <c r="P486" t="n">
        <v>0</v>
      </c>
      <c r="Q486" t="n">
        <v>0</v>
      </c>
      <c r="R486" s="2" t="inlineStr"/>
    </row>
    <row r="487" ht="15" customHeight="1">
      <c r="A487" t="inlineStr">
        <is>
          <t>A 20343-2024</t>
        </is>
      </c>
      <c r="B487" s="1" t="n">
        <v>45435.43466435185</v>
      </c>
      <c r="C487" s="1" t="n">
        <v>46070</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20345-2024</t>
        </is>
      </c>
      <c r="B488" s="1" t="n">
        <v>45435.43820601852</v>
      </c>
      <c r="C488" s="1" t="n">
        <v>46070</v>
      </c>
      <c r="D488" t="inlineStr">
        <is>
          <t>STOCKHOLMS LÄN</t>
        </is>
      </c>
      <c r="E488" t="inlineStr">
        <is>
          <t>NORRTÄLJE</t>
        </is>
      </c>
      <c r="G488" t="n">
        <v>3.8</v>
      </c>
      <c r="H488" t="n">
        <v>0</v>
      </c>
      <c r="I488" t="n">
        <v>0</v>
      </c>
      <c r="J488" t="n">
        <v>0</v>
      </c>
      <c r="K488" t="n">
        <v>0</v>
      </c>
      <c r="L488" t="n">
        <v>0</v>
      </c>
      <c r="M488" t="n">
        <v>0</v>
      </c>
      <c r="N488" t="n">
        <v>0</v>
      </c>
      <c r="O488" t="n">
        <v>0</v>
      </c>
      <c r="P488" t="n">
        <v>0</v>
      </c>
      <c r="Q488" t="n">
        <v>0</v>
      </c>
      <c r="R488" s="2" t="inlineStr"/>
    </row>
    <row r="489" ht="15" customHeight="1">
      <c r="A489" t="inlineStr">
        <is>
          <t>A 9765-2024</t>
        </is>
      </c>
      <c r="B489" s="1" t="n">
        <v>45362.62811342593</v>
      </c>
      <c r="C489" s="1" t="n">
        <v>46070</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15528-2025</t>
        </is>
      </c>
      <c r="B490" s="1" t="n">
        <v>45747.63471064815</v>
      </c>
      <c r="C490" s="1" t="n">
        <v>46070</v>
      </c>
      <c r="D490" t="inlineStr">
        <is>
          <t>STOCKHOLMS LÄN</t>
        </is>
      </c>
      <c r="E490" t="inlineStr">
        <is>
          <t>NORRTÄLJE</t>
        </is>
      </c>
      <c r="G490" t="n">
        <v>10</v>
      </c>
      <c r="H490" t="n">
        <v>0</v>
      </c>
      <c r="I490" t="n">
        <v>0</v>
      </c>
      <c r="J490" t="n">
        <v>0</v>
      </c>
      <c r="K490" t="n">
        <v>0</v>
      </c>
      <c r="L490" t="n">
        <v>0</v>
      </c>
      <c r="M490" t="n">
        <v>0</v>
      </c>
      <c r="N490" t="n">
        <v>0</v>
      </c>
      <c r="O490" t="n">
        <v>0</v>
      </c>
      <c r="P490" t="n">
        <v>0</v>
      </c>
      <c r="Q490" t="n">
        <v>0</v>
      </c>
      <c r="R490" s="2" t="inlineStr"/>
    </row>
    <row r="491" ht="15" customHeight="1">
      <c r="A491" t="inlineStr">
        <is>
          <t>A 11901-2024</t>
        </is>
      </c>
      <c r="B491" s="1" t="n">
        <v>45376.55638888889</v>
      </c>
      <c r="C491" s="1" t="n">
        <v>46070</v>
      </c>
      <c r="D491" t="inlineStr">
        <is>
          <t>STOCKHOLMS LÄN</t>
        </is>
      </c>
      <c r="E491" t="inlineStr">
        <is>
          <t>NORRTÄLJE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59875-2024</t>
        </is>
      </c>
      <c r="B492" s="1" t="n">
        <v>45640.58716435185</v>
      </c>
      <c r="C492" s="1" t="n">
        <v>46070</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11-2024</t>
        </is>
      </c>
      <c r="B493" s="1" t="n">
        <v>45293</v>
      </c>
      <c r="C493" s="1" t="n">
        <v>46070</v>
      </c>
      <c r="D493" t="inlineStr">
        <is>
          <t>STOCKHOLMS LÄN</t>
        </is>
      </c>
      <c r="E493" t="inlineStr">
        <is>
          <t>NORRTÄLJE</t>
        </is>
      </c>
      <c r="F493" t="inlineStr">
        <is>
          <t>Sveaskog</t>
        </is>
      </c>
      <c r="G493" t="n">
        <v>3.2</v>
      </c>
      <c r="H493" t="n">
        <v>0</v>
      </c>
      <c r="I493" t="n">
        <v>0</v>
      </c>
      <c r="J493" t="n">
        <v>0</v>
      </c>
      <c r="K493" t="n">
        <v>0</v>
      </c>
      <c r="L493" t="n">
        <v>0</v>
      </c>
      <c r="M493" t="n">
        <v>0</v>
      </c>
      <c r="N493" t="n">
        <v>0</v>
      </c>
      <c r="O493" t="n">
        <v>0</v>
      </c>
      <c r="P493" t="n">
        <v>0</v>
      </c>
      <c r="Q493" t="n">
        <v>0</v>
      </c>
      <c r="R493" s="2" t="inlineStr"/>
    </row>
    <row r="494" ht="15" customHeight="1">
      <c r="A494" t="inlineStr">
        <is>
          <t>A 30699-2025</t>
        </is>
      </c>
      <c r="B494" s="1" t="n">
        <v>45831.54618055555</v>
      </c>
      <c r="C494" s="1" t="n">
        <v>46070</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14559-2024</t>
        </is>
      </c>
      <c r="B495" s="1" t="n">
        <v>45394.72869212963</v>
      </c>
      <c r="C495" s="1" t="n">
        <v>46070</v>
      </c>
      <c r="D495" t="inlineStr">
        <is>
          <t>STOCKHOLMS LÄN</t>
        </is>
      </c>
      <c r="E495" t="inlineStr">
        <is>
          <t>NORRTÄLJE</t>
        </is>
      </c>
      <c r="G495" t="n">
        <v>4.2</v>
      </c>
      <c r="H495" t="n">
        <v>0</v>
      </c>
      <c r="I495" t="n">
        <v>0</v>
      </c>
      <c r="J495" t="n">
        <v>0</v>
      </c>
      <c r="K495" t="n">
        <v>0</v>
      </c>
      <c r="L495" t="n">
        <v>0</v>
      </c>
      <c r="M495" t="n">
        <v>0</v>
      </c>
      <c r="N495" t="n">
        <v>0</v>
      </c>
      <c r="O495" t="n">
        <v>0</v>
      </c>
      <c r="P495" t="n">
        <v>0</v>
      </c>
      <c r="Q495" t="n">
        <v>0</v>
      </c>
      <c r="R495" s="2" t="inlineStr"/>
    </row>
    <row r="496" ht="15" customHeight="1">
      <c r="A496" t="inlineStr">
        <is>
          <t>A 8433-2022</t>
        </is>
      </c>
      <c r="B496" s="1" t="n">
        <v>44611</v>
      </c>
      <c r="C496" s="1" t="n">
        <v>46070</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33279-2025</t>
        </is>
      </c>
      <c r="B497" s="1" t="n">
        <v>45840</v>
      </c>
      <c r="C497" s="1" t="n">
        <v>46070</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53499-2025</t>
        </is>
      </c>
      <c r="B498" s="1" t="n">
        <v>45960</v>
      </c>
      <c r="C498" s="1" t="n">
        <v>46070</v>
      </c>
      <c r="D498" t="inlineStr">
        <is>
          <t>STOCKHOLMS LÄN</t>
        </is>
      </c>
      <c r="E498" t="inlineStr">
        <is>
          <t>NORRTÄLJE</t>
        </is>
      </c>
      <c r="G498" t="n">
        <v>23.8</v>
      </c>
      <c r="H498" t="n">
        <v>0</v>
      </c>
      <c r="I498" t="n">
        <v>0</v>
      </c>
      <c r="J498" t="n">
        <v>0</v>
      </c>
      <c r="K498" t="n">
        <v>0</v>
      </c>
      <c r="L498" t="n">
        <v>0</v>
      </c>
      <c r="M498" t="n">
        <v>0</v>
      </c>
      <c r="N498" t="n">
        <v>0</v>
      </c>
      <c r="O498" t="n">
        <v>0</v>
      </c>
      <c r="P498" t="n">
        <v>0</v>
      </c>
      <c r="Q498" t="n">
        <v>0</v>
      </c>
      <c r="R498" s="2" t="inlineStr"/>
    </row>
    <row r="499" ht="15" customHeight="1">
      <c r="A499" t="inlineStr">
        <is>
          <t>A 25525-2022</t>
        </is>
      </c>
      <c r="B499" s="1" t="n">
        <v>44732</v>
      </c>
      <c r="C499" s="1" t="n">
        <v>46070</v>
      </c>
      <c r="D499" t="inlineStr">
        <is>
          <t>STOCKHOLMS LÄN</t>
        </is>
      </c>
      <c r="E499" t="inlineStr">
        <is>
          <t>NORRTÄLJE</t>
        </is>
      </c>
      <c r="G499" t="n">
        <v>2.2</v>
      </c>
      <c r="H499" t="n">
        <v>0</v>
      </c>
      <c r="I499" t="n">
        <v>0</v>
      </c>
      <c r="J499" t="n">
        <v>0</v>
      </c>
      <c r="K499" t="n">
        <v>0</v>
      </c>
      <c r="L499" t="n">
        <v>0</v>
      </c>
      <c r="M499" t="n">
        <v>0</v>
      </c>
      <c r="N499" t="n">
        <v>0</v>
      </c>
      <c r="O499" t="n">
        <v>0</v>
      </c>
      <c r="P499" t="n">
        <v>0</v>
      </c>
      <c r="Q499" t="n">
        <v>0</v>
      </c>
      <c r="R499" s="2" t="inlineStr"/>
    </row>
    <row r="500" ht="15" customHeight="1">
      <c r="A500" t="inlineStr">
        <is>
          <t>A 12302-2025</t>
        </is>
      </c>
      <c r="B500" s="1" t="n">
        <v>45729.72851851852</v>
      </c>
      <c r="C500" s="1" t="n">
        <v>46070</v>
      </c>
      <c r="D500" t="inlineStr">
        <is>
          <t>STOCKHOLMS LÄN</t>
        </is>
      </c>
      <c r="E500" t="inlineStr">
        <is>
          <t>NORRTÄLJE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44075-2023</t>
        </is>
      </c>
      <c r="B501" s="1" t="n">
        <v>45188.41637731482</v>
      </c>
      <c r="C501" s="1" t="n">
        <v>46070</v>
      </c>
      <c r="D501" t="inlineStr">
        <is>
          <t>STOCKHOLMS LÄN</t>
        </is>
      </c>
      <c r="E501" t="inlineStr">
        <is>
          <t>NORRTÄLJE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38889-2024</t>
        </is>
      </c>
      <c r="B502" s="1" t="n">
        <v>45547</v>
      </c>
      <c r="C502" s="1" t="n">
        <v>46070</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45451-2024</t>
        </is>
      </c>
      <c r="B503" s="1" t="n">
        <v>45576</v>
      </c>
      <c r="C503" s="1" t="n">
        <v>46070</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20011-2025</t>
        </is>
      </c>
      <c r="B504" s="1" t="n">
        <v>45772.29622685185</v>
      </c>
      <c r="C504" s="1" t="n">
        <v>46070</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42856-2025</t>
        </is>
      </c>
      <c r="B505" s="1" t="n">
        <v>45908</v>
      </c>
      <c r="C505" s="1" t="n">
        <v>46070</v>
      </c>
      <c r="D505" t="inlineStr">
        <is>
          <t>STOCKHOLMS LÄN</t>
        </is>
      </c>
      <c r="E505" t="inlineStr">
        <is>
          <t>NORRTÄLJE</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26644-2024</t>
        </is>
      </c>
      <c r="B506" s="1" t="n">
        <v>45469</v>
      </c>
      <c r="C506" s="1" t="n">
        <v>46070</v>
      </c>
      <c r="D506" t="inlineStr">
        <is>
          <t>STOCKHOLMS LÄN</t>
        </is>
      </c>
      <c r="E506" t="inlineStr">
        <is>
          <t>NORRTÄLJE</t>
        </is>
      </c>
      <c r="G506" t="n">
        <v>4.3</v>
      </c>
      <c r="H506" t="n">
        <v>0</v>
      </c>
      <c r="I506" t="n">
        <v>0</v>
      </c>
      <c r="J506" t="n">
        <v>0</v>
      </c>
      <c r="K506" t="n">
        <v>0</v>
      </c>
      <c r="L506" t="n">
        <v>0</v>
      </c>
      <c r="M506" t="n">
        <v>0</v>
      </c>
      <c r="N506" t="n">
        <v>0</v>
      </c>
      <c r="O506" t="n">
        <v>0</v>
      </c>
      <c r="P506" t="n">
        <v>0</v>
      </c>
      <c r="Q506" t="n">
        <v>0</v>
      </c>
      <c r="R506" s="2" t="inlineStr"/>
    </row>
    <row r="507" ht="15" customHeight="1">
      <c r="A507" t="inlineStr">
        <is>
          <t>A 24835-2025</t>
        </is>
      </c>
      <c r="B507" s="1" t="n">
        <v>45799</v>
      </c>
      <c r="C507" s="1" t="n">
        <v>46070</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29250-2025</t>
        </is>
      </c>
      <c r="B508" s="1" t="n">
        <v>45824.37275462963</v>
      </c>
      <c r="C508" s="1" t="n">
        <v>46070</v>
      </c>
      <c r="D508" t="inlineStr">
        <is>
          <t>STOCKHOLMS LÄN</t>
        </is>
      </c>
      <c r="E508" t="inlineStr">
        <is>
          <t>NORRTÄLJE</t>
        </is>
      </c>
      <c r="F508" t="inlineStr">
        <is>
          <t>Sveaskog</t>
        </is>
      </c>
      <c r="G508" t="n">
        <v>6.4</v>
      </c>
      <c r="H508" t="n">
        <v>0</v>
      </c>
      <c r="I508" t="n">
        <v>0</v>
      </c>
      <c r="J508" t="n">
        <v>0</v>
      </c>
      <c r="K508" t="n">
        <v>0</v>
      </c>
      <c r="L508" t="n">
        <v>0</v>
      </c>
      <c r="M508" t="n">
        <v>0</v>
      </c>
      <c r="N508" t="n">
        <v>0</v>
      </c>
      <c r="O508" t="n">
        <v>0</v>
      </c>
      <c r="P508" t="n">
        <v>0</v>
      </c>
      <c r="Q508" t="n">
        <v>0</v>
      </c>
      <c r="R508" s="2" t="inlineStr"/>
    </row>
    <row r="509" ht="15" customHeight="1">
      <c r="A509" t="inlineStr">
        <is>
          <t>A 43169-2025</t>
        </is>
      </c>
      <c r="B509" s="1" t="n">
        <v>45910</v>
      </c>
      <c r="C509" s="1" t="n">
        <v>46070</v>
      </c>
      <c r="D509" t="inlineStr">
        <is>
          <t>STOCKHOLMS LÄN</t>
        </is>
      </c>
      <c r="E509" t="inlineStr">
        <is>
          <t>NORRTÄLJE</t>
        </is>
      </c>
      <c r="G509" t="n">
        <v>6.9</v>
      </c>
      <c r="H509" t="n">
        <v>0</v>
      </c>
      <c r="I509" t="n">
        <v>0</v>
      </c>
      <c r="J509" t="n">
        <v>0</v>
      </c>
      <c r="K509" t="n">
        <v>0</v>
      </c>
      <c r="L509" t="n">
        <v>0</v>
      </c>
      <c r="M509" t="n">
        <v>0</v>
      </c>
      <c r="N509" t="n">
        <v>0</v>
      </c>
      <c r="O509" t="n">
        <v>0</v>
      </c>
      <c r="P509" t="n">
        <v>0</v>
      </c>
      <c r="Q509" t="n">
        <v>0</v>
      </c>
      <c r="R509" s="2" t="inlineStr"/>
    </row>
    <row r="510" ht="15" customHeight="1">
      <c r="A510" t="inlineStr">
        <is>
          <t>A 2982-2023</t>
        </is>
      </c>
      <c r="B510" s="1" t="n">
        <v>44945.67409722223</v>
      </c>
      <c r="C510" s="1" t="n">
        <v>46070</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12535-2025</t>
        </is>
      </c>
      <c r="B511" s="1" t="n">
        <v>45730.69502314815</v>
      </c>
      <c r="C511" s="1" t="n">
        <v>46070</v>
      </c>
      <c r="D511" t="inlineStr">
        <is>
          <t>STOCKHOLMS LÄN</t>
        </is>
      </c>
      <c r="E511" t="inlineStr">
        <is>
          <t>NORRTÄLJE</t>
        </is>
      </c>
      <c r="G511" t="n">
        <v>7.1</v>
      </c>
      <c r="H511" t="n">
        <v>0</v>
      </c>
      <c r="I511" t="n">
        <v>0</v>
      </c>
      <c r="J511" t="n">
        <v>0</v>
      </c>
      <c r="K511" t="n">
        <v>0</v>
      </c>
      <c r="L511" t="n">
        <v>0</v>
      </c>
      <c r="M511" t="n">
        <v>0</v>
      </c>
      <c r="N511" t="n">
        <v>0</v>
      </c>
      <c r="O511" t="n">
        <v>0</v>
      </c>
      <c r="P511" t="n">
        <v>0</v>
      </c>
      <c r="Q511" t="n">
        <v>0</v>
      </c>
      <c r="R511" s="2" t="inlineStr"/>
    </row>
    <row r="512" ht="15" customHeight="1">
      <c r="A512" t="inlineStr">
        <is>
          <t>A 30719-2025</t>
        </is>
      </c>
      <c r="B512" s="1" t="n">
        <v>45831</v>
      </c>
      <c r="C512" s="1" t="n">
        <v>46070</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43269-2025</t>
        </is>
      </c>
      <c r="B513" s="1" t="n">
        <v>45910.5819212963</v>
      </c>
      <c r="C513" s="1" t="n">
        <v>46070</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37136-2023</t>
        </is>
      </c>
      <c r="B514" s="1" t="n">
        <v>45155</v>
      </c>
      <c r="C514" s="1" t="n">
        <v>46070</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4227-2026</t>
        </is>
      </c>
      <c r="B515" s="1" t="n">
        <v>46044</v>
      </c>
      <c r="C515" s="1" t="n">
        <v>46070</v>
      </c>
      <c r="D515" t="inlineStr">
        <is>
          <t>STOCKHOLMS LÄN</t>
        </is>
      </c>
      <c r="E515" t="inlineStr">
        <is>
          <t>NORRTÄLJE</t>
        </is>
      </c>
      <c r="G515" t="n">
        <v>3.6</v>
      </c>
      <c r="H515" t="n">
        <v>0</v>
      </c>
      <c r="I515" t="n">
        <v>0</v>
      </c>
      <c r="J515" t="n">
        <v>0</v>
      </c>
      <c r="K515" t="n">
        <v>0</v>
      </c>
      <c r="L515" t="n">
        <v>0</v>
      </c>
      <c r="M515" t="n">
        <v>0</v>
      </c>
      <c r="N515" t="n">
        <v>0</v>
      </c>
      <c r="O515" t="n">
        <v>0</v>
      </c>
      <c r="P515" t="n">
        <v>0</v>
      </c>
      <c r="Q515" t="n">
        <v>0</v>
      </c>
      <c r="R515" s="2" t="inlineStr"/>
    </row>
    <row r="516" ht="15" customHeight="1">
      <c r="A516" t="inlineStr">
        <is>
          <t>A 4235-2026</t>
        </is>
      </c>
      <c r="B516" s="1" t="n">
        <v>46044</v>
      </c>
      <c r="C516" s="1" t="n">
        <v>46070</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62708-2025</t>
        </is>
      </c>
      <c r="B517" s="1" t="n">
        <v>46008.50986111111</v>
      </c>
      <c r="C517" s="1" t="n">
        <v>46070</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18787-2022</t>
        </is>
      </c>
      <c r="B518" s="1" t="n">
        <v>44687</v>
      </c>
      <c r="C518" s="1" t="n">
        <v>46070</v>
      </c>
      <c r="D518" t="inlineStr">
        <is>
          <t>STOCKHOLMS LÄN</t>
        </is>
      </c>
      <c r="E518" t="inlineStr">
        <is>
          <t>NORRTÄLJE</t>
        </is>
      </c>
      <c r="G518" t="n">
        <v>2</v>
      </c>
      <c r="H518" t="n">
        <v>0</v>
      </c>
      <c r="I518" t="n">
        <v>0</v>
      </c>
      <c r="J518" t="n">
        <v>0</v>
      </c>
      <c r="K518" t="n">
        <v>0</v>
      </c>
      <c r="L518" t="n">
        <v>0</v>
      </c>
      <c r="M518" t="n">
        <v>0</v>
      </c>
      <c r="N518" t="n">
        <v>0</v>
      </c>
      <c r="O518" t="n">
        <v>0</v>
      </c>
      <c r="P518" t="n">
        <v>0</v>
      </c>
      <c r="Q518" t="n">
        <v>0</v>
      </c>
      <c r="R518" s="2" t="inlineStr"/>
    </row>
    <row r="519" ht="15" customHeight="1">
      <c r="A519" t="inlineStr">
        <is>
          <t>A 13718-2022</t>
        </is>
      </c>
      <c r="B519" s="1" t="n">
        <v>44649</v>
      </c>
      <c r="C519" s="1" t="n">
        <v>46070</v>
      </c>
      <c r="D519" t="inlineStr">
        <is>
          <t>STOCKHOLMS LÄN</t>
        </is>
      </c>
      <c r="E519" t="inlineStr">
        <is>
          <t>NORRTÄLJE</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25621-2022</t>
        </is>
      </c>
      <c r="B520" s="1" t="n">
        <v>44732</v>
      </c>
      <c r="C520" s="1" t="n">
        <v>46070</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34478-2025</t>
        </is>
      </c>
      <c r="B521" s="1" t="n">
        <v>45847</v>
      </c>
      <c r="C521" s="1" t="n">
        <v>46070</v>
      </c>
      <c r="D521" t="inlineStr">
        <is>
          <t>STOCKHOLMS LÄN</t>
        </is>
      </c>
      <c r="E521" t="inlineStr">
        <is>
          <t>NORRTÄLJE</t>
        </is>
      </c>
      <c r="F521" t="inlineStr">
        <is>
          <t>Övriga Aktiebolag</t>
        </is>
      </c>
      <c r="G521" t="n">
        <v>10.8</v>
      </c>
      <c r="H521" t="n">
        <v>0</v>
      </c>
      <c r="I521" t="n">
        <v>0</v>
      </c>
      <c r="J521" t="n">
        <v>0</v>
      </c>
      <c r="K521" t="n">
        <v>0</v>
      </c>
      <c r="L521" t="n">
        <v>0</v>
      </c>
      <c r="M521" t="n">
        <v>0</v>
      </c>
      <c r="N521" t="n">
        <v>0</v>
      </c>
      <c r="O521" t="n">
        <v>0</v>
      </c>
      <c r="P521" t="n">
        <v>0</v>
      </c>
      <c r="Q521" t="n">
        <v>0</v>
      </c>
      <c r="R521" s="2" t="inlineStr"/>
    </row>
    <row r="522" ht="15" customHeight="1">
      <c r="A522" t="inlineStr">
        <is>
          <t>A 43916-2025</t>
        </is>
      </c>
      <c r="B522" s="1" t="n">
        <v>45914.78884259259</v>
      </c>
      <c r="C522" s="1" t="n">
        <v>46070</v>
      </c>
      <c r="D522" t="inlineStr">
        <is>
          <t>STOCKHOLMS LÄN</t>
        </is>
      </c>
      <c r="E522" t="inlineStr">
        <is>
          <t>NORRTÄLJE</t>
        </is>
      </c>
      <c r="G522" t="n">
        <v>1.5</v>
      </c>
      <c r="H522" t="n">
        <v>0</v>
      </c>
      <c r="I522" t="n">
        <v>0</v>
      </c>
      <c r="J522" t="n">
        <v>0</v>
      </c>
      <c r="K522" t="n">
        <v>0</v>
      </c>
      <c r="L522" t="n">
        <v>0</v>
      </c>
      <c r="M522" t="n">
        <v>0</v>
      </c>
      <c r="N522" t="n">
        <v>0</v>
      </c>
      <c r="O522" t="n">
        <v>0</v>
      </c>
      <c r="P522" t="n">
        <v>0</v>
      </c>
      <c r="Q522" t="n">
        <v>0</v>
      </c>
      <c r="R522" s="2" t="inlineStr"/>
    </row>
    <row r="523" ht="15" customHeight="1">
      <c r="A523" t="inlineStr">
        <is>
          <t>A 36269-2022</t>
        </is>
      </c>
      <c r="B523" s="1" t="n">
        <v>44803</v>
      </c>
      <c r="C523" s="1" t="n">
        <v>46070</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36308-2022</t>
        </is>
      </c>
      <c r="B524" s="1" t="n">
        <v>44803</v>
      </c>
      <c r="C524" s="1" t="n">
        <v>46070</v>
      </c>
      <c r="D524" t="inlineStr">
        <is>
          <t>STOCKHOLMS LÄN</t>
        </is>
      </c>
      <c r="E524" t="inlineStr">
        <is>
          <t>NORRTÄLJE</t>
        </is>
      </c>
      <c r="G524" t="n">
        <v>0.6</v>
      </c>
      <c r="H524" t="n">
        <v>0</v>
      </c>
      <c r="I524" t="n">
        <v>0</v>
      </c>
      <c r="J524" t="n">
        <v>0</v>
      </c>
      <c r="K524" t="n">
        <v>0</v>
      </c>
      <c r="L524" t="n">
        <v>0</v>
      </c>
      <c r="M524" t="n">
        <v>0</v>
      </c>
      <c r="N524" t="n">
        <v>0</v>
      </c>
      <c r="O524" t="n">
        <v>0</v>
      </c>
      <c r="P524" t="n">
        <v>0</v>
      </c>
      <c r="Q524" t="n">
        <v>0</v>
      </c>
      <c r="R524" s="2" t="inlineStr"/>
    </row>
    <row r="525" ht="15" customHeight="1">
      <c r="A525" t="inlineStr">
        <is>
          <t>A 4231-2026</t>
        </is>
      </c>
      <c r="B525" s="1" t="n">
        <v>46044</v>
      </c>
      <c r="C525" s="1" t="n">
        <v>46070</v>
      </c>
      <c r="D525" t="inlineStr">
        <is>
          <t>STOCKHOLMS LÄN</t>
        </is>
      </c>
      <c r="E525" t="inlineStr">
        <is>
          <t>NORRTÄLJE</t>
        </is>
      </c>
      <c r="G525" t="n">
        <v>2.9</v>
      </c>
      <c r="H525" t="n">
        <v>0</v>
      </c>
      <c r="I525" t="n">
        <v>0</v>
      </c>
      <c r="J525" t="n">
        <v>0</v>
      </c>
      <c r="K525" t="n">
        <v>0</v>
      </c>
      <c r="L525" t="n">
        <v>0</v>
      </c>
      <c r="M525" t="n">
        <v>0</v>
      </c>
      <c r="N525" t="n">
        <v>0</v>
      </c>
      <c r="O525" t="n">
        <v>0</v>
      </c>
      <c r="P525" t="n">
        <v>0</v>
      </c>
      <c r="Q525" t="n">
        <v>0</v>
      </c>
      <c r="R525" s="2" t="inlineStr"/>
    </row>
    <row r="526" ht="15" customHeight="1">
      <c r="A526" t="inlineStr">
        <is>
          <t>A 62681-2025</t>
        </is>
      </c>
      <c r="B526" s="1" t="n">
        <v>46008.45534722223</v>
      </c>
      <c r="C526" s="1" t="n">
        <v>46070</v>
      </c>
      <c r="D526" t="inlineStr">
        <is>
          <t>STOCKHOLMS LÄN</t>
        </is>
      </c>
      <c r="E526" t="inlineStr">
        <is>
          <t>NORRTÄLJE</t>
        </is>
      </c>
      <c r="G526" t="n">
        <v>2.4</v>
      </c>
      <c r="H526" t="n">
        <v>0</v>
      </c>
      <c r="I526" t="n">
        <v>0</v>
      </c>
      <c r="J526" t="n">
        <v>0</v>
      </c>
      <c r="K526" t="n">
        <v>0</v>
      </c>
      <c r="L526" t="n">
        <v>0</v>
      </c>
      <c r="M526" t="n">
        <v>0</v>
      </c>
      <c r="N526" t="n">
        <v>0</v>
      </c>
      <c r="O526" t="n">
        <v>0</v>
      </c>
      <c r="P526" t="n">
        <v>0</v>
      </c>
      <c r="Q526" t="n">
        <v>0</v>
      </c>
      <c r="R526" s="2" t="inlineStr"/>
    </row>
    <row r="527" ht="15" customHeight="1">
      <c r="A527" t="inlineStr">
        <is>
          <t>A 6919-2025</t>
        </is>
      </c>
      <c r="B527" s="1" t="n">
        <v>45701.44372685185</v>
      </c>
      <c r="C527" s="1" t="n">
        <v>46070</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32100-2022</t>
        </is>
      </c>
      <c r="B528" s="1" t="n">
        <v>44778</v>
      </c>
      <c r="C528" s="1" t="n">
        <v>46070</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11332-2025</t>
        </is>
      </c>
      <c r="B529" s="1" t="n">
        <v>45726.48152777777</v>
      </c>
      <c r="C529" s="1" t="n">
        <v>46070</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37444-2021</t>
        </is>
      </c>
      <c r="B530" s="1" t="n">
        <v>44398</v>
      </c>
      <c r="C530" s="1" t="n">
        <v>46070</v>
      </c>
      <c r="D530" t="inlineStr">
        <is>
          <t>STOCKHOLMS LÄN</t>
        </is>
      </c>
      <c r="E530" t="inlineStr">
        <is>
          <t>NORRTÄLJE</t>
        </is>
      </c>
      <c r="F530" t="inlineStr">
        <is>
          <t>Holmen skog AB</t>
        </is>
      </c>
      <c r="G530" t="n">
        <v>3.2</v>
      </c>
      <c r="H530" t="n">
        <v>0</v>
      </c>
      <c r="I530" t="n">
        <v>0</v>
      </c>
      <c r="J530" t="n">
        <v>0</v>
      </c>
      <c r="K530" t="n">
        <v>0</v>
      </c>
      <c r="L530" t="n">
        <v>0</v>
      </c>
      <c r="M530" t="n">
        <v>0</v>
      </c>
      <c r="N530" t="n">
        <v>0</v>
      </c>
      <c r="O530" t="n">
        <v>0</v>
      </c>
      <c r="P530" t="n">
        <v>0</v>
      </c>
      <c r="Q530" t="n">
        <v>0</v>
      </c>
      <c r="R530" s="2" t="inlineStr"/>
    </row>
    <row r="531" ht="15" customHeight="1">
      <c r="A531" t="inlineStr">
        <is>
          <t>A 30886-2022</t>
        </is>
      </c>
      <c r="B531" s="1" t="n">
        <v>44767.60601851852</v>
      </c>
      <c r="C531" s="1" t="n">
        <v>46070</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44354-2025</t>
        </is>
      </c>
      <c r="B532" s="1" t="n">
        <v>45916.44655092592</v>
      </c>
      <c r="C532" s="1" t="n">
        <v>46070</v>
      </c>
      <c r="D532" t="inlineStr">
        <is>
          <t>STOCKHOLMS LÄN</t>
        </is>
      </c>
      <c r="E532" t="inlineStr">
        <is>
          <t>NORRTÄLJE</t>
        </is>
      </c>
      <c r="G532" t="n">
        <v>2.3</v>
      </c>
      <c r="H532" t="n">
        <v>0</v>
      </c>
      <c r="I532" t="n">
        <v>0</v>
      </c>
      <c r="J532" t="n">
        <v>0</v>
      </c>
      <c r="K532" t="n">
        <v>0</v>
      </c>
      <c r="L532" t="n">
        <v>0</v>
      </c>
      <c r="M532" t="n">
        <v>0</v>
      </c>
      <c r="N532" t="n">
        <v>0</v>
      </c>
      <c r="O532" t="n">
        <v>0</v>
      </c>
      <c r="P532" t="n">
        <v>0</v>
      </c>
      <c r="Q532" t="n">
        <v>0</v>
      </c>
      <c r="R532" s="2" t="inlineStr"/>
    </row>
    <row r="533" ht="15" customHeight="1">
      <c r="A533" t="inlineStr">
        <is>
          <t>A 62922-2025</t>
        </is>
      </c>
      <c r="B533" s="1" t="n">
        <v>46009.38064814815</v>
      </c>
      <c r="C533" s="1" t="n">
        <v>46070</v>
      </c>
      <c r="D533" t="inlineStr">
        <is>
          <t>STOCKHOLMS LÄN</t>
        </is>
      </c>
      <c r="E533" t="inlineStr">
        <is>
          <t>NORRTÄLJE</t>
        </is>
      </c>
      <c r="G533" t="n">
        <v>0.5</v>
      </c>
      <c r="H533" t="n">
        <v>0</v>
      </c>
      <c r="I533" t="n">
        <v>0</v>
      </c>
      <c r="J533" t="n">
        <v>0</v>
      </c>
      <c r="K533" t="n">
        <v>0</v>
      </c>
      <c r="L533" t="n">
        <v>0</v>
      </c>
      <c r="M533" t="n">
        <v>0</v>
      </c>
      <c r="N533" t="n">
        <v>0</v>
      </c>
      <c r="O533" t="n">
        <v>0</v>
      </c>
      <c r="P533" t="n">
        <v>0</v>
      </c>
      <c r="Q533" t="n">
        <v>0</v>
      </c>
      <c r="R533" s="2" t="inlineStr"/>
    </row>
    <row r="534" ht="15" customHeight="1">
      <c r="A534" t="inlineStr">
        <is>
          <t>A 9654-2022</t>
        </is>
      </c>
      <c r="B534" s="1" t="n">
        <v>44617</v>
      </c>
      <c r="C534" s="1" t="n">
        <v>46070</v>
      </c>
      <c r="D534" t="inlineStr">
        <is>
          <t>STOCKHOLMS LÄN</t>
        </is>
      </c>
      <c r="E534" t="inlineStr">
        <is>
          <t>NORRTÄLJE</t>
        </is>
      </c>
      <c r="G534" t="n">
        <v>6.4</v>
      </c>
      <c r="H534" t="n">
        <v>0</v>
      </c>
      <c r="I534" t="n">
        <v>0</v>
      </c>
      <c r="J534" t="n">
        <v>0</v>
      </c>
      <c r="K534" t="n">
        <v>0</v>
      </c>
      <c r="L534" t="n">
        <v>0</v>
      </c>
      <c r="M534" t="n">
        <v>0</v>
      </c>
      <c r="N534" t="n">
        <v>0</v>
      </c>
      <c r="O534" t="n">
        <v>0</v>
      </c>
      <c r="P534" t="n">
        <v>0</v>
      </c>
      <c r="Q534" t="n">
        <v>0</v>
      </c>
      <c r="R534" s="2" t="inlineStr"/>
    </row>
    <row r="535" ht="15" customHeight="1">
      <c r="A535" t="inlineStr">
        <is>
          <t>A 1453-2025</t>
        </is>
      </c>
      <c r="B535" s="1" t="n">
        <v>45670.3079050926</v>
      </c>
      <c r="C535" s="1" t="n">
        <v>46070</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30639-2025</t>
        </is>
      </c>
      <c r="B536" s="1" t="n">
        <v>45831.4844212963</v>
      </c>
      <c r="C536" s="1" t="n">
        <v>46070</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30668-2025</t>
        </is>
      </c>
      <c r="B537" s="1" t="n">
        <v>45831.51659722222</v>
      </c>
      <c r="C537" s="1" t="n">
        <v>46070</v>
      </c>
      <c r="D537" t="inlineStr">
        <is>
          <t>STOCKHOLMS LÄN</t>
        </is>
      </c>
      <c r="E537" t="inlineStr">
        <is>
          <t>NORRTÄLJE</t>
        </is>
      </c>
      <c r="G537" t="n">
        <v>4.9</v>
      </c>
      <c r="H537" t="n">
        <v>0</v>
      </c>
      <c r="I537" t="n">
        <v>0</v>
      </c>
      <c r="J537" t="n">
        <v>0</v>
      </c>
      <c r="K537" t="n">
        <v>0</v>
      </c>
      <c r="L537" t="n">
        <v>0</v>
      </c>
      <c r="M537" t="n">
        <v>0</v>
      </c>
      <c r="N537" t="n">
        <v>0</v>
      </c>
      <c r="O537" t="n">
        <v>0</v>
      </c>
      <c r="P537" t="n">
        <v>0</v>
      </c>
      <c r="Q537" t="n">
        <v>0</v>
      </c>
      <c r="R537" s="2" t="inlineStr"/>
    </row>
    <row r="538" ht="15" customHeight="1">
      <c r="A538" t="inlineStr">
        <is>
          <t>A 5804-2025</t>
        </is>
      </c>
      <c r="B538" s="1" t="n">
        <v>45694.68207175926</v>
      </c>
      <c r="C538" s="1" t="n">
        <v>46070</v>
      </c>
      <c r="D538" t="inlineStr">
        <is>
          <t>STOCKHOLMS LÄN</t>
        </is>
      </c>
      <c r="E538" t="inlineStr">
        <is>
          <t>NORRTÄLJE</t>
        </is>
      </c>
      <c r="F538" t="inlineStr">
        <is>
          <t>Holmen skog AB</t>
        </is>
      </c>
      <c r="G538" t="n">
        <v>2.6</v>
      </c>
      <c r="H538" t="n">
        <v>0</v>
      </c>
      <c r="I538" t="n">
        <v>0</v>
      </c>
      <c r="J538" t="n">
        <v>0</v>
      </c>
      <c r="K538" t="n">
        <v>0</v>
      </c>
      <c r="L538" t="n">
        <v>0</v>
      </c>
      <c r="M538" t="n">
        <v>0</v>
      </c>
      <c r="N538" t="n">
        <v>0</v>
      </c>
      <c r="O538" t="n">
        <v>0</v>
      </c>
      <c r="P538" t="n">
        <v>0</v>
      </c>
      <c r="Q538" t="n">
        <v>0</v>
      </c>
      <c r="R538" s="2" t="inlineStr"/>
    </row>
    <row r="539" ht="15" customHeight="1">
      <c r="A539" t="inlineStr">
        <is>
          <t>A 44306-2025</t>
        </is>
      </c>
      <c r="B539" s="1" t="n">
        <v>45916.37736111111</v>
      </c>
      <c r="C539" s="1" t="n">
        <v>46070</v>
      </c>
      <c r="D539" t="inlineStr">
        <is>
          <t>STOCKHOLMS LÄN</t>
        </is>
      </c>
      <c r="E539" t="inlineStr">
        <is>
          <t>NORRTÄLJE</t>
        </is>
      </c>
      <c r="G539" t="n">
        <v>2.8</v>
      </c>
      <c r="H539" t="n">
        <v>0</v>
      </c>
      <c r="I539" t="n">
        <v>0</v>
      </c>
      <c r="J539" t="n">
        <v>0</v>
      </c>
      <c r="K539" t="n">
        <v>0</v>
      </c>
      <c r="L539" t="n">
        <v>0</v>
      </c>
      <c r="M539" t="n">
        <v>0</v>
      </c>
      <c r="N539" t="n">
        <v>0</v>
      </c>
      <c r="O539" t="n">
        <v>0</v>
      </c>
      <c r="P539" t="n">
        <v>0</v>
      </c>
      <c r="Q539" t="n">
        <v>0</v>
      </c>
      <c r="R539" s="2" t="inlineStr"/>
    </row>
    <row r="540" ht="15" customHeight="1">
      <c r="A540" t="inlineStr">
        <is>
          <t>A 44343-2025</t>
        </is>
      </c>
      <c r="B540" s="1" t="n">
        <v>45916.43378472222</v>
      </c>
      <c r="C540" s="1" t="n">
        <v>46070</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44349-2025</t>
        </is>
      </c>
      <c r="B541" s="1" t="n">
        <v>45916.43929398148</v>
      </c>
      <c r="C541" s="1" t="n">
        <v>46070</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50907-2022</t>
        </is>
      </c>
      <c r="B542" s="1" t="n">
        <v>44867.62090277778</v>
      </c>
      <c r="C542" s="1" t="n">
        <v>46070</v>
      </c>
      <c r="D542" t="inlineStr">
        <is>
          <t>STOCKHOLMS LÄN</t>
        </is>
      </c>
      <c r="E542" t="inlineStr">
        <is>
          <t>NORRTÄLJE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29003-2023</t>
        </is>
      </c>
      <c r="B543" s="1" t="n">
        <v>45104</v>
      </c>
      <c r="C543" s="1" t="n">
        <v>46070</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44311-2025</t>
        </is>
      </c>
      <c r="B544" s="1" t="n">
        <v>45916.38394675926</v>
      </c>
      <c r="C544" s="1" t="n">
        <v>46070</v>
      </c>
      <c r="D544" t="inlineStr">
        <is>
          <t>STOCKHOLMS LÄN</t>
        </is>
      </c>
      <c r="E544" t="inlineStr">
        <is>
          <t>NORRTÄLJE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44333-2025</t>
        </is>
      </c>
      <c r="B545" s="1" t="n">
        <v>45916.42293981482</v>
      </c>
      <c r="C545" s="1" t="n">
        <v>46070</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33295-2023</t>
        </is>
      </c>
      <c r="B546" s="1" t="n">
        <v>45127.69371527778</v>
      </c>
      <c r="C546" s="1" t="n">
        <v>46070</v>
      </c>
      <c r="D546" t="inlineStr">
        <is>
          <t>STOCKHOLMS LÄN</t>
        </is>
      </c>
      <c r="E546" t="inlineStr">
        <is>
          <t>NORRTÄLJE</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14127-2025</t>
        </is>
      </c>
      <c r="B547" s="1" t="n">
        <v>45740.47055555556</v>
      </c>
      <c r="C547" s="1" t="n">
        <v>46070</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16980-2023</t>
        </is>
      </c>
      <c r="B548" s="1" t="n">
        <v>45033</v>
      </c>
      <c r="C548" s="1" t="n">
        <v>46070</v>
      </c>
      <c r="D548" t="inlineStr">
        <is>
          <t>STOCKHOLMS LÄN</t>
        </is>
      </c>
      <c r="E548" t="inlineStr">
        <is>
          <t>NORRTÄLJE</t>
        </is>
      </c>
      <c r="G548" t="n">
        <v>2.3</v>
      </c>
      <c r="H548" t="n">
        <v>0</v>
      </c>
      <c r="I548" t="n">
        <v>0</v>
      </c>
      <c r="J548" t="n">
        <v>0</v>
      </c>
      <c r="K548" t="n">
        <v>0</v>
      </c>
      <c r="L548" t="n">
        <v>0</v>
      </c>
      <c r="M548" t="n">
        <v>0</v>
      </c>
      <c r="N548" t="n">
        <v>0</v>
      </c>
      <c r="O548" t="n">
        <v>0</v>
      </c>
      <c r="P548" t="n">
        <v>0</v>
      </c>
      <c r="Q548" t="n">
        <v>0</v>
      </c>
      <c r="R548" s="2" t="inlineStr"/>
    </row>
    <row r="549" ht="15" customHeight="1">
      <c r="A549" t="inlineStr">
        <is>
          <t>A 32595-2023</t>
        </is>
      </c>
      <c r="B549" s="1" t="n">
        <v>45121</v>
      </c>
      <c r="C549" s="1" t="n">
        <v>46070</v>
      </c>
      <c r="D549" t="inlineStr">
        <is>
          <t>STOCKHOLMS LÄN</t>
        </is>
      </c>
      <c r="E549" t="inlineStr">
        <is>
          <t>NORRTÄLJE</t>
        </is>
      </c>
      <c r="G549" t="n">
        <v>2.4</v>
      </c>
      <c r="H549" t="n">
        <v>0</v>
      </c>
      <c r="I549" t="n">
        <v>0</v>
      </c>
      <c r="J549" t="n">
        <v>0</v>
      </c>
      <c r="K549" t="n">
        <v>0</v>
      </c>
      <c r="L549" t="n">
        <v>0</v>
      </c>
      <c r="M549" t="n">
        <v>0</v>
      </c>
      <c r="N549" t="n">
        <v>0</v>
      </c>
      <c r="O549" t="n">
        <v>0</v>
      </c>
      <c r="P549" t="n">
        <v>0</v>
      </c>
      <c r="Q549" t="n">
        <v>0</v>
      </c>
      <c r="R549" s="2" t="inlineStr"/>
    </row>
    <row r="550" ht="15" customHeight="1">
      <c r="A550" t="inlineStr">
        <is>
          <t>A 31170-2025</t>
        </is>
      </c>
      <c r="B550" s="1" t="n">
        <v>45832.66385416667</v>
      </c>
      <c r="C550" s="1" t="n">
        <v>46070</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44937-2025</t>
        </is>
      </c>
      <c r="B551" s="1" t="n">
        <v>45918</v>
      </c>
      <c r="C551" s="1" t="n">
        <v>46070</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39610-2025</t>
        </is>
      </c>
      <c r="B552" s="1" t="n">
        <v>45890</v>
      </c>
      <c r="C552" s="1" t="n">
        <v>46070</v>
      </c>
      <c r="D552" t="inlineStr">
        <is>
          <t>STOCKHOLMS LÄN</t>
        </is>
      </c>
      <c r="E552" t="inlineStr">
        <is>
          <t>NORRTÄLJE</t>
        </is>
      </c>
      <c r="G552" t="n">
        <v>28.6</v>
      </c>
      <c r="H552" t="n">
        <v>0</v>
      </c>
      <c r="I552" t="n">
        <v>0</v>
      </c>
      <c r="J552" t="n">
        <v>0</v>
      </c>
      <c r="K552" t="n">
        <v>0</v>
      </c>
      <c r="L552" t="n">
        <v>0</v>
      </c>
      <c r="M552" t="n">
        <v>0</v>
      </c>
      <c r="N552" t="n">
        <v>0</v>
      </c>
      <c r="O552" t="n">
        <v>0</v>
      </c>
      <c r="P552" t="n">
        <v>0</v>
      </c>
      <c r="Q552" t="n">
        <v>0</v>
      </c>
      <c r="R552" s="2" t="inlineStr"/>
    </row>
    <row r="553" ht="15" customHeight="1">
      <c r="A553" t="inlineStr">
        <is>
          <t>A 31880-2025</t>
        </is>
      </c>
      <c r="B553" s="1" t="n">
        <v>45834.65538194445</v>
      </c>
      <c r="C553" s="1" t="n">
        <v>46070</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62689-2025</t>
        </is>
      </c>
      <c r="B554" s="1" t="n">
        <v>46008.47171296296</v>
      </c>
      <c r="C554" s="1" t="n">
        <v>46070</v>
      </c>
      <c r="D554" t="inlineStr">
        <is>
          <t>STOCKHOLMS LÄN</t>
        </is>
      </c>
      <c r="E554" t="inlineStr">
        <is>
          <t>NORRTÄLJE</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37550-2022</t>
        </is>
      </c>
      <c r="B555" s="1" t="n">
        <v>44809</v>
      </c>
      <c r="C555" s="1" t="n">
        <v>46070</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32122-2025</t>
        </is>
      </c>
      <c r="B556" s="1" t="n">
        <v>45835.4928125</v>
      </c>
      <c r="C556" s="1" t="n">
        <v>46070</v>
      </c>
      <c r="D556" t="inlineStr">
        <is>
          <t>STOCKHOLMS LÄN</t>
        </is>
      </c>
      <c r="E556" t="inlineStr">
        <is>
          <t>NORRTÄLJE</t>
        </is>
      </c>
      <c r="F556" t="inlineStr">
        <is>
          <t>Holmen skog AB</t>
        </is>
      </c>
      <c r="G556" t="n">
        <v>1.9</v>
      </c>
      <c r="H556" t="n">
        <v>0</v>
      </c>
      <c r="I556" t="n">
        <v>0</v>
      </c>
      <c r="J556" t="n">
        <v>0</v>
      </c>
      <c r="K556" t="n">
        <v>0</v>
      </c>
      <c r="L556" t="n">
        <v>0</v>
      </c>
      <c r="M556" t="n">
        <v>0</v>
      </c>
      <c r="N556" t="n">
        <v>0</v>
      </c>
      <c r="O556" t="n">
        <v>0</v>
      </c>
      <c r="P556" t="n">
        <v>0</v>
      </c>
      <c r="Q556" t="n">
        <v>0</v>
      </c>
      <c r="R556" s="2" t="inlineStr"/>
    </row>
    <row r="557" ht="15" customHeight="1">
      <c r="A557" t="inlineStr">
        <is>
          <t>A 31868-2025</t>
        </is>
      </c>
      <c r="B557" s="1" t="n">
        <v>45834.6447337963</v>
      </c>
      <c r="C557" s="1" t="n">
        <v>46070</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6413-2025</t>
        </is>
      </c>
      <c r="B558" s="1" t="n">
        <v>45699.46283564815</v>
      </c>
      <c r="C558" s="1" t="n">
        <v>46070</v>
      </c>
      <c r="D558" t="inlineStr">
        <is>
          <t>STOCKHOLMS LÄN</t>
        </is>
      </c>
      <c r="E558" t="inlineStr">
        <is>
          <t>NORRTÄLJE</t>
        </is>
      </c>
      <c r="G558" t="n">
        <v>3.6</v>
      </c>
      <c r="H558" t="n">
        <v>0</v>
      </c>
      <c r="I558" t="n">
        <v>0</v>
      </c>
      <c r="J558" t="n">
        <v>0</v>
      </c>
      <c r="K558" t="n">
        <v>0</v>
      </c>
      <c r="L558" t="n">
        <v>0</v>
      </c>
      <c r="M558" t="n">
        <v>0</v>
      </c>
      <c r="N558" t="n">
        <v>0</v>
      </c>
      <c r="O558" t="n">
        <v>0</v>
      </c>
      <c r="P558" t="n">
        <v>0</v>
      </c>
      <c r="Q558" t="n">
        <v>0</v>
      </c>
      <c r="R558" s="2" t="inlineStr"/>
    </row>
    <row r="559" ht="15" customHeight="1">
      <c r="A559" t="inlineStr">
        <is>
          <t>A 32016-2025</t>
        </is>
      </c>
      <c r="B559" s="1" t="n">
        <v>45835</v>
      </c>
      <c r="C559" s="1" t="n">
        <v>46070</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32283-2025</t>
        </is>
      </c>
      <c r="B560" s="1" t="n">
        <v>45835.68076388889</v>
      </c>
      <c r="C560" s="1" t="n">
        <v>46070</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48161-2022</t>
        </is>
      </c>
      <c r="B561" s="1" t="n">
        <v>44858</v>
      </c>
      <c r="C561" s="1" t="n">
        <v>46070</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48798-2021</t>
        </is>
      </c>
      <c r="B562" s="1" t="n">
        <v>44452</v>
      </c>
      <c r="C562" s="1" t="n">
        <v>46070</v>
      </c>
      <c r="D562" t="inlineStr">
        <is>
          <t>STOCKHOLMS LÄN</t>
        </is>
      </c>
      <c r="E562" t="inlineStr">
        <is>
          <t>NORRTÄLJE</t>
        </is>
      </c>
      <c r="G562" t="n">
        <v>2</v>
      </c>
      <c r="H562" t="n">
        <v>0</v>
      </c>
      <c r="I562" t="n">
        <v>0</v>
      </c>
      <c r="J562" t="n">
        <v>0</v>
      </c>
      <c r="K562" t="n">
        <v>0</v>
      </c>
      <c r="L562" t="n">
        <v>0</v>
      </c>
      <c r="M562" t="n">
        <v>0</v>
      </c>
      <c r="N562" t="n">
        <v>0</v>
      </c>
      <c r="O562" t="n">
        <v>0</v>
      </c>
      <c r="P562" t="n">
        <v>0</v>
      </c>
      <c r="Q562" t="n">
        <v>0</v>
      </c>
      <c r="R562" s="2" t="inlineStr"/>
    </row>
    <row r="563" ht="15" customHeight="1">
      <c r="A563" t="inlineStr">
        <is>
          <t>A 31874-2025</t>
        </is>
      </c>
      <c r="B563" s="1" t="n">
        <v>45834</v>
      </c>
      <c r="C563" s="1" t="n">
        <v>46070</v>
      </c>
      <c r="D563" t="inlineStr">
        <is>
          <t>STOCKHOLMS LÄN</t>
        </is>
      </c>
      <c r="E563" t="inlineStr">
        <is>
          <t>NORRTÄLJE</t>
        </is>
      </c>
      <c r="G563" t="n">
        <v>1.4</v>
      </c>
      <c r="H563" t="n">
        <v>0</v>
      </c>
      <c r="I563" t="n">
        <v>0</v>
      </c>
      <c r="J563" t="n">
        <v>0</v>
      </c>
      <c r="K563" t="n">
        <v>0</v>
      </c>
      <c r="L563" t="n">
        <v>0</v>
      </c>
      <c r="M563" t="n">
        <v>0</v>
      </c>
      <c r="N563" t="n">
        <v>0</v>
      </c>
      <c r="O563" t="n">
        <v>0</v>
      </c>
      <c r="P563" t="n">
        <v>0</v>
      </c>
      <c r="Q563" t="n">
        <v>0</v>
      </c>
      <c r="R563" s="2" t="inlineStr"/>
    </row>
    <row r="564" ht="15" customHeight="1">
      <c r="A564" t="inlineStr">
        <is>
          <t>A 22359-2025</t>
        </is>
      </c>
      <c r="B564" s="1" t="n">
        <v>45786</v>
      </c>
      <c r="C564" s="1" t="n">
        <v>46070</v>
      </c>
      <c r="D564" t="inlineStr">
        <is>
          <t>STOCKHOLMS LÄN</t>
        </is>
      </c>
      <c r="E564" t="inlineStr">
        <is>
          <t>NORRTÄLJE</t>
        </is>
      </c>
      <c r="G564" t="n">
        <v>5</v>
      </c>
      <c r="H564" t="n">
        <v>0</v>
      </c>
      <c r="I564" t="n">
        <v>0</v>
      </c>
      <c r="J564" t="n">
        <v>0</v>
      </c>
      <c r="K564" t="n">
        <v>0</v>
      </c>
      <c r="L564" t="n">
        <v>0</v>
      </c>
      <c r="M564" t="n">
        <v>0</v>
      </c>
      <c r="N564" t="n">
        <v>0</v>
      </c>
      <c r="O564" t="n">
        <v>0</v>
      </c>
      <c r="P564" t="n">
        <v>0</v>
      </c>
      <c r="Q564" t="n">
        <v>0</v>
      </c>
      <c r="R564" s="2" t="inlineStr"/>
    </row>
    <row r="565" ht="15" customHeight="1">
      <c r="A565" t="inlineStr">
        <is>
          <t>A 32094-2025</t>
        </is>
      </c>
      <c r="B565" s="1" t="n">
        <v>45835.46034722222</v>
      </c>
      <c r="C565" s="1" t="n">
        <v>46070</v>
      </c>
      <c r="D565" t="inlineStr">
        <is>
          <t>STOCKHOLMS LÄN</t>
        </is>
      </c>
      <c r="E565" t="inlineStr">
        <is>
          <t>NORRTÄLJE</t>
        </is>
      </c>
      <c r="F565" t="inlineStr">
        <is>
          <t>Holmen skog AB</t>
        </is>
      </c>
      <c r="G565" t="n">
        <v>2.9</v>
      </c>
      <c r="H565" t="n">
        <v>0</v>
      </c>
      <c r="I565" t="n">
        <v>0</v>
      </c>
      <c r="J565" t="n">
        <v>0</v>
      </c>
      <c r="K565" t="n">
        <v>0</v>
      </c>
      <c r="L565" t="n">
        <v>0</v>
      </c>
      <c r="M565" t="n">
        <v>0</v>
      </c>
      <c r="N565" t="n">
        <v>0</v>
      </c>
      <c r="O565" t="n">
        <v>0</v>
      </c>
      <c r="P565" t="n">
        <v>0</v>
      </c>
      <c r="Q565" t="n">
        <v>0</v>
      </c>
      <c r="R565" s="2" t="inlineStr"/>
    </row>
    <row r="566" ht="15" customHeight="1">
      <c r="A566" t="inlineStr">
        <is>
          <t>A 12111-2021</t>
        </is>
      </c>
      <c r="B566" s="1" t="n">
        <v>44266</v>
      </c>
      <c r="C566" s="1" t="n">
        <v>46070</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54776-2023</t>
        </is>
      </c>
      <c r="B567" s="1" t="n">
        <v>45236.46369212963</v>
      </c>
      <c r="C567" s="1" t="n">
        <v>46070</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32480-2025</t>
        </is>
      </c>
      <c r="B568" s="1" t="n">
        <v>45838.43261574074</v>
      </c>
      <c r="C568" s="1" t="n">
        <v>46070</v>
      </c>
      <c r="D568" t="inlineStr">
        <is>
          <t>STOCKHOLMS LÄN</t>
        </is>
      </c>
      <c r="E568" t="inlineStr">
        <is>
          <t>NORRTÄLJE</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57442-2021</t>
        </is>
      </c>
      <c r="B569" s="1" t="n">
        <v>44483</v>
      </c>
      <c r="C569" s="1" t="n">
        <v>46070</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45697-2025</t>
        </is>
      </c>
      <c r="B570" s="1" t="n">
        <v>45923.39877314815</v>
      </c>
      <c r="C570" s="1" t="n">
        <v>46070</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32872-2025</t>
        </is>
      </c>
      <c r="B571" s="1" t="n">
        <v>45839</v>
      </c>
      <c r="C571" s="1" t="n">
        <v>46070</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32903-2025</t>
        </is>
      </c>
      <c r="B572" s="1" t="n">
        <v>45839.62398148148</v>
      </c>
      <c r="C572" s="1" t="n">
        <v>46070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32395-2025</t>
        </is>
      </c>
      <c r="B573" s="1" t="n">
        <v>45837.93730324074</v>
      </c>
      <c r="C573" s="1" t="n">
        <v>46070</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32396-2025</t>
        </is>
      </c>
      <c r="B574" s="1" t="n">
        <v>45837</v>
      </c>
      <c r="C574" s="1" t="n">
        <v>46070</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32397-2025</t>
        </is>
      </c>
      <c r="B575" s="1" t="n">
        <v>45837.94081018519</v>
      </c>
      <c r="C575" s="1" t="n">
        <v>46070</v>
      </c>
      <c r="D575" t="inlineStr">
        <is>
          <t>STOCKHOLMS LÄN</t>
        </is>
      </c>
      <c r="E575" t="inlineStr">
        <is>
          <t>NORRTÄLJE</t>
        </is>
      </c>
      <c r="G575" t="n">
        <v>5.9</v>
      </c>
      <c r="H575" t="n">
        <v>0</v>
      </c>
      <c r="I575" t="n">
        <v>0</v>
      </c>
      <c r="J575" t="n">
        <v>0</v>
      </c>
      <c r="K575" t="n">
        <v>0</v>
      </c>
      <c r="L575" t="n">
        <v>0</v>
      </c>
      <c r="M575" t="n">
        <v>0</v>
      </c>
      <c r="N575" t="n">
        <v>0</v>
      </c>
      <c r="O575" t="n">
        <v>0</v>
      </c>
      <c r="P575" t="n">
        <v>0</v>
      </c>
      <c r="Q575" t="n">
        <v>0</v>
      </c>
      <c r="R575" s="2" t="inlineStr"/>
    </row>
    <row r="576" ht="15" customHeight="1">
      <c r="A576" t="inlineStr">
        <is>
          <t>A 46415-2025</t>
        </is>
      </c>
      <c r="B576" s="1" t="n">
        <v>45925.58636574074</v>
      </c>
      <c r="C576" s="1" t="n">
        <v>46070</v>
      </c>
      <c r="D576" t="inlineStr">
        <is>
          <t>STOCKHOLMS LÄN</t>
        </is>
      </c>
      <c r="E576" t="inlineStr">
        <is>
          <t>NORRTÄLJE</t>
        </is>
      </c>
      <c r="G576" t="n">
        <v>3.8</v>
      </c>
      <c r="H576" t="n">
        <v>0</v>
      </c>
      <c r="I576" t="n">
        <v>0</v>
      </c>
      <c r="J576" t="n">
        <v>0</v>
      </c>
      <c r="K576" t="n">
        <v>0</v>
      </c>
      <c r="L576" t="n">
        <v>0</v>
      </c>
      <c r="M576" t="n">
        <v>0</v>
      </c>
      <c r="N576" t="n">
        <v>0</v>
      </c>
      <c r="O576" t="n">
        <v>0</v>
      </c>
      <c r="P576" t="n">
        <v>0</v>
      </c>
      <c r="Q576" t="n">
        <v>0</v>
      </c>
      <c r="R576" s="2" t="inlineStr"/>
    </row>
    <row r="577" ht="15" customHeight="1">
      <c r="A577" t="inlineStr">
        <is>
          <t>A 55952-2024</t>
        </is>
      </c>
      <c r="B577" s="1" t="n">
        <v>45623.62563657408</v>
      </c>
      <c r="C577" s="1" t="n">
        <v>46070</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8135-2025</t>
        </is>
      </c>
      <c r="B578" s="1" t="n">
        <v>45707.84997685185</v>
      </c>
      <c r="C578" s="1" t="n">
        <v>46070</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3383-2023</t>
        </is>
      </c>
      <c r="B579" s="1" t="n">
        <v>44949</v>
      </c>
      <c r="C579" s="1" t="n">
        <v>46070</v>
      </c>
      <c r="D579" t="inlineStr">
        <is>
          <t>STOCKHOLMS LÄN</t>
        </is>
      </c>
      <c r="E579" t="inlineStr">
        <is>
          <t>NORRTÄLJE</t>
        </is>
      </c>
      <c r="G579" t="n">
        <v>14.6</v>
      </c>
      <c r="H579" t="n">
        <v>0</v>
      </c>
      <c r="I579" t="n">
        <v>0</v>
      </c>
      <c r="J579" t="n">
        <v>0</v>
      </c>
      <c r="K579" t="n">
        <v>0</v>
      </c>
      <c r="L579" t="n">
        <v>0</v>
      </c>
      <c r="M579" t="n">
        <v>0</v>
      </c>
      <c r="N579" t="n">
        <v>0</v>
      </c>
      <c r="O579" t="n">
        <v>0</v>
      </c>
      <c r="P579" t="n">
        <v>0</v>
      </c>
      <c r="Q579" t="n">
        <v>0</v>
      </c>
      <c r="R579" s="2" t="inlineStr"/>
    </row>
    <row r="580" ht="15" customHeight="1">
      <c r="A580" t="inlineStr">
        <is>
          <t>A 13148-2021</t>
        </is>
      </c>
      <c r="B580" s="1" t="n">
        <v>44272</v>
      </c>
      <c r="C580" s="1" t="n">
        <v>46070</v>
      </c>
      <c r="D580" t="inlineStr">
        <is>
          <t>STOCKHOLMS LÄN</t>
        </is>
      </c>
      <c r="E580" t="inlineStr">
        <is>
          <t>NORRTÄLJE</t>
        </is>
      </c>
      <c r="G580" t="n">
        <v>12.4</v>
      </c>
      <c r="H580" t="n">
        <v>0</v>
      </c>
      <c r="I580" t="n">
        <v>0</v>
      </c>
      <c r="J580" t="n">
        <v>0</v>
      </c>
      <c r="K580" t="n">
        <v>0</v>
      </c>
      <c r="L580" t="n">
        <v>0</v>
      </c>
      <c r="M580" t="n">
        <v>0</v>
      </c>
      <c r="N580" t="n">
        <v>0</v>
      </c>
      <c r="O580" t="n">
        <v>0</v>
      </c>
      <c r="P580" t="n">
        <v>0</v>
      </c>
      <c r="Q580" t="n">
        <v>0</v>
      </c>
      <c r="R580" s="2" t="inlineStr"/>
    </row>
    <row r="581" ht="15" customHeight="1">
      <c r="A581" t="inlineStr">
        <is>
          <t>A 21732-2023</t>
        </is>
      </c>
      <c r="B581" s="1" t="n">
        <v>45063</v>
      </c>
      <c r="C581" s="1" t="n">
        <v>46070</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23307-2024</t>
        </is>
      </c>
      <c r="B582" s="1" t="n">
        <v>45453</v>
      </c>
      <c r="C582" s="1" t="n">
        <v>46070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33702-2025</t>
        </is>
      </c>
      <c r="B583" s="1" t="n">
        <v>45841.74596064815</v>
      </c>
      <c r="C583" s="1" t="n">
        <v>46070</v>
      </c>
      <c r="D583" t="inlineStr">
        <is>
          <t>STOCKHOLMS LÄN</t>
        </is>
      </c>
      <c r="E583" t="inlineStr">
        <is>
          <t>NORRTÄLJE</t>
        </is>
      </c>
      <c r="G583" t="n">
        <v>0.5</v>
      </c>
      <c r="H583" t="n">
        <v>0</v>
      </c>
      <c r="I583" t="n">
        <v>0</v>
      </c>
      <c r="J583" t="n">
        <v>0</v>
      </c>
      <c r="K583" t="n">
        <v>0</v>
      </c>
      <c r="L583" t="n">
        <v>0</v>
      </c>
      <c r="M583" t="n">
        <v>0</v>
      </c>
      <c r="N583" t="n">
        <v>0</v>
      </c>
      <c r="O583" t="n">
        <v>0</v>
      </c>
      <c r="P583" t="n">
        <v>0</v>
      </c>
      <c r="Q583" t="n">
        <v>0</v>
      </c>
      <c r="R583" s="2" t="inlineStr"/>
    </row>
    <row r="584" ht="15" customHeight="1">
      <c r="A584" t="inlineStr">
        <is>
          <t>A 46900-2025</t>
        </is>
      </c>
      <c r="B584" s="1" t="n">
        <v>45929.38712962963</v>
      </c>
      <c r="C584" s="1" t="n">
        <v>46070</v>
      </c>
      <c r="D584" t="inlineStr">
        <is>
          <t>STOCKHOLMS LÄN</t>
        </is>
      </c>
      <c r="E584" t="inlineStr">
        <is>
          <t>NORRTÄLJE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33211-2025</t>
        </is>
      </c>
      <c r="B585" s="1" t="n">
        <v>45840.62755787037</v>
      </c>
      <c r="C585" s="1" t="n">
        <v>46070</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46070</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33265-2025</t>
        </is>
      </c>
      <c r="B587" s="1" t="n">
        <v>45840.67829861111</v>
      </c>
      <c r="C587" s="1" t="n">
        <v>46070</v>
      </c>
      <c r="D587" t="inlineStr">
        <is>
          <t>STOCKHOLMS LÄN</t>
        </is>
      </c>
      <c r="E587" t="inlineStr">
        <is>
          <t>NORRTÄLJE</t>
        </is>
      </c>
      <c r="G587" t="n">
        <v>5.5</v>
      </c>
      <c r="H587" t="n">
        <v>0</v>
      </c>
      <c r="I587" t="n">
        <v>0</v>
      </c>
      <c r="J587" t="n">
        <v>0</v>
      </c>
      <c r="K587" t="n">
        <v>0</v>
      </c>
      <c r="L587" t="n">
        <v>0</v>
      </c>
      <c r="M587" t="n">
        <v>0</v>
      </c>
      <c r="N587" t="n">
        <v>0</v>
      </c>
      <c r="O587" t="n">
        <v>0</v>
      </c>
      <c r="P587" t="n">
        <v>0</v>
      </c>
      <c r="Q587" t="n">
        <v>0</v>
      </c>
      <c r="R587" s="2" t="inlineStr"/>
    </row>
    <row r="588" ht="15" customHeight="1">
      <c r="A588" t="inlineStr">
        <is>
          <t>A 56428-2023</t>
        </is>
      </c>
      <c r="B588" s="1" t="n">
        <v>45243.45289351852</v>
      </c>
      <c r="C588" s="1" t="n">
        <v>46070</v>
      </c>
      <c r="D588" t="inlineStr">
        <is>
          <t>STOCKHOLMS LÄN</t>
        </is>
      </c>
      <c r="E588" t="inlineStr">
        <is>
          <t>NORRTÄLJE</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33552-2025</t>
        </is>
      </c>
      <c r="B589" s="1" t="n">
        <v>45841.5737962963</v>
      </c>
      <c r="C589" s="1" t="n">
        <v>46070</v>
      </c>
      <c r="D589" t="inlineStr">
        <is>
          <t>STOCKHOLMS LÄN</t>
        </is>
      </c>
      <c r="E589" t="inlineStr">
        <is>
          <t>NORRTÄLJE</t>
        </is>
      </c>
      <c r="G589" t="n">
        <v>8.9</v>
      </c>
      <c r="H589" t="n">
        <v>0</v>
      </c>
      <c r="I589" t="n">
        <v>0</v>
      </c>
      <c r="J589" t="n">
        <v>0</v>
      </c>
      <c r="K589" t="n">
        <v>0</v>
      </c>
      <c r="L589" t="n">
        <v>0</v>
      </c>
      <c r="M589" t="n">
        <v>0</v>
      </c>
      <c r="N589" t="n">
        <v>0</v>
      </c>
      <c r="O589" t="n">
        <v>0</v>
      </c>
      <c r="P589" t="n">
        <v>0</v>
      </c>
      <c r="Q589" t="n">
        <v>0</v>
      </c>
      <c r="R589" s="2" t="inlineStr"/>
    </row>
    <row r="590" ht="15" customHeight="1">
      <c r="A590" t="inlineStr">
        <is>
          <t>A 33336-2025</t>
        </is>
      </c>
      <c r="B590" s="1" t="n">
        <v>45841.35611111111</v>
      </c>
      <c r="C590" s="1" t="n">
        <v>46070</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33824-2025</t>
        </is>
      </c>
      <c r="B591" s="1" t="n">
        <v>45842.46885416667</v>
      </c>
      <c r="C591" s="1" t="n">
        <v>46070</v>
      </c>
      <c r="D591" t="inlineStr">
        <is>
          <t>STOCKHOLMS LÄN</t>
        </is>
      </c>
      <c r="E591" t="inlineStr">
        <is>
          <t>NORRTÄLJE</t>
        </is>
      </c>
      <c r="G591" t="n">
        <v>1.9</v>
      </c>
      <c r="H591" t="n">
        <v>0</v>
      </c>
      <c r="I591" t="n">
        <v>0</v>
      </c>
      <c r="J591" t="n">
        <v>0</v>
      </c>
      <c r="K591" t="n">
        <v>0</v>
      </c>
      <c r="L591" t="n">
        <v>0</v>
      </c>
      <c r="M591" t="n">
        <v>0</v>
      </c>
      <c r="N591" t="n">
        <v>0</v>
      </c>
      <c r="O591" t="n">
        <v>0</v>
      </c>
      <c r="P591" t="n">
        <v>0</v>
      </c>
      <c r="Q591" t="n">
        <v>0</v>
      </c>
      <c r="R591" s="2" t="inlineStr"/>
    </row>
    <row r="592" ht="15" customHeight="1">
      <c r="A592" t="inlineStr">
        <is>
          <t>A 17556-2025</t>
        </is>
      </c>
      <c r="B592" s="1" t="n">
        <v>45757.62482638889</v>
      </c>
      <c r="C592" s="1" t="n">
        <v>46070</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35256-2025</t>
        </is>
      </c>
      <c r="B593" s="1" t="n">
        <v>45853</v>
      </c>
      <c r="C593" s="1" t="n">
        <v>46070</v>
      </c>
      <c r="D593" t="inlineStr">
        <is>
          <t>STOCKHOLMS LÄN</t>
        </is>
      </c>
      <c r="E593" t="inlineStr">
        <is>
          <t>NORRTÄLJE</t>
        </is>
      </c>
      <c r="G593" t="n">
        <v>6.4</v>
      </c>
      <c r="H593" t="n">
        <v>0</v>
      </c>
      <c r="I593" t="n">
        <v>0</v>
      </c>
      <c r="J593" t="n">
        <v>0</v>
      </c>
      <c r="K593" t="n">
        <v>0</v>
      </c>
      <c r="L593" t="n">
        <v>0</v>
      </c>
      <c r="M593" t="n">
        <v>0</v>
      </c>
      <c r="N593" t="n">
        <v>0</v>
      </c>
      <c r="O593" t="n">
        <v>0</v>
      </c>
      <c r="P593" t="n">
        <v>0</v>
      </c>
      <c r="Q593" t="n">
        <v>0</v>
      </c>
      <c r="R593" s="2" t="inlineStr"/>
    </row>
    <row r="594" ht="15" customHeight="1">
      <c r="A594" t="inlineStr">
        <is>
          <t>A 34006-2025</t>
        </is>
      </c>
      <c r="B594" s="1" t="n">
        <v>45844.62609953704</v>
      </c>
      <c r="C594" s="1" t="n">
        <v>46070</v>
      </c>
      <c r="D594" t="inlineStr">
        <is>
          <t>STOCKHOLMS LÄN</t>
        </is>
      </c>
      <c r="E594" t="inlineStr">
        <is>
          <t>NORRTÄLJE</t>
        </is>
      </c>
      <c r="G594" t="n">
        <v>2.3</v>
      </c>
      <c r="H594" t="n">
        <v>0</v>
      </c>
      <c r="I594" t="n">
        <v>0</v>
      </c>
      <c r="J594" t="n">
        <v>0</v>
      </c>
      <c r="K594" t="n">
        <v>0</v>
      </c>
      <c r="L594" t="n">
        <v>0</v>
      </c>
      <c r="M594" t="n">
        <v>0</v>
      </c>
      <c r="N594" t="n">
        <v>0</v>
      </c>
      <c r="O594" t="n">
        <v>0</v>
      </c>
      <c r="P594" t="n">
        <v>0</v>
      </c>
      <c r="Q594" t="n">
        <v>0</v>
      </c>
      <c r="R594" s="2" t="inlineStr"/>
    </row>
    <row r="595" ht="15" customHeight="1">
      <c r="A595" t="inlineStr">
        <is>
          <t>A 34139-2025</t>
        </is>
      </c>
      <c r="B595" s="1" t="n">
        <v>45845</v>
      </c>
      <c r="C595" s="1" t="n">
        <v>46070</v>
      </c>
      <c r="D595" t="inlineStr">
        <is>
          <t>STOCKHOLMS LÄN</t>
        </is>
      </c>
      <c r="E595" t="inlineStr">
        <is>
          <t>NORRTÄLJE</t>
        </is>
      </c>
      <c r="G595" t="n">
        <v>5.5</v>
      </c>
      <c r="H595" t="n">
        <v>0</v>
      </c>
      <c r="I595" t="n">
        <v>0</v>
      </c>
      <c r="J595" t="n">
        <v>0</v>
      </c>
      <c r="K595" t="n">
        <v>0</v>
      </c>
      <c r="L595" t="n">
        <v>0</v>
      </c>
      <c r="M595" t="n">
        <v>0</v>
      </c>
      <c r="N595" t="n">
        <v>0</v>
      </c>
      <c r="O595" t="n">
        <v>0</v>
      </c>
      <c r="P595" t="n">
        <v>0</v>
      </c>
      <c r="Q595" t="n">
        <v>0</v>
      </c>
      <c r="R595" s="2" t="inlineStr"/>
    </row>
    <row r="596" ht="15" customHeight="1">
      <c r="A596" t="inlineStr">
        <is>
          <t>A 34010-2025</t>
        </is>
      </c>
      <c r="B596" s="1" t="n">
        <v>45844.91234953704</v>
      </c>
      <c r="C596" s="1" t="n">
        <v>46070</v>
      </c>
      <c r="D596" t="inlineStr">
        <is>
          <t>STOCKHOLMS LÄN</t>
        </is>
      </c>
      <c r="E596" t="inlineStr">
        <is>
          <t>NORRTÄLJE</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42094-2023</t>
        </is>
      </c>
      <c r="B597" s="1" t="n">
        <v>45177.61498842593</v>
      </c>
      <c r="C597" s="1" t="n">
        <v>46070</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36689-2023</t>
        </is>
      </c>
      <c r="B598" s="1" t="n">
        <v>45152</v>
      </c>
      <c r="C598" s="1" t="n">
        <v>46070</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46073-2024</t>
        </is>
      </c>
      <c r="B599" s="1" t="n">
        <v>45581</v>
      </c>
      <c r="C599" s="1" t="n">
        <v>46070</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8370-2025</t>
        </is>
      </c>
      <c r="B600" s="1" t="n">
        <v>45708</v>
      </c>
      <c r="C600" s="1" t="n">
        <v>46070</v>
      </c>
      <c r="D600" t="inlineStr">
        <is>
          <t>STOCKHOLMS LÄN</t>
        </is>
      </c>
      <c r="E600" t="inlineStr">
        <is>
          <t>NORRTÄLJE</t>
        </is>
      </c>
      <c r="F600" t="inlineStr">
        <is>
          <t>Övriga Aktiebolag</t>
        </is>
      </c>
      <c r="G600" t="n">
        <v>5.6</v>
      </c>
      <c r="H600" t="n">
        <v>0</v>
      </c>
      <c r="I600" t="n">
        <v>0</v>
      </c>
      <c r="J600" t="n">
        <v>0</v>
      </c>
      <c r="K600" t="n">
        <v>0</v>
      </c>
      <c r="L600" t="n">
        <v>0</v>
      </c>
      <c r="M600" t="n">
        <v>0</v>
      </c>
      <c r="N600" t="n">
        <v>0</v>
      </c>
      <c r="O600" t="n">
        <v>0</v>
      </c>
      <c r="P600" t="n">
        <v>0</v>
      </c>
      <c r="Q600" t="n">
        <v>0</v>
      </c>
      <c r="R600" s="2" t="inlineStr"/>
    </row>
    <row r="601" ht="15" customHeight="1">
      <c r="A601" t="inlineStr">
        <is>
          <t>A 3299-2022</t>
        </is>
      </c>
      <c r="B601" s="1" t="n">
        <v>44584.91001157407</v>
      </c>
      <c r="C601" s="1" t="n">
        <v>46070</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47498-2025</t>
        </is>
      </c>
      <c r="B602" s="1" t="n">
        <v>45930.8134375</v>
      </c>
      <c r="C602" s="1" t="n">
        <v>46070</v>
      </c>
      <c r="D602" t="inlineStr">
        <is>
          <t>STOCKHOLMS LÄN</t>
        </is>
      </c>
      <c r="E602" t="inlineStr">
        <is>
          <t>NORRTÄLJE</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47460-2025</t>
        </is>
      </c>
      <c r="B603" s="1" t="n">
        <v>45930.66012731481</v>
      </c>
      <c r="C603" s="1" t="n">
        <v>46070</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47496-2025</t>
        </is>
      </c>
      <c r="B604" s="1" t="n">
        <v>45930.79252314815</v>
      </c>
      <c r="C604" s="1" t="n">
        <v>46070</v>
      </c>
      <c r="D604" t="inlineStr">
        <is>
          <t>STOCKHOLMS LÄN</t>
        </is>
      </c>
      <c r="E604" t="inlineStr">
        <is>
          <t>NORRTÄLJE</t>
        </is>
      </c>
      <c r="F604" t="inlineStr">
        <is>
          <t>Holmen skog AB</t>
        </is>
      </c>
      <c r="G604" t="n">
        <v>0.9</v>
      </c>
      <c r="H604" t="n">
        <v>0</v>
      </c>
      <c r="I604" t="n">
        <v>0</v>
      </c>
      <c r="J604" t="n">
        <v>0</v>
      </c>
      <c r="K604" t="n">
        <v>0</v>
      </c>
      <c r="L604" t="n">
        <v>0</v>
      </c>
      <c r="M604" t="n">
        <v>0</v>
      </c>
      <c r="N604" t="n">
        <v>0</v>
      </c>
      <c r="O604" t="n">
        <v>0</v>
      </c>
      <c r="P604" t="n">
        <v>0</v>
      </c>
      <c r="Q604" t="n">
        <v>0</v>
      </c>
      <c r="R604" s="2" t="inlineStr"/>
    </row>
    <row r="605" ht="15" customHeight="1">
      <c r="A605" t="inlineStr">
        <is>
          <t>A 47497-2025</t>
        </is>
      </c>
      <c r="B605" s="1" t="n">
        <v>45930.80217592593</v>
      </c>
      <c r="C605" s="1" t="n">
        <v>46070</v>
      </c>
      <c r="D605" t="inlineStr">
        <is>
          <t>STOCKHOLMS LÄN</t>
        </is>
      </c>
      <c r="E605" t="inlineStr">
        <is>
          <t>NORRTÄLJE</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12348-2025</t>
        </is>
      </c>
      <c r="B606" s="1" t="n">
        <v>45730.35026620371</v>
      </c>
      <c r="C606" s="1" t="n">
        <v>46070</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17545-2025</t>
        </is>
      </c>
      <c r="B607" s="1" t="n">
        <v>45757.60658564815</v>
      </c>
      <c r="C607" s="1" t="n">
        <v>46070</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25094-2023</t>
        </is>
      </c>
      <c r="B608" s="1" t="n">
        <v>45086.3629050926</v>
      </c>
      <c r="C608" s="1" t="n">
        <v>46070</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48360-2025</t>
        </is>
      </c>
      <c r="B609" s="1" t="n">
        <v>45933.66253472222</v>
      </c>
      <c r="C609" s="1" t="n">
        <v>46070</v>
      </c>
      <c r="D609" t="inlineStr">
        <is>
          <t>STOCKHOLMS LÄN</t>
        </is>
      </c>
      <c r="E609" t="inlineStr">
        <is>
          <t>NORRTÄLJE</t>
        </is>
      </c>
      <c r="G609" t="n">
        <v>4.1</v>
      </c>
      <c r="H609" t="n">
        <v>0</v>
      </c>
      <c r="I609" t="n">
        <v>0</v>
      </c>
      <c r="J609" t="n">
        <v>0</v>
      </c>
      <c r="K609" t="n">
        <v>0</v>
      </c>
      <c r="L609" t="n">
        <v>0</v>
      </c>
      <c r="M609" t="n">
        <v>0</v>
      </c>
      <c r="N609" t="n">
        <v>0</v>
      </c>
      <c r="O609" t="n">
        <v>0</v>
      </c>
      <c r="P609" t="n">
        <v>0</v>
      </c>
      <c r="Q609" t="n">
        <v>0</v>
      </c>
      <c r="R609" s="2" t="inlineStr"/>
    </row>
    <row r="610" ht="15" customHeight="1">
      <c r="A610" t="inlineStr">
        <is>
          <t>A 36157-2024</t>
        </is>
      </c>
      <c r="B610" s="1" t="n">
        <v>45534.38240740741</v>
      </c>
      <c r="C610" s="1" t="n">
        <v>46070</v>
      </c>
      <c r="D610" t="inlineStr">
        <is>
          <t>STOCKHOLMS LÄN</t>
        </is>
      </c>
      <c r="E610" t="inlineStr">
        <is>
          <t>NORRTÄLJE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48370-2025</t>
        </is>
      </c>
      <c r="B611" s="1" t="n">
        <v>45933.67854166667</v>
      </c>
      <c r="C611" s="1" t="n">
        <v>46070</v>
      </c>
      <c r="D611" t="inlineStr">
        <is>
          <t>STOCKHOLMS LÄN</t>
        </is>
      </c>
      <c r="E611" t="inlineStr">
        <is>
          <t>NORRTÄLJE</t>
        </is>
      </c>
      <c r="G611" t="n">
        <v>4.5</v>
      </c>
      <c r="H611" t="n">
        <v>0</v>
      </c>
      <c r="I611" t="n">
        <v>0</v>
      </c>
      <c r="J611" t="n">
        <v>0</v>
      </c>
      <c r="K611" t="n">
        <v>0</v>
      </c>
      <c r="L611" t="n">
        <v>0</v>
      </c>
      <c r="M611" t="n">
        <v>0</v>
      </c>
      <c r="N611" t="n">
        <v>0</v>
      </c>
      <c r="O611" t="n">
        <v>0</v>
      </c>
      <c r="P611" t="n">
        <v>0</v>
      </c>
      <c r="Q611" t="n">
        <v>0</v>
      </c>
      <c r="R611" s="2" t="inlineStr"/>
    </row>
    <row r="612" ht="15" customHeight="1">
      <c r="A612" t="inlineStr">
        <is>
          <t>A 48364-2025</t>
        </is>
      </c>
      <c r="B612" s="1" t="n">
        <v>45933.66796296297</v>
      </c>
      <c r="C612" s="1" t="n">
        <v>46070</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47694-2023</t>
        </is>
      </c>
      <c r="B613" s="1" t="n">
        <v>45203.63303240741</v>
      </c>
      <c r="C613" s="1" t="n">
        <v>46070</v>
      </c>
      <c r="D613" t="inlineStr">
        <is>
          <t>STOCKHOLMS LÄN</t>
        </is>
      </c>
      <c r="E613" t="inlineStr">
        <is>
          <t>NORRTÄLJE</t>
        </is>
      </c>
      <c r="G613" t="n">
        <v>5.2</v>
      </c>
      <c r="H613" t="n">
        <v>0</v>
      </c>
      <c r="I613" t="n">
        <v>0</v>
      </c>
      <c r="J613" t="n">
        <v>0</v>
      </c>
      <c r="K613" t="n">
        <v>0</v>
      </c>
      <c r="L613" t="n">
        <v>0</v>
      </c>
      <c r="M613" t="n">
        <v>0</v>
      </c>
      <c r="N613" t="n">
        <v>0</v>
      </c>
      <c r="O613" t="n">
        <v>0</v>
      </c>
      <c r="P613" t="n">
        <v>0</v>
      </c>
      <c r="Q613" t="n">
        <v>0</v>
      </c>
      <c r="R613" s="2" t="inlineStr"/>
    </row>
    <row r="614" ht="15" customHeight="1">
      <c r="A614" t="inlineStr">
        <is>
          <t>A 35532-2024</t>
        </is>
      </c>
      <c r="B614" s="1" t="n">
        <v>45531</v>
      </c>
      <c r="C614" s="1" t="n">
        <v>46070</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1654-2025</t>
        </is>
      </c>
      <c r="B615" s="1" t="n">
        <v>45670.65921296296</v>
      </c>
      <c r="C615" s="1" t="n">
        <v>46070</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62644-2023</t>
        </is>
      </c>
      <c r="B616" s="1" t="n">
        <v>45271</v>
      </c>
      <c r="C616" s="1" t="n">
        <v>46070</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48174-2025</t>
        </is>
      </c>
      <c r="B617" s="1" t="n">
        <v>45933.44230324074</v>
      </c>
      <c r="C617" s="1" t="n">
        <v>46070</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35110-2025</t>
        </is>
      </c>
      <c r="B618" s="1" t="n">
        <v>45852.58030092593</v>
      </c>
      <c r="C618" s="1" t="n">
        <v>46070</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48127-2025</t>
        </is>
      </c>
      <c r="B619" s="1" t="n">
        <v>45933.36621527778</v>
      </c>
      <c r="C619" s="1" t="n">
        <v>46070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48179-2025</t>
        </is>
      </c>
      <c r="B620" s="1" t="n">
        <v>45933.44907407407</v>
      </c>
      <c r="C620" s="1" t="n">
        <v>46070</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35254-2025</t>
        </is>
      </c>
      <c r="B621" s="1" t="n">
        <v>45853</v>
      </c>
      <c r="C621" s="1" t="n">
        <v>46070</v>
      </c>
      <c r="D621" t="inlineStr">
        <is>
          <t>STOCKHOLMS LÄN</t>
        </is>
      </c>
      <c r="E621" t="inlineStr">
        <is>
          <t>NORRTÄLJE</t>
        </is>
      </c>
      <c r="G621" t="n">
        <v>6.5</v>
      </c>
      <c r="H621" t="n">
        <v>0</v>
      </c>
      <c r="I621" t="n">
        <v>0</v>
      </c>
      <c r="J621" t="n">
        <v>0</v>
      </c>
      <c r="K621" t="n">
        <v>0</v>
      </c>
      <c r="L621" t="n">
        <v>0</v>
      </c>
      <c r="M621" t="n">
        <v>0</v>
      </c>
      <c r="N621" t="n">
        <v>0</v>
      </c>
      <c r="O621" t="n">
        <v>0</v>
      </c>
      <c r="P621" t="n">
        <v>0</v>
      </c>
      <c r="Q621" t="n">
        <v>0</v>
      </c>
      <c r="R621" s="2" t="inlineStr"/>
    </row>
    <row r="622" ht="15" customHeight="1">
      <c r="A622" t="inlineStr">
        <is>
          <t>A 11229-2022</t>
        </is>
      </c>
      <c r="B622" s="1" t="n">
        <v>44629</v>
      </c>
      <c r="C622" s="1" t="n">
        <v>46070</v>
      </c>
      <c r="D622" t="inlineStr">
        <is>
          <t>STOCKHOLMS LÄN</t>
        </is>
      </c>
      <c r="E622" t="inlineStr">
        <is>
          <t>NORRTÄLJE</t>
        </is>
      </c>
      <c r="F622" t="inlineStr">
        <is>
          <t>Övriga Aktiebolag</t>
        </is>
      </c>
      <c r="G622" t="n">
        <v>4.1</v>
      </c>
      <c r="H622" t="n">
        <v>0</v>
      </c>
      <c r="I622" t="n">
        <v>0</v>
      </c>
      <c r="J622" t="n">
        <v>0</v>
      </c>
      <c r="K622" t="n">
        <v>0</v>
      </c>
      <c r="L622" t="n">
        <v>0</v>
      </c>
      <c r="M622" t="n">
        <v>0</v>
      </c>
      <c r="N622" t="n">
        <v>0</v>
      </c>
      <c r="O622" t="n">
        <v>0</v>
      </c>
      <c r="P622" t="n">
        <v>0</v>
      </c>
      <c r="Q622" t="n">
        <v>0</v>
      </c>
      <c r="R622" s="2" t="inlineStr"/>
    </row>
    <row r="623" ht="15" customHeight="1">
      <c r="A623" t="inlineStr">
        <is>
          <t>A 48718-2025</t>
        </is>
      </c>
      <c r="B623" s="1" t="n">
        <v>45936</v>
      </c>
      <c r="C623" s="1" t="n">
        <v>46070</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48593-2025</t>
        </is>
      </c>
      <c r="B624" s="1" t="n">
        <v>45936.4627662037</v>
      </c>
      <c r="C624" s="1" t="n">
        <v>46070</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35479-2025</t>
        </is>
      </c>
      <c r="B625" s="1" t="n">
        <v>45855.69387731481</v>
      </c>
      <c r="C625" s="1" t="n">
        <v>46070</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35451-2025</t>
        </is>
      </c>
      <c r="B626" s="1" t="n">
        <v>45855.57033564815</v>
      </c>
      <c r="C626" s="1" t="n">
        <v>46070</v>
      </c>
      <c r="D626" t="inlineStr">
        <is>
          <t>STOCKHOLMS LÄN</t>
        </is>
      </c>
      <c r="E626" t="inlineStr">
        <is>
          <t>NORRTÄLJE</t>
        </is>
      </c>
      <c r="F626" t="inlineStr">
        <is>
          <t>Holmen skog AB</t>
        </is>
      </c>
      <c r="G626" t="n">
        <v>7.4</v>
      </c>
      <c r="H626" t="n">
        <v>0</v>
      </c>
      <c r="I626" t="n">
        <v>0</v>
      </c>
      <c r="J626" t="n">
        <v>0</v>
      </c>
      <c r="K626" t="n">
        <v>0</v>
      </c>
      <c r="L626" t="n">
        <v>0</v>
      </c>
      <c r="M626" t="n">
        <v>0</v>
      </c>
      <c r="N626" t="n">
        <v>0</v>
      </c>
      <c r="O626" t="n">
        <v>0</v>
      </c>
      <c r="P626" t="n">
        <v>0</v>
      </c>
      <c r="Q626" t="n">
        <v>0</v>
      </c>
      <c r="R626" s="2" t="inlineStr"/>
    </row>
    <row r="627" ht="15" customHeight="1">
      <c r="A627" t="inlineStr">
        <is>
          <t>A 35478-2025</t>
        </is>
      </c>
      <c r="B627" s="1" t="n">
        <v>45855.68413194444</v>
      </c>
      <c r="C627" s="1" t="n">
        <v>46070</v>
      </c>
      <c r="D627" t="inlineStr">
        <is>
          <t>STOCKHOLMS LÄN</t>
        </is>
      </c>
      <c r="E627" t="inlineStr">
        <is>
          <t>NORRTÄLJE</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48443-2025</t>
        </is>
      </c>
      <c r="B628" s="1" t="n">
        <v>45935.55326388889</v>
      </c>
      <c r="C628" s="1" t="n">
        <v>46070</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57353-2024</t>
        </is>
      </c>
      <c r="B629" s="1" t="n">
        <v>45629.65143518519</v>
      </c>
      <c r="C629" s="1" t="n">
        <v>46070</v>
      </c>
      <c r="D629" t="inlineStr">
        <is>
          <t>STOCKHOLMS LÄN</t>
        </is>
      </c>
      <c r="E629" t="inlineStr">
        <is>
          <t>NORRTÄLJE</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48587-2023</t>
        </is>
      </c>
      <c r="B630" s="1" t="n">
        <v>45208</v>
      </c>
      <c r="C630" s="1" t="n">
        <v>46070</v>
      </c>
      <c r="D630" t="inlineStr">
        <is>
          <t>STOCKHOLMS LÄN</t>
        </is>
      </c>
      <c r="E630" t="inlineStr">
        <is>
          <t>NORRTÄLJE</t>
        </is>
      </c>
      <c r="G630" t="n">
        <v>7</v>
      </c>
      <c r="H630" t="n">
        <v>0</v>
      </c>
      <c r="I630" t="n">
        <v>0</v>
      </c>
      <c r="J630" t="n">
        <v>0</v>
      </c>
      <c r="K630" t="n">
        <v>0</v>
      </c>
      <c r="L630" t="n">
        <v>0</v>
      </c>
      <c r="M630" t="n">
        <v>0</v>
      </c>
      <c r="N630" t="n">
        <v>0</v>
      </c>
      <c r="O630" t="n">
        <v>0</v>
      </c>
      <c r="P630" t="n">
        <v>0</v>
      </c>
      <c r="Q630" t="n">
        <v>0</v>
      </c>
      <c r="R630" s="2" t="inlineStr"/>
    </row>
    <row r="631" ht="15" customHeight="1">
      <c r="A631" t="inlineStr">
        <is>
          <t>A 2549-2022</t>
        </is>
      </c>
      <c r="B631" s="1" t="n">
        <v>44580</v>
      </c>
      <c r="C631" s="1" t="n">
        <v>46070</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4438-2023</t>
        </is>
      </c>
      <c r="B632" s="1" t="n">
        <v>44956</v>
      </c>
      <c r="C632" s="1" t="n">
        <v>46070</v>
      </c>
      <c r="D632" t="inlineStr">
        <is>
          <t>STOCKHOLMS LÄN</t>
        </is>
      </c>
      <c r="E632" t="inlineStr">
        <is>
          <t>NORRTÄLJE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47758-2023</t>
        </is>
      </c>
      <c r="B633" s="1" t="n">
        <v>45203.83891203703</v>
      </c>
      <c r="C633" s="1" t="n">
        <v>46070</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48780-2025</t>
        </is>
      </c>
      <c r="B634" s="1" t="n">
        <v>45937.30377314815</v>
      </c>
      <c r="C634" s="1" t="n">
        <v>46070</v>
      </c>
      <c r="D634" t="inlineStr">
        <is>
          <t>STOCKHOLMS LÄN</t>
        </is>
      </c>
      <c r="E634" t="inlineStr">
        <is>
          <t>NORRTÄLJE</t>
        </is>
      </c>
      <c r="G634" t="n">
        <v>7.7</v>
      </c>
      <c r="H634" t="n">
        <v>0</v>
      </c>
      <c r="I634" t="n">
        <v>0</v>
      </c>
      <c r="J634" t="n">
        <v>0</v>
      </c>
      <c r="K634" t="n">
        <v>0</v>
      </c>
      <c r="L634" t="n">
        <v>0</v>
      </c>
      <c r="M634" t="n">
        <v>0</v>
      </c>
      <c r="N634" t="n">
        <v>0</v>
      </c>
      <c r="O634" t="n">
        <v>0</v>
      </c>
      <c r="P634" t="n">
        <v>0</v>
      </c>
      <c r="Q634" t="n">
        <v>0</v>
      </c>
      <c r="R634" s="2" t="inlineStr"/>
    </row>
    <row r="635" ht="15" customHeight="1">
      <c r="A635" t="inlineStr">
        <is>
          <t>A 51061-2023</t>
        </is>
      </c>
      <c r="B635" s="1" t="n">
        <v>45218.65849537037</v>
      </c>
      <c r="C635" s="1" t="n">
        <v>46070</v>
      </c>
      <c r="D635" t="inlineStr">
        <is>
          <t>STOCKHOLMS LÄN</t>
        </is>
      </c>
      <c r="E635" t="inlineStr">
        <is>
          <t>NORRTÄLJE</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22697-2022</t>
        </is>
      </c>
      <c r="B636" s="1" t="n">
        <v>44714.56040509259</v>
      </c>
      <c r="C636" s="1" t="n">
        <v>46070</v>
      </c>
      <c r="D636" t="inlineStr">
        <is>
          <t>STOCKHOLMS LÄN</t>
        </is>
      </c>
      <c r="E636" t="inlineStr">
        <is>
          <t>NORRTÄLJE</t>
        </is>
      </c>
      <c r="G636" t="n">
        <v>5.6</v>
      </c>
      <c r="H636" t="n">
        <v>0</v>
      </c>
      <c r="I636" t="n">
        <v>0</v>
      </c>
      <c r="J636" t="n">
        <v>0</v>
      </c>
      <c r="K636" t="n">
        <v>0</v>
      </c>
      <c r="L636" t="n">
        <v>0</v>
      </c>
      <c r="M636" t="n">
        <v>0</v>
      </c>
      <c r="N636" t="n">
        <v>0</v>
      </c>
      <c r="O636" t="n">
        <v>0</v>
      </c>
      <c r="P636" t="n">
        <v>0</v>
      </c>
      <c r="Q636" t="n">
        <v>0</v>
      </c>
      <c r="R636" s="2" t="inlineStr"/>
    </row>
    <row r="637" ht="15" customHeight="1">
      <c r="A637" t="inlineStr">
        <is>
          <t>A 34444-2024</t>
        </is>
      </c>
      <c r="B637" s="1" t="n">
        <v>45525</v>
      </c>
      <c r="C637" s="1" t="n">
        <v>46070</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45549-2022</t>
        </is>
      </c>
      <c r="B638" s="1" t="n">
        <v>44845.48064814815</v>
      </c>
      <c r="C638" s="1" t="n">
        <v>46070</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54396-2021</t>
        </is>
      </c>
      <c r="B639" s="1" t="n">
        <v>44472</v>
      </c>
      <c r="C639" s="1" t="n">
        <v>46070</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24727-2023</t>
        </is>
      </c>
      <c r="B640" s="1" t="n">
        <v>45084.57695601852</v>
      </c>
      <c r="C640" s="1" t="n">
        <v>46070</v>
      </c>
      <c r="D640" t="inlineStr">
        <is>
          <t>STOCKHOLMS LÄN</t>
        </is>
      </c>
      <c r="E640" t="inlineStr">
        <is>
          <t>NORRTÄLJE</t>
        </is>
      </c>
      <c r="F640" t="inlineStr">
        <is>
          <t>Holmen skog AB</t>
        </is>
      </c>
      <c r="G640" t="n">
        <v>2.2</v>
      </c>
      <c r="H640" t="n">
        <v>0</v>
      </c>
      <c r="I640" t="n">
        <v>0</v>
      </c>
      <c r="J640" t="n">
        <v>0</v>
      </c>
      <c r="K640" t="n">
        <v>0</v>
      </c>
      <c r="L640" t="n">
        <v>0</v>
      </c>
      <c r="M640" t="n">
        <v>0</v>
      </c>
      <c r="N640" t="n">
        <v>0</v>
      </c>
      <c r="O640" t="n">
        <v>0</v>
      </c>
      <c r="P640" t="n">
        <v>0</v>
      </c>
      <c r="Q640" t="n">
        <v>0</v>
      </c>
      <c r="R640" s="2" t="inlineStr"/>
    </row>
    <row r="641" ht="15" customHeight="1">
      <c r="A641" t="inlineStr">
        <is>
          <t>A 20698-2025</t>
        </is>
      </c>
      <c r="B641" s="1" t="n">
        <v>45776.47122685185</v>
      </c>
      <c r="C641" s="1" t="n">
        <v>46070</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46070</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48722-2023</t>
        </is>
      </c>
      <c r="B643" s="1" t="n">
        <v>45208.70996527778</v>
      </c>
      <c r="C643" s="1" t="n">
        <v>46070</v>
      </c>
      <c r="D643" t="inlineStr">
        <is>
          <t>STOCKHOLMS LÄN</t>
        </is>
      </c>
      <c r="E643" t="inlineStr">
        <is>
          <t>NORRTÄLJE</t>
        </is>
      </c>
      <c r="G643" t="n">
        <v>0.3</v>
      </c>
      <c r="H643" t="n">
        <v>0</v>
      </c>
      <c r="I643" t="n">
        <v>0</v>
      </c>
      <c r="J643" t="n">
        <v>0</v>
      </c>
      <c r="K643" t="n">
        <v>0</v>
      </c>
      <c r="L643" t="n">
        <v>0</v>
      </c>
      <c r="M643" t="n">
        <v>0</v>
      </c>
      <c r="N643" t="n">
        <v>0</v>
      </c>
      <c r="O643" t="n">
        <v>0</v>
      </c>
      <c r="P643" t="n">
        <v>0</v>
      </c>
      <c r="Q643" t="n">
        <v>0</v>
      </c>
      <c r="R643" s="2" t="inlineStr"/>
    </row>
    <row r="644" ht="15" customHeight="1">
      <c r="A644" t="inlineStr">
        <is>
          <t>A 35235-2024</t>
        </is>
      </c>
      <c r="B644" s="1" t="n">
        <v>45530</v>
      </c>
      <c r="C644" s="1" t="n">
        <v>46070</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1448-2023</t>
        </is>
      </c>
      <c r="B645" s="1" t="n">
        <v>44937</v>
      </c>
      <c r="C645" s="1" t="n">
        <v>46070</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22232-2024</t>
        </is>
      </c>
      <c r="B646" s="1" t="n">
        <v>45446.4287962963</v>
      </c>
      <c r="C646" s="1" t="n">
        <v>46070</v>
      </c>
      <c r="D646" t="inlineStr">
        <is>
          <t>STOCKHOLMS LÄN</t>
        </is>
      </c>
      <c r="E646" t="inlineStr">
        <is>
          <t>NORRTÄLJE</t>
        </is>
      </c>
      <c r="G646" t="n">
        <v>12.8</v>
      </c>
      <c r="H646" t="n">
        <v>0</v>
      </c>
      <c r="I646" t="n">
        <v>0</v>
      </c>
      <c r="J646" t="n">
        <v>0</v>
      </c>
      <c r="K646" t="n">
        <v>0</v>
      </c>
      <c r="L646" t="n">
        <v>0</v>
      </c>
      <c r="M646" t="n">
        <v>0</v>
      </c>
      <c r="N646" t="n">
        <v>0</v>
      </c>
      <c r="O646" t="n">
        <v>0</v>
      </c>
      <c r="P646" t="n">
        <v>0</v>
      </c>
      <c r="Q646" t="n">
        <v>0</v>
      </c>
      <c r="R646" s="2" t="inlineStr"/>
    </row>
    <row r="647" ht="15" customHeight="1">
      <c r="A647" t="inlineStr">
        <is>
          <t>A 8736-2024</t>
        </is>
      </c>
      <c r="B647" s="1" t="n">
        <v>45356.4722800926</v>
      </c>
      <c r="C647" s="1" t="n">
        <v>46070</v>
      </c>
      <c r="D647" t="inlineStr">
        <is>
          <t>STOCKHOLMS LÄN</t>
        </is>
      </c>
      <c r="E647" t="inlineStr">
        <is>
          <t>NORRTÄLJE</t>
        </is>
      </c>
      <c r="G647" t="n">
        <v>8.9</v>
      </c>
      <c r="H647" t="n">
        <v>0</v>
      </c>
      <c r="I647" t="n">
        <v>0</v>
      </c>
      <c r="J647" t="n">
        <v>0</v>
      </c>
      <c r="K647" t="n">
        <v>0</v>
      </c>
      <c r="L647" t="n">
        <v>0</v>
      </c>
      <c r="M647" t="n">
        <v>0</v>
      </c>
      <c r="N647" t="n">
        <v>0</v>
      </c>
      <c r="O647" t="n">
        <v>0</v>
      </c>
      <c r="P647" t="n">
        <v>0</v>
      </c>
      <c r="Q647" t="n">
        <v>0</v>
      </c>
      <c r="R647" s="2" t="inlineStr"/>
    </row>
    <row r="648" ht="15" customHeight="1">
      <c r="A648" t="inlineStr">
        <is>
          <t>A 5934-2026</t>
        </is>
      </c>
      <c r="B648" s="1" t="n">
        <v>46052.47082175926</v>
      </c>
      <c r="C648" s="1" t="n">
        <v>46070</v>
      </c>
      <c r="D648" t="inlineStr">
        <is>
          <t>STOCKHOLMS LÄN</t>
        </is>
      </c>
      <c r="E648" t="inlineStr">
        <is>
          <t>NORRTÄLJE</t>
        </is>
      </c>
      <c r="F648" t="inlineStr">
        <is>
          <t>Holmen skog AB</t>
        </is>
      </c>
      <c r="G648" t="n">
        <v>5.5</v>
      </c>
      <c r="H648" t="n">
        <v>0</v>
      </c>
      <c r="I648" t="n">
        <v>0</v>
      </c>
      <c r="J648" t="n">
        <v>0</v>
      </c>
      <c r="K648" t="n">
        <v>0</v>
      </c>
      <c r="L648" t="n">
        <v>0</v>
      </c>
      <c r="M648" t="n">
        <v>0</v>
      </c>
      <c r="N648" t="n">
        <v>0</v>
      </c>
      <c r="O648" t="n">
        <v>0</v>
      </c>
      <c r="P648" t="n">
        <v>0</v>
      </c>
      <c r="Q648" t="n">
        <v>0</v>
      </c>
      <c r="R648" s="2" t="inlineStr"/>
    </row>
    <row r="649" ht="15" customHeight="1">
      <c r="A649" t="inlineStr">
        <is>
          <t>A 36396-2025</t>
        </is>
      </c>
      <c r="B649" s="1" t="n">
        <v>45868.62267361111</v>
      </c>
      <c r="C649" s="1" t="n">
        <v>46070</v>
      </c>
      <c r="D649" t="inlineStr">
        <is>
          <t>STOCKHOLMS LÄN</t>
        </is>
      </c>
      <c r="E649" t="inlineStr">
        <is>
          <t>NORRTÄLJE</t>
        </is>
      </c>
      <c r="G649" t="n">
        <v>4.1</v>
      </c>
      <c r="H649" t="n">
        <v>0</v>
      </c>
      <c r="I649" t="n">
        <v>0</v>
      </c>
      <c r="J649" t="n">
        <v>0</v>
      </c>
      <c r="K649" t="n">
        <v>0</v>
      </c>
      <c r="L649" t="n">
        <v>0</v>
      </c>
      <c r="M649" t="n">
        <v>0</v>
      </c>
      <c r="N649" t="n">
        <v>0</v>
      </c>
      <c r="O649" t="n">
        <v>0</v>
      </c>
      <c r="P649" t="n">
        <v>0</v>
      </c>
      <c r="Q649" t="n">
        <v>0</v>
      </c>
      <c r="R649" s="2" t="inlineStr"/>
    </row>
    <row r="650" ht="15" customHeight="1">
      <c r="A650" t="inlineStr">
        <is>
          <t>A 33149-2022</t>
        </is>
      </c>
      <c r="B650" s="1" t="n">
        <v>44785</v>
      </c>
      <c r="C650" s="1" t="n">
        <v>46070</v>
      </c>
      <c r="D650" t="inlineStr">
        <is>
          <t>STOCKHOLMS LÄN</t>
        </is>
      </c>
      <c r="E650" t="inlineStr">
        <is>
          <t>NORRTÄLJE</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50097-2025</t>
        </is>
      </c>
      <c r="B651" s="1" t="n">
        <v>45943.50207175926</v>
      </c>
      <c r="C651" s="1" t="n">
        <v>46070</v>
      </c>
      <c r="D651" t="inlineStr">
        <is>
          <t>STOCKHOLMS LÄN</t>
        </is>
      </c>
      <c r="E651" t="inlineStr">
        <is>
          <t>NORRTÄLJE</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49836-2025</t>
        </is>
      </c>
      <c r="B652" s="1" t="n">
        <v>45940.46862268518</v>
      </c>
      <c r="C652" s="1" t="n">
        <v>46070</v>
      </c>
      <c r="D652" t="inlineStr">
        <is>
          <t>STOCKHOLMS LÄN</t>
        </is>
      </c>
      <c r="E652" t="inlineStr">
        <is>
          <t>NORRTÄLJE</t>
        </is>
      </c>
      <c r="G652" t="n">
        <v>3.5</v>
      </c>
      <c r="H652" t="n">
        <v>0</v>
      </c>
      <c r="I652" t="n">
        <v>0</v>
      </c>
      <c r="J652" t="n">
        <v>0</v>
      </c>
      <c r="K652" t="n">
        <v>0</v>
      </c>
      <c r="L652" t="n">
        <v>0</v>
      </c>
      <c r="M652" t="n">
        <v>0</v>
      </c>
      <c r="N652" t="n">
        <v>0</v>
      </c>
      <c r="O652" t="n">
        <v>0</v>
      </c>
      <c r="P652" t="n">
        <v>0</v>
      </c>
      <c r="Q652" t="n">
        <v>0</v>
      </c>
      <c r="R652" s="2" t="inlineStr"/>
    </row>
    <row r="653" ht="15" customHeight="1">
      <c r="A653" t="inlineStr">
        <is>
          <t>A 50327-2025</t>
        </is>
      </c>
      <c r="B653" s="1" t="n">
        <v>45944.46387731482</v>
      </c>
      <c r="C653" s="1" t="n">
        <v>46070</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50563-2025</t>
        </is>
      </c>
      <c r="B654" s="1" t="n">
        <v>45944</v>
      </c>
      <c r="C654" s="1" t="n">
        <v>46070</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50333-2025</t>
        </is>
      </c>
      <c r="B655" s="1" t="n">
        <v>45944.47178240741</v>
      </c>
      <c r="C655" s="1" t="n">
        <v>46070</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51122-2025</t>
        </is>
      </c>
      <c r="B656" s="1" t="n">
        <v>45947.53693287037</v>
      </c>
      <c r="C656" s="1" t="n">
        <v>46070</v>
      </c>
      <c r="D656" t="inlineStr">
        <is>
          <t>STOCKHOLMS LÄN</t>
        </is>
      </c>
      <c r="E656" t="inlineStr">
        <is>
          <t>NORRTÄLJE</t>
        </is>
      </c>
      <c r="G656" t="n">
        <v>3.8</v>
      </c>
      <c r="H656" t="n">
        <v>0</v>
      </c>
      <c r="I656" t="n">
        <v>0</v>
      </c>
      <c r="J656" t="n">
        <v>0</v>
      </c>
      <c r="K656" t="n">
        <v>0</v>
      </c>
      <c r="L656" t="n">
        <v>0</v>
      </c>
      <c r="M656" t="n">
        <v>0</v>
      </c>
      <c r="N656" t="n">
        <v>0</v>
      </c>
      <c r="O656" t="n">
        <v>0</v>
      </c>
      <c r="P656" t="n">
        <v>0</v>
      </c>
      <c r="Q656" t="n">
        <v>0</v>
      </c>
      <c r="R656" s="2" t="inlineStr"/>
    </row>
    <row r="657" ht="15" customHeight="1">
      <c r="A657" t="inlineStr">
        <is>
          <t>A 51233-2025</t>
        </is>
      </c>
      <c r="B657" s="1" t="n">
        <v>45947.68232638889</v>
      </c>
      <c r="C657" s="1" t="n">
        <v>46070</v>
      </c>
      <c r="D657" t="inlineStr">
        <is>
          <t>STOCKHOLMS LÄN</t>
        </is>
      </c>
      <c r="E657" t="inlineStr">
        <is>
          <t>NORRTÄLJE</t>
        </is>
      </c>
      <c r="F657" t="inlineStr">
        <is>
          <t>Naturvårdsverket</t>
        </is>
      </c>
      <c r="G657" t="n">
        <v>8.1</v>
      </c>
      <c r="H657" t="n">
        <v>0</v>
      </c>
      <c r="I657" t="n">
        <v>0</v>
      </c>
      <c r="J657" t="n">
        <v>0</v>
      </c>
      <c r="K657" t="n">
        <v>0</v>
      </c>
      <c r="L657" t="n">
        <v>0</v>
      </c>
      <c r="M657" t="n">
        <v>0</v>
      </c>
      <c r="N657" t="n">
        <v>0</v>
      </c>
      <c r="O657" t="n">
        <v>0</v>
      </c>
      <c r="P657" t="n">
        <v>0</v>
      </c>
      <c r="Q657" t="n">
        <v>0</v>
      </c>
      <c r="R657" s="2" t="inlineStr"/>
    </row>
    <row r="658" ht="15" customHeight="1">
      <c r="A658" t="inlineStr">
        <is>
          <t>A 51236-2025</t>
        </is>
      </c>
      <c r="B658" s="1" t="n">
        <v>45947.69078703703</v>
      </c>
      <c r="C658" s="1" t="n">
        <v>46070</v>
      </c>
      <c r="D658" t="inlineStr">
        <is>
          <t>STOCKHOLMS LÄN</t>
        </is>
      </c>
      <c r="E658" t="inlineStr">
        <is>
          <t>NORRTÄLJE</t>
        </is>
      </c>
      <c r="F658" t="inlineStr">
        <is>
          <t>Naturvårdsverket</t>
        </is>
      </c>
      <c r="G658" t="n">
        <v>6.3</v>
      </c>
      <c r="H658" t="n">
        <v>0</v>
      </c>
      <c r="I658" t="n">
        <v>0</v>
      </c>
      <c r="J658" t="n">
        <v>0</v>
      </c>
      <c r="K658" t="n">
        <v>0</v>
      </c>
      <c r="L658" t="n">
        <v>0</v>
      </c>
      <c r="M658" t="n">
        <v>0</v>
      </c>
      <c r="N658" t="n">
        <v>0</v>
      </c>
      <c r="O658" t="n">
        <v>0</v>
      </c>
      <c r="P658" t="n">
        <v>0</v>
      </c>
      <c r="Q658" t="n">
        <v>0</v>
      </c>
      <c r="R658" s="2" t="inlineStr"/>
    </row>
    <row r="659" ht="15" customHeight="1">
      <c r="A659" t="inlineStr">
        <is>
          <t>A 51241-2025</t>
        </is>
      </c>
      <c r="B659" s="1" t="n">
        <v>45947.71726851852</v>
      </c>
      <c r="C659" s="1" t="n">
        <v>46070</v>
      </c>
      <c r="D659" t="inlineStr">
        <is>
          <t>STOCKHOLMS LÄN</t>
        </is>
      </c>
      <c r="E659" t="inlineStr">
        <is>
          <t>NORRTÄLJE</t>
        </is>
      </c>
      <c r="F659" t="inlineStr">
        <is>
          <t>Naturvårdsverket</t>
        </is>
      </c>
      <c r="G659" t="n">
        <v>6.4</v>
      </c>
      <c r="H659" t="n">
        <v>0</v>
      </c>
      <c r="I659" t="n">
        <v>0</v>
      </c>
      <c r="J659" t="n">
        <v>0</v>
      </c>
      <c r="K659" t="n">
        <v>0</v>
      </c>
      <c r="L659" t="n">
        <v>0</v>
      </c>
      <c r="M659" t="n">
        <v>0</v>
      </c>
      <c r="N659" t="n">
        <v>0</v>
      </c>
      <c r="O659" t="n">
        <v>0</v>
      </c>
      <c r="P659" t="n">
        <v>0</v>
      </c>
      <c r="Q659" t="n">
        <v>0</v>
      </c>
      <c r="R659" s="2" t="inlineStr"/>
    </row>
    <row r="660" ht="15" customHeight="1">
      <c r="A660" t="inlineStr">
        <is>
          <t>A 51240-2025</t>
        </is>
      </c>
      <c r="B660" s="1" t="n">
        <v>45947.70420138889</v>
      </c>
      <c r="C660" s="1" t="n">
        <v>46070</v>
      </c>
      <c r="D660" t="inlineStr">
        <is>
          <t>STOCKHOLMS LÄN</t>
        </is>
      </c>
      <c r="E660" t="inlineStr">
        <is>
          <t>NORRTÄLJE</t>
        </is>
      </c>
      <c r="F660" t="inlineStr">
        <is>
          <t>Naturvårdsverket</t>
        </is>
      </c>
      <c r="G660" t="n">
        <v>3</v>
      </c>
      <c r="H660" t="n">
        <v>0</v>
      </c>
      <c r="I660" t="n">
        <v>0</v>
      </c>
      <c r="J660" t="n">
        <v>0</v>
      </c>
      <c r="K660" t="n">
        <v>0</v>
      </c>
      <c r="L660" t="n">
        <v>0</v>
      </c>
      <c r="M660" t="n">
        <v>0</v>
      </c>
      <c r="N660" t="n">
        <v>0</v>
      </c>
      <c r="O660" t="n">
        <v>0</v>
      </c>
      <c r="P660" t="n">
        <v>0</v>
      </c>
      <c r="Q660" t="n">
        <v>0</v>
      </c>
      <c r="R660" s="2" t="inlineStr"/>
    </row>
    <row r="661" ht="15" customHeight="1">
      <c r="A661" t="inlineStr">
        <is>
          <t>A 51121-2025</t>
        </is>
      </c>
      <c r="B661" s="1" t="n">
        <v>45947.53293981482</v>
      </c>
      <c r="C661" s="1" t="n">
        <v>46070</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4549-2026</t>
        </is>
      </c>
      <c r="B662" s="1" t="n">
        <v>46047</v>
      </c>
      <c r="C662" s="1" t="n">
        <v>46070</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37261-2025</t>
        </is>
      </c>
      <c r="B663" s="1" t="n">
        <v>45876.45253472222</v>
      </c>
      <c r="C663" s="1" t="n">
        <v>46070</v>
      </c>
      <c r="D663" t="inlineStr">
        <is>
          <t>STOCKHOLMS LÄN</t>
        </is>
      </c>
      <c r="E663" t="inlineStr">
        <is>
          <t>NORRTÄLJE</t>
        </is>
      </c>
      <c r="F663" t="inlineStr">
        <is>
          <t>Kommuner</t>
        </is>
      </c>
      <c r="G663" t="n">
        <v>2.2</v>
      </c>
      <c r="H663" t="n">
        <v>0</v>
      </c>
      <c r="I663" t="n">
        <v>0</v>
      </c>
      <c r="J663" t="n">
        <v>0</v>
      </c>
      <c r="K663" t="n">
        <v>0</v>
      </c>
      <c r="L663" t="n">
        <v>0</v>
      </c>
      <c r="M663" t="n">
        <v>0</v>
      </c>
      <c r="N663" t="n">
        <v>0</v>
      </c>
      <c r="O663" t="n">
        <v>0</v>
      </c>
      <c r="P663" t="n">
        <v>0</v>
      </c>
      <c r="Q663" t="n">
        <v>0</v>
      </c>
      <c r="R663" s="2" t="inlineStr"/>
    </row>
    <row r="664" ht="15" customHeight="1">
      <c r="A664" t="inlineStr">
        <is>
          <t>A 59477-2025</t>
        </is>
      </c>
      <c r="B664" s="1" t="n">
        <v>45989.58679398148</v>
      </c>
      <c r="C664" s="1" t="n">
        <v>46070</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6701-2026</t>
        </is>
      </c>
      <c r="B665" s="1" t="n">
        <v>46056.64357638889</v>
      </c>
      <c r="C665" s="1" t="n">
        <v>46070</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6724-2026</t>
        </is>
      </c>
      <c r="B666" s="1" t="n">
        <v>46056.67717592593</v>
      </c>
      <c r="C666" s="1" t="n">
        <v>46070</v>
      </c>
      <c r="D666" t="inlineStr">
        <is>
          <t>STOCKHOLMS LÄN</t>
        </is>
      </c>
      <c r="E666" t="inlineStr">
        <is>
          <t>NORRTÄLJE</t>
        </is>
      </c>
      <c r="F666" t="inlineStr">
        <is>
          <t>Holmen skog AB</t>
        </is>
      </c>
      <c r="G666" t="n">
        <v>16.2</v>
      </c>
      <c r="H666" t="n">
        <v>0</v>
      </c>
      <c r="I666" t="n">
        <v>0</v>
      </c>
      <c r="J666" t="n">
        <v>0</v>
      </c>
      <c r="K666" t="n">
        <v>0</v>
      </c>
      <c r="L666" t="n">
        <v>0</v>
      </c>
      <c r="M666" t="n">
        <v>0</v>
      </c>
      <c r="N666" t="n">
        <v>0</v>
      </c>
      <c r="O666" t="n">
        <v>0</v>
      </c>
      <c r="P666" t="n">
        <v>0</v>
      </c>
      <c r="Q666" t="n">
        <v>0</v>
      </c>
      <c r="R666" s="2" t="inlineStr"/>
    </row>
    <row r="667" ht="15" customHeight="1">
      <c r="A667" t="inlineStr">
        <is>
          <t>A 6838-2026</t>
        </is>
      </c>
      <c r="B667" s="1" t="n">
        <v>46057.41151620371</v>
      </c>
      <c r="C667" s="1" t="n">
        <v>46070</v>
      </c>
      <c r="D667" t="inlineStr">
        <is>
          <t>STOCKHOLMS LÄN</t>
        </is>
      </c>
      <c r="E667" t="inlineStr">
        <is>
          <t>NORRTÄLJE</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6537-2024</t>
        </is>
      </c>
      <c r="B668" s="1" t="n">
        <v>45341.39853009259</v>
      </c>
      <c r="C668" s="1" t="n">
        <v>46070</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6532-2026</t>
        </is>
      </c>
      <c r="B669" s="1" t="n">
        <v>46056.41300925926</v>
      </c>
      <c r="C669" s="1" t="n">
        <v>46070</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40175-2024</t>
        </is>
      </c>
      <c r="B670" s="1" t="n">
        <v>45554.55707175926</v>
      </c>
      <c r="C670" s="1" t="n">
        <v>46070</v>
      </c>
      <c r="D670" t="inlineStr">
        <is>
          <t>STOCKHOLMS LÄN</t>
        </is>
      </c>
      <c r="E670" t="inlineStr">
        <is>
          <t>NORRTÄLJE</t>
        </is>
      </c>
      <c r="G670" t="n">
        <v>7.7</v>
      </c>
      <c r="H670" t="n">
        <v>0</v>
      </c>
      <c r="I670" t="n">
        <v>0</v>
      </c>
      <c r="J670" t="n">
        <v>0</v>
      </c>
      <c r="K670" t="n">
        <v>0</v>
      </c>
      <c r="L670" t="n">
        <v>0</v>
      </c>
      <c r="M670" t="n">
        <v>0</v>
      </c>
      <c r="N670" t="n">
        <v>0</v>
      </c>
      <c r="O670" t="n">
        <v>0</v>
      </c>
      <c r="P670" t="n">
        <v>0</v>
      </c>
      <c r="Q670" t="n">
        <v>0</v>
      </c>
      <c r="R670" s="2" t="inlineStr"/>
    </row>
    <row r="671" ht="15" customHeight="1">
      <c r="A671" t="inlineStr">
        <is>
          <t>A 54558-2024</t>
        </is>
      </c>
      <c r="B671" s="1" t="n">
        <v>45617.62358796296</v>
      </c>
      <c r="C671" s="1" t="n">
        <v>46070</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51532-2025</t>
        </is>
      </c>
      <c r="B672" s="1" t="n">
        <v>45950.68297453703</v>
      </c>
      <c r="C672" s="1" t="n">
        <v>46070</v>
      </c>
      <c r="D672" t="inlineStr">
        <is>
          <t>STOCKHOLMS LÄN</t>
        </is>
      </c>
      <c r="E672" t="inlineStr">
        <is>
          <t>NORRTÄLJE</t>
        </is>
      </c>
      <c r="F672" t="inlineStr">
        <is>
          <t>Naturvårdsverket</t>
        </is>
      </c>
      <c r="G672" t="n">
        <v>17.3</v>
      </c>
      <c r="H672" t="n">
        <v>0</v>
      </c>
      <c r="I672" t="n">
        <v>0</v>
      </c>
      <c r="J672" t="n">
        <v>0</v>
      </c>
      <c r="K672" t="n">
        <v>0</v>
      </c>
      <c r="L672" t="n">
        <v>0</v>
      </c>
      <c r="M672" t="n">
        <v>0</v>
      </c>
      <c r="N672" t="n">
        <v>0</v>
      </c>
      <c r="O672" t="n">
        <v>0</v>
      </c>
      <c r="P672" t="n">
        <v>0</v>
      </c>
      <c r="Q672" t="n">
        <v>0</v>
      </c>
      <c r="R672" s="2" t="inlineStr"/>
    </row>
    <row r="673" ht="15" customHeight="1">
      <c r="A673" t="inlineStr">
        <is>
          <t>A 51789-2025</t>
        </is>
      </c>
      <c r="B673" s="1" t="n">
        <v>45951.68046296296</v>
      </c>
      <c r="C673" s="1" t="n">
        <v>46070</v>
      </c>
      <c r="D673" t="inlineStr">
        <is>
          <t>STOCKHOLMS LÄN</t>
        </is>
      </c>
      <c r="E673" t="inlineStr">
        <is>
          <t>NORRTÄLJE</t>
        </is>
      </c>
      <c r="F673" t="inlineStr">
        <is>
          <t>Naturvårdsverket</t>
        </is>
      </c>
      <c r="G673" t="n">
        <v>8.9</v>
      </c>
      <c r="H673" t="n">
        <v>0</v>
      </c>
      <c r="I673" t="n">
        <v>0</v>
      </c>
      <c r="J673" t="n">
        <v>0</v>
      </c>
      <c r="K673" t="n">
        <v>0</v>
      </c>
      <c r="L673" t="n">
        <v>0</v>
      </c>
      <c r="M673" t="n">
        <v>0</v>
      </c>
      <c r="N673" t="n">
        <v>0</v>
      </c>
      <c r="O673" t="n">
        <v>0</v>
      </c>
      <c r="P673" t="n">
        <v>0</v>
      </c>
      <c r="Q673" t="n">
        <v>0</v>
      </c>
      <c r="R673" s="2" t="inlineStr"/>
    </row>
    <row r="674" ht="15" customHeight="1">
      <c r="A674" t="inlineStr">
        <is>
          <t>A 23056-2023</t>
        </is>
      </c>
      <c r="B674" s="1" t="n">
        <v>45075</v>
      </c>
      <c r="C674" s="1" t="n">
        <v>46070</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47431-2023</t>
        </is>
      </c>
      <c r="B675" s="1" t="n">
        <v>45202</v>
      </c>
      <c r="C675" s="1" t="n">
        <v>46070</v>
      </c>
      <c r="D675" t="inlineStr">
        <is>
          <t>STOCKHOLMS LÄN</t>
        </is>
      </c>
      <c r="E675" t="inlineStr">
        <is>
          <t>NORRTÄLJE</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37628-2025</t>
        </is>
      </c>
      <c r="B676" s="1" t="n">
        <v>45880.46189814815</v>
      </c>
      <c r="C676" s="1" t="n">
        <v>46070</v>
      </c>
      <c r="D676" t="inlineStr">
        <is>
          <t>STOCKHOLMS LÄN</t>
        </is>
      </c>
      <c r="E676" t="inlineStr">
        <is>
          <t>NORRTÄLJE</t>
        </is>
      </c>
      <c r="F676" t="inlineStr">
        <is>
          <t>Sveaskog</t>
        </is>
      </c>
      <c r="G676" t="n">
        <v>2.6</v>
      </c>
      <c r="H676" t="n">
        <v>0</v>
      </c>
      <c r="I676" t="n">
        <v>0</v>
      </c>
      <c r="J676" t="n">
        <v>0</v>
      </c>
      <c r="K676" t="n">
        <v>0</v>
      </c>
      <c r="L676" t="n">
        <v>0</v>
      </c>
      <c r="M676" t="n">
        <v>0</v>
      </c>
      <c r="N676" t="n">
        <v>0</v>
      </c>
      <c r="O676" t="n">
        <v>0</v>
      </c>
      <c r="P676" t="n">
        <v>0</v>
      </c>
      <c r="Q676" t="n">
        <v>0</v>
      </c>
      <c r="R676" s="2" t="inlineStr"/>
    </row>
    <row r="677" ht="15" customHeight="1">
      <c r="A677" t="inlineStr">
        <is>
          <t>A 29369-2024</t>
        </is>
      </c>
      <c r="B677" s="1" t="n">
        <v>45483.57244212963</v>
      </c>
      <c r="C677" s="1" t="n">
        <v>46070</v>
      </c>
      <c r="D677" t="inlineStr">
        <is>
          <t>STOCKHOLMS LÄN</t>
        </is>
      </c>
      <c r="E677" t="inlineStr">
        <is>
          <t>NORRTÄLJE</t>
        </is>
      </c>
      <c r="G677" t="n">
        <v>15.9</v>
      </c>
      <c r="H677" t="n">
        <v>0</v>
      </c>
      <c r="I677" t="n">
        <v>0</v>
      </c>
      <c r="J677" t="n">
        <v>0</v>
      </c>
      <c r="K677" t="n">
        <v>0</v>
      </c>
      <c r="L677" t="n">
        <v>0</v>
      </c>
      <c r="M677" t="n">
        <v>0</v>
      </c>
      <c r="N677" t="n">
        <v>0</v>
      </c>
      <c r="O677" t="n">
        <v>0</v>
      </c>
      <c r="P677" t="n">
        <v>0</v>
      </c>
      <c r="Q677" t="n">
        <v>0</v>
      </c>
      <c r="R677" s="2" t="inlineStr"/>
    </row>
    <row r="678" ht="15" customHeight="1">
      <c r="A678" t="inlineStr">
        <is>
          <t>A 59499-2023</t>
        </is>
      </c>
      <c r="B678" s="1" t="n">
        <v>45254</v>
      </c>
      <c r="C678" s="1" t="n">
        <v>46070</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59468-2023</t>
        </is>
      </c>
      <c r="B679" s="1" t="n">
        <v>45254.41509259259</v>
      </c>
      <c r="C679" s="1" t="n">
        <v>46070</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37632-2025</t>
        </is>
      </c>
      <c r="B680" s="1" t="n">
        <v>45880.46524305556</v>
      </c>
      <c r="C680" s="1" t="n">
        <v>46070</v>
      </c>
      <c r="D680" t="inlineStr">
        <is>
          <t>STOCKHOLMS LÄN</t>
        </is>
      </c>
      <c r="E680" t="inlineStr">
        <is>
          <t>NORRTÄLJE</t>
        </is>
      </c>
      <c r="F680" t="inlineStr">
        <is>
          <t>Sveaskog</t>
        </is>
      </c>
      <c r="G680" t="n">
        <v>6.4</v>
      </c>
      <c r="H680" t="n">
        <v>0</v>
      </c>
      <c r="I680" t="n">
        <v>0</v>
      </c>
      <c r="J680" t="n">
        <v>0</v>
      </c>
      <c r="K680" t="n">
        <v>0</v>
      </c>
      <c r="L680" t="n">
        <v>0</v>
      </c>
      <c r="M680" t="n">
        <v>0</v>
      </c>
      <c r="N680" t="n">
        <v>0</v>
      </c>
      <c r="O680" t="n">
        <v>0</v>
      </c>
      <c r="P680" t="n">
        <v>0</v>
      </c>
      <c r="Q680" t="n">
        <v>0</v>
      </c>
      <c r="R680" s="2" t="inlineStr"/>
    </row>
    <row r="681" ht="15" customHeight="1">
      <c r="A681" t="inlineStr">
        <is>
          <t>A 29841-2024</t>
        </is>
      </c>
      <c r="B681" s="1" t="n">
        <v>45485.60261574074</v>
      </c>
      <c r="C681" s="1" t="n">
        <v>46070</v>
      </c>
      <c r="D681" t="inlineStr">
        <is>
          <t>STOCKHOLMS LÄN</t>
        </is>
      </c>
      <c r="E681" t="inlineStr">
        <is>
          <t>NORRTÄLJE</t>
        </is>
      </c>
      <c r="G681" t="n">
        <v>15.9</v>
      </c>
      <c r="H681" t="n">
        <v>0</v>
      </c>
      <c r="I681" t="n">
        <v>0</v>
      </c>
      <c r="J681" t="n">
        <v>0</v>
      </c>
      <c r="K681" t="n">
        <v>0</v>
      </c>
      <c r="L681" t="n">
        <v>0</v>
      </c>
      <c r="M681" t="n">
        <v>0</v>
      </c>
      <c r="N681" t="n">
        <v>0</v>
      </c>
      <c r="O681" t="n">
        <v>0</v>
      </c>
      <c r="P681" t="n">
        <v>0</v>
      </c>
      <c r="Q681" t="n">
        <v>0</v>
      </c>
      <c r="R681" s="2" t="inlineStr"/>
    </row>
    <row r="682" ht="15" customHeight="1">
      <c r="A682" t="inlineStr">
        <is>
          <t>A 20692-2025</t>
        </is>
      </c>
      <c r="B682" s="1" t="n">
        <v>45776.46369212963</v>
      </c>
      <c r="C682" s="1" t="n">
        <v>46070</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37630-2025</t>
        </is>
      </c>
      <c r="B683" s="1" t="n">
        <v>45880.46372685185</v>
      </c>
      <c r="C683" s="1" t="n">
        <v>46070</v>
      </c>
      <c r="D683" t="inlineStr">
        <is>
          <t>STOCKHOLMS LÄN</t>
        </is>
      </c>
      <c r="E683" t="inlineStr">
        <is>
          <t>NORRTÄLJE</t>
        </is>
      </c>
      <c r="F683" t="inlineStr">
        <is>
          <t>Sveaskog</t>
        </is>
      </c>
      <c r="G683" t="n">
        <v>12.9</v>
      </c>
      <c r="H683" t="n">
        <v>0</v>
      </c>
      <c r="I683" t="n">
        <v>0</v>
      </c>
      <c r="J683" t="n">
        <v>0</v>
      </c>
      <c r="K683" t="n">
        <v>0</v>
      </c>
      <c r="L683" t="n">
        <v>0</v>
      </c>
      <c r="M683" t="n">
        <v>0</v>
      </c>
      <c r="N683" t="n">
        <v>0</v>
      </c>
      <c r="O683" t="n">
        <v>0</v>
      </c>
      <c r="P683" t="n">
        <v>0</v>
      </c>
      <c r="Q683" t="n">
        <v>0</v>
      </c>
      <c r="R683" s="2" t="inlineStr"/>
    </row>
    <row r="684" ht="15" customHeight="1">
      <c r="A684" t="inlineStr">
        <is>
          <t>A 51960-2025</t>
        </is>
      </c>
      <c r="B684" s="1" t="n">
        <v>45952.54755787037</v>
      </c>
      <c r="C684" s="1" t="n">
        <v>46070</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46071-2024</t>
        </is>
      </c>
      <c r="B685" s="1" t="n">
        <v>45581</v>
      </c>
      <c r="C685" s="1" t="n">
        <v>46070</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12532-2025</t>
        </is>
      </c>
      <c r="B686" s="1" t="n">
        <v>45730.69143518519</v>
      </c>
      <c r="C686" s="1" t="n">
        <v>46070</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5732-2023</t>
        </is>
      </c>
      <c r="B687" s="1" t="n">
        <v>44962</v>
      </c>
      <c r="C687" s="1" t="n">
        <v>46070</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10653-2022</t>
        </is>
      </c>
      <c r="B688" s="1" t="n">
        <v>44624.59434027778</v>
      </c>
      <c r="C688" s="1" t="n">
        <v>46070</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21729-2024</t>
        </is>
      </c>
      <c r="B689" s="1" t="n">
        <v>45442</v>
      </c>
      <c r="C689" s="1" t="n">
        <v>46070</v>
      </c>
      <c r="D689" t="inlineStr">
        <is>
          <t>STOCKHOLMS LÄN</t>
        </is>
      </c>
      <c r="E689" t="inlineStr">
        <is>
          <t>NORRTÄLJE</t>
        </is>
      </c>
      <c r="G689" t="n">
        <v>2.2</v>
      </c>
      <c r="H689" t="n">
        <v>0</v>
      </c>
      <c r="I689" t="n">
        <v>0</v>
      </c>
      <c r="J689" t="n">
        <v>0</v>
      </c>
      <c r="K689" t="n">
        <v>0</v>
      </c>
      <c r="L689" t="n">
        <v>0</v>
      </c>
      <c r="M689" t="n">
        <v>0</v>
      </c>
      <c r="N689" t="n">
        <v>0</v>
      </c>
      <c r="O689" t="n">
        <v>0</v>
      </c>
      <c r="P689" t="n">
        <v>0</v>
      </c>
      <c r="Q689" t="n">
        <v>0</v>
      </c>
      <c r="R689" s="2" t="inlineStr"/>
    </row>
    <row r="690" ht="15" customHeight="1">
      <c r="A690" t="inlineStr">
        <is>
          <t>A 51941-2025</t>
        </is>
      </c>
      <c r="B690" s="1" t="n">
        <v>45952.52261574074</v>
      </c>
      <c r="C690" s="1" t="n">
        <v>46070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13137-2024</t>
        </is>
      </c>
      <c r="B691" s="1" t="n">
        <v>45386.34175925926</v>
      </c>
      <c r="C691" s="1" t="n">
        <v>46070</v>
      </c>
      <c r="D691" t="inlineStr">
        <is>
          <t>STOCKHOLMS LÄN</t>
        </is>
      </c>
      <c r="E691" t="inlineStr">
        <is>
          <t>NORRTÄLJE</t>
        </is>
      </c>
      <c r="G691" t="n">
        <v>5</v>
      </c>
      <c r="H691" t="n">
        <v>0</v>
      </c>
      <c r="I691" t="n">
        <v>0</v>
      </c>
      <c r="J691" t="n">
        <v>0</v>
      </c>
      <c r="K691" t="n">
        <v>0</v>
      </c>
      <c r="L691" t="n">
        <v>0</v>
      </c>
      <c r="M691" t="n">
        <v>0</v>
      </c>
      <c r="N691" t="n">
        <v>0</v>
      </c>
      <c r="O691" t="n">
        <v>0</v>
      </c>
      <c r="P691" t="n">
        <v>0</v>
      </c>
      <c r="Q691" t="n">
        <v>0</v>
      </c>
      <c r="R691" s="2" t="inlineStr"/>
    </row>
    <row r="692" ht="15" customHeight="1">
      <c r="A692" t="inlineStr">
        <is>
          <t>A 52061-2025</t>
        </is>
      </c>
      <c r="B692" s="1" t="n">
        <v>45952.63679398148</v>
      </c>
      <c r="C692" s="1" t="n">
        <v>46070</v>
      </c>
      <c r="D692" t="inlineStr">
        <is>
          <t>STOCKHOLMS LÄN</t>
        </is>
      </c>
      <c r="E692" t="inlineStr">
        <is>
          <t>NORRTÄLJE</t>
        </is>
      </c>
      <c r="G692" t="n">
        <v>9.5</v>
      </c>
      <c r="H692" t="n">
        <v>0</v>
      </c>
      <c r="I692" t="n">
        <v>0</v>
      </c>
      <c r="J692" t="n">
        <v>0</v>
      </c>
      <c r="K692" t="n">
        <v>0</v>
      </c>
      <c r="L692" t="n">
        <v>0</v>
      </c>
      <c r="M692" t="n">
        <v>0</v>
      </c>
      <c r="N692" t="n">
        <v>0</v>
      </c>
      <c r="O692" t="n">
        <v>0</v>
      </c>
      <c r="P692" t="n">
        <v>0</v>
      </c>
      <c r="Q692" t="n">
        <v>0</v>
      </c>
      <c r="R692" s="2" t="inlineStr"/>
    </row>
    <row r="693" ht="15" customHeight="1">
      <c r="A693" t="inlineStr">
        <is>
          <t>A 51945-2025</t>
        </is>
      </c>
      <c r="B693" s="1" t="n">
        <v>45952.52679398148</v>
      </c>
      <c r="C693" s="1" t="n">
        <v>46070</v>
      </c>
      <c r="D693" t="inlineStr">
        <is>
          <t>STOCKHOLMS LÄN</t>
        </is>
      </c>
      <c r="E693" t="inlineStr">
        <is>
          <t>NORRTÄLJE</t>
        </is>
      </c>
      <c r="G693" t="n">
        <v>7</v>
      </c>
      <c r="H693" t="n">
        <v>0</v>
      </c>
      <c r="I693" t="n">
        <v>0</v>
      </c>
      <c r="J693" t="n">
        <v>0</v>
      </c>
      <c r="K693" t="n">
        <v>0</v>
      </c>
      <c r="L693" t="n">
        <v>0</v>
      </c>
      <c r="M693" t="n">
        <v>0</v>
      </c>
      <c r="N693" t="n">
        <v>0</v>
      </c>
      <c r="O693" t="n">
        <v>0</v>
      </c>
      <c r="P693" t="n">
        <v>0</v>
      </c>
      <c r="Q693" t="n">
        <v>0</v>
      </c>
      <c r="R693" s="2" t="inlineStr"/>
    </row>
    <row r="694" ht="15" customHeight="1">
      <c r="A694" t="inlineStr">
        <is>
          <t>A 11854-2025</t>
        </is>
      </c>
      <c r="B694" s="1" t="n">
        <v>45728.38924768518</v>
      </c>
      <c r="C694" s="1" t="n">
        <v>46070</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14762-2024</t>
        </is>
      </c>
      <c r="B695" s="1" t="n">
        <v>45397</v>
      </c>
      <c r="C695" s="1" t="n">
        <v>46070</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52251-2025</t>
        </is>
      </c>
      <c r="B696" s="1" t="n">
        <v>45953.49185185185</v>
      </c>
      <c r="C696" s="1" t="n">
        <v>46070</v>
      </c>
      <c r="D696" t="inlineStr">
        <is>
          <t>STOCKHOLMS LÄN</t>
        </is>
      </c>
      <c r="E696" t="inlineStr">
        <is>
          <t>NORRTÄLJE</t>
        </is>
      </c>
      <c r="G696" t="n">
        <v>6.2</v>
      </c>
      <c r="H696" t="n">
        <v>0</v>
      </c>
      <c r="I696" t="n">
        <v>0</v>
      </c>
      <c r="J696" t="n">
        <v>0</v>
      </c>
      <c r="K696" t="n">
        <v>0</v>
      </c>
      <c r="L696" t="n">
        <v>0</v>
      </c>
      <c r="M696" t="n">
        <v>0</v>
      </c>
      <c r="N696" t="n">
        <v>0</v>
      </c>
      <c r="O696" t="n">
        <v>0</v>
      </c>
      <c r="P696" t="n">
        <v>0</v>
      </c>
      <c r="Q696" t="n">
        <v>0</v>
      </c>
      <c r="R696" s="2" t="inlineStr"/>
    </row>
    <row r="697" ht="15" customHeight="1">
      <c r="A697" t="inlineStr">
        <is>
          <t>A 52254-2025</t>
        </is>
      </c>
      <c r="B697" s="1" t="n">
        <v>45953.49519675926</v>
      </c>
      <c r="C697" s="1" t="n">
        <v>46070</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24350-2025</t>
        </is>
      </c>
      <c r="B698" s="1" t="n">
        <v>45797.58350694444</v>
      </c>
      <c r="C698" s="1" t="n">
        <v>46070</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26703-2025</t>
        </is>
      </c>
      <c r="B699" s="1" t="n">
        <v>45810.45263888889</v>
      </c>
      <c r="C699" s="1" t="n">
        <v>46070</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52773-2025</t>
        </is>
      </c>
      <c r="B700" s="1" t="n">
        <v>45957.41457175926</v>
      </c>
      <c r="C700" s="1" t="n">
        <v>46070</v>
      </c>
      <c r="D700" t="inlineStr">
        <is>
          <t>STOCKHOLMS LÄN</t>
        </is>
      </c>
      <c r="E700" t="inlineStr">
        <is>
          <t>NORRTÄLJE</t>
        </is>
      </c>
      <c r="F700" t="inlineStr">
        <is>
          <t>Sveaskog</t>
        </is>
      </c>
      <c r="G700" t="n">
        <v>10.5</v>
      </c>
      <c r="H700" t="n">
        <v>0</v>
      </c>
      <c r="I700" t="n">
        <v>0</v>
      </c>
      <c r="J700" t="n">
        <v>0</v>
      </c>
      <c r="K700" t="n">
        <v>0</v>
      </c>
      <c r="L700" t="n">
        <v>0</v>
      </c>
      <c r="M700" t="n">
        <v>0</v>
      </c>
      <c r="N700" t="n">
        <v>0</v>
      </c>
      <c r="O700" t="n">
        <v>0</v>
      </c>
      <c r="P700" t="n">
        <v>0</v>
      </c>
      <c r="Q700" t="n">
        <v>0</v>
      </c>
      <c r="R700" s="2" t="inlineStr"/>
    </row>
    <row r="701" ht="15" customHeight="1">
      <c r="A701" t="inlineStr">
        <is>
          <t>A 52777-2025</t>
        </is>
      </c>
      <c r="B701" s="1" t="n">
        <v>45957.41832175926</v>
      </c>
      <c r="C701" s="1" t="n">
        <v>46070</v>
      </c>
      <c r="D701" t="inlineStr">
        <is>
          <t>STOCKHOLMS LÄN</t>
        </is>
      </c>
      <c r="E701" t="inlineStr">
        <is>
          <t>NORRTÄLJE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52526-2025</t>
        </is>
      </c>
      <c r="B702" s="1" t="n">
        <v>45954.53061342592</v>
      </c>
      <c r="C702" s="1" t="n">
        <v>46070</v>
      </c>
      <c r="D702" t="inlineStr">
        <is>
          <t>STOCKHOLMS LÄN</t>
        </is>
      </c>
      <c r="E702" t="inlineStr">
        <is>
          <t>NORRTÄLJE</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53000-2025</t>
        </is>
      </c>
      <c r="B703" s="1" t="n">
        <v>45957.74357638889</v>
      </c>
      <c r="C703" s="1" t="n">
        <v>46070</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38153-2025</t>
        </is>
      </c>
      <c r="B704" s="1" t="n">
        <v>45882.59722222222</v>
      </c>
      <c r="C704" s="1" t="n">
        <v>46070</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52703-2025</t>
        </is>
      </c>
      <c r="B705" s="1" t="n">
        <v>45956.88643518519</v>
      </c>
      <c r="C705" s="1" t="n">
        <v>46070</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52729-2025</t>
        </is>
      </c>
      <c r="B706" s="1" t="n">
        <v>45957.3636574074</v>
      </c>
      <c r="C706" s="1" t="n">
        <v>46070</v>
      </c>
      <c r="D706" t="inlineStr">
        <is>
          <t>STOCKHOLMS LÄN</t>
        </is>
      </c>
      <c r="E706" t="inlineStr">
        <is>
          <t>NORRTÄLJE</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52734-2025</t>
        </is>
      </c>
      <c r="B707" s="1" t="n">
        <v>45957.3710300926</v>
      </c>
      <c r="C707" s="1" t="n">
        <v>46070</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59712-2024</t>
        </is>
      </c>
      <c r="B708" s="1" t="n">
        <v>45639.45166666667</v>
      </c>
      <c r="C708" s="1" t="n">
        <v>46070</v>
      </c>
      <c r="D708" t="inlineStr">
        <is>
          <t>STOCKHOLMS LÄN</t>
        </is>
      </c>
      <c r="E708" t="inlineStr">
        <is>
          <t>NORRTÄLJE</t>
        </is>
      </c>
      <c r="G708" t="n">
        <v>4.4</v>
      </c>
      <c r="H708" t="n">
        <v>0</v>
      </c>
      <c r="I708" t="n">
        <v>0</v>
      </c>
      <c r="J708" t="n">
        <v>0</v>
      </c>
      <c r="K708" t="n">
        <v>0</v>
      </c>
      <c r="L708" t="n">
        <v>0</v>
      </c>
      <c r="M708" t="n">
        <v>0</v>
      </c>
      <c r="N708" t="n">
        <v>0</v>
      </c>
      <c r="O708" t="n">
        <v>0</v>
      </c>
      <c r="P708" t="n">
        <v>0</v>
      </c>
      <c r="Q708" t="n">
        <v>0</v>
      </c>
      <c r="R708" s="2" t="inlineStr"/>
    </row>
    <row r="709" ht="15" customHeight="1">
      <c r="A709" t="inlineStr">
        <is>
          <t>A 52776-2025</t>
        </is>
      </c>
      <c r="B709" s="1" t="n">
        <v>45957.41724537037</v>
      </c>
      <c r="C709" s="1" t="n">
        <v>46070</v>
      </c>
      <c r="D709" t="inlineStr">
        <is>
          <t>STOCKHOLMS LÄN</t>
        </is>
      </c>
      <c r="E709" t="inlineStr">
        <is>
          <t>NORRTÄLJE</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22816-2021</t>
        </is>
      </c>
      <c r="B710" s="1" t="n">
        <v>44325</v>
      </c>
      <c r="C710" s="1" t="n">
        <v>46070</v>
      </c>
      <c r="D710" t="inlineStr">
        <is>
          <t>STOCKHOLMS LÄN</t>
        </is>
      </c>
      <c r="E710" t="inlineStr">
        <is>
          <t>NORRTÄLJE</t>
        </is>
      </c>
      <c r="G710" t="n">
        <v>4.5</v>
      </c>
      <c r="H710" t="n">
        <v>0</v>
      </c>
      <c r="I710" t="n">
        <v>0</v>
      </c>
      <c r="J710" t="n">
        <v>0</v>
      </c>
      <c r="K710" t="n">
        <v>0</v>
      </c>
      <c r="L710" t="n">
        <v>0</v>
      </c>
      <c r="M710" t="n">
        <v>0</v>
      </c>
      <c r="N710" t="n">
        <v>0</v>
      </c>
      <c r="O710" t="n">
        <v>0</v>
      </c>
      <c r="P710" t="n">
        <v>0</v>
      </c>
      <c r="Q710" t="n">
        <v>0</v>
      </c>
      <c r="R710" s="2" t="inlineStr"/>
    </row>
    <row r="711" ht="15" customHeight="1">
      <c r="A711" t="inlineStr">
        <is>
          <t>A 52529-2025</t>
        </is>
      </c>
      <c r="B711" s="1" t="n">
        <v>45954.53229166667</v>
      </c>
      <c r="C711" s="1" t="n">
        <v>46070</v>
      </c>
      <c r="D711" t="inlineStr">
        <is>
          <t>STOCKHOLMS LÄN</t>
        </is>
      </c>
      <c r="E711" t="inlineStr">
        <is>
          <t>NORRTÄLJE</t>
        </is>
      </c>
      <c r="F711" t="inlineStr">
        <is>
          <t>Sveaskog</t>
        </is>
      </c>
      <c r="G711" t="n">
        <v>7.8</v>
      </c>
      <c r="H711" t="n">
        <v>0</v>
      </c>
      <c r="I711" t="n">
        <v>0</v>
      </c>
      <c r="J711" t="n">
        <v>0</v>
      </c>
      <c r="K711" t="n">
        <v>0</v>
      </c>
      <c r="L711" t="n">
        <v>0</v>
      </c>
      <c r="M711" t="n">
        <v>0</v>
      </c>
      <c r="N711" t="n">
        <v>0</v>
      </c>
      <c r="O711" t="n">
        <v>0</v>
      </c>
      <c r="P711" t="n">
        <v>0</v>
      </c>
      <c r="Q711" t="n">
        <v>0</v>
      </c>
      <c r="R711" s="2" t="inlineStr"/>
    </row>
    <row r="712" ht="15" customHeight="1">
      <c r="A712" t="inlineStr">
        <is>
          <t>A 35127-2023</t>
        </is>
      </c>
      <c r="B712" s="1" t="n">
        <v>45145.51</v>
      </c>
      <c r="C712" s="1" t="n">
        <v>46070</v>
      </c>
      <c r="D712" t="inlineStr">
        <is>
          <t>STOCKHOLMS LÄN</t>
        </is>
      </c>
      <c r="E712" t="inlineStr">
        <is>
          <t>NORRTÄLJE</t>
        </is>
      </c>
      <c r="G712" t="n">
        <v>4.7</v>
      </c>
      <c r="H712" t="n">
        <v>0</v>
      </c>
      <c r="I712" t="n">
        <v>0</v>
      </c>
      <c r="J712" t="n">
        <v>0</v>
      </c>
      <c r="K712" t="n">
        <v>0</v>
      </c>
      <c r="L712" t="n">
        <v>0</v>
      </c>
      <c r="M712" t="n">
        <v>0</v>
      </c>
      <c r="N712" t="n">
        <v>0</v>
      </c>
      <c r="O712" t="n">
        <v>0</v>
      </c>
      <c r="P712" t="n">
        <v>0</v>
      </c>
      <c r="Q712" t="n">
        <v>0</v>
      </c>
      <c r="R712" s="2" t="inlineStr"/>
    </row>
    <row r="713" ht="15" customHeight="1">
      <c r="A713" t="inlineStr">
        <is>
          <t>A 52704-2025</t>
        </is>
      </c>
      <c r="B713" s="1" t="n">
        <v>45956.89097222222</v>
      </c>
      <c r="C713" s="1" t="n">
        <v>46070</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52553-2025</t>
        </is>
      </c>
      <c r="B714" s="1" t="n">
        <v>45954.5624537037</v>
      </c>
      <c r="C714" s="1" t="n">
        <v>46070</v>
      </c>
      <c r="D714" t="inlineStr">
        <is>
          <t>STOCKHOLMS LÄN</t>
        </is>
      </c>
      <c r="E714" t="inlineStr">
        <is>
          <t>NORRTÄLJE</t>
        </is>
      </c>
      <c r="G714" t="n">
        <v>4.4</v>
      </c>
      <c r="H714" t="n">
        <v>0</v>
      </c>
      <c r="I714" t="n">
        <v>0</v>
      </c>
      <c r="J714" t="n">
        <v>0</v>
      </c>
      <c r="K714" t="n">
        <v>0</v>
      </c>
      <c r="L714" t="n">
        <v>0</v>
      </c>
      <c r="M714" t="n">
        <v>0</v>
      </c>
      <c r="N714" t="n">
        <v>0</v>
      </c>
      <c r="O714" t="n">
        <v>0</v>
      </c>
      <c r="P714" t="n">
        <v>0</v>
      </c>
      <c r="Q714" t="n">
        <v>0</v>
      </c>
      <c r="R714" s="2" t="inlineStr"/>
    </row>
    <row r="715" ht="15" customHeight="1">
      <c r="A715" t="inlineStr">
        <is>
          <t>A 6874-2026</t>
        </is>
      </c>
      <c r="B715" s="1" t="n">
        <v>46057.45295138889</v>
      </c>
      <c r="C715" s="1" t="n">
        <v>46070</v>
      </c>
      <c r="D715" t="inlineStr">
        <is>
          <t>STOCKHOLMS LÄN</t>
        </is>
      </c>
      <c r="E715" t="inlineStr">
        <is>
          <t>NORRTÄLJE</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7532-2026</t>
        </is>
      </c>
      <c r="B716" s="1" t="n">
        <v>46059.61903935186</v>
      </c>
      <c r="C716" s="1" t="n">
        <v>46070</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67921-2021</t>
        </is>
      </c>
      <c r="B717" s="1" t="n">
        <v>44525</v>
      </c>
      <c r="C717" s="1" t="n">
        <v>46070</v>
      </c>
      <c r="D717" t="inlineStr">
        <is>
          <t>STOCKHOLMS LÄN</t>
        </is>
      </c>
      <c r="E717" t="inlineStr">
        <is>
          <t>NORRTÄLJE</t>
        </is>
      </c>
      <c r="G717" t="n">
        <v>6.3</v>
      </c>
      <c r="H717" t="n">
        <v>0</v>
      </c>
      <c r="I717" t="n">
        <v>0</v>
      </c>
      <c r="J717" t="n">
        <v>0</v>
      </c>
      <c r="K717" t="n">
        <v>0</v>
      </c>
      <c r="L717" t="n">
        <v>0</v>
      </c>
      <c r="M717" t="n">
        <v>0</v>
      </c>
      <c r="N717" t="n">
        <v>0</v>
      </c>
      <c r="O717" t="n">
        <v>0</v>
      </c>
      <c r="P717" t="n">
        <v>0</v>
      </c>
      <c r="Q717" t="n">
        <v>0</v>
      </c>
      <c r="R717" s="2" t="inlineStr"/>
    </row>
    <row r="718" ht="15" customHeight="1">
      <c r="A718" t="inlineStr">
        <is>
          <t>A 45255-2022</t>
        </is>
      </c>
      <c r="B718" s="1" t="n">
        <v>44840</v>
      </c>
      <c r="C718" s="1" t="n">
        <v>46070</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53299-2025</t>
        </is>
      </c>
      <c r="B719" s="1" t="n">
        <v>45959.31901620371</v>
      </c>
      <c r="C719" s="1" t="n">
        <v>46070</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53087-2025</t>
        </is>
      </c>
      <c r="B720" s="1" t="n">
        <v>45958.41065972222</v>
      </c>
      <c r="C720" s="1" t="n">
        <v>46070</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53115-2025</t>
        </is>
      </c>
      <c r="B721" s="1" t="n">
        <v>45958.44614583333</v>
      </c>
      <c r="C721" s="1" t="n">
        <v>46070</v>
      </c>
      <c r="D721" t="inlineStr">
        <is>
          <t>STOCKHOLMS LÄN</t>
        </is>
      </c>
      <c r="E721" t="inlineStr">
        <is>
          <t>NORRTÄLJE</t>
        </is>
      </c>
      <c r="F721" t="inlineStr">
        <is>
          <t>Kyrkan</t>
        </is>
      </c>
      <c r="G721" t="n">
        <v>2.5</v>
      </c>
      <c r="H721" t="n">
        <v>0</v>
      </c>
      <c r="I721" t="n">
        <v>0</v>
      </c>
      <c r="J721" t="n">
        <v>0</v>
      </c>
      <c r="K721" t="n">
        <v>0</v>
      </c>
      <c r="L721" t="n">
        <v>0</v>
      </c>
      <c r="M721" t="n">
        <v>0</v>
      </c>
      <c r="N721" t="n">
        <v>0</v>
      </c>
      <c r="O721" t="n">
        <v>0</v>
      </c>
      <c r="P721" t="n">
        <v>0</v>
      </c>
      <c r="Q721" t="n">
        <v>0</v>
      </c>
      <c r="R721" s="2" t="inlineStr"/>
    </row>
    <row r="722" ht="15" customHeight="1">
      <c r="A722" t="inlineStr">
        <is>
          <t>A 53629-2025</t>
        </is>
      </c>
      <c r="B722" s="1" t="n">
        <v>45960.49570601852</v>
      </c>
      <c r="C722" s="1" t="n">
        <v>46070</v>
      </c>
      <c r="D722" t="inlineStr">
        <is>
          <t>STOCKHOLMS LÄN</t>
        </is>
      </c>
      <c r="E722" t="inlineStr">
        <is>
          <t>NORRTÄLJE</t>
        </is>
      </c>
      <c r="F722" t="inlineStr">
        <is>
          <t>Naturvårdsverket</t>
        </is>
      </c>
      <c r="G722" t="n">
        <v>7.9</v>
      </c>
      <c r="H722" t="n">
        <v>0</v>
      </c>
      <c r="I722" t="n">
        <v>0</v>
      </c>
      <c r="J722" t="n">
        <v>0</v>
      </c>
      <c r="K722" t="n">
        <v>0</v>
      </c>
      <c r="L722" t="n">
        <v>0</v>
      </c>
      <c r="M722" t="n">
        <v>0</v>
      </c>
      <c r="N722" t="n">
        <v>0</v>
      </c>
      <c r="O722" t="n">
        <v>0</v>
      </c>
      <c r="P722" t="n">
        <v>0</v>
      </c>
      <c r="Q722" t="n">
        <v>0</v>
      </c>
      <c r="R722" s="2" t="inlineStr"/>
    </row>
    <row r="723" ht="15" customHeight="1">
      <c r="A723" t="inlineStr">
        <is>
          <t>A 3549-2026</t>
        </is>
      </c>
      <c r="B723" s="1" t="n">
        <v>46042</v>
      </c>
      <c r="C723" s="1" t="n">
        <v>46070</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65499-2021</t>
        </is>
      </c>
      <c r="B724" s="1" t="n">
        <v>44516</v>
      </c>
      <c r="C724" s="1" t="n">
        <v>46070</v>
      </c>
      <c r="D724" t="inlineStr">
        <is>
          <t>STOCKHOLMS LÄN</t>
        </is>
      </c>
      <c r="E724" t="inlineStr">
        <is>
          <t>NORRTÄLJE</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59893-2022</t>
        </is>
      </c>
      <c r="B725" s="1" t="n">
        <v>44908.77368055555</v>
      </c>
      <c r="C725" s="1" t="n">
        <v>46070</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53747-2025</t>
        </is>
      </c>
      <c r="B726" s="1" t="n">
        <v>45960.65415509259</v>
      </c>
      <c r="C726" s="1" t="n">
        <v>46070</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7308-2026</t>
        </is>
      </c>
      <c r="B727" s="1" t="n">
        <v>46058.66025462963</v>
      </c>
      <c r="C727" s="1" t="n">
        <v>46070</v>
      </c>
      <c r="D727" t="inlineStr">
        <is>
          <t>STOCKHOLMS LÄN</t>
        </is>
      </c>
      <c r="E727" t="inlineStr">
        <is>
          <t>NORRTÄLJE</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39905-2023</t>
        </is>
      </c>
      <c r="B728" s="1" t="n">
        <v>45168.44489583333</v>
      </c>
      <c r="C728" s="1" t="n">
        <v>46070</v>
      </c>
      <c r="D728" t="inlineStr">
        <is>
          <t>STOCKHOLMS LÄN</t>
        </is>
      </c>
      <c r="E728" t="inlineStr">
        <is>
          <t>NORRTÄLJE</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5645-2023</t>
        </is>
      </c>
      <c r="B729" s="1" t="n">
        <v>44960.60469907407</v>
      </c>
      <c r="C729" s="1" t="n">
        <v>46070</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68361-2021</t>
        </is>
      </c>
      <c r="B730" s="1" t="n">
        <v>44528.91494212963</v>
      </c>
      <c r="C730" s="1" t="n">
        <v>46070</v>
      </c>
      <c r="D730" t="inlineStr">
        <is>
          <t>STOCKHOLMS LÄN</t>
        </is>
      </c>
      <c r="E730" t="inlineStr">
        <is>
          <t>NORRTÄLJE</t>
        </is>
      </c>
      <c r="G730" t="n">
        <v>1.9</v>
      </c>
      <c r="H730" t="n">
        <v>0</v>
      </c>
      <c r="I730" t="n">
        <v>0</v>
      </c>
      <c r="J730" t="n">
        <v>0</v>
      </c>
      <c r="K730" t="n">
        <v>0</v>
      </c>
      <c r="L730" t="n">
        <v>0</v>
      </c>
      <c r="M730" t="n">
        <v>0</v>
      </c>
      <c r="N730" t="n">
        <v>0</v>
      </c>
      <c r="O730" t="n">
        <v>0</v>
      </c>
      <c r="P730" t="n">
        <v>0</v>
      </c>
      <c r="Q730" t="n">
        <v>0</v>
      </c>
      <c r="R730" s="2" t="inlineStr"/>
    </row>
    <row r="731" ht="15" customHeight="1">
      <c r="A731" t="inlineStr">
        <is>
          <t>A 7582-2026</t>
        </is>
      </c>
      <c r="B731" s="1" t="n">
        <v>46061.6455324074</v>
      </c>
      <c r="C731" s="1" t="n">
        <v>46070</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60529-2023</t>
        </is>
      </c>
      <c r="B732" s="1" t="n">
        <v>45259</v>
      </c>
      <c r="C732" s="1" t="n">
        <v>46070</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8091-2026</t>
        </is>
      </c>
      <c r="B733" s="1" t="n">
        <v>46063.70944444444</v>
      </c>
      <c r="C733" s="1" t="n">
        <v>46070</v>
      </c>
      <c r="D733" t="inlineStr">
        <is>
          <t>STOCKHOLMS LÄN</t>
        </is>
      </c>
      <c r="E733" t="inlineStr">
        <is>
          <t>NORRTÄLJE</t>
        </is>
      </c>
      <c r="G733" t="n">
        <v>4.7</v>
      </c>
      <c r="H733" t="n">
        <v>0</v>
      </c>
      <c r="I733" t="n">
        <v>0</v>
      </c>
      <c r="J733" t="n">
        <v>0</v>
      </c>
      <c r="K733" t="n">
        <v>0</v>
      </c>
      <c r="L733" t="n">
        <v>0</v>
      </c>
      <c r="M733" t="n">
        <v>0</v>
      </c>
      <c r="N733" t="n">
        <v>0</v>
      </c>
      <c r="O733" t="n">
        <v>0</v>
      </c>
      <c r="P733" t="n">
        <v>0</v>
      </c>
      <c r="Q733" t="n">
        <v>0</v>
      </c>
      <c r="R733" s="2" t="inlineStr"/>
    </row>
    <row r="734" ht="15" customHeight="1">
      <c r="A734" t="inlineStr">
        <is>
          <t>A 19706-2023</t>
        </is>
      </c>
      <c r="B734" s="1" t="n">
        <v>45051.455</v>
      </c>
      <c r="C734" s="1" t="n">
        <v>46070</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18539-2021</t>
        </is>
      </c>
      <c r="B735" s="1" t="n">
        <v>44306</v>
      </c>
      <c r="C735" s="1" t="n">
        <v>46070</v>
      </c>
      <c r="D735" t="inlineStr">
        <is>
          <t>STOCKHOLMS LÄN</t>
        </is>
      </c>
      <c r="E735" t="inlineStr">
        <is>
          <t>NORRTÄLJE</t>
        </is>
      </c>
      <c r="F735" t="inlineStr">
        <is>
          <t>Holmen skog AB</t>
        </is>
      </c>
      <c r="G735" t="n">
        <v>5.5</v>
      </c>
      <c r="H735" t="n">
        <v>0</v>
      </c>
      <c r="I735" t="n">
        <v>0</v>
      </c>
      <c r="J735" t="n">
        <v>0</v>
      </c>
      <c r="K735" t="n">
        <v>0</v>
      </c>
      <c r="L735" t="n">
        <v>0</v>
      </c>
      <c r="M735" t="n">
        <v>0</v>
      </c>
      <c r="N735" t="n">
        <v>0</v>
      </c>
      <c r="O735" t="n">
        <v>0</v>
      </c>
      <c r="P735" t="n">
        <v>0</v>
      </c>
      <c r="Q735" t="n">
        <v>0</v>
      </c>
      <c r="R735" s="2" t="inlineStr"/>
    </row>
    <row r="736" ht="15" customHeight="1">
      <c r="A736" t="inlineStr">
        <is>
          <t>A 17612-2022</t>
        </is>
      </c>
      <c r="B736" s="1" t="n">
        <v>44680</v>
      </c>
      <c r="C736" s="1" t="n">
        <v>46070</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7793-2026</t>
        </is>
      </c>
      <c r="B737" s="1" t="n">
        <v>46062.59496527778</v>
      </c>
      <c r="C737" s="1" t="n">
        <v>46070</v>
      </c>
      <c r="D737" t="inlineStr">
        <is>
          <t>STOCKHOLMS LÄN</t>
        </is>
      </c>
      <c r="E737" t="inlineStr">
        <is>
          <t>NORRTÄLJE</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16835-2022</t>
        </is>
      </c>
      <c r="B738" s="1" t="n">
        <v>44673</v>
      </c>
      <c r="C738" s="1" t="n">
        <v>46070</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62765-2022</t>
        </is>
      </c>
      <c r="B739" s="1" t="n">
        <v>44637</v>
      </c>
      <c r="C739" s="1" t="n">
        <v>46070</v>
      </c>
      <c r="D739" t="inlineStr">
        <is>
          <t>STOCKHOLMS LÄN</t>
        </is>
      </c>
      <c r="E739" t="inlineStr">
        <is>
          <t>NORRTÄLJE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58404-2023</t>
        </is>
      </c>
      <c r="B740" s="1" t="n">
        <v>45245</v>
      </c>
      <c r="C740" s="1" t="n">
        <v>46070</v>
      </c>
      <c r="D740" t="inlineStr">
        <is>
          <t>STOCKHOLMS LÄN</t>
        </is>
      </c>
      <c r="E740" t="inlineStr">
        <is>
          <t>NORRTÄLJE</t>
        </is>
      </c>
      <c r="G740" t="n">
        <v>53.5</v>
      </c>
      <c r="H740" t="n">
        <v>0</v>
      </c>
      <c r="I740" t="n">
        <v>0</v>
      </c>
      <c r="J740" t="n">
        <v>0</v>
      </c>
      <c r="K740" t="n">
        <v>0</v>
      </c>
      <c r="L740" t="n">
        <v>0</v>
      </c>
      <c r="M740" t="n">
        <v>0</v>
      </c>
      <c r="N740" t="n">
        <v>0</v>
      </c>
      <c r="O740" t="n">
        <v>0</v>
      </c>
      <c r="P740" t="n">
        <v>0</v>
      </c>
      <c r="Q740" t="n">
        <v>0</v>
      </c>
      <c r="R740" s="2" t="inlineStr"/>
    </row>
    <row r="741" ht="15" customHeight="1">
      <c r="A741" t="inlineStr">
        <is>
          <t>A 8586-2023</t>
        </is>
      </c>
      <c r="B741" s="1" t="n">
        <v>44977</v>
      </c>
      <c r="C741" s="1" t="n">
        <v>46070</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16202-2022</t>
        </is>
      </c>
      <c r="B742" s="1" t="n">
        <v>44670</v>
      </c>
      <c r="C742" s="1" t="n">
        <v>46070</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54907-2025</t>
        </is>
      </c>
      <c r="B743" s="1" t="n">
        <v>45967.37137731481</v>
      </c>
      <c r="C743" s="1" t="n">
        <v>46070</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55018-2024</t>
        </is>
      </c>
      <c r="B744" s="1" t="n">
        <v>45621.35712962963</v>
      </c>
      <c r="C744" s="1" t="n">
        <v>46070</v>
      </c>
      <c r="D744" t="inlineStr">
        <is>
          <t>STOCKHOLMS LÄN</t>
        </is>
      </c>
      <c r="E744" t="inlineStr">
        <is>
          <t>NORRTÄLJE</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50136-2023</t>
        </is>
      </c>
      <c r="B745" s="1" t="n">
        <v>45215</v>
      </c>
      <c r="C745" s="1" t="n">
        <v>46070</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25656-2023</t>
        </is>
      </c>
      <c r="B746" s="1" t="n">
        <v>45089</v>
      </c>
      <c r="C746" s="1" t="n">
        <v>46070</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6003-2025</t>
        </is>
      </c>
      <c r="B747" s="1" t="n">
        <v>45695.57881944445</v>
      </c>
      <c r="C747" s="1" t="n">
        <v>46070</v>
      </c>
      <c r="D747" t="inlineStr">
        <is>
          <t>STOCKHOLMS LÄN</t>
        </is>
      </c>
      <c r="E747" t="inlineStr">
        <is>
          <t>NORRTÄLJE</t>
        </is>
      </c>
      <c r="F747" t="inlineStr">
        <is>
          <t>Holmen skog AB</t>
        </is>
      </c>
      <c r="G747" t="n">
        <v>2.3</v>
      </c>
      <c r="H747" t="n">
        <v>0</v>
      </c>
      <c r="I747" t="n">
        <v>0</v>
      </c>
      <c r="J747" t="n">
        <v>0</v>
      </c>
      <c r="K747" t="n">
        <v>0</v>
      </c>
      <c r="L747" t="n">
        <v>0</v>
      </c>
      <c r="M747" t="n">
        <v>0</v>
      </c>
      <c r="N747" t="n">
        <v>0</v>
      </c>
      <c r="O747" t="n">
        <v>0</v>
      </c>
      <c r="P747" t="n">
        <v>0</v>
      </c>
      <c r="Q747" t="n">
        <v>0</v>
      </c>
      <c r="R747" s="2" t="inlineStr"/>
    </row>
    <row r="748" ht="15" customHeight="1">
      <c r="A748" t="inlineStr">
        <is>
          <t>A 55503-2025</t>
        </is>
      </c>
      <c r="B748" s="1" t="n">
        <v>45971</v>
      </c>
      <c r="C748" s="1" t="n">
        <v>46070</v>
      </c>
      <c r="D748" t="inlineStr">
        <is>
          <t>STOCKHOLMS LÄN</t>
        </is>
      </c>
      <c r="E748" t="inlineStr">
        <is>
          <t>NORRTÄLJE</t>
        </is>
      </c>
      <c r="G748" t="n">
        <v>3</v>
      </c>
      <c r="H748" t="n">
        <v>0</v>
      </c>
      <c r="I748" t="n">
        <v>0</v>
      </c>
      <c r="J748" t="n">
        <v>0</v>
      </c>
      <c r="K748" t="n">
        <v>0</v>
      </c>
      <c r="L748" t="n">
        <v>0</v>
      </c>
      <c r="M748" t="n">
        <v>0</v>
      </c>
      <c r="N748" t="n">
        <v>0</v>
      </c>
      <c r="O748" t="n">
        <v>0</v>
      </c>
      <c r="P748" t="n">
        <v>0</v>
      </c>
      <c r="Q748" t="n">
        <v>0</v>
      </c>
      <c r="R748" s="2" t="inlineStr"/>
    </row>
    <row r="749" ht="15" customHeight="1">
      <c r="A749" t="inlineStr">
        <is>
          <t>A 7723-2026</t>
        </is>
      </c>
      <c r="B749" s="1" t="n">
        <v>46062.49905092592</v>
      </c>
      <c r="C749" s="1" t="n">
        <v>46070</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11902-2024</t>
        </is>
      </c>
      <c r="B750" s="1" t="n">
        <v>45376.55704861111</v>
      </c>
      <c r="C750" s="1" t="n">
        <v>46070</v>
      </c>
      <c r="D750" t="inlineStr">
        <is>
          <t>STOCKHOLMS LÄN</t>
        </is>
      </c>
      <c r="E750" t="inlineStr">
        <is>
          <t>NORRTÄLJE</t>
        </is>
      </c>
      <c r="G750" t="n">
        <v>2.5</v>
      </c>
      <c r="H750" t="n">
        <v>0</v>
      </c>
      <c r="I750" t="n">
        <v>0</v>
      </c>
      <c r="J750" t="n">
        <v>0</v>
      </c>
      <c r="K750" t="n">
        <v>0</v>
      </c>
      <c r="L750" t="n">
        <v>0</v>
      </c>
      <c r="M750" t="n">
        <v>0</v>
      </c>
      <c r="N750" t="n">
        <v>0</v>
      </c>
      <c r="O750" t="n">
        <v>0</v>
      </c>
      <c r="P750" t="n">
        <v>0</v>
      </c>
      <c r="Q750" t="n">
        <v>0</v>
      </c>
      <c r="R750" s="2" t="inlineStr"/>
    </row>
    <row r="751" ht="15" customHeight="1">
      <c r="A751" t="inlineStr">
        <is>
          <t>A 38049-2023</t>
        </is>
      </c>
      <c r="B751" s="1" t="n">
        <v>45159</v>
      </c>
      <c r="C751" s="1" t="n">
        <v>46070</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59535-2024</t>
        </is>
      </c>
      <c r="B752" s="1" t="n">
        <v>45638.59979166667</v>
      </c>
      <c r="C752" s="1" t="n">
        <v>46070</v>
      </c>
      <c r="D752" t="inlineStr">
        <is>
          <t>STOCKHOLMS LÄN</t>
        </is>
      </c>
      <c r="E752" t="inlineStr">
        <is>
          <t>NORRTÄLJE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55599-2025</t>
        </is>
      </c>
      <c r="B753" s="1" t="n">
        <v>45971.76810185185</v>
      </c>
      <c r="C753" s="1" t="n">
        <v>46070</v>
      </c>
      <c r="D753" t="inlineStr">
        <is>
          <t>STOCKHOLMS LÄN</t>
        </is>
      </c>
      <c r="E753" t="inlineStr">
        <is>
          <t>NORRTÄLJE</t>
        </is>
      </c>
      <c r="F753" t="inlineStr">
        <is>
          <t>Holmen skog AB</t>
        </is>
      </c>
      <c r="G753" t="n">
        <v>6.4</v>
      </c>
      <c r="H753" t="n">
        <v>0</v>
      </c>
      <c r="I753" t="n">
        <v>0</v>
      </c>
      <c r="J753" t="n">
        <v>0</v>
      </c>
      <c r="K753" t="n">
        <v>0</v>
      </c>
      <c r="L753" t="n">
        <v>0</v>
      </c>
      <c r="M753" t="n">
        <v>0</v>
      </c>
      <c r="N753" t="n">
        <v>0</v>
      </c>
      <c r="O753" t="n">
        <v>0</v>
      </c>
      <c r="P753" t="n">
        <v>0</v>
      </c>
      <c r="Q753" t="n">
        <v>0</v>
      </c>
      <c r="R753" s="2" t="inlineStr"/>
    </row>
    <row r="754" ht="15" customHeight="1">
      <c r="A754" t="inlineStr">
        <is>
          <t>A 56114-2025</t>
        </is>
      </c>
      <c r="B754" s="1" t="n">
        <v>45973.74474537037</v>
      </c>
      <c r="C754" s="1" t="n">
        <v>46070</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4183-2025</t>
        </is>
      </c>
      <c r="B755" s="1" t="n">
        <v>45685.44592592592</v>
      </c>
      <c r="C755" s="1" t="n">
        <v>46070</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8096-2026</t>
        </is>
      </c>
      <c r="B756" s="1" t="n">
        <v>46063.714375</v>
      </c>
      <c r="C756" s="1" t="n">
        <v>46070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9480-2025</t>
        </is>
      </c>
      <c r="B757" s="1" t="n">
        <v>45715</v>
      </c>
      <c r="C757" s="1" t="n">
        <v>46070</v>
      </c>
      <c r="D757" t="inlineStr">
        <is>
          <t>STOCKHOLMS LÄN</t>
        </is>
      </c>
      <c r="E757" t="inlineStr">
        <is>
          <t>NORRTÄLJE</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8055-2026</t>
        </is>
      </c>
      <c r="B758" s="1" t="n">
        <v>46063.62002314815</v>
      </c>
      <c r="C758" s="1" t="n">
        <v>46070</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7729-2026</t>
        </is>
      </c>
      <c r="B759" s="1" t="n">
        <v>46062.51100694444</v>
      </c>
      <c r="C759" s="1" t="n">
        <v>46070</v>
      </c>
      <c r="D759" t="inlineStr">
        <is>
          <t>STOCKHOLMS LÄN</t>
        </is>
      </c>
      <c r="E759" t="inlineStr">
        <is>
          <t>NORRTÄLJE</t>
        </is>
      </c>
      <c r="G759" t="n">
        <v>6.6</v>
      </c>
      <c r="H759" t="n">
        <v>0</v>
      </c>
      <c r="I759" t="n">
        <v>0</v>
      </c>
      <c r="J759" t="n">
        <v>0</v>
      </c>
      <c r="K759" t="n">
        <v>0</v>
      </c>
      <c r="L759" t="n">
        <v>0</v>
      </c>
      <c r="M759" t="n">
        <v>0</v>
      </c>
      <c r="N759" t="n">
        <v>0</v>
      </c>
      <c r="O759" t="n">
        <v>0</v>
      </c>
      <c r="P759" t="n">
        <v>0</v>
      </c>
      <c r="Q759" t="n">
        <v>0</v>
      </c>
      <c r="R759" s="2" t="inlineStr"/>
    </row>
    <row r="760" ht="15" customHeight="1">
      <c r="A760" t="inlineStr">
        <is>
          <t>A 56207-2025</t>
        </is>
      </c>
      <c r="B760" s="1" t="n">
        <v>45974.47329861111</v>
      </c>
      <c r="C760" s="1" t="n">
        <v>46070</v>
      </c>
      <c r="D760" t="inlineStr">
        <is>
          <t>STOCKHOLMS LÄN</t>
        </is>
      </c>
      <c r="E760" t="inlineStr">
        <is>
          <t>NORRTÄLJE</t>
        </is>
      </c>
      <c r="G760" t="n">
        <v>3.2</v>
      </c>
      <c r="H760" t="n">
        <v>0</v>
      </c>
      <c r="I760" t="n">
        <v>0</v>
      </c>
      <c r="J760" t="n">
        <v>0</v>
      </c>
      <c r="K760" t="n">
        <v>0</v>
      </c>
      <c r="L760" t="n">
        <v>0</v>
      </c>
      <c r="M760" t="n">
        <v>0</v>
      </c>
      <c r="N760" t="n">
        <v>0</v>
      </c>
      <c r="O760" t="n">
        <v>0</v>
      </c>
      <c r="P760" t="n">
        <v>0</v>
      </c>
      <c r="Q760" t="n">
        <v>0</v>
      </c>
      <c r="R760" s="2" t="inlineStr"/>
    </row>
    <row r="761" ht="15" customHeight="1">
      <c r="A761" t="inlineStr">
        <is>
          <t>A 24522-2023</t>
        </is>
      </c>
      <c r="B761" s="1" t="n">
        <v>45082.69179398148</v>
      </c>
      <c r="C761" s="1" t="n">
        <v>46070</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25625-2023</t>
        </is>
      </c>
      <c r="B762" s="1" t="n">
        <v>45089</v>
      </c>
      <c r="C762" s="1" t="n">
        <v>46070</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37147-2023</t>
        </is>
      </c>
      <c r="B763" s="1" t="n">
        <v>45155</v>
      </c>
      <c r="C763" s="1" t="n">
        <v>46070</v>
      </c>
      <c r="D763" t="inlineStr">
        <is>
          <t>STOCKHOLMS LÄN</t>
        </is>
      </c>
      <c r="E763" t="inlineStr">
        <is>
          <t>NORRTÄLJE</t>
        </is>
      </c>
      <c r="G763" t="n">
        <v>8</v>
      </c>
      <c r="H763" t="n">
        <v>0</v>
      </c>
      <c r="I763" t="n">
        <v>0</v>
      </c>
      <c r="J763" t="n">
        <v>0</v>
      </c>
      <c r="K763" t="n">
        <v>0</v>
      </c>
      <c r="L763" t="n">
        <v>0</v>
      </c>
      <c r="M763" t="n">
        <v>0</v>
      </c>
      <c r="N763" t="n">
        <v>0</v>
      </c>
      <c r="O763" t="n">
        <v>0</v>
      </c>
      <c r="P763" t="n">
        <v>0</v>
      </c>
      <c r="Q763" t="n">
        <v>0</v>
      </c>
      <c r="R763" s="2" t="inlineStr"/>
    </row>
    <row r="764" ht="15" customHeight="1">
      <c r="A764" t="inlineStr">
        <is>
          <t>A 7186-2024</t>
        </is>
      </c>
      <c r="B764" s="1" t="n">
        <v>45344</v>
      </c>
      <c r="C764" s="1" t="n">
        <v>46070</v>
      </c>
      <c r="D764" t="inlineStr">
        <is>
          <t>STOCKHOLMS LÄN</t>
        </is>
      </c>
      <c r="E764" t="inlineStr">
        <is>
          <t>NORRTÄLJE</t>
        </is>
      </c>
      <c r="G764" t="n">
        <v>4.9</v>
      </c>
      <c r="H764" t="n">
        <v>0</v>
      </c>
      <c r="I764" t="n">
        <v>0</v>
      </c>
      <c r="J764" t="n">
        <v>0</v>
      </c>
      <c r="K764" t="n">
        <v>0</v>
      </c>
      <c r="L764" t="n">
        <v>0</v>
      </c>
      <c r="M764" t="n">
        <v>0</v>
      </c>
      <c r="N764" t="n">
        <v>0</v>
      </c>
      <c r="O764" t="n">
        <v>0</v>
      </c>
      <c r="P764" t="n">
        <v>0</v>
      </c>
      <c r="Q764" t="n">
        <v>0</v>
      </c>
      <c r="R764" s="2" t="inlineStr"/>
    </row>
    <row r="765" ht="15" customHeight="1">
      <c r="A765" t="inlineStr">
        <is>
          <t>A 57602-2024</t>
        </is>
      </c>
      <c r="B765" s="1" t="n">
        <v>45630.52866898148</v>
      </c>
      <c r="C765" s="1" t="n">
        <v>46070</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8489-2026</t>
        </is>
      </c>
      <c r="B766" s="1" t="n">
        <v>46065.48268518518</v>
      </c>
      <c r="C766" s="1" t="n">
        <v>46070</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6828-2026</t>
        </is>
      </c>
      <c r="B767" s="1" t="n">
        <v>46057</v>
      </c>
      <c r="C767" s="1" t="n">
        <v>46070</v>
      </c>
      <c r="D767" t="inlineStr">
        <is>
          <t>STOCKHOLMS LÄN</t>
        </is>
      </c>
      <c r="E767" t="inlineStr">
        <is>
          <t>NORRTÄLJE</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64600-2021</t>
        </is>
      </c>
      <c r="B768" s="1" t="n">
        <v>44511.70518518519</v>
      </c>
      <c r="C768" s="1" t="n">
        <v>46070</v>
      </c>
      <c r="D768" t="inlineStr">
        <is>
          <t>STOCKHOLMS LÄN</t>
        </is>
      </c>
      <c r="E768" t="inlineStr">
        <is>
          <t>NORRTÄLJE</t>
        </is>
      </c>
      <c r="G768" t="n">
        <v>6.2</v>
      </c>
      <c r="H768" t="n">
        <v>0</v>
      </c>
      <c r="I768" t="n">
        <v>0</v>
      </c>
      <c r="J768" t="n">
        <v>0</v>
      </c>
      <c r="K768" t="n">
        <v>0</v>
      </c>
      <c r="L768" t="n">
        <v>0</v>
      </c>
      <c r="M768" t="n">
        <v>0</v>
      </c>
      <c r="N768" t="n">
        <v>0</v>
      </c>
      <c r="O768" t="n">
        <v>0</v>
      </c>
      <c r="P768" t="n">
        <v>0</v>
      </c>
      <c r="Q768" t="n">
        <v>0</v>
      </c>
      <c r="R768" s="2" t="inlineStr"/>
    </row>
    <row r="769" ht="15" customHeight="1">
      <c r="A769" t="inlineStr">
        <is>
          <t>A 50602-2021</t>
        </is>
      </c>
      <c r="B769" s="1" t="n">
        <v>44459</v>
      </c>
      <c r="C769" s="1" t="n">
        <v>46070</v>
      </c>
      <c r="D769" t="inlineStr">
        <is>
          <t>STOCKHOLMS LÄN</t>
        </is>
      </c>
      <c r="E769" t="inlineStr">
        <is>
          <t>NORRTÄLJE</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26365-2024</t>
        </is>
      </c>
      <c r="B770" s="1" t="n">
        <v>45469</v>
      </c>
      <c r="C770" s="1" t="n">
        <v>46070</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26640-2023</t>
        </is>
      </c>
      <c r="B771" s="1" t="n">
        <v>45092</v>
      </c>
      <c r="C771" s="1" t="n">
        <v>46070</v>
      </c>
      <c r="D771" t="inlineStr">
        <is>
          <t>STOCKHOLMS LÄN</t>
        </is>
      </c>
      <c r="E771" t="inlineStr">
        <is>
          <t>NORRTÄLJE</t>
        </is>
      </c>
      <c r="G771" t="n">
        <v>5.7</v>
      </c>
      <c r="H771" t="n">
        <v>0</v>
      </c>
      <c r="I771" t="n">
        <v>0</v>
      </c>
      <c r="J771" t="n">
        <v>0</v>
      </c>
      <c r="K771" t="n">
        <v>0</v>
      </c>
      <c r="L771" t="n">
        <v>0</v>
      </c>
      <c r="M771" t="n">
        <v>0</v>
      </c>
      <c r="N771" t="n">
        <v>0</v>
      </c>
      <c r="O771" t="n">
        <v>0</v>
      </c>
      <c r="P771" t="n">
        <v>0</v>
      </c>
      <c r="Q771" t="n">
        <v>0</v>
      </c>
      <c r="R771" s="2" t="inlineStr"/>
    </row>
    <row r="772" ht="15" customHeight="1">
      <c r="A772" t="inlineStr">
        <is>
          <t>A 8410-2026</t>
        </is>
      </c>
      <c r="B772" s="1" t="n">
        <v>46065.34261574074</v>
      </c>
      <c r="C772" s="1" t="n">
        <v>46070</v>
      </c>
      <c r="D772" t="inlineStr">
        <is>
          <t>STOCKHOLMS LÄN</t>
        </is>
      </c>
      <c r="E772" t="inlineStr">
        <is>
          <t>NORRTÄLJE</t>
        </is>
      </c>
      <c r="G772" t="n">
        <v>3.9</v>
      </c>
      <c r="H772" t="n">
        <v>0</v>
      </c>
      <c r="I772" t="n">
        <v>0</v>
      </c>
      <c r="J772" t="n">
        <v>0</v>
      </c>
      <c r="K772" t="n">
        <v>0</v>
      </c>
      <c r="L772" t="n">
        <v>0</v>
      </c>
      <c r="M772" t="n">
        <v>0</v>
      </c>
      <c r="N772" t="n">
        <v>0</v>
      </c>
      <c r="O772" t="n">
        <v>0</v>
      </c>
      <c r="P772" t="n">
        <v>0</v>
      </c>
      <c r="Q772" t="n">
        <v>0</v>
      </c>
      <c r="R772" s="2" t="inlineStr"/>
    </row>
    <row r="773" ht="15" customHeight="1">
      <c r="A773" t="inlineStr">
        <is>
          <t>A 31827-2023</t>
        </is>
      </c>
      <c r="B773" s="1" t="n">
        <v>45118</v>
      </c>
      <c r="C773" s="1" t="n">
        <v>46070</v>
      </c>
      <c r="D773" t="inlineStr">
        <is>
          <t>STOCKHOLMS LÄN</t>
        </is>
      </c>
      <c r="E773" t="inlineStr">
        <is>
          <t>NORRTÄLJE</t>
        </is>
      </c>
      <c r="F773" t="inlineStr">
        <is>
          <t>Kyrkan</t>
        </is>
      </c>
      <c r="G773" t="n">
        <v>4.9</v>
      </c>
      <c r="H773" t="n">
        <v>0</v>
      </c>
      <c r="I773" t="n">
        <v>0</v>
      </c>
      <c r="J773" t="n">
        <v>0</v>
      </c>
      <c r="K773" t="n">
        <v>0</v>
      </c>
      <c r="L773" t="n">
        <v>0</v>
      </c>
      <c r="M773" t="n">
        <v>0</v>
      </c>
      <c r="N773" t="n">
        <v>0</v>
      </c>
      <c r="O773" t="n">
        <v>0</v>
      </c>
      <c r="P773" t="n">
        <v>0</v>
      </c>
      <c r="Q773" t="n">
        <v>0</v>
      </c>
      <c r="R773" s="2" t="inlineStr"/>
    </row>
    <row r="774" ht="15" customHeight="1">
      <c r="A774" t="inlineStr">
        <is>
          <t>A 58993-2022</t>
        </is>
      </c>
      <c r="B774" s="1" t="n">
        <v>44903</v>
      </c>
      <c r="C774" s="1" t="n">
        <v>46070</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28900-2022</t>
        </is>
      </c>
      <c r="B775" s="1" t="n">
        <v>44749.55258101852</v>
      </c>
      <c r="C775" s="1" t="n">
        <v>46070</v>
      </c>
      <c r="D775" t="inlineStr">
        <is>
          <t>STOCKHOLMS LÄN</t>
        </is>
      </c>
      <c r="E775" t="inlineStr">
        <is>
          <t>NORRTÄLJE</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17574-2025</t>
        </is>
      </c>
      <c r="B776" s="1" t="n">
        <v>45757.65178240741</v>
      </c>
      <c r="C776" s="1" t="n">
        <v>46070</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58297-2023</t>
        </is>
      </c>
      <c r="B777" s="1" t="n">
        <v>45245</v>
      </c>
      <c r="C777" s="1" t="n">
        <v>46070</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8454-2026</t>
        </is>
      </c>
      <c r="B778" s="1" t="n">
        <v>46065.42506944444</v>
      </c>
      <c r="C778" s="1" t="n">
        <v>46070</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20304-2023</t>
        </is>
      </c>
      <c r="B779" s="1" t="n">
        <v>45056</v>
      </c>
      <c r="C779" s="1" t="n">
        <v>46070</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12299-2025</t>
        </is>
      </c>
      <c r="B780" s="1" t="n">
        <v>45729.71065972222</v>
      </c>
      <c r="C780" s="1" t="n">
        <v>46070</v>
      </c>
      <c r="D780" t="inlineStr">
        <is>
          <t>STOCKHOLMS LÄN</t>
        </is>
      </c>
      <c r="E780" t="inlineStr">
        <is>
          <t>NORRTÄLJE</t>
        </is>
      </c>
      <c r="F780" t="inlineStr">
        <is>
          <t>Holmen skog AB</t>
        </is>
      </c>
      <c r="G780" t="n">
        <v>6.9</v>
      </c>
      <c r="H780" t="n">
        <v>0</v>
      </c>
      <c r="I780" t="n">
        <v>0</v>
      </c>
      <c r="J780" t="n">
        <v>0</v>
      </c>
      <c r="K780" t="n">
        <v>0</v>
      </c>
      <c r="L780" t="n">
        <v>0</v>
      </c>
      <c r="M780" t="n">
        <v>0</v>
      </c>
      <c r="N780" t="n">
        <v>0</v>
      </c>
      <c r="O780" t="n">
        <v>0</v>
      </c>
      <c r="P780" t="n">
        <v>0</v>
      </c>
      <c r="Q780" t="n">
        <v>0</v>
      </c>
      <c r="R780" s="2" t="inlineStr"/>
    </row>
    <row r="781" ht="15" customHeight="1">
      <c r="A781" t="inlineStr">
        <is>
          <t>A 22157-2023</t>
        </is>
      </c>
      <c r="B781" s="1" t="n">
        <v>45069</v>
      </c>
      <c r="C781" s="1" t="n">
        <v>46070</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c r="U781">
        <f>HYPERLINK("https://klasma.github.io/Logging_0188/knärot/A 22157-2023 karta knärot.png", "A 22157-2023")</f>
        <v/>
      </c>
      <c r="V781">
        <f>HYPERLINK("https://klasma.github.io/Logging_0188/klagomål/A 22157-2023 FSC-klagomål.docx", "A 22157-2023")</f>
        <v/>
      </c>
      <c r="W781">
        <f>HYPERLINK("https://klasma.github.io/Logging_0188/klagomålsmail/A 22157-2023 FSC-klagomål mail.docx", "A 22157-2023")</f>
        <v/>
      </c>
      <c r="X781">
        <f>HYPERLINK("https://klasma.github.io/Logging_0188/tillsyn/A 22157-2023 tillsynsbegäran.docx", "A 22157-2023")</f>
        <v/>
      </c>
      <c r="Y781">
        <f>HYPERLINK("https://klasma.github.io/Logging_0188/tillsynsmail/A 22157-2023 tillsynsbegäran mail.docx", "A 22157-2023")</f>
        <v/>
      </c>
    </row>
    <row r="782" ht="15" customHeight="1">
      <c r="A782" t="inlineStr">
        <is>
          <t>A 8465-2026</t>
        </is>
      </c>
      <c r="B782" s="1" t="n">
        <v>46065.44141203703</v>
      </c>
      <c r="C782" s="1" t="n">
        <v>46070</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58403-2025</t>
        </is>
      </c>
      <c r="B783" s="1" t="n">
        <v>45985.56777777777</v>
      </c>
      <c r="C783" s="1" t="n">
        <v>46070</v>
      </c>
      <c r="D783" t="inlineStr">
        <is>
          <t>STOCKHOLMS LÄN</t>
        </is>
      </c>
      <c r="E783" t="inlineStr">
        <is>
          <t>NORRTÄLJE</t>
        </is>
      </c>
      <c r="F783" t="inlineStr">
        <is>
          <t>Naturvårdsverket</t>
        </is>
      </c>
      <c r="G783" t="n">
        <v>13.5</v>
      </c>
      <c r="H783" t="n">
        <v>0</v>
      </c>
      <c r="I783" t="n">
        <v>0</v>
      </c>
      <c r="J783" t="n">
        <v>0</v>
      </c>
      <c r="K783" t="n">
        <v>0</v>
      </c>
      <c r="L783" t="n">
        <v>0</v>
      </c>
      <c r="M783" t="n">
        <v>0</v>
      </c>
      <c r="N783" t="n">
        <v>0</v>
      </c>
      <c r="O783" t="n">
        <v>0</v>
      </c>
      <c r="P783" t="n">
        <v>0</v>
      </c>
      <c r="Q783" t="n">
        <v>0</v>
      </c>
      <c r="R783" s="2" t="inlineStr"/>
    </row>
    <row r="784" ht="15" customHeight="1">
      <c r="A784" t="inlineStr">
        <is>
          <t>A 58142-2025</t>
        </is>
      </c>
      <c r="B784" s="1" t="n">
        <v>45982.63791666667</v>
      </c>
      <c r="C784" s="1" t="n">
        <v>46070</v>
      </c>
      <c r="D784" t="inlineStr">
        <is>
          <t>STOCKHOLMS LÄN</t>
        </is>
      </c>
      <c r="E784" t="inlineStr">
        <is>
          <t>NORRTÄLJE</t>
        </is>
      </c>
      <c r="G784" t="n">
        <v>3.3</v>
      </c>
      <c r="H784" t="n">
        <v>0</v>
      </c>
      <c r="I784" t="n">
        <v>0</v>
      </c>
      <c r="J784" t="n">
        <v>0</v>
      </c>
      <c r="K784" t="n">
        <v>0</v>
      </c>
      <c r="L784" t="n">
        <v>0</v>
      </c>
      <c r="M784" t="n">
        <v>0</v>
      </c>
      <c r="N784" t="n">
        <v>0</v>
      </c>
      <c r="O784" t="n">
        <v>0</v>
      </c>
      <c r="P784" t="n">
        <v>0</v>
      </c>
      <c r="Q784" t="n">
        <v>0</v>
      </c>
      <c r="R784" s="2" t="inlineStr"/>
    </row>
    <row r="785" ht="15" customHeight="1">
      <c r="A785" t="inlineStr">
        <is>
          <t>A 57953-2025</t>
        </is>
      </c>
      <c r="B785" s="1" t="n">
        <v>45982.35016203704</v>
      </c>
      <c r="C785" s="1" t="n">
        <v>46070</v>
      </c>
      <c r="D785" t="inlineStr">
        <is>
          <t>STOCKHOLMS LÄN</t>
        </is>
      </c>
      <c r="E785" t="inlineStr">
        <is>
          <t>NORRTÄLJE</t>
        </is>
      </c>
      <c r="F785" t="inlineStr">
        <is>
          <t>Sveaskog</t>
        </is>
      </c>
      <c r="G785" t="n">
        <v>3</v>
      </c>
      <c r="H785" t="n">
        <v>0</v>
      </c>
      <c r="I785" t="n">
        <v>0</v>
      </c>
      <c r="J785" t="n">
        <v>0</v>
      </c>
      <c r="K785" t="n">
        <v>0</v>
      </c>
      <c r="L785" t="n">
        <v>0</v>
      </c>
      <c r="M785" t="n">
        <v>0</v>
      </c>
      <c r="N785" t="n">
        <v>0</v>
      </c>
      <c r="O785" t="n">
        <v>0</v>
      </c>
      <c r="P785" t="n">
        <v>0</v>
      </c>
      <c r="Q785" t="n">
        <v>0</v>
      </c>
      <c r="R785" s="2" t="inlineStr"/>
    </row>
    <row r="786" ht="15" customHeight="1">
      <c r="A786" t="inlineStr">
        <is>
          <t>A 11929-2024</t>
        </is>
      </c>
      <c r="B786" s="1" t="n">
        <v>45376.64532407407</v>
      </c>
      <c r="C786" s="1" t="n">
        <v>46070</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197-2026</t>
        </is>
      </c>
      <c r="B787" s="1" t="n">
        <v>46026</v>
      </c>
      <c r="C787" s="1" t="n">
        <v>46070</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58939-2025</t>
        </is>
      </c>
      <c r="B788" s="1" t="n">
        <v>45987.5681712963</v>
      </c>
      <c r="C788" s="1" t="n">
        <v>46070</v>
      </c>
      <c r="D788" t="inlineStr">
        <is>
          <t>STOCKHOLMS LÄN</t>
        </is>
      </c>
      <c r="E788" t="inlineStr">
        <is>
          <t>NORRTÄLJE</t>
        </is>
      </c>
      <c r="G788" t="n">
        <v>2</v>
      </c>
      <c r="H788" t="n">
        <v>0</v>
      </c>
      <c r="I788" t="n">
        <v>0</v>
      </c>
      <c r="J788" t="n">
        <v>0</v>
      </c>
      <c r="K788" t="n">
        <v>0</v>
      </c>
      <c r="L788" t="n">
        <v>0</v>
      </c>
      <c r="M788" t="n">
        <v>0</v>
      </c>
      <c r="N788" t="n">
        <v>0</v>
      </c>
      <c r="O788" t="n">
        <v>0</v>
      </c>
      <c r="P788" t="n">
        <v>0</v>
      </c>
      <c r="Q788" t="n">
        <v>0</v>
      </c>
      <c r="R788" s="2" t="inlineStr"/>
    </row>
    <row r="789" ht="15" customHeight="1">
      <c r="A789" t="inlineStr">
        <is>
          <t>A 124-2026</t>
        </is>
      </c>
      <c r="B789" s="1" t="n">
        <v>46024.58378472222</v>
      </c>
      <c r="C789" s="1" t="n">
        <v>46070</v>
      </c>
      <c r="D789" t="inlineStr">
        <is>
          <t>STOCKHOLMS LÄN</t>
        </is>
      </c>
      <c r="E789" t="inlineStr">
        <is>
          <t>NORRTÄLJE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8296-2023</t>
        </is>
      </c>
      <c r="B790" s="1" t="n">
        <v>44974</v>
      </c>
      <c r="C790" s="1" t="n">
        <v>46070</v>
      </c>
      <c r="D790" t="inlineStr">
        <is>
          <t>STOCKHOLMS LÄN</t>
        </is>
      </c>
      <c r="E790" t="inlineStr">
        <is>
          <t>NORRTÄLJE</t>
        </is>
      </c>
      <c r="G790" t="n">
        <v>3.8</v>
      </c>
      <c r="H790" t="n">
        <v>0</v>
      </c>
      <c r="I790" t="n">
        <v>0</v>
      </c>
      <c r="J790" t="n">
        <v>0</v>
      </c>
      <c r="K790" t="n">
        <v>0</v>
      </c>
      <c r="L790" t="n">
        <v>0</v>
      </c>
      <c r="M790" t="n">
        <v>0</v>
      </c>
      <c r="N790" t="n">
        <v>0</v>
      </c>
      <c r="O790" t="n">
        <v>0</v>
      </c>
      <c r="P790" t="n">
        <v>0</v>
      </c>
      <c r="Q790" t="n">
        <v>0</v>
      </c>
      <c r="R790" s="2" t="inlineStr"/>
    </row>
    <row r="791" ht="15" customHeight="1">
      <c r="A791" t="inlineStr">
        <is>
          <t>A 24575-2024</t>
        </is>
      </c>
      <c r="B791" s="1" t="n">
        <v>45460.45523148148</v>
      </c>
      <c r="C791" s="1" t="n">
        <v>46070</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64899-2023</t>
        </is>
      </c>
      <c r="B792" s="1" t="n">
        <v>45282</v>
      </c>
      <c r="C792" s="1" t="n">
        <v>46070</v>
      </c>
      <c r="D792" t="inlineStr">
        <is>
          <t>STOCKHOLMS LÄN</t>
        </is>
      </c>
      <c r="E792" t="inlineStr">
        <is>
          <t>NORRTÄLJE</t>
        </is>
      </c>
      <c r="G792" t="n">
        <v>6.3</v>
      </c>
      <c r="H792" t="n">
        <v>0</v>
      </c>
      <c r="I792" t="n">
        <v>0</v>
      </c>
      <c r="J792" t="n">
        <v>0</v>
      </c>
      <c r="K792" t="n">
        <v>0</v>
      </c>
      <c r="L792" t="n">
        <v>0</v>
      </c>
      <c r="M792" t="n">
        <v>0</v>
      </c>
      <c r="N792" t="n">
        <v>0</v>
      </c>
      <c r="O792" t="n">
        <v>0</v>
      </c>
      <c r="P792" t="n">
        <v>0</v>
      </c>
      <c r="Q792" t="n">
        <v>0</v>
      </c>
      <c r="R792" s="2" t="inlineStr"/>
    </row>
    <row r="793" ht="15" customHeight="1">
      <c r="A793" t="inlineStr">
        <is>
          <t>A 52593-2024</t>
        </is>
      </c>
      <c r="B793" s="1" t="n">
        <v>45609.70778935185</v>
      </c>
      <c r="C793" s="1" t="n">
        <v>46070</v>
      </c>
      <c r="D793" t="inlineStr">
        <is>
          <t>STOCKHOLMS LÄN</t>
        </is>
      </c>
      <c r="E793" t="inlineStr">
        <is>
          <t>NORRTÄLJE</t>
        </is>
      </c>
      <c r="F793" t="inlineStr">
        <is>
          <t>Holmen skog AB</t>
        </is>
      </c>
      <c r="G793" t="n">
        <v>2.4</v>
      </c>
      <c r="H793" t="n">
        <v>0</v>
      </c>
      <c r="I793" t="n">
        <v>0</v>
      </c>
      <c r="J793" t="n">
        <v>0</v>
      </c>
      <c r="K793" t="n">
        <v>0</v>
      </c>
      <c r="L793" t="n">
        <v>0</v>
      </c>
      <c r="M793" t="n">
        <v>0</v>
      </c>
      <c r="N793" t="n">
        <v>0</v>
      </c>
      <c r="O793" t="n">
        <v>0</v>
      </c>
      <c r="P793" t="n">
        <v>0</v>
      </c>
      <c r="Q793" t="n">
        <v>0</v>
      </c>
      <c r="R793" s="2" t="inlineStr"/>
    </row>
    <row r="794" ht="15" customHeight="1">
      <c r="A794" t="inlineStr">
        <is>
          <t>A 52617-2024</t>
        </is>
      </c>
      <c r="B794" s="1" t="n">
        <v>45609.85146990741</v>
      </c>
      <c r="C794" s="1" t="n">
        <v>46070</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693-2026</t>
        </is>
      </c>
      <c r="B795" s="1" t="n">
        <v>46029.6133449074</v>
      </c>
      <c r="C795" s="1" t="n">
        <v>46070</v>
      </c>
      <c r="D795" t="inlineStr">
        <is>
          <t>STOCKHOLMS LÄN</t>
        </is>
      </c>
      <c r="E795" t="inlineStr">
        <is>
          <t>NORRTÄLJE</t>
        </is>
      </c>
      <c r="G795" t="n">
        <v>9.6</v>
      </c>
      <c r="H795" t="n">
        <v>0</v>
      </c>
      <c r="I795" t="n">
        <v>0</v>
      </c>
      <c r="J795" t="n">
        <v>0</v>
      </c>
      <c r="K795" t="n">
        <v>0</v>
      </c>
      <c r="L795" t="n">
        <v>0</v>
      </c>
      <c r="M795" t="n">
        <v>0</v>
      </c>
      <c r="N795" t="n">
        <v>0</v>
      </c>
      <c r="O795" t="n">
        <v>0</v>
      </c>
      <c r="P795" t="n">
        <v>0</v>
      </c>
      <c r="Q795" t="n">
        <v>0</v>
      </c>
      <c r="R795" s="2" t="inlineStr"/>
    </row>
    <row r="796" ht="15" customHeight="1">
      <c r="A796" t="inlineStr">
        <is>
          <t>A 718-2026</t>
        </is>
      </c>
      <c r="B796" s="1" t="n">
        <v>46029.63174768518</v>
      </c>
      <c r="C796" s="1" t="n">
        <v>46070</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9103-2026</t>
        </is>
      </c>
      <c r="B797" s="1" t="n">
        <v>46069.65039351852</v>
      </c>
      <c r="C797" s="1" t="n">
        <v>46070</v>
      </c>
      <c r="D797" t="inlineStr">
        <is>
          <t>STOCKHOLMS LÄN</t>
        </is>
      </c>
      <c r="E797" t="inlineStr">
        <is>
          <t>NORRTÄLJE</t>
        </is>
      </c>
      <c r="F797" t="inlineStr">
        <is>
          <t>Holmen skog AB</t>
        </is>
      </c>
      <c r="G797" t="n">
        <v>3.6</v>
      </c>
      <c r="H797" t="n">
        <v>0</v>
      </c>
      <c r="I797" t="n">
        <v>0</v>
      </c>
      <c r="J797" t="n">
        <v>0</v>
      </c>
      <c r="K797" t="n">
        <v>0</v>
      </c>
      <c r="L797" t="n">
        <v>0</v>
      </c>
      <c r="M797" t="n">
        <v>0</v>
      </c>
      <c r="N797" t="n">
        <v>0</v>
      </c>
      <c r="O797" t="n">
        <v>0</v>
      </c>
      <c r="P797" t="n">
        <v>0</v>
      </c>
      <c r="Q797" t="n">
        <v>0</v>
      </c>
      <c r="R797" s="2" t="inlineStr"/>
    </row>
    <row r="798" ht="15" customHeight="1">
      <c r="A798" t="inlineStr">
        <is>
          <t>A 8962-2026</t>
        </is>
      </c>
      <c r="B798" s="1" t="n">
        <v>46069.41644675926</v>
      </c>
      <c r="C798" s="1" t="n">
        <v>46070</v>
      </c>
      <c r="D798" t="inlineStr">
        <is>
          <t>STOCKHOLMS LÄN</t>
        </is>
      </c>
      <c r="E798" t="inlineStr">
        <is>
          <t>NORRTÄLJE</t>
        </is>
      </c>
      <c r="F798" t="inlineStr">
        <is>
          <t>Holmen skog AB</t>
        </is>
      </c>
      <c r="G798" t="n">
        <v>4.1</v>
      </c>
      <c r="H798" t="n">
        <v>0</v>
      </c>
      <c r="I798" t="n">
        <v>0</v>
      </c>
      <c r="J798" t="n">
        <v>0</v>
      </c>
      <c r="K798" t="n">
        <v>0</v>
      </c>
      <c r="L798" t="n">
        <v>0</v>
      </c>
      <c r="M798" t="n">
        <v>0</v>
      </c>
      <c r="N798" t="n">
        <v>0</v>
      </c>
      <c r="O798" t="n">
        <v>0</v>
      </c>
      <c r="P798" t="n">
        <v>0</v>
      </c>
      <c r="Q798" t="n">
        <v>0</v>
      </c>
      <c r="R798" s="2" t="inlineStr"/>
    </row>
    <row r="799" ht="15" customHeight="1">
      <c r="A799" t="inlineStr">
        <is>
          <t>A 22816-2021</t>
        </is>
      </c>
      <c r="B799" s="1" t="n">
        <v>44325</v>
      </c>
      <c r="C799" s="1" t="n">
        <v>46070</v>
      </c>
      <c r="D799" t="inlineStr">
        <is>
          <t>STOCKHOLMS LÄN</t>
        </is>
      </c>
      <c r="E799" t="inlineStr">
        <is>
          <t>NORRTÄLJE</t>
        </is>
      </c>
      <c r="G799" t="n">
        <v>4.5</v>
      </c>
      <c r="H799" t="n">
        <v>0</v>
      </c>
      <c r="I799" t="n">
        <v>0</v>
      </c>
      <c r="J799" t="n">
        <v>0</v>
      </c>
      <c r="K799" t="n">
        <v>0</v>
      </c>
      <c r="L799" t="n">
        <v>0</v>
      </c>
      <c r="M799" t="n">
        <v>0</v>
      </c>
      <c r="N799" t="n">
        <v>0</v>
      </c>
      <c r="O799" t="n">
        <v>0</v>
      </c>
      <c r="P799" t="n">
        <v>0</v>
      </c>
      <c r="Q799" t="n">
        <v>0</v>
      </c>
      <c r="R799" s="2" t="inlineStr"/>
    </row>
    <row r="800" ht="15" customHeight="1">
      <c r="A800" t="inlineStr">
        <is>
          <t>A 59904-2023</t>
        </is>
      </c>
      <c r="B800" s="1" t="n">
        <v>45257</v>
      </c>
      <c r="C800" s="1" t="n">
        <v>46070</v>
      </c>
      <c r="D800" t="inlineStr">
        <is>
          <t>STOCKHOLMS LÄN</t>
        </is>
      </c>
      <c r="E800" t="inlineStr">
        <is>
          <t>NORRTÄLJE</t>
        </is>
      </c>
      <c r="G800" t="n">
        <v>17.4</v>
      </c>
      <c r="H800" t="n">
        <v>0</v>
      </c>
      <c r="I800" t="n">
        <v>0</v>
      </c>
      <c r="J800" t="n">
        <v>0</v>
      </c>
      <c r="K800" t="n">
        <v>0</v>
      </c>
      <c r="L800" t="n">
        <v>0</v>
      </c>
      <c r="M800" t="n">
        <v>0</v>
      </c>
      <c r="N800" t="n">
        <v>0</v>
      </c>
      <c r="O800" t="n">
        <v>0</v>
      </c>
      <c r="P800" t="n">
        <v>0</v>
      </c>
      <c r="Q800" t="n">
        <v>0</v>
      </c>
      <c r="R800" s="2" t="inlineStr"/>
    </row>
    <row r="801" ht="15" customHeight="1">
      <c r="A801" t="inlineStr">
        <is>
          <t>A 9914-2023</t>
        </is>
      </c>
      <c r="B801" s="1" t="n">
        <v>44985</v>
      </c>
      <c r="C801" s="1" t="n">
        <v>46070</v>
      </c>
      <c r="D801" t="inlineStr">
        <is>
          <t>STOCKHOLMS LÄN</t>
        </is>
      </c>
      <c r="E801" t="inlineStr">
        <is>
          <t>NORRTÄLJE</t>
        </is>
      </c>
      <c r="G801" t="n">
        <v>4.2</v>
      </c>
      <c r="H801" t="n">
        <v>0</v>
      </c>
      <c r="I801" t="n">
        <v>0</v>
      </c>
      <c r="J801" t="n">
        <v>0</v>
      </c>
      <c r="K801" t="n">
        <v>0</v>
      </c>
      <c r="L801" t="n">
        <v>0</v>
      </c>
      <c r="M801" t="n">
        <v>0</v>
      </c>
      <c r="N801" t="n">
        <v>0</v>
      </c>
      <c r="O801" t="n">
        <v>0</v>
      </c>
      <c r="P801" t="n">
        <v>0</v>
      </c>
      <c r="Q801" t="n">
        <v>0</v>
      </c>
      <c r="R801" s="2" t="inlineStr"/>
    </row>
    <row r="802" ht="15" customHeight="1">
      <c r="A802" t="inlineStr">
        <is>
          <t>A 8989-2026</t>
        </is>
      </c>
      <c r="B802" s="1" t="n">
        <v>46069.45789351852</v>
      </c>
      <c r="C802" s="1" t="n">
        <v>46070</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694-2026</t>
        </is>
      </c>
      <c r="B803" s="1" t="n">
        <v>46029.61375</v>
      </c>
      <c r="C803" s="1" t="n">
        <v>46070</v>
      </c>
      <c r="D803" t="inlineStr">
        <is>
          <t>STOCKHOLMS LÄN</t>
        </is>
      </c>
      <c r="E803" t="inlineStr">
        <is>
          <t>NORRTÄLJE</t>
        </is>
      </c>
      <c r="G803" t="n">
        <v>9.6</v>
      </c>
      <c r="H803" t="n">
        <v>0</v>
      </c>
      <c r="I803" t="n">
        <v>0</v>
      </c>
      <c r="J803" t="n">
        <v>0</v>
      </c>
      <c r="K803" t="n">
        <v>0</v>
      </c>
      <c r="L803" t="n">
        <v>0</v>
      </c>
      <c r="M803" t="n">
        <v>0</v>
      </c>
      <c r="N803" t="n">
        <v>0</v>
      </c>
      <c r="O803" t="n">
        <v>0</v>
      </c>
      <c r="P803" t="n">
        <v>0</v>
      </c>
      <c r="Q803" t="n">
        <v>0</v>
      </c>
      <c r="R803" s="2" t="inlineStr"/>
    </row>
    <row r="804" ht="15" customHeight="1">
      <c r="A804" t="inlineStr">
        <is>
          <t>A 475-2026</t>
        </is>
      </c>
      <c r="B804" s="1" t="n">
        <v>46029.39351851852</v>
      </c>
      <c r="C804" s="1" t="n">
        <v>46070</v>
      </c>
      <c r="D804" t="inlineStr">
        <is>
          <t>STOCKHOLMS LÄN</t>
        </is>
      </c>
      <c r="E804" t="inlineStr">
        <is>
          <t>NORRTÄLJE</t>
        </is>
      </c>
      <c r="G804" t="n">
        <v>4.6</v>
      </c>
      <c r="H804" t="n">
        <v>0</v>
      </c>
      <c r="I804" t="n">
        <v>0</v>
      </c>
      <c r="J804" t="n">
        <v>0</v>
      </c>
      <c r="K804" t="n">
        <v>0</v>
      </c>
      <c r="L804" t="n">
        <v>0</v>
      </c>
      <c r="M804" t="n">
        <v>0</v>
      </c>
      <c r="N804" t="n">
        <v>0</v>
      </c>
      <c r="O804" t="n">
        <v>0</v>
      </c>
      <c r="P804" t="n">
        <v>0</v>
      </c>
      <c r="Q804" t="n">
        <v>0</v>
      </c>
      <c r="R804" s="2" t="inlineStr"/>
    </row>
    <row r="805" ht="15" customHeight="1">
      <c r="A805" t="inlineStr">
        <is>
          <t>A 717-2026</t>
        </is>
      </c>
      <c r="B805" s="1" t="n">
        <v>46029.63028935185</v>
      </c>
      <c r="C805" s="1" t="n">
        <v>46070</v>
      </c>
      <c r="D805" t="inlineStr">
        <is>
          <t>STOCKHOLMS LÄN</t>
        </is>
      </c>
      <c r="E805" t="inlineStr">
        <is>
          <t>NORRTÄLJE</t>
        </is>
      </c>
      <c r="G805" t="n">
        <v>2.4</v>
      </c>
      <c r="H805" t="n">
        <v>0</v>
      </c>
      <c r="I805" t="n">
        <v>0</v>
      </c>
      <c r="J805" t="n">
        <v>0</v>
      </c>
      <c r="K805" t="n">
        <v>0</v>
      </c>
      <c r="L805" t="n">
        <v>0</v>
      </c>
      <c r="M805" t="n">
        <v>0</v>
      </c>
      <c r="N805" t="n">
        <v>0</v>
      </c>
      <c r="O805" t="n">
        <v>0</v>
      </c>
      <c r="P805" t="n">
        <v>0</v>
      </c>
      <c r="Q805" t="n">
        <v>0</v>
      </c>
      <c r="R805" s="2" t="inlineStr"/>
    </row>
    <row r="806" ht="15" customHeight="1">
      <c r="A806" t="inlineStr">
        <is>
          <t>A 11062-2024</t>
        </is>
      </c>
      <c r="B806" s="1" t="n">
        <v>45370</v>
      </c>
      <c r="C806" s="1" t="n">
        <v>46070</v>
      </c>
      <c r="D806" t="inlineStr">
        <is>
          <t>STOCKHOLMS LÄN</t>
        </is>
      </c>
      <c r="E806" t="inlineStr">
        <is>
          <t>NORRTÄLJE</t>
        </is>
      </c>
      <c r="G806" t="n">
        <v>3.2</v>
      </c>
      <c r="H806" t="n">
        <v>0</v>
      </c>
      <c r="I806" t="n">
        <v>0</v>
      </c>
      <c r="J806" t="n">
        <v>0</v>
      </c>
      <c r="K806" t="n">
        <v>0</v>
      </c>
      <c r="L806" t="n">
        <v>0</v>
      </c>
      <c r="M806" t="n">
        <v>0</v>
      </c>
      <c r="N806" t="n">
        <v>0</v>
      </c>
      <c r="O806" t="n">
        <v>0</v>
      </c>
      <c r="P806" t="n">
        <v>0</v>
      </c>
      <c r="Q806" t="n">
        <v>0</v>
      </c>
      <c r="R806" s="2" t="inlineStr"/>
    </row>
    <row r="807" ht="15" customHeight="1">
      <c r="A807" t="inlineStr">
        <is>
          <t>A 33569-2023</t>
        </is>
      </c>
      <c r="B807" s="1" t="n">
        <v>45131.666875</v>
      </c>
      <c r="C807" s="1" t="n">
        <v>46070</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15905-2023</t>
        </is>
      </c>
      <c r="B808" s="1" t="n">
        <v>45022</v>
      </c>
      <c r="C808" s="1" t="n">
        <v>46070</v>
      </c>
      <c r="D808" t="inlineStr">
        <is>
          <t>STOCKHOLMS LÄN</t>
        </is>
      </c>
      <c r="E808" t="inlineStr">
        <is>
          <t>NORRTÄLJE</t>
        </is>
      </c>
      <c r="G808" t="n">
        <v>3.2</v>
      </c>
      <c r="H808" t="n">
        <v>0</v>
      </c>
      <c r="I808" t="n">
        <v>0</v>
      </c>
      <c r="J808" t="n">
        <v>0</v>
      </c>
      <c r="K808" t="n">
        <v>0</v>
      </c>
      <c r="L808" t="n">
        <v>0</v>
      </c>
      <c r="M808" t="n">
        <v>0</v>
      </c>
      <c r="N808" t="n">
        <v>0</v>
      </c>
      <c r="O808" t="n">
        <v>0</v>
      </c>
      <c r="P808" t="n">
        <v>0</v>
      </c>
      <c r="Q808" t="n">
        <v>0</v>
      </c>
      <c r="R808" s="2" t="inlineStr"/>
    </row>
    <row r="809" ht="15" customHeight="1">
      <c r="A809" t="inlineStr">
        <is>
          <t>A 15956-2023</t>
        </is>
      </c>
      <c r="B809" s="1" t="n">
        <v>45022.61003472222</v>
      </c>
      <c r="C809" s="1" t="n">
        <v>46070</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47626-2022</t>
        </is>
      </c>
      <c r="B810" s="1" t="n">
        <v>44854</v>
      </c>
      <c r="C810" s="1" t="n">
        <v>46070</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62206-2022</t>
        </is>
      </c>
      <c r="B811" s="1" t="n">
        <v>44922</v>
      </c>
      <c r="C811" s="1" t="n">
        <v>46070</v>
      </c>
      <c r="D811" t="inlineStr">
        <is>
          <t>STOCKHOLMS LÄN</t>
        </is>
      </c>
      <c r="E811" t="inlineStr">
        <is>
          <t>NORRTÄLJE</t>
        </is>
      </c>
      <c r="G811" t="n">
        <v>2.9</v>
      </c>
      <c r="H811" t="n">
        <v>0</v>
      </c>
      <c r="I811" t="n">
        <v>0</v>
      </c>
      <c r="J811" t="n">
        <v>0</v>
      </c>
      <c r="K811" t="n">
        <v>0</v>
      </c>
      <c r="L811" t="n">
        <v>0</v>
      </c>
      <c r="M811" t="n">
        <v>0</v>
      </c>
      <c r="N811" t="n">
        <v>0</v>
      </c>
      <c r="O811" t="n">
        <v>0</v>
      </c>
      <c r="P811" t="n">
        <v>0</v>
      </c>
      <c r="Q811" t="n">
        <v>0</v>
      </c>
      <c r="R811" s="2" t="inlineStr"/>
    </row>
    <row r="812" ht="15" customHeight="1">
      <c r="A812" t="inlineStr">
        <is>
          <t>A 20618-2022</t>
        </is>
      </c>
      <c r="B812" s="1" t="n">
        <v>44700.50659722222</v>
      </c>
      <c r="C812" s="1" t="n">
        <v>46070</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40192-2023</t>
        </is>
      </c>
      <c r="B813" s="1" t="n">
        <v>45169</v>
      </c>
      <c r="C813" s="1" t="n">
        <v>46070</v>
      </c>
      <c r="D813" t="inlineStr">
        <is>
          <t>STOCKHOLMS LÄN</t>
        </is>
      </c>
      <c r="E813" t="inlineStr">
        <is>
          <t>NORRTÄLJE</t>
        </is>
      </c>
      <c r="F813" t="inlineStr">
        <is>
          <t>Kyrkan</t>
        </is>
      </c>
      <c r="G813" t="n">
        <v>0.7</v>
      </c>
      <c r="H813" t="n">
        <v>0</v>
      </c>
      <c r="I813" t="n">
        <v>0</v>
      </c>
      <c r="J813" t="n">
        <v>0</v>
      </c>
      <c r="K813" t="n">
        <v>0</v>
      </c>
      <c r="L813" t="n">
        <v>0</v>
      </c>
      <c r="M813" t="n">
        <v>0</v>
      </c>
      <c r="N813" t="n">
        <v>0</v>
      </c>
      <c r="O813" t="n">
        <v>0</v>
      </c>
      <c r="P813" t="n">
        <v>0</v>
      </c>
      <c r="Q813" t="n">
        <v>0</v>
      </c>
      <c r="R813" s="2" t="inlineStr"/>
    </row>
    <row r="814" ht="15" customHeight="1">
      <c r="A814" t="inlineStr">
        <is>
          <t>A 8985-2026</t>
        </is>
      </c>
      <c r="B814" s="1" t="n">
        <v>46069.45234953704</v>
      </c>
      <c r="C814" s="1" t="n">
        <v>46070</v>
      </c>
      <c r="D814" t="inlineStr">
        <is>
          <t>STOCKHOLMS LÄN</t>
        </is>
      </c>
      <c r="E814" t="inlineStr">
        <is>
          <t>NORRTÄLJE</t>
        </is>
      </c>
      <c r="F814" t="inlineStr">
        <is>
          <t>Holmen skog AB</t>
        </is>
      </c>
      <c r="G814" t="n">
        <v>1.1</v>
      </c>
      <c r="H814" t="n">
        <v>0</v>
      </c>
      <c r="I814" t="n">
        <v>0</v>
      </c>
      <c r="J814" t="n">
        <v>0</v>
      </c>
      <c r="K814" t="n">
        <v>0</v>
      </c>
      <c r="L814" t="n">
        <v>0</v>
      </c>
      <c r="M814" t="n">
        <v>0</v>
      </c>
      <c r="N814" t="n">
        <v>0</v>
      </c>
      <c r="O814" t="n">
        <v>0</v>
      </c>
      <c r="P814" t="n">
        <v>0</v>
      </c>
      <c r="Q814" t="n">
        <v>0</v>
      </c>
      <c r="R814" s="2" t="inlineStr"/>
    </row>
    <row r="815" ht="15" customHeight="1">
      <c r="A815" t="inlineStr">
        <is>
          <t>A 11900-2022</t>
        </is>
      </c>
      <c r="B815" s="1" t="n">
        <v>44635</v>
      </c>
      <c r="C815" s="1" t="n">
        <v>46070</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10973-2025</t>
        </is>
      </c>
      <c r="B816" s="1" t="n">
        <v>45723</v>
      </c>
      <c r="C816" s="1" t="n">
        <v>46070</v>
      </c>
      <c r="D816" t="inlineStr">
        <is>
          <t>STOCKHOLMS LÄN</t>
        </is>
      </c>
      <c r="E816" t="inlineStr">
        <is>
          <t>NORRTÄLJE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27885-2022</t>
        </is>
      </c>
      <c r="B817" s="1" t="n">
        <v>44743.67418981482</v>
      </c>
      <c r="C817" s="1" t="n">
        <v>46070</v>
      </c>
      <c r="D817" t="inlineStr">
        <is>
          <t>STOCKHOLMS LÄN</t>
        </is>
      </c>
      <c r="E817" t="inlineStr">
        <is>
          <t>NORRTÄLJE</t>
        </is>
      </c>
      <c r="F817" t="inlineStr">
        <is>
          <t>Holmen skog AB</t>
        </is>
      </c>
      <c r="G817" t="n">
        <v>0.8</v>
      </c>
      <c r="H817" t="n">
        <v>0</v>
      </c>
      <c r="I817" t="n">
        <v>0</v>
      </c>
      <c r="J817" t="n">
        <v>0</v>
      </c>
      <c r="K817" t="n">
        <v>0</v>
      </c>
      <c r="L817" t="n">
        <v>0</v>
      </c>
      <c r="M817" t="n">
        <v>0</v>
      </c>
      <c r="N817" t="n">
        <v>0</v>
      </c>
      <c r="O817" t="n">
        <v>0</v>
      </c>
      <c r="P817" t="n">
        <v>0</v>
      </c>
      <c r="Q817" t="n">
        <v>0</v>
      </c>
      <c r="R817" s="2" t="inlineStr"/>
    </row>
    <row r="818" ht="15" customHeight="1">
      <c r="A818" t="inlineStr">
        <is>
          <t>A 812-2026</t>
        </is>
      </c>
      <c r="B818" s="1" t="n">
        <v>46030.33358796296</v>
      </c>
      <c r="C818" s="1" t="n">
        <v>46070</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59041-2025</t>
        </is>
      </c>
      <c r="B819" s="1" t="n">
        <v>45988</v>
      </c>
      <c r="C819" s="1" t="n">
        <v>46070</v>
      </c>
      <c r="D819" t="inlineStr">
        <is>
          <t>STOCKHOLMS LÄN</t>
        </is>
      </c>
      <c r="E819" t="inlineStr">
        <is>
          <t>NORRTÄLJE</t>
        </is>
      </c>
      <c r="G819" t="n">
        <v>6.6</v>
      </c>
      <c r="H819" t="n">
        <v>0</v>
      </c>
      <c r="I819" t="n">
        <v>0</v>
      </c>
      <c r="J819" t="n">
        <v>0</v>
      </c>
      <c r="K819" t="n">
        <v>0</v>
      </c>
      <c r="L819" t="n">
        <v>0</v>
      </c>
      <c r="M819" t="n">
        <v>0</v>
      </c>
      <c r="N819" t="n">
        <v>0</v>
      </c>
      <c r="O819" t="n">
        <v>0</v>
      </c>
      <c r="P819" t="n">
        <v>0</v>
      </c>
      <c r="Q819" t="n">
        <v>0</v>
      </c>
      <c r="R819" s="2" t="inlineStr"/>
    </row>
    <row r="820" ht="15" customHeight="1">
      <c r="A820" t="inlineStr">
        <is>
          <t>A 59914-2025</t>
        </is>
      </c>
      <c r="B820" s="1" t="n">
        <v>45993.37056712963</v>
      </c>
      <c r="C820" s="1" t="n">
        <v>46070</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59672-2025</t>
        </is>
      </c>
      <c r="B821" s="1" t="n">
        <v>45992.45884259259</v>
      </c>
      <c r="C821" s="1" t="n">
        <v>46070</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60224-2023</t>
        </is>
      </c>
      <c r="B822" s="1" t="n">
        <v>45257</v>
      </c>
      <c r="C822" s="1" t="n">
        <v>46070</v>
      </c>
      <c r="D822" t="inlineStr">
        <is>
          <t>STOCKHOLMS LÄN</t>
        </is>
      </c>
      <c r="E822" t="inlineStr">
        <is>
          <t>NORRTÄLJE</t>
        </is>
      </c>
      <c r="G822" t="n">
        <v>8.1</v>
      </c>
      <c r="H822" t="n">
        <v>0</v>
      </c>
      <c r="I822" t="n">
        <v>0</v>
      </c>
      <c r="J822" t="n">
        <v>0</v>
      </c>
      <c r="K822" t="n">
        <v>0</v>
      </c>
      <c r="L822" t="n">
        <v>0</v>
      </c>
      <c r="M822" t="n">
        <v>0</v>
      </c>
      <c r="N822" t="n">
        <v>0</v>
      </c>
      <c r="O822" t="n">
        <v>0</v>
      </c>
      <c r="P822" t="n">
        <v>0</v>
      </c>
      <c r="Q822" t="n">
        <v>0</v>
      </c>
      <c r="R822" s="2" t="inlineStr"/>
    </row>
    <row r="823" ht="15" customHeight="1">
      <c r="A823" t="inlineStr">
        <is>
          <t>A 5158-2024</t>
        </is>
      </c>
      <c r="B823" s="1" t="n">
        <v>45330.50098379629</v>
      </c>
      <c r="C823" s="1" t="n">
        <v>46070</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57788-2025</t>
        </is>
      </c>
      <c r="B824" s="1" t="n">
        <v>45981.5778125</v>
      </c>
      <c r="C824" s="1" t="n">
        <v>46070</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59907-2025</t>
        </is>
      </c>
      <c r="B825" s="1" t="n">
        <v>45993.35350694445</v>
      </c>
      <c r="C825" s="1" t="n">
        <v>46070</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1755-2026</t>
        </is>
      </c>
      <c r="B826" s="1" t="n">
        <v>46034.66230324074</v>
      </c>
      <c r="C826" s="1" t="n">
        <v>46070</v>
      </c>
      <c r="D826" t="inlineStr">
        <is>
          <t>STOCKHOLMS LÄN</t>
        </is>
      </c>
      <c r="E826" t="inlineStr">
        <is>
          <t>NORRTÄLJE</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9130-2025</t>
        </is>
      </c>
      <c r="B827" s="1" t="n">
        <v>45713.92623842593</v>
      </c>
      <c r="C827" s="1" t="n">
        <v>46070</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59924-2025</t>
        </is>
      </c>
      <c r="B828" s="1" t="n">
        <v>45993.38928240741</v>
      </c>
      <c r="C828" s="1" t="n">
        <v>46070</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17551-2025</t>
        </is>
      </c>
      <c r="B829" s="1" t="n">
        <v>45757.61421296297</v>
      </c>
      <c r="C829" s="1" t="n">
        <v>46070</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55010-2024</t>
        </is>
      </c>
      <c r="B830" s="1" t="n">
        <v>45621.34425925926</v>
      </c>
      <c r="C830" s="1" t="n">
        <v>46070</v>
      </c>
      <c r="D830" t="inlineStr">
        <is>
          <t>STOCKHOLMS LÄN</t>
        </is>
      </c>
      <c r="E830" t="inlineStr">
        <is>
          <t>NORRTÄLJE</t>
        </is>
      </c>
      <c r="F830" t="inlineStr">
        <is>
          <t>Sveaskog</t>
        </is>
      </c>
      <c r="G830" t="n">
        <v>5.7</v>
      </c>
      <c r="H830" t="n">
        <v>0</v>
      </c>
      <c r="I830" t="n">
        <v>0</v>
      </c>
      <c r="J830" t="n">
        <v>0</v>
      </c>
      <c r="K830" t="n">
        <v>0</v>
      </c>
      <c r="L830" t="n">
        <v>0</v>
      </c>
      <c r="M830" t="n">
        <v>0</v>
      </c>
      <c r="N830" t="n">
        <v>0</v>
      </c>
      <c r="O830" t="n">
        <v>0</v>
      </c>
      <c r="P830" t="n">
        <v>0</v>
      </c>
      <c r="Q830" t="n">
        <v>0</v>
      </c>
      <c r="R830" s="2" t="inlineStr"/>
    </row>
    <row r="831" ht="15" customHeight="1">
      <c r="A831" t="inlineStr">
        <is>
          <t>A 31105-2022</t>
        </is>
      </c>
      <c r="B831" s="1" t="n">
        <v>44769.66039351852</v>
      </c>
      <c r="C831" s="1" t="n">
        <v>46070</v>
      </c>
      <c r="D831" t="inlineStr">
        <is>
          <t>STOCKHOLMS LÄN</t>
        </is>
      </c>
      <c r="E831" t="inlineStr">
        <is>
          <t>NORRTÄLJE</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2116-2026</t>
        </is>
      </c>
      <c r="B832" s="1" t="n">
        <v>46036.38108796296</v>
      </c>
      <c r="C832" s="1" t="n">
        <v>46070</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60253-2025</t>
        </is>
      </c>
      <c r="B833" s="1" t="n">
        <v>45994.59827546297</v>
      </c>
      <c r="C833" s="1" t="n">
        <v>46070</v>
      </c>
      <c r="D833" t="inlineStr">
        <is>
          <t>STOCKHOLMS LÄN</t>
        </is>
      </c>
      <c r="E833" t="inlineStr">
        <is>
          <t>NORRTÄLJE</t>
        </is>
      </c>
      <c r="F833" t="inlineStr">
        <is>
          <t>Holmen skog AB</t>
        </is>
      </c>
      <c r="G833" t="n">
        <v>3.6</v>
      </c>
      <c r="H833" t="n">
        <v>0</v>
      </c>
      <c r="I833" t="n">
        <v>0</v>
      </c>
      <c r="J833" t="n">
        <v>0</v>
      </c>
      <c r="K833" t="n">
        <v>0</v>
      </c>
      <c r="L833" t="n">
        <v>0</v>
      </c>
      <c r="M833" t="n">
        <v>0</v>
      </c>
      <c r="N833" t="n">
        <v>0</v>
      </c>
      <c r="O833" t="n">
        <v>0</v>
      </c>
      <c r="P833" t="n">
        <v>0</v>
      </c>
      <c r="Q833" t="n">
        <v>0</v>
      </c>
      <c r="R833" s="2" t="inlineStr"/>
    </row>
    <row r="834" ht="15" customHeight="1">
      <c r="A834" t="inlineStr">
        <is>
          <t>A 30620-2022</t>
        </is>
      </c>
      <c r="B834" s="1" t="n">
        <v>44763.40914351852</v>
      </c>
      <c r="C834" s="1" t="n">
        <v>46070</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50113-2024</t>
        </is>
      </c>
      <c r="B835" s="1" t="n">
        <v>45600.411875</v>
      </c>
      <c r="C835" s="1" t="n">
        <v>46070</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28365-2022</t>
        </is>
      </c>
      <c r="B836" s="1" t="n">
        <v>44747</v>
      </c>
      <c r="C836" s="1" t="n">
        <v>46070</v>
      </c>
      <c r="D836" t="inlineStr">
        <is>
          <t>STOCKHOLMS LÄN</t>
        </is>
      </c>
      <c r="E836" t="inlineStr">
        <is>
          <t>NORRTÄLJE</t>
        </is>
      </c>
      <c r="G836" t="n">
        <v>5.1</v>
      </c>
      <c r="H836" t="n">
        <v>0</v>
      </c>
      <c r="I836" t="n">
        <v>0</v>
      </c>
      <c r="J836" t="n">
        <v>0</v>
      </c>
      <c r="K836" t="n">
        <v>0</v>
      </c>
      <c r="L836" t="n">
        <v>0</v>
      </c>
      <c r="M836" t="n">
        <v>0</v>
      </c>
      <c r="N836" t="n">
        <v>0</v>
      </c>
      <c r="O836" t="n">
        <v>0</v>
      </c>
      <c r="P836" t="n">
        <v>0</v>
      </c>
      <c r="Q836" t="n">
        <v>0</v>
      </c>
      <c r="R836" s="2" t="inlineStr"/>
    </row>
    <row r="837" ht="15" customHeight="1">
      <c r="A837" t="inlineStr">
        <is>
          <t>A 42955-2022</t>
        </is>
      </c>
      <c r="B837" s="1" t="n">
        <v>44833.40876157407</v>
      </c>
      <c r="C837" s="1" t="n">
        <v>46070</v>
      </c>
      <c r="D837" t="inlineStr">
        <is>
          <t>STOCKHOLMS LÄN</t>
        </is>
      </c>
      <c r="E837" t="inlineStr">
        <is>
          <t>NORRTÄLJE</t>
        </is>
      </c>
      <c r="G837" t="n">
        <v>13.1</v>
      </c>
      <c r="H837" t="n">
        <v>0</v>
      </c>
      <c r="I837" t="n">
        <v>0</v>
      </c>
      <c r="J837" t="n">
        <v>0</v>
      </c>
      <c r="K837" t="n">
        <v>0</v>
      </c>
      <c r="L837" t="n">
        <v>0</v>
      </c>
      <c r="M837" t="n">
        <v>0</v>
      </c>
      <c r="N837" t="n">
        <v>0</v>
      </c>
      <c r="O837" t="n">
        <v>0</v>
      </c>
      <c r="P837" t="n">
        <v>0</v>
      </c>
      <c r="Q837" t="n">
        <v>0</v>
      </c>
      <c r="R837" s="2" t="inlineStr"/>
    </row>
    <row r="838" ht="15" customHeight="1">
      <c r="A838" t="inlineStr">
        <is>
          <t>A 1283-2025</t>
        </is>
      </c>
      <c r="B838" s="1" t="n">
        <v>45667.49878472222</v>
      </c>
      <c r="C838" s="1" t="n">
        <v>46070</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60214-2025</t>
        </is>
      </c>
      <c r="B839" s="1" t="n">
        <v>45994.53761574074</v>
      </c>
      <c r="C839" s="1" t="n">
        <v>46070</v>
      </c>
      <c r="D839" t="inlineStr">
        <is>
          <t>STOCKHOLMS LÄN</t>
        </is>
      </c>
      <c r="E839" t="inlineStr">
        <is>
          <t>NORRTÄLJE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2088-2026</t>
        </is>
      </c>
      <c r="B840" s="1" t="n">
        <v>46036.35909722222</v>
      </c>
      <c r="C840" s="1" t="n">
        <v>46070</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46070</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60223-2025</t>
        </is>
      </c>
      <c r="B842" s="1" t="n">
        <v>45994.54497685185</v>
      </c>
      <c r="C842" s="1" t="n">
        <v>46070</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13767-2025</t>
        </is>
      </c>
      <c r="B843" s="1" t="n">
        <v>45737.43347222222</v>
      </c>
      <c r="C843" s="1" t="n">
        <v>46070</v>
      </c>
      <c r="D843" t="inlineStr">
        <is>
          <t>STOCKHOLMS LÄN</t>
        </is>
      </c>
      <c r="E843" t="inlineStr">
        <is>
          <t>NORRTÄLJE</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20013-2025</t>
        </is>
      </c>
      <c r="B844" s="1" t="n">
        <v>45772.30436342592</v>
      </c>
      <c r="C844" s="1" t="n">
        <v>46070</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53362-2023</t>
        </is>
      </c>
      <c r="B845" s="1" t="n">
        <v>45223</v>
      </c>
      <c r="C845" s="1" t="n">
        <v>46070</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60745-2025</t>
        </is>
      </c>
      <c r="B846" s="1" t="n">
        <v>45999.37753472223</v>
      </c>
      <c r="C846" s="1" t="n">
        <v>46070</v>
      </c>
      <c r="D846" t="inlineStr">
        <is>
          <t>STOCKHOLMS LÄN</t>
        </is>
      </c>
      <c r="E846" t="inlineStr">
        <is>
          <t>NORRTÄLJE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15422-2024</t>
        </is>
      </c>
      <c r="B847" s="1" t="n">
        <v>45401.3653125</v>
      </c>
      <c r="C847" s="1" t="n">
        <v>46070</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60649-2025</t>
        </is>
      </c>
      <c r="B848" s="1" t="n">
        <v>45996.4560300926</v>
      </c>
      <c r="C848" s="1" t="n">
        <v>46070</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30508-2023</t>
        </is>
      </c>
      <c r="B849" s="1" t="n">
        <v>45111</v>
      </c>
      <c r="C849" s="1" t="n">
        <v>46070</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60948-2025</t>
        </is>
      </c>
      <c r="B850" s="1" t="n">
        <v>45999.650625</v>
      </c>
      <c r="C850" s="1" t="n">
        <v>46070</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1789-2026</t>
        </is>
      </c>
      <c r="B851" s="1" t="n">
        <v>46034</v>
      </c>
      <c r="C851" s="1" t="n">
        <v>46070</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16008-2025</t>
        </is>
      </c>
      <c r="B852" s="1" t="n">
        <v>45749</v>
      </c>
      <c r="C852" s="1" t="n">
        <v>46070</v>
      </c>
      <c r="D852" t="inlineStr">
        <is>
          <t>STOCKHOLMS LÄN</t>
        </is>
      </c>
      <c r="E852" t="inlineStr">
        <is>
          <t>NORRTÄLJE</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21158-2022</t>
        </is>
      </c>
      <c r="B853" s="1" t="n">
        <v>44704</v>
      </c>
      <c r="C853" s="1" t="n">
        <v>46070</v>
      </c>
      <c r="D853" t="inlineStr">
        <is>
          <t>STOCKHOLMS LÄN</t>
        </is>
      </c>
      <c r="E853" t="inlineStr">
        <is>
          <t>NORRTÄLJE</t>
        </is>
      </c>
      <c r="G853" t="n">
        <v>17.8</v>
      </c>
      <c r="H853" t="n">
        <v>0</v>
      </c>
      <c r="I853" t="n">
        <v>0</v>
      </c>
      <c r="J853" t="n">
        <v>0</v>
      </c>
      <c r="K853" t="n">
        <v>0</v>
      </c>
      <c r="L853" t="n">
        <v>0</v>
      </c>
      <c r="M853" t="n">
        <v>0</v>
      </c>
      <c r="N853" t="n">
        <v>0</v>
      </c>
      <c r="O853" t="n">
        <v>0</v>
      </c>
      <c r="P853" t="n">
        <v>0</v>
      </c>
      <c r="Q853" t="n">
        <v>0</v>
      </c>
      <c r="R853" s="2" t="inlineStr"/>
    </row>
    <row r="854" ht="15" customHeight="1">
      <c r="A854" t="inlineStr">
        <is>
          <t>A 60928-2025</t>
        </is>
      </c>
      <c r="B854" s="1" t="n">
        <v>45999.633125</v>
      </c>
      <c r="C854" s="1" t="n">
        <v>46070</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32101-2022</t>
        </is>
      </c>
      <c r="B855" s="1" t="n">
        <v>44778.69210648148</v>
      </c>
      <c r="C855" s="1" t="n">
        <v>46070</v>
      </c>
      <c r="D855" t="inlineStr">
        <is>
          <t>STOCKHOLMS LÄN</t>
        </is>
      </c>
      <c r="E855" t="inlineStr">
        <is>
          <t>NORRTÄLJE</t>
        </is>
      </c>
      <c r="G855" t="n">
        <v>4.4</v>
      </c>
      <c r="H855" t="n">
        <v>0</v>
      </c>
      <c r="I855" t="n">
        <v>0</v>
      </c>
      <c r="J855" t="n">
        <v>0</v>
      </c>
      <c r="K855" t="n">
        <v>0</v>
      </c>
      <c r="L855" t="n">
        <v>0</v>
      </c>
      <c r="M855" t="n">
        <v>0</v>
      </c>
      <c r="N855" t="n">
        <v>0</v>
      </c>
      <c r="O855" t="n">
        <v>0</v>
      </c>
      <c r="P855" t="n">
        <v>0</v>
      </c>
      <c r="Q855" t="n">
        <v>0</v>
      </c>
      <c r="R855" s="2" t="inlineStr"/>
    </row>
    <row r="856" ht="15" customHeight="1">
      <c r="A856" t="inlineStr">
        <is>
          <t>A 23150-2024</t>
        </is>
      </c>
      <c r="B856" s="1" t="n">
        <v>45450.64643518518</v>
      </c>
      <c r="C856" s="1" t="n">
        <v>46070</v>
      </c>
      <c r="D856" t="inlineStr">
        <is>
          <t>STOCKHOLMS LÄN</t>
        </is>
      </c>
      <c r="E856" t="inlineStr">
        <is>
          <t>NORRTÄLJE</t>
        </is>
      </c>
      <c r="F856" t="inlineStr">
        <is>
          <t>Kommuner</t>
        </is>
      </c>
      <c r="G856" t="n">
        <v>2.7</v>
      </c>
      <c r="H856" t="n">
        <v>0</v>
      </c>
      <c r="I856" t="n">
        <v>0</v>
      </c>
      <c r="J856" t="n">
        <v>0</v>
      </c>
      <c r="K856" t="n">
        <v>0</v>
      </c>
      <c r="L856" t="n">
        <v>0</v>
      </c>
      <c r="M856" t="n">
        <v>0</v>
      </c>
      <c r="N856" t="n">
        <v>0</v>
      </c>
      <c r="O856" t="n">
        <v>0</v>
      </c>
      <c r="P856" t="n">
        <v>0</v>
      </c>
      <c r="Q856" t="n">
        <v>0</v>
      </c>
      <c r="R856" s="2" t="inlineStr"/>
    </row>
    <row r="857" ht="15" customHeight="1">
      <c r="A857" t="inlineStr">
        <is>
          <t>A 24933-2023</t>
        </is>
      </c>
      <c r="B857" s="1" t="n">
        <v>45085.5309375</v>
      </c>
      <c r="C857" s="1" t="n">
        <v>46070</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3933-2026</t>
        </is>
      </c>
      <c r="B858" s="1" t="n">
        <v>46043.79916666666</v>
      </c>
      <c r="C858" s="1" t="n">
        <v>46070</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56631-2024</t>
        </is>
      </c>
      <c r="B859" s="1" t="n">
        <v>45625</v>
      </c>
      <c r="C859" s="1" t="n">
        <v>46070</v>
      </c>
      <c r="D859" t="inlineStr">
        <is>
          <t>STOCKHOLMS LÄN</t>
        </is>
      </c>
      <c r="E859" t="inlineStr">
        <is>
          <t>NORRTÄLJE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61160-2025</t>
        </is>
      </c>
      <c r="B860" s="1" t="n">
        <v>46000.55262731481</v>
      </c>
      <c r="C860" s="1" t="n">
        <v>46070</v>
      </c>
      <c r="D860" t="inlineStr">
        <is>
          <t>STOCKHOLMS LÄN</t>
        </is>
      </c>
      <c r="E860" t="inlineStr">
        <is>
          <t>NORRTÄLJE</t>
        </is>
      </c>
      <c r="G860" t="n">
        <v>5.3</v>
      </c>
      <c r="H860" t="n">
        <v>0</v>
      </c>
      <c r="I860" t="n">
        <v>0</v>
      </c>
      <c r="J860" t="n">
        <v>0</v>
      </c>
      <c r="K860" t="n">
        <v>0</v>
      </c>
      <c r="L860" t="n">
        <v>0</v>
      </c>
      <c r="M860" t="n">
        <v>0</v>
      </c>
      <c r="N860" t="n">
        <v>0</v>
      </c>
      <c r="O860" t="n">
        <v>0</v>
      </c>
      <c r="P860" t="n">
        <v>0</v>
      </c>
      <c r="Q860" t="n">
        <v>0</v>
      </c>
      <c r="R860" s="2" t="inlineStr"/>
    </row>
    <row r="861" ht="15" customHeight="1">
      <c r="A861" t="inlineStr">
        <is>
          <t>A 652-2025</t>
        </is>
      </c>
      <c r="B861" s="1" t="n">
        <v>45664</v>
      </c>
      <c r="C861" s="1" t="n">
        <v>46070</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61419-2025</t>
        </is>
      </c>
      <c r="B862" s="1" t="n">
        <v>46001.54137731482</v>
      </c>
      <c r="C862" s="1" t="n">
        <v>46070</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61430-2025</t>
        </is>
      </c>
      <c r="B863" s="1" t="n">
        <v>46001.55583333333</v>
      </c>
      <c r="C863" s="1" t="n">
        <v>46070</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5389-2025</t>
        </is>
      </c>
      <c r="B864" s="1" t="n">
        <v>45692</v>
      </c>
      <c r="C864" s="1" t="n">
        <v>46070</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61452-2025</t>
        </is>
      </c>
      <c r="B865" s="1" t="n">
        <v>46001.58043981482</v>
      </c>
      <c r="C865" s="1" t="n">
        <v>46070</v>
      </c>
      <c r="D865" t="inlineStr">
        <is>
          <t>STOCKHOLMS LÄN</t>
        </is>
      </c>
      <c r="E865" t="inlineStr">
        <is>
          <t>NORRTÄLJE</t>
        </is>
      </c>
      <c r="F865" t="inlineStr">
        <is>
          <t>Holmen skog AB</t>
        </is>
      </c>
      <c r="G865" t="n">
        <v>3.7</v>
      </c>
      <c r="H865" t="n">
        <v>0</v>
      </c>
      <c r="I865" t="n">
        <v>0</v>
      </c>
      <c r="J865" t="n">
        <v>0</v>
      </c>
      <c r="K865" t="n">
        <v>0</v>
      </c>
      <c r="L865" t="n">
        <v>0</v>
      </c>
      <c r="M865" t="n">
        <v>0</v>
      </c>
      <c r="N865" t="n">
        <v>0</v>
      </c>
      <c r="O865" t="n">
        <v>0</v>
      </c>
      <c r="P865" t="n">
        <v>0</v>
      </c>
      <c r="Q865" t="n">
        <v>0</v>
      </c>
      <c r="R865" s="2" t="inlineStr"/>
    </row>
    <row r="866" ht="15" customHeight="1">
      <c r="A866" t="inlineStr">
        <is>
          <t>A 13051-2021</t>
        </is>
      </c>
      <c r="B866" s="1" t="n">
        <v>44272</v>
      </c>
      <c r="C866" s="1" t="n">
        <v>46070</v>
      </c>
      <c r="D866" t="inlineStr">
        <is>
          <t>STOCKHOLMS LÄN</t>
        </is>
      </c>
      <c r="E866" t="inlineStr">
        <is>
          <t>NORRTÄLJE</t>
        </is>
      </c>
      <c r="G866" t="n">
        <v>9.1</v>
      </c>
      <c r="H866" t="n">
        <v>0</v>
      </c>
      <c r="I866" t="n">
        <v>0</v>
      </c>
      <c r="J866" t="n">
        <v>0</v>
      </c>
      <c r="K866" t="n">
        <v>0</v>
      </c>
      <c r="L866" t="n">
        <v>0</v>
      </c>
      <c r="M866" t="n">
        <v>0</v>
      </c>
      <c r="N866" t="n">
        <v>0</v>
      </c>
      <c r="O866" t="n">
        <v>0</v>
      </c>
      <c r="P866" t="n">
        <v>0</v>
      </c>
      <c r="Q866" t="n">
        <v>0</v>
      </c>
      <c r="R866" s="2" t="inlineStr"/>
    </row>
    <row r="867" ht="15" customHeight="1">
      <c r="A867" t="inlineStr">
        <is>
          <t>A 11499-2023</t>
        </is>
      </c>
      <c r="B867" s="1" t="n">
        <v>44993.66707175926</v>
      </c>
      <c r="C867" s="1" t="n">
        <v>46070</v>
      </c>
      <c r="D867" t="inlineStr">
        <is>
          <t>STOCKHOLMS LÄN</t>
        </is>
      </c>
      <c r="E867" t="inlineStr">
        <is>
          <t>NORRTÄLJE</t>
        </is>
      </c>
      <c r="F867" t="inlineStr">
        <is>
          <t>Holmen skog AB</t>
        </is>
      </c>
      <c r="G867" t="n">
        <v>2.8</v>
      </c>
      <c r="H867" t="n">
        <v>0</v>
      </c>
      <c r="I867" t="n">
        <v>0</v>
      </c>
      <c r="J867" t="n">
        <v>0</v>
      </c>
      <c r="K867" t="n">
        <v>0</v>
      </c>
      <c r="L867" t="n">
        <v>0</v>
      </c>
      <c r="M867" t="n">
        <v>0</v>
      </c>
      <c r="N867" t="n">
        <v>0</v>
      </c>
      <c r="O867" t="n">
        <v>0</v>
      </c>
      <c r="P867" t="n">
        <v>0</v>
      </c>
      <c r="Q867" t="n">
        <v>0</v>
      </c>
      <c r="R867" s="2" t="inlineStr"/>
    </row>
    <row r="868" ht="15" customHeight="1">
      <c r="A868" t="inlineStr">
        <is>
          <t>A 576-2023</t>
        </is>
      </c>
      <c r="B868" s="1" t="n">
        <v>44925</v>
      </c>
      <c r="C868" s="1" t="n">
        <v>46070</v>
      </c>
      <c r="D868" t="inlineStr">
        <is>
          <t>STOCKHOLMS LÄN</t>
        </is>
      </c>
      <c r="E868" t="inlineStr">
        <is>
          <t>NORRTÄLJE</t>
        </is>
      </c>
      <c r="G868" t="n">
        <v>7.2</v>
      </c>
      <c r="H868" t="n">
        <v>0</v>
      </c>
      <c r="I868" t="n">
        <v>0</v>
      </c>
      <c r="J868" t="n">
        <v>0</v>
      </c>
      <c r="K868" t="n">
        <v>0</v>
      </c>
      <c r="L868" t="n">
        <v>0</v>
      </c>
      <c r="M868" t="n">
        <v>0</v>
      </c>
      <c r="N868" t="n">
        <v>0</v>
      </c>
      <c r="O868" t="n">
        <v>0</v>
      </c>
      <c r="P868" t="n">
        <v>0</v>
      </c>
      <c r="Q868" t="n">
        <v>0</v>
      </c>
      <c r="R868" s="2" t="inlineStr"/>
    </row>
    <row r="869" ht="15" customHeight="1">
      <c r="A869" t="inlineStr">
        <is>
          <t>A 10678-2025</t>
        </is>
      </c>
      <c r="B869" s="1" t="n">
        <v>45721.89123842592</v>
      </c>
      <c r="C869" s="1" t="n">
        <v>46070</v>
      </c>
      <c r="D869" t="inlineStr">
        <is>
          <t>STOCKHOLMS LÄN</t>
        </is>
      </c>
      <c r="E869" t="inlineStr">
        <is>
          <t>NORRTÄLJE</t>
        </is>
      </c>
      <c r="G869" t="n">
        <v>2.6</v>
      </c>
      <c r="H869" t="n">
        <v>0</v>
      </c>
      <c r="I869" t="n">
        <v>0</v>
      </c>
      <c r="J869" t="n">
        <v>0</v>
      </c>
      <c r="K869" t="n">
        <v>0</v>
      </c>
      <c r="L869" t="n">
        <v>0</v>
      </c>
      <c r="M869" t="n">
        <v>0</v>
      </c>
      <c r="N869" t="n">
        <v>0</v>
      </c>
      <c r="O869" t="n">
        <v>0</v>
      </c>
      <c r="P869" t="n">
        <v>0</v>
      </c>
      <c r="Q869" t="n">
        <v>0</v>
      </c>
      <c r="R869" s="2" t="inlineStr"/>
    </row>
    <row r="870" ht="15" customHeight="1">
      <c r="A870" t="inlineStr">
        <is>
          <t>A 31936-2022</t>
        </is>
      </c>
      <c r="B870" s="1" t="n">
        <v>44777</v>
      </c>
      <c r="C870" s="1" t="n">
        <v>46070</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59873-2024</t>
        </is>
      </c>
      <c r="B871" s="1" t="n">
        <v>45640.57305555556</v>
      </c>
      <c r="C871" s="1" t="n">
        <v>46070</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35916-2024</t>
        </is>
      </c>
      <c r="B872" s="1" t="n">
        <v>45533</v>
      </c>
      <c r="C872" s="1" t="n">
        <v>46070</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10098-2022</t>
        </is>
      </c>
      <c r="B873" s="1" t="n">
        <v>44621</v>
      </c>
      <c r="C873" s="1" t="n">
        <v>46070</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63161-2023</t>
        </is>
      </c>
      <c r="B874" s="1" t="n">
        <v>45273</v>
      </c>
      <c r="C874" s="1" t="n">
        <v>46070</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7796-2025</t>
        </is>
      </c>
      <c r="B875" s="1" t="n">
        <v>45706.60130787037</v>
      </c>
      <c r="C875" s="1" t="n">
        <v>46070</v>
      </c>
      <c r="D875" t="inlineStr">
        <is>
          <t>STOCKHOLMS LÄN</t>
        </is>
      </c>
      <c r="E875" t="inlineStr">
        <is>
          <t>NORRTÄLJE</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15552-2021</t>
        </is>
      </c>
      <c r="B876" s="1" t="n">
        <v>44285</v>
      </c>
      <c r="C876" s="1" t="n">
        <v>46070</v>
      </c>
      <c r="D876" t="inlineStr">
        <is>
          <t>STOCKHOLMS LÄN</t>
        </is>
      </c>
      <c r="E876" t="inlineStr">
        <is>
          <t>NORRTÄLJE</t>
        </is>
      </c>
      <c r="G876" t="n">
        <v>10</v>
      </c>
      <c r="H876" t="n">
        <v>0</v>
      </c>
      <c r="I876" t="n">
        <v>0</v>
      </c>
      <c r="J876" t="n">
        <v>0</v>
      </c>
      <c r="K876" t="n">
        <v>0</v>
      </c>
      <c r="L876" t="n">
        <v>0</v>
      </c>
      <c r="M876" t="n">
        <v>0</v>
      </c>
      <c r="N876" t="n">
        <v>0</v>
      </c>
      <c r="O876" t="n">
        <v>0</v>
      </c>
      <c r="P876" t="n">
        <v>0</v>
      </c>
      <c r="Q876" t="n">
        <v>0</v>
      </c>
      <c r="R876" s="2" t="inlineStr"/>
    </row>
    <row r="877" ht="15" customHeight="1">
      <c r="A877" t="inlineStr">
        <is>
          <t>A 58040-2024</t>
        </is>
      </c>
      <c r="B877" s="1" t="n">
        <v>45631.73952546297</v>
      </c>
      <c r="C877" s="1" t="n">
        <v>46070</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58041-2024</t>
        </is>
      </c>
      <c r="B878" s="1" t="n">
        <v>45631.74673611111</v>
      </c>
      <c r="C878" s="1" t="n">
        <v>46070</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30268-2024</t>
        </is>
      </c>
      <c r="B879" s="1" t="n">
        <v>45490.60572916667</v>
      </c>
      <c r="C879" s="1" t="n">
        <v>46070</v>
      </c>
      <c r="D879" t="inlineStr">
        <is>
          <t>STOCKHOLMS LÄN</t>
        </is>
      </c>
      <c r="E879" t="inlineStr">
        <is>
          <t>NORRTÄLJE</t>
        </is>
      </c>
      <c r="G879" t="n">
        <v>5.6</v>
      </c>
      <c r="H879" t="n">
        <v>0</v>
      </c>
      <c r="I879" t="n">
        <v>0</v>
      </c>
      <c r="J879" t="n">
        <v>0</v>
      </c>
      <c r="K879" t="n">
        <v>0</v>
      </c>
      <c r="L879" t="n">
        <v>0</v>
      </c>
      <c r="M879" t="n">
        <v>0</v>
      </c>
      <c r="N879" t="n">
        <v>0</v>
      </c>
      <c r="O879" t="n">
        <v>0</v>
      </c>
      <c r="P879" t="n">
        <v>0</v>
      </c>
      <c r="Q879" t="n">
        <v>0</v>
      </c>
      <c r="R879" s="2" t="inlineStr"/>
    </row>
    <row r="880" ht="15" customHeight="1">
      <c r="A880" t="inlineStr">
        <is>
          <t>A 12407-2025</t>
        </is>
      </c>
      <c r="B880" s="1" t="n">
        <v>45730.42851851852</v>
      </c>
      <c r="C880" s="1" t="n">
        <v>46070</v>
      </c>
      <c r="D880" t="inlineStr">
        <is>
          <t>STOCKHOLMS LÄN</t>
        </is>
      </c>
      <c r="E880" t="inlineStr">
        <is>
          <t>NORRTÄLJE</t>
        </is>
      </c>
      <c r="F880" t="inlineStr">
        <is>
          <t>Holmen skog AB</t>
        </is>
      </c>
      <c r="G880" t="n">
        <v>2.6</v>
      </c>
      <c r="H880" t="n">
        <v>0</v>
      </c>
      <c r="I880" t="n">
        <v>0</v>
      </c>
      <c r="J880" t="n">
        <v>0</v>
      </c>
      <c r="K880" t="n">
        <v>0</v>
      </c>
      <c r="L880" t="n">
        <v>0</v>
      </c>
      <c r="M880" t="n">
        <v>0</v>
      </c>
      <c r="N880" t="n">
        <v>0</v>
      </c>
      <c r="O880" t="n">
        <v>0</v>
      </c>
      <c r="P880" t="n">
        <v>0</v>
      </c>
      <c r="Q880" t="n">
        <v>0</v>
      </c>
      <c r="R880" s="2" t="inlineStr"/>
    </row>
    <row r="881" ht="15" customHeight="1">
      <c r="A881" t="inlineStr">
        <is>
          <t>A 19025-2025</t>
        </is>
      </c>
      <c r="B881" s="1" t="n">
        <v>45764.6359837963</v>
      </c>
      <c r="C881" s="1" t="n">
        <v>46070</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54276-2021</t>
        </is>
      </c>
      <c r="B882" s="1" t="n">
        <v>44470</v>
      </c>
      <c r="C882" s="1" t="n">
        <v>46070</v>
      </c>
      <c r="D882" t="inlineStr">
        <is>
          <t>STOCKHOLMS LÄN</t>
        </is>
      </c>
      <c r="E882" t="inlineStr">
        <is>
          <t>NORRTÄLJE</t>
        </is>
      </c>
      <c r="G882" t="n">
        <v>7.3</v>
      </c>
      <c r="H882" t="n">
        <v>0</v>
      </c>
      <c r="I882" t="n">
        <v>0</v>
      </c>
      <c r="J882" t="n">
        <v>0</v>
      </c>
      <c r="K882" t="n">
        <v>0</v>
      </c>
      <c r="L882" t="n">
        <v>0</v>
      </c>
      <c r="M882" t="n">
        <v>0</v>
      </c>
      <c r="N882" t="n">
        <v>0</v>
      </c>
      <c r="O882" t="n">
        <v>0</v>
      </c>
      <c r="P882" t="n">
        <v>0</v>
      </c>
      <c r="Q882" t="n">
        <v>0</v>
      </c>
      <c r="R882" s="2" t="inlineStr"/>
    </row>
    <row r="883" ht="15" customHeight="1">
      <c r="A883" t="inlineStr">
        <is>
          <t>A 4316-2023</t>
        </is>
      </c>
      <c r="B883" s="1" t="n">
        <v>44953.67443287037</v>
      </c>
      <c r="C883" s="1" t="n">
        <v>46070</v>
      </c>
      <c r="D883" t="inlineStr">
        <is>
          <t>STOCKHOLMS LÄN</t>
        </is>
      </c>
      <c r="E883" t="inlineStr">
        <is>
          <t>NORRTÄLJE</t>
        </is>
      </c>
      <c r="G883" t="n">
        <v>2.1</v>
      </c>
      <c r="H883" t="n">
        <v>0</v>
      </c>
      <c r="I883" t="n">
        <v>0</v>
      </c>
      <c r="J883" t="n">
        <v>0</v>
      </c>
      <c r="K883" t="n">
        <v>0</v>
      </c>
      <c r="L883" t="n">
        <v>0</v>
      </c>
      <c r="M883" t="n">
        <v>0</v>
      </c>
      <c r="N883" t="n">
        <v>0</v>
      </c>
      <c r="O883" t="n">
        <v>0</v>
      </c>
      <c r="P883" t="n">
        <v>0</v>
      </c>
      <c r="Q883" t="n">
        <v>0</v>
      </c>
      <c r="R883" s="2" t="inlineStr"/>
    </row>
    <row r="884" ht="15" customHeight="1">
      <c r="A884" t="inlineStr">
        <is>
          <t>A 41587-2023</t>
        </is>
      </c>
      <c r="B884" s="1" t="n">
        <v>45175</v>
      </c>
      <c r="C884" s="1" t="n">
        <v>46070</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17304-2024</t>
        </is>
      </c>
      <c r="B885" s="1" t="n">
        <v>45414</v>
      </c>
      <c r="C885" s="1" t="n">
        <v>46070</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11280-2023</t>
        </is>
      </c>
      <c r="B886" s="1" t="n">
        <v>44992</v>
      </c>
      <c r="C886" s="1" t="n">
        <v>46070</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26668-2024</t>
        </is>
      </c>
      <c r="B887" s="1" t="n">
        <v>45469</v>
      </c>
      <c r="C887" s="1" t="n">
        <v>46070</v>
      </c>
      <c r="D887" t="inlineStr">
        <is>
          <t>STOCKHOLMS LÄN</t>
        </is>
      </c>
      <c r="E887" t="inlineStr">
        <is>
          <t>NORRTÄLJE</t>
        </is>
      </c>
      <c r="G887" t="n">
        <v>4.8</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46070</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21480-2022</t>
        </is>
      </c>
      <c r="B889" s="1" t="n">
        <v>44704</v>
      </c>
      <c r="C889" s="1" t="n">
        <v>46070</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11041-2025</t>
        </is>
      </c>
      <c r="B890" s="1" t="n">
        <v>45723</v>
      </c>
      <c r="C890" s="1" t="n">
        <v>46070</v>
      </c>
      <c r="D890" t="inlineStr">
        <is>
          <t>STOCKHOLMS LÄN</t>
        </is>
      </c>
      <c r="E890" t="inlineStr">
        <is>
          <t>NORRTÄLJE</t>
        </is>
      </c>
      <c r="F890" t="inlineStr">
        <is>
          <t>Övriga Aktiebolag</t>
        </is>
      </c>
      <c r="G890" t="n">
        <v>1.8</v>
      </c>
      <c r="H890" t="n">
        <v>0</v>
      </c>
      <c r="I890" t="n">
        <v>0</v>
      </c>
      <c r="J890" t="n">
        <v>0</v>
      </c>
      <c r="K890" t="n">
        <v>0</v>
      </c>
      <c r="L890" t="n">
        <v>0</v>
      </c>
      <c r="M890" t="n">
        <v>0</v>
      </c>
      <c r="N890" t="n">
        <v>0</v>
      </c>
      <c r="O890" t="n">
        <v>0</v>
      </c>
      <c r="P890" t="n">
        <v>0</v>
      </c>
      <c r="Q890" t="n">
        <v>0</v>
      </c>
      <c r="R890" s="2" t="inlineStr"/>
    </row>
    <row r="891" ht="15" customHeight="1">
      <c r="A891" t="inlineStr">
        <is>
          <t>A 9469-2021</t>
        </is>
      </c>
      <c r="B891" s="1" t="n">
        <v>44251</v>
      </c>
      <c r="C891" s="1" t="n">
        <v>46070</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24024-2024</t>
        </is>
      </c>
      <c r="B892" s="1" t="n">
        <v>45456</v>
      </c>
      <c r="C892" s="1" t="n">
        <v>46070</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28809-2023</t>
        </is>
      </c>
      <c r="B893" s="1" t="n">
        <v>45104</v>
      </c>
      <c r="C893" s="1" t="n">
        <v>46070</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28813-2023</t>
        </is>
      </c>
      <c r="B894" s="1" t="n">
        <v>45104</v>
      </c>
      <c r="C894" s="1" t="n">
        <v>46070</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40656-2022</t>
        </is>
      </c>
      <c r="B895" s="1" t="n">
        <v>44824.36069444445</v>
      </c>
      <c r="C895" s="1" t="n">
        <v>46070</v>
      </c>
      <c r="D895" t="inlineStr">
        <is>
          <t>STOCKHOLMS LÄN</t>
        </is>
      </c>
      <c r="E895" t="inlineStr">
        <is>
          <t>NORRTÄLJE</t>
        </is>
      </c>
      <c r="G895" t="n">
        <v>2.7</v>
      </c>
      <c r="H895" t="n">
        <v>0</v>
      </c>
      <c r="I895" t="n">
        <v>0</v>
      </c>
      <c r="J895" t="n">
        <v>0</v>
      </c>
      <c r="K895" t="n">
        <v>0</v>
      </c>
      <c r="L895" t="n">
        <v>0</v>
      </c>
      <c r="M895" t="n">
        <v>0</v>
      </c>
      <c r="N895" t="n">
        <v>0</v>
      </c>
      <c r="O895" t="n">
        <v>0</v>
      </c>
      <c r="P895" t="n">
        <v>0</v>
      </c>
      <c r="Q895" t="n">
        <v>0</v>
      </c>
      <c r="R895" s="2" t="inlineStr"/>
    </row>
    <row r="896" ht="15" customHeight="1">
      <c r="A896" t="inlineStr">
        <is>
          <t>A 60694-2024</t>
        </is>
      </c>
      <c r="B896" s="1" t="n">
        <v>45644.47878472223</v>
      </c>
      <c r="C896" s="1" t="n">
        <v>46070</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19450-2025</t>
        </is>
      </c>
      <c r="B897" s="1" t="n">
        <v>45770</v>
      </c>
      <c r="C897" s="1" t="n">
        <v>46070</v>
      </c>
      <c r="D897" t="inlineStr">
        <is>
          <t>STOCKHOLMS LÄN</t>
        </is>
      </c>
      <c r="E897" t="inlineStr">
        <is>
          <t>NORRTÄLJE</t>
        </is>
      </c>
      <c r="G897" t="n">
        <v>5.3</v>
      </c>
      <c r="H897" t="n">
        <v>0</v>
      </c>
      <c r="I897" t="n">
        <v>0</v>
      </c>
      <c r="J897" t="n">
        <v>0</v>
      </c>
      <c r="K897" t="n">
        <v>0</v>
      </c>
      <c r="L897" t="n">
        <v>0</v>
      </c>
      <c r="M897" t="n">
        <v>0</v>
      </c>
      <c r="N897" t="n">
        <v>0</v>
      </c>
      <c r="O897" t="n">
        <v>0</v>
      </c>
      <c r="P897" t="n">
        <v>0</v>
      </c>
      <c r="Q897" t="n">
        <v>0</v>
      </c>
      <c r="R897" s="2" t="inlineStr"/>
    </row>
    <row r="898" ht="15" customHeight="1">
      <c r="A898" t="inlineStr">
        <is>
          <t>A 33353-2023</t>
        </is>
      </c>
      <c r="B898" s="1" t="n">
        <v>45128</v>
      </c>
      <c r="C898" s="1" t="n">
        <v>46070</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3966-2024</t>
        </is>
      </c>
      <c r="B899" s="1" t="n">
        <v>45322</v>
      </c>
      <c r="C899" s="1" t="n">
        <v>46070</v>
      </c>
      <c r="D899" t="inlineStr">
        <is>
          <t>STOCKHOLMS LÄN</t>
        </is>
      </c>
      <c r="E899" t="inlineStr">
        <is>
          <t>NORRTÄLJE</t>
        </is>
      </c>
      <c r="G899" t="n">
        <v>5.3</v>
      </c>
      <c r="H899" t="n">
        <v>0</v>
      </c>
      <c r="I899" t="n">
        <v>0</v>
      </c>
      <c r="J899" t="n">
        <v>0</v>
      </c>
      <c r="K899" t="n">
        <v>0</v>
      </c>
      <c r="L899" t="n">
        <v>0</v>
      </c>
      <c r="M899" t="n">
        <v>0</v>
      </c>
      <c r="N899" t="n">
        <v>0</v>
      </c>
      <c r="O899" t="n">
        <v>0</v>
      </c>
      <c r="P899" t="n">
        <v>0</v>
      </c>
      <c r="Q899" t="n">
        <v>0</v>
      </c>
      <c r="R899" s="2" t="inlineStr"/>
    </row>
    <row r="900" ht="15" customHeight="1">
      <c r="A900" t="inlineStr">
        <is>
          <t>A 23262-2023</t>
        </is>
      </c>
      <c r="B900" s="1" t="n">
        <v>45075.90270833333</v>
      </c>
      <c r="C900" s="1" t="n">
        <v>46070</v>
      </c>
      <c r="D900" t="inlineStr">
        <is>
          <t>STOCKHOLMS LÄN</t>
        </is>
      </c>
      <c r="E900" t="inlineStr">
        <is>
          <t>NORRTÄLJE</t>
        </is>
      </c>
      <c r="F900" t="inlineStr">
        <is>
          <t>Kommuner</t>
        </is>
      </c>
      <c r="G900" t="n">
        <v>1.9</v>
      </c>
      <c r="H900" t="n">
        <v>0</v>
      </c>
      <c r="I900" t="n">
        <v>0</v>
      </c>
      <c r="J900" t="n">
        <v>0</v>
      </c>
      <c r="K900" t="n">
        <v>0</v>
      </c>
      <c r="L900" t="n">
        <v>0</v>
      </c>
      <c r="M900" t="n">
        <v>0</v>
      </c>
      <c r="N900" t="n">
        <v>0</v>
      </c>
      <c r="O900" t="n">
        <v>0</v>
      </c>
      <c r="P900" t="n">
        <v>0</v>
      </c>
      <c r="Q900" t="n">
        <v>0</v>
      </c>
      <c r="R900" s="2" t="inlineStr"/>
    </row>
    <row r="901" ht="15" customHeight="1">
      <c r="A901" t="inlineStr">
        <is>
          <t>A 23268-2023</t>
        </is>
      </c>
      <c r="B901" s="1" t="n">
        <v>45075.91042824074</v>
      </c>
      <c r="C901" s="1" t="n">
        <v>46070</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23270-2023</t>
        </is>
      </c>
      <c r="B902" s="1" t="n">
        <v>45075.91265046296</v>
      </c>
      <c r="C902" s="1" t="n">
        <v>46070</v>
      </c>
      <c r="D902" t="inlineStr">
        <is>
          <t>STOCKHOLMS LÄN</t>
        </is>
      </c>
      <c r="E902" t="inlineStr">
        <is>
          <t>NORRTÄLJE</t>
        </is>
      </c>
      <c r="G902" t="n">
        <v>12.3</v>
      </c>
      <c r="H902" t="n">
        <v>0</v>
      </c>
      <c r="I902" t="n">
        <v>0</v>
      </c>
      <c r="J902" t="n">
        <v>0</v>
      </c>
      <c r="K902" t="n">
        <v>0</v>
      </c>
      <c r="L902" t="n">
        <v>0</v>
      </c>
      <c r="M902" t="n">
        <v>0</v>
      </c>
      <c r="N902" t="n">
        <v>0</v>
      </c>
      <c r="O902" t="n">
        <v>0</v>
      </c>
      <c r="P902" t="n">
        <v>0</v>
      </c>
      <c r="Q902" t="n">
        <v>0</v>
      </c>
      <c r="R902" s="2" t="inlineStr"/>
    </row>
    <row r="903" ht="15" customHeight="1">
      <c r="A903" t="inlineStr">
        <is>
          <t>A 23274-2023</t>
        </is>
      </c>
      <c r="B903" s="1" t="n">
        <v>45075.92153935185</v>
      </c>
      <c r="C903" s="1" t="n">
        <v>46070</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17843-2024</t>
        </is>
      </c>
      <c r="B904" s="1" t="n">
        <v>45418</v>
      </c>
      <c r="C904" s="1" t="n">
        <v>46070</v>
      </c>
      <c r="D904" t="inlineStr">
        <is>
          <t>STOCKHOLMS LÄN</t>
        </is>
      </c>
      <c r="E904" t="inlineStr">
        <is>
          <t>NORRTÄLJE</t>
        </is>
      </c>
      <c r="G904" t="n">
        <v>5.4</v>
      </c>
      <c r="H904" t="n">
        <v>0</v>
      </c>
      <c r="I904" t="n">
        <v>0</v>
      </c>
      <c r="J904" t="n">
        <v>0</v>
      </c>
      <c r="K904" t="n">
        <v>0</v>
      </c>
      <c r="L904" t="n">
        <v>0</v>
      </c>
      <c r="M904" t="n">
        <v>0</v>
      </c>
      <c r="N904" t="n">
        <v>0</v>
      </c>
      <c r="O904" t="n">
        <v>0</v>
      </c>
      <c r="P904" t="n">
        <v>0</v>
      </c>
      <c r="Q904" t="n">
        <v>0</v>
      </c>
      <c r="R904" s="2" t="inlineStr"/>
    </row>
    <row r="905" ht="15" customHeight="1">
      <c r="A905" t="inlineStr">
        <is>
          <t>A 26636-2023</t>
        </is>
      </c>
      <c r="B905" s="1" t="n">
        <v>45092</v>
      </c>
      <c r="C905" s="1" t="n">
        <v>46070</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26637-2023</t>
        </is>
      </c>
      <c r="B906" s="1" t="n">
        <v>45092</v>
      </c>
      <c r="C906" s="1" t="n">
        <v>46070</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72704-2021</t>
        </is>
      </c>
      <c r="B907" s="1" t="n">
        <v>44546</v>
      </c>
      <c r="C907" s="1" t="n">
        <v>46070</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52743-2024</t>
        </is>
      </c>
      <c r="B908" s="1" t="n">
        <v>45610.47414351852</v>
      </c>
      <c r="C908" s="1" t="n">
        <v>46070</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16852-2024</t>
        </is>
      </c>
      <c r="B909" s="1" t="n">
        <v>45411.54768518519</v>
      </c>
      <c r="C909" s="1" t="n">
        <v>46070</v>
      </c>
      <c r="D909" t="inlineStr">
        <is>
          <t>STOCKHOLMS LÄN</t>
        </is>
      </c>
      <c r="E909" t="inlineStr">
        <is>
          <t>NORRTÄLJE</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55755-2023</t>
        </is>
      </c>
      <c r="B910" s="1" t="n">
        <v>45239</v>
      </c>
      <c r="C910" s="1" t="n">
        <v>46070</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17348-2024</t>
        </is>
      </c>
      <c r="B911" s="1" t="n">
        <v>45414.58650462963</v>
      </c>
      <c r="C911" s="1" t="n">
        <v>46070</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13089-2022</t>
        </is>
      </c>
      <c r="B912" s="1" t="n">
        <v>44643</v>
      </c>
      <c r="C912" s="1" t="n">
        <v>46070</v>
      </c>
      <c r="D912" t="inlineStr">
        <is>
          <t>STOCKHOLMS LÄN</t>
        </is>
      </c>
      <c r="E912" t="inlineStr">
        <is>
          <t>NORRTÄLJE</t>
        </is>
      </c>
      <c r="G912" t="n">
        <v>4.5</v>
      </c>
      <c r="H912" t="n">
        <v>0</v>
      </c>
      <c r="I912" t="n">
        <v>0</v>
      </c>
      <c r="J912" t="n">
        <v>0</v>
      </c>
      <c r="K912" t="n">
        <v>0</v>
      </c>
      <c r="L912" t="n">
        <v>0</v>
      </c>
      <c r="M912" t="n">
        <v>0</v>
      </c>
      <c r="N912" t="n">
        <v>0</v>
      </c>
      <c r="O912" t="n">
        <v>0</v>
      </c>
      <c r="P912" t="n">
        <v>0</v>
      </c>
      <c r="Q912" t="n">
        <v>0</v>
      </c>
      <c r="R912" s="2" t="inlineStr"/>
    </row>
    <row r="913" ht="15" customHeight="1">
      <c r="A913" t="inlineStr">
        <is>
          <t>A 48145-2024</t>
        </is>
      </c>
      <c r="B913" s="1" t="n">
        <v>45589.6756712963</v>
      </c>
      <c r="C913" s="1" t="n">
        <v>46070</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23998-2024</t>
        </is>
      </c>
      <c r="B914" s="1" t="n">
        <v>45456</v>
      </c>
      <c r="C914" s="1" t="n">
        <v>46070</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15447-2023</t>
        </is>
      </c>
      <c r="B915" s="1" t="n">
        <v>45020</v>
      </c>
      <c r="C915" s="1" t="n">
        <v>46070</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54358-2022</t>
        </is>
      </c>
      <c r="B916" s="1" t="n">
        <v>44882</v>
      </c>
      <c r="C916" s="1" t="n">
        <v>46070</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23263-2023</t>
        </is>
      </c>
      <c r="B917" s="1" t="n">
        <v>45075</v>
      </c>
      <c r="C917" s="1" t="n">
        <v>46070</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23264-2023</t>
        </is>
      </c>
      <c r="B918" s="1" t="n">
        <v>45075</v>
      </c>
      <c r="C918" s="1" t="n">
        <v>46070</v>
      </c>
      <c r="D918" t="inlineStr">
        <is>
          <t>STOCKHOLMS LÄN</t>
        </is>
      </c>
      <c r="E918" t="inlineStr">
        <is>
          <t>NORRTÄLJE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23267-2023</t>
        </is>
      </c>
      <c r="B919" s="1" t="n">
        <v>45075.90934027778</v>
      </c>
      <c r="C919" s="1" t="n">
        <v>46070</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23269-2023</t>
        </is>
      </c>
      <c r="B920" s="1" t="n">
        <v>45075.91148148148</v>
      </c>
      <c r="C920" s="1" t="n">
        <v>46070</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19911-2025</t>
        </is>
      </c>
      <c r="B921" s="1" t="n">
        <v>45771</v>
      </c>
      <c r="C921" s="1" t="n">
        <v>46070</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5831-2022</t>
        </is>
      </c>
      <c r="B922" s="1" t="n">
        <v>44596</v>
      </c>
      <c r="C922" s="1" t="n">
        <v>46070</v>
      </c>
      <c r="D922" t="inlineStr">
        <is>
          <t>STOCKHOLMS LÄN</t>
        </is>
      </c>
      <c r="E922" t="inlineStr">
        <is>
          <t>NORRTÄLJE</t>
        </is>
      </c>
      <c r="G922" t="n">
        <v>4.8</v>
      </c>
      <c r="H922" t="n">
        <v>0</v>
      </c>
      <c r="I922" t="n">
        <v>0</v>
      </c>
      <c r="J922" t="n">
        <v>0</v>
      </c>
      <c r="K922" t="n">
        <v>0</v>
      </c>
      <c r="L922" t="n">
        <v>0</v>
      </c>
      <c r="M922" t="n">
        <v>0</v>
      </c>
      <c r="N922" t="n">
        <v>0</v>
      </c>
      <c r="O922" t="n">
        <v>0</v>
      </c>
      <c r="P922" t="n">
        <v>0</v>
      </c>
      <c r="Q922" t="n">
        <v>0</v>
      </c>
      <c r="R922" s="2" t="inlineStr"/>
    </row>
    <row r="923" ht="15" customHeight="1">
      <c r="A923" t="inlineStr">
        <is>
          <t>A 5867-2022</t>
        </is>
      </c>
      <c r="B923" s="1" t="n">
        <v>44596.66335648148</v>
      </c>
      <c r="C923" s="1" t="n">
        <v>46070</v>
      </c>
      <c r="D923" t="inlineStr">
        <is>
          <t>STOCKHOLMS LÄN</t>
        </is>
      </c>
      <c r="E923" t="inlineStr">
        <is>
          <t>NORRTÄLJE</t>
        </is>
      </c>
      <c r="F923" t="inlineStr">
        <is>
          <t>Naturvårdsverket</t>
        </is>
      </c>
      <c r="G923" t="n">
        <v>1.6</v>
      </c>
      <c r="H923" t="n">
        <v>0</v>
      </c>
      <c r="I923" t="n">
        <v>0</v>
      </c>
      <c r="J923" t="n">
        <v>0</v>
      </c>
      <c r="K923" t="n">
        <v>0</v>
      </c>
      <c r="L923" t="n">
        <v>0</v>
      </c>
      <c r="M923" t="n">
        <v>0</v>
      </c>
      <c r="N923" t="n">
        <v>0</v>
      </c>
      <c r="O923" t="n">
        <v>0</v>
      </c>
      <c r="P923" t="n">
        <v>0</v>
      </c>
      <c r="Q923" t="n">
        <v>0</v>
      </c>
      <c r="R923" s="2" t="inlineStr"/>
    </row>
    <row r="924" ht="15" customHeight="1">
      <c r="A924" t="inlineStr">
        <is>
          <t>A 20244-2025</t>
        </is>
      </c>
      <c r="B924" s="1" t="n">
        <v>45772.71221064815</v>
      </c>
      <c r="C924" s="1" t="n">
        <v>46070</v>
      </c>
      <c r="D924" t="inlineStr">
        <is>
          <t>STOCKHOLMS LÄN</t>
        </is>
      </c>
      <c r="E924" t="inlineStr">
        <is>
          <t>NORRTÄLJE</t>
        </is>
      </c>
      <c r="G924" t="n">
        <v>1</v>
      </c>
      <c r="H924" t="n">
        <v>0</v>
      </c>
      <c r="I924" t="n">
        <v>0</v>
      </c>
      <c r="J924" t="n">
        <v>0</v>
      </c>
      <c r="K924" t="n">
        <v>0</v>
      </c>
      <c r="L924" t="n">
        <v>0</v>
      </c>
      <c r="M924" t="n">
        <v>0</v>
      </c>
      <c r="N924" t="n">
        <v>0</v>
      </c>
      <c r="O924" t="n">
        <v>0</v>
      </c>
      <c r="P924" t="n">
        <v>0</v>
      </c>
      <c r="Q924" t="n">
        <v>0</v>
      </c>
      <c r="R924" s="2" t="inlineStr"/>
    </row>
    <row r="925" ht="15" customHeight="1">
      <c r="A925" t="inlineStr">
        <is>
          <t>A 48633-2023</t>
        </is>
      </c>
      <c r="B925" s="1" t="n">
        <v>45208.58004629629</v>
      </c>
      <c r="C925" s="1" t="n">
        <v>46070</v>
      </c>
      <c r="D925" t="inlineStr">
        <is>
          <t>STOCKHOLMS LÄN</t>
        </is>
      </c>
      <c r="E925" t="inlineStr">
        <is>
          <t>NORRTÄLJE</t>
        </is>
      </c>
      <c r="G925" t="n">
        <v>3.3</v>
      </c>
      <c r="H925" t="n">
        <v>0</v>
      </c>
      <c r="I925" t="n">
        <v>0</v>
      </c>
      <c r="J925" t="n">
        <v>0</v>
      </c>
      <c r="K925" t="n">
        <v>0</v>
      </c>
      <c r="L925" t="n">
        <v>0</v>
      </c>
      <c r="M925" t="n">
        <v>0</v>
      </c>
      <c r="N925" t="n">
        <v>0</v>
      </c>
      <c r="O925" t="n">
        <v>0</v>
      </c>
      <c r="P925" t="n">
        <v>0</v>
      </c>
      <c r="Q925" t="n">
        <v>0</v>
      </c>
      <c r="R925" s="2" t="inlineStr"/>
    </row>
    <row r="926" ht="15" customHeight="1">
      <c r="A926" t="inlineStr">
        <is>
          <t>A 39669-2024</t>
        </is>
      </c>
      <c r="B926" s="1" t="n">
        <v>45552.52827546297</v>
      </c>
      <c r="C926" s="1" t="n">
        <v>46070</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43170-2023</t>
        </is>
      </c>
      <c r="B927" s="1" t="n">
        <v>45183</v>
      </c>
      <c r="C927" s="1" t="n">
        <v>46070</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9-2024</t>
        </is>
      </c>
      <c r="B928" s="1" t="n">
        <v>45293</v>
      </c>
      <c r="C928" s="1" t="n">
        <v>46070</v>
      </c>
      <c r="D928" t="inlineStr">
        <is>
          <t>STOCKHOLMS LÄN</t>
        </is>
      </c>
      <c r="E928" t="inlineStr">
        <is>
          <t>NORRTÄLJE</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22832-2021</t>
        </is>
      </c>
      <c r="B929" s="1" t="n">
        <v>44325</v>
      </c>
      <c r="C929" s="1" t="n">
        <v>46070</v>
      </c>
      <c r="D929" t="inlineStr">
        <is>
          <t>STOCKHOLMS LÄN</t>
        </is>
      </c>
      <c r="E929" t="inlineStr">
        <is>
          <t>NORRTÄLJE</t>
        </is>
      </c>
      <c r="G929" t="n">
        <v>6.8</v>
      </c>
      <c r="H929" t="n">
        <v>0</v>
      </c>
      <c r="I929" t="n">
        <v>0</v>
      </c>
      <c r="J929" t="n">
        <v>0</v>
      </c>
      <c r="K929" t="n">
        <v>0</v>
      </c>
      <c r="L929" t="n">
        <v>0</v>
      </c>
      <c r="M929" t="n">
        <v>0</v>
      </c>
      <c r="N929" t="n">
        <v>0</v>
      </c>
      <c r="O929" t="n">
        <v>0</v>
      </c>
      <c r="P929" t="n">
        <v>0</v>
      </c>
      <c r="Q929" t="n">
        <v>0</v>
      </c>
      <c r="R929" s="2" t="inlineStr"/>
    </row>
    <row r="930" ht="15" customHeight="1">
      <c r="A930" t="inlineStr">
        <is>
          <t>A 16913-2025</t>
        </is>
      </c>
      <c r="B930" s="1" t="n">
        <v>45755.36583333334</v>
      </c>
      <c r="C930" s="1" t="n">
        <v>46070</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4035-2023</t>
        </is>
      </c>
      <c r="B931" s="1" t="n">
        <v>44952.57989583333</v>
      </c>
      <c r="C931" s="1" t="n">
        <v>46070</v>
      </c>
      <c r="D931" t="inlineStr">
        <is>
          <t>STOCKHOLMS LÄN</t>
        </is>
      </c>
      <c r="E931" t="inlineStr">
        <is>
          <t>NORRTÄLJE</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33793-2022</t>
        </is>
      </c>
      <c r="B932" s="1" t="n">
        <v>44790</v>
      </c>
      <c r="C932" s="1" t="n">
        <v>46070</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53600-2022</t>
        </is>
      </c>
      <c r="B933" s="1" t="n">
        <v>44879.70518518519</v>
      </c>
      <c r="C933" s="1" t="n">
        <v>46070</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7697-2025</t>
        </is>
      </c>
      <c r="B934" s="1" t="n">
        <v>45706.40086805556</v>
      </c>
      <c r="C934" s="1" t="n">
        <v>46070</v>
      </c>
      <c r="D934" t="inlineStr">
        <is>
          <t>STOCKHOLMS LÄN</t>
        </is>
      </c>
      <c r="E934" t="inlineStr">
        <is>
          <t>NORRTÄLJE</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30221-2024</t>
        </is>
      </c>
      <c r="B935" s="1" t="n">
        <v>45490.45342592592</v>
      </c>
      <c r="C935" s="1" t="n">
        <v>46070</v>
      </c>
      <c r="D935" t="inlineStr">
        <is>
          <t>STOCKHOLMS LÄN</t>
        </is>
      </c>
      <c r="E935" t="inlineStr">
        <is>
          <t>NORRTÄLJE</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13-2024</t>
        </is>
      </c>
      <c r="B936" s="1" t="n">
        <v>45293.37263888889</v>
      </c>
      <c r="C936" s="1" t="n">
        <v>46070</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19-2024</t>
        </is>
      </c>
      <c r="B937" s="1" t="n">
        <v>45293</v>
      </c>
      <c r="C937" s="1" t="n">
        <v>46070</v>
      </c>
      <c r="D937" t="inlineStr">
        <is>
          <t>STOCKHOLMS LÄN</t>
        </is>
      </c>
      <c r="E937" t="inlineStr">
        <is>
          <t>NORRTÄLJE</t>
        </is>
      </c>
      <c r="G937" t="n">
        <v>0.3</v>
      </c>
      <c r="H937" t="n">
        <v>0</v>
      </c>
      <c r="I937" t="n">
        <v>0</v>
      </c>
      <c r="J937" t="n">
        <v>0</v>
      </c>
      <c r="K937" t="n">
        <v>0</v>
      </c>
      <c r="L937" t="n">
        <v>0</v>
      </c>
      <c r="M937" t="n">
        <v>0</v>
      </c>
      <c r="N937" t="n">
        <v>0</v>
      </c>
      <c r="O937" t="n">
        <v>0</v>
      </c>
      <c r="P937" t="n">
        <v>0</v>
      </c>
      <c r="Q937" t="n">
        <v>0</v>
      </c>
      <c r="R937" s="2" t="inlineStr"/>
    </row>
    <row r="938" ht="15" customHeight="1">
      <c r="A938" t="inlineStr">
        <is>
          <t>A 31559-2022</t>
        </is>
      </c>
      <c r="B938" s="1" t="n">
        <v>44775</v>
      </c>
      <c r="C938" s="1" t="n">
        <v>46070</v>
      </c>
      <c r="D938" t="inlineStr">
        <is>
          <t>STOCKHOLMS LÄN</t>
        </is>
      </c>
      <c r="E938" t="inlineStr">
        <is>
          <t>NORRTÄLJE</t>
        </is>
      </c>
      <c r="G938" t="n">
        <v>5.6</v>
      </c>
      <c r="H938" t="n">
        <v>0</v>
      </c>
      <c r="I938" t="n">
        <v>0</v>
      </c>
      <c r="J938" t="n">
        <v>0</v>
      </c>
      <c r="K938" t="n">
        <v>0</v>
      </c>
      <c r="L938" t="n">
        <v>0</v>
      </c>
      <c r="M938" t="n">
        <v>0</v>
      </c>
      <c r="N938" t="n">
        <v>0</v>
      </c>
      <c r="O938" t="n">
        <v>0</v>
      </c>
      <c r="P938" t="n">
        <v>0</v>
      </c>
      <c r="Q938" t="n">
        <v>0</v>
      </c>
      <c r="R938" s="2" t="inlineStr"/>
    </row>
    <row r="939" ht="15" customHeight="1">
      <c r="A939" t="inlineStr">
        <is>
          <t>A 8419-2025</t>
        </is>
      </c>
      <c r="B939" s="1" t="n">
        <v>45709.40231481481</v>
      </c>
      <c r="C939" s="1" t="n">
        <v>46070</v>
      </c>
      <c r="D939" t="inlineStr">
        <is>
          <t>STOCKHOLMS LÄN</t>
        </is>
      </c>
      <c r="E939" t="inlineStr">
        <is>
          <t>NORRTÄLJE</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35161-2022</t>
        </is>
      </c>
      <c r="B940" s="1" t="n">
        <v>44797</v>
      </c>
      <c r="C940" s="1" t="n">
        <v>46070</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58989-2021</t>
        </is>
      </c>
      <c r="B941" s="1" t="n">
        <v>44490.02482638889</v>
      </c>
      <c r="C941" s="1" t="n">
        <v>46070</v>
      </c>
      <c r="D941" t="inlineStr">
        <is>
          <t>STOCKHOLMS LÄN</t>
        </is>
      </c>
      <c r="E941" t="inlineStr">
        <is>
          <t>NORRTÄLJE</t>
        </is>
      </c>
      <c r="G941" t="n">
        <v>0.3</v>
      </c>
      <c r="H941" t="n">
        <v>0</v>
      </c>
      <c r="I941" t="n">
        <v>0</v>
      </c>
      <c r="J941" t="n">
        <v>0</v>
      </c>
      <c r="K941" t="n">
        <v>0</v>
      </c>
      <c r="L941" t="n">
        <v>0</v>
      </c>
      <c r="M941" t="n">
        <v>0</v>
      </c>
      <c r="N941" t="n">
        <v>0</v>
      </c>
      <c r="O941" t="n">
        <v>0</v>
      </c>
      <c r="P941" t="n">
        <v>0</v>
      </c>
      <c r="Q941" t="n">
        <v>0</v>
      </c>
      <c r="R941" s="2" t="inlineStr"/>
    </row>
    <row r="942" ht="15" customHeight="1">
      <c r="A942" t="inlineStr">
        <is>
          <t>A 46988-2024</t>
        </is>
      </c>
      <c r="B942" s="1" t="n">
        <v>45586</v>
      </c>
      <c r="C942" s="1" t="n">
        <v>46070</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21529-2021</t>
        </is>
      </c>
      <c r="B943" s="1" t="n">
        <v>44321</v>
      </c>
      <c r="C943" s="1" t="n">
        <v>46070</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13701-2022</t>
        </is>
      </c>
      <c r="B944" s="1" t="n">
        <v>44648</v>
      </c>
      <c r="C944" s="1" t="n">
        <v>46070</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14132-2025</t>
        </is>
      </c>
      <c r="B945" s="1" t="n">
        <v>45740.47550925926</v>
      </c>
      <c r="C945" s="1" t="n">
        <v>46070</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14133-2025</t>
        </is>
      </c>
      <c r="B946" s="1" t="n">
        <v>45740.47724537037</v>
      </c>
      <c r="C946" s="1" t="n">
        <v>46070</v>
      </c>
      <c r="D946" t="inlineStr">
        <is>
          <t>STOCKHOLMS LÄN</t>
        </is>
      </c>
      <c r="E946" t="inlineStr">
        <is>
          <t>NORRTÄLJE</t>
        </is>
      </c>
      <c r="G946" t="n">
        <v>0.4</v>
      </c>
      <c r="H946" t="n">
        <v>0</v>
      </c>
      <c r="I946" t="n">
        <v>0</v>
      </c>
      <c r="J946" t="n">
        <v>0</v>
      </c>
      <c r="K946" t="n">
        <v>0</v>
      </c>
      <c r="L946" t="n">
        <v>0</v>
      </c>
      <c r="M946" t="n">
        <v>0</v>
      </c>
      <c r="N946" t="n">
        <v>0</v>
      </c>
      <c r="O946" t="n">
        <v>0</v>
      </c>
      <c r="P946" t="n">
        <v>0</v>
      </c>
      <c r="Q946" t="n">
        <v>0</v>
      </c>
      <c r="R946" s="2" t="inlineStr"/>
    </row>
    <row r="947" ht="15" customHeight="1">
      <c r="A947" t="inlineStr">
        <is>
          <t>A 8792-2025</t>
        </is>
      </c>
      <c r="B947" s="1" t="n">
        <v>45712</v>
      </c>
      <c r="C947" s="1" t="n">
        <v>46070</v>
      </c>
      <c r="D947" t="inlineStr">
        <is>
          <t>STOCKHOLMS LÄN</t>
        </is>
      </c>
      <c r="E947" t="inlineStr">
        <is>
          <t>NORRTÄLJE</t>
        </is>
      </c>
      <c r="F947" t="inlineStr">
        <is>
          <t>Övriga Aktiebolag</t>
        </is>
      </c>
      <c r="G947" t="n">
        <v>6.6</v>
      </c>
      <c r="H947" t="n">
        <v>0</v>
      </c>
      <c r="I947" t="n">
        <v>0</v>
      </c>
      <c r="J947" t="n">
        <v>0</v>
      </c>
      <c r="K947" t="n">
        <v>0</v>
      </c>
      <c r="L947" t="n">
        <v>0</v>
      </c>
      <c r="M947" t="n">
        <v>0</v>
      </c>
      <c r="N947" t="n">
        <v>0</v>
      </c>
      <c r="O947" t="n">
        <v>0</v>
      </c>
      <c r="P947" t="n">
        <v>0</v>
      </c>
      <c r="Q947" t="n">
        <v>0</v>
      </c>
      <c r="R947" s="2" t="inlineStr"/>
    </row>
    <row r="948" ht="15" customHeight="1">
      <c r="A948" t="inlineStr">
        <is>
          <t>A 24887-2023</t>
        </is>
      </c>
      <c r="B948" s="1" t="n">
        <v>45085</v>
      </c>
      <c r="C948" s="1" t="n">
        <v>46070</v>
      </c>
      <c r="D948" t="inlineStr">
        <is>
          <t>STOCKHOLMS LÄN</t>
        </is>
      </c>
      <c r="E948" t="inlineStr">
        <is>
          <t>NORRTÄLJE</t>
        </is>
      </c>
      <c r="G948" t="n">
        <v>13.9</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46070</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4326-2023</t>
        </is>
      </c>
      <c r="B950" s="1" t="n">
        <v>44953.70481481482</v>
      </c>
      <c r="C950" s="1" t="n">
        <v>46070</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54504-2024</t>
        </is>
      </c>
      <c r="B951" s="1" t="n">
        <v>45617.58453703704</v>
      </c>
      <c r="C951" s="1" t="n">
        <v>46070</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21745-2023</t>
        </is>
      </c>
      <c r="B952" s="1" t="n">
        <v>45065.55917824074</v>
      </c>
      <c r="C952" s="1" t="n">
        <v>46070</v>
      </c>
      <c r="D952" t="inlineStr">
        <is>
          <t>STOCKHOLMS LÄN</t>
        </is>
      </c>
      <c r="E952" t="inlineStr">
        <is>
          <t>NORRTÄLJE</t>
        </is>
      </c>
      <c r="F952" t="inlineStr">
        <is>
          <t>Holmen skog AB</t>
        </is>
      </c>
      <c r="G952" t="n">
        <v>0.7</v>
      </c>
      <c r="H952" t="n">
        <v>0</v>
      </c>
      <c r="I952" t="n">
        <v>0</v>
      </c>
      <c r="J952" t="n">
        <v>0</v>
      </c>
      <c r="K952" t="n">
        <v>0</v>
      </c>
      <c r="L952" t="n">
        <v>0</v>
      </c>
      <c r="M952" t="n">
        <v>0</v>
      </c>
      <c r="N952" t="n">
        <v>0</v>
      </c>
      <c r="O952" t="n">
        <v>0</v>
      </c>
      <c r="P952" t="n">
        <v>0</v>
      </c>
      <c r="Q952" t="n">
        <v>0</v>
      </c>
      <c r="R952" s="2" t="inlineStr"/>
    </row>
    <row r="953" ht="15" customHeight="1">
      <c r="A953" t="inlineStr">
        <is>
          <t>A 21894-2023</t>
        </is>
      </c>
      <c r="B953" s="1" t="n">
        <v>45068.51783564815</v>
      </c>
      <c r="C953" s="1" t="n">
        <v>46070</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13276-2022</t>
        </is>
      </c>
      <c r="B954" s="1" t="n">
        <v>44644</v>
      </c>
      <c r="C954" s="1" t="n">
        <v>46070</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28182-2022</t>
        </is>
      </c>
      <c r="B955" s="1" t="n">
        <v>44746.58530092592</v>
      </c>
      <c r="C955" s="1" t="n">
        <v>46070</v>
      </c>
      <c r="D955" t="inlineStr">
        <is>
          <t>STOCKHOLMS LÄN</t>
        </is>
      </c>
      <c r="E955" t="inlineStr">
        <is>
          <t>NORRTÄLJE</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34461-2023</t>
        </is>
      </c>
      <c r="B956" s="1" t="n">
        <v>45139</v>
      </c>
      <c r="C956" s="1" t="n">
        <v>46070</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51046-2023</t>
        </is>
      </c>
      <c r="B957" s="1" t="n">
        <v>45218</v>
      </c>
      <c r="C957" s="1" t="n">
        <v>46070</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17382-2024</t>
        </is>
      </c>
      <c r="B958" s="1" t="n">
        <v>45414.65855324074</v>
      </c>
      <c r="C958" s="1" t="n">
        <v>46070</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6070-2022</t>
        </is>
      </c>
      <c r="B959" s="1" t="n">
        <v>44599.58428240741</v>
      </c>
      <c r="C959" s="1" t="n">
        <v>46070</v>
      </c>
      <c r="D959" t="inlineStr">
        <is>
          <t>STOCKHOLMS LÄN</t>
        </is>
      </c>
      <c r="E959" t="inlineStr">
        <is>
          <t>NORRTÄLJE</t>
        </is>
      </c>
      <c r="G959" t="n">
        <v>1.1</v>
      </c>
      <c r="H959" t="n">
        <v>0</v>
      </c>
      <c r="I959" t="n">
        <v>0</v>
      </c>
      <c r="J959" t="n">
        <v>0</v>
      </c>
      <c r="K959" t="n">
        <v>0</v>
      </c>
      <c r="L959" t="n">
        <v>0</v>
      </c>
      <c r="M959" t="n">
        <v>0</v>
      </c>
      <c r="N959" t="n">
        <v>0</v>
      </c>
      <c r="O959" t="n">
        <v>0</v>
      </c>
      <c r="P959" t="n">
        <v>0</v>
      </c>
      <c r="Q959" t="n">
        <v>0</v>
      </c>
      <c r="R959" s="2" t="inlineStr"/>
    </row>
    <row r="960" ht="15" customHeight="1">
      <c r="A960" t="inlineStr">
        <is>
          <t>A 17039-2024</t>
        </is>
      </c>
      <c r="B960" s="1" t="n">
        <v>45412.4104050926</v>
      </c>
      <c r="C960" s="1" t="n">
        <v>46070</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48180-2023</t>
        </is>
      </c>
      <c r="B961" s="1" t="n">
        <v>45205</v>
      </c>
      <c r="C961" s="1" t="n">
        <v>46070</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35695-2023</t>
        </is>
      </c>
      <c r="B962" s="1" t="n">
        <v>45147.65407407407</v>
      </c>
      <c r="C962" s="1" t="n">
        <v>46070</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45173-2023</t>
        </is>
      </c>
      <c r="B963" s="1" t="n">
        <v>45191</v>
      </c>
      <c r="C963" s="1" t="n">
        <v>46070</v>
      </c>
      <c r="D963" t="inlineStr">
        <is>
          <t>STOCKHOLMS LÄN</t>
        </is>
      </c>
      <c r="E963" t="inlineStr">
        <is>
          <t>NORRTÄLJE</t>
        </is>
      </c>
      <c r="F963" t="inlineStr">
        <is>
          <t>Sveaskog</t>
        </is>
      </c>
      <c r="G963" t="n">
        <v>3.6</v>
      </c>
      <c r="H963" t="n">
        <v>0</v>
      </c>
      <c r="I963" t="n">
        <v>0</v>
      </c>
      <c r="J963" t="n">
        <v>0</v>
      </c>
      <c r="K963" t="n">
        <v>0</v>
      </c>
      <c r="L963" t="n">
        <v>0</v>
      </c>
      <c r="M963" t="n">
        <v>0</v>
      </c>
      <c r="N963" t="n">
        <v>0</v>
      </c>
      <c r="O963" t="n">
        <v>0</v>
      </c>
      <c r="P963" t="n">
        <v>0</v>
      </c>
      <c r="Q963" t="n">
        <v>0</v>
      </c>
      <c r="R963" s="2" t="inlineStr"/>
    </row>
    <row r="964" ht="15" customHeight="1">
      <c r="A964" t="inlineStr">
        <is>
          <t>A 24705-2023</t>
        </is>
      </c>
      <c r="B964" s="1" t="n">
        <v>45084.54459490741</v>
      </c>
      <c r="C964" s="1" t="n">
        <v>46070</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21696-2024</t>
        </is>
      </c>
      <c r="B965" s="1" t="n">
        <v>45442.45686342593</v>
      </c>
      <c r="C965" s="1" t="n">
        <v>46070</v>
      </c>
      <c r="D965" t="inlineStr">
        <is>
          <t>STOCKHOLMS LÄN</t>
        </is>
      </c>
      <c r="E965" t="inlineStr">
        <is>
          <t>NORRTÄLJE</t>
        </is>
      </c>
      <c r="G965" t="n">
        <v>2.9</v>
      </c>
      <c r="H965" t="n">
        <v>0</v>
      </c>
      <c r="I965" t="n">
        <v>0</v>
      </c>
      <c r="J965" t="n">
        <v>0</v>
      </c>
      <c r="K965" t="n">
        <v>0</v>
      </c>
      <c r="L965" t="n">
        <v>0</v>
      </c>
      <c r="M965" t="n">
        <v>0</v>
      </c>
      <c r="N965" t="n">
        <v>0</v>
      </c>
      <c r="O965" t="n">
        <v>0</v>
      </c>
      <c r="P965" t="n">
        <v>0</v>
      </c>
      <c r="Q965" t="n">
        <v>0</v>
      </c>
      <c r="R965" s="2" t="inlineStr"/>
    </row>
    <row r="966" ht="15" customHeight="1">
      <c r="A966" t="inlineStr">
        <is>
          <t>A 67990-2021</t>
        </is>
      </c>
      <c r="B966" s="1" t="n">
        <v>44525</v>
      </c>
      <c r="C966" s="1" t="n">
        <v>46070</v>
      </c>
      <c r="D966" t="inlineStr">
        <is>
          <t>STOCKHOLMS LÄN</t>
        </is>
      </c>
      <c r="E966" t="inlineStr">
        <is>
          <t>NORRTÄLJE</t>
        </is>
      </c>
      <c r="F966" t="inlineStr">
        <is>
          <t>Sveaskog</t>
        </is>
      </c>
      <c r="G966" t="n">
        <v>7.8</v>
      </c>
      <c r="H966" t="n">
        <v>0</v>
      </c>
      <c r="I966" t="n">
        <v>0</v>
      </c>
      <c r="J966" t="n">
        <v>0</v>
      </c>
      <c r="K966" t="n">
        <v>0</v>
      </c>
      <c r="L966" t="n">
        <v>0</v>
      </c>
      <c r="M966" t="n">
        <v>0</v>
      </c>
      <c r="N966" t="n">
        <v>0</v>
      </c>
      <c r="O966" t="n">
        <v>0</v>
      </c>
      <c r="P966" t="n">
        <v>0</v>
      </c>
      <c r="Q966" t="n">
        <v>0</v>
      </c>
      <c r="R966" s="2" t="inlineStr"/>
    </row>
    <row r="967" ht="15" customHeight="1">
      <c r="A967" t="inlineStr">
        <is>
          <t>A 71552-2021</t>
        </is>
      </c>
      <c r="B967" s="1" t="n">
        <v>44540</v>
      </c>
      <c r="C967" s="1" t="n">
        <v>46070</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73992-2021</t>
        </is>
      </c>
      <c r="B968" s="1" t="n">
        <v>44556</v>
      </c>
      <c r="C968" s="1" t="n">
        <v>46070</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26113-2024</t>
        </is>
      </c>
      <c r="B969" s="1" t="n">
        <v>45468.45541666666</v>
      </c>
      <c r="C969" s="1" t="n">
        <v>46070</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26116-2024</t>
        </is>
      </c>
      <c r="B970" s="1" t="n">
        <v>45468.45747685185</v>
      </c>
      <c r="C970" s="1" t="n">
        <v>46070</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15978-2024</t>
        </is>
      </c>
      <c r="B971" s="1" t="n">
        <v>45405.57927083333</v>
      </c>
      <c r="C971" s="1" t="n">
        <v>46070</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11333-2025</t>
        </is>
      </c>
      <c r="B972" s="1" t="n">
        <v>45726.48377314815</v>
      </c>
      <c r="C972" s="1" t="n">
        <v>46070</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34391-2023</t>
        </is>
      </c>
      <c r="B973" s="1" t="n">
        <v>45139.51457175926</v>
      </c>
      <c r="C973" s="1" t="n">
        <v>46070</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67921-2021</t>
        </is>
      </c>
      <c r="B974" s="1" t="n">
        <v>44525</v>
      </c>
      <c r="C974" s="1" t="n">
        <v>46070</v>
      </c>
      <c r="D974" t="inlineStr">
        <is>
          <t>STOCKHOLMS LÄN</t>
        </is>
      </c>
      <c r="E974" t="inlineStr">
        <is>
          <t>NORRTÄLJE</t>
        </is>
      </c>
      <c r="G974" t="n">
        <v>6.3</v>
      </c>
      <c r="H974" t="n">
        <v>0</v>
      </c>
      <c r="I974" t="n">
        <v>0</v>
      </c>
      <c r="J974" t="n">
        <v>0</v>
      </c>
      <c r="K974" t="n">
        <v>0</v>
      </c>
      <c r="L974" t="n">
        <v>0</v>
      </c>
      <c r="M974" t="n">
        <v>0</v>
      </c>
      <c r="N974" t="n">
        <v>0</v>
      </c>
      <c r="O974" t="n">
        <v>0</v>
      </c>
      <c r="P974" t="n">
        <v>0</v>
      </c>
      <c r="Q974" t="n">
        <v>0</v>
      </c>
      <c r="R974" s="2" t="inlineStr"/>
    </row>
    <row r="975" ht="15" customHeight="1">
      <c r="A975" t="inlineStr">
        <is>
          <t>A 25681-2024</t>
        </is>
      </c>
      <c r="B975" s="1" t="n">
        <v>45463.80486111111</v>
      </c>
      <c r="C975" s="1" t="n">
        <v>46070</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58853-2024</t>
        </is>
      </c>
      <c r="B976" s="1" t="n">
        <v>45636.38974537037</v>
      </c>
      <c r="C976" s="1" t="n">
        <v>46070</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35438-2023</t>
        </is>
      </c>
      <c r="B977" s="1" t="n">
        <v>45146</v>
      </c>
      <c r="C977" s="1" t="n">
        <v>46070</v>
      </c>
      <c r="D977" t="inlineStr">
        <is>
          <t>STOCKHOLMS LÄN</t>
        </is>
      </c>
      <c r="E977" t="inlineStr">
        <is>
          <t>NORRTÄLJE</t>
        </is>
      </c>
      <c r="F977" t="inlineStr">
        <is>
          <t>Kommuner</t>
        </is>
      </c>
      <c r="G977" t="n">
        <v>1.9</v>
      </c>
      <c r="H977" t="n">
        <v>0</v>
      </c>
      <c r="I977" t="n">
        <v>0</v>
      </c>
      <c r="J977" t="n">
        <v>0</v>
      </c>
      <c r="K977" t="n">
        <v>0</v>
      </c>
      <c r="L977" t="n">
        <v>0</v>
      </c>
      <c r="M977" t="n">
        <v>0</v>
      </c>
      <c r="N977" t="n">
        <v>0</v>
      </c>
      <c r="O977" t="n">
        <v>0</v>
      </c>
      <c r="P977" t="n">
        <v>0</v>
      </c>
      <c r="Q977" t="n">
        <v>0</v>
      </c>
      <c r="R977" s="2" t="inlineStr"/>
    </row>
    <row r="978" ht="15" customHeight="1">
      <c r="A978" t="inlineStr">
        <is>
          <t>A 20291-2022</t>
        </is>
      </c>
      <c r="B978" s="1" t="n">
        <v>44698</v>
      </c>
      <c r="C978" s="1" t="n">
        <v>46070</v>
      </c>
      <c r="D978" t="inlineStr">
        <is>
          <t>STOCKHOLMS LÄN</t>
        </is>
      </c>
      <c r="E978" t="inlineStr">
        <is>
          <t>NORRTÄLJE</t>
        </is>
      </c>
      <c r="F978" t="inlineStr">
        <is>
          <t>Naturvårdsverket</t>
        </is>
      </c>
      <c r="G978" t="n">
        <v>2</v>
      </c>
      <c r="H978" t="n">
        <v>0</v>
      </c>
      <c r="I978" t="n">
        <v>0</v>
      </c>
      <c r="J978" t="n">
        <v>0</v>
      </c>
      <c r="K978" t="n">
        <v>0</v>
      </c>
      <c r="L978" t="n">
        <v>0</v>
      </c>
      <c r="M978" t="n">
        <v>0</v>
      </c>
      <c r="N978" t="n">
        <v>0</v>
      </c>
      <c r="O978" t="n">
        <v>0</v>
      </c>
      <c r="P978" t="n">
        <v>0</v>
      </c>
      <c r="Q978" t="n">
        <v>0</v>
      </c>
      <c r="R978" s="2" t="inlineStr"/>
    </row>
    <row r="979" ht="15" customHeight="1">
      <c r="A979" t="inlineStr">
        <is>
          <t>A 26115-2024</t>
        </is>
      </c>
      <c r="B979" s="1" t="n">
        <v>45468.45628472222</v>
      </c>
      <c r="C979" s="1" t="n">
        <v>46070</v>
      </c>
      <c r="D979" t="inlineStr">
        <is>
          <t>STOCKHOLMS LÄN</t>
        </is>
      </c>
      <c r="E979" t="inlineStr">
        <is>
          <t>NORRTÄLJE</t>
        </is>
      </c>
      <c r="G979" t="n">
        <v>0.3</v>
      </c>
      <c r="H979" t="n">
        <v>0</v>
      </c>
      <c r="I979" t="n">
        <v>0</v>
      </c>
      <c r="J979" t="n">
        <v>0</v>
      </c>
      <c r="K979" t="n">
        <v>0</v>
      </c>
      <c r="L979" t="n">
        <v>0</v>
      </c>
      <c r="M979" t="n">
        <v>0</v>
      </c>
      <c r="N979" t="n">
        <v>0</v>
      </c>
      <c r="O979" t="n">
        <v>0</v>
      </c>
      <c r="P979" t="n">
        <v>0</v>
      </c>
      <c r="Q979" t="n">
        <v>0</v>
      </c>
      <c r="R979" s="2" t="inlineStr"/>
    </row>
    <row r="980" ht="15" customHeight="1">
      <c r="A980" t="inlineStr">
        <is>
          <t>A 19118-2022</t>
        </is>
      </c>
      <c r="B980" s="1" t="n">
        <v>44691.5652662037</v>
      </c>
      <c r="C980" s="1" t="n">
        <v>46070</v>
      </c>
      <c r="D980" t="inlineStr">
        <is>
          <t>STOCKHOLMS LÄN</t>
        </is>
      </c>
      <c r="E980" t="inlineStr">
        <is>
          <t>NORRTÄLJE</t>
        </is>
      </c>
      <c r="G980" t="n">
        <v>0.5</v>
      </c>
      <c r="H980" t="n">
        <v>0</v>
      </c>
      <c r="I980" t="n">
        <v>0</v>
      </c>
      <c r="J980" t="n">
        <v>0</v>
      </c>
      <c r="K980" t="n">
        <v>0</v>
      </c>
      <c r="L980" t="n">
        <v>0</v>
      </c>
      <c r="M980" t="n">
        <v>0</v>
      </c>
      <c r="N980" t="n">
        <v>0</v>
      </c>
      <c r="O980" t="n">
        <v>0</v>
      </c>
      <c r="P980" t="n">
        <v>0</v>
      </c>
      <c r="Q980" t="n">
        <v>0</v>
      </c>
      <c r="R980" s="2" t="inlineStr"/>
    </row>
    <row r="981" ht="15" customHeight="1">
      <c r="A981" t="inlineStr">
        <is>
          <t>A 8739-2024</t>
        </is>
      </c>
      <c r="B981" s="1" t="n">
        <v>45356.47784722222</v>
      </c>
      <c r="C981" s="1" t="n">
        <v>46070</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38759-2022</t>
        </is>
      </c>
      <c r="B982" s="1" t="n">
        <v>44816</v>
      </c>
      <c r="C982" s="1" t="n">
        <v>46070</v>
      </c>
      <c r="D982" t="inlineStr">
        <is>
          <t>STOCKHOLMS LÄN</t>
        </is>
      </c>
      <c r="E982" t="inlineStr">
        <is>
          <t>NORRTÄLJE</t>
        </is>
      </c>
      <c r="G982" t="n">
        <v>2.8</v>
      </c>
      <c r="H982" t="n">
        <v>0</v>
      </c>
      <c r="I982" t="n">
        <v>0</v>
      </c>
      <c r="J982" t="n">
        <v>0</v>
      </c>
      <c r="K982" t="n">
        <v>0</v>
      </c>
      <c r="L982" t="n">
        <v>0</v>
      </c>
      <c r="M982" t="n">
        <v>0</v>
      </c>
      <c r="N982" t="n">
        <v>0</v>
      </c>
      <c r="O982" t="n">
        <v>0</v>
      </c>
      <c r="P982" t="n">
        <v>0</v>
      </c>
      <c r="Q982" t="n">
        <v>0</v>
      </c>
      <c r="R982" s="2" t="inlineStr"/>
    </row>
    <row r="983" ht="15" customHeight="1">
      <c r="A983" t="inlineStr">
        <is>
          <t>A 32857-2021</t>
        </is>
      </c>
      <c r="B983" s="1" t="n">
        <v>44375</v>
      </c>
      <c r="C983" s="1" t="n">
        <v>46070</v>
      </c>
      <c r="D983" t="inlineStr">
        <is>
          <t>STOCKHOLMS LÄN</t>
        </is>
      </c>
      <c r="E983" t="inlineStr">
        <is>
          <t>NORRTÄLJE</t>
        </is>
      </c>
      <c r="G983" t="n">
        <v>2.9</v>
      </c>
      <c r="H983" t="n">
        <v>0</v>
      </c>
      <c r="I983" t="n">
        <v>0</v>
      </c>
      <c r="J983" t="n">
        <v>0</v>
      </c>
      <c r="K983" t="n">
        <v>0</v>
      </c>
      <c r="L983" t="n">
        <v>0</v>
      </c>
      <c r="M983" t="n">
        <v>0</v>
      </c>
      <c r="N983" t="n">
        <v>0</v>
      </c>
      <c r="O983" t="n">
        <v>0</v>
      </c>
      <c r="P983" t="n">
        <v>0</v>
      </c>
      <c r="Q983" t="n">
        <v>0</v>
      </c>
      <c r="R983" s="2" t="inlineStr"/>
    </row>
    <row r="984" ht="15" customHeight="1">
      <c r="A984" t="inlineStr">
        <is>
          <t>A 29714-2023</t>
        </is>
      </c>
      <c r="B984" s="1" t="n">
        <v>45107.42538194444</v>
      </c>
      <c r="C984" s="1" t="n">
        <v>46070</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23271-2023</t>
        </is>
      </c>
      <c r="B985" s="1" t="n">
        <v>45075.91362268518</v>
      </c>
      <c r="C985" s="1" t="n">
        <v>46070</v>
      </c>
      <c r="D985" t="inlineStr">
        <is>
          <t>STOCKHOLMS LÄN</t>
        </is>
      </c>
      <c r="E985" t="inlineStr">
        <is>
          <t>NORRTÄLJE</t>
        </is>
      </c>
      <c r="G985" t="n">
        <v>5.1</v>
      </c>
      <c r="H985" t="n">
        <v>0</v>
      </c>
      <c r="I985" t="n">
        <v>0</v>
      </c>
      <c r="J985" t="n">
        <v>0</v>
      </c>
      <c r="K985" t="n">
        <v>0</v>
      </c>
      <c r="L985" t="n">
        <v>0</v>
      </c>
      <c r="M985" t="n">
        <v>0</v>
      </c>
      <c r="N985" t="n">
        <v>0</v>
      </c>
      <c r="O985" t="n">
        <v>0</v>
      </c>
      <c r="P985" t="n">
        <v>0</v>
      </c>
      <c r="Q985" t="n">
        <v>0</v>
      </c>
      <c r="R985" s="2" t="inlineStr"/>
    </row>
    <row r="986" ht="15" customHeight="1">
      <c r="A986" t="inlineStr">
        <is>
          <t>A 23273-2023</t>
        </is>
      </c>
      <c r="B986" s="1" t="n">
        <v>45075.91971064815</v>
      </c>
      <c r="C986" s="1" t="n">
        <v>46070</v>
      </c>
      <c r="D986" t="inlineStr">
        <is>
          <t>STOCKHOLMS LÄN</t>
        </is>
      </c>
      <c r="E986" t="inlineStr">
        <is>
          <t>NORRTÄLJE</t>
        </is>
      </c>
      <c r="G986" t="n">
        <v>7.5</v>
      </c>
      <c r="H986" t="n">
        <v>0</v>
      </c>
      <c r="I986" t="n">
        <v>0</v>
      </c>
      <c r="J986" t="n">
        <v>0</v>
      </c>
      <c r="K986" t="n">
        <v>0</v>
      </c>
      <c r="L986" t="n">
        <v>0</v>
      </c>
      <c r="M986" t="n">
        <v>0</v>
      </c>
      <c r="N986" t="n">
        <v>0</v>
      </c>
      <c r="O986" t="n">
        <v>0</v>
      </c>
      <c r="P986" t="n">
        <v>0</v>
      </c>
      <c r="Q986" t="n">
        <v>0</v>
      </c>
      <c r="R986" s="2" t="inlineStr"/>
    </row>
    <row r="987" ht="15" customHeight="1">
      <c r="A987" t="inlineStr">
        <is>
          <t>A 7603-2025</t>
        </is>
      </c>
      <c r="B987" s="1" t="n">
        <v>45705.66126157407</v>
      </c>
      <c r="C987" s="1" t="n">
        <v>46070</v>
      </c>
      <c r="D987" t="inlineStr">
        <is>
          <t>STOCKHOLMS LÄN</t>
        </is>
      </c>
      <c r="E987" t="inlineStr">
        <is>
          <t>NORRTÄLJE</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30802-2022</t>
        </is>
      </c>
      <c r="B988" s="1" t="n">
        <v>44764</v>
      </c>
      <c r="C988" s="1" t="n">
        <v>46070</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55369-2023</t>
        </is>
      </c>
      <c r="B989" s="1" t="n">
        <v>45238</v>
      </c>
      <c r="C989" s="1" t="n">
        <v>46070</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61113-2023</t>
        </is>
      </c>
      <c r="B990" s="1" t="n">
        <v>45261</v>
      </c>
      <c r="C990" s="1" t="n">
        <v>46070</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3283-2025</t>
        </is>
      </c>
      <c r="B991" s="1" t="n">
        <v>45679</v>
      </c>
      <c r="C991" s="1" t="n">
        <v>46070</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34295-2024</t>
        </is>
      </c>
      <c r="B992" s="1" t="n">
        <v>45524</v>
      </c>
      <c r="C992" s="1" t="n">
        <v>46070</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58311-2023</t>
        </is>
      </c>
      <c r="B993" s="1" t="n">
        <v>45245</v>
      </c>
      <c r="C993" s="1" t="n">
        <v>46070</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23692-2024</t>
        </is>
      </c>
      <c r="B994" s="1" t="n">
        <v>45454.65774305556</v>
      </c>
      <c r="C994" s="1" t="n">
        <v>46070</v>
      </c>
      <c r="D994" t="inlineStr">
        <is>
          <t>STOCKHOLMS LÄN</t>
        </is>
      </c>
      <c r="E994" t="inlineStr">
        <is>
          <t>NORRTÄLJE</t>
        </is>
      </c>
      <c r="G994" t="n">
        <v>3.7</v>
      </c>
      <c r="H994" t="n">
        <v>0</v>
      </c>
      <c r="I994" t="n">
        <v>0</v>
      </c>
      <c r="J994" t="n">
        <v>0</v>
      </c>
      <c r="K994" t="n">
        <v>0</v>
      </c>
      <c r="L994" t="n">
        <v>0</v>
      </c>
      <c r="M994" t="n">
        <v>0</v>
      </c>
      <c r="N994" t="n">
        <v>0</v>
      </c>
      <c r="O994" t="n">
        <v>0</v>
      </c>
      <c r="P994" t="n">
        <v>0</v>
      </c>
      <c r="Q994" t="n">
        <v>0</v>
      </c>
      <c r="R994" s="2" t="inlineStr"/>
    </row>
    <row r="995" ht="15" customHeight="1">
      <c r="A995" t="inlineStr">
        <is>
          <t>A 20473-2021</t>
        </is>
      </c>
      <c r="B995" s="1" t="n">
        <v>44315</v>
      </c>
      <c r="C995" s="1" t="n">
        <v>46070</v>
      </c>
      <c r="D995" t="inlineStr">
        <is>
          <t>STOCKHOLMS LÄN</t>
        </is>
      </c>
      <c r="E995" t="inlineStr">
        <is>
          <t>NORRTÄLJE</t>
        </is>
      </c>
      <c r="F995" t="inlineStr">
        <is>
          <t>Övriga Aktiebolag</t>
        </is>
      </c>
      <c r="G995" t="n">
        <v>3.6</v>
      </c>
      <c r="H995" t="n">
        <v>0</v>
      </c>
      <c r="I995" t="n">
        <v>0</v>
      </c>
      <c r="J995" t="n">
        <v>0</v>
      </c>
      <c r="K995" t="n">
        <v>0</v>
      </c>
      <c r="L995" t="n">
        <v>0</v>
      </c>
      <c r="M995" t="n">
        <v>0</v>
      </c>
      <c r="N995" t="n">
        <v>0</v>
      </c>
      <c r="O995" t="n">
        <v>0</v>
      </c>
      <c r="P995" t="n">
        <v>0</v>
      </c>
      <c r="Q995" t="n">
        <v>0</v>
      </c>
      <c r="R995" s="2" t="inlineStr"/>
    </row>
    <row r="996" ht="15" customHeight="1">
      <c r="A996" t="inlineStr">
        <is>
          <t>A 54273-2021</t>
        </is>
      </c>
      <c r="B996" s="1" t="n">
        <v>44470.72987268519</v>
      </c>
      <c r="C996" s="1" t="n">
        <v>46070</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7806-2025</t>
        </is>
      </c>
      <c r="B997" s="1" t="n">
        <v>45706.61178240741</v>
      </c>
      <c r="C997" s="1" t="n">
        <v>46070</v>
      </c>
      <c r="D997" t="inlineStr">
        <is>
          <t>STOCKHOLMS LÄN</t>
        </is>
      </c>
      <c r="E997" t="inlineStr">
        <is>
          <t>NORRTÄLJE</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53792-2023</t>
        </is>
      </c>
      <c r="B998" s="1" t="n">
        <v>45231.34144675926</v>
      </c>
      <c r="C998" s="1" t="n">
        <v>46070</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21329-2022</t>
        </is>
      </c>
      <c r="B999" s="1" t="n">
        <v>44705.60626157407</v>
      </c>
      <c r="C999" s="1" t="n">
        <v>46070</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50569-2022</t>
        </is>
      </c>
      <c r="B1000" s="1" t="n">
        <v>44866.63775462963</v>
      </c>
      <c r="C1000" s="1" t="n">
        <v>46070</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24501-2023</t>
        </is>
      </c>
      <c r="B1001" s="1" t="n">
        <v>45082</v>
      </c>
      <c r="C1001" s="1" t="n">
        <v>46070</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24520-2023</t>
        </is>
      </c>
      <c r="B1002" s="1" t="n">
        <v>45082.68922453704</v>
      </c>
      <c r="C1002" s="1" t="n">
        <v>46070</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60654-2023</t>
        </is>
      </c>
      <c r="B1003" s="1" t="n">
        <v>45260.43225694444</v>
      </c>
      <c r="C1003" s="1" t="n">
        <v>46070</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60656-2023</t>
        </is>
      </c>
      <c r="B1004" s="1" t="n">
        <v>45260.4333449074</v>
      </c>
      <c r="C1004" s="1" t="n">
        <v>46070</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54496-2024</t>
        </is>
      </c>
      <c r="B1005" s="1" t="n">
        <v>45617.57439814815</v>
      </c>
      <c r="C1005" s="1" t="n">
        <v>46070</v>
      </c>
      <c r="D1005" t="inlineStr">
        <is>
          <t>STOCKHOLMS LÄN</t>
        </is>
      </c>
      <c r="E1005" t="inlineStr">
        <is>
          <t>NORRTÄLJE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21386-2023</t>
        </is>
      </c>
      <c r="B1006" s="1" t="n">
        <v>45063.35880787037</v>
      </c>
      <c r="C1006" s="1" t="n">
        <v>46070</v>
      </c>
      <c r="D1006" t="inlineStr">
        <is>
          <t>STOCKHOLMS LÄN</t>
        </is>
      </c>
      <c r="E1006" t="inlineStr">
        <is>
          <t>NORRTÄLJE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10642-2025</t>
        </is>
      </c>
      <c r="B1007" s="1" t="n">
        <v>45721.65858796296</v>
      </c>
      <c r="C1007" s="1" t="n">
        <v>46070</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20144-2023</t>
        </is>
      </c>
      <c r="B1008" s="1" t="n">
        <v>45055.43509259259</v>
      </c>
      <c r="C1008" s="1" t="n">
        <v>46070</v>
      </c>
      <c r="D1008" t="inlineStr">
        <is>
          <t>STOCKHOLMS LÄN</t>
        </is>
      </c>
      <c r="E1008" t="inlineStr">
        <is>
          <t>NORRTÄLJE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53312-2024</t>
        </is>
      </c>
      <c r="B1009" s="1" t="n">
        <v>45614.39627314815</v>
      </c>
      <c r="C1009" s="1" t="n">
        <v>46070</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39202-2024</t>
        </is>
      </c>
      <c r="B1010" s="1" t="n">
        <v>45548.72306712963</v>
      </c>
      <c r="C1010" s="1" t="n">
        <v>46070</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22756-2022</t>
        </is>
      </c>
      <c r="B1011" s="1" t="n">
        <v>44714.92253472222</v>
      </c>
      <c r="C1011" s="1" t="n">
        <v>46070</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4581-2025</t>
        </is>
      </c>
      <c r="B1012" s="1" t="n">
        <v>45687</v>
      </c>
      <c r="C1012" s="1" t="n">
        <v>46070</v>
      </c>
      <c r="D1012" t="inlineStr">
        <is>
          <t>STOCKHOLMS LÄN</t>
        </is>
      </c>
      <c r="E1012" t="inlineStr">
        <is>
          <t>NORRTÄLJE</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60765-2023</t>
        </is>
      </c>
      <c r="B1013" s="1" t="n">
        <v>45260</v>
      </c>
      <c r="C1013" s="1" t="n">
        <v>46070</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23801-2022</t>
        </is>
      </c>
      <c r="B1014" s="1" t="n">
        <v>44722</v>
      </c>
      <c r="C1014" s="1" t="n">
        <v>46070</v>
      </c>
      <c r="D1014" t="inlineStr">
        <is>
          <t>STOCKHOLMS LÄN</t>
        </is>
      </c>
      <c r="E1014" t="inlineStr">
        <is>
          <t>NORRTÄLJE</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59276-2023</t>
        </is>
      </c>
      <c r="B1015" s="1" t="n">
        <v>45253.55641203704</v>
      </c>
      <c r="C1015" s="1" t="n">
        <v>46070</v>
      </c>
      <c r="D1015" t="inlineStr">
        <is>
          <t>STOCKHOLMS LÄN</t>
        </is>
      </c>
      <c r="E1015" t="inlineStr">
        <is>
          <t>NORRTÄLJE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46914-2022</t>
        </is>
      </c>
      <c r="B1016" s="1" t="n">
        <v>44851</v>
      </c>
      <c r="C1016" s="1" t="n">
        <v>46070</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18541-2023</t>
        </is>
      </c>
      <c r="B1017" s="1" t="n">
        <v>45042.74291666667</v>
      </c>
      <c r="C1017" s="1" t="n">
        <v>46070</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3509-2022</t>
        </is>
      </c>
      <c r="B1018" s="1" t="n">
        <v>44585</v>
      </c>
      <c r="C1018" s="1" t="n">
        <v>46070</v>
      </c>
      <c r="D1018" t="inlineStr">
        <is>
          <t>STOCKHOLMS LÄN</t>
        </is>
      </c>
      <c r="E1018" t="inlineStr">
        <is>
          <t>NORRTÄLJE</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26407-2024</t>
        </is>
      </c>
      <c r="B1019" s="1" t="n">
        <v>45469</v>
      </c>
      <c r="C1019" s="1" t="n">
        <v>46070</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12890-2024</t>
        </is>
      </c>
      <c r="B1020" s="1" t="n">
        <v>45385.36243055556</v>
      </c>
      <c r="C1020" s="1" t="n">
        <v>46070</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47419-2023</t>
        </is>
      </c>
      <c r="B1021" s="1" t="n">
        <v>45202.65660879629</v>
      </c>
      <c r="C1021" s="1" t="n">
        <v>46070</v>
      </c>
      <c r="D1021" t="inlineStr">
        <is>
          <t>STOCKHOLMS LÄN</t>
        </is>
      </c>
      <c r="E1021" t="inlineStr">
        <is>
          <t>NORRTÄLJE</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23070-2023</t>
        </is>
      </c>
      <c r="B1022" s="1" t="n">
        <v>45075</v>
      </c>
      <c r="C1022" s="1" t="n">
        <v>46070</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27824-2022</t>
        </is>
      </c>
      <c r="B1023" s="1" t="n">
        <v>44743.59331018518</v>
      </c>
      <c r="C1023" s="1" t="n">
        <v>46070</v>
      </c>
      <c r="D1023" t="inlineStr">
        <is>
          <t>STOCKHOLMS LÄN</t>
        </is>
      </c>
      <c r="E1023" t="inlineStr">
        <is>
          <t>NORRTÄLJE</t>
        </is>
      </c>
      <c r="F1023" t="inlineStr">
        <is>
          <t>Kommuner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25619-2022</t>
        </is>
      </c>
      <c r="B1024" s="1" t="n">
        <v>44732</v>
      </c>
      <c r="C1024" s="1" t="n">
        <v>46070</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36246-2021</t>
        </is>
      </c>
      <c r="B1025" s="1" t="n">
        <v>44390</v>
      </c>
      <c r="C1025" s="1" t="n">
        <v>46070</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19952-2023</t>
        </is>
      </c>
      <c r="B1026" s="1" t="n">
        <v>45054.54091435186</v>
      </c>
      <c r="C1026" s="1" t="n">
        <v>46070</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19994-2023</t>
        </is>
      </c>
      <c r="B1027" s="1" t="n">
        <v>45054</v>
      </c>
      <c r="C1027" s="1" t="n">
        <v>46070</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14130-2025</t>
        </is>
      </c>
      <c r="B1028" s="1" t="n">
        <v>45740.47288194444</v>
      </c>
      <c r="C1028" s="1" t="n">
        <v>46070</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574-2023</t>
        </is>
      </c>
      <c r="B1029" s="1" t="n">
        <v>44925</v>
      </c>
      <c r="C1029" s="1" t="n">
        <v>46070</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30283-2022</t>
        </is>
      </c>
      <c r="B1030" s="1" t="n">
        <v>44760</v>
      </c>
      <c r="C1030" s="1" t="n">
        <v>46070</v>
      </c>
      <c r="D1030" t="inlineStr">
        <is>
          <t>STOCKHOLMS LÄN</t>
        </is>
      </c>
      <c r="E1030" t="inlineStr">
        <is>
          <t>NORRTÄLJE</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30290-2022</t>
        </is>
      </c>
      <c r="B1031" s="1" t="n">
        <v>44760</v>
      </c>
      <c r="C1031" s="1" t="n">
        <v>46070</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29684-2021</t>
        </is>
      </c>
      <c r="B1032" s="1" t="n">
        <v>44362.37172453704</v>
      </c>
      <c r="C1032" s="1" t="n">
        <v>46070</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60884-2024</t>
        </is>
      </c>
      <c r="B1033" s="1" t="n">
        <v>45644.90815972222</v>
      </c>
      <c r="C1033" s="1" t="n">
        <v>46070</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38610-2022</t>
        </is>
      </c>
      <c r="B1034" s="1" t="n">
        <v>44813.59915509259</v>
      </c>
      <c r="C1034" s="1" t="n">
        <v>46070</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10090-2022</t>
        </is>
      </c>
      <c r="B1035" s="1" t="n">
        <v>44621</v>
      </c>
      <c r="C1035" s="1" t="n">
        <v>46070</v>
      </c>
      <c r="D1035" t="inlineStr">
        <is>
          <t>STOCKHOLMS LÄN</t>
        </is>
      </c>
      <c r="E1035" t="inlineStr">
        <is>
          <t>NORRTÄLJE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14724-2022</t>
        </is>
      </c>
      <c r="B1036" s="1" t="n">
        <v>44656</v>
      </c>
      <c r="C1036" s="1" t="n">
        <v>46070</v>
      </c>
      <c r="D1036" t="inlineStr">
        <is>
          <t>STOCKHOLMS LÄN</t>
        </is>
      </c>
      <c r="E1036" t="inlineStr">
        <is>
          <t>NORRTÄLJE</t>
        </is>
      </c>
      <c r="F1036" t="inlineStr">
        <is>
          <t>Sveaskog</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18846-2022</t>
        </is>
      </c>
      <c r="B1037" s="1" t="n">
        <v>44690</v>
      </c>
      <c r="C1037" s="1" t="n">
        <v>46070</v>
      </c>
      <c r="D1037" t="inlineStr">
        <is>
          <t>STOCKHOLMS LÄN</t>
        </is>
      </c>
      <c r="E1037" t="inlineStr">
        <is>
          <t>NORRTÄLJE</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43300-2023</t>
        </is>
      </c>
      <c r="B1038" s="1" t="n">
        <v>45183</v>
      </c>
      <c r="C1038" s="1" t="n">
        <v>46070</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25654-2023</t>
        </is>
      </c>
      <c r="B1039" s="1" t="n">
        <v>45089</v>
      </c>
      <c r="C1039" s="1" t="n">
        <v>46070</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23125-2022</t>
        </is>
      </c>
      <c r="B1040" s="1" t="n">
        <v>44719</v>
      </c>
      <c r="C1040" s="1" t="n">
        <v>46070</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20121-2022</t>
        </is>
      </c>
      <c r="B1041" s="1" t="n">
        <v>44698</v>
      </c>
      <c r="C1041" s="1" t="n">
        <v>46070</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33385-2024</t>
        </is>
      </c>
      <c r="B1042" s="1" t="n">
        <v>45519</v>
      </c>
      <c r="C1042" s="1" t="n">
        <v>46070</v>
      </c>
      <c r="D1042" t="inlineStr">
        <is>
          <t>STOCKHOLMS LÄN</t>
        </is>
      </c>
      <c r="E1042" t="inlineStr">
        <is>
          <t>NORRTÄLJE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41172-2023</t>
        </is>
      </c>
      <c r="B1043" s="1" t="n">
        <v>45170</v>
      </c>
      <c r="C1043" s="1" t="n">
        <v>46070</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73307-2021</t>
        </is>
      </c>
      <c r="B1044" s="1" t="n">
        <v>44549</v>
      </c>
      <c r="C1044" s="1" t="n">
        <v>46070</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50534-2024</t>
        </is>
      </c>
      <c r="B1045" s="1" t="n">
        <v>45601.56726851852</v>
      </c>
      <c r="C1045" s="1" t="n">
        <v>46070</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11988-2021</t>
        </is>
      </c>
      <c r="B1046" s="1" t="n">
        <v>44266</v>
      </c>
      <c r="C1046" s="1" t="n">
        <v>46070</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12132-2021</t>
        </is>
      </c>
      <c r="B1047" s="1" t="n">
        <v>44266</v>
      </c>
      <c r="C1047" s="1" t="n">
        <v>46070</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65499-2021</t>
        </is>
      </c>
      <c r="B1048" s="1" t="n">
        <v>44516</v>
      </c>
      <c r="C1048" s="1" t="n">
        <v>46070</v>
      </c>
      <c r="D1048" t="inlineStr">
        <is>
          <t>STOCKHOLMS LÄN</t>
        </is>
      </c>
      <c r="E1048" t="inlineStr">
        <is>
          <t>NORRTÄLJE</t>
        </is>
      </c>
      <c r="F1048" t="inlineStr">
        <is>
          <t>Kommuner</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65511-2021</t>
        </is>
      </c>
      <c r="B1049" s="1" t="n">
        <v>44516.40674768519</v>
      </c>
      <c r="C1049" s="1" t="n">
        <v>46070</v>
      </c>
      <c r="D1049" t="inlineStr">
        <is>
          <t>STOCKHOLMS LÄN</t>
        </is>
      </c>
      <c r="E1049" t="inlineStr">
        <is>
          <t>NORRTÄLJE</t>
        </is>
      </c>
      <c r="F1049" t="inlineStr">
        <is>
          <t>Kommuner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22833-2024</t>
        </is>
      </c>
      <c r="B1050" s="1" t="n">
        <v>45448.56746527777</v>
      </c>
      <c r="C1050" s="1" t="n">
        <v>46070</v>
      </c>
      <c r="D1050" t="inlineStr">
        <is>
          <t>STOCKHOLMS LÄN</t>
        </is>
      </c>
      <c r="E1050" t="inlineStr">
        <is>
          <t>NORRTÄLJE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32514-2022</t>
        </is>
      </c>
      <c r="B1051" s="1" t="n">
        <v>44782</v>
      </c>
      <c r="C1051" s="1" t="n">
        <v>46070</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29362-2022</t>
        </is>
      </c>
      <c r="B1052" s="1" t="n">
        <v>44753</v>
      </c>
      <c r="C1052" s="1" t="n">
        <v>46070</v>
      </c>
      <c r="D1052" t="inlineStr">
        <is>
          <t>STOCKHOLMS LÄN</t>
        </is>
      </c>
      <c r="E1052" t="inlineStr">
        <is>
          <t>NORRTÄLJE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58492-2022</t>
        </is>
      </c>
      <c r="B1053" s="1" t="n">
        <v>44902</v>
      </c>
      <c r="C1053" s="1" t="n">
        <v>46070</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51315-2021</t>
        </is>
      </c>
      <c r="B1054" s="1" t="n">
        <v>44461</v>
      </c>
      <c r="C1054" s="1" t="n">
        <v>46070</v>
      </c>
      <c r="D1054" t="inlineStr">
        <is>
          <t>STOCKHOLMS LÄN</t>
        </is>
      </c>
      <c r="E1054" t="inlineStr">
        <is>
          <t>NORRTÄLJE</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14873-2025</t>
        </is>
      </c>
      <c r="B1055" s="1" t="n">
        <v>45743.44953703704</v>
      </c>
      <c r="C1055" s="1" t="n">
        <v>46070</v>
      </c>
      <c r="D1055" t="inlineStr">
        <is>
          <t>STOCKHOLMS LÄN</t>
        </is>
      </c>
      <c r="E1055" t="inlineStr">
        <is>
          <t>NORRTÄLJE</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34773-2022</t>
        </is>
      </c>
      <c r="B1056" s="1" t="n">
        <v>44795</v>
      </c>
      <c r="C1056" s="1" t="n">
        <v>46070</v>
      </c>
      <c r="D1056" t="inlineStr">
        <is>
          <t>STOCKHOLMS LÄN</t>
        </is>
      </c>
      <c r="E1056" t="inlineStr">
        <is>
          <t>NORRTÄLJE</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33173-2024</t>
        </is>
      </c>
      <c r="B1057" s="1" t="n">
        <v>45518</v>
      </c>
      <c r="C1057" s="1" t="n">
        <v>46070</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4484-2025</t>
        </is>
      </c>
      <c r="B1058" s="1" t="n">
        <v>45686.65545138889</v>
      </c>
      <c r="C1058" s="1" t="n">
        <v>46070</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33878-2024</t>
        </is>
      </c>
      <c r="B1059" s="1" t="n">
        <v>45522.44414351852</v>
      </c>
      <c r="C1059" s="1" t="n">
        <v>46070</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9246-2024</t>
        </is>
      </c>
      <c r="B1060" s="1" t="n">
        <v>45357</v>
      </c>
      <c r="C1060" s="1" t="n">
        <v>46070</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35698-2023</t>
        </is>
      </c>
      <c r="B1061" s="1" t="n">
        <v>45147</v>
      </c>
      <c r="C1061" s="1" t="n">
        <v>46070</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62398-2022</t>
        </is>
      </c>
      <c r="B1062" s="1" t="n">
        <v>44923.90159722222</v>
      </c>
      <c r="C1062" s="1" t="n">
        <v>46070</v>
      </c>
      <c r="D1062" t="inlineStr">
        <is>
          <t>STOCKHOLMS LÄN</t>
        </is>
      </c>
      <c r="E1062" t="inlineStr">
        <is>
          <t>NORRTÄLJE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49700-2023</t>
        </is>
      </c>
      <c r="B1063" s="1" t="n">
        <v>45212</v>
      </c>
      <c r="C1063" s="1" t="n">
        <v>46070</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32071-2023</t>
        </is>
      </c>
      <c r="B1064" s="1" t="n">
        <v>45119.57728009259</v>
      </c>
      <c r="C1064" s="1" t="n">
        <v>46070</v>
      </c>
      <c r="D1064" t="inlineStr">
        <is>
          <t>STOCKHOLMS LÄN</t>
        </is>
      </c>
      <c r="E1064" t="inlineStr">
        <is>
          <t>NORRTÄLJE</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1425-2025</t>
        </is>
      </c>
      <c r="B1065" s="1" t="n">
        <v>45668.67446759259</v>
      </c>
      <c r="C1065" s="1" t="n">
        <v>46070</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17775-2022</t>
        </is>
      </c>
      <c r="B1066" s="1" t="n">
        <v>44682.78430555556</v>
      </c>
      <c r="C1066" s="1" t="n">
        <v>46070</v>
      </c>
      <c r="D1066" t="inlineStr">
        <is>
          <t>STOCKHOLMS LÄN</t>
        </is>
      </c>
      <c r="E1066" t="inlineStr">
        <is>
          <t>NORRTÄLJE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38720-2022</t>
        </is>
      </c>
      <c r="B1067" s="1" t="n">
        <v>44815.74539351852</v>
      </c>
      <c r="C1067" s="1" t="n">
        <v>46070</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10215-2023</t>
        </is>
      </c>
      <c r="B1068" s="1" t="n">
        <v>44986.5887962963</v>
      </c>
      <c r="C1068" s="1" t="n">
        <v>46070</v>
      </c>
      <c r="D1068" t="inlineStr">
        <is>
          <t>STOCKHOLMS LÄN</t>
        </is>
      </c>
      <c r="E1068" t="inlineStr">
        <is>
          <t>NORRTÄLJE</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25609-2023</t>
        </is>
      </c>
      <c r="B1069" s="1" t="n">
        <v>45089</v>
      </c>
      <c r="C1069" s="1" t="n">
        <v>46070</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20014-2025</t>
        </is>
      </c>
      <c r="B1070" s="1" t="n">
        <v>45772.3078125</v>
      </c>
      <c r="C1070" s="1" t="n">
        <v>46070</v>
      </c>
      <c r="D1070" t="inlineStr">
        <is>
          <t>STOCKHOLMS LÄN</t>
        </is>
      </c>
      <c r="E1070" t="inlineStr">
        <is>
          <t>NORRTÄLJE</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20136-2025</t>
        </is>
      </c>
      <c r="B1071" s="1" t="n">
        <v>45772.51127314815</v>
      </c>
      <c r="C1071" s="1" t="n">
        <v>46070</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2287-2024</t>
        </is>
      </c>
      <c r="B1072" s="1" t="n">
        <v>45310</v>
      </c>
      <c r="C1072" s="1" t="n">
        <v>46070</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13785-2024</t>
        </is>
      </c>
      <c r="B1073" s="1" t="n">
        <v>45391.3395949074</v>
      </c>
      <c r="C1073" s="1" t="n">
        <v>46070</v>
      </c>
      <c r="D1073" t="inlineStr">
        <is>
          <t>STOCKHOLMS LÄN</t>
        </is>
      </c>
      <c r="E1073" t="inlineStr">
        <is>
          <t>NORRTÄLJE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50469-2022</t>
        </is>
      </c>
      <c r="B1074" s="1" t="n">
        <v>44866.49827546296</v>
      </c>
      <c r="C1074" s="1" t="n">
        <v>46070</v>
      </c>
      <c r="D1074" t="inlineStr">
        <is>
          <t>STOCKHOLMS LÄN</t>
        </is>
      </c>
      <c r="E1074" t="inlineStr">
        <is>
          <t>NORRTÄLJE</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51116-2022</t>
        </is>
      </c>
      <c r="B1075" s="1" t="n">
        <v>44868.45741898148</v>
      </c>
      <c r="C1075" s="1" t="n">
        <v>46070</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60217-2021</t>
        </is>
      </c>
      <c r="B1076" s="1" t="n">
        <v>44495.5893287037</v>
      </c>
      <c r="C1076" s="1" t="n">
        <v>46070</v>
      </c>
      <c r="D1076" t="inlineStr">
        <is>
          <t>STOCKHOLMS LÄN</t>
        </is>
      </c>
      <c r="E1076" t="inlineStr">
        <is>
          <t>NORRTÄLJE</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46070</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38985-2022</t>
        </is>
      </c>
      <c r="B1078" s="1" t="n">
        <v>44816</v>
      </c>
      <c r="C1078" s="1" t="n">
        <v>46070</v>
      </c>
      <c r="D1078" t="inlineStr">
        <is>
          <t>STOCKHOLMS LÄN</t>
        </is>
      </c>
      <c r="E1078" t="inlineStr">
        <is>
          <t>NORRTÄLJE</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5665-2025</t>
        </is>
      </c>
      <c r="B1079" s="1" t="n">
        <v>45693</v>
      </c>
      <c r="C1079" s="1" t="n">
        <v>46070</v>
      </c>
      <c r="D1079" t="inlineStr">
        <is>
          <t>STOCKHOLMS LÄN</t>
        </is>
      </c>
      <c r="E1079" t="inlineStr">
        <is>
          <t>NORRTÄLJE</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3426-2025</t>
        </is>
      </c>
      <c r="B1080" s="1" t="n">
        <v>45680.42665509259</v>
      </c>
      <c r="C1080" s="1" t="n">
        <v>46070</v>
      </c>
      <c r="D1080" t="inlineStr">
        <is>
          <t>STOCKHOLMS LÄN</t>
        </is>
      </c>
      <c r="E1080" t="inlineStr">
        <is>
          <t>NORRTÄLJE</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58530-2024</t>
        </is>
      </c>
      <c r="B1081" s="1" t="n">
        <v>45635.44788194444</v>
      </c>
      <c r="C1081" s="1" t="n">
        <v>46070</v>
      </c>
      <c r="D1081" t="inlineStr">
        <is>
          <t>STOCKHOLMS LÄN</t>
        </is>
      </c>
      <c r="E1081" t="inlineStr">
        <is>
          <t>NORRTÄLJE</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22421-2021</t>
        </is>
      </c>
      <c r="B1082" s="1" t="n">
        <v>44326</v>
      </c>
      <c r="C1082" s="1" t="n">
        <v>46070</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40761-2024</t>
        </is>
      </c>
      <c r="B1083" s="1" t="n">
        <v>45558.46283564815</v>
      </c>
      <c r="C1083" s="1" t="n">
        <v>46070</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44956.65920138889</v>
      </c>
      <c r="C1084" s="1" t="n">
        <v>46070</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46070</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13171-2025</t>
        </is>
      </c>
      <c r="B1086" s="1" t="n">
        <v>45735.36594907408</v>
      </c>
      <c r="C1086" s="1" t="n">
        <v>46070</v>
      </c>
      <c r="D1086" t="inlineStr">
        <is>
          <t>STOCKHOLMS LÄN</t>
        </is>
      </c>
      <c r="E1086" t="inlineStr">
        <is>
          <t>NORRTÄLJE</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51978-2023</t>
        </is>
      </c>
      <c r="B1087" s="1" t="n">
        <v>45223</v>
      </c>
      <c r="C1087" s="1" t="n">
        <v>46070</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18092-2022</t>
        </is>
      </c>
      <c r="B1088" s="1" t="n">
        <v>44684</v>
      </c>
      <c r="C1088" s="1" t="n">
        <v>46070</v>
      </c>
      <c r="D1088" t="inlineStr">
        <is>
          <t>STOCKHOLMS LÄN</t>
        </is>
      </c>
      <c r="E1088" t="inlineStr">
        <is>
          <t>NORRTÄLJE</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59310-2023</t>
        </is>
      </c>
      <c r="B1089" s="1" t="n">
        <v>45253.61146990741</v>
      </c>
      <c r="C1089" s="1" t="n">
        <v>46070</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46070</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59878-2024</t>
        </is>
      </c>
      <c r="B1091" s="1" t="n">
        <v>45640.60240740741</v>
      </c>
      <c r="C1091" s="1" t="n">
        <v>46070</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41335-2023</t>
        </is>
      </c>
      <c r="B1092" s="1" t="n">
        <v>45174.68702546296</v>
      </c>
      <c r="C1092" s="1" t="n">
        <v>46070</v>
      </c>
      <c r="D1092" t="inlineStr">
        <is>
          <t>STOCKHOLMS LÄN</t>
        </is>
      </c>
      <c r="E1092" t="inlineStr">
        <is>
          <t>NORRTÄLJE</t>
        </is>
      </c>
      <c r="F1092" t="inlineStr">
        <is>
          <t>Holmen skog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33040-2021</t>
        </is>
      </c>
      <c r="B1093" s="1" t="n">
        <v>44376.50728009259</v>
      </c>
      <c r="C1093" s="1" t="n">
        <v>46070</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33053-2021</t>
        </is>
      </c>
      <c r="B1094" s="1" t="n">
        <v>44376</v>
      </c>
      <c r="C1094" s="1" t="n">
        <v>46070</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43150-2023</t>
        </is>
      </c>
      <c r="B1095" s="1" t="n">
        <v>45183</v>
      </c>
      <c r="C1095" s="1" t="n">
        <v>46070</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54259-2023</t>
        </is>
      </c>
      <c r="B1096" s="1" t="n">
        <v>45232</v>
      </c>
      <c r="C1096" s="1" t="n">
        <v>46070</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60822-2023</t>
        </is>
      </c>
      <c r="B1097" s="1" t="n">
        <v>45259</v>
      </c>
      <c r="C1097" s="1" t="n">
        <v>46070</v>
      </c>
      <c r="D1097" t="inlineStr">
        <is>
          <t>STOCKHOLMS LÄN</t>
        </is>
      </c>
      <c r="E1097" t="inlineStr">
        <is>
          <t>NORRTÄLJE</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12031-2021</t>
        </is>
      </c>
      <c r="B1098" s="1" t="n">
        <v>44266</v>
      </c>
      <c r="C1098" s="1" t="n">
        <v>46070</v>
      </c>
      <c r="D1098" t="inlineStr">
        <is>
          <t>STOCKHOLMS LÄN</t>
        </is>
      </c>
      <c r="E1098" t="inlineStr">
        <is>
          <t>NORRTÄLJE</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27381-2024</t>
        </is>
      </c>
      <c r="B1099" s="1" t="n">
        <v>45473.94501157408</v>
      </c>
      <c r="C1099" s="1" t="n">
        <v>46070</v>
      </c>
      <c r="D1099" t="inlineStr">
        <is>
          <t>STOCKHOLMS LÄN</t>
        </is>
      </c>
      <c r="E1099" t="inlineStr">
        <is>
          <t>NORRTÄLJE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23265-2023</t>
        </is>
      </c>
      <c r="B1100" s="1" t="n">
        <v>45075.90703703704</v>
      </c>
      <c r="C1100" s="1" t="n">
        <v>46070</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26117-2024</t>
        </is>
      </c>
      <c r="B1101" s="1" t="n">
        <v>45468.45877314815</v>
      </c>
      <c r="C1101" s="1" t="n">
        <v>46070</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20336-2024</t>
        </is>
      </c>
      <c r="B1102" s="1" t="n">
        <v>45435.43123842592</v>
      </c>
      <c r="C1102" s="1" t="n">
        <v>46070</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1847-2023</t>
        </is>
      </c>
      <c r="B1103" s="1" t="n">
        <v>44938</v>
      </c>
      <c r="C1103" s="1" t="n">
        <v>46070</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59721-2024</t>
        </is>
      </c>
      <c r="B1104" s="1" t="n">
        <v>45639.47385416667</v>
      </c>
      <c r="C1104" s="1" t="n">
        <v>46070</v>
      </c>
      <c r="D1104" t="inlineStr">
        <is>
          <t>STOCKHOLMS LÄN</t>
        </is>
      </c>
      <c r="E1104" t="inlineStr">
        <is>
          <t>NORRTÄLJE</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37010-2022</t>
        </is>
      </c>
      <c r="B1105" s="1" t="n">
        <v>44806.41576388889</v>
      </c>
      <c r="C1105" s="1" t="n">
        <v>46070</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951-2023</t>
        </is>
      </c>
      <c r="B1106" s="1" t="n">
        <v>44934</v>
      </c>
      <c r="C1106" s="1" t="n">
        <v>46070</v>
      </c>
      <c r="D1106" t="inlineStr">
        <is>
          <t>STOCKHOLMS LÄN</t>
        </is>
      </c>
      <c r="E1106" t="inlineStr">
        <is>
          <t>NORRTÄLJE</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5423-2023</t>
        </is>
      </c>
      <c r="B1107" s="1" t="n">
        <v>44959.74533564815</v>
      </c>
      <c r="C1107" s="1" t="n">
        <v>46070</v>
      </c>
      <c r="D1107" t="inlineStr">
        <is>
          <t>STOCKHOLMS LÄN</t>
        </is>
      </c>
      <c r="E1107" t="inlineStr">
        <is>
          <t>NORRTÄLJE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50182-2024</t>
        </is>
      </c>
      <c r="B1108" s="1" t="n">
        <v>45600.47275462963</v>
      </c>
      <c r="C1108" s="1" t="n">
        <v>46070</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12629-2024</t>
        </is>
      </c>
      <c r="B1109" s="1" t="n">
        <v>45383</v>
      </c>
      <c r="C1109" s="1" t="n">
        <v>46070</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35708-2022</t>
        </is>
      </c>
      <c r="B1110" s="1" t="n">
        <v>44799.65013888889</v>
      </c>
      <c r="C1110" s="1" t="n">
        <v>46070</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45220-2024</t>
        </is>
      </c>
      <c r="B1111" s="1" t="n">
        <v>45575</v>
      </c>
      <c r="C1111" s="1" t="n">
        <v>46070</v>
      </c>
      <c r="D1111" t="inlineStr">
        <is>
          <t>STOCKHOLMS LÄN</t>
        </is>
      </c>
      <c r="E1111" t="inlineStr">
        <is>
          <t>NORRTÄLJE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21731-2023</t>
        </is>
      </c>
      <c r="B1112" s="1" t="n">
        <v>45063</v>
      </c>
      <c r="C1112" s="1" t="n">
        <v>46070</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23266-2023</t>
        </is>
      </c>
      <c r="B1113" s="1" t="n">
        <v>45075.90817129629</v>
      </c>
      <c r="C1113" s="1" t="n">
        <v>46070</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47521-2024</t>
        </is>
      </c>
      <c r="B1114" s="1" t="n">
        <v>45587.62565972222</v>
      </c>
      <c r="C1114" s="1" t="n">
        <v>46070</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58260-2023</t>
        </is>
      </c>
      <c r="B1115" s="1" t="n">
        <v>45245</v>
      </c>
      <c r="C1115" s="1" t="n">
        <v>46070</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58261-2023</t>
        </is>
      </c>
      <c r="B1116" s="1" t="n">
        <v>45245</v>
      </c>
      <c r="C1116" s="1" t="n">
        <v>46070</v>
      </c>
      <c r="D1116" t="inlineStr">
        <is>
          <t>STOCKHOLMS LÄN</t>
        </is>
      </c>
      <c r="E1116" t="inlineStr">
        <is>
          <t>NORRTÄLJE</t>
        </is>
      </c>
      <c r="G1116" t="n">
        <v>53.5</v>
      </c>
      <c r="H1116" t="n">
        <v>0</v>
      </c>
      <c r="I1116" t="n">
        <v>0</v>
      </c>
      <c r="J1116" t="n">
        <v>0</v>
      </c>
      <c r="K1116" t="n">
        <v>0</v>
      </c>
      <c r="L1116" t="n">
        <v>0</v>
      </c>
      <c r="M1116" t="n">
        <v>0</v>
      </c>
      <c r="N1116" t="n">
        <v>0</v>
      </c>
      <c r="O1116" t="n">
        <v>0</v>
      </c>
      <c r="P1116" t="n">
        <v>0</v>
      </c>
      <c r="Q1116" t="n">
        <v>0</v>
      </c>
      <c r="R1116" s="2" t="inlineStr"/>
    </row>
    <row r="1117" ht="15" customHeight="1">
      <c r="A1117" t="inlineStr">
        <is>
          <t>A 29266-2022</t>
        </is>
      </c>
      <c r="B1117" s="1" t="n">
        <v>44750.66068287037</v>
      </c>
      <c r="C1117" s="1" t="n">
        <v>46070</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29278-2022</t>
        </is>
      </c>
      <c r="B1118" s="1" t="n">
        <v>44750</v>
      </c>
      <c r="C1118" s="1" t="n">
        <v>46070</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37273-2024</t>
        </is>
      </c>
      <c r="B1119" s="1" t="n">
        <v>45540</v>
      </c>
      <c r="C1119" s="1" t="n">
        <v>46070</v>
      </c>
      <c r="D1119" t="inlineStr">
        <is>
          <t>STOCKHOLMS LÄN</t>
        </is>
      </c>
      <c r="E1119" t="inlineStr">
        <is>
          <t>NORRTÄLJE</t>
        </is>
      </c>
      <c r="F1119" t="inlineStr">
        <is>
          <t>Sveaskog</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12908-2025</t>
        </is>
      </c>
      <c r="B1120" s="1" t="n">
        <v>45733.82105324074</v>
      </c>
      <c r="C1120" s="1" t="n">
        <v>46070</v>
      </c>
      <c r="D1120" t="inlineStr">
        <is>
          <t>STOCKHOLMS LÄN</t>
        </is>
      </c>
      <c r="E1120" t="inlineStr">
        <is>
          <t>NORRTÄLJE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23060-2023</t>
        </is>
      </c>
      <c r="B1121" s="1" t="n">
        <v>45075</v>
      </c>
      <c r="C1121" s="1" t="n">
        <v>46070</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32103-2022</t>
        </is>
      </c>
      <c r="B1122" s="1" t="n">
        <v>44778</v>
      </c>
      <c r="C1122" s="1" t="n">
        <v>46070</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6401-2024</t>
        </is>
      </c>
      <c r="B1123" s="1" t="n">
        <v>45338</v>
      </c>
      <c r="C1123" s="1" t="n">
        <v>46070</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59504-2023</t>
        </is>
      </c>
      <c r="B1124" s="1" t="n">
        <v>45254</v>
      </c>
      <c r="C1124" s="1" t="n">
        <v>46070</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52321-2024</t>
        </is>
      </c>
      <c r="B1125" s="1" t="n">
        <v>45608</v>
      </c>
      <c r="C1125" s="1" t="n">
        <v>46070</v>
      </c>
      <c r="D1125" t="inlineStr">
        <is>
          <t>STOCKHOLMS LÄN</t>
        </is>
      </c>
      <c r="E1125" t="inlineStr">
        <is>
          <t>NORRTÄLJE</t>
        </is>
      </c>
      <c r="G1125" t="n">
        <v>18.1</v>
      </c>
      <c r="H1125" t="n">
        <v>0</v>
      </c>
      <c r="I1125" t="n">
        <v>0</v>
      </c>
      <c r="J1125" t="n">
        <v>0</v>
      </c>
      <c r="K1125" t="n">
        <v>0</v>
      </c>
      <c r="L1125" t="n">
        <v>0</v>
      </c>
      <c r="M1125" t="n">
        <v>0</v>
      </c>
      <c r="N1125" t="n">
        <v>0</v>
      </c>
      <c r="O1125" t="n">
        <v>0</v>
      </c>
      <c r="P1125" t="n">
        <v>0</v>
      </c>
      <c r="Q1125" t="n">
        <v>0</v>
      </c>
      <c r="R1125" s="2" t="inlineStr"/>
    </row>
    <row r="1126" ht="15" customHeight="1">
      <c r="A1126" t="inlineStr">
        <is>
          <t>A 48151-2024</t>
        </is>
      </c>
      <c r="B1126" s="1" t="n">
        <v>45589.68289351852</v>
      </c>
      <c r="C1126" s="1" t="n">
        <v>46070</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20370-2025</t>
        </is>
      </c>
      <c r="B1127" s="1" t="n">
        <v>45775.41451388889</v>
      </c>
      <c r="C1127" s="1" t="n">
        <v>46070</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19580-2022</t>
        </is>
      </c>
      <c r="B1128" s="1" t="n">
        <v>44693</v>
      </c>
      <c r="C1128" s="1" t="n">
        <v>46070</v>
      </c>
      <c r="D1128" t="inlineStr">
        <is>
          <t>STOCKHOLMS LÄN</t>
        </is>
      </c>
      <c r="E1128" t="inlineStr">
        <is>
          <t>NORRTÄLJE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30731-2023</t>
        </is>
      </c>
      <c r="B1129" s="1" t="n">
        <v>45112</v>
      </c>
      <c r="C1129" s="1" t="n">
        <v>46070</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4580-2025</t>
        </is>
      </c>
      <c r="B1130" s="1" t="n">
        <v>45687.5038425926</v>
      </c>
      <c r="C1130" s="1" t="n">
        <v>46070</v>
      </c>
      <c r="D1130" t="inlineStr">
        <is>
          <t>STOCKHOLMS LÄN</t>
        </is>
      </c>
      <c r="E1130" t="inlineStr">
        <is>
          <t>NORRTÄLJE</t>
        </is>
      </c>
      <c r="F1130" t="inlineStr">
        <is>
          <t>Holmen skog AB</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31057-2022</t>
        </is>
      </c>
      <c r="B1131" s="1" t="n">
        <v>44769</v>
      </c>
      <c r="C1131" s="1" t="n">
        <v>46070</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31140-2023</t>
        </is>
      </c>
      <c r="B1132" s="1" t="n">
        <v>45113</v>
      </c>
      <c r="C1132" s="1" t="n">
        <v>46070</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31149-2023</t>
        </is>
      </c>
      <c r="B1133" s="1" t="n">
        <v>45113</v>
      </c>
      <c r="C1133" s="1" t="n">
        <v>46070</v>
      </c>
      <c r="D1133" t="inlineStr">
        <is>
          <t>STOCKHOLMS LÄN</t>
        </is>
      </c>
      <c r="E1133" t="inlineStr">
        <is>
          <t>NORRTÄLJE</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4658-2024</t>
        </is>
      </c>
      <c r="B1134" s="1" t="n">
        <v>45328.46336805556</v>
      </c>
      <c r="C1134" s="1" t="n">
        <v>46070</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19131-2025</t>
        </is>
      </c>
      <c r="B1135" s="1" t="n">
        <v>45769</v>
      </c>
      <c r="C1135" s="1" t="n">
        <v>46070</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7571-2024</t>
        </is>
      </c>
      <c r="B1136" s="1" t="n">
        <v>45348.46300925926</v>
      </c>
      <c r="C1136" s="1" t="n">
        <v>46070</v>
      </c>
      <c r="D1136" t="inlineStr">
        <is>
          <t>STOCKHOLMS LÄN</t>
        </is>
      </c>
      <c r="E1136" t="inlineStr">
        <is>
          <t>NORRTÄLJE</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11849-2025</t>
        </is>
      </c>
      <c r="B1137" s="1" t="n">
        <v>45728.38409722222</v>
      </c>
      <c r="C1137" s="1" t="n">
        <v>46070</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40425-2021</t>
        </is>
      </c>
      <c r="B1138" s="1" t="n">
        <v>44419</v>
      </c>
      <c r="C1138" s="1" t="n">
        <v>46070</v>
      </c>
      <c r="D1138" t="inlineStr">
        <is>
          <t>STOCKHOLMS LÄN</t>
        </is>
      </c>
      <c r="E1138" t="inlineStr">
        <is>
          <t>NORRTÄLJE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58990-2021</t>
        </is>
      </c>
      <c r="B1139" s="1" t="n">
        <v>44490.03621527777</v>
      </c>
      <c r="C1139" s="1" t="n">
        <v>46070</v>
      </c>
      <c r="D1139" t="inlineStr">
        <is>
          <t>STOCKHOLMS LÄN</t>
        </is>
      </c>
      <c r="E1139" t="inlineStr">
        <is>
          <t>NORRTÄLJE</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20790-2025</t>
        </is>
      </c>
      <c r="B1140" s="1" t="n">
        <v>45776.62563657408</v>
      </c>
      <c r="C1140" s="1" t="n">
        <v>46070</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20699-2025</t>
        </is>
      </c>
      <c r="B1141" s="1" t="n">
        <v>45776.47346064815</v>
      </c>
      <c r="C1141" s="1" t="n">
        <v>46070</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3152-2024</t>
        </is>
      </c>
      <c r="B1142" s="1" t="n">
        <v>45316.60306712963</v>
      </c>
      <c r="C1142" s="1" t="n">
        <v>46070</v>
      </c>
      <c r="D1142" t="inlineStr">
        <is>
          <t>STOCKHOLMS LÄN</t>
        </is>
      </c>
      <c r="E1142" t="inlineStr">
        <is>
          <t>NORRTÄLJE</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59326-2023</t>
        </is>
      </c>
      <c r="B1143" s="1" t="n">
        <v>45253.63089120371</v>
      </c>
      <c r="C1143" s="1" t="n">
        <v>46070</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44836-2023</t>
        </is>
      </c>
      <c r="B1144" s="1" t="n">
        <v>45190.55609953704</v>
      </c>
      <c r="C1144" s="1" t="n">
        <v>46070</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20779-2025</t>
        </is>
      </c>
      <c r="B1145" s="1" t="n">
        <v>45776.59871527777</v>
      </c>
      <c r="C1145" s="1" t="n">
        <v>46070</v>
      </c>
      <c r="D1145" t="inlineStr">
        <is>
          <t>STOCKHOLMS LÄN</t>
        </is>
      </c>
      <c r="E1145" t="inlineStr">
        <is>
          <t>NORRTÄLJE</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21771-2025</t>
        </is>
      </c>
      <c r="B1146" s="1" t="n">
        <v>45783</v>
      </c>
      <c r="C1146" s="1" t="n">
        <v>46070</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21778-2025</t>
        </is>
      </c>
      <c r="B1147" s="1" t="n">
        <v>45783.66429398148</v>
      </c>
      <c r="C1147" s="1" t="n">
        <v>46070</v>
      </c>
      <c r="D1147" t="inlineStr">
        <is>
          <t>STOCKHOLMS LÄN</t>
        </is>
      </c>
      <c r="E1147" t="inlineStr">
        <is>
          <t>NORRTÄLJE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22202-2025</t>
        </is>
      </c>
      <c r="B1148" s="1" t="n">
        <v>45785.65300925926</v>
      </c>
      <c r="C1148" s="1" t="n">
        <v>46070</v>
      </c>
      <c r="D1148" t="inlineStr">
        <is>
          <t>STOCKHOLMS LÄN</t>
        </is>
      </c>
      <c r="E1148" t="inlineStr">
        <is>
          <t>NORRTÄLJE</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16620-2024</t>
        </is>
      </c>
      <c r="B1149" s="1" t="n">
        <v>45408.57707175926</v>
      </c>
      <c r="C1149" s="1" t="n">
        <v>46070</v>
      </c>
      <c r="D1149" t="inlineStr">
        <is>
          <t>STOCKHOLMS LÄN</t>
        </is>
      </c>
      <c r="E1149" t="inlineStr">
        <is>
          <t>NORRTÄLJE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22416-2025</t>
        </is>
      </c>
      <c r="B1150" s="1" t="n">
        <v>45786.55645833333</v>
      </c>
      <c r="C1150" s="1" t="n">
        <v>46070</v>
      </c>
      <c r="D1150" t="inlineStr">
        <is>
          <t>STOCKHOLMS LÄN</t>
        </is>
      </c>
      <c r="E1150" t="inlineStr">
        <is>
          <t>NORRTÄLJE</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58785-2024</t>
        </is>
      </c>
      <c r="B1151" s="1" t="n">
        <v>45635.88849537037</v>
      </c>
      <c r="C1151" s="1" t="n">
        <v>46070</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2182-2022</t>
        </is>
      </c>
      <c r="B1152" s="1" t="n">
        <v>44578</v>
      </c>
      <c r="C1152" s="1" t="n">
        <v>46070</v>
      </c>
      <c r="D1152" t="inlineStr">
        <is>
          <t>STOCKHOLMS LÄN</t>
        </is>
      </c>
      <c r="E1152" t="inlineStr">
        <is>
          <t>NORRTÄLJE</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13268-2025</t>
        </is>
      </c>
      <c r="B1153" s="1" t="n">
        <v>45735</v>
      </c>
      <c r="C1153" s="1" t="n">
        <v>46070</v>
      </c>
      <c r="D1153" t="inlineStr">
        <is>
          <t>STOCKHOLMS LÄN</t>
        </is>
      </c>
      <c r="E1153" t="inlineStr">
        <is>
          <t>NORRTÄLJE</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8414-2025</t>
        </is>
      </c>
      <c r="B1154" s="1" t="n">
        <v>45709.39361111111</v>
      </c>
      <c r="C1154" s="1" t="n">
        <v>46070</v>
      </c>
      <c r="D1154" t="inlineStr">
        <is>
          <t>STOCKHOLMS LÄN</t>
        </is>
      </c>
      <c r="E1154" t="inlineStr">
        <is>
          <t>NORRTÄLJE</t>
        </is>
      </c>
      <c r="F1154" t="inlineStr">
        <is>
          <t>Holmen skog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36625-2024</t>
        </is>
      </c>
      <c r="B1155" s="1" t="n">
        <v>45537</v>
      </c>
      <c r="C1155" s="1" t="n">
        <v>46070</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44891-2023</t>
        </is>
      </c>
      <c r="B1156" s="1" t="n">
        <v>45187</v>
      </c>
      <c r="C1156" s="1" t="n">
        <v>46070</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12902-2024</t>
        </is>
      </c>
      <c r="B1157" s="1" t="n">
        <v>45385.38146990741</v>
      </c>
      <c r="C1157" s="1" t="n">
        <v>46070</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44032-2024</t>
        </is>
      </c>
      <c r="B1158" s="1" t="n">
        <v>45572.57828703704</v>
      </c>
      <c r="C1158" s="1" t="n">
        <v>46070</v>
      </c>
      <c r="D1158" t="inlineStr">
        <is>
          <t>STOCKHOLMS LÄN</t>
        </is>
      </c>
      <c r="E1158" t="inlineStr">
        <is>
          <t>NORRTÄLJE</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24563-2024</t>
        </is>
      </c>
      <c r="B1159" s="1" t="n">
        <v>45460.44347222222</v>
      </c>
      <c r="C1159" s="1" t="n">
        <v>46070</v>
      </c>
      <c r="D1159" t="inlineStr">
        <is>
          <t>STOCKHOLMS LÄN</t>
        </is>
      </c>
      <c r="E1159" t="inlineStr">
        <is>
          <t>NORRTÄLJE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39237-2024</t>
        </is>
      </c>
      <c r="B1160" s="1" t="n">
        <v>45549</v>
      </c>
      <c r="C1160" s="1" t="n">
        <v>46070</v>
      </c>
      <c r="D1160" t="inlineStr">
        <is>
          <t>STOCKHOLMS LÄN</t>
        </is>
      </c>
      <c r="E1160" t="inlineStr">
        <is>
          <t>NORRTÄLJE</t>
        </is>
      </c>
      <c r="G1160" t="n">
        <v>13.3</v>
      </c>
      <c r="H1160" t="n">
        <v>0</v>
      </c>
      <c r="I1160" t="n">
        <v>0</v>
      </c>
      <c r="J1160" t="n">
        <v>0</v>
      </c>
      <c r="K1160" t="n">
        <v>0</v>
      </c>
      <c r="L1160" t="n">
        <v>0</v>
      </c>
      <c r="M1160" t="n">
        <v>0</v>
      </c>
      <c r="N1160" t="n">
        <v>0</v>
      </c>
      <c r="O1160" t="n">
        <v>0</v>
      </c>
      <c r="P1160" t="n">
        <v>0</v>
      </c>
      <c r="Q1160" t="n">
        <v>0</v>
      </c>
      <c r="R1160" s="2" t="inlineStr"/>
    </row>
    <row r="1161" ht="15" customHeight="1">
      <c r="A1161" t="inlineStr">
        <is>
          <t>A 45746-2024</t>
        </is>
      </c>
      <c r="B1161" s="1" t="n">
        <v>45579</v>
      </c>
      <c r="C1161" s="1" t="n">
        <v>46070</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c r="A1162" t="inlineStr">
        <is>
          <t>A 8400-2024</t>
        </is>
      </c>
      <c r="B1162" s="1" t="n">
        <v>45352.74090277778</v>
      </c>
      <c r="C1162" s="1" t="n">
        <v>46070</v>
      </c>
      <c r="D1162" t="inlineStr">
        <is>
          <t>STOCKHOLMS LÄN</t>
        </is>
      </c>
      <c r="E1162" t="inlineStr">
        <is>
          <t>NORRTÄLJE</t>
        </is>
      </c>
      <c r="G1162" t="n">
        <v>4.7</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2026-02-17T11:39:58Z</dcterms:created>
  <dcterms:modified xmlns:dcterms="http://purl.org/dc/terms/" xmlns:xsi="http://www.w3.org/2001/XMLSchema-instance" xsi:type="dcterms:W3CDTF">2026-02-17T11:39:59Z</dcterms:modified>
</cp:coreProperties>
</file>