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45827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45827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45827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45827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45827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45827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45827</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45827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45827</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45827</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45827</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45827</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45827</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45827</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45827</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45827</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45827</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45827</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45827</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45827</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45827</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45827</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45827</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45827</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45827</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45827</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45827</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45827</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45827</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45827</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45827</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45827</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45827</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45827</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45827</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45827</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45827</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45827</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45827</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45827</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45827</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45827</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45827</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45827</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45827</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45827</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45827</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45827</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45827</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45827</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45827</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45827</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45827</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45827</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45827</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45827</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45827</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45827</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45827</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45827</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45827</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45827</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45827</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45827</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45827</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45827</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45827</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45827</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45827</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45827</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45827</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45827</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45827</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45827</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45827</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45827</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45827</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45827</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45827</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45827</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45827</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45827</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45827</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45827</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45827</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45827</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45827</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45827</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45827</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45827</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45827</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45827</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45827</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45827</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45827</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45827</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45827</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45827</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45827</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29185-2025</t>
        </is>
      </c>
      <c r="B102" s="1" t="n">
        <v>45821</v>
      </c>
      <c r="C102" s="1" t="n">
        <v>45827</v>
      </c>
      <c r="D102" t="inlineStr">
        <is>
          <t>STOCKHOLMS LÄN</t>
        </is>
      </c>
      <c r="E102" t="inlineStr">
        <is>
          <t>NORRTÄLJE</t>
        </is>
      </c>
      <c r="F102" t="inlineStr">
        <is>
          <t>Övriga Aktiebolag</t>
        </is>
      </c>
      <c r="G102" t="n">
        <v>8.5</v>
      </c>
      <c r="H102" t="n">
        <v>2</v>
      </c>
      <c r="I102" t="n">
        <v>1</v>
      </c>
      <c r="J102" t="n">
        <v>0</v>
      </c>
      <c r="K102" t="n">
        <v>0</v>
      </c>
      <c r="L102" t="n">
        <v>0</v>
      </c>
      <c r="M102" t="n">
        <v>0</v>
      </c>
      <c r="N102" t="n">
        <v>0</v>
      </c>
      <c r="O102" t="n">
        <v>0</v>
      </c>
      <c r="P102" t="n">
        <v>0</v>
      </c>
      <c r="Q102" t="n">
        <v>3</v>
      </c>
      <c r="R102" s="2" t="inlineStr">
        <is>
          <t>Vårärt
Fläcknycklar
Blåsippa</t>
        </is>
      </c>
      <c r="S102">
        <f>HYPERLINK("https://klasma.github.io/Logging_010188/artfynd/A 29185-2025 artfynd.xlsx", "A 29185-2025")</f>
        <v/>
      </c>
      <c r="T102">
        <f>HYPERLINK("https://klasma.github.io/Logging_010188/kartor/A 29185-2025 karta.png", "A 29185-2025")</f>
        <v/>
      </c>
      <c r="V102">
        <f>HYPERLINK("https://klasma.github.io/Logging_010188/klagomål/A 29185-2025 FSC-klagomål.docx", "A 29185-2025")</f>
        <v/>
      </c>
      <c r="W102">
        <f>HYPERLINK("https://klasma.github.io/Logging_010188/klagomålsmail/A 29185-2025 FSC-klagomål mail.docx", "A 29185-2025")</f>
        <v/>
      </c>
      <c r="X102">
        <f>HYPERLINK("https://klasma.github.io/Logging_010188/tillsyn/A 29185-2025 tillsynsbegäran.docx", "A 29185-2025")</f>
        <v/>
      </c>
      <c r="Y102">
        <f>HYPERLINK("https://klasma.github.io/Logging_010188/tillsynsmail/A 29185-2025 tillsynsbegäran mail.docx", "A 29185-2025")</f>
        <v/>
      </c>
    </row>
    <row r="103" ht="15" customHeight="1">
      <c r="A103" t="inlineStr">
        <is>
          <t>A 23830-2019</t>
        </is>
      </c>
      <c r="B103" s="1" t="n">
        <v>43595</v>
      </c>
      <c r="C103" s="1" t="n">
        <v>45827</v>
      </c>
      <c r="D103" t="inlineStr">
        <is>
          <t>STOCKHOLMS LÄN</t>
        </is>
      </c>
      <c r="E103" t="inlineStr">
        <is>
          <t>NORRTÄLJE</t>
        </is>
      </c>
      <c r="G103" t="n">
        <v>3</v>
      </c>
      <c r="H103" t="n">
        <v>2</v>
      </c>
      <c r="I103" t="n">
        <v>1</v>
      </c>
      <c r="J103" t="n">
        <v>0</v>
      </c>
      <c r="K103" t="n">
        <v>0</v>
      </c>
      <c r="L103" t="n">
        <v>0</v>
      </c>
      <c r="M103" t="n">
        <v>0</v>
      </c>
      <c r="N103" t="n">
        <v>0</v>
      </c>
      <c r="O103" t="n">
        <v>0</v>
      </c>
      <c r="P103" t="n">
        <v>0</v>
      </c>
      <c r="Q103" t="n">
        <v>2</v>
      </c>
      <c r="R103" s="2" t="inlineStr">
        <is>
          <t>Guckusko
Grönvit nattviol</t>
        </is>
      </c>
      <c r="S103">
        <f>HYPERLINK("https://klasma.github.io/Logging_0188/artfynd/A 23830-2019 artfynd.xlsx", "A 23830-2019")</f>
        <v/>
      </c>
      <c r="T103">
        <f>HYPERLINK("https://klasma.github.io/Logging_0188/kartor/A 23830-2019 karta.png", "A 23830-2019")</f>
        <v/>
      </c>
      <c r="V103">
        <f>HYPERLINK("https://klasma.github.io/Logging_0188/klagomål/A 23830-2019 FSC-klagomål.docx", "A 23830-2019")</f>
        <v/>
      </c>
      <c r="W103">
        <f>HYPERLINK("https://klasma.github.io/Logging_0188/klagomålsmail/A 23830-2019 FSC-klagomål mail.docx", "A 23830-2019")</f>
        <v/>
      </c>
      <c r="X103">
        <f>HYPERLINK("https://klasma.github.io/Logging_0188/tillsyn/A 23830-2019 tillsynsbegäran.docx", "A 23830-2019")</f>
        <v/>
      </c>
      <c r="Y103">
        <f>HYPERLINK("https://klasma.github.io/Logging_0188/tillsynsmail/A 23830-2019 tillsynsbegäran mail.docx", "A 23830-2019")</f>
        <v/>
      </c>
    </row>
    <row r="104" ht="15" customHeight="1">
      <c r="A104" t="inlineStr">
        <is>
          <t>A 47875-2019</t>
        </is>
      </c>
      <c r="B104" s="1" t="n">
        <v>43725</v>
      </c>
      <c r="C104" s="1" t="n">
        <v>45827</v>
      </c>
      <c r="D104" t="inlineStr">
        <is>
          <t>STOCKHOLMS LÄN</t>
        </is>
      </c>
      <c r="E104" t="inlineStr">
        <is>
          <t>NORRTÄLJE</t>
        </is>
      </c>
      <c r="G104" t="n">
        <v>10.9</v>
      </c>
      <c r="H104" t="n">
        <v>1</v>
      </c>
      <c r="I104" t="n">
        <v>0</v>
      </c>
      <c r="J104" t="n">
        <v>1</v>
      </c>
      <c r="K104" t="n">
        <v>0</v>
      </c>
      <c r="L104" t="n">
        <v>0</v>
      </c>
      <c r="M104" t="n">
        <v>0</v>
      </c>
      <c r="N104" t="n">
        <v>0</v>
      </c>
      <c r="O104" t="n">
        <v>1</v>
      </c>
      <c r="P104" t="n">
        <v>0</v>
      </c>
      <c r="Q104" t="n">
        <v>2</v>
      </c>
      <c r="R104" s="2" t="inlineStr">
        <is>
          <t>Vippärt
Mattlummer</t>
        </is>
      </c>
      <c r="S104">
        <f>HYPERLINK("https://klasma.github.io/Logging_0188/artfynd/A 47875-2019 artfynd.xlsx", "A 47875-2019")</f>
        <v/>
      </c>
      <c r="T104">
        <f>HYPERLINK("https://klasma.github.io/Logging_0188/kartor/A 47875-2019 karta.png", "A 47875-2019")</f>
        <v/>
      </c>
      <c r="V104">
        <f>HYPERLINK("https://klasma.github.io/Logging_0188/klagomål/A 47875-2019 FSC-klagomål.docx", "A 47875-2019")</f>
        <v/>
      </c>
      <c r="W104">
        <f>HYPERLINK("https://klasma.github.io/Logging_0188/klagomålsmail/A 47875-2019 FSC-klagomål mail.docx", "A 47875-2019")</f>
        <v/>
      </c>
      <c r="X104">
        <f>HYPERLINK("https://klasma.github.io/Logging_0188/tillsyn/A 47875-2019 tillsynsbegäran.docx", "A 47875-2019")</f>
        <v/>
      </c>
      <c r="Y104">
        <f>HYPERLINK("https://klasma.github.io/Logging_0188/tillsynsmail/A 47875-2019 tillsynsbegäran mail.docx", "A 47875-2019")</f>
        <v/>
      </c>
    </row>
    <row r="105" ht="15" customHeight="1">
      <c r="A105" t="inlineStr">
        <is>
          <t>A 2810-2020</t>
        </is>
      </c>
      <c r="B105" s="1" t="n">
        <v>43850</v>
      </c>
      <c r="C105" s="1" t="n">
        <v>45827</v>
      </c>
      <c r="D105" t="inlineStr">
        <is>
          <t>STOCKHOLMS LÄN</t>
        </is>
      </c>
      <c r="E105" t="inlineStr">
        <is>
          <t>NORRTÄLJE</t>
        </is>
      </c>
      <c r="G105" t="n">
        <v>0.9</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2810-2020 artfynd.xlsx", "A 2810-2020")</f>
        <v/>
      </c>
      <c r="T105">
        <f>HYPERLINK("https://klasma.github.io/Logging_0188/kartor/A 2810-2020 karta.png", "A 2810-2020")</f>
        <v/>
      </c>
      <c r="U105">
        <f>HYPERLINK("https://klasma.github.io/Logging_0188/knärot/A 2810-2020 karta knärot.png", "A 2810-2020")</f>
        <v/>
      </c>
      <c r="V105">
        <f>HYPERLINK("https://klasma.github.io/Logging_0188/klagomål/A 2810-2020 FSC-klagomål.docx", "A 2810-2020")</f>
        <v/>
      </c>
      <c r="W105">
        <f>HYPERLINK("https://klasma.github.io/Logging_0188/klagomålsmail/A 2810-2020 FSC-klagomål mail.docx", "A 2810-2020")</f>
        <v/>
      </c>
      <c r="X105">
        <f>HYPERLINK("https://klasma.github.io/Logging_0188/tillsyn/A 2810-2020 tillsynsbegäran.docx", "A 2810-2020")</f>
        <v/>
      </c>
      <c r="Y105">
        <f>HYPERLINK("https://klasma.github.io/Logging_0188/tillsynsmail/A 2810-2020 tillsynsbegäran mail.docx", "A 2810-2020")</f>
        <v/>
      </c>
    </row>
    <row r="106" ht="15" customHeight="1">
      <c r="A106" t="inlineStr">
        <is>
          <t>A 6272-2020</t>
        </is>
      </c>
      <c r="B106" s="1" t="n">
        <v>43866</v>
      </c>
      <c r="C106" s="1" t="n">
        <v>45827</v>
      </c>
      <c r="D106" t="inlineStr">
        <is>
          <t>STOCKHOLMS LÄN</t>
        </is>
      </c>
      <c r="E106" t="inlineStr">
        <is>
          <t>NORRTÄLJE</t>
        </is>
      </c>
      <c r="F106" t="inlineStr">
        <is>
          <t>Övriga statliga verk och myndigheter</t>
        </is>
      </c>
      <c r="G106" t="n">
        <v>1.9</v>
      </c>
      <c r="H106" t="n">
        <v>1</v>
      </c>
      <c r="I106" t="n">
        <v>1</v>
      </c>
      <c r="J106" t="n">
        <v>1</v>
      </c>
      <c r="K106" t="n">
        <v>0</v>
      </c>
      <c r="L106" t="n">
        <v>0</v>
      </c>
      <c r="M106" t="n">
        <v>0</v>
      </c>
      <c r="N106" t="n">
        <v>0</v>
      </c>
      <c r="O106" t="n">
        <v>1</v>
      </c>
      <c r="P106" t="n">
        <v>0</v>
      </c>
      <c r="Q106" t="n">
        <v>2</v>
      </c>
      <c r="R106" s="2" t="inlineStr">
        <is>
          <t>Silversmygare
Nästrot</t>
        </is>
      </c>
      <c r="S106">
        <f>HYPERLINK("https://klasma.github.io/Logging_0188/artfynd/A 6272-2020 artfynd.xlsx", "A 6272-2020")</f>
        <v/>
      </c>
      <c r="T106">
        <f>HYPERLINK("https://klasma.github.io/Logging_0188/kartor/A 6272-2020 karta.png", "A 6272-2020")</f>
        <v/>
      </c>
      <c r="V106">
        <f>HYPERLINK("https://klasma.github.io/Logging_0188/klagomål/A 6272-2020 FSC-klagomål.docx", "A 6272-2020")</f>
        <v/>
      </c>
      <c r="W106">
        <f>HYPERLINK("https://klasma.github.io/Logging_0188/klagomålsmail/A 6272-2020 FSC-klagomål mail.docx", "A 6272-2020")</f>
        <v/>
      </c>
      <c r="X106">
        <f>HYPERLINK("https://klasma.github.io/Logging_0188/tillsyn/A 6272-2020 tillsynsbegäran.docx", "A 6272-2020")</f>
        <v/>
      </c>
      <c r="Y106">
        <f>HYPERLINK("https://klasma.github.io/Logging_0188/tillsynsmail/A 6272-2020 tillsynsbegäran mail.docx", "A 6272-2020")</f>
        <v/>
      </c>
    </row>
    <row r="107" ht="15" customHeight="1">
      <c r="A107" t="inlineStr">
        <is>
          <t>A 14565-2020</t>
        </is>
      </c>
      <c r="B107" s="1" t="n">
        <v>43908</v>
      </c>
      <c r="C107" s="1" t="n">
        <v>45827</v>
      </c>
      <c r="D107" t="inlineStr">
        <is>
          <t>STOCKHOLMS LÄN</t>
        </is>
      </c>
      <c r="E107" t="inlineStr">
        <is>
          <t>NORRTÄLJE</t>
        </is>
      </c>
      <c r="G107" t="n">
        <v>3.4</v>
      </c>
      <c r="H107" t="n">
        <v>2</v>
      </c>
      <c r="I107" t="n">
        <v>0</v>
      </c>
      <c r="J107" t="n">
        <v>0</v>
      </c>
      <c r="K107" t="n">
        <v>0</v>
      </c>
      <c r="L107" t="n">
        <v>0</v>
      </c>
      <c r="M107" t="n">
        <v>0</v>
      </c>
      <c r="N107" t="n">
        <v>0</v>
      </c>
      <c r="O107" t="n">
        <v>0</v>
      </c>
      <c r="P107" t="n">
        <v>0</v>
      </c>
      <c r="Q107" t="n">
        <v>2</v>
      </c>
      <c r="R107" s="2" t="inlineStr">
        <is>
          <t>Mindre vattensalamander
Vanlig groda</t>
        </is>
      </c>
      <c r="S107">
        <f>HYPERLINK("https://klasma.github.io/Logging_0188/artfynd/A 14565-2020 artfynd.xlsx", "A 14565-2020")</f>
        <v/>
      </c>
      <c r="T107">
        <f>HYPERLINK("https://klasma.github.io/Logging_0188/kartor/A 14565-2020 karta.png", "A 14565-2020")</f>
        <v/>
      </c>
      <c r="V107">
        <f>HYPERLINK("https://klasma.github.io/Logging_0188/klagomål/A 14565-2020 FSC-klagomål.docx", "A 14565-2020")</f>
        <v/>
      </c>
      <c r="W107">
        <f>HYPERLINK("https://klasma.github.io/Logging_0188/klagomålsmail/A 14565-2020 FSC-klagomål mail.docx", "A 14565-2020")</f>
        <v/>
      </c>
      <c r="X107">
        <f>HYPERLINK("https://klasma.github.io/Logging_0188/tillsyn/A 14565-2020 tillsynsbegäran.docx", "A 14565-2020")</f>
        <v/>
      </c>
      <c r="Y107">
        <f>HYPERLINK("https://klasma.github.io/Logging_0188/tillsynsmail/A 14565-2020 tillsynsbegäran mail.docx", "A 14565-2020")</f>
        <v/>
      </c>
    </row>
    <row r="108" ht="15" customHeight="1">
      <c r="A108" t="inlineStr">
        <is>
          <t>A 19565-2020</t>
        </is>
      </c>
      <c r="B108" s="1" t="n">
        <v>43936</v>
      </c>
      <c r="C108" s="1" t="n">
        <v>45827</v>
      </c>
      <c r="D108" t="inlineStr">
        <is>
          <t>STOCKHOLMS LÄN</t>
        </is>
      </c>
      <c r="E108" t="inlineStr">
        <is>
          <t>NORRTÄLJE</t>
        </is>
      </c>
      <c r="G108" t="n">
        <v>2.4</v>
      </c>
      <c r="H108" t="n">
        <v>0</v>
      </c>
      <c r="I108" t="n">
        <v>2</v>
      </c>
      <c r="J108" t="n">
        <v>0</v>
      </c>
      <c r="K108" t="n">
        <v>0</v>
      </c>
      <c r="L108" t="n">
        <v>0</v>
      </c>
      <c r="M108" t="n">
        <v>0</v>
      </c>
      <c r="N108" t="n">
        <v>0</v>
      </c>
      <c r="O108" t="n">
        <v>0</v>
      </c>
      <c r="P108" t="n">
        <v>0</v>
      </c>
      <c r="Q108" t="n">
        <v>2</v>
      </c>
      <c r="R108" s="2" t="inlineStr">
        <is>
          <t>Mörk husmossa
Rödgul trumpetsvamp</t>
        </is>
      </c>
      <c r="S108">
        <f>HYPERLINK("https://klasma.github.io/Logging_0188/artfynd/A 19565-2020 artfynd.xlsx", "A 19565-2020")</f>
        <v/>
      </c>
      <c r="T108">
        <f>HYPERLINK("https://klasma.github.io/Logging_0188/kartor/A 19565-2020 karta.png", "A 19565-2020")</f>
        <v/>
      </c>
      <c r="V108">
        <f>HYPERLINK("https://klasma.github.io/Logging_0188/klagomål/A 19565-2020 FSC-klagomål.docx", "A 19565-2020")</f>
        <v/>
      </c>
      <c r="W108">
        <f>HYPERLINK("https://klasma.github.io/Logging_0188/klagomålsmail/A 19565-2020 FSC-klagomål mail.docx", "A 19565-2020")</f>
        <v/>
      </c>
      <c r="X108">
        <f>HYPERLINK("https://klasma.github.io/Logging_0188/tillsyn/A 19565-2020 tillsynsbegäran.docx", "A 19565-2020")</f>
        <v/>
      </c>
      <c r="Y108">
        <f>HYPERLINK("https://klasma.github.io/Logging_0188/tillsynsmail/A 19565-2020 tillsynsbegäran mail.docx", "A 19565-2020")</f>
        <v/>
      </c>
    </row>
    <row r="109" ht="15" customHeight="1">
      <c r="A109" t="inlineStr">
        <is>
          <t>A 31803-2021</t>
        </is>
      </c>
      <c r="B109" s="1" t="n">
        <v>44370</v>
      </c>
      <c r="C109" s="1" t="n">
        <v>45827</v>
      </c>
      <c r="D109" t="inlineStr">
        <is>
          <t>STOCKHOLMS LÄN</t>
        </is>
      </c>
      <c r="E109" t="inlineStr">
        <is>
          <t>NORRTÄLJE</t>
        </is>
      </c>
      <c r="G109" t="n">
        <v>4.6</v>
      </c>
      <c r="H109" t="n">
        <v>0</v>
      </c>
      <c r="I109" t="n">
        <v>1</v>
      </c>
      <c r="J109" t="n">
        <v>1</v>
      </c>
      <c r="K109" t="n">
        <v>0</v>
      </c>
      <c r="L109" t="n">
        <v>0</v>
      </c>
      <c r="M109" t="n">
        <v>0</v>
      </c>
      <c r="N109" t="n">
        <v>0</v>
      </c>
      <c r="O109" t="n">
        <v>1</v>
      </c>
      <c r="P109" t="n">
        <v>0</v>
      </c>
      <c r="Q109" t="n">
        <v>2</v>
      </c>
      <c r="R109" s="2" t="inlineStr">
        <is>
          <t>Slåtterfibbla
Vårärt</t>
        </is>
      </c>
      <c r="S109">
        <f>HYPERLINK("https://klasma.github.io/Logging_0188/artfynd/A 31803-2021 artfynd.xlsx", "A 31803-2021")</f>
        <v/>
      </c>
      <c r="T109">
        <f>HYPERLINK("https://klasma.github.io/Logging_0188/kartor/A 31803-2021 karta.png", "A 31803-2021")</f>
        <v/>
      </c>
      <c r="V109">
        <f>HYPERLINK("https://klasma.github.io/Logging_0188/klagomål/A 31803-2021 FSC-klagomål.docx", "A 31803-2021")</f>
        <v/>
      </c>
      <c r="W109">
        <f>HYPERLINK("https://klasma.github.io/Logging_0188/klagomålsmail/A 31803-2021 FSC-klagomål mail.docx", "A 31803-2021")</f>
        <v/>
      </c>
      <c r="X109">
        <f>HYPERLINK("https://klasma.github.io/Logging_0188/tillsyn/A 31803-2021 tillsynsbegäran.docx", "A 31803-2021")</f>
        <v/>
      </c>
      <c r="Y109">
        <f>HYPERLINK("https://klasma.github.io/Logging_0188/tillsynsmail/A 31803-2021 tillsynsbegäran mail.docx", "A 31803-2021")</f>
        <v/>
      </c>
    </row>
    <row r="110" ht="15" customHeight="1">
      <c r="A110" t="inlineStr">
        <is>
          <t>A 40072-2021</t>
        </is>
      </c>
      <c r="B110" s="1" t="n">
        <v>44418</v>
      </c>
      <c r="C110" s="1" t="n">
        <v>45827</v>
      </c>
      <c r="D110" t="inlineStr">
        <is>
          <t>STOCKHOLMS LÄN</t>
        </is>
      </c>
      <c r="E110" t="inlineStr">
        <is>
          <t>NORRTÄLJE</t>
        </is>
      </c>
      <c r="G110" t="n">
        <v>1.1</v>
      </c>
      <c r="H110" t="n">
        <v>2</v>
      </c>
      <c r="I110" t="n">
        <v>0</v>
      </c>
      <c r="J110" t="n">
        <v>2</v>
      </c>
      <c r="K110" t="n">
        <v>0</v>
      </c>
      <c r="L110" t="n">
        <v>0</v>
      </c>
      <c r="M110" t="n">
        <v>0</v>
      </c>
      <c r="N110" t="n">
        <v>0</v>
      </c>
      <c r="O110" t="n">
        <v>2</v>
      </c>
      <c r="P110" t="n">
        <v>0</v>
      </c>
      <c r="Q110" t="n">
        <v>2</v>
      </c>
      <c r="R110" s="2" t="inlineStr">
        <is>
          <t>Rördrom
Slaguggla</t>
        </is>
      </c>
      <c r="S110">
        <f>HYPERLINK("https://klasma.github.io/Logging_0188/artfynd/A 40072-2021 artfynd.xlsx", "A 40072-2021")</f>
        <v/>
      </c>
      <c r="T110">
        <f>HYPERLINK("https://klasma.github.io/Logging_0188/kartor/A 40072-2021 karta.png", "A 40072-2021")</f>
        <v/>
      </c>
      <c r="V110">
        <f>HYPERLINK("https://klasma.github.io/Logging_0188/klagomål/A 40072-2021 FSC-klagomål.docx", "A 40072-2021")</f>
        <v/>
      </c>
      <c r="W110">
        <f>HYPERLINK("https://klasma.github.io/Logging_0188/klagomålsmail/A 40072-2021 FSC-klagomål mail.docx", "A 40072-2021")</f>
        <v/>
      </c>
      <c r="X110">
        <f>HYPERLINK("https://klasma.github.io/Logging_0188/tillsyn/A 40072-2021 tillsynsbegäran.docx", "A 40072-2021")</f>
        <v/>
      </c>
      <c r="Y110">
        <f>HYPERLINK("https://klasma.github.io/Logging_0188/tillsynsmail/A 40072-2021 tillsynsbegäran mail.docx", "A 40072-2021")</f>
        <v/>
      </c>
      <c r="Z110">
        <f>HYPERLINK("https://klasma.github.io/Logging_0188/fåglar/A 40072-2021 prioriterade fågelarter.docx", "A 40072-2021")</f>
        <v/>
      </c>
    </row>
    <row r="111" ht="15" customHeight="1">
      <c r="A111" t="inlineStr">
        <is>
          <t>A 58676-2021</t>
        </is>
      </c>
      <c r="B111" s="1" t="n">
        <v>44489</v>
      </c>
      <c r="C111" s="1" t="n">
        <v>45827</v>
      </c>
      <c r="D111" t="inlineStr">
        <is>
          <t>STOCKHOLMS LÄN</t>
        </is>
      </c>
      <c r="E111" t="inlineStr">
        <is>
          <t>NORRTÄLJE</t>
        </is>
      </c>
      <c r="G111" t="n">
        <v>0.6</v>
      </c>
      <c r="H111" t="n">
        <v>2</v>
      </c>
      <c r="I111" t="n">
        <v>0</v>
      </c>
      <c r="J111" t="n">
        <v>0</v>
      </c>
      <c r="K111" t="n">
        <v>0</v>
      </c>
      <c r="L111" t="n">
        <v>0</v>
      </c>
      <c r="M111" t="n">
        <v>0</v>
      </c>
      <c r="N111" t="n">
        <v>0</v>
      </c>
      <c r="O111" t="n">
        <v>0</v>
      </c>
      <c r="P111" t="n">
        <v>0</v>
      </c>
      <c r="Q111" t="n">
        <v>2</v>
      </c>
      <c r="R111" s="2" t="inlineStr">
        <is>
          <t>Nattviol
Blåsippa</t>
        </is>
      </c>
      <c r="S111">
        <f>HYPERLINK("https://klasma.github.io/Logging_0188/artfynd/A 58676-2021 artfynd.xlsx", "A 58676-2021")</f>
        <v/>
      </c>
      <c r="T111">
        <f>HYPERLINK("https://klasma.github.io/Logging_0188/kartor/A 58676-2021 karta.png", "A 58676-2021")</f>
        <v/>
      </c>
      <c r="V111">
        <f>HYPERLINK("https://klasma.github.io/Logging_0188/klagomål/A 58676-2021 FSC-klagomål.docx", "A 58676-2021")</f>
        <v/>
      </c>
      <c r="W111">
        <f>HYPERLINK("https://klasma.github.io/Logging_0188/klagomålsmail/A 58676-2021 FSC-klagomål mail.docx", "A 58676-2021")</f>
        <v/>
      </c>
      <c r="X111">
        <f>HYPERLINK("https://klasma.github.io/Logging_0188/tillsyn/A 58676-2021 tillsynsbegäran.docx", "A 58676-2021")</f>
        <v/>
      </c>
      <c r="Y111">
        <f>HYPERLINK("https://klasma.github.io/Logging_0188/tillsynsmail/A 58676-2021 tillsynsbegäran mail.docx", "A 58676-2021")</f>
        <v/>
      </c>
    </row>
    <row r="112" ht="15" customHeight="1">
      <c r="A112" t="inlineStr">
        <is>
          <t>A 459-2022</t>
        </is>
      </c>
      <c r="B112" s="1" t="n">
        <v>44565</v>
      </c>
      <c r="C112" s="1" t="n">
        <v>45827</v>
      </c>
      <c r="D112" t="inlineStr">
        <is>
          <t>STOCKHOLMS LÄN</t>
        </is>
      </c>
      <c r="E112" t="inlineStr">
        <is>
          <t>NORRTÄLJE</t>
        </is>
      </c>
      <c r="F112" t="inlineStr">
        <is>
          <t>Övriga Aktiebolag</t>
        </is>
      </c>
      <c r="G112" t="n">
        <v>17.3</v>
      </c>
      <c r="H112" t="n">
        <v>0</v>
      </c>
      <c r="I112" t="n">
        <v>1</v>
      </c>
      <c r="J112" t="n">
        <v>1</v>
      </c>
      <c r="K112" t="n">
        <v>0</v>
      </c>
      <c r="L112" t="n">
        <v>0</v>
      </c>
      <c r="M112" t="n">
        <v>0</v>
      </c>
      <c r="N112" t="n">
        <v>0</v>
      </c>
      <c r="O112" t="n">
        <v>1</v>
      </c>
      <c r="P112" t="n">
        <v>0</v>
      </c>
      <c r="Q112" t="n">
        <v>2</v>
      </c>
      <c r="R112" s="2" t="inlineStr">
        <is>
          <t>Brunpudrad nållav
Björksplintborre</t>
        </is>
      </c>
      <c r="S112">
        <f>HYPERLINK("https://klasma.github.io/Logging_0188/artfynd/A 459-2022 artfynd.xlsx", "A 459-2022")</f>
        <v/>
      </c>
      <c r="T112">
        <f>HYPERLINK("https://klasma.github.io/Logging_0188/kartor/A 459-2022 karta.png", "A 459-2022")</f>
        <v/>
      </c>
      <c r="V112">
        <f>HYPERLINK("https://klasma.github.io/Logging_0188/klagomål/A 459-2022 FSC-klagomål.docx", "A 459-2022")</f>
        <v/>
      </c>
      <c r="W112">
        <f>HYPERLINK("https://klasma.github.io/Logging_0188/klagomålsmail/A 459-2022 FSC-klagomål mail.docx", "A 459-2022")</f>
        <v/>
      </c>
      <c r="X112">
        <f>HYPERLINK("https://klasma.github.io/Logging_0188/tillsyn/A 459-2022 tillsynsbegäran.docx", "A 459-2022")</f>
        <v/>
      </c>
      <c r="Y112">
        <f>HYPERLINK("https://klasma.github.io/Logging_0188/tillsynsmail/A 459-2022 tillsynsbegäran mail.docx", "A 459-2022")</f>
        <v/>
      </c>
    </row>
    <row r="113" ht="15" customHeight="1">
      <c r="A113" t="inlineStr">
        <is>
          <t>A 16260-2022</t>
        </is>
      </c>
      <c r="B113" s="1" t="n">
        <v>44670</v>
      </c>
      <c r="C113" s="1" t="n">
        <v>45827</v>
      </c>
      <c r="D113" t="inlineStr">
        <is>
          <t>STOCKHOLMS LÄN</t>
        </is>
      </c>
      <c r="E113" t="inlineStr">
        <is>
          <t>NORRTÄLJE</t>
        </is>
      </c>
      <c r="G113" t="n">
        <v>6.6</v>
      </c>
      <c r="H113" t="n">
        <v>1</v>
      </c>
      <c r="I113" t="n">
        <v>2</v>
      </c>
      <c r="J113" t="n">
        <v>0</v>
      </c>
      <c r="K113" t="n">
        <v>0</v>
      </c>
      <c r="L113" t="n">
        <v>0</v>
      </c>
      <c r="M113" t="n">
        <v>0</v>
      </c>
      <c r="N113" t="n">
        <v>0</v>
      </c>
      <c r="O113" t="n">
        <v>0</v>
      </c>
      <c r="P113" t="n">
        <v>0</v>
      </c>
      <c r="Q113" t="n">
        <v>2</v>
      </c>
      <c r="R113" s="2" t="inlineStr">
        <is>
          <t>Nästrot
Vårärt</t>
        </is>
      </c>
      <c r="S113">
        <f>HYPERLINK("https://klasma.github.io/Logging_0188/artfynd/A 16260-2022 artfynd.xlsx", "A 16260-2022")</f>
        <v/>
      </c>
      <c r="T113">
        <f>HYPERLINK("https://klasma.github.io/Logging_0188/kartor/A 16260-2022 karta.png", "A 16260-2022")</f>
        <v/>
      </c>
      <c r="V113">
        <f>HYPERLINK("https://klasma.github.io/Logging_0188/klagomål/A 16260-2022 FSC-klagomål.docx", "A 16260-2022")</f>
        <v/>
      </c>
      <c r="W113">
        <f>HYPERLINK("https://klasma.github.io/Logging_0188/klagomålsmail/A 16260-2022 FSC-klagomål mail.docx", "A 16260-2022")</f>
        <v/>
      </c>
      <c r="X113">
        <f>HYPERLINK("https://klasma.github.io/Logging_0188/tillsyn/A 16260-2022 tillsynsbegäran.docx", "A 16260-2022")</f>
        <v/>
      </c>
      <c r="Y113">
        <f>HYPERLINK("https://klasma.github.io/Logging_0188/tillsynsmail/A 16260-2022 tillsynsbegäran mail.docx", "A 16260-2022")</f>
        <v/>
      </c>
    </row>
    <row r="114" ht="15" customHeight="1">
      <c r="A114" t="inlineStr">
        <is>
          <t>A 19862-2022</t>
        </is>
      </c>
      <c r="B114" s="1" t="n">
        <v>44696</v>
      </c>
      <c r="C114" s="1" t="n">
        <v>45827</v>
      </c>
      <c r="D114" t="inlineStr">
        <is>
          <t>STOCKHOLMS LÄN</t>
        </is>
      </c>
      <c r="E114" t="inlineStr">
        <is>
          <t>NORRTÄLJE</t>
        </is>
      </c>
      <c r="G114" t="n">
        <v>6</v>
      </c>
      <c r="H114" t="n">
        <v>1</v>
      </c>
      <c r="I114" t="n">
        <v>0</v>
      </c>
      <c r="J114" t="n">
        <v>1</v>
      </c>
      <c r="K114" t="n">
        <v>0</v>
      </c>
      <c r="L114" t="n">
        <v>0</v>
      </c>
      <c r="M114" t="n">
        <v>0</v>
      </c>
      <c r="N114" t="n">
        <v>0</v>
      </c>
      <c r="O114" t="n">
        <v>1</v>
      </c>
      <c r="P114" t="n">
        <v>0</v>
      </c>
      <c r="Q114" t="n">
        <v>2</v>
      </c>
      <c r="R114" s="2" t="inlineStr">
        <is>
          <t>Granticka
Blåsippa</t>
        </is>
      </c>
      <c r="S114">
        <f>HYPERLINK("https://klasma.github.io/Logging_0188/artfynd/A 19862-2022 artfynd.xlsx", "A 19862-2022")</f>
        <v/>
      </c>
      <c r="T114">
        <f>HYPERLINK("https://klasma.github.io/Logging_0188/kartor/A 19862-2022 karta.png", "A 19862-2022")</f>
        <v/>
      </c>
      <c r="V114">
        <f>HYPERLINK("https://klasma.github.io/Logging_0188/klagomål/A 19862-2022 FSC-klagomål.docx", "A 19862-2022")</f>
        <v/>
      </c>
      <c r="W114">
        <f>HYPERLINK("https://klasma.github.io/Logging_0188/klagomålsmail/A 19862-2022 FSC-klagomål mail.docx", "A 19862-2022")</f>
        <v/>
      </c>
      <c r="X114">
        <f>HYPERLINK("https://klasma.github.io/Logging_0188/tillsyn/A 19862-2022 tillsynsbegäran.docx", "A 19862-2022")</f>
        <v/>
      </c>
      <c r="Y114">
        <f>HYPERLINK("https://klasma.github.io/Logging_0188/tillsynsmail/A 19862-2022 tillsynsbegäran mail.docx", "A 19862-2022")</f>
        <v/>
      </c>
    </row>
    <row r="115" ht="15" customHeight="1">
      <c r="A115" t="inlineStr">
        <is>
          <t>A 27742-2022</t>
        </is>
      </c>
      <c r="B115" s="1" t="n">
        <v>44743</v>
      </c>
      <c r="C115" s="1" t="n">
        <v>45827</v>
      </c>
      <c r="D115" t="inlineStr">
        <is>
          <t>STOCKHOLMS LÄN</t>
        </is>
      </c>
      <c r="E115" t="inlineStr">
        <is>
          <t>NORRTÄLJE</t>
        </is>
      </c>
      <c r="G115" t="n">
        <v>3.9</v>
      </c>
      <c r="H115" t="n">
        <v>1</v>
      </c>
      <c r="I115" t="n">
        <v>1</v>
      </c>
      <c r="J115" t="n">
        <v>0</v>
      </c>
      <c r="K115" t="n">
        <v>0</v>
      </c>
      <c r="L115" t="n">
        <v>0</v>
      </c>
      <c r="M115" t="n">
        <v>0</v>
      </c>
      <c r="N115" t="n">
        <v>0</v>
      </c>
      <c r="O115" t="n">
        <v>0</v>
      </c>
      <c r="P115" t="n">
        <v>0</v>
      </c>
      <c r="Q115" t="n">
        <v>2</v>
      </c>
      <c r="R115" s="2" t="inlineStr">
        <is>
          <t>Svavelriska
Blåsippa</t>
        </is>
      </c>
      <c r="S115">
        <f>HYPERLINK("https://klasma.github.io/Logging_0188/artfynd/A 27742-2022 artfynd.xlsx", "A 27742-2022")</f>
        <v/>
      </c>
      <c r="T115">
        <f>HYPERLINK("https://klasma.github.io/Logging_0188/kartor/A 27742-2022 karta.png", "A 27742-2022")</f>
        <v/>
      </c>
      <c r="V115">
        <f>HYPERLINK("https://klasma.github.io/Logging_0188/klagomål/A 27742-2022 FSC-klagomål.docx", "A 27742-2022")</f>
        <v/>
      </c>
      <c r="W115">
        <f>HYPERLINK("https://klasma.github.io/Logging_0188/klagomålsmail/A 27742-2022 FSC-klagomål mail.docx", "A 27742-2022")</f>
        <v/>
      </c>
      <c r="X115">
        <f>HYPERLINK("https://klasma.github.io/Logging_0188/tillsyn/A 27742-2022 tillsynsbegäran.docx", "A 27742-2022")</f>
        <v/>
      </c>
      <c r="Y115">
        <f>HYPERLINK("https://klasma.github.io/Logging_0188/tillsynsmail/A 27742-2022 tillsynsbegäran mail.docx", "A 27742-2022")</f>
        <v/>
      </c>
    </row>
    <row r="116" ht="15" customHeight="1">
      <c r="A116" t="inlineStr">
        <is>
          <t>A 30693-2022</t>
        </is>
      </c>
      <c r="B116" s="1" t="n">
        <v>44763</v>
      </c>
      <c r="C116" s="1" t="n">
        <v>45827</v>
      </c>
      <c r="D116" t="inlineStr">
        <is>
          <t>STOCKHOLMS LÄN</t>
        </is>
      </c>
      <c r="E116" t="inlineStr">
        <is>
          <t>NORRTÄLJE</t>
        </is>
      </c>
      <c r="F116" t="inlineStr">
        <is>
          <t>Sveaskog</t>
        </is>
      </c>
      <c r="G116" t="n">
        <v>3.4</v>
      </c>
      <c r="H116" t="n">
        <v>2</v>
      </c>
      <c r="I116" t="n">
        <v>0</v>
      </c>
      <c r="J116" t="n">
        <v>1</v>
      </c>
      <c r="K116" t="n">
        <v>0</v>
      </c>
      <c r="L116" t="n">
        <v>0</v>
      </c>
      <c r="M116" t="n">
        <v>0</v>
      </c>
      <c r="N116" t="n">
        <v>0</v>
      </c>
      <c r="O116" t="n">
        <v>1</v>
      </c>
      <c r="P116" t="n">
        <v>0</v>
      </c>
      <c r="Q116" t="n">
        <v>2</v>
      </c>
      <c r="R116" s="2" t="inlineStr">
        <is>
          <t>Gulsparv
Gullviva</t>
        </is>
      </c>
      <c r="S116">
        <f>HYPERLINK("https://klasma.github.io/Logging_0188/artfynd/A 30693-2022 artfynd.xlsx", "A 30693-2022")</f>
        <v/>
      </c>
      <c r="T116">
        <f>HYPERLINK("https://klasma.github.io/Logging_0188/kartor/A 30693-2022 karta.png", "A 30693-2022")</f>
        <v/>
      </c>
      <c r="V116">
        <f>HYPERLINK("https://klasma.github.io/Logging_0188/klagomål/A 30693-2022 FSC-klagomål.docx", "A 30693-2022")</f>
        <v/>
      </c>
      <c r="W116">
        <f>HYPERLINK("https://klasma.github.io/Logging_0188/klagomålsmail/A 30693-2022 FSC-klagomål mail.docx", "A 30693-2022")</f>
        <v/>
      </c>
      <c r="X116">
        <f>HYPERLINK("https://klasma.github.io/Logging_0188/tillsyn/A 30693-2022 tillsynsbegäran.docx", "A 30693-2022")</f>
        <v/>
      </c>
      <c r="Y116">
        <f>HYPERLINK("https://klasma.github.io/Logging_0188/tillsynsmail/A 30693-2022 tillsynsbegäran mail.docx", "A 30693-2022")</f>
        <v/>
      </c>
      <c r="Z116">
        <f>HYPERLINK("https://klasma.github.io/Logging_0188/fåglar/A 30693-2022 prioriterade fågelarter.docx", "A 30693-2022")</f>
        <v/>
      </c>
    </row>
    <row r="117" ht="15" customHeight="1">
      <c r="A117" t="inlineStr">
        <is>
          <t>A 38597-2022</t>
        </is>
      </c>
      <c r="B117" s="1" t="n">
        <v>44813</v>
      </c>
      <c r="C117" s="1" t="n">
        <v>45827</v>
      </c>
      <c r="D117" t="inlineStr">
        <is>
          <t>STOCKHOLMS LÄN</t>
        </is>
      </c>
      <c r="E117" t="inlineStr">
        <is>
          <t>NORRTÄLJE</t>
        </is>
      </c>
      <c r="G117" t="n">
        <v>13.2</v>
      </c>
      <c r="H117" t="n">
        <v>1</v>
      </c>
      <c r="I117" t="n">
        <v>1</v>
      </c>
      <c r="J117" t="n">
        <v>0</v>
      </c>
      <c r="K117" t="n">
        <v>0</v>
      </c>
      <c r="L117" t="n">
        <v>1</v>
      </c>
      <c r="M117" t="n">
        <v>0</v>
      </c>
      <c r="N117" t="n">
        <v>0</v>
      </c>
      <c r="O117" t="n">
        <v>1</v>
      </c>
      <c r="P117" t="n">
        <v>1</v>
      </c>
      <c r="Q117" t="n">
        <v>2</v>
      </c>
      <c r="R117" s="2" t="inlineStr">
        <is>
          <t>Asknätfjäril
Scharlakansvårskål agg.</t>
        </is>
      </c>
      <c r="S117">
        <f>HYPERLINK("https://klasma.github.io/Logging_0188/artfynd/A 38597-2022 artfynd.xlsx", "A 38597-2022")</f>
        <v/>
      </c>
      <c r="T117">
        <f>HYPERLINK("https://klasma.github.io/Logging_0188/kartor/A 38597-2022 karta.png", "A 38597-2022")</f>
        <v/>
      </c>
      <c r="V117">
        <f>HYPERLINK("https://klasma.github.io/Logging_0188/klagomål/A 38597-2022 FSC-klagomål.docx", "A 38597-2022")</f>
        <v/>
      </c>
      <c r="W117">
        <f>HYPERLINK("https://klasma.github.io/Logging_0188/klagomålsmail/A 38597-2022 FSC-klagomål mail.docx", "A 38597-2022")</f>
        <v/>
      </c>
      <c r="X117">
        <f>HYPERLINK("https://klasma.github.io/Logging_0188/tillsyn/A 38597-2022 tillsynsbegäran.docx", "A 38597-2022")</f>
        <v/>
      </c>
      <c r="Y117">
        <f>HYPERLINK("https://klasma.github.io/Logging_0188/tillsynsmail/A 38597-2022 tillsynsbegäran mail.docx", "A 38597-2022")</f>
        <v/>
      </c>
    </row>
    <row r="118" ht="15" customHeight="1">
      <c r="A118" t="inlineStr">
        <is>
          <t>A 52124-2022</t>
        </is>
      </c>
      <c r="B118" s="1" t="n">
        <v>44868</v>
      </c>
      <c r="C118" s="1" t="n">
        <v>45827</v>
      </c>
      <c r="D118" t="inlineStr">
        <is>
          <t>STOCKHOLMS LÄN</t>
        </is>
      </c>
      <c r="E118" t="inlineStr">
        <is>
          <t>NORRTÄLJE</t>
        </is>
      </c>
      <c r="G118" t="n">
        <v>4.8</v>
      </c>
      <c r="H118" t="n">
        <v>1</v>
      </c>
      <c r="I118" t="n">
        <v>0</v>
      </c>
      <c r="J118" t="n">
        <v>1</v>
      </c>
      <c r="K118" t="n">
        <v>0</v>
      </c>
      <c r="L118" t="n">
        <v>0</v>
      </c>
      <c r="M118" t="n">
        <v>0</v>
      </c>
      <c r="N118" t="n">
        <v>0</v>
      </c>
      <c r="O118" t="n">
        <v>1</v>
      </c>
      <c r="P118" t="n">
        <v>0</v>
      </c>
      <c r="Q118" t="n">
        <v>2</v>
      </c>
      <c r="R118" s="2" t="inlineStr">
        <is>
          <t>Kandelabersvamp
Blåsippa</t>
        </is>
      </c>
      <c r="S118">
        <f>HYPERLINK("https://klasma.github.io/Logging_0188/artfynd/A 52124-2022 artfynd.xlsx", "A 52124-2022")</f>
        <v/>
      </c>
      <c r="T118">
        <f>HYPERLINK("https://klasma.github.io/Logging_0188/kartor/A 52124-2022 karta.png", "A 52124-2022")</f>
        <v/>
      </c>
      <c r="V118">
        <f>HYPERLINK("https://klasma.github.io/Logging_0188/klagomål/A 52124-2022 FSC-klagomål.docx", "A 52124-2022")</f>
        <v/>
      </c>
      <c r="W118">
        <f>HYPERLINK("https://klasma.github.io/Logging_0188/klagomålsmail/A 52124-2022 FSC-klagomål mail.docx", "A 52124-2022")</f>
        <v/>
      </c>
      <c r="X118">
        <f>HYPERLINK("https://klasma.github.io/Logging_0188/tillsyn/A 52124-2022 tillsynsbegäran.docx", "A 52124-2022")</f>
        <v/>
      </c>
      <c r="Y118">
        <f>HYPERLINK("https://klasma.github.io/Logging_0188/tillsynsmail/A 52124-2022 tillsynsbegäran mail.docx", "A 52124-2022")</f>
        <v/>
      </c>
    </row>
    <row r="119" ht="15" customHeight="1">
      <c r="A119" t="inlineStr">
        <is>
          <t>A 51980-2022</t>
        </is>
      </c>
      <c r="B119" s="1" t="n">
        <v>44872</v>
      </c>
      <c r="C119" s="1" t="n">
        <v>45827</v>
      </c>
      <c r="D119" t="inlineStr">
        <is>
          <t>STOCKHOLMS LÄN</t>
        </is>
      </c>
      <c r="E119" t="inlineStr">
        <is>
          <t>NORRTÄLJE</t>
        </is>
      </c>
      <c r="G119" t="n">
        <v>7.9</v>
      </c>
      <c r="H119" t="n">
        <v>1</v>
      </c>
      <c r="I119" t="n">
        <v>2</v>
      </c>
      <c r="J119" t="n">
        <v>0</v>
      </c>
      <c r="K119" t="n">
        <v>0</v>
      </c>
      <c r="L119" t="n">
        <v>0</v>
      </c>
      <c r="M119" t="n">
        <v>0</v>
      </c>
      <c r="N119" t="n">
        <v>0</v>
      </c>
      <c r="O119" t="n">
        <v>0</v>
      </c>
      <c r="P119" t="n">
        <v>0</v>
      </c>
      <c r="Q119" t="n">
        <v>2</v>
      </c>
      <c r="R119" s="2" t="inlineStr">
        <is>
          <t>Rödgul trumpetsvamp
Skogsknipprot</t>
        </is>
      </c>
      <c r="S119">
        <f>HYPERLINK("https://klasma.github.io/Logging_0188/artfynd/A 51980-2022 artfynd.xlsx", "A 51980-2022")</f>
        <v/>
      </c>
      <c r="T119">
        <f>HYPERLINK("https://klasma.github.io/Logging_0188/kartor/A 51980-2022 karta.png", "A 51980-2022")</f>
        <v/>
      </c>
      <c r="V119">
        <f>HYPERLINK("https://klasma.github.io/Logging_0188/klagomål/A 51980-2022 FSC-klagomål.docx", "A 51980-2022")</f>
        <v/>
      </c>
      <c r="W119">
        <f>HYPERLINK("https://klasma.github.io/Logging_0188/klagomålsmail/A 51980-2022 FSC-klagomål mail.docx", "A 51980-2022")</f>
        <v/>
      </c>
      <c r="X119">
        <f>HYPERLINK("https://klasma.github.io/Logging_0188/tillsyn/A 51980-2022 tillsynsbegäran.docx", "A 51980-2022")</f>
        <v/>
      </c>
      <c r="Y119">
        <f>HYPERLINK("https://klasma.github.io/Logging_0188/tillsynsmail/A 51980-2022 tillsynsbegäran mail.docx", "A 51980-2022")</f>
        <v/>
      </c>
    </row>
    <row r="120" ht="15" customHeight="1">
      <c r="A120" t="inlineStr">
        <is>
          <t>A 59717-2022</t>
        </is>
      </c>
      <c r="B120" s="1" t="n">
        <v>44908</v>
      </c>
      <c r="C120" s="1" t="n">
        <v>45827</v>
      </c>
      <c r="D120" t="inlineStr">
        <is>
          <t>STOCKHOLMS LÄN</t>
        </is>
      </c>
      <c r="E120" t="inlineStr">
        <is>
          <t>NORRTÄLJE</t>
        </is>
      </c>
      <c r="F120" t="inlineStr">
        <is>
          <t>Holmen skog AB</t>
        </is>
      </c>
      <c r="G120" t="n">
        <v>5.5</v>
      </c>
      <c r="H120" t="n">
        <v>2</v>
      </c>
      <c r="I120" t="n">
        <v>0</v>
      </c>
      <c r="J120" t="n">
        <v>0</v>
      </c>
      <c r="K120" t="n">
        <v>0</v>
      </c>
      <c r="L120" t="n">
        <v>0</v>
      </c>
      <c r="M120" t="n">
        <v>0</v>
      </c>
      <c r="N120" t="n">
        <v>0</v>
      </c>
      <c r="O120" t="n">
        <v>0</v>
      </c>
      <c r="P120" t="n">
        <v>0</v>
      </c>
      <c r="Q120" t="n">
        <v>2</v>
      </c>
      <c r="R120" s="2" t="inlineStr">
        <is>
          <t>Enkelbeckasin
Järnsparv</t>
        </is>
      </c>
      <c r="S120">
        <f>HYPERLINK("https://klasma.github.io/Logging_0188/artfynd/A 59717-2022 artfynd.xlsx", "A 59717-2022")</f>
        <v/>
      </c>
      <c r="T120">
        <f>HYPERLINK("https://klasma.github.io/Logging_0188/kartor/A 59717-2022 karta.png", "A 59717-2022")</f>
        <v/>
      </c>
      <c r="V120">
        <f>HYPERLINK("https://klasma.github.io/Logging_0188/klagomål/A 59717-2022 FSC-klagomål.docx", "A 59717-2022")</f>
        <v/>
      </c>
      <c r="W120">
        <f>HYPERLINK("https://klasma.github.io/Logging_0188/klagomålsmail/A 59717-2022 FSC-klagomål mail.docx", "A 59717-2022")</f>
        <v/>
      </c>
      <c r="X120">
        <f>HYPERLINK("https://klasma.github.io/Logging_0188/tillsyn/A 59717-2022 tillsynsbegäran.docx", "A 59717-2022")</f>
        <v/>
      </c>
      <c r="Y120">
        <f>HYPERLINK("https://klasma.github.io/Logging_0188/tillsynsmail/A 59717-2022 tillsynsbegäran mail.docx", "A 59717-2022")</f>
        <v/>
      </c>
      <c r="Z120">
        <f>HYPERLINK("https://klasma.github.io/Logging_0188/fåglar/A 59717-2022 prioriterade fågelarter.docx", "A 59717-2022")</f>
        <v/>
      </c>
    </row>
    <row r="121" ht="15" customHeight="1">
      <c r="A121" t="inlineStr">
        <is>
          <t>A 7341-2023</t>
        </is>
      </c>
      <c r="B121" s="1" t="n">
        <v>44971</v>
      </c>
      <c r="C121" s="1" t="n">
        <v>45827</v>
      </c>
      <c r="D121" t="inlineStr">
        <is>
          <t>STOCKHOLMS LÄN</t>
        </is>
      </c>
      <c r="E121" t="inlineStr">
        <is>
          <t>NORRTÄLJE</t>
        </is>
      </c>
      <c r="F121" t="inlineStr">
        <is>
          <t>Holmen skog AB</t>
        </is>
      </c>
      <c r="G121" t="n">
        <v>10.7</v>
      </c>
      <c r="H121" t="n">
        <v>0</v>
      </c>
      <c r="I121" t="n">
        <v>0</v>
      </c>
      <c r="J121" t="n">
        <v>2</v>
      </c>
      <c r="K121" t="n">
        <v>0</v>
      </c>
      <c r="L121" t="n">
        <v>0</v>
      </c>
      <c r="M121" t="n">
        <v>0</v>
      </c>
      <c r="N121" t="n">
        <v>0</v>
      </c>
      <c r="O121" t="n">
        <v>2</v>
      </c>
      <c r="P121" t="n">
        <v>0</v>
      </c>
      <c r="Q121" t="n">
        <v>2</v>
      </c>
      <c r="R121" s="2" t="inlineStr">
        <is>
          <t>Mindre bastardsvärmare
Smalsprötad bastardsvärmare</t>
        </is>
      </c>
      <c r="S121">
        <f>HYPERLINK("https://klasma.github.io/Logging_0188/artfynd/A 7341-2023 artfynd.xlsx", "A 7341-2023")</f>
        <v/>
      </c>
      <c r="T121">
        <f>HYPERLINK("https://klasma.github.io/Logging_0188/kartor/A 7341-2023 karta.png", "A 7341-2023")</f>
        <v/>
      </c>
      <c r="V121">
        <f>HYPERLINK("https://klasma.github.io/Logging_0188/klagomål/A 7341-2023 FSC-klagomål.docx", "A 7341-2023")</f>
        <v/>
      </c>
      <c r="W121">
        <f>HYPERLINK("https://klasma.github.io/Logging_0188/klagomålsmail/A 7341-2023 FSC-klagomål mail.docx", "A 7341-2023")</f>
        <v/>
      </c>
      <c r="X121">
        <f>HYPERLINK("https://klasma.github.io/Logging_0188/tillsyn/A 7341-2023 tillsynsbegäran.docx", "A 7341-2023")</f>
        <v/>
      </c>
      <c r="Y121">
        <f>HYPERLINK("https://klasma.github.io/Logging_0188/tillsynsmail/A 7341-2023 tillsynsbegäran mail.docx", "A 7341-2023")</f>
        <v/>
      </c>
    </row>
    <row r="122" ht="15" customHeight="1">
      <c r="A122" t="inlineStr">
        <is>
          <t>A 10136-2023</t>
        </is>
      </c>
      <c r="B122" s="1" t="n">
        <v>44986</v>
      </c>
      <c r="C122" s="1" t="n">
        <v>45827</v>
      </c>
      <c r="D122" t="inlineStr">
        <is>
          <t>STOCKHOLMS LÄN</t>
        </is>
      </c>
      <c r="E122" t="inlineStr">
        <is>
          <t>NORRTÄLJE</t>
        </is>
      </c>
      <c r="F122" t="inlineStr">
        <is>
          <t>Övriga statliga verk och myndigheter</t>
        </is>
      </c>
      <c r="G122" t="n">
        <v>3.6</v>
      </c>
      <c r="H122" t="n">
        <v>0</v>
      </c>
      <c r="I122" t="n">
        <v>0</v>
      </c>
      <c r="J122" t="n">
        <v>1</v>
      </c>
      <c r="K122" t="n">
        <v>1</v>
      </c>
      <c r="L122" t="n">
        <v>0</v>
      </c>
      <c r="M122" t="n">
        <v>0</v>
      </c>
      <c r="N122" t="n">
        <v>0</v>
      </c>
      <c r="O122" t="n">
        <v>2</v>
      </c>
      <c r="P122" t="n">
        <v>1</v>
      </c>
      <c r="Q122" t="n">
        <v>2</v>
      </c>
      <c r="R122" s="2" t="inlineStr">
        <is>
          <t>Svartfjällig musseron
Persiljespindling</t>
        </is>
      </c>
      <c r="S122">
        <f>HYPERLINK("https://klasma.github.io/Logging_0188/artfynd/A 10136-2023 artfynd.xlsx", "A 10136-2023")</f>
        <v/>
      </c>
      <c r="T122">
        <f>HYPERLINK("https://klasma.github.io/Logging_0188/kartor/A 10136-2023 karta.png", "A 10136-2023")</f>
        <v/>
      </c>
      <c r="V122">
        <f>HYPERLINK("https://klasma.github.io/Logging_0188/klagomål/A 10136-2023 FSC-klagomål.docx", "A 10136-2023")</f>
        <v/>
      </c>
      <c r="W122">
        <f>HYPERLINK("https://klasma.github.io/Logging_0188/klagomålsmail/A 10136-2023 FSC-klagomål mail.docx", "A 10136-2023")</f>
        <v/>
      </c>
      <c r="X122">
        <f>HYPERLINK("https://klasma.github.io/Logging_0188/tillsyn/A 10136-2023 tillsynsbegäran.docx", "A 10136-2023")</f>
        <v/>
      </c>
      <c r="Y122">
        <f>HYPERLINK("https://klasma.github.io/Logging_0188/tillsynsmail/A 10136-2023 tillsynsbegäran mail.docx", "A 10136-2023")</f>
        <v/>
      </c>
    </row>
    <row r="123" ht="15" customHeight="1">
      <c r="A123" t="inlineStr">
        <is>
          <t>A 21748-2023</t>
        </is>
      </c>
      <c r="B123" s="1" t="n">
        <v>45065</v>
      </c>
      <c r="C123" s="1" t="n">
        <v>45827</v>
      </c>
      <c r="D123" t="inlineStr">
        <is>
          <t>STOCKHOLMS LÄN</t>
        </is>
      </c>
      <c r="E123" t="inlineStr">
        <is>
          <t>NORRTÄLJE</t>
        </is>
      </c>
      <c r="F123" t="inlineStr">
        <is>
          <t>Holmen skog AB</t>
        </is>
      </c>
      <c r="G123" t="n">
        <v>2.4</v>
      </c>
      <c r="H123" t="n">
        <v>0</v>
      </c>
      <c r="I123" t="n">
        <v>2</v>
      </c>
      <c r="J123" t="n">
        <v>0</v>
      </c>
      <c r="K123" t="n">
        <v>0</v>
      </c>
      <c r="L123" t="n">
        <v>0</v>
      </c>
      <c r="M123" t="n">
        <v>0</v>
      </c>
      <c r="N123" t="n">
        <v>0</v>
      </c>
      <c r="O123" t="n">
        <v>0</v>
      </c>
      <c r="P123" t="n">
        <v>0</v>
      </c>
      <c r="Q123" t="n">
        <v>2</v>
      </c>
      <c r="R123" s="2" t="inlineStr">
        <is>
          <t>Aspvedgnagare
Tibast</t>
        </is>
      </c>
      <c r="S123">
        <f>HYPERLINK("https://klasma.github.io/Logging_0188/artfynd/A 21748-2023 artfynd.xlsx", "A 21748-2023")</f>
        <v/>
      </c>
      <c r="T123">
        <f>HYPERLINK("https://klasma.github.io/Logging_0188/kartor/A 21748-2023 karta.png", "A 21748-2023")</f>
        <v/>
      </c>
      <c r="V123">
        <f>HYPERLINK("https://klasma.github.io/Logging_0188/klagomål/A 21748-2023 FSC-klagomål.docx", "A 21748-2023")</f>
        <v/>
      </c>
      <c r="W123">
        <f>HYPERLINK("https://klasma.github.io/Logging_0188/klagomålsmail/A 21748-2023 FSC-klagomål mail.docx", "A 21748-2023")</f>
        <v/>
      </c>
      <c r="X123">
        <f>HYPERLINK("https://klasma.github.io/Logging_0188/tillsyn/A 21748-2023 tillsynsbegäran.docx", "A 21748-2023")</f>
        <v/>
      </c>
      <c r="Y123">
        <f>HYPERLINK("https://klasma.github.io/Logging_0188/tillsynsmail/A 21748-2023 tillsynsbegäran mail.docx", "A 21748-2023")</f>
        <v/>
      </c>
    </row>
    <row r="124" ht="15" customHeight="1">
      <c r="A124" t="inlineStr">
        <is>
          <t>A 23861-2023</t>
        </is>
      </c>
      <c r="B124" s="1" t="n">
        <v>45078</v>
      </c>
      <c r="C124" s="1" t="n">
        <v>45827</v>
      </c>
      <c r="D124" t="inlineStr">
        <is>
          <t>STOCKHOLMS LÄN</t>
        </is>
      </c>
      <c r="E124" t="inlineStr">
        <is>
          <t>NORRTÄLJE</t>
        </is>
      </c>
      <c r="G124" t="n">
        <v>3.3</v>
      </c>
      <c r="H124" t="n">
        <v>1</v>
      </c>
      <c r="I124" t="n">
        <v>1</v>
      </c>
      <c r="J124" t="n">
        <v>0</v>
      </c>
      <c r="K124" t="n">
        <v>0</v>
      </c>
      <c r="L124" t="n">
        <v>0</v>
      </c>
      <c r="M124" t="n">
        <v>0</v>
      </c>
      <c r="N124" t="n">
        <v>0</v>
      </c>
      <c r="O124" t="n">
        <v>0</v>
      </c>
      <c r="P124" t="n">
        <v>0</v>
      </c>
      <c r="Q124" t="n">
        <v>2</v>
      </c>
      <c r="R124" s="2" t="inlineStr">
        <is>
          <t>Tibast
Blåsippa</t>
        </is>
      </c>
      <c r="S124">
        <f>HYPERLINK("https://klasma.github.io/Logging_0188/artfynd/A 23861-2023 artfynd.xlsx", "A 23861-2023")</f>
        <v/>
      </c>
      <c r="T124">
        <f>HYPERLINK("https://klasma.github.io/Logging_0188/kartor/A 23861-2023 karta.png", "A 23861-2023")</f>
        <v/>
      </c>
      <c r="V124">
        <f>HYPERLINK("https://klasma.github.io/Logging_0188/klagomål/A 23861-2023 FSC-klagomål.docx", "A 23861-2023")</f>
        <v/>
      </c>
      <c r="W124">
        <f>HYPERLINK("https://klasma.github.io/Logging_0188/klagomålsmail/A 23861-2023 FSC-klagomål mail.docx", "A 23861-2023")</f>
        <v/>
      </c>
      <c r="X124">
        <f>HYPERLINK("https://klasma.github.io/Logging_0188/tillsyn/A 23861-2023 tillsynsbegäran.docx", "A 23861-2023")</f>
        <v/>
      </c>
      <c r="Y124">
        <f>HYPERLINK("https://klasma.github.io/Logging_0188/tillsynsmail/A 23861-2023 tillsynsbegäran mail.docx", "A 23861-2023")</f>
        <v/>
      </c>
    </row>
    <row r="125" ht="15" customHeight="1">
      <c r="A125" t="inlineStr">
        <is>
          <t>A 33287-2023</t>
        </is>
      </c>
      <c r="B125" s="1" t="n">
        <v>45127</v>
      </c>
      <c r="C125" s="1" t="n">
        <v>45827</v>
      </c>
      <c r="D125" t="inlineStr">
        <is>
          <t>STOCKHOLMS LÄN</t>
        </is>
      </c>
      <c r="E125" t="inlineStr">
        <is>
          <t>NORRTÄLJE</t>
        </is>
      </c>
      <c r="F125" t="inlineStr">
        <is>
          <t>Holmen skog AB</t>
        </is>
      </c>
      <c r="G125" t="n">
        <v>3.3</v>
      </c>
      <c r="H125" t="n">
        <v>0</v>
      </c>
      <c r="I125" t="n">
        <v>0</v>
      </c>
      <c r="J125" t="n">
        <v>2</v>
      </c>
      <c r="K125" t="n">
        <v>0</v>
      </c>
      <c r="L125" t="n">
        <v>0</v>
      </c>
      <c r="M125" t="n">
        <v>0</v>
      </c>
      <c r="N125" t="n">
        <v>0</v>
      </c>
      <c r="O125" t="n">
        <v>2</v>
      </c>
      <c r="P125" t="n">
        <v>0</v>
      </c>
      <c r="Q125" t="n">
        <v>2</v>
      </c>
      <c r="R125" s="2" t="inlineStr">
        <is>
          <t>Smalsprötad bastardsvärmare
Violettkantad guldvinge</t>
        </is>
      </c>
      <c r="S125">
        <f>HYPERLINK("https://klasma.github.io/Logging_0188/artfynd/A 33287-2023 artfynd.xlsx", "A 33287-2023")</f>
        <v/>
      </c>
      <c r="T125">
        <f>HYPERLINK("https://klasma.github.io/Logging_0188/kartor/A 33287-2023 karta.png", "A 33287-2023")</f>
        <v/>
      </c>
      <c r="V125">
        <f>HYPERLINK("https://klasma.github.io/Logging_0188/klagomål/A 33287-2023 FSC-klagomål.docx", "A 33287-2023")</f>
        <v/>
      </c>
      <c r="W125">
        <f>HYPERLINK("https://klasma.github.io/Logging_0188/klagomålsmail/A 33287-2023 FSC-klagomål mail.docx", "A 33287-2023")</f>
        <v/>
      </c>
      <c r="X125">
        <f>HYPERLINK("https://klasma.github.io/Logging_0188/tillsyn/A 33287-2023 tillsynsbegäran.docx", "A 33287-2023")</f>
        <v/>
      </c>
      <c r="Y125">
        <f>HYPERLINK("https://klasma.github.io/Logging_0188/tillsynsmail/A 33287-2023 tillsynsbegäran mail.docx", "A 33287-2023")</f>
        <v/>
      </c>
    </row>
    <row r="126" ht="15" customHeight="1">
      <c r="A126" t="inlineStr">
        <is>
          <t>A 51220-2023</t>
        </is>
      </c>
      <c r="B126" s="1" t="n">
        <v>45219</v>
      </c>
      <c r="C126" s="1" t="n">
        <v>45827</v>
      </c>
      <c r="D126" t="inlineStr">
        <is>
          <t>STOCKHOLMS LÄN</t>
        </is>
      </c>
      <c r="E126" t="inlineStr">
        <is>
          <t>NORRTÄLJE</t>
        </is>
      </c>
      <c r="G126" t="n">
        <v>7.7</v>
      </c>
      <c r="H126" t="n">
        <v>1</v>
      </c>
      <c r="I126" t="n">
        <v>0</v>
      </c>
      <c r="J126" t="n">
        <v>1</v>
      </c>
      <c r="K126" t="n">
        <v>0</v>
      </c>
      <c r="L126" t="n">
        <v>0</v>
      </c>
      <c r="M126" t="n">
        <v>0</v>
      </c>
      <c r="N126" t="n">
        <v>0</v>
      </c>
      <c r="O126" t="n">
        <v>1</v>
      </c>
      <c r="P126" t="n">
        <v>0</v>
      </c>
      <c r="Q126" t="n">
        <v>2</v>
      </c>
      <c r="R126" s="2" t="inlineStr">
        <is>
          <t>Ullticka
Blåsippa</t>
        </is>
      </c>
      <c r="S126">
        <f>HYPERLINK("https://klasma.github.io/Logging_0188/artfynd/A 51220-2023 artfynd.xlsx", "A 51220-2023")</f>
        <v/>
      </c>
      <c r="T126">
        <f>HYPERLINK("https://klasma.github.io/Logging_0188/kartor/A 51220-2023 karta.png", "A 51220-2023")</f>
        <v/>
      </c>
      <c r="V126">
        <f>HYPERLINK("https://klasma.github.io/Logging_0188/klagomål/A 51220-2023 FSC-klagomål.docx", "A 51220-2023")</f>
        <v/>
      </c>
      <c r="W126">
        <f>HYPERLINK("https://klasma.github.io/Logging_0188/klagomålsmail/A 51220-2023 FSC-klagomål mail.docx", "A 51220-2023")</f>
        <v/>
      </c>
      <c r="X126">
        <f>HYPERLINK("https://klasma.github.io/Logging_0188/tillsyn/A 51220-2023 tillsynsbegäran.docx", "A 51220-2023")</f>
        <v/>
      </c>
      <c r="Y126">
        <f>HYPERLINK("https://klasma.github.io/Logging_0188/tillsynsmail/A 51220-2023 tillsynsbegäran mail.docx", "A 51220-2023")</f>
        <v/>
      </c>
    </row>
    <row r="127" ht="15" customHeight="1">
      <c r="A127" t="inlineStr">
        <is>
          <t>A 51695-2023</t>
        </is>
      </c>
      <c r="B127" s="1" t="n">
        <v>45222</v>
      </c>
      <c r="C127" s="1" t="n">
        <v>45827</v>
      </c>
      <c r="D127" t="inlineStr">
        <is>
          <t>STOCKHOLMS LÄN</t>
        </is>
      </c>
      <c r="E127" t="inlineStr">
        <is>
          <t>NORRTÄLJE</t>
        </is>
      </c>
      <c r="G127" t="n">
        <v>4.9</v>
      </c>
      <c r="H127" t="n">
        <v>0</v>
      </c>
      <c r="I127" t="n">
        <v>1</v>
      </c>
      <c r="J127" t="n">
        <v>1</v>
      </c>
      <c r="K127" t="n">
        <v>0</v>
      </c>
      <c r="L127" t="n">
        <v>0</v>
      </c>
      <c r="M127" t="n">
        <v>0</v>
      </c>
      <c r="N127" t="n">
        <v>0</v>
      </c>
      <c r="O127" t="n">
        <v>1</v>
      </c>
      <c r="P127" t="n">
        <v>0</v>
      </c>
      <c r="Q127" t="n">
        <v>2</v>
      </c>
      <c r="R127" s="2" t="inlineStr">
        <is>
          <t>Odörspindling
Fjällig taggsvamp s.str.</t>
        </is>
      </c>
      <c r="S127">
        <f>HYPERLINK("https://klasma.github.io/Logging_0188/artfynd/A 51695-2023 artfynd.xlsx", "A 51695-2023")</f>
        <v/>
      </c>
      <c r="T127">
        <f>HYPERLINK("https://klasma.github.io/Logging_0188/kartor/A 51695-2023 karta.png", "A 51695-2023")</f>
        <v/>
      </c>
      <c r="V127">
        <f>HYPERLINK("https://klasma.github.io/Logging_0188/klagomål/A 51695-2023 FSC-klagomål.docx", "A 51695-2023")</f>
        <v/>
      </c>
      <c r="W127">
        <f>HYPERLINK("https://klasma.github.io/Logging_0188/klagomålsmail/A 51695-2023 FSC-klagomål mail.docx", "A 51695-2023")</f>
        <v/>
      </c>
      <c r="X127">
        <f>HYPERLINK("https://klasma.github.io/Logging_0188/tillsyn/A 51695-2023 tillsynsbegäran.docx", "A 51695-2023")</f>
        <v/>
      </c>
      <c r="Y127">
        <f>HYPERLINK("https://klasma.github.io/Logging_0188/tillsynsmail/A 51695-2023 tillsynsbegäran mail.docx", "A 51695-2023")</f>
        <v/>
      </c>
    </row>
    <row r="128" ht="15" customHeight="1">
      <c r="A128" t="inlineStr">
        <is>
          <t>A 52825-2023</t>
        </is>
      </c>
      <c r="B128" s="1" t="n">
        <v>45226</v>
      </c>
      <c r="C128" s="1" t="n">
        <v>45827</v>
      </c>
      <c r="D128" t="inlineStr">
        <is>
          <t>STOCKHOLMS LÄN</t>
        </is>
      </c>
      <c r="E128" t="inlineStr">
        <is>
          <t>NORRTÄLJE</t>
        </is>
      </c>
      <c r="G128" t="n">
        <v>1</v>
      </c>
      <c r="H128" t="n">
        <v>0</v>
      </c>
      <c r="I128" t="n">
        <v>2</v>
      </c>
      <c r="J128" t="n">
        <v>0</v>
      </c>
      <c r="K128" t="n">
        <v>0</v>
      </c>
      <c r="L128" t="n">
        <v>0</v>
      </c>
      <c r="M128" t="n">
        <v>0</v>
      </c>
      <c r="N128" t="n">
        <v>0</v>
      </c>
      <c r="O128" t="n">
        <v>0</v>
      </c>
      <c r="P128" t="n">
        <v>0</v>
      </c>
      <c r="Q128" t="n">
        <v>2</v>
      </c>
      <c r="R128" s="2" t="inlineStr">
        <is>
          <t>Fjällig taggsvamp s.str.
Strimspindling</t>
        </is>
      </c>
      <c r="S128">
        <f>HYPERLINK("https://klasma.github.io/Logging_0188/artfynd/A 52825-2023 artfynd.xlsx", "A 52825-2023")</f>
        <v/>
      </c>
      <c r="T128">
        <f>HYPERLINK("https://klasma.github.io/Logging_0188/kartor/A 52825-2023 karta.png", "A 52825-2023")</f>
        <v/>
      </c>
      <c r="V128">
        <f>HYPERLINK("https://klasma.github.io/Logging_0188/klagomål/A 52825-2023 FSC-klagomål.docx", "A 52825-2023")</f>
        <v/>
      </c>
      <c r="W128">
        <f>HYPERLINK("https://klasma.github.io/Logging_0188/klagomålsmail/A 52825-2023 FSC-klagomål mail.docx", "A 52825-2023")</f>
        <v/>
      </c>
      <c r="X128">
        <f>HYPERLINK("https://klasma.github.io/Logging_0188/tillsyn/A 52825-2023 tillsynsbegäran.docx", "A 52825-2023")</f>
        <v/>
      </c>
      <c r="Y128">
        <f>HYPERLINK("https://klasma.github.io/Logging_0188/tillsynsmail/A 52825-2023 tillsynsbegäran mail.docx", "A 52825-2023")</f>
        <v/>
      </c>
    </row>
    <row r="129" ht="15" customHeight="1">
      <c r="A129" t="inlineStr">
        <is>
          <t>A 4909-2024</t>
        </is>
      </c>
      <c r="B129" s="1" t="n">
        <v>45329</v>
      </c>
      <c r="C129" s="1" t="n">
        <v>45827</v>
      </c>
      <c r="D129" t="inlineStr">
        <is>
          <t>STOCKHOLMS LÄN</t>
        </is>
      </c>
      <c r="E129" t="inlineStr">
        <is>
          <t>NORRTÄLJE</t>
        </is>
      </c>
      <c r="G129" t="n">
        <v>4.1</v>
      </c>
      <c r="H129" t="n">
        <v>0</v>
      </c>
      <c r="I129" t="n">
        <v>2</v>
      </c>
      <c r="J129" t="n">
        <v>0</v>
      </c>
      <c r="K129" t="n">
        <v>0</v>
      </c>
      <c r="L129" t="n">
        <v>0</v>
      </c>
      <c r="M129" t="n">
        <v>0</v>
      </c>
      <c r="N129" t="n">
        <v>0</v>
      </c>
      <c r="O129" t="n">
        <v>0</v>
      </c>
      <c r="P129" t="n">
        <v>0</v>
      </c>
      <c r="Q129" t="n">
        <v>2</v>
      </c>
      <c r="R129" s="2" t="inlineStr">
        <is>
          <t>Fjällig taggsvamp s.str.
Rödgul trumpetsvamp</t>
        </is>
      </c>
      <c r="S129">
        <f>HYPERLINK("https://klasma.github.io/Logging_0188/artfynd/A 4909-2024 artfynd.xlsx", "A 4909-2024")</f>
        <v/>
      </c>
      <c r="T129">
        <f>HYPERLINK("https://klasma.github.io/Logging_0188/kartor/A 4909-2024 karta.png", "A 4909-2024")</f>
        <v/>
      </c>
      <c r="V129">
        <f>HYPERLINK("https://klasma.github.io/Logging_0188/klagomål/A 4909-2024 FSC-klagomål.docx", "A 4909-2024")</f>
        <v/>
      </c>
      <c r="W129">
        <f>HYPERLINK("https://klasma.github.io/Logging_0188/klagomålsmail/A 4909-2024 FSC-klagomål mail.docx", "A 4909-2024")</f>
        <v/>
      </c>
      <c r="X129">
        <f>HYPERLINK("https://klasma.github.io/Logging_0188/tillsyn/A 4909-2024 tillsynsbegäran.docx", "A 4909-2024")</f>
        <v/>
      </c>
      <c r="Y129">
        <f>HYPERLINK("https://klasma.github.io/Logging_0188/tillsynsmail/A 4909-2024 tillsynsbegäran mail.docx", "A 4909-2024")</f>
        <v/>
      </c>
    </row>
    <row r="130" ht="15" customHeight="1">
      <c r="A130" t="inlineStr">
        <is>
          <t>A 11995-2024</t>
        </is>
      </c>
      <c r="B130" s="1" t="n">
        <v>45377</v>
      </c>
      <c r="C130" s="1" t="n">
        <v>45827</v>
      </c>
      <c r="D130" t="inlineStr">
        <is>
          <t>STOCKHOLMS LÄN</t>
        </is>
      </c>
      <c r="E130" t="inlineStr">
        <is>
          <t>NORRTÄLJE</t>
        </is>
      </c>
      <c r="G130" t="n">
        <v>4.7</v>
      </c>
      <c r="H130" t="n">
        <v>0</v>
      </c>
      <c r="I130" t="n">
        <v>1</v>
      </c>
      <c r="J130" t="n">
        <v>1</v>
      </c>
      <c r="K130" t="n">
        <v>0</v>
      </c>
      <c r="L130" t="n">
        <v>0</v>
      </c>
      <c r="M130" t="n">
        <v>0</v>
      </c>
      <c r="N130" t="n">
        <v>0</v>
      </c>
      <c r="O130" t="n">
        <v>1</v>
      </c>
      <c r="P130" t="n">
        <v>0</v>
      </c>
      <c r="Q130" t="n">
        <v>2</v>
      </c>
      <c r="R130" s="2" t="inlineStr">
        <is>
          <t>Tallticka
Svavelriska</t>
        </is>
      </c>
      <c r="S130">
        <f>HYPERLINK("https://klasma.github.io/Logging_0188/artfynd/A 11995-2024 artfynd.xlsx", "A 11995-2024")</f>
        <v/>
      </c>
      <c r="T130">
        <f>HYPERLINK("https://klasma.github.io/Logging_0188/kartor/A 11995-2024 karta.png", "A 11995-2024")</f>
        <v/>
      </c>
      <c r="V130">
        <f>HYPERLINK("https://klasma.github.io/Logging_0188/klagomål/A 11995-2024 FSC-klagomål.docx", "A 11995-2024")</f>
        <v/>
      </c>
      <c r="W130">
        <f>HYPERLINK("https://klasma.github.io/Logging_0188/klagomålsmail/A 11995-2024 FSC-klagomål mail.docx", "A 11995-2024")</f>
        <v/>
      </c>
      <c r="X130">
        <f>HYPERLINK("https://klasma.github.io/Logging_0188/tillsyn/A 11995-2024 tillsynsbegäran.docx", "A 11995-2024")</f>
        <v/>
      </c>
      <c r="Y130">
        <f>HYPERLINK("https://klasma.github.io/Logging_0188/tillsynsmail/A 11995-2024 tillsynsbegäran mail.docx", "A 11995-2024")</f>
        <v/>
      </c>
    </row>
    <row r="131" ht="15" customHeight="1">
      <c r="A131" t="inlineStr">
        <is>
          <t>A 13150-2024</t>
        </is>
      </c>
      <c r="B131" s="1" t="n">
        <v>45386</v>
      </c>
      <c r="C131" s="1" t="n">
        <v>45827</v>
      </c>
      <c r="D131" t="inlineStr">
        <is>
          <t>STOCKHOLMS LÄN</t>
        </is>
      </c>
      <c r="E131" t="inlineStr">
        <is>
          <t>NORRTÄLJE</t>
        </is>
      </c>
      <c r="G131" t="n">
        <v>7.4</v>
      </c>
      <c r="H131" t="n">
        <v>0</v>
      </c>
      <c r="I131" t="n">
        <v>1</v>
      </c>
      <c r="J131" t="n">
        <v>1</v>
      </c>
      <c r="K131" t="n">
        <v>0</v>
      </c>
      <c r="L131" t="n">
        <v>0</v>
      </c>
      <c r="M131" t="n">
        <v>0</v>
      </c>
      <c r="N131" t="n">
        <v>0</v>
      </c>
      <c r="O131" t="n">
        <v>1</v>
      </c>
      <c r="P131" t="n">
        <v>0</v>
      </c>
      <c r="Q131" t="n">
        <v>2</v>
      </c>
      <c r="R131" s="2" t="inlineStr">
        <is>
          <t>Orange taggsvamp
Mönjevaxing</t>
        </is>
      </c>
      <c r="S131">
        <f>HYPERLINK("https://klasma.github.io/Logging_0188/artfynd/A 13150-2024 artfynd.xlsx", "A 13150-2024")</f>
        <v/>
      </c>
      <c r="T131">
        <f>HYPERLINK("https://klasma.github.io/Logging_0188/kartor/A 13150-2024 karta.png", "A 13150-2024")</f>
        <v/>
      </c>
      <c r="V131">
        <f>HYPERLINK("https://klasma.github.io/Logging_0188/klagomål/A 13150-2024 FSC-klagomål.docx", "A 13150-2024")</f>
        <v/>
      </c>
      <c r="W131">
        <f>HYPERLINK("https://klasma.github.io/Logging_0188/klagomålsmail/A 13150-2024 FSC-klagomål mail.docx", "A 13150-2024")</f>
        <v/>
      </c>
      <c r="X131">
        <f>HYPERLINK("https://klasma.github.io/Logging_0188/tillsyn/A 13150-2024 tillsynsbegäran.docx", "A 13150-2024")</f>
        <v/>
      </c>
      <c r="Y131">
        <f>HYPERLINK("https://klasma.github.io/Logging_0188/tillsynsmail/A 13150-2024 tillsynsbegäran mail.docx", "A 13150-2024")</f>
        <v/>
      </c>
    </row>
    <row r="132" ht="15" customHeight="1">
      <c r="A132" t="inlineStr">
        <is>
          <t>A 23583-2024</t>
        </is>
      </c>
      <c r="B132" s="1" t="n">
        <v>45454</v>
      </c>
      <c r="C132" s="1" t="n">
        <v>45827</v>
      </c>
      <c r="D132" t="inlineStr">
        <is>
          <t>STOCKHOLMS LÄN</t>
        </is>
      </c>
      <c r="E132" t="inlineStr">
        <is>
          <t>NORRTÄLJE</t>
        </is>
      </c>
      <c r="G132" t="n">
        <v>7.7</v>
      </c>
      <c r="H132" t="n">
        <v>0</v>
      </c>
      <c r="I132" t="n">
        <v>2</v>
      </c>
      <c r="J132" t="n">
        <v>0</v>
      </c>
      <c r="K132" t="n">
        <v>0</v>
      </c>
      <c r="L132" t="n">
        <v>0</v>
      </c>
      <c r="M132" t="n">
        <v>0</v>
      </c>
      <c r="N132" t="n">
        <v>0</v>
      </c>
      <c r="O132" t="n">
        <v>0</v>
      </c>
      <c r="P132" t="n">
        <v>0</v>
      </c>
      <c r="Q132" t="n">
        <v>2</v>
      </c>
      <c r="R132" s="2" t="inlineStr">
        <is>
          <t>Gulnål
Kattfotslav</t>
        </is>
      </c>
      <c r="S132">
        <f>HYPERLINK("https://klasma.github.io/Logging_0188/artfynd/A 23583-2024 artfynd.xlsx", "A 23583-2024")</f>
        <v/>
      </c>
      <c r="T132">
        <f>HYPERLINK("https://klasma.github.io/Logging_0188/kartor/A 23583-2024 karta.png", "A 23583-2024")</f>
        <v/>
      </c>
      <c r="V132">
        <f>HYPERLINK("https://klasma.github.io/Logging_0188/klagomål/A 23583-2024 FSC-klagomål.docx", "A 23583-2024")</f>
        <v/>
      </c>
      <c r="W132">
        <f>HYPERLINK("https://klasma.github.io/Logging_0188/klagomålsmail/A 23583-2024 FSC-klagomål mail.docx", "A 23583-2024")</f>
        <v/>
      </c>
      <c r="X132">
        <f>HYPERLINK("https://klasma.github.io/Logging_0188/tillsyn/A 23583-2024 tillsynsbegäran.docx", "A 23583-2024")</f>
        <v/>
      </c>
      <c r="Y132">
        <f>HYPERLINK("https://klasma.github.io/Logging_0188/tillsynsmail/A 23583-2024 tillsynsbegäran mail.docx", "A 23583-2024")</f>
        <v/>
      </c>
    </row>
    <row r="133" ht="15" customHeight="1">
      <c r="A133" t="inlineStr">
        <is>
          <t>A 24025-2024</t>
        </is>
      </c>
      <c r="B133" s="1" t="n">
        <v>45456</v>
      </c>
      <c r="C133" s="1" t="n">
        <v>45827</v>
      </c>
      <c r="D133" t="inlineStr">
        <is>
          <t>STOCKHOLMS LÄN</t>
        </is>
      </c>
      <c r="E133" t="inlineStr">
        <is>
          <t>NORRTÄLJE</t>
        </is>
      </c>
      <c r="G133" t="n">
        <v>6</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HYPERLINK("https://klasma.github.io/Logging_0188/artfynd/A 24025-2024 artfynd.xlsx", "A 24025-2024")</f>
        <v/>
      </c>
      <c r="T133">
        <f>HYPERLINK("https://klasma.github.io/Logging_0188/kartor/A 24025-2024 karta.png", "A 24025-2024")</f>
        <v/>
      </c>
      <c r="V133">
        <f>HYPERLINK("https://klasma.github.io/Logging_0188/klagomål/A 24025-2024 FSC-klagomål.docx", "A 24025-2024")</f>
        <v/>
      </c>
      <c r="W133">
        <f>HYPERLINK("https://klasma.github.io/Logging_0188/klagomålsmail/A 24025-2024 FSC-klagomål mail.docx", "A 24025-2024")</f>
        <v/>
      </c>
      <c r="X133">
        <f>HYPERLINK("https://klasma.github.io/Logging_0188/tillsyn/A 24025-2024 tillsynsbegäran.docx", "A 24025-2024")</f>
        <v/>
      </c>
      <c r="Y133">
        <f>HYPERLINK("https://klasma.github.io/Logging_0188/tillsynsmail/A 24025-2024 tillsynsbegäran mail.docx", "A 24025-2024")</f>
        <v/>
      </c>
    </row>
    <row r="134" ht="15" customHeight="1">
      <c r="A134" t="inlineStr">
        <is>
          <t>A 50326-2024</t>
        </is>
      </c>
      <c r="B134" s="1" t="n">
        <v>45600</v>
      </c>
      <c r="C134" s="1" t="n">
        <v>45827</v>
      </c>
      <c r="D134" t="inlineStr">
        <is>
          <t>STOCKHOLMS LÄN</t>
        </is>
      </c>
      <c r="E134" t="inlineStr">
        <is>
          <t>NORRTÄLJE</t>
        </is>
      </c>
      <c r="G134" t="n">
        <v>23.9</v>
      </c>
      <c r="H134" t="n">
        <v>1</v>
      </c>
      <c r="I134" t="n">
        <v>1</v>
      </c>
      <c r="J134" t="n">
        <v>1</v>
      </c>
      <c r="K134" t="n">
        <v>0</v>
      </c>
      <c r="L134" t="n">
        <v>0</v>
      </c>
      <c r="M134" t="n">
        <v>0</v>
      </c>
      <c r="N134" t="n">
        <v>0</v>
      </c>
      <c r="O134" t="n">
        <v>1</v>
      </c>
      <c r="P134" t="n">
        <v>0</v>
      </c>
      <c r="Q134" t="n">
        <v>2</v>
      </c>
      <c r="R134" s="2" t="inlineStr">
        <is>
          <t>Sommarfibbla
Nästrot</t>
        </is>
      </c>
      <c r="S134">
        <f>HYPERLINK("https://klasma.github.io/Logging_0188/artfynd/A 50326-2024 artfynd.xlsx", "A 50326-2024")</f>
        <v/>
      </c>
      <c r="T134">
        <f>HYPERLINK("https://klasma.github.io/Logging_0188/kartor/A 50326-2024 karta.png", "A 50326-2024")</f>
        <v/>
      </c>
      <c r="V134">
        <f>HYPERLINK("https://klasma.github.io/Logging_0188/klagomål/A 50326-2024 FSC-klagomål.docx", "A 50326-2024")</f>
        <v/>
      </c>
      <c r="W134">
        <f>HYPERLINK("https://klasma.github.io/Logging_0188/klagomålsmail/A 50326-2024 FSC-klagomål mail.docx", "A 50326-2024")</f>
        <v/>
      </c>
      <c r="X134">
        <f>HYPERLINK("https://klasma.github.io/Logging_0188/tillsyn/A 50326-2024 tillsynsbegäran.docx", "A 50326-2024")</f>
        <v/>
      </c>
      <c r="Y134">
        <f>HYPERLINK("https://klasma.github.io/Logging_0188/tillsynsmail/A 50326-2024 tillsynsbegäran mail.docx", "A 50326-2024")</f>
        <v/>
      </c>
    </row>
    <row r="135" ht="15" customHeight="1">
      <c r="A135" t="inlineStr">
        <is>
          <t>A 52360-2024</t>
        </is>
      </c>
      <c r="B135" s="1" t="n">
        <v>45609</v>
      </c>
      <c r="C135" s="1" t="n">
        <v>45827</v>
      </c>
      <c r="D135" t="inlineStr">
        <is>
          <t>STOCKHOLMS LÄN</t>
        </is>
      </c>
      <c r="E135" t="inlineStr">
        <is>
          <t>NORRTÄLJE</t>
        </is>
      </c>
      <c r="G135" t="n">
        <v>2.2</v>
      </c>
      <c r="H135" t="n">
        <v>1</v>
      </c>
      <c r="I135" t="n">
        <v>1</v>
      </c>
      <c r="J135" t="n">
        <v>0</v>
      </c>
      <c r="K135" t="n">
        <v>0</v>
      </c>
      <c r="L135" t="n">
        <v>0</v>
      </c>
      <c r="M135" t="n">
        <v>0</v>
      </c>
      <c r="N135" t="n">
        <v>0</v>
      </c>
      <c r="O135" t="n">
        <v>0</v>
      </c>
      <c r="P135" t="n">
        <v>0</v>
      </c>
      <c r="Q135" t="n">
        <v>2</v>
      </c>
      <c r="R135" s="2" t="inlineStr">
        <is>
          <t>Brandticka
Blåsippa</t>
        </is>
      </c>
      <c r="S135">
        <f>HYPERLINK("https://klasma.github.io/Logging_0188/artfynd/A 52360-2024 artfynd.xlsx", "A 52360-2024")</f>
        <v/>
      </c>
      <c r="T135">
        <f>HYPERLINK("https://klasma.github.io/Logging_0188/kartor/A 52360-2024 karta.png", "A 52360-2024")</f>
        <v/>
      </c>
      <c r="V135">
        <f>HYPERLINK("https://klasma.github.io/Logging_0188/klagomål/A 52360-2024 FSC-klagomål.docx", "A 52360-2024")</f>
        <v/>
      </c>
      <c r="W135">
        <f>HYPERLINK("https://klasma.github.io/Logging_0188/klagomålsmail/A 52360-2024 FSC-klagomål mail.docx", "A 52360-2024")</f>
        <v/>
      </c>
      <c r="X135">
        <f>HYPERLINK("https://klasma.github.io/Logging_0188/tillsyn/A 52360-2024 tillsynsbegäran.docx", "A 52360-2024")</f>
        <v/>
      </c>
      <c r="Y135">
        <f>HYPERLINK("https://klasma.github.io/Logging_0188/tillsynsmail/A 52360-2024 tillsynsbegäran mail.docx", "A 52360-2024")</f>
        <v/>
      </c>
    </row>
    <row r="136" ht="15" customHeight="1">
      <c r="A136" t="inlineStr">
        <is>
          <t>A 11031-2025</t>
        </is>
      </c>
      <c r="B136" s="1" t="n">
        <v>45723</v>
      </c>
      <c r="C136" s="1" t="n">
        <v>45827</v>
      </c>
      <c r="D136" t="inlineStr">
        <is>
          <t>STOCKHOLMS LÄN</t>
        </is>
      </c>
      <c r="E136" t="inlineStr">
        <is>
          <t>NORRTÄLJE</t>
        </is>
      </c>
      <c r="F136" t="inlineStr">
        <is>
          <t>Övriga Aktiebolag</t>
        </is>
      </c>
      <c r="G136" t="n">
        <v>13.2</v>
      </c>
      <c r="H136" t="n">
        <v>1</v>
      </c>
      <c r="I136" t="n">
        <v>0</v>
      </c>
      <c r="J136" t="n">
        <v>2</v>
      </c>
      <c r="K136" t="n">
        <v>0</v>
      </c>
      <c r="L136" t="n">
        <v>0</v>
      </c>
      <c r="M136" t="n">
        <v>0</v>
      </c>
      <c r="N136" t="n">
        <v>0</v>
      </c>
      <c r="O136" t="n">
        <v>2</v>
      </c>
      <c r="P136" t="n">
        <v>0</v>
      </c>
      <c r="Q136" t="n">
        <v>2</v>
      </c>
      <c r="R136" s="2" t="inlineStr">
        <is>
          <t>Järpe
Ullticka</t>
        </is>
      </c>
      <c r="S136">
        <f>HYPERLINK("https://klasma.github.io/Logging_010188/artfynd/A 11031-2025 artfynd.xlsx", "A 11031-2025")</f>
        <v/>
      </c>
      <c r="T136">
        <f>HYPERLINK("https://klasma.github.io/Logging_010188/kartor/A 11031-2025 karta.png", "A 11031-2025")</f>
        <v/>
      </c>
      <c r="V136">
        <f>HYPERLINK("https://klasma.github.io/Logging_010188/klagomål/A 11031-2025 FSC-klagomål.docx", "A 11031-2025")</f>
        <v/>
      </c>
      <c r="W136">
        <f>HYPERLINK("https://klasma.github.io/Logging_010188/klagomålsmail/A 11031-2025 FSC-klagomål mail.docx", "A 11031-2025")</f>
        <v/>
      </c>
      <c r="X136">
        <f>HYPERLINK("https://klasma.github.io/Logging_010188/tillsyn/A 11031-2025 tillsynsbegäran.docx", "A 11031-2025")</f>
        <v/>
      </c>
      <c r="Y136">
        <f>HYPERLINK("https://klasma.github.io/Logging_010188/tillsynsmail/A 11031-2025 tillsynsbegäran mail.docx", "A 11031-2025")</f>
        <v/>
      </c>
      <c r="Z136">
        <f>HYPERLINK("https://klasma.github.io/Logging_010188/fåglar/A 11031-2025 prioriterade fågelarter.docx", "A 11031-2025")</f>
        <v/>
      </c>
    </row>
    <row r="137" ht="15" customHeight="1">
      <c r="A137" t="inlineStr">
        <is>
          <t>A 15804-2025</t>
        </is>
      </c>
      <c r="B137" s="1" t="n">
        <v>45748</v>
      </c>
      <c r="C137" s="1" t="n">
        <v>45827</v>
      </c>
      <c r="D137" t="inlineStr">
        <is>
          <t>STOCKHOLMS LÄN</t>
        </is>
      </c>
      <c r="E137" t="inlineStr">
        <is>
          <t>NORRTÄLJE</t>
        </is>
      </c>
      <c r="F137" t="inlineStr">
        <is>
          <t>Holmen skog AB</t>
        </is>
      </c>
      <c r="G137" t="n">
        <v>1.7</v>
      </c>
      <c r="H137" t="n">
        <v>1</v>
      </c>
      <c r="I137" t="n">
        <v>0</v>
      </c>
      <c r="J137" t="n">
        <v>1</v>
      </c>
      <c r="K137" t="n">
        <v>0</v>
      </c>
      <c r="L137" t="n">
        <v>1</v>
      </c>
      <c r="M137" t="n">
        <v>0</v>
      </c>
      <c r="N137" t="n">
        <v>0</v>
      </c>
      <c r="O137" t="n">
        <v>2</v>
      </c>
      <c r="P137" t="n">
        <v>1</v>
      </c>
      <c r="Q137" t="n">
        <v>2</v>
      </c>
      <c r="R137" s="2" t="inlineStr">
        <is>
          <t>Asknätfjäril
Slåtterfibbla</t>
        </is>
      </c>
      <c r="S137">
        <f>HYPERLINK("https://klasma.github.io/Logging_010188/artfynd/A 15804-2025 artfynd.xlsx", "A 15804-2025")</f>
        <v/>
      </c>
      <c r="T137">
        <f>HYPERLINK("https://klasma.github.io/Logging_010188/kartor/A 15804-2025 karta.png", "A 15804-2025")</f>
        <v/>
      </c>
      <c r="V137">
        <f>HYPERLINK("https://klasma.github.io/Logging_010188/klagomål/A 15804-2025 FSC-klagomål.docx", "A 15804-2025")</f>
        <v/>
      </c>
      <c r="W137">
        <f>HYPERLINK("https://klasma.github.io/Logging_010188/klagomålsmail/A 15804-2025 FSC-klagomål mail.docx", "A 15804-2025")</f>
        <v/>
      </c>
      <c r="X137">
        <f>HYPERLINK("https://klasma.github.io/Logging_010188/tillsyn/A 15804-2025 tillsynsbegäran.docx", "A 15804-2025")</f>
        <v/>
      </c>
      <c r="Y137">
        <f>HYPERLINK("https://klasma.github.io/Logging_010188/tillsynsmail/A 15804-2025 tillsynsbegäran mail.docx", "A 15804-2025")</f>
        <v/>
      </c>
    </row>
    <row r="138" ht="15" customHeight="1">
      <c r="A138" t="inlineStr">
        <is>
          <t>A 20016-2025</t>
        </is>
      </c>
      <c r="B138" s="1" t="n">
        <v>45772</v>
      </c>
      <c r="C138" s="1" t="n">
        <v>45827</v>
      </c>
      <c r="D138" t="inlineStr">
        <is>
          <t>STOCKHOLMS LÄN</t>
        </is>
      </c>
      <c r="E138" t="inlineStr">
        <is>
          <t>NORRTÄLJE</t>
        </is>
      </c>
      <c r="G138" t="n">
        <v>5.2</v>
      </c>
      <c r="H138" t="n">
        <v>1</v>
      </c>
      <c r="I138" t="n">
        <v>1</v>
      </c>
      <c r="J138" t="n">
        <v>0</v>
      </c>
      <c r="K138" t="n">
        <v>1</v>
      </c>
      <c r="L138" t="n">
        <v>0</v>
      </c>
      <c r="M138" t="n">
        <v>0</v>
      </c>
      <c r="N138" t="n">
        <v>0</v>
      </c>
      <c r="O138" t="n">
        <v>1</v>
      </c>
      <c r="P138" t="n">
        <v>1</v>
      </c>
      <c r="Q138" t="n">
        <v>2</v>
      </c>
      <c r="R138" s="2" t="inlineStr">
        <is>
          <t>Knärot
Grovticka</t>
        </is>
      </c>
      <c r="S138">
        <f>HYPERLINK("https://klasma.github.io/Logging_010188/artfynd/A 20016-2025 artfynd.xlsx", "A 20016-2025")</f>
        <v/>
      </c>
      <c r="T138">
        <f>HYPERLINK("https://klasma.github.io/Logging_010188/kartor/A 20016-2025 karta.png", "A 20016-2025")</f>
        <v/>
      </c>
      <c r="U138">
        <f>HYPERLINK("https://klasma.github.io/Logging_010188/knärot/A 20016-2025 karta knärot.png", "A 20016-2025")</f>
        <v/>
      </c>
      <c r="V138">
        <f>HYPERLINK("https://klasma.github.io/Logging_010188/klagomål/A 20016-2025 FSC-klagomål.docx", "A 20016-2025")</f>
        <v/>
      </c>
      <c r="W138">
        <f>HYPERLINK("https://klasma.github.io/Logging_010188/klagomålsmail/A 20016-2025 FSC-klagomål mail.docx", "A 20016-2025")</f>
        <v/>
      </c>
      <c r="X138">
        <f>HYPERLINK("https://klasma.github.io/Logging_010188/tillsyn/A 20016-2025 tillsynsbegäran.docx", "A 20016-2025")</f>
        <v/>
      </c>
      <c r="Y138">
        <f>HYPERLINK("https://klasma.github.io/Logging_010188/tillsynsmail/A 20016-2025 tillsynsbegäran mail.docx", "A 20016-2025")</f>
        <v/>
      </c>
    </row>
    <row r="139" ht="15" customHeight="1">
      <c r="A139" t="inlineStr">
        <is>
          <t>A 20012-2025</t>
        </is>
      </c>
      <c r="B139" s="1" t="n">
        <v>45772</v>
      </c>
      <c r="C139" s="1" t="n">
        <v>45827</v>
      </c>
      <c r="D139" t="inlineStr">
        <is>
          <t>STOCKHOLMS LÄN</t>
        </is>
      </c>
      <c r="E139" t="inlineStr">
        <is>
          <t>NORRTÄLJE</t>
        </is>
      </c>
      <c r="G139" t="n">
        <v>3.8</v>
      </c>
      <c r="H139" t="n">
        <v>0</v>
      </c>
      <c r="I139" t="n">
        <v>2</v>
      </c>
      <c r="J139" t="n">
        <v>0</v>
      </c>
      <c r="K139" t="n">
        <v>0</v>
      </c>
      <c r="L139" t="n">
        <v>0</v>
      </c>
      <c r="M139" t="n">
        <v>0</v>
      </c>
      <c r="N139" t="n">
        <v>0</v>
      </c>
      <c r="O139" t="n">
        <v>0</v>
      </c>
      <c r="P139" t="n">
        <v>0</v>
      </c>
      <c r="Q139" t="n">
        <v>2</v>
      </c>
      <c r="R139" s="2" t="inlineStr">
        <is>
          <t>Barkticka
Stor aspticka</t>
        </is>
      </c>
      <c r="S139">
        <f>HYPERLINK("https://klasma.github.io/Logging_010188/artfynd/A 20012-2025 artfynd.xlsx", "A 20012-2025")</f>
        <v/>
      </c>
      <c r="T139">
        <f>HYPERLINK("https://klasma.github.io/Logging_010188/kartor/A 20012-2025 karta.png", "A 20012-2025")</f>
        <v/>
      </c>
      <c r="V139">
        <f>HYPERLINK("https://klasma.github.io/Logging_010188/klagomål/A 20012-2025 FSC-klagomål.docx", "A 20012-2025")</f>
        <v/>
      </c>
      <c r="W139">
        <f>HYPERLINK("https://klasma.github.io/Logging_010188/klagomålsmail/A 20012-2025 FSC-klagomål mail.docx", "A 20012-2025")</f>
        <v/>
      </c>
      <c r="X139">
        <f>HYPERLINK("https://klasma.github.io/Logging_010188/tillsyn/A 20012-2025 tillsynsbegäran.docx", "A 20012-2025")</f>
        <v/>
      </c>
      <c r="Y139">
        <f>HYPERLINK("https://klasma.github.io/Logging_010188/tillsynsmail/A 20012-2025 tillsynsbegäran mail.docx", "A 20012-2025")</f>
        <v/>
      </c>
    </row>
    <row r="140" ht="15" customHeight="1">
      <c r="A140" t="inlineStr">
        <is>
          <t>A 25731-2025</t>
        </is>
      </c>
      <c r="B140" s="1" t="n">
        <v>45800</v>
      </c>
      <c r="C140" s="1" t="n">
        <v>45827</v>
      </c>
      <c r="D140" t="inlineStr">
        <is>
          <t>STOCKHOLMS LÄN</t>
        </is>
      </c>
      <c r="E140" t="inlineStr">
        <is>
          <t>NORRTÄLJE</t>
        </is>
      </c>
      <c r="G140" t="n">
        <v>11.9</v>
      </c>
      <c r="H140" t="n">
        <v>2</v>
      </c>
      <c r="I140" t="n">
        <v>0</v>
      </c>
      <c r="J140" t="n">
        <v>0</v>
      </c>
      <c r="K140" t="n">
        <v>1</v>
      </c>
      <c r="L140" t="n">
        <v>0</v>
      </c>
      <c r="M140" t="n">
        <v>0</v>
      </c>
      <c r="N140" t="n">
        <v>0</v>
      </c>
      <c r="O140" t="n">
        <v>1</v>
      </c>
      <c r="P140" t="n">
        <v>1</v>
      </c>
      <c r="Q140" t="n">
        <v>2</v>
      </c>
      <c r="R140" s="2" t="inlineStr">
        <is>
          <t>Knärot
Tjäder</t>
        </is>
      </c>
      <c r="S140">
        <f>HYPERLINK("https://klasma.github.io/Logging_010188/artfynd/A 25731-2025 artfynd.xlsx", "A 25731-2025")</f>
        <v/>
      </c>
      <c r="T140">
        <f>HYPERLINK("https://klasma.github.io/Logging_010188/kartor/A 25731-2025 karta.png", "A 25731-2025")</f>
        <v/>
      </c>
      <c r="U140">
        <f>HYPERLINK("https://klasma.github.io/Logging_010188/knärot/A 25731-2025 karta knärot.png", "A 25731-2025")</f>
        <v/>
      </c>
      <c r="V140">
        <f>HYPERLINK("https://klasma.github.io/Logging_010188/klagomål/A 25731-2025 FSC-klagomål.docx", "A 25731-2025")</f>
        <v/>
      </c>
      <c r="W140">
        <f>HYPERLINK("https://klasma.github.io/Logging_010188/klagomålsmail/A 25731-2025 FSC-klagomål mail.docx", "A 25731-2025")</f>
        <v/>
      </c>
      <c r="X140">
        <f>HYPERLINK("https://klasma.github.io/Logging_010188/tillsyn/A 25731-2025 tillsynsbegäran.docx", "A 25731-2025")</f>
        <v/>
      </c>
      <c r="Y140">
        <f>HYPERLINK("https://klasma.github.io/Logging_010188/tillsynsmail/A 25731-2025 tillsynsbegäran mail.docx", "A 25731-2025")</f>
        <v/>
      </c>
      <c r="Z140">
        <f>HYPERLINK("https://klasma.github.io/Logging_010188/fåglar/A 25731-2025 prioriterade fågelarter.docx", "A 25731-2025")</f>
        <v/>
      </c>
    </row>
    <row r="141" ht="15" customHeight="1">
      <c r="A141" t="inlineStr">
        <is>
          <t>A 20740-2019</t>
        </is>
      </c>
      <c r="B141" s="1" t="n">
        <v>43573</v>
      </c>
      <c r="C141" s="1" t="n">
        <v>45827</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Slåtterfibbla</t>
        </is>
      </c>
      <c r="S141">
        <f>HYPERLINK("https://klasma.github.io/Logging_0188/artfynd/A 20740-2019 artfynd.xlsx", "A 20740-2019")</f>
        <v/>
      </c>
      <c r="T141">
        <f>HYPERLINK("https://klasma.github.io/Logging_0188/kartor/A 20740-2019 karta.png", "A 20740-2019")</f>
        <v/>
      </c>
      <c r="V141">
        <f>HYPERLINK("https://klasma.github.io/Logging_0188/klagomål/A 20740-2019 FSC-klagomål.docx", "A 20740-2019")</f>
        <v/>
      </c>
      <c r="W141">
        <f>HYPERLINK("https://klasma.github.io/Logging_0188/klagomålsmail/A 20740-2019 FSC-klagomål mail.docx", "A 20740-2019")</f>
        <v/>
      </c>
      <c r="X141">
        <f>HYPERLINK("https://klasma.github.io/Logging_0188/tillsyn/A 20740-2019 tillsynsbegäran.docx", "A 20740-2019")</f>
        <v/>
      </c>
      <c r="Y141">
        <f>HYPERLINK("https://klasma.github.io/Logging_0188/tillsynsmail/A 20740-2019 tillsynsbegäran mail.docx", "A 20740-2019")</f>
        <v/>
      </c>
    </row>
    <row r="142" ht="15" customHeight="1">
      <c r="A142" t="inlineStr">
        <is>
          <t>A 26275-2019</t>
        </is>
      </c>
      <c r="B142" s="1" t="n">
        <v>43611</v>
      </c>
      <c r="C142" s="1" t="n">
        <v>45827</v>
      </c>
      <c r="D142" t="inlineStr">
        <is>
          <t>STOCKHOLMS LÄN</t>
        </is>
      </c>
      <c r="E142" t="inlineStr">
        <is>
          <t>NORRTÄLJE</t>
        </is>
      </c>
      <c r="G142" t="n">
        <v>0.5</v>
      </c>
      <c r="H142" t="n">
        <v>0</v>
      </c>
      <c r="I142" t="n">
        <v>1</v>
      </c>
      <c r="J142" t="n">
        <v>0</v>
      </c>
      <c r="K142" t="n">
        <v>0</v>
      </c>
      <c r="L142" t="n">
        <v>0</v>
      </c>
      <c r="M142" t="n">
        <v>0</v>
      </c>
      <c r="N142" t="n">
        <v>0</v>
      </c>
      <c r="O142" t="n">
        <v>0</v>
      </c>
      <c r="P142" t="n">
        <v>0</v>
      </c>
      <c r="Q142" t="n">
        <v>1</v>
      </c>
      <c r="R142" s="2" t="inlineStr">
        <is>
          <t>Blåmossa</t>
        </is>
      </c>
      <c r="S142">
        <f>HYPERLINK("https://klasma.github.io/Logging_0188/artfynd/A 26275-2019 artfynd.xlsx", "A 26275-2019")</f>
        <v/>
      </c>
      <c r="T142">
        <f>HYPERLINK("https://klasma.github.io/Logging_0188/kartor/A 26275-2019 karta.png", "A 26275-2019")</f>
        <v/>
      </c>
      <c r="V142">
        <f>HYPERLINK("https://klasma.github.io/Logging_0188/klagomål/A 26275-2019 FSC-klagomål.docx", "A 26275-2019")</f>
        <v/>
      </c>
      <c r="W142">
        <f>HYPERLINK("https://klasma.github.io/Logging_0188/klagomålsmail/A 26275-2019 FSC-klagomål mail.docx", "A 26275-2019")</f>
        <v/>
      </c>
      <c r="X142">
        <f>HYPERLINK("https://klasma.github.io/Logging_0188/tillsyn/A 26275-2019 tillsynsbegäran.docx", "A 26275-2019")</f>
        <v/>
      </c>
      <c r="Y142">
        <f>HYPERLINK("https://klasma.github.io/Logging_0188/tillsynsmail/A 26275-2019 tillsynsbegäran mail.docx", "A 26275-2019")</f>
        <v/>
      </c>
    </row>
    <row r="143" ht="15" customHeight="1">
      <c r="A143" t="inlineStr">
        <is>
          <t>A 30011-2019</t>
        </is>
      </c>
      <c r="B143" s="1" t="n">
        <v>43633</v>
      </c>
      <c r="C143" s="1" t="n">
        <v>45827</v>
      </c>
      <c r="D143" t="inlineStr">
        <is>
          <t>STOCKHOLMS LÄN</t>
        </is>
      </c>
      <c r="E143" t="inlineStr">
        <is>
          <t>NORRTÄLJE</t>
        </is>
      </c>
      <c r="G143" t="n">
        <v>2.6</v>
      </c>
      <c r="H143" t="n">
        <v>0</v>
      </c>
      <c r="I143" t="n">
        <v>1</v>
      </c>
      <c r="J143" t="n">
        <v>0</v>
      </c>
      <c r="K143" t="n">
        <v>0</v>
      </c>
      <c r="L143" t="n">
        <v>0</v>
      </c>
      <c r="M143" t="n">
        <v>0</v>
      </c>
      <c r="N143" t="n">
        <v>0</v>
      </c>
      <c r="O143" t="n">
        <v>0</v>
      </c>
      <c r="P143" t="n">
        <v>0</v>
      </c>
      <c r="Q143" t="n">
        <v>1</v>
      </c>
      <c r="R143" s="2" t="inlineStr">
        <is>
          <t>Tibast</t>
        </is>
      </c>
      <c r="S143">
        <f>HYPERLINK("https://klasma.github.io/Logging_0188/artfynd/A 30011-2019 artfynd.xlsx", "A 30011-2019")</f>
        <v/>
      </c>
      <c r="T143">
        <f>HYPERLINK("https://klasma.github.io/Logging_0188/kartor/A 30011-2019 karta.png", "A 30011-2019")</f>
        <v/>
      </c>
      <c r="V143">
        <f>HYPERLINK("https://klasma.github.io/Logging_0188/klagomål/A 30011-2019 FSC-klagomål.docx", "A 30011-2019")</f>
        <v/>
      </c>
      <c r="W143">
        <f>HYPERLINK("https://klasma.github.io/Logging_0188/klagomålsmail/A 30011-2019 FSC-klagomål mail.docx", "A 30011-2019")</f>
        <v/>
      </c>
      <c r="X143">
        <f>HYPERLINK("https://klasma.github.io/Logging_0188/tillsyn/A 30011-2019 tillsynsbegäran.docx", "A 30011-2019")</f>
        <v/>
      </c>
      <c r="Y143">
        <f>HYPERLINK("https://klasma.github.io/Logging_0188/tillsynsmail/A 30011-2019 tillsynsbegäran mail.docx", "A 30011-2019")</f>
        <v/>
      </c>
    </row>
    <row r="144" ht="15" customHeight="1">
      <c r="A144" t="inlineStr">
        <is>
          <t>A 38137-2019</t>
        </is>
      </c>
      <c r="B144" s="1" t="n">
        <v>43684</v>
      </c>
      <c r="C144" s="1" t="n">
        <v>45827</v>
      </c>
      <c r="D144" t="inlineStr">
        <is>
          <t>STOCKHOLMS LÄN</t>
        </is>
      </c>
      <c r="E144" t="inlineStr">
        <is>
          <t>NORRTÄLJE</t>
        </is>
      </c>
      <c r="G144" t="n">
        <v>12.9</v>
      </c>
      <c r="H144" t="n">
        <v>0</v>
      </c>
      <c r="I144" t="n">
        <v>0</v>
      </c>
      <c r="J144" t="n">
        <v>1</v>
      </c>
      <c r="K144" t="n">
        <v>0</v>
      </c>
      <c r="L144" t="n">
        <v>0</v>
      </c>
      <c r="M144" t="n">
        <v>0</v>
      </c>
      <c r="N144" t="n">
        <v>0</v>
      </c>
      <c r="O144" t="n">
        <v>1</v>
      </c>
      <c r="P144" t="n">
        <v>0</v>
      </c>
      <c r="Q144" t="n">
        <v>1</v>
      </c>
      <c r="R144" s="2" t="inlineStr">
        <is>
          <t>Rutskinn</t>
        </is>
      </c>
      <c r="S144">
        <f>HYPERLINK("https://klasma.github.io/Logging_0188/artfynd/A 38137-2019 artfynd.xlsx", "A 38137-2019")</f>
        <v/>
      </c>
      <c r="T144">
        <f>HYPERLINK("https://klasma.github.io/Logging_0188/kartor/A 38137-2019 karta.png", "A 38137-2019")</f>
        <v/>
      </c>
      <c r="V144">
        <f>HYPERLINK("https://klasma.github.io/Logging_0188/klagomål/A 38137-2019 FSC-klagomål.docx", "A 38137-2019")</f>
        <v/>
      </c>
      <c r="W144">
        <f>HYPERLINK("https://klasma.github.io/Logging_0188/klagomålsmail/A 38137-2019 FSC-klagomål mail.docx", "A 38137-2019")</f>
        <v/>
      </c>
      <c r="X144">
        <f>HYPERLINK("https://klasma.github.io/Logging_0188/tillsyn/A 38137-2019 tillsynsbegäran.docx", "A 38137-2019")</f>
        <v/>
      </c>
      <c r="Y144">
        <f>HYPERLINK("https://klasma.github.io/Logging_0188/tillsynsmail/A 38137-2019 tillsynsbegäran mail.docx", "A 38137-2019")</f>
        <v/>
      </c>
    </row>
    <row r="145" ht="15" customHeight="1">
      <c r="A145" t="inlineStr">
        <is>
          <t>A 62848-2019</t>
        </is>
      </c>
      <c r="B145" s="1" t="n">
        <v>43790</v>
      </c>
      <c r="C145" s="1" t="n">
        <v>45827</v>
      </c>
      <c r="D145" t="inlineStr">
        <is>
          <t>STOCKHOLMS LÄN</t>
        </is>
      </c>
      <c r="E145" t="inlineStr">
        <is>
          <t>NORRTÄLJE</t>
        </is>
      </c>
      <c r="F145" t="inlineStr">
        <is>
          <t>Holmen skog AB</t>
        </is>
      </c>
      <c r="G145" t="n">
        <v>6.6</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62848-2019 artfynd.xlsx", "A 62848-2019")</f>
        <v/>
      </c>
      <c r="T145">
        <f>HYPERLINK("https://klasma.github.io/Logging_0188/kartor/A 62848-2019 karta.png", "A 62848-2019")</f>
        <v/>
      </c>
      <c r="V145">
        <f>HYPERLINK("https://klasma.github.io/Logging_0188/klagomål/A 62848-2019 FSC-klagomål.docx", "A 62848-2019")</f>
        <v/>
      </c>
      <c r="W145">
        <f>HYPERLINK("https://klasma.github.io/Logging_0188/klagomålsmail/A 62848-2019 FSC-klagomål mail.docx", "A 62848-2019")</f>
        <v/>
      </c>
      <c r="X145">
        <f>HYPERLINK("https://klasma.github.io/Logging_0188/tillsyn/A 62848-2019 tillsynsbegäran.docx", "A 62848-2019")</f>
        <v/>
      </c>
      <c r="Y145">
        <f>HYPERLINK("https://klasma.github.io/Logging_0188/tillsynsmail/A 62848-2019 tillsynsbegäran mail.docx", "A 62848-2019")</f>
        <v/>
      </c>
    </row>
    <row r="146" ht="15" customHeight="1">
      <c r="A146" t="inlineStr">
        <is>
          <t>A 64849-2019</t>
        </is>
      </c>
      <c r="B146" s="1" t="n">
        <v>43801</v>
      </c>
      <c r="C146" s="1" t="n">
        <v>45827</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Skogsklocka</t>
        </is>
      </c>
      <c r="S146">
        <f>HYPERLINK("https://klasma.github.io/Logging_0188/artfynd/A 64849-2019 artfynd.xlsx", "A 64849-2019")</f>
        <v/>
      </c>
      <c r="T146">
        <f>HYPERLINK("https://klasma.github.io/Logging_0188/kartor/A 64849-2019 karta.png", "A 64849-2019")</f>
        <v/>
      </c>
      <c r="V146">
        <f>HYPERLINK("https://klasma.github.io/Logging_0188/klagomål/A 64849-2019 FSC-klagomål.docx", "A 64849-2019")</f>
        <v/>
      </c>
      <c r="W146">
        <f>HYPERLINK("https://klasma.github.io/Logging_0188/klagomålsmail/A 64849-2019 FSC-klagomål mail.docx", "A 64849-2019")</f>
        <v/>
      </c>
      <c r="X146">
        <f>HYPERLINK("https://klasma.github.io/Logging_0188/tillsyn/A 64849-2019 tillsynsbegäran.docx", "A 64849-2019")</f>
        <v/>
      </c>
      <c r="Y146">
        <f>HYPERLINK("https://klasma.github.io/Logging_0188/tillsynsmail/A 64849-2019 tillsynsbegäran mail.docx", "A 64849-2019")</f>
        <v/>
      </c>
    </row>
    <row r="147" ht="15" customHeight="1">
      <c r="A147" t="inlineStr">
        <is>
          <t>A 2808-2020</t>
        </is>
      </c>
      <c r="B147" s="1" t="n">
        <v>43850</v>
      </c>
      <c r="C147" s="1" t="n">
        <v>45827</v>
      </c>
      <c r="D147" t="inlineStr">
        <is>
          <t>STOCKHOLMS LÄN</t>
        </is>
      </c>
      <c r="E147" t="inlineStr">
        <is>
          <t>NORRTÄLJE</t>
        </is>
      </c>
      <c r="G147" t="n">
        <v>1</v>
      </c>
      <c r="H147" t="n">
        <v>1</v>
      </c>
      <c r="I147" t="n">
        <v>0</v>
      </c>
      <c r="J147" t="n">
        <v>0</v>
      </c>
      <c r="K147" t="n">
        <v>1</v>
      </c>
      <c r="L147" t="n">
        <v>0</v>
      </c>
      <c r="M147" t="n">
        <v>0</v>
      </c>
      <c r="N147" t="n">
        <v>0</v>
      </c>
      <c r="O147" t="n">
        <v>1</v>
      </c>
      <c r="P147" t="n">
        <v>1</v>
      </c>
      <c r="Q147" t="n">
        <v>1</v>
      </c>
      <c r="R147" s="2" t="inlineStr">
        <is>
          <t>Knärot</t>
        </is>
      </c>
      <c r="S147">
        <f>HYPERLINK("https://klasma.github.io/Logging_0188/artfynd/A 2808-2020 artfynd.xlsx", "A 2808-2020")</f>
        <v/>
      </c>
      <c r="T147">
        <f>HYPERLINK("https://klasma.github.io/Logging_0188/kartor/A 2808-2020 karta.png", "A 2808-2020")</f>
        <v/>
      </c>
      <c r="U147">
        <f>HYPERLINK("https://klasma.github.io/Logging_0188/knärot/A 2808-2020 karta knärot.png", "A 2808-2020")</f>
        <v/>
      </c>
      <c r="V147">
        <f>HYPERLINK("https://klasma.github.io/Logging_0188/klagomål/A 2808-2020 FSC-klagomål.docx", "A 2808-2020")</f>
        <v/>
      </c>
      <c r="W147">
        <f>HYPERLINK("https://klasma.github.io/Logging_0188/klagomålsmail/A 2808-2020 FSC-klagomål mail.docx", "A 2808-2020")</f>
        <v/>
      </c>
      <c r="X147">
        <f>HYPERLINK("https://klasma.github.io/Logging_0188/tillsyn/A 2808-2020 tillsynsbegäran.docx", "A 2808-2020")</f>
        <v/>
      </c>
      <c r="Y147">
        <f>HYPERLINK("https://klasma.github.io/Logging_0188/tillsynsmail/A 2808-2020 tillsynsbegäran mail.docx", "A 2808-2020")</f>
        <v/>
      </c>
    </row>
    <row r="148" ht="15" customHeight="1">
      <c r="A148" t="inlineStr">
        <is>
          <t>A 2796-2020</t>
        </is>
      </c>
      <c r="B148" s="1" t="n">
        <v>43850</v>
      </c>
      <c r="C148" s="1" t="n">
        <v>45827</v>
      </c>
      <c r="D148" t="inlineStr">
        <is>
          <t>STOCKHOLMS LÄN</t>
        </is>
      </c>
      <c r="E148" t="inlineStr">
        <is>
          <t>NORRTÄLJE</t>
        </is>
      </c>
      <c r="G148" t="n">
        <v>5.6</v>
      </c>
      <c r="H148" t="n">
        <v>1</v>
      </c>
      <c r="I148" t="n">
        <v>1</v>
      </c>
      <c r="J148" t="n">
        <v>0</v>
      </c>
      <c r="K148" t="n">
        <v>0</v>
      </c>
      <c r="L148" t="n">
        <v>0</v>
      </c>
      <c r="M148" t="n">
        <v>0</v>
      </c>
      <c r="N148" t="n">
        <v>0</v>
      </c>
      <c r="O148" t="n">
        <v>0</v>
      </c>
      <c r="P148" t="n">
        <v>0</v>
      </c>
      <c r="Q148" t="n">
        <v>1</v>
      </c>
      <c r="R148" s="2" t="inlineStr">
        <is>
          <t>Spindelblomster</t>
        </is>
      </c>
      <c r="S148">
        <f>HYPERLINK("https://klasma.github.io/Logging_0188/artfynd/A 2796-2020 artfynd.xlsx", "A 2796-2020")</f>
        <v/>
      </c>
      <c r="T148">
        <f>HYPERLINK("https://klasma.github.io/Logging_0188/kartor/A 2796-2020 karta.png", "A 2796-2020")</f>
        <v/>
      </c>
      <c r="V148">
        <f>HYPERLINK("https://klasma.github.io/Logging_0188/klagomål/A 2796-2020 FSC-klagomål.docx", "A 2796-2020")</f>
        <v/>
      </c>
      <c r="W148">
        <f>HYPERLINK("https://klasma.github.io/Logging_0188/klagomålsmail/A 2796-2020 FSC-klagomål mail.docx", "A 2796-2020")</f>
        <v/>
      </c>
      <c r="X148">
        <f>HYPERLINK("https://klasma.github.io/Logging_0188/tillsyn/A 2796-2020 tillsynsbegäran.docx", "A 2796-2020")</f>
        <v/>
      </c>
      <c r="Y148">
        <f>HYPERLINK("https://klasma.github.io/Logging_0188/tillsynsmail/A 2796-2020 tillsynsbegäran mail.docx", "A 2796-2020")</f>
        <v/>
      </c>
    </row>
    <row r="149" ht="15" customHeight="1">
      <c r="A149" t="inlineStr">
        <is>
          <t>A 9051-2020</t>
        </is>
      </c>
      <c r="B149" s="1" t="n">
        <v>43879</v>
      </c>
      <c r="C149" s="1" t="n">
        <v>45827</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9051-2020 artfynd.xlsx", "A 9051-2020")</f>
        <v/>
      </c>
      <c r="T149">
        <f>HYPERLINK("https://klasma.github.io/Logging_0188/kartor/A 9051-2020 karta.png", "A 9051-2020")</f>
        <v/>
      </c>
      <c r="V149">
        <f>HYPERLINK("https://klasma.github.io/Logging_0188/klagomål/A 9051-2020 FSC-klagomål.docx", "A 9051-2020")</f>
        <v/>
      </c>
      <c r="W149">
        <f>HYPERLINK("https://klasma.github.io/Logging_0188/klagomålsmail/A 9051-2020 FSC-klagomål mail.docx", "A 9051-2020")</f>
        <v/>
      </c>
      <c r="X149">
        <f>HYPERLINK("https://klasma.github.io/Logging_0188/tillsyn/A 9051-2020 tillsynsbegäran.docx", "A 9051-2020")</f>
        <v/>
      </c>
      <c r="Y149">
        <f>HYPERLINK("https://klasma.github.io/Logging_0188/tillsynsmail/A 9051-2020 tillsynsbegäran mail.docx", "A 9051-2020")</f>
        <v/>
      </c>
    </row>
    <row r="150" ht="15" customHeight="1">
      <c r="A150" t="inlineStr">
        <is>
          <t>A 12843-2020</t>
        </is>
      </c>
      <c r="B150" s="1" t="n">
        <v>43899</v>
      </c>
      <c r="C150" s="1" t="n">
        <v>45827</v>
      </c>
      <c r="D150" t="inlineStr">
        <is>
          <t>STOCKHOLMS LÄN</t>
        </is>
      </c>
      <c r="E150" t="inlineStr">
        <is>
          <t>NORRTÄLJE</t>
        </is>
      </c>
      <c r="G150" t="n">
        <v>7.5</v>
      </c>
      <c r="H150" t="n">
        <v>1</v>
      </c>
      <c r="I150" t="n">
        <v>0</v>
      </c>
      <c r="J150" t="n">
        <v>1</v>
      </c>
      <c r="K150" t="n">
        <v>0</v>
      </c>
      <c r="L150" t="n">
        <v>0</v>
      </c>
      <c r="M150" t="n">
        <v>0</v>
      </c>
      <c r="N150" t="n">
        <v>0</v>
      </c>
      <c r="O150" t="n">
        <v>1</v>
      </c>
      <c r="P150" t="n">
        <v>0</v>
      </c>
      <c r="Q150" t="n">
        <v>1</v>
      </c>
      <c r="R150" s="2" t="inlineStr">
        <is>
          <t>Talltita</t>
        </is>
      </c>
      <c r="S150">
        <f>HYPERLINK("https://klasma.github.io/Logging_0188/artfynd/A 12843-2020 artfynd.xlsx", "A 12843-2020")</f>
        <v/>
      </c>
      <c r="T150">
        <f>HYPERLINK("https://klasma.github.io/Logging_0188/kartor/A 12843-2020 karta.png", "A 12843-2020")</f>
        <v/>
      </c>
      <c r="V150">
        <f>HYPERLINK("https://klasma.github.io/Logging_0188/klagomål/A 12843-2020 FSC-klagomål.docx", "A 12843-2020")</f>
        <v/>
      </c>
      <c r="W150">
        <f>HYPERLINK("https://klasma.github.io/Logging_0188/klagomålsmail/A 12843-2020 FSC-klagomål mail.docx", "A 12843-2020")</f>
        <v/>
      </c>
      <c r="X150">
        <f>HYPERLINK("https://klasma.github.io/Logging_0188/tillsyn/A 12843-2020 tillsynsbegäran.docx", "A 12843-2020")</f>
        <v/>
      </c>
      <c r="Y150">
        <f>HYPERLINK("https://klasma.github.io/Logging_0188/tillsynsmail/A 12843-2020 tillsynsbegäran mail.docx", "A 12843-2020")</f>
        <v/>
      </c>
      <c r="Z150">
        <f>HYPERLINK("https://klasma.github.io/Logging_0188/fåglar/A 12843-2020 prioriterade fågelarter.docx", "A 12843-2020")</f>
        <v/>
      </c>
    </row>
    <row r="151" ht="15" customHeight="1">
      <c r="A151" t="inlineStr">
        <is>
          <t>A 28380-2020</t>
        </is>
      </c>
      <c r="B151" s="1" t="n">
        <v>43998</v>
      </c>
      <c r="C151" s="1" t="n">
        <v>45827</v>
      </c>
      <c r="D151" t="inlineStr">
        <is>
          <t>STOCKHOLMS LÄN</t>
        </is>
      </c>
      <c r="E151" t="inlineStr">
        <is>
          <t>NORRTÄLJE</t>
        </is>
      </c>
      <c r="G151" t="n">
        <v>43</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28380-2020 artfynd.xlsx", "A 28380-2020")</f>
        <v/>
      </c>
      <c r="T151">
        <f>HYPERLINK("https://klasma.github.io/Logging_0188/kartor/A 28380-2020 karta.png", "A 28380-2020")</f>
        <v/>
      </c>
      <c r="V151">
        <f>HYPERLINK("https://klasma.github.io/Logging_0188/klagomål/A 28380-2020 FSC-klagomål.docx", "A 28380-2020")</f>
        <v/>
      </c>
      <c r="W151">
        <f>HYPERLINK("https://klasma.github.io/Logging_0188/klagomålsmail/A 28380-2020 FSC-klagomål mail.docx", "A 28380-2020")</f>
        <v/>
      </c>
      <c r="X151">
        <f>HYPERLINK("https://klasma.github.io/Logging_0188/tillsyn/A 28380-2020 tillsynsbegäran.docx", "A 28380-2020")</f>
        <v/>
      </c>
      <c r="Y151">
        <f>HYPERLINK("https://klasma.github.io/Logging_0188/tillsynsmail/A 28380-2020 tillsynsbegäran mail.docx", "A 28380-2020")</f>
        <v/>
      </c>
    </row>
    <row r="152" ht="15" customHeight="1">
      <c r="A152" t="inlineStr">
        <is>
          <t>A 48288-2020</t>
        </is>
      </c>
      <c r="B152" s="1" t="n">
        <v>44102</v>
      </c>
      <c r="C152" s="1" t="n">
        <v>45827</v>
      </c>
      <c r="D152" t="inlineStr">
        <is>
          <t>STOCKHOLMS LÄN</t>
        </is>
      </c>
      <c r="E152" t="inlineStr">
        <is>
          <t>NORRTÄLJE</t>
        </is>
      </c>
      <c r="F152" t="inlineStr">
        <is>
          <t>Holmen skog AB</t>
        </is>
      </c>
      <c r="G152" t="n">
        <v>2.9</v>
      </c>
      <c r="H152" t="n">
        <v>1</v>
      </c>
      <c r="I152" t="n">
        <v>0</v>
      </c>
      <c r="J152" t="n">
        <v>0</v>
      </c>
      <c r="K152" t="n">
        <v>0</v>
      </c>
      <c r="L152" t="n">
        <v>1</v>
      </c>
      <c r="M152" t="n">
        <v>0</v>
      </c>
      <c r="N152" t="n">
        <v>0</v>
      </c>
      <c r="O152" t="n">
        <v>1</v>
      </c>
      <c r="P152" t="n">
        <v>1</v>
      </c>
      <c r="Q152" t="n">
        <v>1</v>
      </c>
      <c r="R152" s="2" t="inlineStr">
        <is>
          <t>Asknätfjäril</t>
        </is>
      </c>
      <c r="S152">
        <f>HYPERLINK("https://klasma.github.io/Logging_0188/artfynd/A 48288-2020 artfynd.xlsx", "A 48288-2020")</f>
        <v/>
      </c>
      <c r="T152">
        <f>HYPERLINK("https://klasma.github.io/Logging_0188/kartor/A 48288-2020 karta.png", "A 48288-2020")</f>
        <v/>
      </c>
      <c r="V152">
        <f>HYPERLINK("https://klasma.github.io/Logging_0188/klagomål/A 48288-2020 FSC-klagomål.docx", "A 48288-2020")</f>
        <v/>
      </c>
      <c r="W152">
        <f>HYPERLINK("https://klasma.github.io/Logging_0188/klagomålsmail/A 48288-2020 FSC-klagomål mail.docx", "A 48288-2020")</f>
        <v/>
      </c>
      <c r="X152">
        <f>HYPERLINK("https://klasma.github.io/Logging_0188/tillsyn/A 48288-2020 tillsynsbegäran.docx", "A 48288-2020")</f>
        <v/>
      </c>
      <c r="Y152">
        <f>HYPERLINK("https://klasma.github.io/Logging_0188/tillsynsmail/A 48288-2020 tillsynsbegäran mail.docx", "A 48288-2020")</f>
        <v/>
      </c>
    </row>
    <row r="153" ht="15" customHeight="1">
      <c r="A153" t="inlineStr">
        <is>
          <t>A 62846-2020</t>
        </is>
      </c>
      <c r="B153" s="1" t="n">
        <v>44161</v>
      </c>
      <c r="C153" s="1" t="n">
        <v>45827</v>
      </c>
      <c r="D153" t="inlineStr">
        <is>
          <t>STOCKHOLMS LÄN</t>
        </is>
      </c>
      <c r="E153" t="inlineStr">
        <is>
          <t>NORRTÄLJE</t>
        </is>
      </c>
      <c r="G153" t="n">
        <v>1.4</v>
      </c>
      <c r="H153" t="n">
        <v>1</v>
      </c>
      <c r="I153" t="n">
        <v>0</v>
      </c>
      <c r="J153" t="n">
        <v>0</v>
      </c>
      <c r="K153" t="n">
        <v>0</v>
      </c>
      <c r="L153" t="n">
        <v>0</v>
      </c>
      <c r="M153" t="n">
        <v>0</v>
      </c>
      <c r="N153" t="n">
        <v>0</v>
      </c>
      <c r="O153" t="n">
        <v>0</v>
      </c>
      <c r="P153" t="n">
        <v>0</v>
      </c>
      <c r="Q153" t="n">
        <v>1</v>
      </c>
      <c r="R153" s="2" t="inlineStr">
        <is>
          <t>Fläcknycklar</t>
        </is>
      </c>
      <c r="S153">
        <f>HYPERLINK("https://klasma.github.io/Logging_0188/artfynd/A 62846-2020 artfynd.xlsx", "A 62846-2020")</f>
        <v/>
      </c>
      <c r="T153">
        <f>HYPERLINK("https://klasma.github.io/Logging_0188/kartor/A 62846-2020 karta.png", "A 62846-2020")</f>
        <v/>
      </c>
      <c r="V153">
        <f>HYPERLINK("https://klasma.github.io/Logging_0188/klagomål/A 62846-2020 FSC-klagomål.docx", "A 62846-2020")</f>
        <v/>
      </c>
      <c r="W153">
        <f>HYPERLINK("https://klasma.github.io/Logging_0188/klagomålsmail/A 62846-2020 FSC-klagomål mail.docx", "A 62846-2020")</f>
        <v/>
      </c>
      <c r="X153">
        <f>HYPERLINK("https://klasma.github.io/Logging_0188/tillsyn/A 62846-2020 tillsynsbegäran.docx", "A 62846-2020")</f>
        <v/>
      </c>
      <c r="Y153">
        <f>HYPERLINK("https://klasma.github.io/Logging_0188/tillsynsmail/A 62846-2020 tillsynsbegäran mail.docx", "A 62846-2020")</f>
        <v/>
      </c>
    </row>
    <row r="154" ht="15" customHeight="1">
      <c r="A154" t="inlineStr">
        <is>
          <t>A 1162-2021</t>
        </is>
      </c>
      <c r="B154" s="1" t="n">
        <v>44207</v>
      </c>
      <c r="C154" s="1" t="n">
        <v>45827</v>
      </c>
      <c r="D154" t="inlineStr">
        <is>
          <t>STOCKHOLMS LÄN</t>
        </is>
      </c>
      <c r="E154" t="inlineStr">
        <is>
          <t>NORRTÄLJE</t>
        </is>
      </c>
      <c r="G154" t="n">
        <v>2.2</v>
      </c>
      <c r="H154" t="n">
        <v>1</v>
      </c>
      <c r="I154" t="n">
        <v>0</v>
      </c>
      <c r="J154" t="n">
        <v>0</v>
      </c>
      <c r="K154" t="n">
        <v>1</v>
      </c>
      <c r="L154" t="n">
        <v>0</v>
      </c>
      <c r="M154" t="n">
        <v>0</v>
      </c>
      <c r="N154" t="n">
        <v>0</v>
      </c>
      <c r="O154" t="n">
        <v>1</v>
      </c>
      <c r="P154" t="n">
        <v>1</v>
      </c>
      <c r="Q154" t="n">
        <v>1</v>
      </c>
      <c r="R154" s="2" t="inlineStr">
        <is>
          <t>Hällebräcka</t>
        </is>
      </c>
      <c r="S154">
        <f>HYPERLINK("https://klasma.github.io/Logging_0188/artfynd/A 1162-2021 artfynd.xlsx", "A 1162-2021")</f>
        <v/>
      </c>
      <c r="T154">
        <f>HYPERLINK("https://klasma.github.io/Logging_0188/kartor/A 1162-2021 karta.png", "A 1162-2021")</f>
        <v/>
      </c>
      <c r="V154">
        <f>HYPERLINK("https://klasma.github.io/Logging_0188/klagomål/A 1162-2021 FSC-klagomål.docx", "A 1162-2021")</f>
        <v/>
      </c>
      <c r="W154">
        <f>HYPERLINK("https://klasma.github.io/Logging_0188/klagomålsmail/A 1162-2021 FSC-klagomål mail.docx", "A 1162-2021")</f>
        <v/>
      </c>
      <c r="X154">
        <f>HYPERLINK("https://klasma.github.io/Logging_0188/tillsyn/A 1162-2021 tillsynsbegäran.docx", "A 1162-2021")</f>
        <v/>
      </c>
      <c r="Y154">
        <f>HYPERLINK("https://klasma.github.io/Logging_0188/tillsynsmail/A 1162-2021 tillsynsbegäran mail.docx", "A 1162-2021")</f>
        <v/>
      </c>
    </row>
    <row r="155" ht="15" customHeight="1">
      <c r="A155" t="inlineStr">
        <is>
          <t>A 30138-2021</t>
        </is>
      </c>
      <c r="B155" s="1" t="n">
        <v>44363</v>
      </c>
      <c r="C155" s="1" t="n">
        <v>45827</v>
      </c>
      <c r="D155" t="inlineStr">
        <is>
          <t>STOCKHOLMS LÄN</t>
        </is>
      </c>
      <c r="E155" t="inlineStr">
        <is>
          <t>NORRTÄLJE</t>
        </is>
      </c>
      <c r="G155" t="n">
        <v>4.5</v>
      </c>
      <c r="H155" t="n">
        <v>0</v>
      </c>
      <c r="I155" t="n">
        <v>1</v>
      </c>
      <c r="J155" t="n">
        <v>0</v>
      </c>
      <c r="K155" t="n">
        <v>0</v>
      </c>
      <c r="L155" t="n">
        <v>0</v>
      </c>
      <c r="M155" t="n">
        <v>0</v>
      </c>
      <c r="N155" t="n">
        <v>0</v>
      </c>
      <c r="O155" t="n">
        <v>0</v>
      </c>
      <c r="P155" t="n">
        <v>0</v>
      </c>
      <c r="Q155" t="n">
        <v>1</v>
      </c>
      <c r="R155" s="2" t="inlineStr">
        <is>
          <t>Vårärt</t>
        </is>
      </c>
      <c r="S155">
        <f>HYPERLINK("https://klasma.github.io/Logging_0188/artfynd/A 30138-2021 artfynd.xlsx", "A 30138-2021")</f>
        <v/>
      </c>
      <c r="T155">
        <f>HYPERLINK("https://klasma.github.io/Logging_0188/kartor/A 30138-2021 karta.png", "A 30138-2021")</f>
        <v/>
      </c>
      <c r="V155">
        <f>HYPERLINK("https://klasma.github.io/Logging_0188/klagomål/A 30138-2021 FSC-klagomål.docx", "A 30138-2021")</f>
        <v/>
      </c>
      <c r="W155">
        <f>HYPERLINK("https://klasma.github.io/Logging_0188/klagomålsmail/A 30138-2021 FSC-klagomål mail.docx", "A 30138-2021")</f>
        <v/>
      </c>
      <c r="X155">
        <f>HYPERLINK("https://klasma.github.io/Logging_0188/tillsyn/A 30138-2021 tillsynsbegäran.docx", "A 30138-2021")</f>
        <v/>
      </c>
      <c r="Y155">
        <f>HYPERLINK("https://klasma.github.io/Logging_0188/tillsynsmail/A 30138-2021 tillsynsbegäran mail.docx", "A 30138-2021")</f>
        <v/>
      </c>
    </row>
    <row r="156" ht="15" customHeight="1">
      <c r="A156" t="inlineStr">
        <is>
          <t>A 33302-2021</t>
        </is>
      </c>
      <c r="B156" s="1" t="n">
        <v>44377</v>
      </c>
      <c r="C156" s="1" t="n">
        <v>45827</v>
      </c>
      <c r="D156" t="inlineStr">
        <is>
          <t>STOCKHOLMS LÄN</t>
        </is>
      </c>
      <c r="E156" t="inlineStr">
        <is>
          <t>NORRTÄLJE</t>
        </is>
      </c>
      <c r="G156" t="n">
        <v>12.5</v>
      </c>
      <c r="H156" t="n">
        <v>1</v>
      </c>
      <c r="I156" t="n">
        <v>0</v>
      </c>
      <c r="J156" t="n">
        <v>1</v>
      </c>
      <c r="K156" t="n">
        <v>0</v>
      </c>
      <c r="L156" t="n">
        <v>0</v>
      </c>
      <c r="M156" t="n">
        <v>0</v>
      </c>
      <c r="N156" t="n">
        <v>0</v>
      </c>
      <c r="O156" t="n">
        <v>1</v>
      </c>
      <c r="P156" t="n">
        <v>0</v>
      </c>
      <c r="Q156" t="n">
        <v>1</v>
      </c>
      <c r="R156" s="2" t="inlineStr">
        <is>
          <t>Spillkråka</t>
        </is>
      </c>
      <c r="S156">
        <f>HYPERLINK("https://klasma.github.io/Logging_0188/artfynd/A 33302-2021 artfynd.xlsx", "A 33302-2021")</f>
        <v/>
      </c>
      <c r="T156">
        <f>HYPERLINK("https://klasma.github.io/Logging_0188/kartor/A 33302-2021 karta.png", "A 33302-2021")</f>
        <v/>
      </c>
      <c r="V156">
        <f>HYPERLINK("https://klasma.github.io/Logging_0188/klagomål/A 33302-2021 FSC-klagomål.docx", "A 33302-2021")</f>
        <v/>
      </c>
      <c r="W156">
        <f>HYPERLINK("https://klasma.github.io/Logging_0188/klagomålsmail/A 33302-2021 FSC-klagomål mail.docx", "A 33302-2021")</f>
        <v/>
      </c>
      <c r="X156">
        <f>HYPERLINK("https://klasma.github.io/Logging_0188/tillsyn/A 33302-2021 tillsynsbegäran.docx", "A 33302-2021")</f>
        <v/>
      </c>
      <c r="Y156">
        <f>HYPERLINK("https://klasma.github.io/Logging_0188/tillsynsmail/A 33302-2021 tillsynsbegäran mail.docx", "A 33302-2021")</f>
        <v/>
      </c>
      <c r="Z156">
        <f>HYPERLINK("https://klasma.github.io/Logging_0188/fåglar/A 33302-2021 prioriterade fågelarter.docx", "A 33302-2021")</f>
        <v/>
      </c>
    </row>
    <row r="157" ht="15" customHeight="1">
      <c r="A157" t="inlineStr">
        <is>
          <t>A 58888-2021</t>
        </is>
      </c>
      <c r="B157" s="1" t="n">
        <v>44489</v>
      </c>
      <c r="C157" s="1" t="n">
        <v>45827</v>
      </c>
      <c r="D157" t="inlineStr">
        <is>
          <t>STOCKHOLMS LÄN</t>
        </is>
      </c>
      <c r="E157" t="inlineStr">
        <is>
          <t>NORRTÄLJE</t>
        </is>
      </c>
      <c r="F157" t="inlineStr">
        <is>
          <t>Holmen skog AB</t>
        </is>
      </c>
      <c r="G157" t="n">
        <v>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58888-2021 artfynd.xlsx", "A 58888-2021")</f>
        <v/>
      </c>
      <c r="T157">
        <f>HYPERLINK("https://klasma.github.io/Logging_0188/kartor/A 58888-2021 karta.png", "A 58888-2021")</f>
        <v/>
      </c>
      <c r="V157">
        <f>HYPERLINK("https://klasma.github.io/Logging_0188/klagomål/A 58888-2021 FSC-klagomål.docx", "A 58888-2021")</f>
        <v/>
      </c>
      <c r="W157">
        <f>HYPERLINK("https://klasma.github.io/Logging_0188/klagomålsmail/A 58888-2021 FSC-klagomål mail.docx", "A 58888-2021")</f>
        <v/>
      </c>
      <c r="X157">
        <f>HYPERLINK("https://klasma.github.io/Logging_0188/tillsyn/A 58888-2021 tillsynsbegäran.docx", "A 58888-2021")</f>
        <v/>
      </c>
      <c r="Y157">
        <f>HYPERLINK("https://klasma.github.io/Logging_0188/tillsynsmail/A 58888-2021 tillsynsbegäran mail.docx", "A 58888-2021")</f>
        <v/>
      </c>
    </row>
    <row r="158" ht="15" customHeight="1">
      <c r="A158" t="inlineStr">
        <is>
          <t>A 68692-2021</t>
        </is>
      </c>
      <c r="B158" s="1" t="n">
        <v>44529</v>
      </c>
      <c r="C158" s="1" t="n">
        <v>45827</v>
      </c>
      <c r="D158" t="inlineStr">
        <is>
          <t>STOCKHOLMS LÄN</t>
        </is>
      </c>
      <c r="E158" t="inlineStr">
        <is>
          <t>NORRTÄLJE</t>
        </is>
      </c>
      <c r="F158" t="inlineStr">
        <is>
          <t>Holmen skog AB</t>
        </is>
      </c>
      <c r="G158" t="n">
        <v>0.7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68692-2021 artfynd.xlsx", "A 68692-2021")</f>
        <v/>
      </c>
      <c r="T158">
        <f>HYPERLINK("https://klasma.github.io/Logging_0188/kartor/A 68692-2021 karta.png", "A 68692-2021")</f>
        <v/>
      </c>
      <c r="V158">
        <f>HYPERLINK("https://klasma.github.io/Logging_0188/klagomål/A 68692-2021 FSC-klagomål.docx", "A 68692-2021")</f>
        <v/>
      </c>
      <c r="W158">
        <f>HYPERLINK("https://klasma.github.io/Logging_0188/klagomålsmail/A 68692-2021 FSC-klagomål mail.docx", "A 68692-2021")</f>
        <v/>
      </c>
      <c r="X158">
        <f>HYPERLINK("https://klasma.github.io/Logging_0188/tillsyn/A 68692-2021 tillsynsbegäran.docx", "A 68692-2021")</f>
        <v/>
      </c>
      <c r="Y158">
        <f>HYPERLINK("https://klasma.github.io/Logging_0188/tillsynsmail/A 68692-2021 tillsynsbegäran mail.docx", "A 68692-2021")</f>
        <v/>
      </c>
    </row>
    <row r="159" ht="15" customHeight="1">
      <c r="A159" t="inlineStr">
        <is>
          <t>A 188-2022</t>
        </is>
      </c>
      <c r="B159" s="1" t="n">
        <v>44564</v>
      </c>
      <c r="C159" s="1" t="n">
        <v>45827</v>
      </c>
      <c r="D159" t="inlineStr">
        <is>
          <t>STOCKHOLMS LÄN</t>
        </is>
      </c>
      <c r="E159" t="inlineStr">
        <is>
          <t>NORRTÄLJE</t>
        </is>
      </c>
      <c r="G159" t="n">
        <v>4.1</v>
      </c>
      <c r="H159" t="n">
        <v>0</v>
      </c>
      <c r="I159" t="n">
        <v>1</v>
      </c>
      <c r="J159" t="n">
        <v>0</v>
      </c>
      <c r="K159" t="n">
        <v>0</v>
      </c>
      <c r="L159" t="n">
        <v>0</v>
      </c>
      <c r="M159" t="n">
        <v>0</v>
      </c>
      <c r="N159" t="n">
        <v>0</v>
      </c>
      <c r="O159" t="n">
        <v>0</v>
      </c>
      <c r="P159" t="n">
        <v>0</v>
      </c>
      <c r="Q159" t="n">
        <v>1</v>
      </c>
      <c r="R159" s="2" t="inlineStr">
        <is>
          <t>Svart trolldruva</t>
        </is>
      </c>
      <c r="S159">
        <f>HYPERLINK("https://klasma.github.io/Logging_0188/artfynd/A 188-2022 artfynd.xlsx", "A 188-2022")</f>
        <v/>
      </c>
      <c r="T159">
        <f>HYPERLINK("https://klasma.github.io/Logging_0188/kartor/A 188-2022 karta.png", "A 188-2022")</f>
        <v/>
      </c>
      <c r="V159">
        <f>HYPERLINK("https://klasma.github.io/Logging_0188/klagomål/A 188-2022 FSC-klagomål.docx", "A 188-2022")</f>
        <v/>
      </c>
      <c r="W159">
        <f>HYPERLINK("https://klasma.github.io/Logging_0188/klagomålsmail/A 188-2022 FSC-klagomål mail.docx", "A 188-2022")</f>
        <v/>
      </c>
      <c r="X159">
        <f>HYPERLINK("https://klasma.github.io/Logging_0188/tillsyn/A 188-2022 tillsynsbegäran.docx", "A 188-2022")</f>
        <v/>
      </c>
      <c r="Y159">
        <f>HYPERLINK("https://klasma.github.io/Logging_0188/tillsynsmail/A 188-2022 tillsynsbegäran mail.docx", "A 188-2022")</f>
        <v/>
      </c>
    </row>
    <row r="160" ht="15" customHeight="1">
      <c r="A160" t="inlineStr">
        <is>
          <t>A 1547-2022</t>
        </is>
      </c>
      <c r="B160" s="1" t="n">
        <v>44573</v>
      </c>
      <c r="C160" s="1" t="n">
        <v>45827</v>
      </c>
      <c r="D160" t="inlineStr">
        <is>
          <t>STOCKHOLMS LÄN</t>
        </is>
      </c>
      <c r="E160" t="inlineStr">
        <is>
          <t>NORRTÄLJE</t>
        </is>
      </c>
      <c r="G160" t="n">
        <v>1.8</v>
      </c>
      <c r="H160" t="n">
        <v>1</v>
      </c>
      <c r="I160" t="n">
        <v>0</v>
      </c>
      <c r="J160" t="n">
        <v>0</v>
      </c>
      <c r="K160" t="n">
        <v>1</v>
      </c>
      <c r="L160" t="n">
        <v>0</v>
      </c>
      <c r="M160" t="n">
        <v>0</v>
      </c>
      <c r="N160" t="n">
        <v>0</v>
      </c>
      <c r="O160" t="n">
        <v>1</v>
      </c>
      <c r="P160" t="n">
        <v>1</v>
      </c>
      <c r="Q160" t="n">
        <v>1</v>
      </c>
      <c r="R160" s="2" t="inlineStr">
        <is>
          <t>Hällebräcka</t>
        </is>
      </c>
      <c r="S160">
        <f>HYPERLINK("https://klasma.github.io/Logging_0188/artfynd/A 1547-2022 artfynd.xlsx", "A 1547-2022")</f>
        <v/>
      </c>
      <c r="T160">
        <f>HYPERLINK("https://klasma.github.io/Logging_0188/kartor/A 1547-2022 karta.png", "A 1547-2022")</f>
        <v/>
      </c>
      <c r="V160">
        <f>HYPERLINK("https://klasma.github.io/Logging_0188/klagomål/A 1547-2022 FSC-klagomål.docx", "A 1547-2022")</f>
        <v/>
      </c>
      <c r="W160">
        <f>HYPERLINK("https://klasma.github.io/Logging_0188/klagomålsmail/A 1547-2022 FSC-klagomål mail.docx", "A 1547-2022")</f>
        <v/>
      </c>
      <c r="X160">
        <f>HYPERLINK("https://klasma.github.io/Logging_0188/tillsyn/A 1547-2022 tillsynsbegäran.docx", "A 1547-2022")</f>
        <v/>
      </c>
      <c r="Y160">
        <f>HYPERLINK("https://klasma.github.io/Logging_0188/tillsynsmail/A 1547-2022 tillsynsbegäran mail.docx", "A 1547-2022")</f>
        <v/>
      </c>
    </row>
    <row r="161" ht="15" customHeight="1">
      <c r="A161" t="inlineStr">
        <is>
          <t>A 7172-2022</t>
        </is>
      </c>
      <c r="B161" s="1" t="n">
        <v>44604</v>
      </c>
      <c r="C161" s="1" t="n">
        <v>45827</v>
      </c>
      <c r="D161" t="inlineStr">
        <is>
          <t>STOCKHOLMS LÄN</t>
        </is>
      </c>
      <c r="E161" t="inlineStr">
        <is>
          <t>NORRTÄLJE</t>
        </is>
      </c>
      <c r="G161" t="n">
        <v>4.8</v>
      </c>
      <c r="H161" t="n">
        <v>0</v>
      </c>
      <c r="I161" t="n">
        <v>1</v>
      </c>
      <c r="J161" t="n">
        <v>0</v>
      </c>
      <c r="K161" t="n">
        <v>0</v>
      </c>
      <c r="L161" t="n">
        <v>0</v>
      </c>
      <c r="M161" t="n">
        <v>0</v>
      </c>
      <c r="N161" t="n">
        <v>0</v>
      </c>
      <c r="O161" t="n">
        <v>0</v>
      </c>
      <c r="P161" t="n">
        <v>0</v>
      </c>
      <c r="Q161" t="n">
        <v>1</v>
      </c>
      <c r="R161" s="2" t="inlineStr">
        <is>
          <t>Trådticka</t>
        </is>
      </c>
      <c r="S161">
        <f>HYPERLINK("https://klasma.github.io/Logging_0188/artfynd/A 7172-2022 artfynd.xlsx", "A 7172-2022")</f>
        <v/>
      </c>
      <c r="T161">
        <f>HYPERLINK("https://klasma.github.io/Logging_0188/kartor/A 7172-2022 karta.png", "A 7172-2022")</f>
        <v/>
      </c>
      <c r="U161">
        <f>HYPERLINK("https://klasma.github.io/Logging_0188/knärot/A 7172-2022 karta knärot.png", "A 7172-2022")</f>
        <v/>
      </c>
      <c r="V161">
        <f>HYPERLINK("https://klasma.github.io/Logging_0188/klagomål/A 7172-2022 FSC-klagomål.docx", "A 7172-2022")</f>
        <v/>
      </c>
      <c r="W161">
        <f>HYPERLINK("https://klasma.github.io/Logging_0188/klagomålsmail/A 7172-2022 FSC-klagomål mail.docx", "A 7172-2022")</f>
        <v/>
      </c>
      <c r="X161">
        <f>HYPERLINK("https://klasma.github.io/Logging_0188/tillsyn/A 7172-2022 tillsynsbegäran.docx", "A 7172-2022")</f>
        <v/>
      </c>
      <c r="Y161">
        <f>HYPERLINK("https://klasma.github.io/Logging_0188/tillsynsmail/A 7172-2022 tillsynsbegäran mail.docx", "A 7172-2022")</f>
        <v/>
      </c>
    </row>
    <row r="162" ht="15" customHeight="1">
      <c r="A162" t="inlineStr">
        <is>
          <t>A 9955-2022</t>
        </is>
      </c>
      <c r="B162" s="1" t="n">
        <v>44620</v>
      </c>
      <c r="C162" s="1" t="n">
        <v>45827</v>
      </c>
      <c r="D162" t="inlineStr">
        <is>
          <t>STOCKHOLMS LÄN</t>
        </is>
      </c>
      <c r="E162" t="inlineStr">
        <is>
          <t>NORRTÄLJE</t>
        </is>
      </c>
      <c r="G162" t="n">
        <v>7.8</v>
      </c>
      <c r="H162" t="n">
        <v>1</v>
      </c>
      <c r="I162" t="n">
        <v>0</v>
      </c>
      <c r="J162" t="n">
        <v>0</v>
      </c>
      <c r="K162" t="n">
        <v>0</v>
      </c>
      <c r="L162" t="n">
        <v>0</v>
      </c>
      <c r="M162" t="n">
        <v>0</v>
      </c>
      <c r="N162" t="n">
        <v>0</v>
      </c>
      <c r="O162" t="n">
        <v>0</v>
      </c>
      <c r="P162" t="n">
        <v>0</v>
      </c>
      <c r="Q162" t="n">
        <v>1</v>
      </c>
      <c r="R162" s="2" t="inlineStr">
        <is>
          <t>Åkergroda</t>
        </is>
      </c>
      <c r="S162">
        <f>HYPERLINK("https://klasma.github.io/Logging_0188/artfynd/A 9955-2022 artfynd.xlsx", "A 9955-2022")</f>
        <v/>
      </c>
      <c r="T162">
        <f>HYPERLINK("https://klasma.github.io/Logging_0188/kartor/A 9955-2022 karta.png", "A 9955-2022")</f>
        <v/>
      </c>
      <c r="V162">
        <f>HYPERLINK("https://klasma.github.io/Logging_0188/klagomål/A 9955-2022 FSC-klagomål.docx", "A 9955-2022")</f>
        <v/>
      </c>
      <c r="W162">
        <f>HYPERLINK("https://klasma.github.io/Logging_0188/klagomålsmail/A 9955-2022 FSC-klagomål mail.docx", "A 9955-2022")</f>
        <v/>
      </c>
      <c r="X162">
        <f>HYPERLINK("https://klasma.github.io/Logging_0188/tillsyn/A 9955-2022 tillsynsbegäran.docx", "A 9955-2022")</f>
        <v/>
      </c>
      <c r="Y162">
        <f>HYPERLINK("https://klasma.github.io/Logging_0188/tillsynsmail/A 9955-2022 tillsynsbegäran mail.docx", "A 9955-2022")</f>
        <v/>
      </c>
    </row>
    <row r="163" ht="15" customHeight="1">
      <c r="A163" t="inlineStr">
        <is>
          <t>A 10712-2022</t>
        </is>
      </c>
      <c r="B163" s="1" t="n">
        <v>44626</v>
      </c>
      <c r="C163" s="1" t="n">
        <v>45827</v>
      </c>
      <c r="D163" t="inlineStr">
        <is>
          <t>STOCKHOLMS LÄN</t>
        </is>
      </c>
      <c r="E163" t="inlineStr">
        <is>
          <t>NORRTÄLJE</t>
        </is>
      </c>
      <c r="G163" t="n">
        <v>4.5</v>
      </c>
      <c r="H163" t="n">
        <v>1</v>
      </c>
      <c r="I163" t="n">
        <v>0</v>
      </c>
      <c r="J163" t="n">
        <v>0</v>
      </c>
      <c r="K163" t="n">
        <v>0</v>
      </c>
      <c r="L163" t="n">
        <v>0</v>
      </c>
      <c r="M163" t="n">
        <v>0</v>
      </c>
      <c r="N163" t="n">
        <v>0</v>
      </c>
      <c r="O163" t="n">
        <v>0</v>
      </c>
      <c r="P163" t="n">
        <v>0</v>
      </c>
      <c r="Q163" t="n">
        <v>1</v>
      </c>
      <c r="R163" s="2" t="inlineStr">
        <is>
          <t>Åkergroda</t>
        </is>
      </c>
      <c r="S163">
        <f>HYPERLINK("https://klasma.github.io/Logging_0188/artfynd/A 10712-2022 artfynd.xlsx", "A 10712-2022")</f>
        <v/>
      </c>
      <c r="T163">
        <f>HYPERLINK("https://klasma.github.io/Logging_0188/kartor/A 10712-2022 karta.png", "A 10712-2022")</f>
        <v/>
      </c>
      <c r="V163">
        <f>HYPERLINK("https://klasma.github.io/Logging_0188/klagomål/A 10712-2022 FSC-klagomål.docx", "A 10712-2022")</f>
        <v/>
      </c>
      <c r="W163">
        <f>HYPERLINK("https://klasma.github.io/Logging_0188/klagomålsmail/A 10712-2022 FSC-klagomål mail.docx", "A 10712-2022")</f>
        <v/>
      </c>
      <c r="X163">
        <f>HYPERLINK("https://klasma.github.io/Logging_0188/tillsyn/A 10712-2022 tillsynsbegäran.docx", "A 10712-2022")</f>
        <v/>
      </c>
      <c r="Y163">
        <f>HYPERLINK("https://klasma.github.io/Logging_0188/tillsynsmail/A 10712-2022 tillsynsbegäran mail.docx", "A 10712-2022")</f>
        <v/>
      </c>
    </row>
    <row r="164" ht="15" customHeight="1">
      <c r="A164" t="inlineStr">
        <is>
          <t>A 14720-2022</t>
        </is>
      </c>
      <c r="B164" s="1" t="n">
        <v>44656</v>
      </c>
      <c r="C164" s="1" t="n">
        <v>45827</v>
      </c>
      <c r="D164" t="inlineStr">
        <is>
          <t>STOCKHOLMS LÄN</t>
        </is>
      </c>
      <c r="E164" t="inlineStr">
        <is>
          <t>NORRTÄLJE</t>
        </is>
      </c>
      <c r="F164" t="inlineStr">
        <is>
          <t>Sveaskog</t>
        </is>
      </c>
      <c r="G164" t="n">
        <v>5.1</v>
      </c>
      <c r="H164" t="n">
        <v>0</v>
      </c>
      <c r="I164" t="n">
        <v>0</v>
      </c>
      <c r="J164" t="n">
        <v>1</v>
      </c>
      <c r="K164" t="n">
        <v>0</v>
      </c>
      <c r="L164" t="n">
        <v>0</v>
      </c>
      <c r="M164" t="n">
        <v>0</v>
      </c>
      <c r="N164" t="n">
        <v>0</v>
      </c>
      <c r="O164" t="n">
        <v>1</v>
      </c>
      <c r="P164" t="n">
        <v>0</v>
      </c>
      <c r="Q164" t="n">
        <v>1</v>
      </c>
      <c r="R164" s="2" t="inlineStr">
        <is>
          <t>Loppstarr</t>
        </is>
      </c>
      <c r="S164">
        <f>HYPERLINK("https://klasma.github.io/Logging_0188/artfynd/A 14720-2022 artfynd.xlsx", "A 14720-2022")</f>
        <v/>
      </c>
      <c r="T164">
        <f>HYPERLINK("https://klasma.github.io/Logging_0188/kartor/A 14720-2022 karta.png", "A 14720-2022")</f>
        <v/>
      </c>
      <c r="V164">
        <f>HYPERLINK("https://klasma.github.io/Logging_0188/klagomål/A 14720-2022 FSC-klagomål.docx", "A 14720-2022")</f>
        <v/>
      </c>
      <c r="W164">
        <f>HYPERLINK("https://klasma.github.io/Logging_0188/klagomålsmail/A 14720-2022 FSC-klagomål mail.docx", "A 14720-2022")</f>
        <v/>
      </c>
      <c r="X164">
        <f>HYPERLINK("https://klasma.github.io/Logging_0188/tillsyn/A 14720-2022 tillsynsbegäran.docx", "A 14720-2022")</f>
        <v/>
      </c>
      <c r="Y164">
        <f>HYPERLINK("https://klasma.github.io/Logging_0188/tillsynsmail/A 14720-2022 tillsynsbegäran mail.docx", "A 14720-2022")</f>
        <v/>
      </c>
    </row>
    <row r="165" ht="15" customHeight="1">
      <c r="A165" t="inlineStr">
        <is>
          <t>A 16539-2022</t>
        </is>
      </c>
      <c r="B165" s="1" t="n">
        <v>44672</v>
      </c>
      <c r="C165" s="1" t="n">
        <v>45827</v>
      </c>
      <c r="D165" t="inlineStr">
        <is>
          <t>STOCKHOLMS LÄN</t>
        </is>
      </c>
      <c r="E165" t="inlineStr">
        <is>
          <t>NORRTÄLJE</t>
        </is>
      </c>
      <c r="G165" t="n">
        <v>8.6</v>
      </c>
      <c r="H165" t="n">
        <v>1</v>
      </c>
      <c r="I165" t="n">
        <v>1</v>
      </c>
      <c r="J165" t="n">
        <v>0</v>
      </c>
      <c r="K165" t="n">
        <v>0</v>
      </c>
      <c r="L165" t="n">
        <v>0</v>
      </c>
      <c r="M165" t="n">
        <v>0</v>
      </c>
      <c r="N165" t="n">
        <v>0</v>
      </c>
      <c r="O165" t="n">
        <v>0</v>
      </c>
      <c r="P165" t="n">
        <v>0</v>
      </c>
      <c r="Q165" t="n">
        <v>1</v>
      </c>
      <c r="R165" s="2" t="inlineStr">
        <is>
          <t>Nästrot</t>
        </is>
      </c>
      <c r="S165">
        <f>HYPERLINK("https://klasma.github.io/Logging_0188/artfynd/A 16539-2022 artfynd.xlsx", "A 16539-2022")</f>
        <v/>
      </c>
      <c r="T165">
        <f>HYPERLINK("https://klasma.github.io/Logging_0188/kartor/A 16539-2022 karta.png", "A 16539-2022")</f>
        <v/>
      </c>
      <c r="V165">
        <f>HYPERLINK("https://klasma.github.io/Logging_0188/klagomål/A 16539-2022 FSC-klagomål.docx", "A 16539-2022")</f>
        <v/>
      </c>
      <c r="W165">
        <f>HYPERLINK("https://klasma.github.io/Logging_0188/klagomålsmail/A 16539-2022 FSC-klagomål mail.docx", "A 16539-2022")</f>
        <v/>
      </c>
      <c r="X165">
        <f>HYPERLINK("https://klasma.github.io/Logging_0188/tillsyn/A 16539-2022 tillsynsbegäran.docx", "A 16539-2022")</f>
        <v/>
      </c>
      <c r="Y165">
        <f>HYPERLINK("https://klasma.github.io/Logging_0188/tillsynsmail/A 16539-2022 tillsynsbegäran mail.docx", "A 16539-2022")</f>
        <v/>
      </c>
    </row>
    <row r="166" ht="15" customHeight="1">
      <c r="A166" t="inlineStr">
        <is>
          <t>A 19829-2022</t>
        </is>
      </c>
      <c r="B166" s="1" t="n">
        <v>44695</v>
      </c>
      <c r="C166" s="1" t="n">
        <v>45827</v>
      </c>
      <c r="D166" t="inlineStr">
        <is>
          <t>STOCKHOLMS LÄN</t>
        </is>
      </c>
      <c r="E166" t="inlineStr">
        <is>
          <t>NORRTÄLJE</t>
        </is>
      </c>
      <c r="G166" t="n">
        <v>2</v>
      </c>
      <c r="H166" t="n">
        <v>1</v>
      </c>
      <c r="I166" t="n">
        <v>1</v>
      </c>
      <c r="J166" t="n">
        <v>0</v>
      </c>
      <c r="K166" t="n">
        <v>0</v>
      </c>
      <c r="L166" t="n">
        <v>0</v>
      </c>
      <c r="M166" t="n">
        <v>0</v>
      </c>
      <c r="N166" t="n">
        <v>0</v>
      </c>
      <c r="O166" t="n">
        <v>0</v>
      </c>
      <c r="P166" t="n">
        <v>0</v>
      </c>
      <c r="Q166" t="n">
        <v>1</v>
      </c>
      <c r="R166" s="2" t="inlineStr">
        <is>
          <t>Guckusko</t>
        </is>
      </c>
      <c r="S166">
        <f>HYPERLINK("https://klasma.github.io/Logging_0188/artfynd/A 19829-2022 artfynd.xlsx", "A 19829-2022")</f>
        <v/>
      </c>
      <c r="T166">
        <f>HYPERLINK("https://klasma.github.io/Logging_0188/kartor/A 19829-2022 karta.png", "A 19829-2022")</f>
        <v/>
      </c>
      <c r="V166">
        <f>HYPERLINK("https://klasma.github.io/Logging_0188/klagomål/A 19829-2022 FSC-klagomål.docx", "A 19829-2022")</f>
        <v/>
      </c>
      <c r="W166">
        <f>HYPERLINK("https://klasma.github.io/Logging_0188/klagomålsmail/A 19829-2022 FSC-klagomål mail.docx", "A 19829-2022")</f>
        <v/>
      </c>
      <c r="X166">
        <f>HYPERLINK("https://klasma.github.io/Logging_0188/tillsyn/A 19829-2022 tillsynsbegäran.docx", "A 19829-2022")</f>
        <v/>
      </c>
      <c r="Y166">
        <f>HYPERLINK("https://klasma.github.io/Logging_0188/tillsynsmail/A 19829-2022 tillsynsbegäran mail.docx", "A 19829-2022")</f>
        <v/>
      </c>
    </row>
    <row r="167" ht="15" customHeight="1">
      <c r="A167" t="inlineStr">
        <is>
          <t>A 21150-2022</t>
        </is>
      </c>
      <c r="B167" s="1" t="n">
        <v>44704</v>
      </c>
      <c r="C167" s="1" t="n">
        <v>45827</v>
      </c>
      <c r="D167" t="inlineStr">
        <is>
          <t>STOCKHOLMS LÄN</t>
        </is>
      </c>
      <c r="E167" t="inlineStr">
        <is>
          <t>NORRTÄLJE</t>
        </is>
      </c>
      <c r="G167" t="n">
        <v>12.5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21150-2022 artfynd.xlsx", "A 21150-2022")</f>
        <v/>
      </c>
      <c r="T167">
        <f>HYPERLINK("https://klasma.github.io/Logging_0188/kartor/A 21150-2022 karta.png", "A 21150-2022")</f>
        <v/>
      </c>
      <c r="V167">
        <f>HYPERLINK("https://klasma.github.io/Logging_0188/klagomål/A 21150-2022 FSC-klagomål.docx", "A 21150-2022")</f>
        <v/>
      </c>
      <c r="W167">
        <f>HYPERLINK("https://klasma.github.io/Logging_0188/klagomålsmail/A 21150-2022 FSC-klagomål mail.docx", "A 21150-2022")</f>
        <v/>
      </c>
      <c r="X167">
        <f>HYPERLINK("https://klasma.github.io/Logging_0188/tillsyn/A 21150-2022 tillsynsbegäran.docx", "A 21150-2022")</f>
        <v/>
      </c>
      <c r="Y167">
        <f>HYPERLINK("https://klasma.github.io/Logging_0188/tillsynsmail/A 21150-2022 tillsynsbegäran mail.docx", "A 21150-2022")</f>
        <v/>
      </c>
    </row>
    <row r="168" ht="15" customHeight="1">
      <c r="A168" t="inlineStr">
        <is>
          <t>A 31194-2022</t>
        </is>
      </c>
      <c r="B168" s="1" t="n">
        <v>44770</v>
      </c>
      <c r="C168" s="1" t="n">
        <v>45827</v>
      </c>
      <c r="D168" t="inlineStr">
        <is>
          <t>STOCKHOLMS LÄN</t>
        </is>
      </c>
      <c r="E168" t="inlineStr">
        <is>
          <t>NORRTÄLJE</t>
        </is>
      </c>
      <c r="G168" t="n">
        <v>2.7</v>
      </c>
      <c r="H168" t="n">
        <v>1</v>
      </c>
      <c r="I168" t="n">
        <v>0</v>
      </c>
      <c r="J168" t="n">
        <v>0</v>
      </c>
      <c r="K168" t="n">
        <v>0</v>
      </c>
      <c r="L168" t="n">
        <v>1</v>
      </c>
      <c r="M168" t="n">
        <v>0</v>
      </c>
      <c r="N168" t="n">
        <v>0</v>
      </c>
      <c r="O168" t="n">
        <v>1</v>
      </c>
      <c r="P168" t="n">
        <v>1</v>
      </c>
      <c r="Q168" t="n">
        <v>1</v>
      </c>
      <c r="R168" s="2" t="inlineStr">
        <is>
          <t>Asknätfjäril</t>
        </is>
      </c>
      <c r="S168">
        <f>HYPERLINK("https://klasma.github.io/Logging_0188/artfynd/A 31194-2022 artfynd.xlsx", "A 31194-2022")</f>
        <v/>
      </c>
      <c r="T168">
        <f>HYPERLINK("https://klasma.github.io/Logging_0188/kartor/A 31194-2022 karta.png", "A 31194-2022")</f>
        <v/>
      </c>
      <c r="V168">
        <f>HYPERLINK("https://klasma.github.io/Logging_0188/klagomål/A 31194-2022 FSC-klagomål.docx", "A 31194-2022")</f>
        <v/>
      </c>
      <c r="W168">
        <f>HYPERLINK("https://klasma.github.io/Logging_0188/klagomålsmail/A 31194-2022 FSC-klagomål mail.docx", "A 31194-2022")</f>
        <v/>
      </c>
      <c r="X168">
        <f>HYPERLINK("https://klasma.github.io/Logging_0188/tillsyn/A 31194-2022 tillsynsbegäran.docx", "A 31194-2022")</f>
        <v/>
      </c>
      <c r="Y168">
        <f>HYPERLINK("https://klasma.github.io/Logging_0188/tillsynsmail/A 31194-2022 tillsynsbegäran mail.docx", "A 31194-2022")</f>
        <v/>
      </c>
    </row>
    <row r="169" ht="15" customHeight="1">
      <c r="A169" t="inlineStr">
        <is>
          <t>A 33477-2022</t>
        </is>
      </c>
      <c r="B169" s="1" t="n">
        <v>44788</v>
      </c>
      <c r="C169" s="1" t="n">
        <v>45827</v>
      </c>
      <c r="D169" t="inlineStr">
        <is>
          <t>STOCKHOLMS LÄN</t>
        </is>
      </c>
      <c r="E169" t="inlineStr">
        <is>
          <t>NORRTÄLJE</t>
        </is>
      </c>
      <c r="G169" t="n">
        <v>5.7</v>
      </c>
      <c r="H169" t="n">
        <v>1</v>
      </c>
      <c r="I169" t="n">
        <v>1</v>
      </c>
      <c r="J169" t="n">
        <v>0</v>
      </c>
      <c r="K169" t="n">
        <v>0</v>
      </c>
      <c r="L169" t="n">
        <v>0</v>
      </c>
      <c r="M169" t="n">
        <v>0</v>
      </c>
      <c r="N169" t="n">
        <v>0</v>
      </c>
      <c r="O169" t="n">
        <v>0</v>
      </c>
      <c r="P169" t="n">
        <v>0</v>
      </c>
      <c r="Q169" t="n">
        <v>1</v>
      </c>
      <c r="R169" s="2" t="inlineStr">
        <is>
          <t>Nästrot</t>
        </is>
      </c>
      <c r="S169">
        <f>HYPERLINK("https://klasma.github.io/Logging_0188/artfynd/A 33477-2022 artfynd.xlsx", "A 33477-2022")</f>
        <v/>
      </c>
      <c r="T169">
        <f>HYPERLINK("https://klasma.github.io/Logging_0188/kartor/A 33477-2022 karta.png", "A 33477-2022")</f>
        <v/>
      </c>
      <c r="V169">
        <f>HYPERLINK("https://klasma.github.io/Logging_0188/klagomål/A 33477-2022 FSC-klagomål.docx", "A 33477-2022")</f>
        <v/>
      </c>
      <c r="W169">
        <f>HYPERLINK("https://klasma.github.io/Logging_0188/klagomålsmail/A 33477-2022 FSC-klagomål mail.docx", "A 33477-2022")</f>
        <v/>
      </c>
      <c r="X169">
        <f>HYPERLINK("https://klasma.github.io/Logging_0188/tillsyn/A 33477-2022 tillsynsbegäran.docx", "A 33477-2022")</f>
        <v/>
      </c>
      <c r="Y169">
        <f>HYPERLINK("https://klasma.github.io/Logging_0188/tillsynsmail/A 33477-2022 tillsynsbegäran mail.docx", "A 33477-2022")</f>
        <v/>
      </c>
    </row>
    <row r="170" ht="15" customHeight="1">
      <c r="A170" t="inlineStr">
        <is>
          <t>A 37522-2022</t>
        </is>
      </c>
      <c r="B170" s="1" t="n">
        <v>44809</v>
      </c>
      <c r="C170" s="1" t="n">
        <v>45827</v>
      </c>
      <c r="D170" t="inlineStr">
        <is>
          <t>STOCKHOLMS LÄN</t>
        </is>
      </c>
      <c r="E170" t="inlineStr">
        <is>
          <t>NORRTÄLJE</t>
        </is>
      </c>
      <c r="G170" t="n">
        <v>2.4</v>
      </c>
      <c r="H170" t="n">
        <v>1</v>
      </c>
      <c r="I170" t="n">
        <v>0</v>
      </c>
      <c r="J170" t="n">
        <v>0</v>
      </c>
      <c r="K170" t="n">
        <v>0</v>
      </c>
      <c r="L170" t="n">
        <v>0</v>
      </c>
      <c r="M170" t="n">
        <v>0</v>
      </c>
      <c r="N170" t="n">
        <v>0</v>
      </c>
      <c r="O170" t="n">
        <v>0</v>
      </c>
      <c r="P170" t="n">
        <v>0</v>
      </c>
      <c r="Q170" t="n">
        <v>1</v>
      </c>
      <c r="R170" s="2" t="inlineStr">
        <is>
          <t>Blåsippa</t>
        </is>
      </c>
      <c r="S170">
        <f>HYPERLINK("https://klasma.github.io/Logging_0188/artfynd/A 37522-2022 artfynd.xlsx", "A 37522-2022")</f>
        <v/>
      </c>
      <c r="T170">
        <f>HYPERLINK("https://klasma.github.io/Logging_0188/kartor/A 37522-2022 karta.png", "A 37522-2022")</f>
        <v/>
      </c>
      <c r="V170">
        <f>HYPERLINK("https://klasma.github.io/Logging_0188/klagomål/A 37522-2022 FSC-klagomål.docx", "A 37522-2022")</f>
        <v/>
      </c>
      <c r="W170">
        <f>HYPERLINK("https://klasma.github.io/Logging_0188/klagomålsmail/A 37522-2022 FSC-klagomål mail.docx", "A 37522-2022")</f>
        <v/>
      </c>
      <c r="X170">
        <f>HYPERLINK("https://klasma.github.io/Logging_0188/tillsyn/A 37522-2022 tillsynsbegäran.docx", "A 37522-2022")</f>
        <v/>
      </c>
      <c r="Y170">
        <f>HYPERLINK("https://klasma.github.io/Logging_0188/tillsynsmail/A 37522-2022 tillsynsbegäran mail.docx", "A 37522-2022")</f>
        <v/>
      </c>
    </row>
    <row r="171" ht="15" customHeight="1">
      <c r="A171" t="inlineStr">
        <is>
          <t>A 39318-2022</t>
        </is>
      </c>
      <c r="B171" s="1" t="n">
        <v>44817</v>
      </c>
      <c r="C171" s="1" t="n">
        <v>45827</v>
      </c>
      <c r="D171" t="inlineStr">
        <is>
          <t>STOCKHOLMS LÄN</t>
        </is>
      </c>
      <c r="E171" t="inlineStr">
        <is>
          <t>NORRTÄLJE</t>
        </is>
      </c>
      <c r="G171" t="n">
        <v>2.4</v>
      </c>
      <c r="H171" t="n">
        <v>1</v>
      </c>
      <c r="I171" t="n">
        <v>0</v>
      </c>
      <c r="J171" t="n">
        <v>0</v>
      </c>
      <c r="K171" t="n">
        <v>1</v>
      </c>
      <c r="L171" t="n">
        <v>0</v>
      </c>
      <c r="M171" t="n">
        <v>0</v>
      </c>
      <c r="N171" t="n">
        <v>0</v>
      </c>
      <c r="O171" t="n">
        <v>1</v>
      </c>
      <c r="P171" t="n">
        <v>1</v>
      </c>
      <c r="Q171" t="n">
        <v>1</v>
      </c>
      <c r="R171" s="2" t="inlineStr">
        <is>
          <t>Stare</t>
        </is>
      </c>
      <c r="S171">
        <f>HYPERLINK("https://klasma.github.io/Logging_0188/artfynd/A 39318-2022 artfynd.xlsx", "A 39318-2022")</f>
        <v/>
      </c>
      <c r="T171">
        <f>HYPERLINK("https://klasma.github.io/Logging_0188/kartor/A 39318-2022 karta.png", "A 39318-2022")</f>
        <v/>
      </c>
      <c r="V171">
        <f>HYPERLINK("https://klasma.github.io/Logging_0188/klagomål/A 39318-2022 FSC-klagomål.docx", "A 39318-2022")</f>
        <v/>
      </c>
      <c r="W171">
        <f>HYPERLINK("https://klasma.github.io/Logging_0188/klagomålsmail/A 39318-2022 FSC-klagomål mail.docx", "A 39318-2022")</f>
        <v/>
      </c>
      <c r="X171">
        <f>HYPERLINK("https://klasma.github.io/Logging_0188/tillsyn/A 39318-2022 tillsynsbegäran.docx", "A 39318-2022")</f>
        <v/>
      </c>
      <c r="Y171">
        <f>HYPERLINK("https://klasma.github.io/Logging_0188/tillsynsmail/A 39318-2022 tillsynsbegäran mail.docx", "A 39318-2022")</f>
        <v/>
      </c>
    </row>
    <row r="172" ht="15" customHeight="1">
      <c r="A172" t="inlineStr">
        <is>
          <t>A 40672-2022</t>
        </is>
      </c>
      <c r="B172" s="1" t="n">
        <v>44824</v>
      </c>
      <c r="C172" s="1" t="n">
        <v>45827</v>
      </c>
      <c r="D172" t="inlineStr">
        <is>
          <t>STOCKHOLMS LÄN</t>
        </is>
      </c>
      <c r="E172" t="inlineStr">
        <is>
          <t>NORRTÄLJE</t>
        </is>
      </c>
      <c r="F172" t="inlineStr">
        <is>
          <t>Övriga Aktiebolag</t>
        </is>
      </c>
      <c r="G172" t="n">
        <v>1.3</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40672-2022 artfynd.xlsx", "A 40672-2022")</f>
        <v/>
      </c>
      <c r="T172">
        <f>HYPERLINK("https://klasma.github.io/Logging_0188/kartor/A 40672-2022 karta.png", "A 40672-2022")</f>
        <v/>
      </c>
      <c r="V172">
        <f>HYPERLINK("https://klasma.github.io/Logging_0188/klagomål/A 40672-2022 FSC-klagomål.docx", "A 40672-2022")</f>
        <v/>
      </c>
      <c r="W172">
        <f>HYPERLINK("https://klasma.github.io/Logging_0188/klagomålsmail/A 40672-2022 FSC-klagomål mail.docx", "A 40672-2022")</f>
        <v/>
      </c>
      <c r="X172">
        <f>HYPERLINK("https://klasma.github.io/Logging_0188/tillsyn/A 40672-2022 tillsynsbegäran.docx", "A 40672-2022")</f>
        <v/>
      </c>
      <c r="Y172">
        <f>HYPERLINK("https://klasma.github.io/Logging_0188/tillsynsmail/A 40672-2022 tillsynsbegäran mail.docx", "A 40672-2022")</f>
        <v/>
      </c>
    </row>
    <row r="173" ht="15" customHeight="1">
      <c r="A173" t="inlineStr">
        <is>
          <t>A 47898-2022</t>
        </is>
      </c>
      <c r="B173" s="1" t="n">
        <v>44855</v>
      </c>
      <c r="C173" s="1" t="n">
        <v>45827</v>
      </c>
      <c r="D173" t="inlineStr">
        <is>
          <t>STOCKHOLMS LÄN</t>
        </is>
      </c>
      <c r="E173" t="inlineStr">
        <is>
          <t>NORRTÄLJE</t>
        </is>
      </c>
      <c r="G173" t="n">
        <v>6.7</v>
      </c>
      <c r="H173" t="n">
        <v>1</v>
      </c>
      <c r="I173" t="n">
        <v>1</v>
      </c>
      <c r="J173" t="n">
        <v>0</v>
      </c>
      <c r="K173" t="n">
        <v>0</v>
      </c>
      <c r="L173" t="n">
        <v>0</v>
      </c>
      <c r="M173" t="n">
        <v>0</v>
      </c>
      <c r="N173" t="n">
        <v>0</v>
      </c>
      <c r="O173" t="n">
        <v>0</v>
      </c>
      <c r="P173" t="n">
        <v>0</v>
      </c>
      <c r="Q173" t="n">
        <v>1</v>
      </c>
      <c r="R173" s="2" t="inlineStr">
        <is>
          <t>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50854-2022</t>
        </is>
      </c>
      <c r="B174" s="1" t="n">
        <v>44863</v>
      </c>
      <c r="C174" s="1" t="n">
        <v>45827</v>
      </c>
      <c r="D174" t="inlineStr">
        <is>
          <t>STOCKHOLMS LÄN</t>
        </is>
      </c>
      <c r="E174" t="inlineStr">
        <is>
          <t>NORRTÄLJE</t>
        </is>
      </c>
      <c r="G174" t="n">
        <v>2.9</v>
      </c>
      <c r="H174" t="n">
        <v>0</v>
      </c>
      <c r="I174" t="n">
        <v>1</v>
      </c>
      <c r="J174" t="n">
        <v>0</v>
      </c>
      <c r="K174" t="n">
        <v>0</v>
      </c>
      <c r="L174" t="n">
        <v>0</v>
      </c>
      <c r="M174" t="n">
        <v>0</v>
      </c>
      <c r="N174" t="n">
        <v>0</v>
      </c>
      <c r="O174" t="n">
        <v>0</v>
      </c>
      <c r="P174" t="n">
        <v>0</v>
      </c>
      <c r="Q174" t="n">
        <v>1</v>
      </c>
      <c r="R174" s="2" t="inlineStr">
        <is>
          <t>Tibast</t>
        </is>
      </c>
      <c r="S174">
        <f>HYPERLINK("https://klasma.github.io/Logging_0188/artfynd/A 50854-2022 artfynd.xlsx", "A 50854-2022")</f>
        <v/>
      </c>
      <c r="T174">
        <f>HYPERLINK("https://klasma.github.io/Logging_0188/kartor/A 50854-2022 karta.png", "A 50854-2022")</f>
        <v/>
      </c>
      <c r="V174">
        <f>HYPERLINK("https://klasma.github.io/Logging_0188/klagomål/A 50854-2022 FSC-klagomål.docx", "A 50854-2022")</f>
        <v/>
      </c>
      <c r="W174">
        <f>HYPERLINK("https://klasma.github.io/Logging_0188/klagomålsmail/A 50854-2022 FSC-klagomål mail.docx", "A 50854-2022")</f>
        <v/>
      </c>
      <c r="X174">
        <f>HYPERLINK("https://klasma.github.io/Logging_0188/tillsyn/A 50854-2022 tillsynsbegäran.docx", "A 50854-2022")</f>
        <v/>
      </c>
      <c r="Y174">
        <f>HYPERLINK("https://klasma.github.io/Logging_0188/tillsynsmail/A 50854-2022 tillsynsbegäran mail.docx", "A 50854-2022")</f>
        <v/>
      </c>
    </row>
    <row r="175" ht="15" customHeight="1">
      <c r="A175" t="inlineStr">
        <is>
          <t>A 52130-2022</t>
        </is>
      </c>
      <c r="B175" s="1" t="n">
        <v>44868</v>
      </c>
      <c r="C175" s="1" t="n">
        <v>45827</v>
      </c>
      <c r="D175" t="inlineStr">
        <is>
          <t>STOCKHOLMS LÄN</t>
        </is>
      </c>
      <c r="E175" t="inlineStr">
        <is>
          <t>NORRTÄLJE</t>
        </is>
      </c>
      <c r="G175" t="n">
        <v>3.7</v>
      </c>
      <c r="H175" t="n">
        <v>0</v>
      </c>
      <c r="I175" t="n">
        <v>0</v>
      </c>
      <c r="J175" t="n">
        <v>1</v>
      </c>
      <c r="K175" t="n">
        <v>0</v>
      </c>
      <c r="L175" t="n">
        <v>0</v>
      </c>
      <c r="M175" t="n">
        <v>0</v>
      </c>
      <c r="N175" t="n">
        <v>0</v>
      </c>
      <c r="O175" t="n">
        <v>1</v>
      </c>
      <c r="P175" t="n">
        <v>0</v>
      </c>
      <c r="Q175" t="n">
        <v>1</v>
      </c>
      <c r="R175" s="2" t="inlineStr">
        <is>
          <t>Flattoppad klubbsvamp</t>
        </is>
      </c>
      <c r="S175">
        <f>HYPERLINK("https://klasma.github.io/Logging_0188/artfynd/A 52130-2022 artfynd.xlsx", "A 52130-2022")</f>
        <v/>
      </c>
      <c r="T175">
        <f>HYPERLINK("https://klasma.github.io/Logging_0188/kartor/A 52130-2022 karta.png", "A 52130-2022")</f>
        <v/>
      </c>
      <c r="V175">
        <f>HYPERLINK("https://klasma.github.io/Logging_0188/klagomål/A 52130-2022 FSC-klagomål.docx", "A 52130-2022")</f>
        <v/>
      </c>
      <c r="W175">
        <f>HYPERLINK("https://klasma.github.io/Logging_0188/klagomålsmail/A 52130-2022 FSC-klagomål mail.docx", "A 52130-2022")</f>
        <v/>
      </c>
      <c r="X175">
        <f>HYPERLINK("https://klasma.github.io/Logging_0188/tillsyn/A 52130-2022 tillsynsbegäran.docx", "A 52130-2022")</f>
        <v/>
      </c>
      <c r="Y175">
        <f>HYPERLINK("https://klasma.github.io/Logging_0188/tillsynsmail/A 52130-2022 tillsynsbegäran mail.docx", "A 52130-2022")</f>
        <v/>
      </c>
    </row>
    <row r="176" ht="15" customHeight="1">
      <c r="A176" t="inlineStr">
        <is>
          <t>A 61011-2022</t>
        </is>
      </c>
      <c r="B176" s="1" t="n">
        <v>44914</v>
      </c>
      <c r="C176" s="1" t="n">
        <v>45827</v>
      </c>
      <c r="D176" t="inlineStr">
        <is>
          <t>STOCKHOLMS LÄN</t>
        </is>
      </c>
      <c r="E176" t="inlineStr">
        <is>
          <t>NORRTÄLJE</t>
        </is>
      </c>
      <c r="G176" t="n">
        <v>2.2</v>
      </c>
      <c r="H176" t="n">
        <v>0</v>
      </c>
      <c r="I176" t="n">
        <v>0</v>
      </c>
      <c r="J176" t="n">
        <v>1</v>
      </c>
      <c r="K176" t="n">
        <v>0</v>
      </c>
      <c r="L176" t="n">
        <v>0</v>
      </c>
      <c r="M176" t="n">
        <v>0</v>
      </c>
      <c r="N176" t="n">
        <v>0</v>
      </c>
      <c r="O176" t="n">
        <v>1</v>
      </c>
      <c r="P176" t="n">
        <v>0</v>
      </c>
      <c r="Q176" t="n">
        <v>1</v>
      </c>
      <c r="R176" s="2" t="inlineStr">
        <is>
          <t>Orange taggsvamp</t>
        </is>
      </c>
      <c r="S176">
        <f>HYPERLINK("https://klasma.github.io/Logging_0188/artfynd/A 61011-2022 artfynd.xlsx", "A 61011-2022")</f>
        <v/>
      </c>
      <c r="T176">
        <f>HYPERLINK("https://klasma.github.io/Logging_0188/kartor/A 61011-2022 karta.png", "A 61011-2022")</f>
        <v/>
      </c>
      <c r="V176">
        <f>HYPERLINK("https://klasma.github.io/Logging_0188/klagomål/A 61011-2022 FSC-klagomål.docx", "A 61011-2022")</f>
        <v/>
      </c>
      <c r="W176">
        <f>HYPERLINK("https://klasma.github.io/Logging_0188/klagomålsmail/A 61011-2022 FSC-klagomål mail.docx", "A 61011-2022")</f>
        <v/>
      </c>
      <c r="X176">
        <f>HYPERLINK("https://klasma.github.io/Logging_0188/tillsyn/A 61011-2022 tillsynsbegäran.docx", "A 61011-2022")</f>
        <v/>
      </c>
      <c r="Y176">
        <f>HYPERLINK("https://klasma.github.io/Logging_0188/tillsynsmail/A 61011-2022 tillsynsbegäran mail.docx", "A 61011-2022")</f>
        <v/>
      </c>
    </row>
    <row r="177" ht="15" customHeight="1">
      <c r="A177" t="inlineStr">
        <is>
          <t>A 4385-2023</t>
        </is>
      </c>
      <c r="B177" s="1" t="n">
        <v>44955</v>
      </c>
      <c r="C177" s="1" t="n">
        <v>45827</v>
      </c>
      <c r="D177" t="inlineStr">
        <is>
          <t>STOCKHOLMS LÄN</t>
        </is>
      </c>
      <c r="E177" t="inlineStr">
        <is>
          <t>NORRTÄLJE</t>
        </is>
      </c>
      <c r="G177" t="n">
        <v>7.8</v>
      </c>
      <c r="H177" t="n">
        <v>1</v>
      </c>
      <c r="I177" t="n">
        <v>1</v>
      </c>
      <c r="J177" t="n">
        <v>0</v>
      </c>
      <c r="K177" t="n">
        <v>0</v>
      </c>
      <c r="L177" t="n">
        <v>0</v>
      </c>
      <c r="M177" t="n">
        <v>0</v>
      </c>
      <c r="N177" t="n">
        <v>0</v>
      </c>
      <c r="O177" t="n">
        <v>0</v>
      </c>
      <c r="P177" t="n">
        <v>0</v>
      </c>
      <c r="Q177" t="n">
        <v>1</v>
      </c>
      <c r="R177" s="2" t="inlineStr">
        <is>
          <t>Skogsknipprot</t>
        </is>
      </c>
      <c r="S177">
        <f>HYPERLINK("https://klasma.github.io/Logging_0188/artfynd/A 4385-2023 artfynd.xlsx", "A 4385-2023")</f>
        <v/>
      </c>
      <c r="T177">
        <f>HYPERLINK("https://klasma.github.io/Logging_0188/kartor/A 4385-2023 karta.png", "A 4385-2023")</f>
        <v/>
      </c>
      <c r="V177">
        <f>HYPERLINK("https://klasma.github.io/Logging_0188/klagomål/A 4385-2023 FSC-klagomål.docx", "A 4385-2023")</f>
        <v/>
      </c>
      <c r="W177">
        <f>HYPERLINK("https://klasma.github.io/Logging_0188/klagomålsmail/A 4385-2023 FSC-klagomål mail.docx", "A 4385-2023")</f>
        <v/>
      </c>
      <c r="X177">
        <f>HYPERLINK("https://klasma.github.io/Logging_0188/tillsyn/A 4385-2023 tillsynsbegäran.docx", "A 4385-2023")</f>
        <v/>
      </c>
      <c r="Y177">
        <f>HYPERLINK("https://klasma.github.io/Logging_0188/tillsynsmail/A 4385-2023 tillsynsbegäran mail.docx", "A 4385-2023")</f>
        <v/>
      </c>
    </row>
    <row r="178" ht="15" customHeight="1">
      <c r="A178" t="inlineStr">
        <is>
          <t>A 4595-2023</t>
        </is>
      </c>
      <c r="B178" s="1" t="n">
        <v>44956</v>
      </c>
      <c r="C178" s="1" t="n">
        <v>45827</v>
      </c>
      <c r="D178" t="inlineStr">
        <is>
          <t>STOCKHOLMS LÄN</t>
        </is>
      </c>
      <c r="E178" t="inlineStr">
        <is>
          <t>NORRTÄLJE</t>
        </is>
      </c>
      <c r="G178" t="n">
        <v>0.6</v>
      </c>
      <c r="H178" t="n">
        <v>1</v>
      </c>
      <c r="I178" t="n">
        <v>0</v>
      </c>
      <c r="J178" t="n">
        <v>0</v>
      </c>
      <c r="K178" t="n">
        <v>0</v>
      </c>
      <c r="L178" t="n">
        <v>0</v>
      </c>
      <c r="M178" t="n">
        <v>0</v>
      </c>
      <c r="N178" t="n">
        <v>0</v>
      </c>
      <c r="O178" t="n">
        <v>0</v>
      </c>
      <c r="P178" t="n">
        <v>0</v>
      </c>
      <c r="Q178" t="n">
        <v>1</v>
      </c>
      <c r="R178" s="2" t="inlineStr">
        <is>
          <t>Blåsippa</t>
        </is>
      </c>
      <c r="S178">
        <f>HYPERLINK("https://klasma.github.io/Logging_0188/artfynd/A 4595-2023 artfynd.xlsx", "A 4595-2023")</f>
        <v/>
      </c>
      <c r="T178">
        <f>HYPERLINK("https://klasma.github.io/Logging_0188/kartor/A 4595-2023 karta.png", "A 4595-2023")</f>
        <v/>
      </c>
      <c r="V178">
        <f>HYPERLINK("https://klasma.github.io/Logging_0188/klagomål/A 4595-2023 FSC-klagomål.docx", "A 4595-2023")</f>
        <v/>
      </c>
      <c r="W178">
        <f>HYPERLINK("https://klasma.github.io/Logging_0188/klagomålsmail/A 4595-2023 FSC-klagomål mail.docx", "A 4595-2023")</f>
        <v/>
      </c>
      <c r="X178">
        <f>HYPERLINK("https://klasma.github.io/Logging_0188/tillsyn/A 4595-2023 tillsynsbegäran.docx", "A 4595-2023")</f>
        <v/>
      </c>
      <c r="Y178">
        <f>HYPERLINK("https://klasma.github.io/Logging_0188/tillsynsmail/A 4595-2023 tillsynsbegäran mail.docx", "A 4595-2023")</f>
        <v/>
      </c>
    </row>
    <row r="179" ht="15" customHeight="1">
      <c r="A179" t="inlineStr">
        <is>
          <t>A 6381-2023</t>
        </is>
      </c>
      <c r="B179" s="1" t="n">
        <v>44965</v>
      </c>
      <c r="C179" s="1" t="n">
        <v>45827</v>
      </c>
      <c r="D179" t="inlineStr">
        <is>
          <t>STOCKHOLMS LÄN</t>
        </is>
      </c>
      <c r="E179" t="inlineStr">
        <is>
          <t>NORRTÄLJE</t>
        </is>
      </c>
      <c r="G179" t="n">
        <v>3.5</v>
      </c>
      <c r="H179" t="n">
        <v>1</v>
      </c>
      <c r="I179" t="n">
        <v>1</v>
      </c>
      <c r="J179" t="n">
        <v>0</v>
      </c>
      <c r="K179" t="n">
        <v>0</v>
      </c>
      <c r="L179" t="n">
        <v>0</v>
      </c>
      <c r="M179" t="n">
        <v>0</v>
      </c>
      <c r="N179" t="n">
        <v>0</v>
      </c>
      <c r="O179" t="n">
        <v>0</v>
      </c>
      <c r="P179" t="n">
        <v>0</v>
      </c>
      <c r="Q179" t="n">
        <v>1</v>
      </c>
      <c r="R179" s="2" t="inlineStr">
        <is>
          <t>Guckusko</t>
        </is>
      </c>
      <c r="S179">
        <f>HYPERLINK("https://klasma.github.io/Logging_0188/artfynd/A 6381-2023 artfynd.xlsx", "A 6381-2023")</f>
        <v/>
      </c>
      <c r="T179">
        <f>HYPERLINK("https://klasma.github.io/Logging_0188/kartor/A 6381-2023 karta.png", "A 6381-2023")</f>
        <v/>
      </c>
      <c r="V179">
        <f>HYPERLINK("https://klasma.github.io/Logging_0188/klagomål/A 6381-2023 FSC-klagomål.docx", "A 6381-2023")</f>
        <v/>
      </c>
      <c r="W179">
        <f>HYPERLINK("https://klasma.github.io/Logging_0188/klagomålsmail/A 6381-2023 FSC-klagomål mail.docx", "A 6381-2023")</f>
        <v/>
      </c>
      <c r="X179">
        <f>HYPERLINK("https://klasma.github.io/Logging_0188/tillsyn/A 6381-2023 tillsynsbegäran.docx", "A 6381-2023")</f>
        <v/>
      </c>
      <c r="Y179">
        <f>HYPERLINK("https://klasma.github.io/Logging_0188/tillsynsmail/A 6381-2023 tillsynsbegäran mail.docx", "A 6381-2023")</f>
        <v/>
      </c>
    </row>
    <row r="180" ht="15" customHeight="1">
      <c r="A180" t="inlineStr">
        <is>
          <t>A 9214-2023</t>
        </is>
      </c>
      <c r="B180" s="1" t="n">
        <v>44980</v>
      </c>
      <c r="C180" s="1" t="n">
        <v>45827</v>
      </c>
      <c r="D180" t="inlineStr">
        <is>
          <t>STOCKHOLMS LÄN</t>
        </is>
      </c>
      <c r="E180" t="inlineStr">
        <is>
          <t>NORRTÄLJE</t>
        </is>
      </c>
      <c r="G180" t="n">
        <v>10.6</v>
      </c>
      <c r="H180" t="n">
        <v>1</v>
      </c>
      <c r="I180" t="n">
        <v>1</v>
      </c>
      <c r="J180" t="n">
        <v>0</v>
      </c>
      <c r="K180" t="n">
        <v>0</v>
      </c>
      <c r="L180" t="n">
        <v>0</v>
      </c>
      <c r="M180" t="n">
        <v>0</v>
      </c>
      <c r="N180" t="n">
        <v>0</v>
      </c>
      <c r="O180" t="n">
        <v>0</v>
      </c>
      <c r="P180" t="n">
        <v>0</v>
      </c>
      <c r="Q180" t="n">
        <v>1</v>
      </c>
      <c r="R180" s="2" t="inlineStr">
        <is>
          <t>Guckusko</t>
        </is>
      </c>
      <c r="S180">
        <f>HYPERLINK("https://klasma.github.io/Logging_0188/artfynd/A 9214-2023 artfynd.xlsx", "A 9214-2023")</f>
        <v/>
      </c>
      <c r="T180">
        <f>HYPERLINK("https://klasma.github.io/Logging_0188/kartor/A 9214-2023 karta.png", "A 9214-2023")</f>
        <v/>
      </c>
      <c r="V180">
        <f>HYPERLINK("https://klasma.github.io/Logging_0188/klagomål/A 9214-2023 FSC-klagomål.docx", "A 9214-2023")</f>
        <v/>
      </c>
      <c r="W180">
        <f>HYPERLINK("https://klasma.github.io/Logging_0188/klagomålsmail/A 9214-2023 FSC-klagomål mail.docx", "A 9214-2023")</f>
        <v/>
      </c>
      <c r="X180">
        <f>HYPERLINK("https://klasma.github.io/Logging_0188/tillsyn/A 9214-2023 tillsynsbegäran.docx", "A 9214-2023")</f>
        <v/>
      </c>
      <c r="Y180">
        <f>HYPERLINK("https://klasma.github.io/Logging_0188/tillsynsmail/A 9214-2023 tillsynsbegäran mail.docx", "A 9214-2023")</f>
        <v/>
      </c>
    </row>
    <row r="181" ht="15" customHeight="1">
      <c r="A181" t="inlineStr">
        <is>
          <t>A 9271-2023</t>
        </is>
      </c>
      <c r="B181" s="1" t="n">
        <v>44980</v>
      </c>
      <c r="C181" s="1" t="n">
        <v>45827</v>
      </c>
      <c r="D181" t="inlineStr">
        <is>
          <t>STOCKHOLMS LÄN</t>
        </is>
      </c>
      <c r="E181" t="inlineStr">
        <is>
          <t>NORRTÄLJE</t>
        </is>
      </c>
      <c r="G181" t="n">
        <v>5.3</v>
      </c>
      <c r="H181" t="n">
        <v>1</v>
      </c>
      <c r="I181" t="n">
        <v>0</v>
      </c>
      <c r="J181" t="n">
        <v>0</v>
      </c>
      <c r="K181" t="n">
        <v>1</v>
      </c>
      <c r="L181" t="n">
        <v>0</v>
      </c>
      <c r="M181" t="n">
        <v>0</v>
      </c>
      <c r="N181" t="n">
        <v>0</v>
      </c>
      <c r="O181" t="n">
        <v>1</v>
      </c>
      <c r="P181" t="n">
        <v>1</v>
      </c>
      <c r="Q181" t="n">
        <v>1</v>
      </c>
      <c r="R181" s="2" t="inlineStr">
        <is>
          <t>Hällebräcka</t>
        </is>
      </c>
      <c r="S181">
        <f>HYPERLINK("https://klasma.github.io/Logging_0188/artfynd/A 9271-2023 artfynd.xlsx", "A 9271-2023")</f>
        <v/>
      </c>
      <c r="T181">
        <f>HYPERLINK("https://klasma.github.io/Logging_0188/kartor/A 9271-2023 karta.png", "A 9271-2023")</f>
        <v/>
      </c>
      <c r="V181">
        <f>HYPERLINK("https://klasma.github.io/Logging_0188/klagomål/A 9271-2023 FSC-klagomål.docx", "A 9271-2023")</f>
        <v/>
      </c>
      <c r="W181">
        <f>HYPERLINK("https://klasma.github.io/Logging_0188/klagomålsmail/A 9271-2023 FSC-klagomål mail.docx", "A 9271-2023")</f>
        <v/>
      </c>
      <c r="X181">
        <f>HYPERLINK("https://klasma.github.io/Logging_0188/tillsyn/A 9271-2023 tillsynsbegäran.docx", "A 9271-2023")</f>
        <v/>
      </c>
      <c r="Y181">
        <f>HYPERLINK("https://klasma.github.io/Logging_0188/tillsynsmail/A 9271-2023 tillsynsbegäran mail.docx", "A 9271-2023")</f>
        <v/>
      </c>
    </row>
    <row r="182" ht="15" customHeight="1">
      <c r="A182" t="inlineStr">
        <is>
          <t>A 9522-2023</t>
        </is>
      </c>
      <c r="B182" s="1" t="n">
        <v>44981</v>
      </c>
      <c r="C182" s="1" t="n">
        <v>45827</v>
      </c>
      <c r="D182" t="inlineStr">
        <is>
          <t>STOCKHOLMS LÄN</t>
        </is>
      </c>
      <c r="E182" t="inlineStr">
        <is>
          <t>NORRTÄLJE</t>
        </is>
      </c>
      <c r="F182" t="inlineStr">
        <is>
          <t>Holmen skog AB</t>
        </is>
      </c>
      <c r="G182" t="n">
        <v>7.5</v>
      </c>
      <c r="H182" t="n">
        <v>1</v>
      </c>
      <c r="I182" t="n">
        <v>0</v>
      </c>
      <c r="J182" t="n">
        <v>0</v>
      </c>
      <c r="K182" t="n">
        <v>0</v>
      </c>
      <c r="L182" t="n">
        <v>1</v>
      </c>
      <c r="M182" t="n">
        <v>0</v>
      </c>
      <c r="N182" t="n">
        <v>0</v>
      </c>
      <c r="O182" t="n">
        <v>1</v>
      </c>
      <c r="P182" t="n">
        <v>1</v>
      </c>
      <c r="Q182" t="n">
        <v>1</v>
      </c>
      <c r="R182" s="2" t="inlineStr">
        <is>
          <t>Asknätfjäril</t>
        </is>
      </c>
      <c r="S182">
        <f>HYPERLINK("https://klasma.github.io/Logging_0188/artfynd/A 9522-2023 artfynd.xlsx", "A 9522-2023")</f>
        <v/>
      </c>
      <c r="T182">
        <f>HYPERLINK("https://klasma.github.io/Logging_0188/kartor/A 9522-2023 karta.png", "A 9522-2023")</f>
        <v/>
      </c>
      <c r="V182">
        <f>HYPERLINK("https://klasma.github.io/Logging_0188/klagomål/A 9522-2023 FSC-klagomål.docx", "A 9522-2023")</f>
        <v/>
      </c>
      <c r="W182">
        <f>HYPERLINK("https://klasma.github.io/Logging_0188/klagomålsmail/A 9522-2023 FSC-klagomål mail.docx", "A 9522-2023")</f>
        <v/>
      </c>
      <c r="X182">
        <f>HYPERLINK("https://klasma.github.io/Logging_0188/tillsyn/A 9522-2023 tillsynsbegäran.docx", "A 9522-2023")</f>
        <v/>
      </c>
      <c r="Y182">
        <f>HYPERLINK("https://klasma.github.io/Logging_0188/tillsynsmail/A 9522-2023 tillsynsbegäran mail.docx", "A 9522-2023")</f>
        <v/>
      </c>
    </row>
    <row r="183" ht="15" customHeight="1">
      <c r="A183" t="inlineStr">
        <is>
          <t>A 10019-2023</t>
        </is>
      </c>
      <c r="B183" s="1" t="n">
        <v>44985</v>
      </c>
      <c r="C183" s="1" t="n">
        <v>45827</v>
      </c>
      <c r="D183" t="inlineStr">
        <is>
          <t>STOCKHOLMS LÄN</t>
        </is>
      </c>
      <c r="E183" t="inlineStr">
        <is>
          <t>NORRTÄLJE</t>
        </is>
      </c>
      <c r="G183" t="n">
        <v>8.4</v>
      </c>
      <c r="H183" t="n">
        <v>0</v>
      </c>
      <c r="I183" t="n">
        <v>1</v>
      </c>
      <c r="J183" t="n">
        <v>0</v>
      </c>
      <c r="K183" t="n">
        <v>0</v>
      </c>
      <c r="L183" t="n">
        <v>0</v>
      </c>
      <c r="M183" t="n">
        <v>0</v>
      </c>
      <c r="N183" t="n">
        <v>0</v>
      </c>
      <c r="O183" t="n">
        <v>0</v>
      </c>
      <c r="P183" t="n">
        <v>0</v>
      </c>
      <c r="Q183" t="n">
        <v>1</v>
      </c>
      <c r="R183" s="2" t="inlineStr">
        <is>
          <t>Underviol</t>
        </is>
      </c>
      <c r="S183">
        <f>HYPERLINK("https://klasma.github.io/Logging_0188/artfynd/A 10019-2023 artfynd.xlsx", "A 10019-2023")</f>
        <v/>
      </c>
      <c r="T183">
        <f>HYPERLINK("https://klasma.github.io/Logging_0188/kartor/A 10019-2023 karta.png", "A 10019-2023")</f>
        <v/>
      </c>
      <c r="V183">
        <f>HYPERLINK("https://klasma.github.io/Logging_0188/klagomål/A 10019-2023 FSC-klagomål.docx", "A 10019-2023")</f>
        <v/>
      </c>
      <c r="W183">
        <f>HYPERLINK("https://klasma.github.io/Logging_0188/klagomålsmail/A 10019-2023 FSC-klagomål mail.docx", "A 10019-2023")</f>
        <v/>
      </c>
      <c r="X183">
        <f>HYPERLINK("https://klasma.github.io/Logging_0188/tillsyn/A 10019-2023 tillsynsbegäran.docx", "A 10019-2023")</f>
        <v/>
      </c>
      <c r="Y183">
        <f>HYPERLINK("https://klasma.github.io/Logging_0188/tillsynsmail/A 10019-2023 tillsynsbegäran mail.docx", "A 10019-2023")</f>
        <v/>
      </c>
    </row>
    <row r="184" ht="15" customHeight="1">
      <c r="A184" t="inlineStr">
        <is>
          <t>A 11429-2023</t>
        </is>
      </c>
      <c r="B184" s="1" t="n">
        <v>44993</v>
      </c>
      <c r="C184" s="1" t="n">
        <v>45827</v>
      </c>
      <c r="D184" t="inlineStr">
        <is>
          <t>STOCKHOLMS LÄN</t>
        </is>
      </c>
      <c r="E184" t="inlineStr">
        <is>
          <t>NORRTÄLJE</t>
        </is>
      </c>
      <c r="G184" t="n">
        <v>2</v>
      </c>
      <c r="H184" t="n">
        <v>0</v>
      </c>
      <c r="I184" t="n">
        <v>0</v>
      </c>
      <c r="J184" t="n">
        <v>1</v>
      </c>
      <c r="K184" t="n">
        <v>0</v>
      </c>
      <c r="L184" t="n">
        <v>0</v>
      </c>
      <c r="M184" t="n">
        <v>0</v>
      </c>
      <c r="N184" t="n">
        <v>0</v>
      </c>
      <c r="O184" t="n">
        <v>1</v>
      </c>
      <c r="P184" t="n">
        <v>0</v>
      </c>
      <c r="Q184" t="n">
        <v>1</v>
      </c>
      <c r="R184" s="2" t="inlineStr">
        <is>
          <t>Skogsklocka</t>
        </is>
      </c>
      <c r="S184">
        <f>HYPERLINK("https://klasma.github.io/Logging_0188/artfynd/A 11429-2023 artfynd.xlsx", "A 11429-2023")</f>
        <v/>
      </c>
      <c r="T184">
        <f>HYPERLINK("https://klasma.github.io/Logging_0188/kartor/A 11429-2023 karta.png", "A 11429-2023")</f>
        <v/>
      </c>
      <c r="V184">
        <f>HYPERLINK("https://klasma.github.io/Logging_0188/klagomål/A 11429-2023 FSC-klagomål.docx", "A 11429-2023")</f>
        <v/>
      </c>
      <c r="W184">
        <f>HYPERLINK("https://klasma.github.io/Logging_0188/klagomålsmail/A 11429-2023 FSC-klagomål mail.docx", "A 11429-2023")</f>
        <v/>
      </c>
      <c r="X184">
        <f>HYPERLINK("https://klasma.github.io/Logging_0188/tillsyn/A 11429-2023 tillsynsbegäran.docx", "A 11429-2023")</f>
        <v/>
      </c>
      <c r="Y184">
        <f>HYPERLINK("https://klasma.github.io/Logging_0188/tillsynsmail/A 11429-2023 tillsynsbegäran mail.docx", "A 11429-2023")</f>
        <v/>
      </c>
    </row>
    <row r="185" ht="15" customHeight="1">
      <c r="A185" t="inlineStr">
        <is>
          <t>A 12442-2023</t>
        </is>
      </c>
      <c r="B185" s="1" t="n">
        <v>44999</v>
      </c>
      <c r="C185" s="1" t="n">
        <v>45827</v>
      </c>
      <c r="D185" t="inlineStr">
        <is>
          <t>STOCKHOLMS LÄN</t>
        </is>
      </c>
      <c r="E185" t="inlineStr">
        <is>
          <t>NORRTÄLJE</t>
        </is>
      </c>
      <c r="G185" t="n">
        <v>1.9</v>
      </c>
      <c r="H185" t="n">
        <v>1</v>
      </c>
      <c r="I185" t="n">
        <v>0</v>
      </c>
      <c r="J185" t="n">
        <v>0</v>
      </c>
      <c r="K185" t="n">
        <v>0</v>
      </c>
      <c r="L185" t="n">
        <v>0</v>
      </c>
      <c r="M185" t="n">
        <v>0</v>
      </c>
      <c r="N185" t="n">
        <v>0</v>
      </c>
      <c r="O185" t="n">
        <v>0</v>
      </c>
      <c r="P185" t="n">
        <v>0</v>
      </c>
      <c r="Q185" t="n">
        <v>1</v>
      </c>
      <c r="R185" s="2" t="inlineStr">
        <is>
          <t>Gullviva</t>
        </is>
      </c>
      <c r="S185">
        <f>HYPERLINK("https://klasma.github.io/Logging_0188/artfynd/A 12442-2023 artfynd.xlsx", "A 12442-2023")</f>
        <v/>
      </c>
      <c r="T185">
        <f>HYPERLINK("https://klasma.github.io/Logging_0188/kartor/A 12442-2023 karta.png", "A 12442-2023")</f>
        <v/>
      </c>
      <c r="V185">
        <f>HYPERLINK("https://klasma.github.io/Logging_0188/klagomål/A 12442-2023 FSC-klagomål.docx", "A 12442-2023")</f>
        <v/>
      </c>
      <c r="W185">
        <f>HYPERLINK("https://klasma.github.io/Logging_0188/klagomålsmail/A 12442-2023 FSC-klagomål mail.docx", "A 12442-2023")</f>
        <v/>
      </c>
      <c r="X185">
        <f>HYPERLINK("https://klasma.github.io/Logging_0188/tillsyn/A 12442-2023 tillsynsbegäran.docx", "A 12442-2023")</f>
        <v/>
      </c>
      <c r="Y185">
        <f>HYPERLINK("https://klasma.github.io/Logging_0188/tillsynsmail/A 12442-2023 tillsynsbegäran mail.docx", "A 12442-2023")</f>
        <v/>
      </c>
    </row>
    <row r="186" ht="15" customHeight="1">
      <c r="A186" t="inlineStr">
        <is>
          <t>A 15644-2023</t>
        </is>
      </c>
      <c r="B186" s="1" t="n">
        <v>45021</v>
      </c>
      <c r="C186" s="1" t="n">
        <v>45827</v>
      </c>
      <c r="D186" t="inlineStr">
        <is>
          <t>STOCKHOLMS LÄN</t>
        </is>
      </c>
      <c r="E186" t="inlineStr">
        <is>
          <t>NORRTÄLJE</t>
        </is>
      </c>
      <c r="F186" t="inlineStr">
        <is>
          <t>Holmen skog AB</t>
        </is>
      </c>
      <c r="G186" t="n">
        <v>13</v>
      </c>
      <c r="H186" t="n">
        <v>1</v>
      </c>
      <c r="I186" t="n">
        <v>0</v>
      </c>
      <c r="J186" t="n">
        <v>0</v>
      </c>
      <c r="K186" t="n">
        <v>0</v>
      </c>
      <c r="L186" t="n">
        <v>1</v>
      </c>
      <c r="M186" t="n">
        <v>0</v>
      </c>
      <c r="N186" t="n">
        <v>0</v>
      </c>
      <c r="O186" t="n">
        <v>1</v>
      </c>
      <c r="P186" t="n">
        <v>1</v>
      </c>
      <c r="Q186" t="n">
        <v>1</v>
      </c>
      <c r="R186" s="2" t="inlineStr">
        <is>
          <t>Asknätfjäril</t>
        </is>
      </c>
      <c r="S186">
        <f>HYPERLINK("https://klasma.github.io/Logging_0188/artfynd/A 15644-2023 artfynd.xlsx", "A 15644-2023")</f>
        <v/>
      </c>
      <c r="T186">
        <f>HYPERLINK("https://klasma.github.io/Logging_0188/kartor/A 15644-2023 karta.png", "A 15644-2023")</f>
        <v/>
      </c>
      <c r="V186">
        <f>HYPERLINK("https://klasma.github.io/Logging_0188/klagomål/A 15644-2023 FSC-klagomål.docx", "A 15644-2023")</f>
        <v/>
      </c>
      <c r="W186">
        <f>HYPERLINK("https://klasma.github.io/Logging_0188/klagomålsmail/A 15644-2023 FSC-klagomål mail.docx", "A 15644-2023")</f>
        <v/>
      </c>
      <c r="X186">
        <f>HYPERLINK("https://klasma.github.io/Logging_0188/tillsyn/A 15644-2023 tillsynsbegäran.docx", "A 15644-2023")</f>
        <v/>
      </c>
      <c r="Y186">
        <f>HYPERLINK("https://klasma.github.io/Logging_0188/tillsynsmail/A 15644-2023 tillsynsbegäran mail.docx", "A 15644-2023")</f>
        <v/>
      </c>
    </row>
    <row r="187" ht="15" customHeight="1">
      <c r="A187" t="inlineStr">
        <is>
          <t>A 18216-2023</t>
        </is>
      </c>
      <c r="B187" s="1" t="n">
        <v>45041</v>
      </c>
      <c r="C187" s="1" t="n">
        <v>45827</v>
      </c>
      <c r="D187" t="inlineStr">
        <is>
          <t>STOCKHOLMS LÄN</t>
        </is>
      </c>
      <c r="E187" t="inlineStr">
        <is>
          <t>NORRTÄLJE</t>
        </is>
      </c>
      <c r="F187" t="inlineStr">
        <is>
          <t>Holmen skog AB</t>
        </is>
      </c>
      <c r="G187" t="n">
        <v>1.9</v>
      </c>
      <c r="H187" t="n">
        <v>0</v>
      </c>
      <c r="I187" t="n">
        <v>1</v>
      </c>
      <c r="J187" t="n">
        <v>0</v>
      </c>
      <c r="K187" t="n">
        <v>0</v>
      </c>
      <c r="L187" t="n">
        <v>0</v>
      </c>
      <c r="M187" t="n">
        <v>0</v>
      </c>
      <c r="N187" t="n">
        <v>0</v>
      </c>
      <c r="O187" t="n">
        <v>0</v>
      </c>
      <c r="P187" t="n">
        <v>0</v>
      </c>
      <c r="Q187" t="n">
        <v>1</v>
      </c>
      <c r="R187" s="2" t="inlineStr">
        <is>
          <t>Vårärt</t>
        </is>
      </c>
      <c r="S187">
        <f>HYPERLINK("https://klasma.github.io/Logging_0188/artfynd/A 18216-2023 artfynd.xlsx", "A 18216-2023")</f>
        <v/>
      </c>
      <c r="T187">
        <f>HYPERLINK("https://klasma.github.io/Logging_0188/kartor/A 18216-2023 karta.png", "A 18216-2023")</f>
        <v/>
      </c>
      <c r="V187">
        <f>HYPERLINK("https://klasma.github.io/Logging_0188/klagomål/A 18216-2023 FSC-klagomål.docx", "A 18216-2023")</f>
        <v/>
      </c>
      <c r="W187">
        <f>HYPERLINK("https://klasma.github.io/Logging_0188/klagomålsmail/A 18216-2023 FSC-klagomål mail.docx", "A 18216-2023")</f>
        <v/>
      </c>
      <c r="X187">
        <f>HYPERLINK("https://klasma.github.io/Logging_0188/tillsyn/A 18216-2023 tillsynsbegäran.docx", "A 18216-2023")</f>
        <v/>
      </c>
      <c r="Y187">
        <f>HYPERLINK("https://klasma.github.io/Logging_0188/tillsynsmail/A 18216-2023 tillsynsbegäran mail.docx", "A 18216-2023")</f>
        <v/>
      </c>
    </row>
    <row r="188" ht="15" customHeight="1">
      <c r="A188" t="inlineStr">
        <is>
          <t>A 21431-2023</t>
        </is>
      </c>
      <c r="B188" s="1" t="n">
        <v>45063</v>
      </c>
      <c r="C188" s="1" t="n">
        <v>45827</v>
      </c>
      <c r="D188" t="inlineStr">
        <is>
          <t>STOCKHOLMS LÄN</t>
        </is>
      </c>
      <c r="E188" t="inlineStr">
        <is>
          <t>NORRTÄLJE</t>
        </is>
      </c>
      <c r="F188" t="inlineStr">
        <is>
          <t>Holmen skog AB</t>
        </is>
      </c>
      <c r="G188" t="n">
        <v>4</v>
      </c>
      <c r="H188" t="n">
        <v>1</v>
      </c>
      <c r="I188" t="n">
        <v>1</v>
      </c>
      <c r="J188" t="n">
        <v>0</v>
      </c>
      <c r="K188" t="n">
        <v>0</v>
      </c>
      <c r="L188" t="n">
        <v>0</v>
      </c>
      <c r="M188" t="n">
        <v>0</v>
      </c>
      <c r="N188" t="n">
        <v>0</v>
      </c>
      <c r="O188" t="n">
        <v>0</v>
      </c>
      <c r="P188" t="n">
        <v>0</v>
      </c>
      <c r="Q188" t="n">
        <v>1</v>
      </c>
      <c r="R188" s="2" t="inlineStr">
        <is>
          <t>Nästrot</t>
        </is>
      </c>
      <c r="S188">
        <f>HYPERLINK("https://klasma.github.io/Logging_0188/artfynd/A 21431-2023 artfynd.xlsx", "A 21431-2023")</f>
        <v/>
      </c>
      <c r="T188">
        <f>HYPERLINK("https://klasma.github.io/Logging_0188/kartor/A 21431-2023 karta.png", "A 21431-2023")</f>
        <v/>
      </c>
      <c r="V188">
        <f>HYPERLINK("https://klasma.github.io/Logging_0188/klagomål/A 21431-2023 FSC-klagomål.docx", "A 21431-2023")</f>
        <v/>
      </c>
      <c r="W188">
        <f>HYPERLINK("https://klasma.github.io/Logging_0188/klagomålsmail/A 21431-2023 FSC-klagomål mail.docx", "A 21431-2023")</f>
        <v/>
      </c>
      <c r="X188">
        <f>HYPERLINK("https://klasma.github.io/Logging_0188/tillsyn/A 21431-2023 tillsynsbegäran.docx", "A 21431-2023")</f>
        <v/>
      </c>
      <c r="Y188">
        <f>HYPERLINK("https://klasma.github.io/Logging_0188/tillsynsmail/A 21431-2023 tillsynsbegäran mail.docx", "A 21431-2023")</f>
        <v/>
      </c>
    </row>
    <row r="189" ht="15" customHeight="1">
      <c r="A189" t="inlineStr">
        <is>
          <t>A 21744-2023</t>
        </is>
      </c>
      <c r="B189" s="1" t="n">
        <v>45065</v>
      </c>
      <c r="C189" s="1" t="n">
        <v>45827</v>
      </c>
      <c r="D189" t="inlineStr">
        <is>
          <t>STOCKHOLMS LÄN</t>
        </is>
      </c>
      <c r="E189" t="inlineStr">
        <is>
          <t>NORRTÄLJE</t>
        </is>
      </c>
      <c r="F189" t="inlineStr">
        <is>
          <t>Holmen skog AB</t>
        </is>
      </c>
      <c r="G189" t="n">
        <v>4.2</v>
      </c>
      <c r="H189" t="n">
        <v>0</v>
      </c>
      <c r="I189" t="n">
        <v>1</v>
      </c>
      <c r="J189" t="n">
        <v>0</v>
      </c>
      <c r="K189" t="n">
        <v>0</v>
      </c>
      <c r="L189" t="n">
        <v>0</v>
      </c>
      <c r="M189" t="n">
        <v>0</v>
      </c>
      <c r="N189" t="n">
        <v>0</v>
      </c>
      <c r="O189" t="n">
        <v>0</v>
      </c>
      <c r="P189" t="n">
        <v>0</v>
      </c>
      <c r="Q189" t="n">
        <v>1</v>
      </c>
      <c r="R189" s="2" t="inlineStr">
        <is>
          <t>Korallblylav</t>
        </is>
      </c>
      <c r="S189">
        <f>HYPERLINK("https://klasma.github.io/Logging_0188/artfynd/A 21744-2023 artfynd.xlsx", "A 21744-2023")</f>
        <v/>
      </c>
      <c r="T189">
        <f>HYPERLINK("https://klasma.github.io/Logging_0188/kartor/A 21744-2023 karta.png", "A 21744-2023")</f>
        <v/>
      </c>
      <c r="V189">
        <f>HYPERLINK("https://klasma.github.io/Logging_0188/klagomål/A 21744-2023 FSC-klagomål.docx", "A 21744-2023")</f>
        <v/>
      </c>
      <c r="W189">
        <f>HYPERLINK("https://klasma.github.io/Logging_0188/klagomålsmail/A 21744-2023 FSC-klagomål mail.docx", "A 21744-2023")</f>
        <v/>
      </c>
      <c r="X189">
        <f>HYPERLINK("https://klasma.github.io/Logging_0188/tillsyn/A 21744-2023 tillsynsbegäran.docx", "A 21744-2023")</f>
        <v/>
      </c>
      <c r="Y189">
        <f>HYPERLINK("https://klasma.github.io/Logging_0188/tillsynsmail/A 21744-2023 tillsynsbegäran mail.docx", "A 21744-2023")</f>
        <v/>
      </c>
    </row>
    <row r="190" ht="15" customHeight="1">
      <c r="A190" t="inlineStr">
        <is>
          <t>A 24330-2023</t>
        </is>
      </c>
      <c r="B190" s="1" t="n">
        <v>45081</v>
      </c>
      <c r="C190" s="1" t="n">
        <v>45827</v>
      </c>
      <c r="D190" t="inlineStr">
        <is>
          <t>STOCKHOLMS LÄN</t>
        </is>
      </c>
      <c r="E190" t="inlineStr">
        <is>
          <t>NORRTÄLJE</t>
        </is>
      </c>
      <c r="G190" t="n">
        <v>5</v>
      </c>
      <c r="H190" t="n">
        <v>1</v>
      </c>
      <c r="I190" t="n">
        <v>0</v>
      </c>
      <c r="J190" t="n">
        <v>1</v>
      </c>
      <c r="K190" t="n">
        <v>0</v>
      </c>
      <c r="L190" t="n">
        <v>0</v>
      </c>
      <c r="M190" t="n">
        <v>0</v>
      </c>
      <c r="N190" t="n">
        <v>0</v>
      </c>
      <c r="O190" t="n">
        <v>1</v>
      </c>
      <c r="P190" t="n">
        <v>0</v>
      </c>
      <c r="Q190" t="n">
        <v>1</v>
      </c>
      <c r="R190" s="2" t="inlineStr">
        <is>
          <t>Mindre hackspett</t>
        </is>
      </c>
      <c r="S190">
        <f>HYPERLINK("https://klasma.github.io/Logging_0188/artfynd/A 24330-2023 artfynd.xlsx", "A 24330-2023")</f>
        <v/>
      </c>
      <c r="T190">
        <f>HYPERLINK("https://klasma.github.io/Logging_0188/kartor/A 24330-2023 karta.png", "A 24330-2023")</f>
        <v/>
      </c>
      <c r="V190">
        <f>HYPERLINK("https://klasma.github.io/Logging_0188/klagomål/A 24330-2023 FSC-klagomål.docx", "A 24330-2023")</f>
        <v/>
      </c>
      <c r="W190">
        <f>HYPERLINK("https://klasma.github.io/Logging_0188/klagomålsmail/A 24330-2023 FSC-klagomål mail.docx", "A 24330-2023")</f>
        <v/>
      </c>
      <c r="X190">
        <f>HYPERLINK("https://klasma.github.io/Logging_0188/tillsyn/A 24330-2023 tillsynsbegäran.docx", "A 24330-2023")</f>
        <v/>
      </c>
      <c r="Y190">
        <f>HYPERLINK("https://klasma.github.io/Logging_0188/tillsynsmail/A 24330-2023 tillsynsbegäran mail.docx", "A 24330-2023")</f>
        <v/>
      </c>
      <c r="Z190">
        <f>HYPERLINK("https://klasma.github.io/Logging_0188/fåglar/A 24330-2023 prioriterade fågelarter.docx", "A 24330-2023")</f>
        <v/>
      </c>
    </row>
    <row r="191" ht="15" customHeight="1">
      <c r="A191" t="inlineStr">
        <is>
          <t>A 24535-2023</t>
        </is>
      </c>
      <c r="B191" s="1" t="n">
        <v>45082</v>
      </c>
      <c r="C191" s="1" t="n">
        <v>45827</v>
      </c>
      <c r="D191" t="inlineStr">
        <is>
          <t>STOCKHOLMS LÄN</t>
        </is>
      </c>
      <c r="E191" t="inlineStr">
        <is>
          <t>NORRTÄLJE</t>
        </is>
      </c>
      <c r="F191" t="inlineStr">
        <is>
          <t>Kommuner</t>
        </is>
      </c>
      <c r="G191" t="n">
        <v>2</v>
      </c>
      <c r="H191" t="n">
        <v>1</v>
      </c>
      <c r="I191" t="n">
        <v>0</v>
      </c>
      <c r="J191" t="n">
        <v>0</v>
      </c>
      <c r="K191" t="n">
        <v>0</v>
      </c>
      <c r="L191" t="n">
        <v>0</v>
      </c>
      <c r="M191" t="n">
        <v>0</v>
      </c>
      <c r="N191" t="n">
        <v>0</v>
      </c>
      <c r="O191" t="n">
        <v>0</v>
      </c>
      <c r="P191" t="n">
        <v>0</v>
      </c>
      <c r="Q191" t="n">
        <v>1</v>
      </c>
      <c r="R191" s="2" t="inlineStr">
        <is>
          <t>Blåsippa</t>
        </is>
      </c>
      <c r="S191">
        <f>HYPERLINK("https://klasma.github.io/Logging_0188/artfynd/A 24535-2023 artfynd.xlsx", "A 24535-2023")</f>
        <v/>
      </c>
      <c r="T191">
        <f>HYPERLINK("https://klasma.github.io/Logging_0188/kartor/A 24535-2023 karta.png", "A 24535-2023")</f>
        <v/>
      </c>
      <c r="V191">
        <f>HYPERLINK("https://klasma.github.io/Logging_0188/klagomål/A 24535-2023 FSC-klagomål.docx", "A 24535-2023")</f>
        <v/>
      </c>
      <c r="W191">
        <f>HYPERLINK("https://klasma.github.io/Logging_0188/klagomålsmail/A 24535-2023 FSC-klagomål mail.docx", "A 24535-2023")</f>
        <v/>
      </c>
      <c r="X191">
        <f>HYPERLINK("https://klasma.github.io/Logging_0188/tillsyn/A 24535-2023 tillsynsbegäran.docx", "A 24535-2023")</f>
        <v/>
      </c>
      <c r="Y191">
        <f>HYPERLINK("https://klasma.github.io/Logging_0188/tillsynsmail/A 24535-2023 tillsynsbegäran mail.docx", "A 24535-2023")</f>
        <v/>
      </c>
    </row>
    <row r="192" ht="15" customHeight="1">
      <c r="A192" t="inlineStr">
        <is>
          <t>A 26635-2023</t>
        </is>
      </c>
      <c r="B192" s="1" t="n">
        <v>45092</v>
      </c>
      <c r="C192" s="1" t="n">
        <v>45827</v>
      </c>
      <c r="D192" t="inlineStr">
        <is>
          <t>STOCKHOLMS LÄN</t>
        </is>
      </c>
      <c r="E192" t="inlineStr">
        <is>
          <t>NORRTÄLJE</t>
        </is>
      </c>
      <c r="G192" t="n">
        <v>3.1</v>
      </c>
      <c r="H192" t="n">
        <v>1</v>
      </c>
      <c r="I192" t="n">
        <v>0</v>
      </c>
      <c r="J192" t="n">
        <v>0</v>
      </c>
      <c r="K192" t="n">
        <v>0</v>
      </c>
      <c r="L192" t="n">
        <v>0</v>
      </c>
      <c r="M192" t="n">
        <v>0</v>
      </c>
      <c r="N192" t="n">
        <v>0</v>
      </c>
      <c r="O192" t="n">
        <v>0</v>
      </c>
      <c r="P192" t="n">
        <v>0</v>
      </c>
      <c r="Q192" t="n">
        <v>1</v>
      </c>
      <c r="R192" s="2" t="inlineStr">
        <is>
          <t>Fläcknycklar</t>
        </is>
      </c>
      <c r="S192">
        <f>HYPERLINK("https://klasma.github.io/Logging_0188/artfynd/A 26635-2023 artfynd.xlsx", "A 26635-2023")</f>
        <v/>
      </c>
      <c r="T192">
        <f>HYPERLINK("https://klasma.github.io/Logging_0188/kartor/A 26635-2023 karta.png", "A 26635-2023")</f>
        <v/>
      </c>
      <c r="V192">
        <f>HYPERLINK("https://klasma.github.io/Logging_0188/klagomål/A 26635-2023 FSC-klagomål.docx", "A 26635-2023")</f>
        <v/>
      </c>
      <c r="W192">
        <f>HYPERLINK("https://klasma.github.io/Logging_0188/klagomålsmail/A 26635-2023 FSC-klagomål mail.docx", "A 26635-2023")</f>
        <v/>
      </c>
      <c r="X192">
        <f>HYPERLINK("https://klasma.github.io/Logging_0188/tillsyn/A 26635-2023 tillsynsbegäran.docx", "A 26635-2023")</f>
        <v/>
      </c>
      <c r="Y192">
        <f>HYPERLINK("https://klasma.github.io/Logging_0188/tillsynsmail/A 26635-2023 tillsynsbegäran mail.docx", "A 26635-2023")</f>
        <v/>
      </c>
    </row>
    <row r="193" ht="15" customHeight="1">
      <c r="A193" t="inlineStr">
        <is>
          <t>A 35649-2023</t>
        </is>
      </c>
      <c r="B193" s="1" t="n">
        <v>45146</v>
      </c>
      <c r="C193" s="1" t="n">
        <v>45827</v>
      </c>
      <c r="D193" t="inlineStr">
        <is>
          <t>STOCKHOLMS LÄN</t>
        </is>
      </c>
      <c r="E193" t="inlineStr">
        <is>
          <t>NORRTÄLJE</t>
        </is>
      </c>
      <c r="G193" t="n">
        <v>25.1</v>
      </c>
      <c r="H193" t="n">
        <v>0</v>
      </c>
      <c r="I193" t="n">
        <v>0</v>
      </c>
      <c r="J193" t="n">
        <v>1</v>
      </c>
      <c r="K193" t="n">
        <v>0</v>
      </c>
      <c r="L193" t="n">
        <v>0</v>
      </c>
      <c r="M193" t="n">
        <v>0</v>
      </c>
      <c r="N193" t="n">
        <v>0</v>
      </c>
      <c r="O193" t="n">
        <v>1</v>
      </c>
      <c r="P193" t="n">
        <v>0</v>
      </c>
      <c r="Q193" t="n">
        <v>1</v>
      </c>
      <c r="R193" s="2" t="inlineStr">
        <is>
          <t>Månlåsbräken</t>
        </is>
      </c>
      <c r="S193">
        <f>HYPERLINK("https://klasma.github.io/Logging_0188/artfynd/A 35649-2023 artfynd.xlsx", "A 35649-2023")</f>
        <v/>
      </c>
      <c r="T193">
        <f>HYPERLINK("https://klasma.github.io/Logging_0188/kartor/A 35649-2023 karta.png", "A 35649-2023")</f>
        <v/>
      </c>
      <c r="V193">
        <f>HYPERLINK("https://klasma.github.io/Logging_0188/klagomål/A 35649-2023 FSC-klagomål.docx", "A 35649-2023")</f>
        <v/>
      </c>
      <c r="W193">
        <f>HYPERLINK("https://klasma.github.io/Logging_0188/klagomålsmail/A 35649-2023 FSC-klagomål mail.docx", "A 35649-2023")</f>
        <v/>
      </c>
      <c r="X193">
        <f>HYPERLINK("https://klasma.github.io/Logging_0188/tillsyn/A 35649-2023 tillsynsbegäran.docx", "A 35649-2023")</f>
        <v/>
      </c>
      <c r="Y193">
        <f>HYPERLINK("https://klasma.github.io/Logging_0188/tillsynsmail/A 35649-2023 tillsynsbegäran mail.docx", "A 35649-2023")</f>
        <v/>
      </c>
    </row>
    <row r="194" ht="15" customHeight="1">
      <c r="A194" t="inlineStr">
        <is>
          <t>A 43178-2023</t>
        </is>
      </c>
      <c r="B194" s="1" t="n">
        <v>45183</v>
      </c>
      <c r="C194" s="1" t="n">
        <v>45827</v>
      </c>
      <c r="D194" t="inlineStr">
        <is>
          <t>STOCKHOLMS LÄN</t>
        </is>
      </c>
      <c r="E194" t="inlineStr">
        <is>
          <t>NORRTÄLJE</t>
        </is>
      </c>
      <c r="F194" t="inlineStr">
        <is>
          <t>Kyrkan</t>
        </is>
      </c>
      <c r="G194" t="n">
        <v>1.5</v>
      </c>
      <c r="H194" t="n">
        <v>0</v>
      </c>
      <c r="I194" t="n">
        <v>0</v>
      </c>
      <c r="J194" t="n">
        <v>1</v>
      </c>
      <c r="K194" t="n">
        <v>0</v>
      </c>
      <c r="L194" t="n">
        <v>0</v>
      </c>
      <c r="M194" t="n">
        <v>0</v>
      </c>
      <c r="N194" t="n">
        <v>0</v>
      </c>
      <c r="O194" t="n">
        <v>1</v>
      </c>
      <c r="P194" t="n">
        <v>0</v>
      </c>
      <c r="Q194" t="n">
        <v>1</v>
      </c>
      <c r="R194" s="2" t="inlineStr">
        <is>
          <t>Mindre bastardsvärmare</t>
        </is>
      </c>
      <c r="S194">
        <f>HYPERLINK("https://klasma.github.io/Logging_0188/artfynd/A 43178-2023 artfynd.xlsx", "A 43178-2023")</f>
        <v/>
      </c>
      <c r="T194">
        <f>HYPERLINK("https://klasma.github.io/Logging_0188/kartor/A 43178-2023 karta.png", "A 43178-2023")</f>
        <v/>
      </c>
      <c r="V194">
        <f>HYPERLINK("https://klasma.github.io/Logging_0188/klagomål/A 43178-2023 FSC-klagomål.docx", "A 43178-2023")</f>
        <v/>
      </c>
      <c r="W194">
        <f>HYPERLINK("https://klasma.github.io/Logging_0188/klagomålsmail/A 43178-2023 FSC-klagomål mail.docx", "A 43178-2023")</f>
        <v/>
      </c>
      <c r="X194">
        <f>HYPERLINK("https://klasma.github.io/Logging_0188/tillsyn/A 43178-2023 tillsynsbegäran.docx", "A 43178-2023")</f>
        <v/>
      </c>
      <c r="Y194">
        <f>HYPERLINK("https://klasma.github.io/Logging_0188/tillsynsmail/A 43178-2023 tillsynsbegäran mail.docx", "A 43178-2023")</f>
        <v/>
      </c>
    </row>
    <row r="195" ht="15" customHeight="1">
      <c r="A195" t="inlineStr">
        <is>
          <t>A 43171-2023</t>
        </is>
      </c>
      <c r="B195" s="1" t="n">
        <v>45183</v>
      </c>
      <c r="C195" s="1" t="n">
        <v>45827</v>
      </c>
      <c r="D195" t="inlineStr">
        <is>
          <t>STOCKHOLMS LÄN</t>
        </is>
      </c>
      <c r="E195" t="inlineStr">
        <is>
          <t>NORRTÄLJE</t>
        </is>
      </c>
      <c r="F195" t="inlineStr">
        <is>
          <t>Kyrkan</t>
        </is>
      </c>
      <c r="G195" t="n">
        <v>1.3</v>
      </c>
      <c r="H195" t="n">
        <v>0</v>
      </c>
      <c r="I195" t="n">
        <v>0</v>
      </c>
      <c r="J195" t="n">
        <v>0</v>
      </c>
      <c r="K195" t="n">
        <v>0</v>
      </c>
      <c r="L195" t="n">
        <v>1</v>
      </c>
      <c r="M195" t="n">
        <v>0</v>
      </c>
      <c r="N195" t="n">
        <v>0</v>
      </c>
      <c r="O195" t="n">
        <v>1</v>
      </c>
      <c r="P195" t="n">
        <v>1</v>
      </c>
      <c r="Q195" t="n">
        <v>1</v>
      </c>
      <c r="R195" s="2" t="inlineStr">
        <is>
          <t>Ryl</t>
        </is>
      </c>
      <c r="S195">
        <f>HYPERLINK("https://klasma.github.io/Logging_0188/artfynd/A 43171-2023 artfynd.xlsx", "A 43171-2023")</f>
        <v/>
      </c>
      <c r="T195">
        <f>HYPERLINK("https://klasma.github.io/Logging_0188/kartor/A 43171-2023 karta.png", "A 43171-2023")</f>
        <v/>
      </c>
      <c r="U195">
        <f>HYPERLINK("https://klasma.github.io/Logging_0188/knärot/A 43171-2023 karta knärot.png", "A 43171-2023")</f>
        <v/>
      </c>
      <c r="V195">
        <f>HYPERLINK("https://klasma.github.io/Logging_0188/klagomål/A 43171-2023 FSC-klagomål.docx", "A 43171-2023")</f>
        <v/>
      </c>
      <c r="W195">
        <f>HYPERLINK("https://klasma.github.io/Logging_0188/klagomålsmail/A 43171-2023 FSC-klagomål mail.docx", "A 43171-2023")</f>
        <v/>
      </c>
      <c r="X195">
        <f>HYPERLINK("https://klasma.github.io/Logging_0188/tillsyn/A 43171-2023 tillsynsbegäran.docx", "A 43171-2023")</f>
        <v/>
      </c>
      <c r="Y195">
        <f>HYPERLINK("https://klasma.github.io/Logging_0188/tillsynsmail/A 43171-2023 tillsynsbegäran mail.docx", "A 43171-2023")</f>
        <v/>
      </c>
    </row>
    <row r="196" ht="15" customHeight="1">
      <c r="A196" t="inlineStr">
        <is>
          <t>A 43350-2023</t>
        </is>
      </c>
      <c r="B196" s="1" t="n">
        <v>45183</v>
      </c>
      <c r="C196" s="1" t="n">
        <v>45827</v>
      </c>
      <c r="D196" t="inlineStr">
        <is>
          <t>STOCKHOLMS LÄN</t>
        </is>
      </c>
      <c r="E196" t="inlineStr">
        <is>
          <t>NORRTÄLJE</t>
        </is>
      </c>
      <c r="F196" t="inlineStr">
        <is>
          <t>Holmen skog AB</t>
        </is>
      </c>
      <c r="G196" t="n">
        <v>4.2</v>
      </c>
      <c r="H196" t="n">
        <v>1</v>
      </c>
      <c r="I196" t="n">
        <v>0</v>
      </c>
      <c r="J196" t="n">
        <v>0</v>
      </c>
      <c r="K196" t="n">
        <v>0</v>
      </c>
      <c r="L196" t="n">
        <v>0</v>
      </c>
      <c r="M196" t="n">
        <v>0</v>
      </c>
      <c r="N196" t="n">
        <v>0</v>
      </c>
      <c r="O196" t="n">
        <v>0</v>
      </c>
      <c r="P196" t="n">
        <v>0</v>
      </c>
      <c r="Q196" t="n">
        <v>1</v>
      </c>
      <c r="R196" s="2" t="inlineStr">
        <is>
          <t>Revlummer</t>
        </is>
      </c>
      <c r="S196">
        <f>HYPERLINK("https://klasma.github.io/Logging_0188/artfynd/A 43350-2023 artfynd.xlsx", "A 43350-2023")</f>
        <v/>
      </c>
      <c r="T196">
        <f>HYPERLINK("https://klasma.github.io/Logging_0188/kartor/A 43350-2023 karta.png", "A 43350-2023")</f>
        <v/>
      </c>
      <c r="V196">
        <f>HYPERLINK("https://klasma.github.io/Logging_0188/klagomål/A 43350-2023 FSC-klagomål.docx", "A 43350-2023")</f>
        <v/>
      </c>
      <c r="W196">
        <f>HYPERLINK("https://klasma.github.io/Logging_0188/klagomålsmail/A 43350-2023 FSC-klagomål mail.docx", "A 43350-2023")</f>
        <v/>
      </c>
      <c r="X196">
        <f>HYPERLINK("https://klasma.github.io/Logging_0188/tillsyn/A 43350-2023 tillsynsbegäran.docx", "A 43350-2023")</f>
        <v/>
      </c>
      <c r="Y196">
        <f>HYPERLINK("https://klasma.github.io/Logging_0188/tillsynsmail/A 43350-2023 tillsynsbegäran mail.docx", "A 43350-2023")</f>
        <v/>
      </c>
    </row>
    <row r="197" ht="15" customHeight="1">
      <c r="A197" t="inlineStr">
        <is>
          <t>A 43354-2023</t>
        </is>
      </c>
      <c r="B197" s="1" t="n">
        <v>45183</v>
      </c>
      <c r="C197" s="1" t="n">
        <v>45827</v>
      </c>
      <c r="D197" t="inlineStr">
        <is>
          <t>STOCKHOLMS LÄN</t>
        </is>
      </c>
      <c r="E197" t="inlineStr">
        <is>
          <t>NORRTÄLJE</t>
        </is>
      </c>
      <c r="F197" t="inlineStr">
        <is>
          <t>Holmen skog AB</t>
        </is>
      </c>
      <c r="G197" t="n">
        <v>9.9</v>
      </c>
      <c r="H197" t="n">
        <v>0</v>
      </c>
      <c r="I197" t="n">
        <v>1</v>
      </c>
      <c r="J197" t="n">
        <v>0</v>
      </c>
      <c r="K197" t="n">
        <v>0</v>
      </c>
      <c r="L197" t="n">
        <v>0</v>
      </c>
      <c r="M197" t="n">
        <v>0</v>
      </c>
      <c r="N197" t="n">
        <v>0</v>
      </c>
      <c r="O197" t="n">
        <v>0</v>
      </c>
      <c r="P197" t="n">
        <v>0</v>
      </c>
      <c r="Q197" t="n">
        <v>1</v>
      </c>
      <c r="R197" s="2" t="inlineStr">
        <is>
          <t>Tibast</t>
        </is>
      </c>
      <c r="S197">
        <f>HYPERLINK("https://klasma.github.io/Logging_0188/artfynd/A 43354-2023 artfynd.xlsx", "A 43354-2023")</f>
        <v/>
      </c>
      <c r="T197">
        <f>HYPERLINK("https://klasma.github.io/Logging_0188/kartor/A 43354-2023 karta.png", "A 43354-2023")</f>
        <v/>
      </c>
      <c r="V197">
        <f>HYPERLINK("https://klasma.github.io/Logging_0188/klagomål/A 43354-2023 FSC-klagomål.docx", "A 43354-2023")</f>
        <v/>
      </c>
      <c r="W197">
        <f>HYPERLINK("https://klasma.github.io/Logging_0188/klagomålsmail/A 43354-2023 FSC-klagomål mail.docx", "A 43354-2023")</f>
        <v/>
      </c>
      <c r="X197">
        <f>HYPERLINK("https://klasma.github.io/Logging_0188/tillsyn/A 43354-2023 tillsynsbegäran.docx", "A 43354-2023")</f>
        <v/>
      </c>
      <c r="Y197">
        <f>HYPERLINK("https://klasma.github.io/Logging_0188/tillsynsmail/A 43354-2023 tillsynsbegäran mail.docx", "A 43354-2023")</f>
        <v/>
      </c>
    </row>
    <row r="198" ht="15" customHeight="1">
      <c r="A198" t="inlineStr">
        <is>
          <t>A 45172-2023</t>
        </is>
      </c>
      <c r="B198" s="1" t="n">
        <v>45191</v>
      </c>
      <c r="C198" s="1" t="n">
        <v>45827</v>
      </c>
      <c r="D198" t="inlineStr">
        <is>
          <t>STOCKHOLMS LÄN</t>
        </is>
      </c>
      <c r="E198" t="inlineStr">
        <is>
          <t>NORRTÄLJE</t>
        </is>
      </c>
      <c r="F198" t="inlineStr">
        <is>
          <t>Sveaskog</t>
        </is>
      </c>
      <c r="G198" t="n">
        <v>3.8</v>
      </c>
      <c r="H198" t="n">
        <v>1</v>
      </c>
      <c r="I198" t="n">
        <v>0</v>
      </c>
      <c r="J198" t="n">
        <v>1</v>
      </c>
      <c r="K198" t="n">
        <v>0</v>
      </c>
      <c r="L198" t="n">
        <v>0</v>
      </c>
      <c r="M198" t="n">
        <v>0</v>
      </c>
      <c r="N198" t="n">
        <v>0</v>
      </c>
      <c r="O198" t="n">
        <v>1</v>
      </c>
      <c r="P198" t="n">
        <v>0</v>
      </c>
      <c r="Q198" t="n">
        <v>1</v>
      </c>
      <c r="R198" s="2" t="inlineStr">
        <is>
          <t>Slaguggla</t>
        </is>
      </c>
      <c r="S198">
        <f>HYPERLINK("https://klasma.github.io/Logging_0188/artfynd/A 45172-2023 artfynd.xlsx", "A 45172-2023")</f>
        <v/>
      </c>
      <c r="T198">
        <f>HYPERLINK("https://klasma.github.io/Logging_0188/kartor/A 45172-2023 karta.png", "A 45172-2023")</f>
        <v/>
      </c>
      <c r="V198">
        <f>HYPERLINK("https://klasma.github.io/Logging_0188/klagomål/A 45172-2023 FSC-klagomål.docx", "A 45172-2023")</f>
        <v/>
      </c>
      <c r="W198">
        <f>HYPERLINK("https://klasma.github.io/Logging_0188/klagomålsmail/A 45172-2023 FSC-klagomål mail.docx", "A 45172-2023")</f>
        <v/>
      </c>
      <c r="X198">
        <f>HYPERLINK("https://klasma.github.io/Logging_0188/tillsyn/A 45172-2023 tillsynsbegäran.docx", "A 45172-2023")</f>
        <v/>
      </c>
      <c r="Y198">
        <f>HYPERLINK("https://klasma.github.io/Logging_0188/tillsynsmail/A 45172-2023 tillsynsbegäran mail.docx", "A 45172-2023")</f>
        <v/>
      </c>
      <c r="Z198">
        <f>HYPERLINK("https://klasma.github.io/Logging_0188/fåglar/A 45172-2023 prioriterade fågelarter.docx", "A 45172-2023")</f>
        <v/>
      </c>
    </row>
    <row r="199" ht="15" customHeight="1">
      <c r="A199" t="inlineStr">
        <is>
          <t>A 48131-2023</t>
        </is>
      </c>
      <c r="B199" s="1" t="n">
        <v>45205</v>
      </c>
      <c r="C199" s="1" t="n">
        <v>45827</v>
      </c>
      <c r="D199" t="inlineStr">
        <is>
          <t>STOCKHOLMS LÄN</t>
        </is>
      </c>
      <c r="E199" t="inlineStr">
        <is>
          <t>NORRTÄLJE</t>
        </is>
      </c>
      <c r="G199" t="n">
        <v>2.3</v>
      </c>
      <c r="H199" t="n">
        <v>0</v>
      </c>
      <c r="I199" t="n">
        <v>0</v>
      </c>
      <c r="J199" t="n">
        <v>1</v>
      </c>
      <c r="K199" t="n">
        <v>0</v>
      </c>
      <c r="L199" t="n">
        <v>0</v>
      </c>
      <c r="M199" t="n">
        <v>0</v>
      </c>
      <c r="N199" t="n">
        <v>0</v>
      </c>
      <c r="O199" t="n">
        <v>1</v>
      </c>
      <c r="P199" t="n">
        <v>0</v>
      </c>
      <c r="Q199" t="n">
        <v>1</v>
      </c>
      <c r="R199" s="2" t="inlineStr">
        <is>
          <t>Slåtterfibbla</t>
        </is>
      </c>
      <c r="S199">
        <f>HYPERLINK("https://klasma.github.io/Logging_0188/artfynd/A 48131-2023 artfynd.xlsx", "A 48131-2023")</f>
        <v/>
      </c>
      <c r="T199">
        <f>HYPERLINK("https://klasma.github.io/Logging_0188/kartor/A 48131-2023 karta.png", "A 48131-2023")</f>
        <v/>
      </c>
      <c r="V199">
        <f>HYPERLINK("https://klasma.github.io/Logging_0188/klagomål/A 48131-2023 FSC-klagomål.docx", "A 48131-2023")</f>
        <v/>
      </c>
      <c r="W199">
        <f>HYPERLINK("https://klasma.github.io/Logging_0188/klagomålsmail/A 48131-2023 FSC-klagomål mail.docx", "A 48131-2023")</f>
        <v/>
      </c>
      <c r="X199">
        <f>HYPERLINK("https://klasma.github.io/Logging_0188/tillsyn/A 48131-2023 tillsynsbegäran.docx", "A 48131-2023")</f>
        <v/>
      </c>
      <c r="Y199">
        <f>HYPERLINK("https://klasma.github.io/Logging_0188/tillsynsmail/A 48131-2023 tillsynsbegäran mail.docx", "A 48131-2023")</f>
        <v/>
      </c>
    </row>
    <row r="200" ht="15" customHeight="1">
      <c r="A200" t="inlineStr">
        <is>
          <t>A 51909-2023</t>
        </is>
      </c>
      <c r="B200" s="1" t="n">
        <v>45223</v>
      </c>
      <c r="C200" s="1" t="n">
        <v>45827</v>
      </c>
      <c r="D200" t="inlineStr">
        <is>
          <t>STOCKHOLMS LÄN</t>
        </is>
      </c>
      <c r="E200" t="inlineStr">
        <is>
          <t>NORRTÄLJE</t>
        </is>
      </c>
      <c r="G200" t="n">
        <v>8.1</v>
      </c>
      <c r="H200" t="n">
        <v>1</v>
      </c>
      <c r="I200" t="n">
        <v>1</v>
      </c>
      <c r="J200" t="n">
        <v>0</v>
      </c>
      <c r="K200" t="n">
        <v>0</v>
      </c>
      <c r="L200" t="n">
        <v>0</v>
      </c>
      <c r="M200" t="n">
        <v>0</v>
      </c>
      <c r="N200" t="n">
        <v>0</v>
      </c>
      <c r="O200" t="n">
        <v>0</v>
      </c>
      <c r="P200" t="n">
        <v>0</v>
      </c>
      <c r="Q200" t="n">
        <v>1</v>
      </c>
      <c r="R200" s="2" t="inlineStr">
        <is>
          <t>Skogsknipprot</t>
        </is>
      </c>
      <c r="S200">
        <f>HYPERLINK("https://klasma.github.io/Logging_0188/artfynd/A 51909-2023 artfynd.xlsx", "A 51909-2023")</f>
        <v/>
      </c>
      <c r="T200">
        <f>HYPERLINK("https://klasma.github.io/Logging_0188/kartor/A 51909-2023 karta.png", "A 51909-2023")</f>
        <v/>
      </c>
      <c r="V200">
        <f>HYPERLINK("https://klasma.github.io/Logging_0188/klagomål/A 51909-2023 FSC-klagomål.docx", "A 51909-2023")</f>
        <v/>
      </c>
      <c r="W200">
        <f>HYPERLINK("https://klasma.github.io/Logging_0188/klagomålsmail/A 51909-2023 FSC-klagomål mail.docx", "A 51909-2023")</f>
        <v/>
      </c>
      <c r="X200">
        <f>HYPERLINK("https://klasma.github.io/Logging_0188/tillsyn/A 51909-2023 tillsynsbegäran.docx", "A 51909-2023")</f>
        <v/>
      </c>
      <c r="Y200">
        <f>HYPERLINK("https://klasma.github.io/Logging_0188/tillsynsmail/A 51909-2023 tillsynsbegäran mail.docx", "A 51909-2023")</f>
        <v/>
      </c>
    </row>
    <row r="201" ht="15" customHeight="1">
      <c r="A201" t="inlineStr">
        <is>
          <t>A 52508-2023</t>
        </is>
      </c>
      <c r="B201" s="1" t="n">
        <v>45225</v>
      </c>
      <c r="C201" s="1" t="n">
        <v>45827</v>
      </c>
      <c r="D201" t="inlineStr">
        <is>
          <t>STOCKHOLMS LÄN</t>
        </is>
      </c>
      <c r="E201" t="inlineStr">
        <is>
          <t>NORRTÄLJE</t>
        </is>
      </c>
      <c r="G201" t="n">
        <v>19.7</v>
      </c>
      <c r="H201" t="n">
        <v>1</v>
      </c>
      <c r="I201" t="n">
        <v>0</v>
      </c>
      <c r="J201" t="n">
        <v>0</v>
      </c>
      <c r="K201" t="n">
        <v>1</v>
      </c>
      <c r="L201" t="n">
        <v>0</v>
      </c>
      <c r="M201" t="n">
        <v>0</v>
      </c>
      <c r="N201" t="n">
        <v>0</v>
      </c>
      <c r="O201" t="n">
        <v>1</v>
      </c>
      <c r="P201" t="n">
        <v>1</v>
      </c>
      <c r="Q201" t="n">
        <v>1</v>
      </c>
      <c r="R201" s="2" t="inlineStr">
        <is>
          <t>Svärta</t>
        </is>
      </c>
      <c r="S201">
        <f>HYPERLINK("https://klasma.github.io/Logging_0188/artfynd/A 52508-2023 artfynd.xlsx", "A 52508-2023")</f>
        <v/>
      </c>
      <c r="T201">
        <f>HYPERLINK("https://klasma.github.io/Logging_0188/kartor/A 52508-2023 karta.png", "A 52508-2023")</f>
        <v/>
      </c>
      <c r="V201">
        <f>HYPERLINK("https://klasma.github.io/Logging_0188/klagomål/A 52508-2023 FSC-klagomål.docx", "A 52508-2023")</f>
        <v/>
      </c>
      <c r="W201">
        <f>HYPERLINK("https://klasma.github.io/Logging_0188/klagomålsmail/A 52508-2023 FSC-klagomål mail.docx", "A 52508-2023")</f>
        <v/>
      </c>
      <c r="X201">
        <f>HYPERLINK("https://klasma.github.io/Logging_0188/tillsyn/A 52508-2023 tillsynsbegäran.docx", "A 52508-2023")</f>
        <v/>
      </c>
      <c r="Y201">
        <f>HYPERLINK("https://klasma.github.io/Logging_0188/tillsynsmail/A 52508-2023 tillsynsbegäran mail.docx", "A 52508-2023")</f>
        <v/>
      </c>
    </row>
    <row r="202" ht="15" customHeight="1">
      <c r="A202" t="inlineStr">
        <is>
          <t>A 55767-2023</t>
        </is>
      </c>
      <c r="B202" s="1" t="n">
        <v>45239</v>
      </c>
      <c r="C202" s="1" t="n">
        <v>45827</v>
      </c>
      <c r="D202" t="inlineStr">
        <is>
          <t>STOCKHOLMS LÄN</t>
        </is>
      </c>
      <c r="E202" t="inlineStr">
        <is>
          <t>NORRTÄLJE</t>
        </is>
      </c>
      <c r="G202" t="n">
        <v>3.7</v>
      </c>
      <c r="H202" t="n">
        <v>0</v>
      </c>
      <c r="I202" t="n">
        <v>1</v>
      </c>
      <c r="J202" t="n">
        <v>0</v>
      </c>
      <c r="K202" t="n">
        <v>0</v>
      </c>
      <c r="L202" t="n">
        <v>0</v>
      </c>
      <c r="M202" t="n">
        <v>0</v>
      </c>
      <c r="N202" t="n">
        <v>0</v>
      </c>
      <c r="O202" t="n">
        <v>0</v>
      </c>
      <c r="P202" t="n">
        <v>0</v>
      </c>
      <c r="Q202" t="n">
        <v>1</v>
      </c>
      <c r="R202" s="2" t="inlineStr">
        <is>
          <t>Ögonpyrola</t>
        </is>
      </c>
      <c r="S202">
        <f>HYPERLINK("https://klasma.github.io/Logging_0188/artfynd/A 55767-2023 artfynd.xlsx", "A 55767-2023")</f>
        <v/>
      </c>
      <c r="T202">
        <f>HYPERLINK("https://klasma.github.io/Logging_0188/kartor/A 55767-2023 karta.png", "A 55767-2023")</f>
        <v/>
      </c>
      <c r="V202">
        <f>HYPERLINK("https://klasma.github.io/Logging_0188/klagomål/A 55767-2023 FSC-klagomål.docx", "A 55767-2023")</f>
        <v/>
      </c>
      <c r="W202">
        <f>HYPERLINK("https://klasma.github.io/Logging_0188/klagomålsmail/A 55767-2023 FSC-klagomål mail.docx", "A 55767-2023")</f>
        <v/>
      </c>
      <c r="X202">
        <f>HYPERLINK("https://klasma.github.io/Logging_0188/tillsyn/A 55767-2023 tillsynsbegäran.docx", "A 55767-2023")</f>
        <v/>
      </c>
      <c r="Y202">
        <f>HYPERLINK("https://klasma.github.io/Logging_0188/tillsynsmail/A 55767-2023 tillsynsbegäran mail.docx", "A 55767-2023")</f>
        <v/>
      </c>
    </row>
    <row r="203" ht="15" customHeight="1">
      <c r="A203" t="inlineStr">
        <is>
          <t>A 59580-2023</t>
        </is>
      </c>
      <c r="B203" s="1" t="n">
        <v>45254</v>
      </c>
      <c r="C203" s="1" t="n">
        <v>45827</v>
      </c>
      <c r="D203" t="inlineStr">
        <is>
          <t>STOCKHOLMS LÄN</t>
        </is>
      </c>
      <c r="E203" t="inlineStr">
        <is>
          <t>NORRTÄLJE</t>
        </is>
      </c>
      <c r="G203" t="n">
        <v>3.2</v>
      </c>
      <c r="H203" t="n">
        <v>0</v>
      </c>
      <c r="I203" t="n">
        <v>1</v>
      </c>
      <c r="J203" t="n">
        <v>0</v>
      </c>
      <c r="K203" t="n">
        <v>0</v>
      </c>
      <c r="L203" t="n">
        <v>0</v>
      </c>
      <c r="M203" t="n">
        <v>0</v>
      </c>
      <c r="N203" t="n">
        <v>0</v>
      </c>
      <c r="O203" t="n">
        <v>0</v>
      </c>
      <c r="P203" t="n">
        <v>0</v>
      </c>
      <c r="Q203" t="n">
        <v>1</v>
      </c>
      <c r="R203" s="2" t="inlineStr">
        <is>
          <t>Trådticka</t>
        </is>
      </c>
      <c r="S203">
        <f>HYPERLINK("https://klasma.github.io/Logging_0188/artfynd/A 59580-2023 artfynd.xlsx", "A 59580-2023")</f>
        <v/>
      </c>
      <c r="T203">
        <f>HYPERLINK("https://klasma.github.io/Logging_0188/kartor/A 59580-2023 karta.png", "A 59580-2023")</f>
        <v/>
      </c>
      <c r="V203">
        <f>HYPERLINK("https://klasma.github.io/Logging_0188/klagomål/A 59580-2023 FSC-klagomål.docx", "A 59580-2023")</f>
        <v/>
      </c>
      <c r="W203">
        <f>HYPERLINK("https://klasma.github.io/Logging_0188/klagomålsmail/A 59580-2023 FSC-klagomål mail.docx", "A 59580-2023")</f>
        <v/>
      </c>
      <c r="X203">
        <f>HYPERLINK("https://klasma.github.io/Logging_0188/tillsyn/A 59580-2023 tillsynsbegäran.docx", "A 59580-2023")</f>
        <v/>
      </c>
      <c r="Y203">
        <f>HYPERLINK("https://klasma.github.io/Logging_0188/tillsynsmail/A 59580-2023 tillsynsbegäran mail.docx", "A 59580-2023")</f>
        <v/>
      </c>
    </row>
    <row r="204" ht="15" customHeight="1">
      <c r="A204" t="inlineStr">
        <is>
          <t>A 63851-2023</t>
        </is>
      </c>
      <c r="B204" s="1" t="n">
        <v>45278</v>
      </c>
      <c r="C204" s="1" t="n">
        <v>45827</v>
      </c>
      <c r="D204" t="inlineStr">
        <is>
          <t>STOCKHOLMS LÄN</t>
        </is>
      </c>
      <c r="E204" t="inlineStr">
        <is>
          <t>NORRTÄLJE</t>
        </is>
      </c>
      <c r="G204" t="n">
        <v>5.6</v>
      </c>
      <c r="H204" t="n">
        <v>1</v>
      </c>
      <c r="I204" t="n">
        <v>0</v>
      </c>
      <c r="J204" t="n">
        <v>0</v>
      </c>
      <c r="K204" t="n">
        <v>0</v>
      </c>
      <c r="L204" t="n">
        <v>0</v>
      </c>
      <c r="M204" t="n">
        <v>0</v>
      </c>
      <c r="N204" t="n">
        <v>0</v>
      </c>
      <c r="O204" t="n">
        <v>0</v>
      </c>
      <c r="P204" t="n">
        <v>0</v>
      </c>
      <c r="Q204" t="n">
        <v>1</v>
      </c>
      <c r="R204" s="2" t="inlineStr">
        <is>
          <t>Tjäder</t>
        </is>
      </c>
      <c r="S204">
        <f>HYPERLINK("https://klasma.github.io/Logging_0188/artfynd/A 63851-2023 artfynd.xlsx", "A 63851-2023")</f>
        <v/>
      </c>
      <c r="T204">
        <f>HYPERLINK("https://klasma.github.io/Logging_0188/kartor/A 63851-2023 karta.png", "A 63851-2023")</f>
        <v/>
      </c>
      <c r="V204">
        <f>HYPERLINK("https://klasma.github.io/Logging_0188/klagomål/A 63851-2023 FSC-klagomål.docx", "A 63851-2023")</f>
        <v/>
      </c>
      <c r="W204">
        <f>HYPERLINK("https://klasma.github.io/Logging_0188/klagomålsmail/A 63851-2023 FSC-klagomål mail.docx", "A 63851-2023")</f>
        <v/>
      </c>
      <c r="X204">
        <f>HYPERLINK("https://klasma.github.io/Logging_0188/tillsyn/A 63851-2023 tillsynsbegäran.docx", "A 63851-2023")</f>
        <v/>
      </c>
      <c r="Y204">
        <f>HYPERLINK("https://klasma.github.io/Logging_0188/tillsynsmail/A 63851-2023 tillsynsbegäran mail.docx", "A 63851-2023")</f>
        <v/>
      </c>
      <c r="Z204">
        <f>HYPERLINK("https://klasma.github.io/Logging_0188/fåglar/A 63851-2023 prioriterade fågelarter.docx", "A 63851-2023")</f>
        <v/>
      </c>
    </row>
    <row r="205" ht="15" customHeight="1">
      <c r="A205" t="inlineStr">
        <is>
          <t>A 64456-2023</t>
        </is>
      </c>
      <c r="B205" s="1" t="n">
        <v>45280</v>
      </c>
      <c r="C205" s="1" t="n">
        <v>45827</v>
      </c>
      <c r="D205" t="inlineStr">
        <is>
          <t>STOCKHOLMS LÄN</t>
        </is>
      </c>
      <c r="E205" t="inlineStr">
        <is>
          <t>NORRTÄLJE</t>
        </is>
      </c>
      <c r="G205" t="n">
        <v>2.5</v>
      </c>
      <c r="H205" t="n">
        <v>0</v>
      </c>
      <c r="I205" t="n">
        <v>1</v>
      </c>
      <c r="J205" t="n">
        <v>0</v>
      </c>
      <c r="K205" t="n">
        <v>0</v>
      </c>
      <c r="L205" t="n">
        <v>0</v>
      </c>
      <c r="M205" t="n">
        <v>0</v>
      </c>
      <c r="N205" t="n">
        <v>0</v>
      </c>
      <c r="O205" t="n">
        <v>0</v>
      </c>
      <c r="P205" t="n">
        <v>0</v>
      </c>
      <c r="Q205" t="n">
        <v>1</v>
      </c>
      <c r="R205" s="2" t="inlineStr">
        <is>
          <t>Rödgul trumpetsvamp</t>
        </is>
      </c>
      <c r="S205">
        <f>HYPERLINK("https://klasma.github.io/Logging_0188/artfynd/A 64456-2023 artfynd.xlsx", "A 64456-2023")</f>
        <v/>
      </c>
      <c r="T205">
        <f>HYPERLINK("https://klasma.github.io/Logging_0188/kartor/A 64456-2023 karta.png", "A 64456-2023")</f>
        <v/>
      </c>
      <c r="V205">
        <f>HYPERLINK("https://klasma.github.io/Logging_0188/klagomål/A 64456-2023 FSC-klagomål.docx", "A 64456-2023")</f>
        <v/>
      </c>
      <c r="W205">
        <f>HYPERLINK("https://klasma.github.io/Logging_0188/klagomålsmail/A 64456-2023 FSC-klagomål mail.docx", "A 64456-2023")</f>
        <v/>
      </c>
      <c r="X205">
        <f>HYPERLINK("https://klasma.github.io/Logging_0188/tillsyn/A 64456-2023 tillsynsbegäran.docx", "A 64456-2023")</f>
        <v/>
      </c>
      <c r="Y205">
        <f>HYPERLINK("https://klasma.github.io/Logging_0188/tillsynsmail/A 64456-2023 tillsynsbegäran mail.docx", "A 64456-2023")</f>
        <v/>
      </c>
    </row>
    <row r="206" ht="15" customHeight="1">
      <c r="A206" t="inlineStr">
        <is>
          <t>A 4730-2024</t>
        </is>
      </c>
      <c r="B206" s="1" t="n">
        <v>45328</v>
      </c>
      <c r="C206" s="1" t="n">
        <v>45827</v>
      </c>
      <c r="D206" t="inlineStr">
        <is>
          <t>STOCKHOLMS LÄN</t>
        </is>
      </c>
      <c r="E206" t="inlineStr">
        <is>
          <t>NORRTÄLJE</t>
        </is>
      </c>
      <c r="G206" t="n">
        <v>4.4</v>
      </c>
      <c r="H206" t="n">
        <v>1</v>
      </c>
      <c r="I206" t="n">
        <v>0</v>
      </c>
      <c r="J206" t="n">
        <v>0</v>
      </c>
      <c r="K206" t="n">
        <v>0</v>
      </c>
      <c r="L206" t="n">
        <v>0</v>
      </c>
      <c r="M206" t="n">
        <v>0</v>
      </c>
      <c r="N206" t="n">
        <v>0</v>
      </c>
      <c r="O206" t="n">
        <v>0</v>
      </c>
      <c r="P206" t="n">
        <v>0</v>
      </c>
      <c r="Q206" t="n">
        <v>1</v>
      </c>
      <c r="R206" s="2" t="inlineStr">
        <is>
          <t>Blåsippa</t>
        </is>
      </c>
      <c r="S206">
        <f>HYPERLINK("https://klasma.github.io/Logging_0188/artfynd/A 4730-2024 artfynd.xlsx", "A 4730-2024")</f>
        <v/>
      </c>
      <c r="T206">
        <f>HYPERLINK("https://klasma.github.io/Logging_0188/kartor/A 4730-2024 karta.png", "A 4730-2024")</f>
        <v/>
      </c>
      <c r="V206">
        <f>HYPERLINK("https://klasma.github.io/Logging_0188/klagomål/A 4730-2024 FSC-klagomål.docx", "A 4730-2024")</f>
        <v/>
      </c>
      <c r="W206">
        <f>HYPERLINK("https://klasma.github.io/Logging_0188/klagomålsmail/A 4730-2024 FSC-klagomål mail.docx", "A 4730-2024")</f>
        <v/>
      </c>
      <c r="X206">
        <f>HYPERLINK("https://klasma.github.io/Logging_0188/tillsyn/A 4730-2024 tillsynsbegäran.docx", "A 4730-2024")</f>
        <v/>
      </c>
      <c r="Y206">
        <f>HYPERLINK("https://klasma.github.io/Logging_0188/tillsynsmail/A 4730-2024 tillsynsbegäran mail.docx", "A 4730-2024")</f>
        <v/>
      </c>
    </row>
    <row r="207" ht="15" customHeight="1">
      <c r="A207" t="inlineStr">
        <is>
          <t>A 6950-2024</t>
        </is>
      </c>
      <c r="B207" s="1" t="n">
        <v>45343</v>
      </c>
      <c r="C207" s="1" t="n">
        <v>45827</v>
      </c>
      <c r="D207" t="inlineStr">
        <is>
          <t>STOCKHOLMS LÄN</t>
        </is>
      </c>
      <c r="E207" t="inlineStr">
        <is>
          <t>NORRTÄLJE</t>
        </is>
      </c>
      <c r="G207" t="n">
        <v>26.8</v>
      </c>
      <c r="H207" t="n">
        <v>1</v>
      </c>
      <c r="I207" t="n">
        <v>0</v>
      </c>
      <c r="J207" t="n">
        <v>0</v>
      </c>
      <c r="K207" t="n">
        <v>0</v>
      </c>
      <c r="L207" t="n">
        <v>0</v>
      </c>
      <c r="M207" t="n">
        <v>0</v>
      </c>
      <c r="N207" t="n">
        <v>0</v>
      </c>
      <c r="O207" t="n">
        <v>0</v>
      </c>
      <c r="P207" t="n">
        <v>0</v>
      </c>
      <c r="Q207" t="n">
        <v>1</v>
      </c>
      <c r="R207" s="2" t="inlineStr">
        <is>
          <t>Blåsippa</t>
        </is>
      </c>
      <c r="S207">
        <f>HYPERLINK("https://klasma.github.io/Logging_0188/artfynd/A 6950-2024 artfynd.xlsx", "A 6950-2024")</f>
        <v/>
      </c>
      <c r="T207">
        <f>HYPERLINK("https://klasma.github.io/Logging_0188/kartor/A 6950-2024 karta.png", "A 6950-2024")</f>
        <v/>
      </c>
      <c r="V207">
        <f>HYPERLINK("https://klasma.github.io/Logging_0188/klagomål/A 6950-2024 FSC-klagomål.docx", "A 6950-2024")</f>
        <v/>
      </c>
      <c r="W207">
        <f>HYPERLINK("https://klasma.github.io/Logging_0188/klagomålsmail/A 6950-2024 FSC-klagomål mail.docx", "A 6950-2024")</f>
        <v/>
      </c>
      <c r="X207">
        <f>HYPERLINK("https://klasma.github.io/Logging_0188/tillsyn/A 6950-2024 tillsynsbegäran.docx", "A 6950-2024")</f>
        <v/>
      </c>
      <c r="Y207">
        <f>HYPERLINK("https://klasma.github.io/Logging_0188/tillsynsmail/A 6950-2024 tillsynsbegäran mail.docx", "A 6950-2024")</f>
        <v/>
      </c>
    </row>
    <row r="208" ht="15" customHeight="1">
      <c r="A208" t="inlineStr">
        <is>
          <t>A 20468-2024</t>
        </is>
      </c>
      <c r="B208" s="1" t="n">
        <v>45435</v>
      </c>
      <c r="C208" s="1" t="n">
        <v>45827</v>
      </c>
      <c r="D208" t="inlineStr">
        <is>
          <t>STOCKHOLMS LÄN</t>
        </is>
      </c>
      <c r="E208" t="inlineStr">
        <is>
          <t>NORRTÄLJE</t>
        </is>
      </c>
      <c r="G208" t="n">
        <v>2.2</v>
      </c>
      <c r="H208" t="n">
        <v>0</v>
      </c>
      <c r="I208" t="n">
        <v>0</v>
      </c>
      <c r="J208" t="n">
        <v>0</v>
      </c>
      <c r="K208" t="n">
        <v>0</v>
      </c>
      <c r="L208" t="n">
        <v>1</v>
      </c>
      <c r="M208" t="n">
        <v>0</v>
      </c>
      <c r="N208" t="n">
        <v>0</v>
      </c>
      <c r="O208" t="n">
        <v>1</v>
      </c>
      <c r="P208" t="n">
        <v>1</v>
      </c>
      <c r="Q208" t="n">
        <v>1</v>
      </c>
      <c r="R208" s="2" t="inlineStr">
        <is>
          <t>Fältgentiana</t>
        </is>
      </c>
      <c r="S208">
        <f>HYPERLINK("https://klasma.github.io/Logging_0188/artfynd/A 20468-2024 artfynd.xlsx", "A 20468-2024")</f>
        <v/>
      </c>
      <c r="T208">
        <f>HYPERLINK("https://klasma.github.io/Logging_0188/kartor/A 20468-2024 karta.png", "A 20468-2024")</f>
        <v/>
      </c>
      <c r="V208">
        <f>HYPERLINK("https://klasma.github.io/Logging_0188/klagomål/A 20468-2024 FSC-klagomål.docx", "A 20468-2024")</f>
        <v/>
      </c>
      <c r="W208">
        <f>HYPERLINK("https://klasma.github.io/Logging_0188/klagomålsmail/A 20468-2024 FSC-klagomål mail.docx", "A 20468-2024")</f>
        <v/>
      </c>
      <c r="X208">
        <f>HYPERLINK("https://klasma.github.io/Logging_0188/tillsyn/A 20468-2024 tillsynsbegäran.docx", "A 20468-2024")</f>
        <v/>
      </c>
      <c r="Y208">
        <f>HYPERLINK("https://klasma.github.io/Logging_0188/tillsynsmail/A 20468-2024 tillsynsbegäran mail.docx", "A 20468-2024")</f>
        <v/>
      </c>
    </row>
    <row r="209" ht="15" customHeight="1">
      <c r="A209" t="inlineStr">
        <is>
          <t>A 22190-2024</t>
        </is>
      </c>
      <c r="B209" s="1" t="n">
        <v>45446</v>
      </c>
      <c r="C209" s="1" t="n">
        <v>45827</v>
      </c>
      <c r="D209" t="inlineStr">
        <is>
          <t>STOCKHOLMS LÄN</t>
        </is>
      </c>
      <c r="E209" t="inlineStr">
        <is>
          <t>NORRTÄLJE</t>
        </is>
      </c>
      <c r="G209" t="n">
        <v>2.8</v>
      </c>
      <c r="H209" t="n">
        <v>1</v>
      </c>
      <c r="I209" t="n">
        <v>0</v>
      </c>
      <c r="J209" t="n">
        <v>0</v>
      </c>
      <c r="K209" t="n">
        <v>0</v>
      </c>
      <c r="L209" t="n">
        <v>0</v>
      </c>
      <c r="M209" t="n">
        <v>0</v>
      </c>
      <c r="N209" t="n">
        <v>0</v>
      </c>
      <c r="O209" t="n">
        <v>0</v>
      </c>
      <c r="P209" t="n">
        <v>0</v>
      </c>
      <c r="Q209" t="n">
        <v>1</v>
      </c>
      <c r="R209" s="2" t="inlineStr">
        <is>
          <t>Vanlig groda</t>
        </is>
      </c>
      <c r="S209">
        <f>HYPERLINK("https://klasma.github.io/Logging_0188/artfynd/A 22190-2024 artfynd.xlsx", "A 22190-2024")</f>
        <v/>
      </c>
      <c r="T209">
        <f>HYPERLINK("https://klasma.github.io/Logging_0188/kartor/A 22190-2024 karta.png", "A 22190-2024")</f>
        <v/>
      </c>
      <c r="V209">
        <f>HYPERLINK("https://klasma.github.io/Logging_0188/klagomål/A 22190-2024 FSC-klagomål.docx", "A 22190-2024")</f>
        <v/>
      </c>
      <c r="W209">
        <f>HYPERLINK("https://klasma.github.io/Logging_0188/klagomålsmail/A 22190-2024 FSC-klagomål mail.docx", "A 22190-2024")</f>
        <v/>
      </c>
      <c r="X209">
        <f>HYPERLINK("https://klasma.github.io/Logging_0188/tillsyn/A 22190-2024 tillsynsbegäran.docx", "A 22190-2024")</f>
        <v/>
      </c>
      <c r="Y209">
        <f>HYPERLINK("https://klasma.github.io/Logging_0188/tillsynsmail/A 22190-2024 tillsynsbegäran mail.docx", "A 22190-2024")</f>
        <v/>
      </c>
    </row>
    <row r="210" ht="15" customHeight="1">
      <c r="A210" t="inlineStr">
        <is>
          <t>A 23146-2024</t>
        </is>
      </c>
      <c r="B210" s="1" t="n">
        <v>45450</v>
      </c>
      <c r="C210" s="1" t="n">
        <v>45827</v>
      </c>
      <c r="D210" t="inlineStr">
        <is>
          <t>STOCKHOLMS LÄN</t>
        </is>
      </c>
      <c r="E210" t="inlineStr">
        <is>
          <t>NORRTÄLJE</t>
        </is>
      </c>
      <c r="F210" t="inlineStr">
        <is>
          <t>Kommuner</t>
        </is>
      </c>
      <c r="G210" t="n">
        <v>6</v>
      </c>
      <c r="H210" t="n">
        <v>0</v>
      </c>
      <c r="I210" t="n">
        <v>0</v>
      </c>
      <c r="J210" t="n">
        <v>1</v>
      </c>
      <c r="K210" t="n">
        <v>0</v>
      </c>
      <c r="L210" t="n">
        <v>0</v>
      </c>
      <c r="M210" t="n">
        <v>0</v>
      </c>
      <c r="N210" t="n">
        <v>0</v>
      </c>
      <c r="O210" t="n">
        <v>1</v>
      </c>
      <c r="P210" t="n">
        <v>0</v>
      </c>
      <c r="Q210" t="n">
        <v>1</v>
      </c>
      <c r="R210" s="2" t="inlineStr">
        <is>
          <t>Motaggsvamp</t>
        </is>
      </c>
      <c r="S210">
        <f>HYPERLINK("https://klasma.github.io/Logging_0188/artfynd/A 23146-2024 artfynd.xlsx", "A 23146-2024")</f>
        <v/>
      </c>
      <c r="T210">
        <f>HYPERLINK("https://klasma.github.io/Logging_0188/kartor/A 23146-2024 karta.png", "A 23146-2024")</f>
        <v/>
      </c>
      <c r="V210">
        <f>HYPERLINK("https://klasma.github.io/Logging_0188/klagomål/A 23146-2024 FSC-klagomål.docx", "A 23146-2024")</f>
        <v/>
      </c>
      <c r="W210">
        <f>HYPERLINK("https://klasma.github.io/Logging_0188/klagomålsmail/A 23146-2024 FSC-klagomål mail.docx", "A 23146-2024")</f>
        <v/>
      </c>
      <c r="X210">
        <f>HYPERLINK("https://klasma.github.io/Logging_0188/tillsyn/A 23146-2024 tillsynsbegäran.docx", "A 23146-2024")</f>
        <v/>
      </c>
      <c r="Y210">
        <f>HYPERLINK("https://klasma.github.io/Logging_0188/tillsynsmail/A 23146-2024 tillsynsbegäran mail.docx", "A 23146-2024")</f>
        <v/>
      </c>
    </row>
    <row r="211" ht="15" customHeight="1">
      <c r="A211" t="inlineStr">
        <is>
          <t>A 24577-2024</t>
        </is>
      </c>
      <c r="B211" s="1" t="n">
        <v>45460</v>
      </c>
      <c r="C211" s="1" t="n">
        <v>45827</v>
      </c>
      <c r="D211" t="inlineStr">
        <is>
          <t>STOCKHOLMS LÄN</t>
        </is>
      </c>
      <c r="E211" t="inlineStr">
        <is>
          <t>NORRTÄLJE</t>
        </is>
      </c>
      <c r="G211" t="n">
        <v>3.8</v>
      </c>
      <c r="H211" t="n">
        <v>0</v>
      </c>
      <c r="I211" t="n">
        <v>1</v>
      </c>
      <c r="J211" t="n">
        <v>0</v>
      </c>
      <c r="K211" t="n">
        <v>0</v>
      </c>
      <c r="L211" t="n">
        <v>0</v>
      </c>
      <c r="M211" t="n">
        <v>0</v>
      </c>
      <c r="N211" t="n">
        <v>0</v>
      </c>
      <c r="O211" t="n">
        <v>0</v>
      </c>
      <c r="P211" t="n">
        <v>0</v>
      </c>
      <c r="Q211" t="n">
        <v>1</v>
      </c>
      <c r="R211" s="2" t="inlineStr">
        <is>
          <t>Rostfläck</t>
        </is>
      </c>
      <c r="S211">
        <f>HYPERLINK("https://klasma.github.io/Logging_0188/artfynd/A 24577-2024 artfynd.xlsx", "A 24577-2024")</f>
        <v/>
      </c>
      <c r="T211">
        <f>HYPERLINK("https://klasma.github.io/Logging_0188/kartor/A 24577-2024 karta.png", "A 24577-2024")</f>
        <v/>
      </c>
      <c r="V211">
        <f>HYPERLINK("https://klasma.github.io/Logging_0188/klagomål/A 24577-2024 FSC-klagomål.docx", "A 24577-2024")</f>
        <v/>
      </c>
      <c r="W211">
        <f>HYPERLINK("https://klasma.github.io/Logging_0188/klagomålsmail/A 24577-2024 FSC-klagomål mail.docx", "A 24577-2024")</f>
        <v/>
      </c>
      <c r="X211">
        <f>HYPERLINK("https://klasma.github.io/Logging_0188/tillsyn/A 24577-2024 tillsynsbegäran.docx", "A 24577-2024")</f>
        <v/>
      </c>
      <c r="Y211">
        <f>HYPERLINK("https://klasma.github.io/Logging_0188/tillsynsmail/A 24577-2024 tillsynsbegäran mail.docx", "A 24577-2024")</f>
        <v/>
      </c>
    </row>
    <row r="212" ht="15" customHeight="1">
      <c r="A212" t="inlineStr">
        <is>
          <t>A 24528-2024</t>
        </is>
      </c>
      <c r="B212" s="1" t="n">
        <v>45460</v>
      </c>
      <c r="C212" s="1" t="n">
        <v>45827</v>
      </c>
      <c r="D212" t="inlineStr">
        <is>
          <t>STOCKHOLMS LÄN</t>
        </is>
      </c>
      <c r="E212" t="inlineStr">
        <is>
          <t>NORRTÄLJE</t>
        </is>
      </c>
      <c r="G212" t="n">
        <v>1.4</v>
      </c>
      <c r="H212" t="n">
        <v>1</v>
      </c>
      <c r="I212" t="n">
        <v>0</v>
      </c>
      <c r="J212" t="n">
        <v>0</v>
      </c>
      <c r="K212" t="n">
        <v>1</v>
      </c>
      <c r="L212" t="n">
        <v>0</v>
      </c>
      <c r="M212" t="n">
        <v>0</v>
      </c>
      <c r="N212" t="n">
        <v>0</v>
      </c>
      <c r="O212" t="n">
        <v>1</v>
      </c>
      <c r="P212" t="n">
        <v>1</v>
      </c>
      <c r="Q212" t="n">
        <v>1</v>
      </c>
      <c r="R212" s="2" t="inlineStr">
        <is>
          <t>Hällebräcka</t>
        </is>
      </c>
      <c r="S212">
        <f>HYPERLINK("https://klasma.github.io/Logging_0188/artfynd/A 24528-2024 artfynd.xlsx", "A 24528-2024")</f>
        <v/>
      </c>
      <c r="T212">
        <f>HYPERLINK("https://klasma.github.io/Logging_0188/kartor/A 24528-2024 karta.png", "A 24528-2024")</f>
        <v/>
      </c>
      <c r="V212">
        <f>HYPERLINK("https://klasma.github.io/Logging_0188/klagomål/A 24528-2024 FSC-klagomål.docx", "A 24528-2024")</f>
        <v/>
      </c>
      <c r="W212">
        <f>HYPERLINK("https://klasma.github.io/Logging_0188/klagomålsmail/A 24528-2024 FSC-klagomål mail.docx", "A 24528-2024")</f>
        <v/>
      </c>
      <c r="X212">
        <f>HYPERLINK("https://klasma.github.io/Logging_0188/tillsyn/A 24528-2024 tillsynsbegäran.docx", "A 24528-2024")</f>
        <v/>
      </c>
      <c r="Y212">
        <f>HYPERLINK("https://klasma.github.io/Logging_0188/tillsynsmail/A 24528-2024 tillsynsbegäran mail.docx", "A 24528-2024")</f>
        <v/>
      </c>
    </row>
    <row r="213" ht="15" customHeight="1">
      <c r="A213" t="inlineStr">
        <is>
          <t>A 26120-2024</t>
        </is>
      </c>
      <c r="B213" s="1" t="n">
        <v>45468</v>
      </c>
      <c r="C213" s="1" t="n">
        <v>45827</v>
      </c>
      <c r="D213" t="inlineStr">
        <is>
          <t>STOCKHOLMS LÄN</t>
        </is>
      </c>
      <c r="E213" t="inlineStr">
        <is>
          <t>NORRTÄLJE</t>
        </is>
      </c>
      <c r="G213" t="n">
        <v>1.8</v>
      </c>
      <c r="H213" t="n">
        <v>0</v>
      </c>
      <c r="I213" t="n">
        <v>0</v>
      </c>
      <c r="J213" t="n">
        <v>1</v>
      </c>
      <c r="K213" t="n">
        <v>0</v>
      </c>
      <c r="L213" t="n">
        <v>0</v>
      </c>
      <c r="M213" t="n">
        <v>0</v>
      </c>
      <c r="N213" t="n">
        <v>0</v>
      </c>
      <c r="O213" t="n">
        <v>1</v>
      </c>
      <c r="P213" t="n">
        <v>0</v>
      </c>
      <c r="Q213" t="n">
        <v>1</v>
      </c>
      <c r="R213" s="2" t="inlineStr">
        <is>
          <t>Majviva</t>
        </is>
      </c>
      <c r="S213">
        <f>HYPERLINK("https://klasma.github.io/Logging_0188/artfynd/A 26120-2024 artfynd.xlsx", "A 26120-2024")</f>
        <v/>
      </c>
      <c r="T213">
        <f>HYPERLINK("https://klasma.github.io/Logging_0188/kartor/A 26120-2024 karta.png", "A 26120-2024")</f>
        <v/>
      </c>
      <c r="V213">
        <f>HYPERLINK("https://klasma.github.io/Logging_0188/klagomål/A 26120-2024 FSC-klagomål.docx", "A 26120-2024")</f>
        <v/>
      </c>
      <c r="W213">
        <f>HYPERLINK("https://klasma.github.io/Logging_0188/klagomålsmail/A 26120-2024 FSC-klagomål mail.docx", "A 26120-2024")</f>
        <v/>
      </c>
      <c r="X213">
        <f>HYPERLINK("https://klasma.github.io/Logging_0188/tillsyn/A 26120-2024 tillsynsbegäran.docx", "A 26120-2024")</f>
        <v/>
      </c>
      <c r="Y213">
        <f>HYPERLINK("https://klasma.github.io/Logging_0188/tillsynsmail/A 26120-2024 tillsynsbegäran mail.docx", "A 26120-2024")</f>
        <v/>
      </c>
    </row>
    <row r="214" ht="15" customHeight="1">
      <c r="A214" t="inlineStr">
        <is>
          <t>A 27538-2024</t>
        </is>
      </c>
      <c r="B214" s="1" t="n">
        <v>45474</v>
      </c>
      <c r="C214" s="1" t="n">
        <v>45827</v>
      </c>
      <c r="D214" t="inlineStr">
        <is>
          <t>STOCKHOLMS LÄN</t>
        </is>
      </c>
      <c r="E214" t="inlineStr">
        <is>
          <t>NORRTÄLJE</t>
        </is>
      </c>
      <c r="G214" t="n">
        <v>1.5</v>
      </c>
      <c r="H214" t="n">
        <v>1</v>
      </c>
      <c r="I214" t="n">
        <v>1</v>
      </c>
      <c r="J214" t="n">
        <v>0</v>
      </c>
      <c r="K214" t="n">
        <v>0</v>
      </c>
      <c r="L214" t="n">
        <v>0</v>
      </c>
      <c r="M214" t="n">
        <v>0</v>
      </c>
      <c r="N214" t="n">
        <v>0</v>
      </c>
      <c r="O214" t="n">
        <v>0</v>
      </c>
      <c r="P214" t="n">
        <v>0</v>
      </c>
      <c r="Q214" t="n">
        <v>1</v>
      </c>
      <c r="R214" s="2" t="inlineStr">
        <is>
          <t>Skogsknipprot</t>
        </is>
      </c>
      <c r="S214">
        <f>HYPERLINK("https://klasma.github.io/Logging_0188/artfynd/A 27538-2024 artfynd.xlsx", "A 27538-2024")</f>
        <v/>
      </c>
      <c r="T214">
        <f>HYPERLINK("https://klasma.github.io/Logging_0188/kartor/A 27538-2024 karta.png", "A 27538-2024")</f>
        <v/>
      </c>
      <c r="V214">
        <f>HYPERLINK("https://klasma.github.io/Logging_0188/klagomål/A 27538-2024 FSC-klagomål.docx", "A 27538-2024")</f>
        <v/>
      </c>
      <c r="W214">
        <f>HYPERLINK("https://klasma.github.io/Logging_0188/klagomålsmail/A 27538-2024 FSC-klagomål mail.docx", "A 27538-2024")</f>
        <v/>
      </c>
      <c r="X214">
        <f>HYPERLINK("https://klasma.github.io/Logging_0188/tillsyn/A 27538-2024 tillsynsbegäran.docx", "A 27538-2024")</f>
        <v/>
      </c>
      <c r="Y214">
        <f>HYPERLINK("https://klasma.github.io/Logging_0188/tillsynsmail/A 27538-2024 tillsynsbegäran mail.docx", "A 27538-2024")</f>
        <v/>
      </c>
    </row>
    <row r="215" ht="15" customHeight="1">
      <c r="A215" t="inlineStr">
        <is>
          <t>A 35764-2024</t>
        </is>
      </c>
      <c r="B215" s="1" t="n">
        <v>45532</v>
      </c>
      <c r="C215" s="1" t="n">
        <v>45827</v>
      </c>
      <c r="D215" t="inlineStr">
        <is>
          <t>STOCKHOLMS LÄN</t>
        </is>
      </c>
      <c r="E215" t="inlineStr">
        <is>
          <t>NORRTÄLJE</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HYPERLINK("https://klasma.github.io/Logging_0188/artfynd/A 35764-2024 artfynd.xlsx", "A 35764-2024")</f>
        <v/>
      </c>
      <c r="T215">
        <f>HYPERLINK("https://klasma.github.io/Logging_0188/kartor/A 35764-2024 karta.png", "A 35764-2024")</f>
        <v/>
      </c>
      <c r="U215">
        <f>HYPERLINK("https://klasma.github.io/Logging_0188/knärot/A 35764-2024 karta knärot.png", "A 35764-2024")</f>
        <v/>
      </c>
      <c r="V215">
        <f>HYPERLINK("https://klasma.github.io/Logging_0188/klagomål/A 35764-2024 FSC-klagomål.docx", "A 35764-2024")</f>
        <v/>
      </c>
      <c r="W215">
        <f>HYPERLINK("https://klasma.github.io/Logging_0188/klagomålsmail/A 35764-2024 FSC-klagomål mail.docx", "A 35764-2024")</f>
        <v/>
      </c>
      <c r="X215">
        <f>HYPERLINK("https://klasma.github.io/Logging_0188/tillsyn/A 35764-2024 tillsynsbegäran.docx", "A 35764-2024")</f>
        <v/>
      </c>
      <c r="Y215">
        <f>HYPERLINK("https://klasma.github.io/Logging_0188/tillsynsmail/A 35764-2024 tillsynsbegäran mail.docx", "A 35764-2024")</f>
        <v/>
      </c>
    </row>
    <row r="216" ht="15" customHeight="1">
      <c r="A216" t="inlineStr">
        <is>
          <t>A 37918-2024</t>
        </is>
      </c>
      <c r="B216" s="1" t="n">
        <v>45544</v>
      </c>
      <c r="C216" s="1" t="n">
        <v>45827</v>
      </c>
      <c r="D216" t="inlineStr">
        <is>
          <t>STOCKHOLMS LÄN</t>
        </is>
      </c>
      <c r="E216" t="inlineStr">
        <is>
          <t>NORRTÄLJE</t>
        </is>
      </c>
      <c r="F216" t="inlineStr">
        <is>
          <t>Holmen skog AB</t>
        </is>
      </c>
      <c r="G216" t="n">
        <v>8.4</v>
      </c>
      <c r="H216" t="n">
        <v>1</v>
      </c>
      <c r="I216" t="n">
        <v>0</v>
      </c>
      <c r="J216" t="n">
        <v>0</v>
      </c>
      <c r="K216" t="n">
        <v>0</v>
      </c>
      <c r="L216" t="n">
        <v>1</v>
      </c>
      <c r="M216" t="n">
        <v>0</v>
      </c>
      <c r="N216" t="n">
        <v>0</v>
      </c>
      <c r="O216" t="n">
        <v>1</v>
      </c>
      <c r="P216" t="n">
        <v>1</v>
      </c>
      <c r="Q216" t="n">
        <v>1</v>
      </c>
      <c r="R216" s="2" t="inlineStr">
        <is>
          <t>Asknätfjäril</t>
        </is>
      </c>
      <c r="S216">
        <f>HYPERLINK("https://klasma.github.io/Logging_0188/artfynd/A 37918-2024 artfynd.xlsx", "A 37918-2024")</f>
        <v/>
      </c>
      <c r="T216">
        <f>HYPERLINK("https://klasma.github.io/Logging_0188/kartor/A 37918-2024 karta.png", "A 37918-2024")</f>
        <v/>
      </c>
      <c r="V216">
        <f>HYPERLINK("https://klasma.github.io/Logging_0188/klagomål/A 37918-2024 FSC-klagomål.docx", "A 37918-2024")</f>
        <v/>
      </c>
      <c r="W216">
        <f>HYPERLINK("https://klasma.github.io/Logging_0188/klagomålsmail/A 37918-2024 FSC-klagomål mail.docx", "A 37918-2024")</f>
        <v/>
      </c>
      <c r="X216">
        <f>HYPERLINK("https://klasma.github.io/Logging_0188/tillsyn/A 37918-2024 tillsynsbegäran.docx", "A 37918-2024")</f>
        <v/>
      </c>
      <c r="Y216">
        <f>HYPERLINK("https://klasma.github.io/Logging_0188/tillsynsmail/A 37918-2024 tillsynsbegäran mail.docx", "A 37918-2024")</f>
        <v/>
      </c>
    </row>
    <row r="217" ht="15" customHeight="1">
      <c r="A217" t="inlineStr">
        <is>
          <t>A 44547-2024</t>
        </is>
      </c>
      <c r="B217" s="1" t="n">
        <v>45574</v>
      </c>
      <c r="C217" s="1" t="n">
        <v>45827</v>
      </c>
      <c r="D217" t="inlineStr">
        <is>
          <t>STOCKHOLMS LÄN</t>
        </is>
      </c>
      <c r="E217" t="inlineStr">
        <is>
          <t>NORRTÄLJE</t>
        </is>
      </c>
      <c r="G217" t="n">
        <v>11.1</v>
      </c>
      <c r="H217" t="n">
        <v>0</v>
      </c>
      <c r="I217" t="n">
        <v>0</v>
      </c>
      <c r="J217" t="n">
        <v>1</v>
      </c>
      <c r="K217" t="n">
        <v>0</v>
      </c>
      <c r="L217" t="n">
        <v>0</v>
      </c>
      <c r="M217" t="n">
        <v>0</v>
      </c>
      <c r="N217" t="n">
        <v>0</v>
      </c>
      <c r="O217" t="n">
        <v>1</v>
      </c>
      <c r="P217" t="n">
        <v>0</v>
      </c>
      <c r="Q217" t="n">
        <v>1</v>
      </c>
      <c r="R217" s="2" t="inlineStr">
        <is>
          <t>Skogsklocka</t>
        </is>
      </c>
      <c r="S217">
        <f>HYPERLINK("https://klasma.github.io/Logging_0188/artfynd/A 44547-2024 artfynd.xlsx", "A 44547-2024")</f>
        <v/>
      </c>
      <c r="T217">
        <f>HYPERLINK("https://klasma.github.io/Logging_0188/kartor/A 44547-2024 karta.png", "A 44547-2024")</f>
        <v/>
      </c>
      <c r="V217">
        <f>HYPERLINK("https://klasma.github.io/Logging_0188/klagomål/A 44547-2024 FSC-klagomål.docx", "A 44547-2024")</f>
        <v/>
      </c>
      <c r="W217">
        <f>HYPERLINK("https://klasma.github.io/Logging_0188/klagomålsmail/A 44547-2024 FSC-klagomål mail.docx", "A 44547-2024")</f>
        <v/>
      </c>
      <c r="X217">
        <f>HYPERLINK("https://klasma.github.io/Logging_0188/tillsyn/A 44547-2024 tillsynsbegäran.docx", "A 44547-2024")</f>
        <v/>
      </c>
      <c r="Y217">
        <f>HYPERLINK("https://klasma.github.io/Logging_0188/tillsynsmail/A 44547-2024 tillsynsbegäran mail.docx", "A 44547-2024")</f>
        <v/>
      </c>
    </row>
    <row r="218" ht="15" customHeight="1">
      <c r="A218" t="inlineStr">
        <is>
          <t>A 52363-2024</t>
        </is>
      </c>
      <c r="B218" s="1" t="n">
        <v>45609</v>
      </c>
      <c r="C218" s="1" t="n">
        <v>45827</v>
      </c>
      <c r="D218" t="inlineStr">
        <is>
          <t>STOCKHOLMS LÄN</t>
        </is>
      </c>
      <c r="E218" t="inlineStr">
        <is>
          <t>NORRTÄLJE</t>
        </is>
      </c>
      <c r="G218" t="n">
        <v>9.199999999999999</v>
      </c>
      <c r="H218" t="n">
        <v>1</v>
      </c>
      <c r="I218" t="n">
        <v>0</v>
      </c>
      <c r="J218" t="n">
        <v>0</v>
      </c>
      <c r="K218" t="n">
        <v>0</v>
      </c>
      <c r="L218" t="n">
        <v>0</v>
      </c>
      <c r="M218" t="n">
        <v>0</v>
      </c>
      <c r="N218" t="n">
        <v>0</v>
      </c>
      <c r="O218" t="n">
        <v>0</v>
      </c>
      <c r="P218" t="n">
        <v>0</v>
      </c>
      <c r="Q218" t="n">
        <v>1</v>
      </c>
      <c r="R218" s="2" t="inlineStr">
        <is>
          <t>Revlummer</t>
        </is>
      </c>
      <c r="S218">
        <f>HYPERLINK("https://klasma.github.io/Logging_0188/artfynd/A 52363-2024 artfynd.xlsx", "A 52363-2024")</f>
        <v/>
      </c>
      <c r="T218">
        <f>HYPERLINK("https://klasma.github.io/Logging_0188/kartor/A 52363-2024 karta.png", "A 52363-2024")</f>
        <v/>
      </c>
      <c r="V218">
        <f>HYPERLINK("https://klasma.github.io/Logging_0188/klagomål/A 52363-2024 FSC-klagomål.docx", "A 52363-2024")</f>
        <v/>
      </c>
      <c r="W218">
        <f>HYPERLINK("https://klasma.github.io/Logging_0188/klagomålsmail/A 52363-2024 FSC-klagomål mail.docx", "A 52363-2024")</f>
        <v/>
      </c>
      <c r="X218">
        <f>HYPERLINK("https://klasma.github.io/Logging_0188/tillsyn/A 52363-2024 tillsynsbegäran.docx", "A 52363-2024")</f>
        <v/>
      </c>
      <c r="Y218">
        <f>HYPERLINK("https://klasma.github.io/Logging_0188/tillsynsmail/A 52363-2024 tillsynsbegäran mail.docx", "A 52363-2024")</f>
        <v/>
      </c>
    </row>
    <row r="219" ht="15" customHeight="1">
      <c r="A219" t="inlineStr">
        <is>
          <t>A 52611-2024</t>
        </is>
      </c>
      <c r="B219" s="1" t="n">
        <v>45609</v>
      </c>
      <c r="C219" s="1" t="n">
        <v>45827</v>
      </c>
      <c r="D219" t="inlineStr">
        <is>
          <t>STOCKHOLMS LÄN</t>
        </is>
      </c>
      <c r="E219" t="inlineStr">
        <is>
          <t>NORRTÄLJE</t>
        </is>
      </c>
      <c r="G219" t="n">
        <v>10.6</v>
      </c>
      <c r="H219" t="n">
        <v>1</v>
      </c>
      <c r="I219" t="n">
        <v>0</v>
      </c>
      <c r="J219" t="n">
        <v>0</v>
      </c>
      <c r="K219" t="n">
        <v>0</v>
      </c>
      <c r="L219" t="n">
        <v>0</v>
      </c>
      <c r="M219" t="n">
        <v>0</v>
      </c>
      <c r="N219" t="n">
        <v>0</v>
      </c>
      <c r="O219" t="n">
        <v>0</v>
      </c>
      <c r="P219" t="n">
        <v>0</v>
      </c>
      <c r="Q219" t="n">
        <v>1</v>
      </c>
      <c r="R219" s="2" t="inlineStr">
        <is>
          <t>Blåsippa</t>
        </is>
      </c>
      <c r="S219">
        <f>HYPERLINK("https://klasma.github.io/Logging_0188/artfynd/A 52611-2024 artfynd.xlsx", "A 52611-2024")</f>
        <v/>
      </c>
      <c r="T219">
        <f>HYPERLINK("https://klasma.github.io/Logging_0188/kartor/A 52611-2024 karta.png", "A 52611-2024")</f>
        <v/>
      </c>
      <c r="V219">
        <f>HYPERLINK("https://klasma.github.io/Logging_0188/klagomål/A 52611-2024 FSC-klagomål.docx", "A 52611-2024")</f>
        <v/>
      </c>
      <c r="W219">
        <f>HYPERLINK("https://klasma.github.io/Logging_0188/klagomålsmail/A 52611-2024 FSC-klagomål mail.docx", "A 52611-2024")</f>
        <v/>
      </c>
      <c r="X219">
        <f>HYPERLINK("https://klasma.github.io/Logging_0188/tillsyn/A 52611-2024 tillsynsbegäran.docx", "A 52611-2024")</f>
        <v/>
      </c>
      <c r="Y219">
        <f>HYPERLINK("https://klasma.github.io/Logging_0188/tillsynsmail/A 52611-2024 tillsynsbegäran mail.docx", "A 52611-2024")</f>
        <v/>
      </c>
    </row>
    <row r="220" ht="15" customHeight="1">
      <c r="A220" t="inlineStr">
        <is>
          <t>A 62129-2024</t>
        </is>
      </c>
      <c r="B220" s="1" t="n">
        <v>45646</v>
      </c>
      <c r="C220" s="1" t="n">
        <v>45827</v>
      </c>
      <c r="D220" t="inlineStr">
        <is>
          <t>STOCKHOLMS LÄN</t>
        </is>
      </c>
      <c r="E220" t="inlineStr">
        <is>
          <t>NORRTÄLJE</t>
        </is>
      </c>
      <c r="G220" t="n">
        <v>5.9</v>
      </c>
      <c r="H220" t="n">
        <v>0</v>
      </c>
      <c r="I220" t="n">
        <v>1</v>
      </c>
      <c r="J220" t="n">
        <v>0</v>
      </c>
      <c r="K220" t="n">
        <v>0</v>
      </c>
      <c r="L220" t="n">
        <v>0</v>
      </c>
      <c r="M220" t="n">
        <v>0</v>
      </c>
      <c r="N220" t="n">
        <v>0</v>
      </c>
      <c r="O220" t="n">
        <v>0</v>
      </c>
      <c r="P220" t="n">
        <v>0</v>
      </c>
      <c r="Q220" t="n">
        <v>1</v>
      </c>
      <c r="R220" s="2" t="inlineStr">
        <is>
          <t>Bronshjon</t>
        </is>
      </c>
      <c r="S220">
        <f>HYPERLINK("https://klasma.github.io/Logging_0188/artfynd/A 62129-2024 artfynd.xlsx", "A 62129-2024")</f>
        <v/>
      </c>
      <c r="T220">
        <f>HYPERLINK("https://klasma.github.io/Logging_0188/kartor/A 62129-2024 karta.png", "A 62129-2024")</f>
        <v/>
      </c>
      <c r="V220">
        <f>HYPERLINK("https://klasma.github.io/Logging_0188/klagomål/A 62129-2024 FSC-klagomål.docx", "A 62129-2024")</f>
        <v/>
      </c>
      <c r="W220">
        <f>HYPERLINK("https://klasma.github.io/Logging_0188/klagomålsmail/A 62129-2024 FSC-klagomål mail.docx", "A 62129-2024")</f>
        <v/>
      </c>
      <c r="X220">
        <f>HYPERLINK("https://klasma.github.io/Logging_0188/tillsyn/A 62129-2024 tillsynsbegäran.docx", "A 62129-2024")</f>
        <v/>
      </c>
      <c r="Y220">
        <f>HYPERLINK("https://klasma.github.io/Logging_0188/tillsynsmail/A 62129-2024 tillsynsbegäran mail.docx", "A 62129-2024")</f>
        <v/>
      </c>
    </row>
    <row r="221" ht="15" customHeight="1">
      <c r="A221" t="inlineStr">
        <is>
          <t>A 3116-2025</t>
        </is>
      </c>
      <c r="B221" s="1" t="n">
        <v>45678</v>
      </c>
      <c r="C221" s="1" t="n">
        <v>45827</v>
      </c>
      <c r="D221" t="inlineStr">
        <is>
          <t>STOCKHOLMS LÄN</t>
        </is>
      </c>
      <c r="E221" t="inlineStr">
        <is>
          <t>NORRTÄLJE</t>
        </is>
      </c>
      <c r="G221" t="n">
        <v>10.8</v>
      </c>
      <c r="H221" t="n">
        <v>1</v>
      </c>
      <c r="I221" t="n">
        <v>0</v>
      </c>
      <c r="J221" t="n">
        <v>0</v>
      </c>
      <c r="K221" t="n">
        <v>0</v>
      </c>
      <c r="L221" t="n">
        <v>0</v>
      </c>
      <c r="M221" t="n">
        <v>0</v>
      </c>
      <c r="N221" t="n">
        <v>0</v>
      </c>
      <c r="O221" t="n">
        <v>0</v>
      </c>
      <c r="P221" t="n">
        <v>0</v>
      </c>
      <c r="Q221" t="n">
        <v>1</v>
      </c>
      <c r="R221" s="2" t="inlineStr">
        <is>
          <t>Mattlummer</t>
        </is>
      </c>
      <c r="S221">
        <f>HYPERLINK("https://klasma.github.io/Logging_0188/artfynd/A 3116-2025 artfynd.xlsx", "A 3116-2025")</f>
        <v/>
      </c>
      <c r="T221">
        <f>HYPERLINK("https://klasma.github.io/Logging_0188/kartor/A 3116-2025 karta.png", "A 3116-2025")</f>
        <v/>
      </c>
      <c r="V221">
        <f>HYPERLINK("https://klasma.github.io/Logging_0188/klagomål/A 3116-2025 FSC-klagomål.docx", "A 3116-2025")</f>
        <v/>
      </c>
      <c r="W221">
        <f>HYPERLINK("https://klasma.github.io/Logging_0188/klagomålsmail/A 3116-2025 FSC-klagomål mail.docx", "A 3116-2025")</f>
        <v/>
      </c>
      <c r="X221">
        <f>HYPERLINK("https://klasma.github.io/Logging_0188/tillsyn/A 3116-2025 tillsynsbegäran.docx", "A 3116-2025")</f>
        <v/>
      </c>
      <c r="Y221">
        <f>HYPERLINK("https://klasma.github.io/Logging_0188/tillsynsmail/A 3116-2025 tillsynsbegäran mail.docx", "A 3116-2025")</f>
        <v/>
      </c>
    </row>
    <row r="222" ht="15" customHeight="1">
      <c r="A222" t="inlineStr">
        <is>
          <t>A 4532-2025</t>
        </is>
      </c>
      <c r="B222" s="1" t="n">
        <v>45687</v>
      </c>
      <c r="C222" s="1" t="n">
        <v>45827</v>
      </c>
      <c r="D222" t="inlineStr">
        <is>
          <t>STOCKHOLMS LÄN</t>
        </is>
      </c>
      <c r="E222" t="inlineStr">
        <is>
          <t>NORRTÄLJE</t>
        </is>
      </c>
      <c r="F222" t="inlineStr">
        <is>
          <t>Holmen skog AB</t>
        </is>
      </c>
      <c r="G222" t="n">
        <v>6.4</v>
      </c>
      <c r="H222" t="n">
        <v>1</v>
      </c>
      <c r="I222" t="n">
        <v>0</v>
      </c>
      <c r="J222" t="n">
        <v>0</v>
      </c>
      <c r="K222" t="n">
        <v>0</v>
      </c>
      <c r="L222" t="n">
        <v>1</v>
      </c>
      <c r="M222" t="n">
        <v>0</v>
      </c>
      <c r="N222" t="n">
        <v>0</v>
      </c>
      <c r="O222" t="n">
        <v>1</v>
      </c>
      <c r="P222" t="n">
        <v>1</v>
      </c>
      <c r="Q222" t="n">
        <v>1</v>
      </c>
      <c r="R222" s="2" t="inlineStr">
        <is>
          <t>Asknätfjäril</t>
        </is>
      </c>
      <c r="S222">
        <f>HYPERLINK("https://klasma.github.io/Logging_0188/artfynd/A 4532-2025 artfynd.xlsx", "A 4532-2025")</f>
        <v/>
      </c>
      <c r="T222">
        <f>HYPERLINK("https://klasma.github.io/Logging_0188/kartor/A 4532-2025 karta.png", "A 4532-2025")</f>
        <v/>
      </c>
      <c r="V222">
        <f>HYPERLINK("https://klasma.github.io/Logging_0188/klagomål/A 4532-2025 FSC-klagomål.docx", "A 4532-2025")</f>
        <v/>
      </c>
      <c r="W222">
        <f>HYPERLINK("https://klasma.github.io/Logging_0188/klagomålsmail/A 4532-2025 FSC-klagomål mail.docx", "A 4532-2025")</f>
        <v/>
      </c>
      <c r="X222">
        <f>HYPERLINK("https://klasma.github.io/Logging_0188/tillsyn/A 4532-2025 tillsynsbegäran.docx", "A 4532-2025")</f>
        <v/>
      </c>
      <c r="Y222">
        <f>HYPERLINK("https://klasma.github.io/Logging_0188/tillsynsmail/A 4532-2025 tillsynsbegäran mail.docx", "A 4532-2025")</f>
        <v/>
      </c>
    </row>
    <row r="223" ht="15" customHeight="1">
      <c r="A223" t="inlineStr">
        <is>
          <t>A 8371-2025</t>
        </is>
      </c>
      <c r="B223" s="1" t="n">
        <v>45708</v>
      </c>
      <c r="C223" s="1" t="n">
        <v>45827</v>
      </c>
      <c r="D223" t="inlineStr">
        <is>
          <t>STOCKHOLMS LÄN</t>
        </is>
      </c>
      <c r="E223" t="inlineStr">
        <is>
          <t>NORRTÄLJE</t>
        </is>
      </c>
      <c r="F223" t="inlineStr">
        <is>
          <t>Övriga Aktiebolag</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HYPERLINK("https://klasma.github.io/Logging_0188/artfynd/A 8371-2025 artfynd.xlsx", "A 8371-2025")</f>
        <v/>
      </c>
      <c r="T223">
        <f>HYPERLINK("https://klasma.github.io/Logging_0188/kartor/A 8371-2025 karta.png", "A 8371-2025")</f>
        <v/>
      </c>
      <c r="V223">
        <f>HYPERLINK("https://klasma.github.io/Logging_0188/klagomål/A 8371-2025 FSC-klagomål.docx", "A 8371-2025")</f>
        <v/>
      </c>
      <c r="W223">
        <f>HYPERLINK("https://klasma.github.io/Logging_0188/klagomålsmail/A 8371-2025 FSC-klagomål mail.docx", "A 8371-2025")</f>
        <v/>
      </c>
      <c r="X223">
        <f>HYPERLINK("https://klasma.github.io/Logging_0188/tillsyn/A 8371-2025 tillsynsbegäran.docx", "A 8371-2025")</f>
        <v/>
      </c>
      <c r="Y223">
        <f>HYPERLINK("https://klasma.github.io/Logging_0188/tillsynsmail/A 8371-2025 tillsynsbegäran mail.docx", "A 8371-2025")</f>
        <v/>
      </c>
      <c r="Z223">
        <f>HYPERLINK("https://klasma.github.io/Logging_0188/fåglar/A 8371-2025 prioriterade fågelarter.docx", "A 8371-2025")</f>
        <v/>
      </c>
    </row>
    <row r="224" ht="15" customHeight="1">
      <c r="A224" t="inlineStr">
        <is>
          <t>A 13271-2025</t>
        </is>
      </c>
      <c r="B224" s="1" t="n">
        <v>45735</v>
      </c>
      <c r="C224" s="1" t="n">
        <v>45827</v>
      </c>
      <c r="D224" t="inlineStr">
        <is>
          <t>STOCKHOLMS LÄN</t>
        </is>
      </c>
      <c r="E224" t="inlineStr">
        <is>
          <t>NORRTÄLJE</t>
        </is>
      </c>
      <c r="G224" t="n">
        <v>7.2</v>
      </c>
      <c r="H224" t="n">
        <v>1</v>
      </c>
      <c r="I224" t="n">
        <v>0</v>
      </c>
      <c r="J224" t="n">
        <v>0</v>
      </c>
      <c r="K224" t="n">
        <v>0</v>
      </c>
      <c r="L224" t="n">
        <v>1</v>
      </c>
      <c r="M224" t="n">
        <v>0</v>
      </c>
      <c r="N224" t="n">
        <v>0</v>
      </c>
      <c r="O224" t="n">
        <v>1</v>
      </c>
      <c r="P224" t="n">
        <v>1</v>
      </c>
      <c r="Q224" t="n">
        <v>1</v>
      </c>
      <c r="R224" s="2" t="inlineStr">
        <is>
          <t>Asknätfjäril</t>
        </is>
      </c>
      <c r="S224">
        <f>HYPERLINK("https://klasma.github.io/Logging_010188/artfynd/A 13271-2025 artfynd.xlsx", "A 13271-2025")</f>
        <v/>
      </c>
      <c r="T224">
        <f>HYPERLINK("https://klasma.github.io/Logging_010188/kartor/A 13271-2025 karta.png", "A 13271-2025")</f>
        <v/>
      </c>
      <c r="V224">
        <f>HYPERLINK("https://klasma.github.io/Logging_010188/klagomål/A 13271-2025 FSC-klagomål.docx", "A 13271-2025")</f>
        <v/>
      </c>
      <c r="W224">
        <f>HYPERLINK("https://klasma.github.io/Logging_010188/klagomålsmail/A 13271-2025 FSC-klagomål mail.docx", "A 13271-2025")</f>
        <v/>
      </c>
      <c r="X224">
        <f>HYPERLINK("https://klasma.github.io/Logging_010188/tillsyn/A 13271-2025 tillsynsbegäran.docx", "A 13271-2025")</f>
        <v/>
      </c>
      <c r="Y224">
        <f>HYPERLINK("https://klasma.github.io/Logging_010188/tillsynsmail/A 13271-2025 tillsynsbegäran mail.docx", "A 13271-2025")</f>
        <v/>
      </c>
    </row>
    <row r="225" ht="15" customHeight="1">
      <c r="A225" t="inlineStr">
        <is>
          <t>A 14365-2025</t>
        </is>
      </c>
      <c r="B225" s="1" t="n">
        <v>45741</v>
      </c>
      <c r="C225" s="1" t="n">
        <v>45827</v>
      </c>
      <c r="D225" t="inlineStr">
        <is>
          <t>STOCKHOLMS LÄN</t>
        </is>
      </c>
      <c r="E225" t="inlineStr">
        <is>
          <t>NORRTÄLJE</t>
        </is>
      </c>
      <c r="G225" t="n">
        <v>2.4</v>
      </c>
      <c r="H225" t="n">
        <v>0</v>
      </c>
      <c r="I225" t="n">
        <v>0</v>
      </c>
      <c r="J225" t="n">
        <v>1</v>
      </c>
      <c r="K225" t="n">
        <v>0</v>
      </c>
      <c r="L225" t="n">
        <v>0</v>
      </c>
      <c r="M225" t="n">
        <v>0</v>
      </c>
      <c r="N225" t="n">
        <v>0</v>
      </c>
      <c r="O225" t="n">
        <v>1</v>
      </c>
      <c r="P225" t="n">
        <v>0</v>
      </c>
      <c r="Q225" t="n">
        <v>1</v>
      </c>
      <c r="R225" s="2" t="inlineStr">
        <is>
          <t>Granticka</t>
        </is>
      </c>
      <c r="S225">
        <f>HYPERLINK("https://klasma.github.io/Logging_010188/artfynd/A 14365-2025 artfynd.xlsx", "A 14365-2025")</f>
        <v/>
      </c>
      <c r="T225">
        <f>HYPERLINK("https://klasma.github.io/Logging_010188/kartor/A 14365-2025 karta.png", "A 14365-2025")</f>
        <v/>
      </c>
      <c r="V225">
        <f>HYPERLINK("https://klasma.github.io/Logging_010188/klagomål/A 14365-2025 FSC-klagomål.docx", "A 14365-2025")</f>
        <v/>
      </c>
      <c r="W225">
        <f>HYPERLINK("https://klasma.github.io/Logging_010188/klagomålsmail/A 14365-2025 FSC-klagomål mail.docx", "A 14365-2025")</f>
        <v/>
      </c>
      <c r="X225">
        <f>HYPERLINK("https://klasma.github.io/Logging_010188/tillsyn/A 14365-2025 tillsynsbegäran.docx", "A 14365-2025")</f>
        <v/>
      </c>
      <c r="Y225">
        <f>HYPERLINK("https://klasma.github.io/Logging_010188/tillsynsmail/A 14365-2025 tillsynsbegäran mail.docx", "A 14365-2025")</f>
        <v/>
      </c>
    </row>
    <row r="226" ht="15" customHeight="1">
      <c r="A226" t="inlineStr">
        <is>
          <t>A 16870-2025</t>
        </is>
      </c>
      <c r="B226" s="1" t="n">
        <v>45754</v>
      </c>
      <c r="C226" s="1" t="n">
        <v>45827</v>
      </c>
      <c r="D226" t="inlineStr">
        <is>
          <t>STOCKHOLMS LÄN</t>
        </is>
      </c>
      <c r="E226" t="inlineStr">
        <is>
          <t>NORRTÄLJE</t>
        </is>
      </c>
      <c r="G226" t="n">
        <v>24.6</v>
      </c>
      <c r="H226" t="n">
        <v>1</v>
      </c>
      <c r="I226" t="n">
        <v>0</v>
      </c>
      <c r="J226" t="n">
        <v>0</v>
      </c>
      <c r="K226" t="n">
        <v>0</v>
      </c>
      <c r="L226" t="n">
        <v>0</v>
      </c>
      <c r="M226" t="n">
        <v>0</v>
      </c>
      <c r="N226" t="n">
        <v>0</v>
      </c>
      <c r="O226" t="n">
        <v>0</v>
      </c>
      <c r="P226" t="n">
        <v>0</v>
      </c>
      <c r="Q226" t="n">
        <v>1</v>
      </c>
      <c r="R226" s="2" t="inlineStr">
        <is>
          <t>Vanlig groda</t>
        </is>
      </c>
      <c r="S226">
        <f>HYPERLINK("https://klasma.github.io/Logging_010188/artfynd/A 16870-2025 artfynd.xlsx", "A 16870-2025")</f>
        <v/>
      </c>
      <c r="T226">
        <f>HYPERLINK("https://klasma.github.io/Logging_010188/kartor/A 16870-2025 karta.png", "A 16870-2025")</f>
        <v/>
      </c>
      <c r="V226">
        <f>HYPERLINK("https://klasma.github.io/Logging_010188/klagomål/A 16870-2025 FSC-klagomål.docx", "A 16870-2025")</f>
        <v/>
      </c>
      <c r="W226">
        <f>HYPERLINK("https://klasma.github.io/Logging_010188/klagomålsmail/A 16870-2025 FSC-klagomål mail.docx", "A 16870-2025")</f>
        <v/>
      </c>
      <c r="X226">
        <f>HYPERLINK("https://klasma.github.io/Logging_010188/tillsyn/A 16870-2025 tillsynsbegäran.docx", "A 16870-2025")</f>
        <v/>
      </c>
      <c r="Y226">
        <f>HYPERLINK("https://klasma.github.io/Logging_010188/tillsynsmail/A 16870-2025 tillsynsbegäran mail.docx", "A 16870-2025")</f>
        <v/>
      </c>
    </row>
    <row r="227" ht="15" customHeight="1">
      <c r="A227" t="inlineStr">
        <is>
          <t>A 21927-2025</t>
        </is>
      </c>
      <c r="B227" s="1" t="n">
        <v>45784</v>
      </c>
      <c r="C227" s="1" t="n">
        <v>45827</v>
      </c>
      <c r="D227" t="inlineStr">
        <is>
          <t>STOCKHOLMS LÄN</t>
        </is>
      </c>
      <c r="E227" t="inlineStr">
        <is>
          <t>NORRTÄLJE</t>
        </is>
      </c>
      <c r="G227" t="n">
        <v>3.4</v>
      </c>
      <c r="H227" t="n">
        <v>1</v>
      </c>
      <c r="I227" t="n">
        <v>1</v>
      </c>
      <c r="J227" t="n">
        <v>0</v>
      </c>
      <c r="K227" t="n">
        <v>0</v>
      </c>
      <c r="L227" t="n">
        <v>0</v>
      </c>
      <c r="M227" t="n">
        <v>0</v>
      </c>
      <c r="N227" t="n">
        <v>0</v>
      </c>
      <c r="O227" t="n">
        <v>0</v>
      </c>
      <c r="P227" t="n">
        <v>0</v>
      </c>
      <c r="Q227" t="n">
        <v>1</v>
      </c>
      <c r="R227" s="2" t="inlineStr">
        <is>
          <t>Nästrot</t>
        </is>
      </c>
      <c r="S227">
        <f>HYPERLINK("https://klasma.github.io/Logging_010188/artfynd/A 21927-2025 artfynd.xlsx", "A 21927-2025")</f>
        <v/>
      </c>
      <c r="T227">
        <f>HYPERLINK("https://klasma.github.io/Logging_010188/kartor/A 21927-2025 karta.png", "A 21927-2025")</f>
        <v/>
      </c>
      <c r="V227">
        <f>HYPERLINK("https://klasma.github.io/Logging_010188/klagomål/A 21927-2025 FSC-klagomål.docx", "A 21927-2025")</f>
        <v/>
      </c>
      <c r="W227">
        <f>HYPERLINK("https://klasma.github.io/Logging_010188/klagomålsmail/A 21927-2025 FSC-klagomål mail.docx", "A 21927-2025")</f>
        <v/>
      </c>
      <c r="X227">
        <f>HYPERLINK("https://klasma.github.io/Logging_010188/tillsyn/A 21927-2025 tillsynsbegäran.docx", "A 21927-2025")</f>
        <v/>
      </c>
      <c r="Y227">
        <f>HYPERLINK("https://klasma.github.io/Logging_010188/tillsynsmail/A 21927-2025 tillsynsbegäran mail.docx", "A 21927-2025")</f>
        <v/>
      </c>
    </row>
    <row r="228" ht="15" customHeight="1">
      <c r="A228" t="inlineStr">
        <is>
          <t>A 23905-2025</t>
        </is>
      </c>
      <c r="B228" s="1" t="n">
        <v>45794</v>
      </c>
      <c r="C228" s="1" t="n">
        <v>45827</v>
      </c>
      <c r="D228" t="inlineStr">
        <is>
          <t>STOCKHOLMS LÄN</t>
        </is>
      </c>
      <c r="E228" t="inlineStr">
        <is>
          <t>NORRTÄLJE</t>
        </is>
      </c>
      <c r="G228" t="n">
        <v>8.4</v>
      </c>
      <c r="H228" t="n">
        <v>1</v>
      </c>
      <c r="I228" t="n">
        <v>0</v>
      </c>
      <c r="J228" t="n">
        <v>0</v>
      </c>
      <c r="K228" t="n">
        <v>0</v>
      </c>
      <c r="L228" t="n">
        <v>0</v>
      </c>
      <c r="M228" t="n">
        <v>0</v>
      </c>
      <c r="N228" t="n">
        <v>0</v>
      </c>
      <c r="O228" t="n">
        <v>0</v>
      </c>
      <c r="P228" t="n">
        <v>0</v>
      </c>
      <c r="Q228" t="n">
        <v>1</v>
      </c>
      <c r="R228" s="2" t="inlineStr">
        <is>
          <t>Blåsippa</t>
        </is>
      </c>
      <c r="S228">
        <f>HYPERLINK("https://klasma.github.io/Logging_010188/artfynd/A 23905-2025 artfynd.xlsx", "A 23905-2025")</f>
        <v/>
      </c>
      <c r="T228">
        <f>HYPERLINK("https://klasma.github.io/Logging_010188/kartor/A 23905-2025 karta.png", "A 23905-2025")</f>
        <v/>
      </c>
      <c r="V228">
        <f>HYPERLINK("https://klasma.github.io/Logging_010188/klagomål/A 23905-2025 FSC-klagomål.docx", "A 23905-2025")</f>
        <v/>
      </c>
      <c r="W228">
        <f>HYPERLINK("https://klasma.github.io/Logging_010188/klagomålsmail/A 23905-2025 FSC-klagomål mail.docx", "A 23905-2025")</f>
        <v/>
      </c>
      <c r="X228">
        <f>HYPERLINK("https://klasma.github.io/Logging_010188/tillsyn/A 23905-2025 tillsynsbegäran.docx", "A 23905-2025")</f>
        <v/>
      </c>
      <c r="Y228">
        <f>HYPERLINK("https://klasma.github.io/Logging_010188/tillsynsmail/A 23905-2025 tillsynsbegäran mail.docx", "A 23905-2025")</f>
        <v/>
      </c>
    </row>
    <row r="229" ht="15" customHeight="1">
      <c r="A229" t="inlineStr">
        <is>
          <t>A 24692-2025</t>
        </is>
      </c>
      <c r="B229" s="1" t="n">
        <v>45798</v>
      </c>
      <c r="C229" s="1" t="n">
        <v>45827</v>
      </c>
      <c r="D229" t="inlineStr">
        <is>
          <t>STOCKHOLMS LÄN</t>
        </is>
      </c>
      <c r="E229" t="inlineStr">
        <is>
          <t>NORRTÄLJE</t>
        </is>
      </c>
      <c r="G229" t="n">
        <v>26.3</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24692-2025 artfynd.xlsx", "A 24692-2025")</f>
        <v/>
      </c>
      <c r="T229">
        <f>HYPERLINK("https://klasma.github.io/Logging_010188/kartor/A 24692-2025 karta.png", "A 24692-2025")</f>
        <v/>
      </c>
      <c r="V229">
        <f>HYPERLINK("https://klasma.github.io/Logging_010188/klagomål/A 24692-2025 FSC-klagomål.docx", "A 24692-2025")</f>
        <v/>
      </c>
      <c r="W229">
        <f>HYPERLINK("https://klasma.github.io/Logging_010188/klagomålsmail/A 24692-2025 FSC-klagomål mail.docx", "A 24692-2025")</f>
        <v/>
      </c>
      <c r="X229">
        <f>HYPERLINK("https://klasma.github.io/Logging_010188/tillsyn/A 24692-2025 tillsynsbegäran.docx", "A 24692-2025")</f>
        <v/>
      </c>
      <c r="Y229">
        <f>HYPERLINK("https://klasma.github.io/Logging_010188/tillsynsmail/A 24692-2025 tillsynsbegäran mail.docx", "A 24692-2025")</f>
        <v/>
      </c>
    </row>
    <row r="230" ht="15" customHeight="1">
      <c r="A230" t="inlineStr">
        <is>
          <t>A 25687-2025</t>
        </is>
      </c>
      <c r="B230" s="1" t="n">
        <v>45800</v>
      </c>
      <c r="C230" s="1" t="n">
        <v>45827</v>
      </c>
      <c r="D230" t="inlineStr">
        <is>
          <t>STOCKHOLMS LÄN</t>
        </is>
      </c>
      <c r="E230" t="inlineStr">
        <is>
          <t>NORRTÄLJE</t>
        </is>
      </c>
      <c r="G230" t="n">
        <v>15.7</v>
      </c>
      <c r="H230" t="n">
        <v>0</v>
      </c>
      <c r="I230" t="n">
        <v>1</v>
      </c>
      <c r="J230" t="n">
        <v>0</v>
      </c>
      <c r="K230" t="n">
        <v>0</v>
      </c>
      <c r="L230" t="n">
        <v>0</v>
      </c>
      <c r="M230" t="n">
        <v>0</v>
      </c>
      <c r="N230" t="n">
        <v>0</v>
      </c>
      <c r="O230" t="n">
        <v>0</v>
      </c>
      <c r="P230" t="n">
        <v>0</v>
      </c>
      <c r="Q230" t="n">
        <v>1</v>
      </c>
      <c r="R230" s="2" t="inlineStr">
        <is>
          <t>Grönpyrola</t>
        </is>
      </c>
      <c r="S230">
        <f>HYPERLINK("https://klasma.github.io/Logging_010188/artfynd/A 25687-2025 artfynd.xlsx", "A 25687-2025")</f>
        <v/>
      </c>
      <c r="T230">
        <f>HYPERLINK("https://klasma.github.io/Logging_010188/kartor/A 25687-2025 karta.png", "A 25687-2025")</f>
        <v/>
      </c>
      <c r="V230">
        <f>HYPERLINK("https://klasma.github.io/Logging_010188/klagomål/A 25687-2025 FSC-klagomål.docx", "A 25687-2025")</f>
        <v/>
      </c>
      <c r="W230">
        <f>HYPERLINK("https://klasma.github.io/Logging_010188/klagomålsmail/A 25687-2025 FSC-klagomål mail.docx", "A 25687-2025")</f>
        <v/>
      </c>
      <c r="X230">
        <f>HYPERLINK("https://klasma.github.io/Logging_010188/tillsyn/A 25687-2025 tillsynsbegäran.docx", "A 25687-2025")</f>
        <v/>
      </c>
      <c r="Y230">
        <f>HYPERLINK("https://klasma.github.io/Logging_010188/tillsynsmail/A 25687-2025 tillsynsbegäran mail.docx", "A 25687-2025")</f>
        <v/>
      </c>
    </row>
    <row r="231" ht="15" customHeight="1">
      <c r="A231" t="inlineStr">
        <is>
          <t>A 25669-2025</t>
        </is>
      </c>
      <c r="B231" s="1" t="n">
        <v>45803</v>
      </c>
      <c r="C231" s="1" t="n">
        <v>45827</v>
      </c>
      <c r="D231" t="inlineStr">
        <is>
          <t>STOCKHOLMS LÄN</t>
        </is>
      </c>
      <c r="E231" t="inlineStr">
        <is>
          <t>NORRTÄLJE</t>
        </is>
      </c>
      <c r="F231" t="inlineStr">
        <is>
          <t>Holmen skog AB</t>
        </is>
      </c>
      <c r="G231" t="n">
        <v>3.1</v>
      </c>
      <c r="H231" t="n">
        <v>1</v>
      </c>
      <c r="I231" t="n">
        <v>0</v>
      </c>
      <c r="J231" t="n">
        <v>0</v>
      </c>
      <c r="K231" t="n">
        <v>0</v>
      </c>
      <c r="L231" t="n">
        <v>0</v>
      </c>
      <c r="M231" t="n">
        <v>0</v>
      </c>
      <c r="N231" t="n">
        <v>0</v>
      </c>
      <c r="O231" t="n">
        <v>0</v>
      </c>
      <c r="P231" t="n">
        <v>0</v>
      </c>
      <c r="Q231" t="n">
        <v>1</v>
      </c>
      <c r="R231" s="2" t="inlineStr">
        <is>
          <t>Tjäder</t>
        </is>
      </c>
      <c r="S231">
        <f>HYPERLINK("https://klasma.github.io/Logging_010188/artfynd/A 25669-2025 artfynd.xlsx", "A 25669-2025")</f>
        <v/>
      </c>
      <c r="T231">
        <f>HYPERLINK("https://klasma.github.io/Logging_010188/kartor/A 25669-2025 karta.png", "A 25669-2025")</f>
        <v/>
      </c>
      <c r="V231">
        <f>HYPERLINK("https://klasma.github.io/Logging_010188/klagomål/A 25669-2025 FSC-klagomål.docx", "A 25669-2025")</f>
        <v/>
      </c>
      <c r="W231">
        <f>HYPERLINK("https://klasma.github.io/Logging_010188/klagomålsmail/A 25669-2025 FSC-klagomål mail.docx", "A 25669-2025")</f>
        <v/>
      </c>
      <c r="X231">
        <f>HYPERLINK("https://klasma.github.io/Logging_010188/tillsyn/A 25669-2025 tillsynsbegäran.docx", "A 25669-2025")</f>
        <v/>
      </c>
      <c r="Y231">
        <f>HYPERLINK("https://klasma.github.io/Logging_010188/tillsynsmail/A 25669-2025 tillsynsbegäran mail.docx", "A 25669-2025")</f>
        <v/>
      </c>
      <c r="Z231">
        <f>HYPERLINK("https://klasma.github.io/Logging_010188/fåglar/A 25669-2025 prioriterade fågelarter.docx", "A 25669-2025")</f>
        <v/>
      </c>
    </row>
    <row r="232" ht="15" customHeight="1">
      <c r="A232" t="inlineStr">
        <is>
          <t>A 29946-2025</t>
        </is>
      </c>
      <c r="B232" s="1" t="n">
        <v>45826</v>
      </c>
      <c r="C232" s="1" t="n">
        <v>45827</v>
      </c>
      <c r="D232" t="inlineStr">
        <is>
          <t>STOCKHOLMS LÄN</t>
        </is>
      </c>
      <c r="E232" t="inlineStr">
        <is>
          <t>NORRTÄLJE</t>
        </is>
      </c>
      <c r="F232" t="inlineStr">
        <is>
          <t>Holmen skog AB</t>
        </is>
      </c>
      <c r="G232" t="n">
        <v>3.6</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29946-2025 artfynd.xlsx", "A 29946-2025")</f>
        <v/>
      </c>
      <c r="T232">
        <f>HYPERLINK("https://klasma.github.io/Logging_010188/kartor/A 29946-2025 karta.png", "A 29946-2025")</f>
        <v/>
      </c>
      <c r="V232">
        <f>HYPERLINK("https://klasma.github.io/Logging_010188/klagomål/A 29946-2025 FSC-klagomål.docx", "A 29946-2025")</f>
        <v/>
      </c>
      <c r="W232">
        <f>HYPERLINK("https://klasma.github.io/Logging_010188/klagomålsmail/A 29946-2025 FSC-klagomål mail.docx", "A 29946-2025")</f>
        <v/>
      </c>
      <c r="X232">
        <f>HYPERLINK("https://klasma.github.io/Logging_010188/tillsyn/A 29946-2025 tillsynsbegäran.docx", "A 29946-2025")</f>
        <v/>
      </c>
      <c r="Y232">
        <f>HYPERLINK("https://klasma.github.io/Logging_010188/tillsynsmail/A 29946-2025 tillsynsbegäran mail.docx", "A 29946-2025")</f>
        <v/>
      </c>
    </row>
    <row r="233" ht="15" customHeight="1">
      <c r="A233" t="inlineStr">
        <is>
          <t>A 17752-2019</t>
        </is>
      </c>
      <c r="B233" s="1" t="n">
        <v>43556</v>
      </c>
      <c r="C233" s="1" t="n">
        <v>45827</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17795-2019</t>
        </is>
      </c>
      <c r="B234" s="1" t="n">
        <v>43556</v>
      </c>
      <c r="C234" s="1" t="n">
        <v>45827</v>
      </c>
      <c r="D234" t="inlineStr">
        <is>
          <t>STOCKHOLMS LÄN</t>
        </is>
      </c>
      <c r="E234" t="inlineStr">
        <is>
          <t>NORRTÄLJE</t>
        </is>
      </c>
      <c r="G234" t="n">
        <v>0.8</v>
      </c>
      <c r="H234" t="n">
        <v>0</v>
      </c>
      <c r="I234" t="n">
        <v>0</v>
      </c>
      <c r="J234" t="n">
        <v>0</v>
      </c>
      <c r="K234" t="n">
        <v>0</v>
      </c>
      <c r="L234" t="n">
        <v>0</v>
      </c>
      <c r="M234" t="n">
        <v>0</v>
      </c>
      <c r="N234" t="n">
        <v>0</v>
      </c>
      <c r="O234" t="n">
        <v>0</v>
      </c>
      <c r="P234" t="n">
        <v>0</v>
      </c>
      <c r="Q234" t="n">
        <v>0</v>
      </c>
      <c r="R234" s="2" t="inlineStr"/>
    </row>
    <row r="235" ht="15" customHeight="1">
      <c r="A235" t="inlineStr">
        <is>
          <t>A 17757-2019</t>
        </is>
      </c>
      <c r="B235" s="1" t="n">
        <v>43556</v>
      </c>
      <c r="C235" s="1" t="n">
        <v>45827</v>
      </c>
      <c r="D235" t="inlineStr">
        <is>
          <t>STOCKHOLMS LÄN</t>
        </is>
      </c>
      <c r="E235" t="inlineStr">
        <is>
          <t>NORRTÄLJE</t>
        </is>
      </c>
      <c r="G235" t="n">
        <v>2.5</v>
      </c>
      <c r="H235" t="n">
        <v>0</v>
      </c>
      <c r="I235" t="n">
        <v>0</v>
      </c>
      <c r="J235" t="n">
        <v>0</v>
      </c>
      <c r="K235" t="n">
        <v>0</v>
      </c>
      <c r="L235" t="n">
        <v>0</v>
      </c>
      <c r="M235" t="n">
        <v>0</v>
      </c>
      <c r="N235" t="n">
        <v>0</v>
      </c>
      <c r="O235" t="n">
        <v>0</v>
      </c>
      <c r="P235" t="n">
        <v>0</v>
      </c>
      <c r="Q235" t="n">
        <v>0</v>
      </c>
      <c r="R235" s="2" t="inlineStr"/>
    </row>
    <row r="236" ht="15" customHeight="1">
      <c r="A236" t="inlineStr">
        <is>
          <t>A 17963-2019</t>
        </is>
      </c>
      <c r="B236" s="1" t="n">
        <v>43557</v>
      </c>
      <c r="C236" s="1" t="n">
        <v>45827</v>
      </c>
      <c r="D236" t="inlineStr">
        <is>
          <t>STOCKHOLMS LÄN</t>
        </is>
      </c>
      <c r="E236" t="inlineStr">
        <is>
          <t>NORRTÄLJE</t>
        </is>
      </c>
      <c r="G236" t="n">
        <v>0.9</v>
      </c>
      <c r="H236" t="n">
        <v>0</v>
      </c>
      <c r="I236" t="n">
        <v>0</v>
      </c>
      <c r="J236" t="n">
        <v>0</v>
      </c>
      <c r="K236" t="n">
        <v>0</v>
      </c>
      <c r="L236" t="n">
        <v>0</v>
      </c>
      <c r="M236" t="n">
        <v>0</v>
      </c>
      <c r="N236" t="n">
        <v>0</v>
      </c>
      <c r="O236" t="n">
        <v>0</v>
      </c>
      <c r="P236" t="n">
        <v>0</v>
      </c>
      <c r="Q236" t="n">
        <v>0</v>
      </c>
      <c r="R236" s="2" t="inlineStr"/>
    </row>
    <row r="237" ht="15" customHeight="1">
      <c r="A237" t="inlineStr">
        <is>
          <t>A 18378-2019</t>
        </is>
      </c>
      <c r="B237" s="1" t="n">
        <v>43559</v>
      </c>
      <c r="C237" s="1" t="n">
        <v>45827</v>
      </c>
      <c r="D237" t="inlineStr">
        <is>
          <t>STOCKHOLMS LÄN</t>
        </is>
      </c>
      <c r="E237" t="inlineStr">
        <is>
          <t>NORRTÄLJE</t>
        </is>
      </c>
      <c r="G237" t="n">
        <v>5.8</v>
      </c>
      <c r="H237" t="n">
        <v>0</v>
      </c>
      <c r="I237" t="n">
        <v>0</v>
      </c>
      <c r="J237" t="n">
        <v>0</v>
      </c>
      <c r="K237" t="n">
        <v>0</v>
      </c>
      <c r="L237" t="n">
        <v>0</v>
      </c>
      <c r="M237" t="n">
        <v>0</v>
      </c>
      <c r="N237" t="n">
        <v>0</v>
      </c>
      <c r="O237" t="n">
        <v>0</v>
      </c>
      <c r="P237" t="n">
        <v>0</v>
      </c>
      <c r="Q237" t="n">
        <v>0</v>
      </c>
      <c r="R237" s="2" t="inlineStr"/>
    </row>
    <row r="238" ht="15" customHeight="1">
      <c r="A238" t="inlineStr">
        <is>
          <t>A 18664-2019</t>
        </is>
      </c>
      <c r="B238" s="1" t="n">
        <v>43560</v>
      </c>
      <c r="C238" s="1" t="n">
        <v>45827</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18767-2019</t>
        </is>
      </c>
      <c r="B239" s="1" t="n">
        <v>43560</v>
      </c>
      <c r="C239" s="1" t="n">
        <v>45827</v>
      </c>
      <c r="D239" t="inlineStr">
        <is>
          <t>STOCKHOLMS LÄN</t>
        </is>
      </c>
      <c r="E239" t="inlineStr">
        <is>
          <t>NORRTÄLJE</t>
        </is>
      </c>
      <c r="G239" t="n">
        <v>4</v>
      </c>
      <c r="H239" t="n">
        <v>0</v>
      </c>
      <c r="I239" t="n">
        <v>0</v>
      </c>
      <c r="J239" t="n">
        <v>0</v>
      </c>
      <c r="K239" t="n">
        <v>0</v>
      </c>
      <c r="L239" t="n">
        <v>0</v>
      </c>
      <c r="M239" t="n">
        <v>0</v>
      </c>
      <c r="N239" t="n">
        <v>0</v>
      </c>
      <c r="O239" t="n">
        <v>0</v>
      </c>
      <c r="P239" t="n">
        <v>0</v>
      </c>
      <c r="Q239" t="n">
        <v>0</v>
      </c>
      <c r="R239" s="2" t="inlineStr"/>
    </row>
    <row r="240" ht="15" customHeight="1">
      <c r="A240" t="inlineStr">
        <is>
          <t>A 18820-2019</t>
        </is>
      </c>
      <c r="B240" s="1" t="n">
        <v>43563</v>
      </c>
      <c r="C240" s="1" t="n">
        <v>45827</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18890-2019</t>
        </is>
      </c>
      <c r="B241" s="1" t="n">
        <v>43563</v>
      </c>
      <c r="C241" s="1" t="n">
        <v>45827</v>
      </c>
      <c r="D241" t="inlineStr">
        <is>
          <t>STOCKHOLMS LÄN</t>
        </is>
      </c>
      <c r="E241" t="inlineStr">
        <is>
          <t>NORRTÄLJE</t>
        </is>
      </c>
      <c r="G241" t="n">
        <v>4.7</v>
      </c>
      <c r="H241" t="n">
        <v>0</v>
      </c>
      <c r="I241" t="n">
        <v>0</v>
      </c>
      <c r="J241" t="n">
        <v>0</v>
      </c>
      <c r="K241" t="n">
        <v>0</v>
      </c>
      <c r="L241" t="n">
        <v>0</v>
      </c>
      <c r="M241" t="n">
        <v>0</v>
      </c>
      <c r="N241" t="n">
        <v>0</v>
      </c>
      <c r="O241" t="n">
        <v>0</v>
      </c>
      <c r="P241" t="n">
        <v>0</v>
      </c>
      <c r="Q241" t="n">
        <v>0</v>
      </c>
      <c r="R241" s="2" t="inlineStr"/>
    </row>
    <row r="242" ht="15" customHeight="1">
      <c r="A242" t="inlineStr">
        <is>
          <t>A 18909-2019</t>
        </is>
      </c>
      <c r="B242" s="1" t="n">
        <v>43563</v>
      </c>
      <c r="C242" s="1" t="n">
        <v>45827</v>
      </c>
      <c r="D242" t="inlineStr">
        <is>
          <t>STOCKHOLMS LÄN</t>
        </is>
      </c>
      <c r="E242" t="inlineStr">
        <is>
          <t>NORRTÄLJE</t>
        </is>
      </c>
      <c r="G242" t="n">
        <v>2.9</v>
      </c>
      <c r="H242" t="n">
        <v>0</v>
      </c>
      <c r="I242" t="n">
        <v>0</v>
      </c>
      <c r="J242" t="n">
        <v>0</v>
      </c>
      <c r="K242" t="n">
        <v>0</v>
      </c>
      <c r="L242" t="n">
        <v>0</v>
      </c>
      <c r="M242" t="n">
        <v>0</v>
      </c>
      <c r="N242" t="n">
        <v>0</v>
      </c>
      <c r="O242" t="n">
        <v>0</v>
      </c>
      <c r="P242" t="n">
        <v>0</v>
      </c>
      <c r="Q242" t="n">
        <v>0</v>
      </c>
      <c r="R242" s="2" t="inlineStr"/>
    </row>
    <row r="243" ht="15" customHeight="1">
      <c r="A243" t="inlineStr">
        <is>
          <t>A 19026-2019</t>
        </is>
      </c>
      <c r="B243" s="1" t="n">
        <v>43563</v>
      </c>
      <c r="C243" s="1" t="n">
        <v>45827</v>
      </c>
      <c r="D243" t="inlineStr">
        <is>
          <t>STOCKHOLMS LÄN</t>
        </is>
      </c>
      <c r="E243" t="inlineStr">
        <is>
          <t>NORRTÄLJE</t>
        </is>
      </c>
      <c r="G243" t="n">
        <v>4.4</v>
      </c>
      <c r="H243" t="n">
        <v>0</v>
      </c>
      <c r="I243" t="n">
        <v>0</v>
      </c>
      <c r="J243" t="n">
        <v>0</v>
      </c>
      <c r="K243" t="n">
        <v>0</v>
      </c>
      <c r="L243" t="n">
        <v>0</v>
      </c>
      <c r="M243" t="n">
        <v>0</v>
      </c>
      <c r="N243" t="n">
        <v>0</v>
      </c>
      <c r="O243" t="n">
        <v>0</v>
      </c>
      <c r="P243" t="n">
        <v>0</v>
      </c>
      <c r="Q243" t="n">
        <v>0</v>
      </c>
      <c r="R243" s="2" t="inlineStr"/>
    </row>
    <row r="244" ht="15" customHeight="1">
      <c r="A244" t="inlineStr">
        <is>
          <t>A 19014-2019</t>
        </is>
      </c>
      <c r="B244" s="1" t="n">
        <v>43563</v>
      </c>
      <c r="C244" s="1" t="n">
        <v>45827</v>
      </c>
      <c r="D244" t="inlineStr">
        <is>
          <t>STOCKHOLMS LÄN</t>
        </is>
      </c>
      <c r="E244" t="inlineStr">
        <is>
          <t>NORRTÄLJE</t>
        </is>
      </c>
      <c r="G244" t="n">
        <v>2.2</v>
      </c>
      <c r="H244" t="n">
        <v>0</v>
      </c>
      <c r="I244" t="n">
        <v>0</v>
      </c>
      <c r="J244" t="n">
        <v>0</v>
      </c>
      <c r="K244" t="n">
        <v>0</v>
      </c>
      <c r="L244" t="n">
        <v>0</v>
      </c>
      <c r="M244" t="n">
        <v>0</v>
      </c>
      <c r="N244" t="n">
        <v>0</v>
      </c>
      <c r="O244" t="n">
        <v>0</v>
      </c>
      <c r="P244" t="n">
        <v>0</v>
      </c>
      <c r="Q244" t="n">
        <v>0</v>
      </c>
      <c r="R244" s="2" t="inlineStr"/>
    </row>
    <row r="245" ht="15" customHeight="1">
      <c r="A245" t="inlineStr">
        <is>
          <t>A 19247-2019</t>
        </is>
      </c>
      <c r="B245" s="1" t="n">
        <v>43564</v>
      </c>
      <c r="C245" s="1" t="n">
        <v>45827</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19255-2019</t>
        </is>
      </c>
      <c r="B246" s="1" t="n">
        <v>43564</v>
      </c>
      <c r="C246" s="1" t="n">
        <v>45827</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19302-2019</t>
        </is>
      </c>
      <c r="B247" s="1" t="n">
        <v>43565</v>
      </c>
      <c r="C247" s="1" t="n">
        <v>45827</v>
      </c>
      <c r="D247" t="inlineStr">
        <is>
          <t>STOCKHOLMS LÄN</t>
        </is>
      </c>
      <c r="E247" t="inlineStr">
        <is>
          <t>NORRTÄLJE</t>
        </is>
      </c>
      <c r="F247" t="inlineStr">
        <is>
          <t>Kommuner</t>
        </is>
      </c>
      <c r="G247" t="n">
        <v>4.2</v>
      </c>
      <c r="H247" t="n">
        <v>0</v>
      </c>
      <c r="I247" t="n">
        <v>0</v>
      </c>
      <c r="J247" t="n">
        <v>0</v>
      </c>
      <c r="K247" t="n">
        <v>0</v>
      </c>
      <c r="L247" t="n">
        <v>0</v>
      </c>
      <c r="M247" t="n">
        <v>0</v>
      </c>
      <c r="N247" t="n">
        <v>0</v>
      </c>
      <c r="O247" t="n">
        <v>0</v>
      </c>
      <c r="P247" t="n">
        <v>0</v>
      </c>
      <c r="Q247" t="n">
        <v>0</v>
      </c>
      <c r="R247" s="2" t="inlineStr"/>
    </row>
    <row r="248" ht="15" customHeight="1">
      <c r="A248" t="inlineStr">
        <is>
          <t>A 19301-2019</t>
        </is>
      </c>
      <c r="B248" s="1" t="n">
        <v>43565</v>
      </c>
      <c r="C248" s="1" t="n">
        <v>45827</v>
      </c>
      <c r="D248" t="inlineStr">
        <is>
          <t>STOCKHOLMS LÄN</t>
        </is>
      </c>
      <c r="E248" t="inlineStr">
        <is>
          <t>NORRTÄLJE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19297-2019</t>
        </is>
      </c>
      <c r="B249" s="1" t="n">
        <v>43565</v>
      </c>
      <c r="C249" s="1" t="n">
        <v>45827</v>
      </c>
      <c r="D249" t="inlineStr">
        <is>
          <t>STOCKHOLMS LÄN</t>
        </is>
      </c>
      <c r="E249" t="inlineStr">
        <is>
          <t>NORRTÄLJE</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19537-2019</t>
        </is>
      </c>
      <c r="B250" s="1" t="n">
        <v>43565</v>
      </c>
      <c r="C250" s="1" t="n">
        <v>45827</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19539-2019</t>
        </is>
      </c>
      <c r="B251" s="1" t="n">
        <v>43565</v>
      </c>
      <c r="C251" s="1" t="n">
        <v>45827</v>
      </c>
      <c r="D251" t="inlineStr">
        <is>
          <t>STOCKHOLMS LÄN</t>
        </is>
      </c>
      <c r="E251" t="inlineStr">
        <is>
          <t>NORRTÄLJE</t>
        </is>
      </c>
      <c r="G251" t="n">
        <v>2.4</v>
      </c>
      <c r="H251" t="n">
        <v>0</v>
      </c>
      <c r="I251" t="n">
        <v>0</v>
      </c>
      <c r="J251" t="n">
        <v>0</v>
      </c>
      <c r="K251" t="n">
        <v>0</v>
      </c>
      <c r="L251" t="n">
        <v>0</v>
      </c>
      <c r="M251" t="n">
        <v>0</v>
      </c>
      <c r="N251" t="n">
        <v>0</v>
      </c>
      <c r="O251" t="n">
        <v>0</v>
      </c>
      <c r="P251" t="n">
        <v>0</v>
      </c>
      <c r="Q251" t="n">
        <v>0</v>
      </c>
      <c r="R251" s="2" t="inlineStr"/>
    </row>
    <row r="252" ht="15" customHeight="1">
      <c r="A252" t="inlineStr">
        <is>
          <t>A 19540-2019</t>
        </is>
      </c>
      <c r="B252" s="1" t="n">
        <v>43565</v>
      </c>
      <c r="C252" s="1" t="n">
        <v>45827</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19638-2019</t>
        </is>
      </c>
      <c r="B253" s="1" t="n">
        <v>43566</v>
      </c>
      <c r="C253" s="1" t="n">
        <v>45827</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19593-2019</t>
        </is>
      </c>
      <c r="B254" s="1" t="n">
        <v>43566</v>
      </c>
      <c r="C254" s="1" t="n">
        <v>45827</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19872-2019</t>
        </is>
      </c>
      <c r="B255" s="1" t="n">
        <v>43567</v>
      </c>
      <c r="C255" s="1" t="n">
        <v>45827</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19811-2019</t>
        </is>
      </c>
      <c r="B256" s="1" t="n">
        <v>43567</v>
      </c>
      <c r="C256" s="1" t="n">
        <v>45827</v>
      </c>
      <c r="D256" t="inlineStr">
        <is>
          <t>STOCKHOLMS LÄN</t>
        </is>
      </c>
      <c r="E256" t="inlineStr">
        <is>
          <t>NORRTÄLJE</t>
        </is>
      </c>
      <c r="F256" t="inlineStr">
        <is>
          <t>Kommuner</t>
        </is>
      </c>
      <c r="G256" t="n">
        <v>1.6</v>
      </c>
      <c r="H256" t="n">
        <v>0</v>
      </c>
      <c r="I256" t="n">
        <v>0</v>
      </c>
      <c r="J256" t="n">
        <v>0</v>
      </c>
      <c r="K256" t="n">
        <v>0</v>
      </c>
      <c r="L256" t="n">
        <v>0</v>
      </c>
      <c r="M256" t="n">
        <v>0</v>
      </c>
      <c r="N256" t="n">
        <v>0</v>
      </c>
      <c r="O256" t="n">
        <v>0</v>
      </c>
      <c r="P256" t="n">
        <v>0</v>
      </c>
      <c r="Q256" t="n">
        <v>0</v>
      </c>
      <c r="R256" s="2" t="inlineStr"/>
    </row>
    <row r="257" ht="15" customHeight="1">
      <c r="A257" t="inlineStr">
        <is>
          <t>A 19812-2019</t>
        </is>
      </c>
      <c r="B257" s="1" t="n">
        <v>43567</v>
      </c>
      <c r="C257" s="1" t="n">
        <v>45827</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19931-2019</t>
        </is>
      </c>
      <c r="B258" s="1" t="n">
        <v>43568</v>
      </c>
      <c r="C258" s="1" t="n">
        <v>45827</v>
      </c>
      <c r="D258" t="inlineStr">
        <is>
          <t>STOCKHOLMS LÄN</t>
        </is>
      </c>
      <c r="E258" t="inlineStr">
        <is>
          <t>NORRTÄLJE</t>
        </is>
      </c>
      <c r="G258" t="n">
        <v>4.2</v>
      </c>
      <c r="H258" t="n">
        <v>0</v>
      </c>
      <c r="I258" t="n">
        <v>0</v>
      </c>
      <c r="J258" t="n">
        <v>0</v>
      </c>
      <c r="K258" t="n">
        <v>0</v>
      </c>
      <c r="L258" t="n">
        <v>0</v>
      </c>
      <c r="M258" t="n">
        <v>0</v>
      </c>
      <c r="N258" t="n">
        <v>0</v>
      </c>
      <c r="O258" t="n">
        <v>0</v>
      </c>
      <c r="P258" t="n">
        <v>0</v>
      </c>
      <c r="Q258" t="n">
        <v>0</v>
      </c>
      <c r="R258" s="2" t="inlineStr"/>
    </row>
    <row r="259" ht="15" customHeight="1">
      <c r="A259" t="inlineStr">
        <is>
          <t>A 20033-2019</t>
        </is>
      </c>
      <c r="B259" s="1" t="n">
        <v>43570</v>
      </c>
      <c r="C259" s="1" t="n">
        <v>45827</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20020-2019</t>
        </is>
      </c>
      <c r="B260" s="1" t="n">
        <v>43570</v>
      </c>
      <c r="C260" s="1" t="n">
        <v>45827</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20051-2019</t>
        </is>
      </c>
      <c r="B261" s="1" t="n">
        <v>43570</v>
      </c>
      <c r="C261" s="1" t="n">
        <v>45827</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20137-2019</t>
        </is>
      </c>
      <c r="B262" s="1" t="n">
        <v>43570</v>
      </c>
      <c r="C262" s="1" t="n">
        <v>45827</v>
      </c>
      <c r="D262" t="inlineStr">
        <is>
          <t>STOCKHOLMS LÄN</t>
        </is>
      </c>
      <c r="E262" t="inlineStr">
        <is>
          <t>NORRTÄLJE</t>
        </is>
      </c>
      <c r="G262" t="n">
        <v>3</v>
      </c>
      <c r="H262" t="n">
        <v>0</v>
      </c>
      <c r="I262" t="n">
        <v>0</v>
      </c>
      <c r="J262" t="n">
        <v>0</v>
      </c>
      <c r="K262" t="n">
        <v>0</v>
      </c>
      <c r="L262" t="n">
        <v>0</v>
      </c>
      <c r="M262" t="n">
        <v>0</v>
      </c>
      <c r="N262" t="n">
        <v>0</v>
      </c>
      <c r="O262" t="n">
        <v>0</v>
      </c>
      <c r="P262" t="n">
        <v>0</v>
      </c>
      <c r="Q262" t="n">
        <v>0</v>
      </c>
      <c r="R262" s="2" t="inlineStr"/>
    </row>
    <row r="263" ht="15" customHeight="1">
      <c r="A263" t="inlineStr">
        <is>
          <t>A 20007-2019</t>
        </is>
      </c>
      <c r="B263" s="1" t="n">
        <v>43570</v>
      </c>
      <c r="C263" s="1" t="n">
        <v>45827</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20052-2019</t>
        </is>
      </c>
      <c r="B264" s="1" t="n">
        <v>43570</v>
      </c>
      <c r="C264" s="1" t="n">
        <v>45827</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20159-2019</t>
        </is>
      </c>
      <c r="B265" s="1" t="n">
        <v>43570</v>
      </c>
      <c r="C265" s="1" t="n">
        <v>45827</v>
      </c>
      <c r="D265" t="inlineStr">
        <is>
          <t>STOCKHOLMS LÄN</t>
        </is>
      </c>
      <c r="E265" t="inlineStr">
        <is>
          <t>NORRTÄLJE</t>
        </is>
      </c>
      <c r="F265" t="inlineStr">
        <is>
          <t>Kommuner</t>
        </is>
      </c>
      <c r="G265" t="n">
        <v>2</v>
      </c>
      <c r="H265" t="n">
        <v>0</v>
      </c>
      <c r="I265" t="n">
        <v>0</v>
      </c>
      <c r="J265" t="n">
        <v>0</v>
      </c>
      <c r="K265" t="n">
        <v>0</v>
      </c>
      <c r="L265" t="n">
        <v>0</v>
      </c>
      <c r="M265" t="n">
        <v>0</v>
      </c>
      <c r="N265" t="n">
        <v>0</v>
      </c>
      <c r="O265" t="n">
        <v>0</v>
      </c>
      <c r="P265" t="n">
        <v>0</v>
      </c>
      <c r="Q265" t="n">
        <v>0</v>
      </c>
      <c r="R265" s="2" t="inlineStr"/>
    </row>
    <row r="266" ht="15" customHeight="1">
      <c r="A266" t="inlineStr">
        <is>
          <t>A 20181-2019</t>
        </is>
      </c>
      <c r="B266" s="1" t="n">
        <v>43570</v>
      </c>
      <c r="C266" s="1" t="n">
        <v>45827</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20184-2019</t>
        </is>
      </c>
      <c r="B267" s="1" t="n">
        <v>43570</v>
      </c>
      <c r="C267" s="1" t="n">
        <v>45827</v>
      </c>
      <c r="D267" t="inlineStr">
        <is>
          <t>STOCKHOLMS LÄN</t>
        </is>
      </c>
      <c r="E267" t="inlineStr">
        <is>
          <t>NORRTÄLJE</t>
        </is>
      </c>
      <c r="G267" t="n">
        <v>2.8</v>
      </c>
      <c r="H267" t="n">
        <v>0</v>
      </c>
      <c r="I267" t="n">
        <v>0</v>
      </c>
      <c r="J267" t="n">
        <v>0</v>
      </c>
      <c r="K267" t="n">
        <v>0</v>
      </c>
      <c r="L267" t="n">
        <v>0</v>
      </c>
      <c r="M267" t="n">
        <v>0</v>
      </c>
      <c r="N267" t="n">
        <v>0</v>
      </c>
      <c r="O267" t="n">
        <v>0</v>
      </c>
      <c r="P267" t="n">
        <v>0</v>
      </c>
      <c r="Q267" t="n">
        <v>0</v>
      </c>
      <c r="R267" s="2" t="inlineStr"/>
    </row>
    <row r="268" ht="15" customHeight="1">
      <c r="A268" t="inlineStr">
        <is>
          <t>A 20193-2019</t>
        </is>
      </c>
      <c r="B268" s="1" t="n">
        <v>43570</v>
      </c>
      <c r="C268" s="1" t="n">
        <v>45827</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20090-2019</t>
        </is>
      </c>
      <c r="B269" s="1" t="n">
        <v>43570</v>
      </c>
      <c r="C269" s="1" t="n">
        <v>45827</v>
      </c>
      <c r="D269" t="inlineStr">
        <is>
          <t>STOCKHOLMS LÄN</t>
        </is>
      </c>
      <c r="E269" t="inlineStr">
        <is>
          <t>NORRTÄLJE</t>
        </is>
      </c>
      <c r="F269" t="inlineStr">
        <is>
          <t>Kommuner</t>
        </is>
      </c>
      <c r="G269" t="n">
        <v>1.3</v>
      </c>
      <c r="H269" t="n">
        <v>0</v>
      </c>
      <c r="I269" t="n">
        <v>0</v>
      </c>
      <c r="J269" t="n">
        <v>0</v>
      </c>
      <c r="K269" t="n">
        <v>0</v>
      </c>
      <c r="L269" t="n">
        <v>0</v>
      </c>
      <c r="M269" t="n">
        <v>0</v>
      </c>
      <c r="N269" t="n">
        <v>0</v>
      </c>
      <c r="O269" t="n">
        <v>0</v>
      </c>
      <c r="P269" t="n">
        <v>0</v>
      </c>
      <c r="Q269" t="n">
        <v>0</v>
      </c>
      <c r="R269" s="2" t="inlineStr"/>
    </row>
    <row r="270" ht="15" customHeight="1">
      <c r="A270" t="inlineStr">
        <is>
          <t>A 20165-2019</t>
        </is>
      </c>
      <c r="B270" s="1" t="n">
        <v>43570</v>
      </c>
      <c r="C270" s="1" t="n">
        <v>45827</v>
      </c>
      <c r="D270" t="inlineStr">
        <is>
          <t>STOCKHOLMS LÄN</t>
        </is>
      </c>
      <c r="E270" t="inlineStr">
        <is>
          <t>NORRTÄLJE</t>
        </is>
      </c>
      <c r="F270" t="inlineStr">
        <is>
          <t>Kommuner</t>
        </is>
      </c>
      <c r="G270" t="n">
        <v>0.5</v>
      </c>
      <c r="H270" t="n">
        <v>0</v>
      </c>
      <c r="I270" t="n">
        <v>0</v>
      </c>
      <c r="J270" t="n">
        <v>0</v>
      </c>
      <c r="K270" t="n">
        <v>0</v>
      </c>
      <c r="L270" t="n">
        <v>0</v>
      </c>
      <c r="M270" t="n">
        <v>0</v>
      </c>
      <c r="N270" t="n">
        <v>0</v>
      </c>
      <c r="O270" t="n">
        <v>0</v>
      </c>
      <c r="P270" t="n">
        <v>0</v>
      </c>
      <c r="Q270" t="n">
        <v>0</v>
      </c>
      <c r="R270" s="2" t="inlineStr"/>
    </row>
    <row r="271" ht="15" customHeight="1">
      <c r="A271" t="inlineStr">
        <is>
          <t>A 20023-2019</t>
        </is>
      </c>
      <c r="B271" s="1" t="n">
        <v>43570</v>
      </c>
      <c r="C271" s="1" t="n">
        <v>45827</v>
      </c>
      <c r="D271" t="inlineStr">
        <is>
          <t>STOCKHOLMS LÄN</t>
        </is>
      </c>
      <c r="E271" t="inlineStr">
        <is>
          <t>NORRTÄLJE</t>
        </is>
      </c>
      <c r="G271" t="n">
        <v>5.1</v>
      </c>
      <c r="H271" t="n">
        <v>0</v>
      </c>
      <c r="I271" t="n">
        <v>0</v>
      </c>
      <c r="J271" t="n">
        <v>0</v>
      </c>
      <c r="K271" t="n">
        <v>0</v>
      </c>
      <c r="L271" t="n">
        <v>0</v>
      </c>
      <c r="M271" t="n">
        <v>0</v>
      </c>
      <c r="N271" t="n">
        <v>0</v>
      </c>
      <c r="O271" t="n">
        <v>0</v>
      </c>
      <c r="P271" t="n">
        <v>0</v>
      </c>
      <c r="Q271" t="n">
        <v>0</v>
      </c>
      <c r="R271" s="2" t="inlineStr"/>
    </row>
    <row r="272" ht="15" customHeight="1">
      <c r="A272" t="inlineStr">
        <is>
          <t>A 20531-2019</t>
        </is>
      </c>
      <c r="B272" s="1" t="n">
        <v>43572</v>
      </c>
      <c r="C272" s="1" t="n">
        <v>45827</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20743-2019</t>
        </is>
      </c>
      <c r="B273" s="1" t="n">
        <v>43573</v>
      </c>
      <c r="C273" s="1" t="n">
        <v>45827</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20809-2019</t>
        </is>
      </c>
      <c r="B274" s="1" t="n">
        <v>43573</v>
      </c>
      <c r="C274" s="1" t="n">
        <v>45827</v>
      </c>
      <c r="D274" t="inlineStr">
        <is>
          <t>STOCKHOLMS LÄN</t>
        </is>
      </c>
      <c r="E274" t="inlineStr">
        <is>
          <t>NORRTÄLJE</t>
        </is>
      </c>
      <c r="F274" t="inlineStr">
        <is>
          <t>Kommuner</t>
        </is>
      </c>
      <c r="G274" t="n">
        <v>2.2</v>
      </c>
      <c r="H274" t="n">
        <v>0</v>
      </c>
      <c r="I274" t="n">
        <v>0</v>
      </c>
      <c r="J274" t="n">
        <v>0</v>
      </c>
      <c r="K274" t="n">
        <v>0</v>
      </c>
      <c r="L274" t="n">
        <v>0</v>
      </c>
      <c r="M274" t="n">
        <v>0</v>
      </c>
      <c r="N274" t="n">
        <v>0</v>
      </c>
      <c r="O274" t="n">
        <v>0</v>
      </c>
      <c r="P274" t="n">
        <v>0</v>
      </c>
      <c r="Q274" t="n">
        <v>0</v>
      </c>
      <c r="R274" s="2" t="inlineStr"/>
    </row>
    <row r="275" ht="15" customHeight="1">
      <c r="A275" t="inlineStr">
        <is>
          <t>A 20925-2019</t>
        </is>
      </c>
      <c r="B275" s="1" t="n">
        <v>43578</v>
      </c>
      <c r="C275" s="1" t="n">
        <v>45827</v>
      </c>
      <c r="D275" t="inlineStr">
        <is>
          <t>STOCKHOLMS LÄN</t>
        </is>
      </c>
      <c r="E275" t="inlineStr">
        <is>
          <t>NORRTÄLJE</t>
        </is>
      </c>
      <c r="G275" t="n">
        <v>5</v>
      </c>
      <c r="H275" t="n">
        <v>0</v>
      </c>
      <c r="I275" t="n">
        <v>0</v>
      </c>
      <c r="J275" t="n">
        <v>0</v>
      </c>
      <c r="K275" t="n">
        <v>0</v>
      </c>
      <c r="L275" t="n">
        <v>0</v>
      </c>
      <c r="M275" t="n">
        <v>0</v>
      </c>
      <c r="N275" t="n">
        <v>0</v>
      </c>
      <c r="O275" t="n">
        <v>0</v>
      </c>
      <c r="P275" t="n">
        <v>0</v>
      </c>
      <c r="Q275" t="n">
        <v>0</v>
      </c>
      <c r="R275" s="2" t="inlineStr"/>
    </row>
    <row r="276" ht="15" customHeight="1">
      <c r="A276" t="inlineStr">
        <is>
          <t>A 21062-2019</t>
        </is>
      </c>
      <c r="B276" s="1" t="n">
        <v>43578</v>
      </c>
      <c r="C276" s="1" t="n">
        <v>45827</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21441-2019</t>
        </is>
      </c>
      <c r="B277" s="1" t="n">
        <v>43580</v>
      </c>
      <c r="C277" s="1" t="n">
        <v>45827</v>
      </c>
      <c r="D277" t="inlineStr">
        <is>
          <t>STOCKHOLMS LÄN</t>
        </is>
      </c>
      <c r="E277" t="inlineStr">
        <is>
          <t>NORRTÄLJE</t>
        </is>
      </c>
      <c r="G277" t="n">
        <v>0.7</v>
      </c>
      <c r="H277" t="n">
        <v>0</v>
      </c>
      <c r="I277" t="n">
        <v>0</v>
      </c>
      <c r="J277" t="n">
        <v>0</v>
      </c>
      <c r="K277" t="n">
        <v>0</v>
      </c>
      <c r="L277" t="n">
        <v>0</v>
      </c>
      <c r="M277" t="n">
        <v>0</v>
      </c>
      <c r="N277" t="n">
        <v>0</v>
      </c>
      <c r="O277" t="n">
        <v>0</v>
      </c>
      <c r="P277" t="n">
        <v>0</v>
      </c>
      <c r="Q277" t="n">
        <v>0</v>
      </c>
      <c r="R277" s="2" t="inlineStr"/>
    </row>
    <row r="278" ht="15" customHeight="1">
      <c r="A278" t="inlineStr">
        <is>
          <t>A 21521-2019</t>
        </is>
      </c>
      <c r="B278" s="1" t="n">
        <v>43580</v>
      </c>
      <c r="C278" s="1" t="n">
        <v>45827</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21508-2019</t>
        </is>
      </c>
      <c r="B279" s="1" t="n">
        <v>43580</v>
      </c>
      <c r="C279" s="1" t="n">
        <v>45827</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21457-2019</t>
        </is>
      </c>
      <c r="B280" s="1" t="n">
        <v>43580</v>
      </c>
      <c r="C280" s="1" t="n">
        <v>45827</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21501-2019</t>
        </is>
      </c>
      <c r="B281" s="1" t="n">
        <v>43580</v>
      </c>
      <c r="C281" s="1" t="n">
        <v>45827</v>
      </c>
      <c r="D281" t="inlineStr">
        <is>
          <t>STOCKHOLMS LÄN</t>
        </is>
      </c>
      <c r="E281" t="inlineStr">
        <is>
          <t>NORRTÄLJE</t>
        </is>
      </c>
      <c r="G281" t="n">
        <v>3.6</v>
      </c>
      <c r="H281" t="n">
        <v>0</v>
      </c>
      <c r="I281" t="n">
        <v>0</v>
      </c>
      <c r="J281" t="n">
        <v>0</v>
      </c>
      <c r="K281" t="n">
        <v>0</v>
      </c>
      <c r="L281" t="n">
        <v>0</v>
      </c>
      <c r="M281" t="n">
        <v>0</v>
      </c>
      <c r="N281" t="n">
        <v>0</v>
      </c>
      <c r="O281" t="n">
        <v>0</v>
      </c>
      <c r="P281" t="n">
        <v>0</v>
      </c>
      <c r="Q281" t="n">
        <v>0</v>
      </c>
      <c r="R281" s="2" t="inlineStr"/>
    </row>
    <row r="282" ht="15" customHeight="1">
      <c r="A282" t="inlineStr">
        <is>
          <t>A 21616-2019</t>
        </is>
      </c>
      <c r="B282" s="1" t="n">
        <v>43581</v>
      </c>
      <c r="C282" s="1" t="n">
        <v>45827</v>
      </c>
      <c r="D282" t="inlineStr">
        <is>
          <t>STOCKHOLMS LÄN</t>
        </is>
      </c>
      <c r="E282" t="inlineStr">
        <is>
          <t>NORRTÄLJE</t>
        </is>
      </c>
      <c r="G282" t="n">
        <v>5.3</v>
      </c>
      <c r="H282" t="n">
        <v>0</v>
      </c>
      <c r="I282" t="n">
        <v>0</v>
      </c>
      <c r="J282" t="n">
        <v>0</v>
      </c>
      <c r="K282" t="n">
        <v>0</v>
      </c>
      <c r="L282" t="n">
        <v>0</v>
      </c>
      <c r="M282" t="n">
        <v>0</v>
      </c>
      <c r="N282" t="n">
        <v>0</v>
      </c>
      <c r="O282" t="n">
        <v>0</v>
      </c>
      <c r="P282" t="n">
        <v>0</v>
      </c>
      <c r="Q282" t="n">
        <v>0</v>
      </c>
      <c r="R282" s="2" t="inlineStr"/>
    </row>
    <row r="283" ht="15" customHeight="1">
      <c r="A283" t="inlineStr">
        <is>
          <t>A 21662-2019</t>
        </is>
      </c>
      <c r="B283" s="1" t="n">
        <v>43581</v>
      </c>
      <c r="C283" s="1" t="n">
        <v>45827</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21720-2019</t>
        </is>
      </c>
      <c r="B284" s="1" t="n">
        <v>43581</v>
      </c>
      <c r="C284" s="1" t="n">
        <v>45827</v>
      </c>
      <c r="D284" t="inlineStr">
        <is>
          <t>STOCKHOLMS LÄN</t>
        </is>
      </c>
      <c r="E284" t="inlineStr">
        <is>
          <t>NORRTÄLJE</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21692-2019</t>
        </is>
      </c>
      <c r="B285" s="1" t="n">
        <v>43581</v>
      </c>
      <c r="C285" s="1" t="n">
        <v>45827</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21811-2019</t>
        </is>
      </c>
      <c r="B286" s="1" t="n">
        <v>43582</v>
      </c>
      <c r="C286" s="1" t="n">
        <v>45827</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22207-2019</t>
        </is>
      </c>
      <c r="B287" s="1" t="n">
        <v>43585</v>
      </c>
      <c r="C287" s="1" t="n">
        <v>45827</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22211-2019</t>
        </is>
      </c>
      <c r="B288" s="1" t="n">
        <v>43585</v>
      </c>
      <c r="C288" s="1" t="n">
        <v>45827</v>
      </c>
      <c r="D288" t="inlineStr">
        <is>
          <t>STOCKHOLMS LÄN</t>
        </is>
      </c>
      <c r="E288" t="inlineStr">
        <is>
          <t>NORRTÄLJE</t>
        </is>
      </c>
      <c r="G288" t="n">
        <v>6.8</v>
      </c>
      <c r="H288" t="n">
        <v>0</v>
      </c>
      <c r="I288" t="n">
        <v>0</v>
      </c>
      <c r="J288" t="n">
        <v>0</v>
      </c>
      <c r="K288" t="n">
        <v>0</v>
      </c>
      <c r="L288" t="n">
        <v>0</v>
      </c>
      <c r="M288" t="n">
        <v>0</v>
      </c>
      <c r="N288" t="n">
        <v>0</v>
      </c>
      <c r="O288" t="n">
        <v>0</v>
      </c>
      <c r="P288" t="n">
        <v>0</v>
      </c>
      <c r="Q288" t="n">
        <v>0</v>
      </c>
      <c r="R288" s="2" t="inlineStr"/>
    </row>
    <row r="289" ht="15" customHeight="1">
      <c r="A289" t="inlineStr">
        <is>
          <t>A 22254-2019</t>
        </is>
      </c>
      <c r="B289" s="1" t="n">
        <v>43585</v>
      </c>
      <c r="C289" s="1" t="n">
        <v>45827</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22218-2019</t>
        </is>
      </c>
      <c r="B290" s="1" t="n">
        <v>43585</v>
      </c>
      <c r="C290" s="1" t="n">
        <v>45827</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22331-2019</t>
        </is>
      </c>
      <c r="B291" s="1" t="n">
        <v>43586</v>
      </c>
      <c r="C291" s="1" t="n">
        <v>45827</v>
      </c>
      <c r="D291" t="inlineStr">
        <is>
          <t>STOCKHOLMS LÄN</t>
        </is>
      </c>
      <c r="E291" t="inlineStr">
        <is>
          <t>NORRTÄLJE</t>
        </is>
      </c>
      <c r="G291" t="n">
        <v>2.6</v>
      </c>
      <c r="H291" t="n">
        <v>0</v>
      </c>
      <c r="I291" t="n">
        <v>0</v>
      </c>
      <c r="J291" t="n">
        <v>0</v>
      </c>
      <c r="K291" t="n">
        <v>0</v>
      </c>
      <c r="L291" t="n">
        <v>0</v>
      </c>
      <c r="M291" t="n">
        <v>0</v>
      </c>
      <c r="N291" t="n">
        <v>0</v>
      </c>
      <c r="O291" t="n">
        <v>0</v>
      </c>
      <c r="P291" t="n">
        <v>0</v>
      </c>
      <c r="Q291" t="n">
        <v>0</v>
      </c>
      <c r="R291" s="2" t="inlineStr"/>
    </row>
    <row r="292" ht="15" customHeight="1">
      <c r="A292" t="inlineStr">
        <is>
          <t>A 22359-2019</t>
        </is>
      </c>
      <c r="B292" s="1" t="n">
        <v>43587</v>
      </c>
      <c r="C292" s="1" t="n">
        <v>45827</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22422-2019</t>
        </is>
      </c>
      <c r="B293" s="1" t="n">
        <v>43587</v>
      </c>
      <c r="C293" s="1" t="n">
        <v>45827</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22490-2019</t>
        </is>
      </c>
      <c r="B294" s="1" t="n">
        <v>43587</v>
      </c>
      <c r="C294" s="1" t="n">
        <v>45827</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22496-2019</t>
        </is>
      </c>
      <c r="B295" s="1" t="n">
        <v>43587</v>
      </c>
      <c r="C295" s="1" t="n">
        <v>45827</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23711-2019</t>
        </is>
      </c>
      <c r="B296" s="1" t="n">
        <v>43594</v>
      </c>
      <c r="C296" s="1" t="n">
        <v>45827</v>
      </c>
      <c r="D296" t="inlineStr">
        <is>
          <t>STOCKHOLMS LÄN</t>
        </is>
      </c>
      <c r="E296" t="inlineStr">
        <is>
          <t>NORRTÄLJE</t>
        </is>
      </c>
      <c r="G296" t="n">
        <v>2.6</v>
      </c>
      <c r="H296" t="n">
        <v>0</v>
      </c>
      <c r="I296" t="n">
        <v>0</v>
      </c>
      <c r="J296" t="n">
        <v>0</v>
      </c>
      <c r="K296" t="n">
        <v>0</v>
      </c>
      <c r="L296" t="n">
        <v>0</v>
      </c>
      <c r="M296" t="n">
        <v>0</v>
      </c>
      <c r="N296" t="n">
        <v>0</v>
      </c>
      <c r="O296" t="n">
        <v>0</v>
      </c>
      <c r="P296" t="n">
        <v>0</v>
      </c>
      <c r="Q296" t="n">
        <v>0</v>
      </c>
      <c r="R296" s="2" t="inlineStr"/>
    </row>
    <row r="297" ht="15" customHeight="1">
      <c r="A297" t="inlineStr">
        <is>
          <t>A 23710-2019</t>
        </is>
      </c>
      <c r="B297" s="1" t="n">
        <v>43594</v>
      </c>
      <c r="C297" s="1" t="n">
        <v>45827</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23862-2019</t>
        </is>
      </c>
      <c r="B298" s="1" t="n">
        <v>43595</v>
      </c>
      <c r="C298" s="1" t="n">
        <v>45827</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23878-2019</t>
        </is>
      </c>
      <c r="B299" s="1" t="n">
        <v>43595</v>
      </c>
      <c r="C299" s="1" t="n">
        <v>45827</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23961-2019</t>
        </is>
      </c>
      <c r="B300" s="1" t="n">
        <v>43597</v>
      </c>
      <c r="C300" s="1" t="n">
        <v>45827</v>
      </c>
      <c r="D300" t="inlineStr">
        <is>
          <t>STOCKHOLMS LÄN</t>
        </is>
      </c>
      <c r="E300" t="inlineStr">
        <is>
          <t>NORRTÄLJE</t>
        </is>
      </c>
      <c r="G300" t="n">
        <v>17.6</v>
      </c>
      <c r="H300" t="n">
        <v>0</v>
      </c>
      <c r="I300" t="n">
        <v>0</v>
      </c>
      <c r="J300" t="n">
        <v>0</v>
      </c>
      <c r="K300" t="n">
        <v>0</v>
      </c>
      <c r="L300" t="n">
        <v>0</v>
      </c>
      <c r="M300" t="n">
        <v>0</v>
      </c>
      <c r="N300" t="n">
        <v>0</v>
      </c>
      <c r="O300" t="n">
        <v>0</v>
      </c>
      <c r="P300" t="n">
        <v>0</v>
      </c>
      <c r="Q300" t="n">
        <v>0</v>
      </c>
      <c r="R300" s="2" t="inlineStr"/>
    </row>
    <row r="301" ht="15" customHeight="1">
      <c r="A301" t="inlineStr">
        <is>
          <t>A 23965-2019</t>
        </is>
      </c>
      <c r="B301" s="1" t="n">
        <v>43597</v>
      </c>
      <c r="C301" s="1" t="n">
        <v>45827</v>
      </c>
      <c r="D301" t="inlineStr">
        <is>
          <t>STOCKHOLMS LÄN</t>
        </is>
      </c>
      <c r="E301" t="inlineStr">
        <is>
          <t>NORRTÄLJE</t>
        </is>
      </c>
      <c r="G301" t="n">
        <v>6.1</v>
      </c>
      <c r="H301" t="n">
        <v>0</v>
      </c>
      <c r="I301" t="n">
        <v>0</v>
      </c>
      <c r="J301" t="n">
        <v>0</v>
      </c>
      <c r="K301" t="n">
        <v>0</v>
      </c>
      <c r="L301" t="n">
        <v>0</v>
      </c>
      <c r="M301" t="n">
        <v>0</v>
      </c>
      <c r="N301" t="n">
        <v>0</v>
      </c>
      <c r="O301" t="n">
        <v>0</v>
      </c>
      <c r="P301" t="n">
        <v>0</v>
      </c>
      <c r="Q301" t="n">
        <v>0</v>
      </c>
      <c r="R301" s="2" t="inlineStr"/>
    </row>
    <row r="302" ht="15" customHeight="1">
      <c r="A302" t="inlineStr">
        <is>
          <t>A 23963-2019</t>
        </is>
      </c>
      <c r="B302" s="1" t="n">
        <v>43597</v>
      </c>
      <c r="C302" s="1" t="n">
        <v>45827</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24124-2019</t>
        </is>
      </c>
      <c r="B303" s="1" t="n">
        <v>43598</v>
      </c>
      <c r="C303" s="1" t="n">
        <v>45827</v>
      </c>
      <c r="D303" t="inlineStr">
        <is>
          <t>STOCKHOLMS LÄN</t>
        </is>
      </c>
      <c r="E303" t="inlineStr">
        <is>
          <t>NORRTÄLJE</t>
        </is>
      </c>
      <c r="G303" t="n">
        <v>0.7</v>
      </c>
      <c r="H303" t="n">
        <v>0</v>
      </c>
      <c r="I303" t="n">
        <v>0</v>
      </c>
      <c r="J303" t="n">
        <v>0</v>
      </c>
      <c r="K303" t="n">
        <v>0</v>
      </c>
      <c r="L303" t="n">
        <v>0</v>
      </c>
      <c r="M303" t="n">
        <v>0</v>
      </c>
      <c r="N303" t="n">
        <v>0</v>
      </c>
      <c r="O303" t="n">
        <v>0</v>
      </c>
      <c r="P303" t="n">
        <v>0</v>
      </c>
      <c r="Q303" t="n">
        <v>0</v>
      </c>
      <c r="R303" s="2" t="inlineStr"/>
    </row>
    <row r="304" ht="15" customHeight="1">
      <c r="A304" t="inlineStr">
        <is>
          <t>A 24058-2019</t>
        </is>
      </c>
      <c r="B304" s="1" t="n">
        <v>43598</v>
      </c>
      <c r="C304" s="1" t="n">
        <v>45827</v>
      </c>
      <c r="D304" t="inlineStr">
        <is>
          <t>STOCKHOLMS LÄN</t>
        </is>
      </c>
      <c r="E304" t="inlineStr">
        <is>
          <t>NORRTÄLJE</t>
        </is>
      </c>
      <c r="G304" t="n">
        <v>2.5</v>
      </c>
      <c r="H304" t="n">
        <v>0</v>
      </c>
      <c r="I304" t="n">
        <v>0</v>
      </c>
      <c r="J304" t="n">
        <v>0</v>
      </c>
      <c r="K304" t="n">
        <v>0</v>
      </c>
      <c r="L304" t="n">
        <v>0</v>
      </c>
      <c r="M304" t="n">
        <v>0</v>
      </c>
      <c r="N304" t="n">
        <v>0</v>
      </c>
      <c r="O304" t="n">
        <v>0</v>
      </c>
      <c r="P304" t="n">
        <v>0</v>
      </c>
      <c r="Q304" t="n">
        <v>0</v>
      </c>
      <c r="R304" s="2" t="inlineStr"/>
    </row>
    <row r="305" ht="15" customHeight="1">
      <c r="A305" t="inlineStr">
        <is>
          <t>A 24562-2019</t>
        </is>
      </c>
      <c r="B305" s="1" t="n">
        <v>43600</v>
      </c>
      <c r="C305" s="1" t="n">
        <v>45827</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24721-2019</t>
        </is>
      </c>
      <c r="B306" s="1" t="n">
        <v>43601</v>
      </c>
      <c r="C306" s="1" t="n">
        <v>45827</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25284-2019</t>
        </is>
      </c>
      <c r="B307" s="1" t="n">
        <v>43605</v>
      </c>
      <c r="C307" s="1" t="n">
        <v>45827</v>
      </c>
      <c r="D307" t="inlineStr">
        <is>
          <t>STOCKHOLMS LÄN</t>
        </is>
      </c>
      <c r="E307" t="inlineStr">
        <is>
          <t>NORRTÄLJE</t>
        </is>
      </c>
      <c r="G307" t="n">
        <v>3.6</v>
      </c>
      <c r="H307" t="n">
        <v>0</v>
      </c>
      <c r="I307" t="n">
        <v>0</v>
      </c>
      <c r="J307" t="n">
        <v>0</v>
      </c>
      <c r="K307" t="n">
        <v>0</v>
      </c>
      <c r="L307" t="n">
        <v>0</v>
      </c>
      <c r="M307" t="n">
        <v>0</v>
      </c>
      <c r="N307" t="n">
        <v>0</v>
      </c>
      <c r="O307" t="n">
        <v>0</v>
      </c>
      <c r="P307" t="n">
        <v>0</v>
      </c>
      <c r="Q307" t="n">
        <v>0</v>
      </c>
      <c r="R307" s="2" t="inlineStr"/>
    </row>
    <row r="308" ht="15" customHeight="1">
      <c r="A308" t="inlineStr">
        <is>
          <t>A 25535-2019</t>
        </is>
      </c>
      <c r="B308" s="1" t="n">
        <v>43606</v>
      </c>
      <c r="C308" s="1" t="n">
        <v>45827</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25316-2019</t>
        </is>
      </c>
      <c r="B309" s="1" t="n">
        <v>43606</v>
      </c>
      <c r="C309" s="1" t="n">
        <v>45827</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26374-2019</t>
        </is>
      </c>
      <c r="B310" s="1" t="n">
        <v>43606</v>
      </c>
      <c r="C310" s="1" t="n">
        <v>45827</v>
      </c>
      <c r="D310" t="inlineStr">
        <is>
          <t>STOCKHOLMS LÄN</t>
        </is>
      </c>
      <c r="E310" t="inlineStr">
        <is>
          <t>NORRTÄLJE</t>
        </is>
      </c>
      <c r="G310" t="n">
        <v>11.6</v>
      </c>
      <c r="H310" t="n">
        <v>0</v>
      </c>
      <c r="I310" t="n">
        <v>0</v>
      </c>
      <c r="J310" t="n">
        <v>0</v>
      </c>
      <c r="K310" t="n">
        <v>0</v>
      </c>
      <c r="L310" t="n">
        <v>0</v>
      </c>
      <c r="M310" t="n">
        <v>0</v>
      </c>
      <c r="N310" t="n">
        <v>0</v>
      </c>
      <c r="O310" t="n">
        <v>0</v>
      </c>
      <c r="P310" t="n">
        <v>0</v>
      </c>
      <c r="Q310" t="n">
        <v>0</v>
      </c>
      <c r="R310" s="2" t="inlineStr"/>
    </row>
    <row r="311" ht="15" customHeight="1">
      <c r="A311" t="inlineStr">
        <is>
          <t>A 25315-2019</t>
        </is>
      </c>
      <c r="B311" s="1" t="n">
        <v>43606</v>
      </c>
      <c r="C311" s="1" t="n">
        <v>45827</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25625-2019</t>
        </is>
      </c>
      <c r="B312" s="1" t="n">
        <v>43607</v>
      </c>
      <c r="C312" s="1" t="n">
        <v>45827</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26272-2019</t>
        </is>
      </c>
      <c r="B313" s="1" t="n">
        <v>43611</v>
      </c>
      <c r="C313" s="1" t="n">
        <v>45827</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26620-2019</t>
        </is>
      </c>
      <c r="B314" s="1" t="n">
        <v>43612</v>
      </c>
      <c r="C314" s="1" t="n">
        <v>45827</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26391-2019</t>
        </is>
      </c>
      <c r="B315" s="1" t="n">
        <v>43612</v>
      </c>
      <c r="C315" s="1" t="n">
        <v>45827</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26933-2019</t>
        </is>
      </c>
      <c r="B316" s="1" t="n">
        <v>43613</v>
      </c>
      <c r="C316" s="1" t="n">
        <v>45827</v>
      </c>
      <c r="D316" t="inlineStr">
        <is>
          <t>STOCKHOLMS LÄN</t>
        </is>
      </c>
      <c r="E316" t="inlineStr">
        <is>
          <t>NORRTÄLJE</t>
        </is>
      </c>
      <c r="G316" t="n">
        <v>2.8</v>
      </c>
      <c r="H316" t="n">
        <v>0</v>
      </c>
      <c r="I316" t="n">
        <v>0</v>
      </c>
      <c r="J316" t="n">
        <v>0</v>
      </c>
      <c r="K316" t="n">
        <v>0</v>
      </c>
      <c r="L316" t="n">
        <v>0</v>
      </c>
      <c r="M316" t="n">
        <v>0</v>
      </c>
      <c r="N316" t="n">
        <v>0</v>
      </c>
      <c r="O316" t="n">
        <v>0</v>
      </c>
      <c r="P316" t="n">
        <v>0</v>
      </c>
      <c r="Q316" t="n">
        <v>0</v>
      </c>
      <c r="R316" s="2" t="inlineStr"/>
    </row>
    <row r="317" ht="15" customHeight="1">
      <c r="A317" t="inlineStr">
        <is>
          <t>A 26830-2019</t>
        </is>
      </c>
      <c r="B317" s="1" t="n">
        <v>43613</v>
      </c>
      <c r="C317" s="1" t="n">
        <v>45827</v>
      </c>
      <c r="D317" t="inlineStr">
        <is>
          <t>STOCKHOLMS LÄN</t>
        </is>
      </c>
      <c r="E317" t="inlineStr">
        <is>
          <t>NORRTÄLJE</t>
        </is>
      </c>
      <c r="G317" t="n">
        <v>2.1</v>
      </c>
      <c r="H317" t="n">
        <v>0</v>
      </c>
      <c r="I317" t="n">
        <v>0</v>
      </c>
      <c r="J317" t="n">
        <v>0</v>
      </c>
      <c r="K317" t="n">
        <v>0</v>
      </c>
      <c r="L317" t="n">
        <v>0</v>
      </c>
      <c r="M317" t="n">
        <v>0</v>
      </c>
      <c r="N317" t="n">
        <v>0</v>
      </c>
      <c r="O317" t="n">
        <v>0</v>
      </c>
      <c r="P317" t="n">
        <v>0</v>
      </c>
      <c r="Q317" t="n">
        <v>0</v>
      </c>
      <c r="R317" s="2" t="inlineStr"/>
    </row>
    <row r="318" ht="15" customHeight="1">
      <c r="A318" t="inlineStr">
        <is>
          <t>A 27095-2019</t>
        </is>
      </c>
      <c r="B318" s="1" t="n">
        <v>43614</v>
      </c>
      <c r="C318" s="1" t="n">
        <v>45827</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28157-2019</t>
        </is>
      </c>
      <c r="B319" s="1" t="n">
        <v>43614</v>
      </c>
      <c r="C319" s="1" t="n">
        <v>45827</v>
      </c>
      <c r="D319" t="inlineStr">
        <is>
          <t>STOCKHOLMS LÄN</t>
        </is>
      </c>
      <c r="E319" t="inlineStr">
        <is>
          <t>NORRTÄLJE</t>
        </is>
      </c>
      <c r="F319" t="inlineStr">
        <is>
          <t>Kyrkan</t>
        </is>
      </c>
      <c r="G319" t="n">
        <v>0.5</v>
      </c>
      <c r="H319" t="n">
        <v>0</v>
      </c>
      <c r="I319" t="n">
        <v>0</v>
      </c>
      <c r="J319" t="n">
        <v>0</v>
      </c>
      <c r="K319" t="n">
        <v>0</v>
      </c>
      <c r="L319" t="n">
        <v>0</v>
      </c>
      <c r="M319" t="n">
        <v>0</v>
      </c>
      <c r="N319" t="n">
        <v>0</v>
      </c>
      <c r="O319" t="n">
        <v>0</v>
      </c>
      <c r="P319" t="n">
        <v>0</v>
      </c>
      <c r="Q319" t="n">
        <v>0</v>
      </c>
      <c r="R319" s="2" t="inlineStr"/>
    </row>
    <row r="320" ht="15" customHeight="1">
      <c r="A320" t="inlineStr">
        <is>
          <t>A 27264-2019</t>
        </is>
      </c>
      <c r="B320" s="1" t="n">
        <v>43615</v>
      </c>
      <c r="C320" s="1" t="n">
        <v>45827</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27971-2019</t>
        </is>
      </c>
      <c r="B321" s="1" t="n">
        <v>43620</v>
      </c>
      <c r="C321" s="1" t="n">
        <v>45827</v>
      </c>
      <c r="D321" t="inlineStr">
        <is>
          <t>STOCKHOLMS LÄN</t>
        </is>
      </c>
      <c r="E321" t="inlineStr">
        <is>
          <t>NORRTÄLJE</t>
        </is>
      </c>
      <c r="G321" t="n">
        <v>1.7</v>
      </c>
      <c r="H321" t="n">
        <v>0</v>
      </c>
      <c r="I321" t="n">
        <v>0</v>
      </c>
      <c r="J321" t="n">
        <v>0</v>
      </c>
      <c r="K321" t="n">
        <v>0</v>
      </c>
      <c r="L321" t="n">
        <v>0</v>
      </c>
      <c r="M321" t="n">
        <v>0</v>
      </c>
      <c r="N321" t="n">
        <v>0</v>
      </c>
      <c r="O321" t="n">
        <v>0</v>
      </c>
      <c r="P321" t="n">
        <v>0</v>
      </c>
      <c r="Q321" t="n">
        <v>0</v>
      </c>
      <c r="R321" s="2" t="inlineStr"/>
    </row>
    <row r="322" ht="15" customHeight="1">
      <c r="A322" t="inlineStr">
        <is>
          <t>A 27967-2019</t>
        </is>
      </c>
      <c r="B322" s="1" t="n">
        <v>43620</v>
      </c>
      <c r="C322" s="1" t="n">
        <v>45827</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28121-2019</t>
        </is>
      </c>
      <c r="B323" s="1" t="n">
        <v>43621</v>
      </c>
      <c r="C323" s="1" t="n">
        <v>45827</v>
      </c>
      <c r="D323" t="inlineStr">
        <is>
          <t>STOCKHOLMS LÄN</t>
        </is>
      </c>
      <c r="E323" t="inlineStr">
        <is>
          <t>NORRTÄLJE</t>
        </is>
      </c>
      <c r="F323" t="inlineStr">
        <is>
          <t>Kyrkan</t>
        </is>
      </c>
      <c r="G323" t="n">
        <v>2.5</v>
      </c>
      <c r="H323" t="n">
        <v>0</v>
      </c>
      <c r="I323" t="n">
        <v>0</v>
      </c>
      <c r="J323" t="n">
        <v>0</v>
      </c>
      <c r="K323" t="n">
        <v>0</v>
      </c>
      <c r="L323" t="n">
        <v>0</v>
      </c>
      <c r="M323" t="n">
        <v>0</v>
      </c>
      <c r="N323" t="n">
        <v>0</v>
      </c>
      <c r="O323" t="n">
        <v>0</v>
      </c>
      <c r="P323" t="n">
        <v>0</v>
      </c>
      <c r="Q323" t="n">
        <v>0</v>
      </c>
      <c r="R323" s="2" t="inlineStr"/>
    </row>
    <row r="324" ht="15" customHeight="1">
      <c r="A324" t="inlineStr">
        <is>
          <t>A 28289-2019</t>
        </is>
      </c>
      <c r="B324" s="1" t="n">
        <v>43623</v>
      </c>
      <c r="C324" s="1" t="n">
        <v>45827</v>
      </c>
      <c r="D324" t="inlineStr">
        <is>
          <t>STOCKHOLMS LÄN</t>
        </is>
      </c>
      <c r="E324" t="inlineStr">
        <is>
          <t>NORRTÄLJE</t>
        </is>
      </c>
      <c r="G324" t="n">
        <v>7.7</v>
      </c>
      <c r="H324" t="n">
        <v>0</v>
      </c>
      <c r="I324" t="n">
        <v>0</v>
      </c>
      <c r="J324" t="n">
        <v>0</v>
      </c>
      <c r="K324" t="n">
        <v>0</v>
      </c>
      <c r="L324" t="n">
        <v>0</v>
      </c>
      <c r="M324" t="n">
        <v>0</v>
      </c>
      <c r="N324" t="n">
        <v>0</v>
      </c>
      <c r="O324" t="n">
        <v>0</v>
      </c>
      <c r="P324" t="n">
        <v>0</v>
      </c>
      <c r="Q324" t="n">
        <v>0</v>
      </c>
      <c r="R324" s="2" t="inlineStr"/>
    </row>
    <row r="325" ht="15" customHeight="1">
      <c r="A325" t="inlineStr">
        <is>
          <t>A 28519-2019</t>
        </is>
      </c>
      <c r="B325" s="1" t="n">
        <v>43626</v>
      </c>
      <c r="C325" s="1" t="n">
        <v>45827</v>
      </c>
      <c r="D325" t="inlineStr">
        <is>
          <t>STOCKHOLMS LÄN</t>
        </is>
      </c>
      <c r="E325" t="inlineStr">
        <is>
          <t>NORRTÄLJE</t>
        </is>
      </c>
      <c r="G325" t="n">
        <v>3</v>
      </c>
      <c r="H325" t="n">
        <v>0</v>
      </c>
      <c r="I325" t="n">
        <v>0</v>
      </c>
      <c r="J325" t="n">
        <v>0</v>
      </c>
      <c r="K325" t="n">
        <v>0</v>
      </c>
      <c r="L325" t="n">
        <v>0</v>
      </c>
      <c r="M325" t="n">
        <v>0</v>
      </c>
      <c r="N325" t="n">
        <v>0</v>
      </c>
      <c r="O325" t="n">
        <v>0</v>
      </c>
      <c r="P325" t="n">
        <v>0</v>
      </c>
      <c r="Q325" t="n">
        <v>0</v>
      </c>
      <c r="R325" s="2" t="inlineStr"/>
    </row>
    <row r="326" ht="15" customHeight="1">
      <c r="A326" t="inlineStr">
        <is>
          <t>A 28495-2019</t>
        </is>
      </c>
      <c r="B326" s="1" t="n">
        <v>43626</v>
      </c>
      <c r="C326" s="1" t="n">
        <v>45827</v>
      </c>
      <c r="D326" t="inlineStr">
        <is>
          <t>STOCKHOLMS LÄN</t>
        </is>
      </c>
      <c r="E326" t="inlineStr">
        <is>
          <t>NORRTÄLJE</t>
        </is>
      </c>
      <c r="G326" t="n">
        <v>14.7</v>
      </c>
      <c r="H326" t="n">
        <v>0</v>
      </c>
      <c r="I326" t="n">
        <v>0</v>
      </c>
      <c r="J326" t="n">
        <v>0</v>
      </c>
      <c r="K326" t="n">
        <v>0</v>
      </c>
      <c r="L326" t="n">
        <v>0</v>
      </c>
      <c r="M326" t="n">
        <v>0</v>
      </c>
      <c r="N326" t="n">
        <v>0</v>
      </c>
      <c r="O326" t="n">
        <v>0</v>
      </c>
      <c r="P326" t="n">
        <v>0</v>
      </c>
      <c r="Q326" t="n">
        <v>0</v>
      </c>
      <c r="R326" s="2" t="inlineStr"/>
    </row>
    <row r="327" ht="15" customHeight="1">
      <c r="A327" t="inlineStr">
        <is>
          <t>A 28394-2019</t>
        </is>
      </c>
      <c r="B327" s="1" t="n">
        <v>43626</v>
      </c>
      <c r="C327" s="1" t="n">
        <v>45827</v>
      </c>
      <c r="D327" t="inlineStr">
        <is>
          <t>STOCKHOLMS LÄN</t>
        </is>
      </c>
      <c r="E327" t="inlineStr">
        <is>
          <t>NORRTÄLJE</t>
        </is>
      </c>
      <c r="G327" t="n">
        <v>2.4</v>
      </c>
      <c r="H327" t="n">
        <v>0</v>
      </c>
      <c r="I327" t="n">
        <v>0</v>
      </c>
      <c r="J327" t="n">
        <v>0</v>
      </c>
      <c r="K327" t="n">
        <v>0</v>
      </c>
      <c r="L327" t="n">
        <v>0</v>
      </c>
      <c r="M327" t="n">
        <v>0</v>
      </c>
      <c r="N327" t="n">
        <v>0</v>
      </c>
      <c r="O327" t="n">
        <v>0</v>
      </c>
      <c r="P327" t="n">
        <v>0</v>
      </c>
      <c r="Q327" t="n">
        <v>0</v>
      </c>
      <c r="R327" s="2" t="inlineStr"/>
    </row>
    <row r="328" ht="15" customHeight="1">
      <c r="A328" t="inlineStr">
        <is>
          <t>A 29260-2019</t>
        </is>
      </c>
      <c r="B328" s="1" t="n">
        <v>43629</v>
      </c>
      <c r="C328" s="1" t="n">
        <v>45827</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29312-2019</t>
        </is>
      </c>
      <c r="B329" s="1" t="n">
        <v>43629</v>
      </c>
      <c r="C329" s="1" t="n">
        <v>45827</v>
      </c>
      <c r="D329" t="inlineStr">
        <is>
          <t>STOCKHOLMS LÄN</t>
        </is>
      </c>
      <c r="E329" t="inlineStr">
        <is>
          <t>NORRTÄLJE</t>
        </is>
      </c>
      <c r="G329" t="n">
        <v>7.1</v>
      </c>
      <c r="H329" t="n">
        <v>0</v>
      </c>
      <c r="I329" t="n">
        <v>0</v>
      </c>
      <c r="J329" t="n">
        <v>0</v>
      </c>
      <c r="K329" t="n">
        <v>0</v>
      </c>
      <c r="L329" t="n">
        <v>0</v>
      </c>
      <c r="M329" t="n">
        <v>0</v>
      </c>
      <c r="N329" t="n">
        <v>0</v>
      </c>
      <c r="O329" t="n">
        <v>0</v>
      </c>
      <c r="P329" t="n">
        <v>0</v>
      </c>
      <c r="Q329" t="n">
        <v>0</v>
      </c>
      <c r="R329" s="2" t="inlineStr"/>
    </row>
    <row r="330" ht="15" customHeight="1">
      <c r="A330" t="inlineStr">
        <is>
          <t>A 29759-2019</t>
        </is>
      </c>
      <c r="B330" s="1" t="n">
        <v>43631</v>
      </c>
      <c r="C330" s="1" t="n">
        <v>45827</v>
      </c>
      <c r="D330" t="inlineStr">
        <is>
          <t>STOCKHOLMS LÄN</t>
        </is>
      </c>
      <c r="E330" t="inlineStr">
        <is>
          <t>NORRTÄLJE</t>
        </is>
      </c>
      <c r="G330" t="n">
        <v>0.8</v>
      </c>
      <c r="H330" t="n">
        <v>0</v>
      </c>
      <c r="I330" t="n">
        <v>0</v>
      </c>
      <c r="J330" t="n">
        <v>0</v>
      </c>
      <c r="K330" t="n">
        <v>0</v>
      </c>
      <c r="L330" t="n">
        <v>0</v>
      </c>
      <c r="M330" t="n">
        <v>0</v>
      </c>
      <c r="N330" t="n">
        <v>0</v>
      </c>
      <c r="O330" t="n">
        <v>0</v>
      </c>
      <c r="P330" t="n">
        <v>0</v>
      </c>
      <c r="Q330" t="n">
        <v>0</v>
      </c>
      <c r="R330" s="2" t="inlineStr"/>
    </row>
    <row r="331" ht="15" customHeight="1">
      <c r="A331" t="inlineStr">
        <is>
          <t>A 30000-2019</t>
        </is>
      </c>
      <c r="B331" s="1" t="n">
        <v>43633</v>
      </c>
      <c r="C331" s="1" t="n">
        <v>45827</v>
      </c>
      <c r="D331" t="inlineStr">
        <is>
          <t>STOCKHOLMS LÄN</t>
        </is>
      </c>
      <c r="E331" t="inlineStr">
        <is>
          <t>NORRTÄLJE</t>
        </is>
      </c>
      <c r="G331" t="n">
        <v>5.4</v>
      </c>
      <c r="H331" t="n">
        <v>0</v>
      </c>
      <c r="I331" t="n">
        <v>0</v>
      </c>
      <c r="J331" t="n">
        <v>0</v>
      </c>
      <c r="K331" t="n">
        <v>0</v>
      </c>
      <c r="L331" t="n">
        <v>0</v>
      </c>
      <c r="M331" t="n">
        <v>0</v>
      </c>
      <c r="N331" t="n">
        <v>0</v>
      </c>
      <c r="O331" t="n">
        <v>0</v>
      </c>
      <c r="P331" t="n">
        <v>0</v>
      </c>
      <c r="Q331" t="n">
        <v>0</v>
      </c>
      <c r="R331" s="2" t="inlineStr"/>
    </row>
    <row r="332" ht="15" customHeight="1">
      <c r="A332" t="inlineStr">
        <is>
          <t>A 30833-2019</t>
        </is>
      </c>
      <c r="B332" s="1" t="n">
        <v>43636</v>
      </c>
      <c r="C332" s="1" t="n">
        <v>45827</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31215-2019</t>
        </is>
      </c>
      <c r="B333" s="1" t="n">
        <v>43640</v>
      </c>
      <c r="C333" s="1" t="n">
        <v>45827</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31017-2019</t>
        </is>
      </c>
      <c r="B334" s="1" t="n">
        <v>43640</v>
      </c>
      <c r="C334" s="1" t="n">
        <v>45827</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31966-2019</t>
        </is>
      </c>
      <c r="B335" s="1" t="n">
        <v>43643</v>
      </c>
      <c r="C335" s="1" t="n">
        <v>45827</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32725-2019</t>
        </is>
      </c>
      <c r="B336" s="1" t="n">
        <v>43647</v>
      </c>
      <c r="C336" s="1" t="n">
        <v>45827</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32726-2019</t>
        </is>
      </c>
      <c r="B337" s="1" t="n">
        <v>43647</v>
      </c>
      <c r="C337" s="1" t="n">
        <v>45827</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33207-2019</t>
        </is>
      </c>
      <c r="B338" s="1" t="n">
        <v>43649</v>
      </c>
      <c r="C338" s="1" t="n">
        <v>45827</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33955-2019</t>
        </is>
      </c>
      <c r="B339" s="1" t="n">
        <v>43654</v>
      </c>
      <c r="C339" s="1" t="n">
        <v>45827</v>
      </c>
      <c r="D339" t="inlineStr">
        <is>
          <t>STOCKHOLMS LÄN</t>
        </is>
      </c>
      <c r="E339" t="inlineStr">
        <is>
          <t>NORRTÄLJE</t>
        </is>
      </c>
      <c r="G339" t="n">
        <v>1.7</v>
      </c>
      <c r="H339" t="n">
        <v>0</v>
      </c>
      <c r="I339" t="n">
        <v>0</v>
      </c>
      <c r="J339" t="n">
        <v>0</v>
      </c>
      <c r="K339" t="n">
        <v>0</v>
      </c>
      <c r="L339" t="n">
        <v>0</v>
      </c>
      <c r="M339" t="n">
        <v>0</v>
      </c>
      <c r="N339" t="n">
        <v>0</v>
      </c>
      <c r="O339" t="n">
        <v>0</v>
      </c>
      <c r="P339" t="n">
        <v>0</v>
      </c>
      <c r="Q339" t="n">
        <v>0</v>
      </c>
      <c r="R339" s="2" t="inlineStr"/>
    </row>
    <row r="340" ht="15" customHeight="1">
      <c r="A340" t="inlineStr">
        <is>
          <t>A 33966-2019</t>
        </is>
      </c>
      <c r="B340" s="1" t="n">
        <v>43654</v>
      </c>
      <c r="C340" s="1" t="n">
        <v>45827</v>
      </c>
      <c r="D340" t="inlineStr">
        <is>
          <t>STOCKHOLMS LÄN</t>
        </is>
      </c>
      <c r="E340" t="inlineStr">
        <is>
          <t>NORRTÄLJE</t>
        </is>
      </c>
      <c r="G340" t="n">
        <v>3.2</v>
      </c>
      <c r="H340" t="n">
        <v>0</v>
      </c>
      <c r="I340" t="n">
        <v>0</v>
      </c>
      <c r="J340" t="n">
        <v>0</v>
      </c>
      <c r="K340" t="n">
        <v>0</v>
      </c>
      <c r="L340" t="n">
        <v>0</v>
      </c>
      <c r="M340" t="n">
        <v>0</v>
      </c>
      <c r="N340" t="n">
        <v>0</v>
      </c>
      <c r="O340" t="n">
        <v>0</v>
      </c>
      <c r="P340" t="n">
        <v>0</v>
      </c>
      <c r="Q340" t="n">
        <v>0</v>
      </c>
      <c r="R340" s="2" t="inlineStr"/>
    </row>
    <row r="341" ht="15" customHeight="1">
      <c r="A341" t="inlineStr">
        <is>
          <t>A 35247-2019</t>
        </is>
      </c>
      <c r="B341" s="1" t="n">
        <v>43656</v>
      </c>
      <c r="C341" s="1" t="n">
        <v>45827</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35244-2019</t>
        </is>
      </c>
      <c r="B342" s="1" t="n">
        <v>43656</v>
      </c>
      <c r="C342" s="1" t="n">
        <v>45827</v>
      </c>
      <c r="D342" t="inlineStr">
        <is>
          <t>STOCKHOLMS LÄN</t>
        </is>
      </c>
      <c r="E342" t="inlineStr">
        <is>
          <t>NORRTÄLJE</t>
        </is>
      </c>
      <c r="G342" t="n">
        <v>1.9</v>
      </c>
      <c r="H342" t="n">
        <v>0</v>
      </c>
      <c r="I342" t="n">
        <v>0</v>
      </c>
      <c r="J342" t="n">
        <v>0</v>
      </c>
      <c r="K342" t="n">
        <v>0</v>
      </c>
      <c r="L342" t="n">
        <v>0</v>
      </c>
      <c r="M342" t="n">
        <v>0</v>
      </c>
      <c r="N342" t="n">
        <v>0</v>
      </c>
      <c r="O342" t="n">
        <v>0</v>
      </c>
      <c r="P342" t="n">
        <v>0</v>
      </c>
      <c r="Q342" t="n">
        <v>0</v>
      </c>
      <c r="R342" s="2" t="inlineStr"/>
    </row>
    <row r="343" ht="15" customHeight="1">
      <c r="A343" t="inlineStr">
        <is>
          <t>A 35249-2019</t>
        </is>
      </c>
      <c r="B343" s="1" t="n">
        <v>43656</v>
      </c>
      <c r="C343" s="1" t="n">
        <v>45827</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35251-2019</t>
        </is>
      </c>
      <c r="B344" s="1" t="n">
        <v>43656</v>
      </c>
      <c r="C344" s="1" t="n">
        <v>45827</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35492-2019</t>
        </is>
      </c>
      <c r="B345" s="1" t="n">
        <v>43663</v>
      </c>
      <c r="C345" s="1" t="n">
        <v>45827</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35770-2019</t>
        </is>
      </c>
      <c r="B346" s="1" t="n">
        <v>43665</v>
      </c>
      <c r="C346" s="1" t="n">
        <v>45827</v>
      </c>
      <c r="D346" t="inlineStr">
        <is>
          <t>STOCKHOLMS LÄN</t>
        </is>
      </c>
      <c r="E346" t="inlineStr">
        <is>
          <t>NORRTÄLJE</t>
        </is>
      </c>
      <c r="G346" t="n">
        <v>6.3</v>
      </c>
      <c r="H346" t="n">
        <v>0</v>
      </c>
      <c r="I346" t="n">
        <v>0</v>
      </c>
      <c r="J346" t="n">
        <v>0</v>
      </c>
      <c r="K346" t="n">
        <v>0</v>
      </c>
      <c r="L346" t="n">
        <v>0</v>
      </c>
      <c r="M346" t="n">
        <v>0</v>
      </c>
      <c r="N346" t="n">
        <v>0</v>
      </c>
      <c r="O346" t="n">
        <v>0</v>
      </c>
      <c r="P346" t="n">
        <v>0</v>
      </c>
      <c r="Q346" t="n">
        <v>0</v>
      </c>
      <c r="R346" s="2" t="inlineStr"/>
    </row>
    <row r="347" ht="15" customHeight="1">
      <c r="A347" t="inlineStr">
        <is>
          <t>A 35766-2019</t>
        </is>
      </c>
      <c r="B347" s="1" t="n">
        <v>43665</v>
      </c>
      <c r="C347" s="1" t="n">
        <v>45827</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36418-2019</t>
        </is>
      </c>
      <c r="B348" s="1" t="n">
        <v>43670</v>
      </c>
      <c r="C348" s="1" t="n">
        <v>45827</v>
      </c>
      <c r="D348" t="inlineStr">
        <is>
          <t>STOCKHOLMS LÄN</t>
        </is>
      </c>
      <c r="E348" t="inlineStr">
        <is>
          <t>NORRTÄLJE</t>
        </is>
      </c>
      <c r="G348" t="n">
        <v>16.8</v>
      </c>
      <c r="H348" t="n">
        <v>0</v>
      </c>
      <c r="I348" t="n">
        <v>0</v>
      </c>
      <c r="J348" t="n">
        <v>0</v>
      </c>
      <c r="K348" t="n">
        <v>0</v>
      </c>
      <c r="L348" t="n">
        <v>0</v>
      </c>
      <c r="M348" t="n">
        <v>0</v>
      </c>
      <c r="N348" t="n">
        <v>0</v>
      </c>
      <c r="O348" t="n">
        <v>0</v>
      </c>
      <c r="P348" t="n">
        <v>0</v>
      </c>
      <c r="Q348" t="n">
        <v>0</v>
      </c>
      <c r="R348" s="2" t="inlineStr"/>
    </row>
    <row r="349" ht="15" customHeight="1">
      <c r="A349" t="inlineStr">
        <is>
          <t>A 37401-2019</t>
        </is>
      </c>
      <c r="B349" s="1" t="n">
        <v>43678</v>
      </c>
      <c r="C349" s="1" t="n">
        <v>45827</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37662-2019</t>
        </is>
      </c>
      <c r="B350" s="1" t="n">
        <v>43682</v>
      </c>
      <c r="C350" s="1" t="n">
        <v>45827</v>
      </c>
      <c r="D350" t="inlineStr">
        <is>
          <t>STOCKHOLMS LÄN</t>
        </is>
      </c>
      <c r="E350" t="inlineStr">
        <is>
          <t>NORRTÄLJE</t>
        </is>
      </c>
      <c r="G350" t="n">
        <v>1.5</v>
      </c>
      <c r="H350" t="n">
        <v>0</v>
      </c>
      <c r="I350" t="n">
        <v>0</v>
      </c>
      <c r="J350" t="n">
        <v>0</v>
      </c>
      <c r="K350" t="n">
        <v>0</v>
      </c>
      <c r="L350" t="n">
        <v>0</v>
      </c>
      <c r="M350" t="n">
        <v>0</v>
      </c>
      <c r="N350" t="n">
        <v>0</v>
      </c>
      <c r="O350" t="n">
        <v>0</v>
      </c>
      <c r="P350" t="n">
        <v>0</v>
      </c>
      <c r="Q350" t="n">
        <v>0</v>
      </c>
      <c r="R350" s="2" t="inlineStr"/>
    </row>
    <row r="351" ht="15" customHeight="1">
      <c r="A351" t="inlineStr">
        <is>
          <t>A 38144-2019</t>
        </is>
      </c>
      <c r="B351" s="1" t="n">
        <v>43684</v>
      </c>
      <c r="C351" s="1" t="n">
        <v>45827</v>
      </c>
      <c r="D351" t="inlineStr">
        <is>
          <t>STOCKHOLMS LÄN</t>
        </is>
      </c>
      <c r="E351" t="inlineStr">
        <is>
          <t>NORRTÄLJE</t>
        </is>
      </c>
      <c r="G351" t="n">
        <v>3.6</v>
      </c>
      <c r="H351" t="n">
        <v>0</v>
      </c>
      <c r="I351" t="n">
        <v>0</v>
      </c>
      <c r="J351" t="n">
        <v>0</v>
      </c>
      <c r="K351" t="n">
        <v>0</v>
      </c>
      <c r="L351" t="n">
        <v>0</v>
      </c>
      <c r="M351" t="n">
        <v>0</v>
      </c>
      <c r="N351" t="n">
        <v>0</v>
      </c>
      <c r="O351" t="n">
        <v>0</v>
      </c>
      <c r="P351" t="n">
        <v>0</v>
      </c>
      <c r="Q351" t="n">
        <v>0</v>
      </c>
      <c r="R351" s="2" t="inlineStr"/>
    </row>
    <row r="352" ht="15" customHeight="1">
      <c r="A352" t="inlineStr">
        <is>
          <t>A 38139-2019</t>
        </is>
      </c>
      <c r="B352" s="1" t="n">
        <v>43684</v>
      </c>
      <c r="C352" s="1" t="n">
        <v>45827</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38145-2019</t>
        </is>
      </c>
      <c r="B353" s="1" t="n">
        <v>43684</v>
      </c>
      <c r="C353" s="1" t="n">
        <v>45827</v>
      </c>
      <c r="D353" t="inlineStr">
        <is>
          <t>STOCKHOLMS LÄN</t>
        </is>
      </c>
      <c r="E353" t="inlineStr">
        <is>
          <t>NORRTÄLJE</t>
        </is>
      </c>
      <c r="G353" t="n">
        <v>9.9</v>
      </c>
      <c r="H353" t="n">
        <v>0</v>
      </c>
      <c r="I353" t="n">
        <v>0</v>
      </c>
      <c r="J353" t="n">
        <v>0</v>
      </c>
      <c r="K353" t="n">
        <v>0</v>
      </c>
      <c r="L353" t="n">
        <v>0</v>
      </c>
      <c r="M353" t="n">
        <v>0</v>
      </c>
      <c r="N353" t="n">
        <v>0</v>
      </c>
      <c r="O353" t="n">
        <v>0</v>
      </c>
      <c r="P353" t="n">
        <v>0</v>
      </c>
      <c r="Q353" t="n">
        <v>0</v>
      </c>
      <c r="R353" s="2" t="inlineStr"/>
    </row>
    <row r="354" ht="15" customHeight="1">
      <c r="A354" t="inlineStr">
        <is>
          <t>A 38140-2019</t>
        </is>
      </c>
      <c r="B354" s="1" t="n">
        <v>43684</v>
      </c>
      <c r="C354" s="1" t="n">
        <v>45827</v>
      </c>
      <c r="D354" t="inlineStr">
        <is>
          <t>STOCKHOLMS LÄN</t>
        </is>
      </c>
      <c r="E354" t="inlineStr">
        <is>
          <t>NORRTÄLJE</t>
        </is>
      </c>
      <c r="G354" t="n">
        <v>3.4</v>
      </c>
      <c r="H354" t="n">
        <v>0</v>
      </c>
      <c r="I354" t="n">
        <v>0</v>
      </c>
      <c r="J354" t="n">
        <v>0</v>
      </c>
      <c r="K354" t="n">
        <v>0</v>
      </c>
      <c r="L354" t="n">
        <v>0</v>
      </c>
      <c r="M354" t="n">
        <v>0</v>
      </c>
      <c r="N354" t="n">
        <v>0</v>
      </c>
      <c r="O354" t="n">
        <v>0</v>
      </c>
      <c r="P354" t="n">
        <v>0</v>
      </c>
      <c r="Q354" t="n">
        <v>0</v>
      </c>
      <c r="R354" s="2" t="inlineStr"/>
    </row>
    <row r="355" ht="15" customHeight="1">
      <c r="A355" t="inlineStr">
        <is>
          <t>A 38143-2019</t>
        </is>
      </c>
      <c r="B355" s="1" t="n">
        <v>43684</v>
      </c>
      <c r="C355" s="1" t="n">
        <v>45827</v>
      </c>
      <c r="D355" t="inlineStr">
        <is>
          <t>STOCKHOLMS LÄN</t>
        </is>
      </c>
      <c r="E355" t="inlineStr">
        <is>
          <t>NORRTÄLJE</t>
        </is>
      </c>
      <c r="G355" t="n">
        <v>12.7</v>
      </c>
      <c r="H355" t="n">
        <v>0</v>
      </c>
      <c r="I355" t="n">
        <v>0</v>
      </c>
      <c r="J355" t="n">
        <v>0</v>
      </c>
      <c r="K355" t="n">
        <v>0</v>
      </c>
      <c r="L355" t="n">
        <v>0</v>
      </c>
      <c r="M355" t="n">
        <v>0</v>
      </c>
      <c r="N355" t="n">
        <v>0</v>
      </c>
      <c r="O355" t="n">
        <v>0</v>
      </c>
      <c r="P355" t="n">
        <v>0</v>
      </c>
      <c r="Q355" t="n">
        <v>0</v>
      </c>
      <c r="R355" s="2" t="inlineStr"/>
    </row>
    <row r="356" ht="15" customHeight="1">
      <c r="A356" t="inlineStr">
        <is>
          <t>A 38506-2019</t>
        </is>
      </c>
      <c r="B356" s="1" t="n">
        <v>43685</v>
      </c>
      <c r="C356" s="1" t="n">
        <v>45827</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38605-2019</t>
        </is>
      </c>
      <c r="B357" s="1" t="n">
        <v>43686</v>
      </c>
      <c r="C357" s="1" t="n">
        <v>45827</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38737-2019</t>
        </is>
      </c>
      <c r="B358" s="1" t="n">
        <v>43686</v>
      </c>
      <c r="C358" s="1" t="n">
        <v>45827</v>
      </c>
      <c r="D358" t="inlineStr">
        <is>
          <t>STOCKHOLMS LÄN</t>
        </is>
      </c>
      <c r="E358" t="inlineStr">
        <is>
          <t>NORRTÄLJE</t>
        </is>
      </c>
      <c r="G358" t="n">
        <v>4.7</v>
      </c>
      <c r="H358" t="n">
        <v>0</v>
      </c>
      <c r="I358" t="n">
        <v>0</v>
      </c>
      <c r="J358" t="n">
        <v>0</v>
      </c>
      <c r="K358" t="n">
        <v>0</v>
      </c>
      <c r="L358" t="n">
        <v>0</v>
      </c>
      <c r="M358" t="n">
        <v>0</v>
      </c>
      <c r="N358" t="n">
        <v>0</v>
      </c>
      <c r="O358" t="n">
        <v>0</v>
      </c>
      <c r="P358" t="n">
        <v>0</v>
      </c>
      <c r="Q358" t="n">
        <v>0</v>
      </c>
      <c r="R358" s="2" t="inlineStr"/>
    </row>
    <row r="359" ht="15" customHeight="1">
      <c r="A359" t="inlineStr">
        <is>
          <t>A 40571-2019</t>
        </is>
      </c>
      <c r="B359" s="1" t="n">
        <v>43696</v>
      </c>
      <c r="C359" s="1" t="n">
        <v>45827</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42330-2019</t>
        </is>
      </c>
      <c r="B360" s="1" t="n">
        <v>43703</v>
      </c>
      <c r="C360" s="1" t="n">
        <v>45827</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43379-2019</t>
        </is>
      </c>
      <c r="B361" s="1" t="n">
        <v>43703</v>
      </c>
      <c r="C361" s="1" t="n">
        <v>45827</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43296-2019</t>
        </is>
      </c>
      <c r="B362" s="1" t="n">
        <v>43706</v>
      </c>
      <c r="C362" s="1" t="n">
        <v>45827</v>
      </c>
      <c r="D362" t="inlineStr">
        <is>
          <t>STOCKHOLMS LÄN</t>
        </is>
      </c>
      <c r="E362" t="inlineStr">
        <is>
          <t>NORRTÄLJE</t>
        </is>
      </c>
      <c r="F362" t="inlineStr">
        <is>
          <t>Kommuner</t>
        </is>
      </c>
      <c r="G362" t="n">
        <v>1.7</v>
      </c>
      <c r="H362" t="n">
        <v>0</v>
      </c>
      <c r="I362" t="n">
        <v>0</v>
      </c>
      <c r="J362" t="n">
        <v>0</v>
      </c>
      <c r="K362" t="n">
        <v>0</v>
      </c>
      <c r="L362" t="n">
        <v>0</v>
      </c>
      <c r="M362" t="n">
        <v>0</v>
      </c>
      <c r="N362" t="n">
        <v>0</v>
      </c>
      <c r="O362" t="n">
        <v>0</v>
      </c>
      <c r="P362" t="n">
        <v>0</v>
      </c>
      <c r="Q362" t="n">
        <v>0</v>
      </c>
      <c r="R362" s="2" t="inlineStr"/>
    </row>
    <row r="363" ht="15" customHeight="1">
      <c r="A363" t="inlineStr">
        <is>
          <t>A 44643-2019</t>
        </is>
      </c>
      <c r="B363" s="1" t="n">
        <v>43712</v>
      </c>
      <c r="C363" s="1" t="n">
        <v>45827</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45463-2019</t>
        </is>
      </c>
      <c r="B364" s="1" t="n">
        <v>43714</v>
      </c>
      <c r="C364" s="1" t="n">
        <v>45827</v>
      </c>
      <c r="D364" t="inlineStr">
        <is>
          <t>STOCKHOLMS LÄN</t>
        </is>
      </c>
      <c r="E364" t="inlineStr">
        <is>
          <t>NORRTÄLJE</t>
        </is>
      </c>
      <c r="F364" t="inlineStr">
        <is>
          <t>Övriga statliga verk och myndigheter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45477-2019</t>
        </is>
      </c>
      <c r="B365" s="1" t="n">
        <v>43714</v>
      </c>
      <c r="C365" s="1" t="n">
        <v>45827</v>
      </c>
      <c r="D365" t="inlineStr">
        <is>
          <t>STOCKHOLMS LÄN</t>
        </is>
      </c>
      <c r="E365" t="inlineStr">
        <is>
          <t>NORRTÄLJE</t>
        </is>
      </c>
      <c r="F365" t="inlineStr">
        <is>
          <t>Övriga statliga verk och myndigheter</t>
        </is>
      </c>
      <c r="G365" t="n">
        <v>8.9</v>
      </c>
      <c r="H365" t="n">
        <v>0</v>
      </c>
      <c r="I365" t="n">
        <v>0</v>
      </c>
      <c r="J365" t="n">
        <v>0</v>
      </c>
      <c r="K365" t="n">
        <v>0</v>
      </c>
      <c r="L365" t="n">
        <v>0</v>
      </c>
      <c r="M365" t="n">
        <v>0</v>
      </c>
      <c r="N365" t="n">
        <v>0</v>
      </c>
      <c r="O365" t="n">
        <v>0</v>
      </c>
      <c r="P365" t="n">
        <v>0</v>
      </c>
      <c r="Q365" t="n">
        <v>0</v>
      </c>
      <c r="R365" s="2" t="inlineStr"/>
    </row>
    <row r="366" ht="15" customHeight="1">
      <c r="A366" t="inlineStr">
        <is>
          <t>A 46327-2019</t>
        </is>
      </c>
      <c r="B366" s="1" t="n">
        <v>43718</v>
      </c>
      <c r="C366" s="1" t="n">
        <v>45827</v>
      </c>
      <c r="D366" t="inlineStr">
        <is>
          <t>STOCKHOLMS LÄN</t>
        </is>
      </c>
      <c r="E366" t="inlineStr">
        <is>
          <t>NORRTÄLJE</t>
        </is>
      </c>
      <c r="G366" t="n">
        <v>2.4</v>
      </c>
      <c r="H366" t="n">
        <v>0</v>
      </c>
      <c r="I366" t="n">
        <v>0</v>
      </c>
      <c r="J366" t="n">
        <v>0</v>
      </c>
      <c r="K366" t="n">
        <v>0</v>
      </c>
      <c r="L366" t="n">
        <v>0</v>
      </c>
      <c r="M366" t="n">
        <v>0</v>
      </c>
      <c r="N366" t="n">
        <v>0</v>
      </c>
      <c r="O366" t="n">
        <v>0</v>
      </c>
      <c r="P366" t="n">
        <v>0</v>
      </c>
      <c r="Q366" t="n">
        <v>0</v>
      </c>
      <c r="R366" s="2" t="inlineStr"/>
    </row>
    <row r="367" ht="15" customHeight="1">
      <c r="A367" t="inlineStr">
        <is>
          <t>A 47876-2019</t>
        </is>
      </c>
      <c r="B367" s="1" t="n">
        <v>43725</v>
      </c>
      <c r="C367" s="1" t="n">
        <v>45827</v>
      </c>
      <c r="D367" t="inlineStr">
        <is>
          <t>STOCKHOLMS LÄN</t>
        </is>
      </c>
      <c r="E367" t="inlineStr">
        <is>
          <t>NORRTÄLJE</t>
        </is>
      </c>
      <c r="G367" t="n">
        <v>11.4</v>
      </c>
      <c r="H367" t="n">
        <v>0</v>
      </c>
      <c r="I367" t="n">
        <v>0</v>
      </c>
      <c r="J367" t="n">
        <v>0</v>
      </c>
      <c r="K367" t="n">
        <v>0</v>
      </c>
      <c r="L367" t="n">
        <v>0</v>
      </c>
      <c r="M367" t="n">
        <v>0</v>
      </c>
      <c r="N367" t="n">
        <v>0</v>
      </c>
      <c r="O367" t="n">
        <v>0</v>
      </c>
      <c r="P367" t="n">
        <v>0</v>
      </c>
      <c r="Q367" t="n">
        <v>0</v>
      </c>
      <c r="R367" s="2" t="inlineStr"/>
    </row>
    <row r="368" ht="15" customHeight="1">
      <c r="A368" t="inlineStr">
        <is>
          <t>A 47877-2019</t>
        </is>
      </c>
      <c r="B368" s="1" t="n">
        <v>43725</v>
      </c>
      <c r="C368" s="1" t="n">
        <v>45827</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47903-2019</t>
        </is>
      </c>
      <c r="B369" s="1" t="n">
        <v>43725</v>
      </c>
      <c r="C369" s="1" t="n">
        <v>45827</v>
      </c>
      <c r="D369" t="inlineStr">
        <is>
          <t>STOCKHOLMS LÄN</t>
        </is>
      </c>
      <c r="E369" t="inlineStr">
        <is>
          <t>NORRTÄLJE</t>
        </is>
      </c>
      <c r="G369" t="n">
        <v>2.1</v>
      </c>
      <c r="H369" t="n">
        <v>0</v>
      </c>
      <c r="I369" t="n">
        <v>0</v>
      </c>
      <c r="J369" t="n">
        <v>0</v>
      </c>
      <c r="K369" t="n">
        <v>0</v>
      </c>
      <c r="L369" t="n">
        <v>0</v>
      </c>
      <c r="M369" t="n">
        <v>0</v>
      </c>
      <c r="N369" t="n">
        <v>0</v>
      </c>
      <c r="O369" t="n">
        <v>0</v>
      </c>
      <c r="P369" t="n">
        <v>0</v>
      </c>
      <c r="Q369" t="n">
        <v>0</v>
      </c>
      <c r="R369" s="2" t="inlineStr"/>
    </row>
    <row r="370" ht="15" customHeight="1">
      <c r="A370" t="inlineStr">
        <is>
          <t>A 47901-2019</t>
        </is>
      </c>
      <c r="B370" s="1" t="n">
        <v>43725</v>
      </c>
      <c r="C370" s="1" t="n">
        <v>45827</v>
      </c>
      <c r="D370" t="inlineStr">
        <is>
          <t>STOCKHOLMS LÄN</t>
        </is>
      </c>
      <c r="E370" t="inlineStr">
        <is>
          <t>NORRTÄLJE</t>
        </is>
      </c>
      <c r="G370" t="n">
        <v>3</v>
      </c>
      <c r="H370" t="n">
        <v>0</v>
      </c>
      <c r="I370" t="n">
        <v>0</v>
      </c>
      <c r="J370" t="n">
        <v>0</v>
      </c>
      <c r="K370" t="n">
        <v>0</v>
      </c>
      <c r="L370" t="n">
        <v>0</v>
      </c>
      <c r="M370" t="n">
        <v>0</v>
      </c>
      <c r="N370" t="n">
        <v>0</v>
      </c>
      <c r="O370" t="n">
        <v>0</v>
      </c>
      <c r="P370" t="n">
        <v>0</v>
      </c>
      <c r="Q370" t="n">
        <v>0</v>
      </c>
      <c r="R370" s="2" t="inlineStr"/>
    </row>
    <row r="371" ht="15" customHeight="1">
      <c r="A371" t="inlineStr">
        <is>
          <t>A 47939-2019</t>
        </is>
      </c>
      <c r="B371" s="1" t="n">
        <v>43725</v>
      </c>
      <c r="C371" s="1" t="n">
        <v>45827</v>
      </c>
      <c r="D371" t="inlineStr">
        <is>
          <t>STOCKHOLMS LÄN</t>
        </is>
      </c>
      <c r="E371" t="inlineStr">
        <is>
          <t>NORRTÄLJE</t>
        </is>
      </c>
      <c r="G371" t="n">
        <v>4.5</v>
      </c>
      <c r="H371" t="n">
        <v>0</v>
      </c>
      <c r="I371" t="n">
        <v>0</v>
      </c>
      <c r="J371" t="n">
        <v>0</v>
      </c>
      <c r="K371" t="n">
        <v>0</v>
      </c>
      <c r="L371" t="n">
        <v>0</v>
      </c>
      <c r="M371" t="n">
        <v>0</v>
      </c>
      <c r="N371" t="n">
        <v>0</v>
      </c>
      <c r="O371" t="n">
        <v>0</v>
      </c>
      <c r="P371" t="n">
        <v>0</v>
      </c>
      <c r="Q371" t="n">
        <v>0</v>
      </c>
      <c r="R371" s="2" t="inlineStr"/>
    </row>
    <row r="372" ht="15" customHeight="1">
      <c r="A372" t="inlineStr">
        <is>
          <t>A 47941-2019</t>
        </is>
      </c>
      <c r="B372" s="1" t="n">
        <v>43725</v>
      </c>
      <c r="C372" s="1" t="n">
        <v>45827</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47879-2019</t>
        </is>
      </c>
      <c r="B373" s="1" t="n">
        <v>43725</v>
      </c>
      <c r="C373" s="1" t="n">
        <v>45827</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48730-2019</t>
        </is>
      </c>
      <c r="B374" s="1" t="n">
        <v>43728</v>
      </c>
      <c r="C374" s="1" t="n">
        <v>45827</v>
      </c>
      <c r="D374" t="inlineStr">
        <is>
          <t>STOCKHOLMS LÄN</t>
        </is>
      </c>
      <c r="E374" t="inlineStr">
        <is>
          <t>NORRTÄLJE</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49252-2019</t>
        </is>
      </c>
      <c r="B375" s="1" t="n">
        <v>43731</v>
      </c>
      <c r="C375" s="1" t="n">
        <v>45827</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51940-2019</t>
        </is>
      </c>
      <c r="B376" s="1" t="n">
        <v>43741</v>
      </c>
      <c r="C376" s="1" t="n">
        <v>45827</v>
      </c>
      <c r="D376" t="inlineStr">
        <is>
          <t>STOCKHOLMS LÄN</t>
        </is>
      </c>
      <c r="E376" t="inlineStr">
        <is>
          <t>NORRTÄLJE</t>
        </is>
      </c>
      <c r="G376" t="n">
        <v>2.7</v>
      </c>
      <c r="H376" t="n">
        <v>0</v>
      </c>
      <c r="I376" t="n">
        <v>0</v>
      </c>
      <c r="J376" t="n">
        <v>0</v>
      </c>
      <c r="K376" t="n">
        <v>0</v>
      </c>
      <c r="L376" t="n">
        <v>0</v>
      </c>
      <c r="M376" t="n">
        <v>0</v>
      </c>
      <c r="N376" t="n">
        <v>0</v>
      </c>
      <c r="O376" t="n">
        <v>0</v>
      </c>
      <c r="P376" t="n">
        <v>0</v>
      </c>
      <c r="Q376" t="n">
        <v>0</v>
      </c>
      <c r="R376" s="2" t="inlineStr"/>
    </row>
    <row r="377" ht="15" customHeight="1">
      <c r="A377" t="inlineStr">
        <is>
          <t>A 51942-2019</t>
        </is>
      </c>
      <c r="B377" s="1" t="n">
        <v>43741</v>
      </c>
      <c r="C377" s="1" t="n">
        <v>45827</v>
      </c>
      <c r="D377" t="inlineStr">
        <is>
          <t>STOCKHOLMS LÄN</t>
        </is>
      </c>
      <c r="E377" t="inlineStr">
        <is>
          <t>NORRTÄLJE</t>
        </is>
      </c>
      <c r="G377" t="n">
        <v>5.6</v>
      </c>
      <c r="H377" t="n">
        <v>0</v>
      </c>
      <c r="I377" t="n">
        <v>0</v>
      </c>
      <c r="J377" t="n">
        <v>0</v>
      </c>
      <c r="K377" t="n">
        <v>0</v>
      </c>
      <c r="L377" t="n">
        <v>0</v>
      </c>
      <c r="M377" t="n">
        <v>0</v>
      </c>
      <c r="N377" t="n">
        <v>0</v>
      </c>
      <c r="O377" t="n">
        <v>0</v>
      </c>
      <c r="P377" t="n">
        <v>0</v>
      </c>
      <c r="Q377" t="n">
        <v>0</v>
      </c>
      <c r="R377" s="2" t="inlineStr"/>
    </row>
    <row r="378" ht="15" customHeight="1">
      <c r="A378" t="inlineStr">
        <is>
          <t>A 55481-2019</t>
        </is>
      </c>
      <c r="B378" s="1" t="n">
        <v>43759</v>
      </c>
      <c r="C378" s="1" t="n">
        <v>45827</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55891-2019</t>
        </is>
      </c>
      <c r="B379" s="1" t="n">
        <v>43761</v>
      </c>
      <c r="C379" s="1" t="n">
        <v>45827</v>
      </c>
      <c r="D379" t="inlineStr">
        <is>
          <t>STOCKHOLMS LÄN</t>
        </is>
      </c>
      <c r="E379" t="inlineStr">
        <is>
          <t>NORRTÄLJE</t>
        </is>
      </c>
      <c r="G379" t="n">
        <v>7.6</v>
      </c>
      <c r="H379" t="n">
        <v>0</v>
      </c>
      <c r="I379" t="n">
        <v>0</v>
      </c>
      <c r="J379" t="n">
        <v>0</v>
      </c>
      <c r="K379" t="n">
        <v>0</v>
      </c>
      <c r="L379" t="n">
        <v>0</v>
      </c>
      <c r="M379" t="n">
        <v>0</v>
      </c>
      <c r="N379" t="n">
        <v>0</v>
      </c>
      <c r="O379" t="n">
        <v>0</v>
      </c>
      <c r="P379" t="n">
        <v>0</v>
      </c>
      <c r="Q379" t="n">
        <v>0</v>
      </c>
      <c r="R379" s="2" t="inlineStr"/>
    </row>
    <row r="380" ht="15" customHeight="1">
      <c r="A380" t="inlineStr">
        <is>
          <t>A 56349-2019</t>
        </is>
      </c>
      <c r="B380" s="1" t="n">
        <v>43762</v>
      </c>
      <c r="C380" s="1" t="n">
        <v>45827</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57759-2019</t>
        </is>
      </c>
      <c r="B381" s="1" t="n">
        <v>43763</v>
      </c>
      <c r="C381" s="1" t="n">
        <v>45827</v>
      </c>
      <c r="D381" t="inlineStr">
        <is>
          <t>STOCKHOLMS LÄN</t>
        </is>
      </c>
      <c r="E381" t="inlineStr">
        <is>
          <t>NORRTÄLJE</t>
        </is>
      </c>
      <c r="F381" t="inlineStr">
        <is>
          <t>Övriga Aktiebolag</t>
        </is>
      </c>
      <c r="G381" t="n">
        <v>7.3</v>
      </c>
      <c r="H381" t="n">
        <v>0</v>
      </c>
      <c r="I381" t="n">
        <v>0</v>
      </c>
      <c r="J381" t="n">
        <v>0</v>
      </c>
      <c r="K381" t="n">
        <v>0</v>
      </c>
      <c r="L381" t="n">
        <v>0</v>
      </c>
      <c r="M381" t="n">
        <v>0</v>
      </c>
      <c r="N381" t="n">
        <v>0</v>
      </c>
      <c r="O381" t="n">
        <v>0</v>
      </c>
      <c r="P381" t="n">
        <v>0</v>
      </c>
      <c r="Q381" t="n">
        <v>0</v>
      </c>
      <c r="R381" s="2" t="inlineStr"/>
    </row>
    <row r="382" ht="15" customHeight="1">
      <c r="A382" t="inlineStr">
        <is>
          <t>A 57063-2019</t>
        </is>
      </c>
      <c r="B382" s="1" t="n">
        <v>43766</v>
      </c>
      <c r="C382" s="1" t="n">
        <v>45827</v>
      </c>
      <c r="D382" t="inlineStr">
        <is>
          <t>STOCKHOLMS LÄN</t>
        </is>
      </c>
      <c r="E382" t="inlineStr">
        <is>
          <t>NORRTÄLJE</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56950-2019</t>
        </is>
      </c>
      <c r="B383" s="1" t="n">
        <v>43766</v>
      </c>
      <c r="C383" s="1" t="n">
        <v>45827</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57605-2019</t>
        </is>
      </c>
      <c r="B384" s="1" t="n">
        <v>43768</v>
      </c>
      <c r="C384" s="1" t="n">
        <v>45827</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58064-2019</t>
        </is>
      </c>
      <c r="B385" s="1" t="n">
        <v>43769</v>
      </c>
      <c r="C385" s="1" t="n">
        <v>45827</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58631-2019</t>
        </is>
      </c>
      <c r="B386" s="1" t="n">
        <v>43773</v>
      </c>
      <c r="C386" s="1" t="n">
        <v>45827</v>
      </c>
      <c r="D386" t="inlineStr">
        <is>
          <t>STOCKHOLMS LÄN</t>
        </is>
      </c>
      <c r="E386" t="inlineStr">
        <is>
          <t>NORRTÄLJE</t>
        </is>
      </c>
      <c r="G386" t="n">
        <v>6</v>
      </c>
      <c r="H386" t="n">
        <v>0</v>
      </c>
      <c r="I386" t="n">
        <v>0</v>
      </c>
      <c r="J386" t="n">
        <v>0</v>
      </c>
      <c r="K386" t="n">
        <v>0</v>
      </c>
      <c r="L386" t="n">
        <v>0</v>
      </c>
      <c r="M386" t="n">
        <v>0</v>
      </c>
      <c r="N386" t="n">
        <v>0</v>
      </c>
      <c r="O386" t="n">
        <v>0</v>
      </c>
      <c r="P386" t="n">
        <v>0</v>
      </c>
      <c r="Q386" t="n">
        <v>0</v>
      </c>
      <c r="R386" s="2" t="inlineStr"/>
    </row>
    <row r="387" ht="15" customHeight="1">
      <c r="A387" t="inlineStr">
        <is>
          <t>A 60214-2019</t>
        </is>
      </c>
      <c r="B387" s="1" t="n">
        <v>43780</v>
      </c>
      <c r="C387" s="1" t="n">
        <v>45827</v>
      </c>
      <c r="D387" t="inlineStr">
        <is>
          <t>STOCKHOLMS LÄN</t>
        </is>
      </c>
      <c r="E387" t="inlineStr">
        <is>
          <t>NORRTÄLJE</t>
        </is>
      </c>
      <c r="G387" t="n">
        <v>1.4</v>
      </c>
      <c r="H387" t="n">
        <v>0</v>
      </c>
      <c r="I387" t="n">
        <v>0</v>
      </c>
      <c r="J387" t="n">
        <v>0</v>
      </c>
      <c r="K387" t="n">
        <v>0</v>
      </c>
      <c r="L387" t="n">
        <v>0</v>
      </c>
      <c r="M387" t="n">
        <v>0</v>
      </c>
      <c r="N387" t="n">
        <v>0</v>
      </c>
      <c r="O387" t="n">
        <v>0</v>
      </c>
      <c r="P387" t="n">
        <v>0</v>
      </c>
      <c r="Q387" t="n">
        <v>0</v>
      </c>
      <c r="R387" s="2" t="inlineStr"/>
    </row>
    <row r="388" ht="15" customHeight="1">
      <c r="A388" t="inlineStr">
        <is>
          <t>A 60208-2019</t>
        </is>
      </c>
      <c r="B388" s="1" t="n">
        <v>43780</v>
      </c>
      <c r="C388" s="1" t="n">
        <v>45827</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60842-2019</t>
        </is>
      </c>
      <c r="B389" s="1" t="n">
        <v>43781</v>
      </c>
      <c r="C389" s="1" t="n">
        <v>45827</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60844-2019</t>
        </is>
      </c>
      <c r="B390" s="1" t="n">
        <v>43781</v>
      </c>
      <c r="C390" s="1" t="n">
        <v>45827</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61657-2019</t>
        </is>
      </c>
      <c r="B391" s="1" t="n">
        <v>43784</v>
      </c>
      <c r="C391" s="1" t="n">
        <v>45827</v>
      </c>
      <c r="D391" t="inlineStr">
        <is>
          <t>STOCKHOLMS LÄN</t>
        </is>
      </c>
      <c r="E391" t="inlineStr">
        <is>
          <t>NORRTÄLJE</t>
        </is>
      </c>
      <c r="G391" t="n">
        <v>5</v>
      </c>
      <c r="H391" t="n">
        <v>0</v>
      </c>
      <c r="I391" t="n">
        <v>0</v>
      </c>
      <c r="J391" t="n">
        <v>0</v>
      </c>
      <c r="K391" t="n">
        <v>0</v>
      </c>
      <c r="L391" t="n">
        <v>0</v>
      </c>
      <c r="M391" t="n">
        <v>0</v>
      </c>
      <c r="N391" t="n">
        <v>0</v>
      </c>
      <c r="O391" t="n">
        <v>0</v>
      </c>
      <c r="P391" t="n">
        <v>0</v>
      </c>
      <c r="Q391" t="n">
        <v>0</v>
      </c>
      <c r="R391" s="2" t="inlineStr"/>
    </row>
    <row r="392" ht="15" customHeight="1">
      <c r="A392" t="inlineStr">
        <is>
          <t>A 62980-2019</t>
        </is>
      </c>
      <c r="B392" s="1" t="n">
        <v>43790</v>
      </c>
      <c r="C392" s="1" t="n">
        <v>45827</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63513-2019</t>
        </is>
      </c>
      <c r="B393" s="1" t="n">
        <v>43794</v>
      </c>
      <c r="C393" s="1" t="n">
        <v>45827</v>
      </c>
      <c r="D393" t="inlineStr">
        <is>
          <t>STOCKHOLMS LÄN</t>
        </is>
      </c>
      <c r="E393" t="inlineStr">
        <is>
          <t>NORRTÄLJE</t>
        </is>
      </c>
      <c r="G393" t="n">
        <v>9</v>
      </c>
      <c r="H393" t="n">
        <v>0</v>
      </c>
      <c r="I393" t="n">
        <v>0</v>
      </c>
      <c r="J393" t="n">
        <v>0</v>
      </c>
      <c r="K393" t="n">
        <v>0</v>
      </c>
      <c r="L393" t="n">
        <v>0</v>
      </c>
      <c r="M393" t="n">
        <v>0</v>
      </c>
      <c r="N393" t="n">
        <v>0</v>
      </c>
      <c r="O393" t="n">
        <v>0</v>
      </c>
      <c r="P393" t="n">
        <v>0</v>
      </c>
      <c r="Q393" t="n">
        <v>0</v>
      </c>
      <c r="R393" s="2" t="inlineStr"/>
    </row>
    <row r="394" ht="15" customHeight="1">
      <c r="A394" t="inlineStr">
        <is>
          <t>A 63529-2019</t>
        </is>
      </c>
      <c r="B394" s="1" t="n">
        <v>43794</v>
      </c>
      <c r="C394" s="1" t="n">
        <v>45827</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63495-2019</t>
        </is>
      </c>
      <c r="B395" s="1" t="n">
        <v>43794</v>
      </c>
      <c r="C395" s="1" t="n">
        <v>45827</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63504-2019</t>
        </is>
      </c>
      <c r="B396" s="1" t="n">
        <v>43794</v>
      </c>
      <c r="C396" s="1" t="n">
        <v>45827</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63528-2019</t>
        </is>
      </c>
      <c r="B397" s="1" t="n">
        <v>43794</v>
      </c>
      <c r="C397" s="1" t="n">
        <v>45827</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63515-2019</t>
        </is>
      </c>
      <c r="B398" s="1" t="n">
        <v>43794</v>
      </c>
      <c r="C398" s="1" t="n">
        <v>45827</v>
      </c>
      <c r="D398" t="inlineStr">
        <is>
          <t>STOCKHOLMS LÄN</t>
        </is>
      </c>
      <c r="E398" t="inlineStr">
        <is>
          <t>NORRTÄLJE</t>
        </is>
      </c>
      <c r="G398" t="n">
        <v>7.1</v>
      </c>
      <c r="H398" t="n">
        <v>0</v>
      </c>
      <c r="I398" t="n">
        <v>0</v>
      </c>
      <c r="J398" t="n">
        <v>0</v>
      </c>
      <c r="K398" t="n">
        <v>0</v>
      </c>
      <c r="L398" t="n">
        <v>0</v>
      </c>
      <c r="M398" t="n">
        <v>0</v>
      </c>
      <c r="N398" t="n">
        <v>0</v>
      </c>
      <c r="O398" t="n">
        <v>0</v>
      </c>
      <c r="P398" t="n">
        <v>0</v>
      </c>
      <c r="Q398" t="n">
        <v>0</v>
      </c>
      <c r="R398" s="2" t="inlineStr"/>
    </row>
    <row r="399" ht="15" customHeight="1">
      <c r="A399" t="inlineStr">
        <is>
          <t>A 64293-2019</t>
        </is>
      </c>
      <c r="B399" s="1" t="n">
        <v>43797</v>
      </c>
      <c r="C399" s="1" t="n">
        <v>45827</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65640-2019</t>
        </is>
      </c>
      <c r="B400" s="1" t="n">
        <v>43804</v>
      </c>
      <c r="C400" s="1" t="n">
        <v>45827</v>
      </c>
      <c r="D400" t="inlineStr">
        <is>
          <t>STOCKHOLMS LÄN</t>
        </is>
      </c>
      <c r="E400" t="inlineStr">
        <is>
          <t>NORRTÄLJE</t>
        </is>
      </c>
      <c r="G400" t="n">
        <v>0.8</v>
      </c>
      <c r="H400" t="n">
        <v>0</v>
      </c>
      <c r="I400" t="n">
        <v>0</v>
      </c>
      <c r="J400" t="n">
        <v>0</v>
      </c>
      <c r="K400" t="n">
        <v>0</v>
      </c>
      <c r="L400" t="n">
        <v>0</v>
      </c>
      <c r="M400" t="n">
        <v>0</v>
      </c>
      <c r="N400" t="n">
        <v>0</v>
      </c>
      <c r="O400" t="n">
        <v>0</v>
      </c>
      <c r="P400" t="n">
        <v>0</v>
      </c>
      <c r="Q400" t="n">
        <v>0</v>
      </c>
      <c r="R400" s="2" t="inlineStr"/>
    </row>
    <row r="401" ht="15" customHeight="1">
      <c r="A401" t="inlineStr">
        <is>
          <t>A 65998-2019</t>
        </is>
      </c>
      <c r="B401" s="1" t="n">
        <v>43805</v>
      </c>
      <c r="C401" s="1" t="n">
        <v>45827</v>
      </c>
      <c r="D401" t="inlineStr">
        <is>
          <t>STOCKHOLMS LÄN</t>
        </is>
      </c>
      <c r="E401" t="inlineStr">
        <is>
          <t>NORRTÄLJE</t>
        </is>
      </c>
      <c r="G401" t="n">
        <v>6.5</v>
      </c>
      <c r="H401" t="n">
        <v>0</v>
      </c>
      <c r="I401" t="n">
        <v>0</v>
      </c>
      <c r="J401" t="n">
        <v>0</v>
      </c>
      <c r="K401" t="n">
        <v>0</v>
      </c>
      <c r="L401" t="n">
        <v>0</v>
      </c>
      <c r="M401" t="n">
        <v>0</v>
      </c>
      <c r="N401" t="n">
        <v>0</v>
      </c>
      <c r="O401" t="n">
        <v>0</v>
      </c>
      <c r="P401" t="n">
        <v>0</v>
      </c>
      <c r="Q401" t="n">
        <v>0</v>
      </c>
      <c r="R401" s="2" t="inlineStr"/>
    </row>
    <row r="402" ht="15" customHeight="1">
      <c r="A402" t="inlineStr">
        <is>
          <t>A 66604-2019</t>
        </is>
      </c>
      <c r="B402" s="1" t="n">
        <v>43809</v>
      </c>
      <c r="C402" s="1" t="n">
        <v>45827</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67158-2019</t>
        </is>
      </c>
      <c r="B403" s="1" t="n">
        <v>43811</v>
      </c>
      <c r="C403" s="1" t="n">
        <v>45827</v>
      </c>
      <c r="D403" t="inlineStr">
        <is>
          <t>STOCKHOLMS LÄN</t>
        </is>
      </c>
      <c r="E403" t="inlineStr">
        <is>
          <t>NORRTÄLJE</t>
        </is>
      </c>
      <c r="G403" t="n">
        <v>4.4</v>
      </c>
      <c r="H403" t="n">
        <v>0</v>
      </c>
      <c r="I403" t="n">
        <v>0</v>
      </c>
      <c r="J403" t="n">
        <v>0</v>
      </c>
      <c r="K403" t="n">
        <v>0</v>
      </c>
      <c r="L403" t="n">
        <v>0</v>
      </c>
      <c r="M403" t="n">
        <v>0</v>
      </c>
      <c r="N403" t="n">
        <v>0</v>
      </c>
      <c r="O403" t="n">
        <v>0</v>
      </c>
      <c r="P403" t="n">
        <v>0</v>
      </c>
      <c r="Q403" t="n">
        <v>0</v>
      </c>
      <c r="R403" s="2" t="inlineStr"/>
    </row>
    <row r="404" ht="15" customHeight="1">
      <c r="A404" t="inlineStr">
        <is>
          <t>A 67324-2019</t>
        </is>
      </c>
      <c r="B404" s="1" t="n">
        <v>43812</v>
      </c>
      <c r="C404" s="1" t="n">
        <v>45827</v>
      </c>
      <c r="D404" t="inlineStr">
        <is>
          <t>STOCKHOLMS LÄN</t>
        </is>
      </c>
      <c r="E404" t="inlineStr">
        <is>
          <t>NORRTÄLJE</t>
        </is>
      </c>
      <c r="G404" t="n">
        <v>7.7</v>
      </c>
      <c r="H404" t="n">
        <v>0</v>
      </c>
      <c r="I404" t="n">
        <v>0</v>
      </c>
      <c r="J404" t="n">
        <v>0</v>
      </c>
      <c r="K404" t="n">
        <v>0</v>
      </c>
      <c r="L404" t="n">
        <v>0</v>
      </c>
      <c r="M404" t="n">
        <v>0</v>
      </c>
      <c r="N404" t="n">
        <v>0</v>
      </c>
      <c r="O404" t="n">
        <v>0</v>
      </c>
      <c r="P404" t="n">
        <v>0</v>
      </c>
      <c r="Q404" t="n">
        <v>0</v>
      </c>
      <c r="R404" s="2" t="inlineStr"/>
    </row>
    <row r="405" ht="15" customHeight="1">
      <c r="A405" t="inlineStr">
        <is>
          <t>A 68865-2019</t>
        </is>
      </c>
      <c r="B405" s="1" t="n">
        <v>43821</v>
      </c>
      <c r="C405" s="1" t="n">
        <v>45827</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1099-2020</t>
        </is>
      </c>
      <c r="B406" s="1" t="n">
        <v>43822</v>
      </c>
      <c r="C406" s="1" t="n">
        <v>45827</v>
      </c>
      <c r="D406" t="inlineStr">
        <is>
          <t>STOCKHOLMS LÄN</t>
        </is>
      </c>
      <c r="E406" t="inlineStr">
        <is>
          <t>NORRTÄLJE</t>
        </is>
      </c>
      <c r="G406" t="n">
        <v>2.7</v>
      </c>
      <c r="H406" t="n">
        <v>0</v>
      </c>
      <c r="I406" t="n">
        <v>0</v>
      </c>
      <c r="J406" t="n">
        <v>0</v>
      </c>
      <c r="K406" t="n">
        <v>0</v>
      </c>
      <c r="L406" t="n">
        <v>0</v>
      </c>
      <c r="M406" t="n">
        <v>0</v>
      </c>
      <c r="N406" t="n">
        <v>0</v>
      </c>
      <c r="O406" t="n">
        <v>0</v>
      </c>
      <c r="P406" t="n">
        <v>0</v>
      </c>
      <c r="Q406" t="n">
        <v>0</v>
      </c>
      <c r="R406" s="2" t="inlineStr"/>
    </row>
    <row r="407" ht="15" customHeight="1">
      <c r="A407" t="inlineStr">
        <is>
          <t>A 4475-2020</t>
        </is>
      </c>
      <c r="B407" s="1" t="n">
        <v>43849</v>
      </c>
      <c r="C407" s="1" t="n">
        <v>45827</v>
      </c>
      <c r="D407" t="inlineStr">
        <is>
          <t>STOCKHOLMS LÄN</t>
        </is>
      </c>
      <c r="E407" t="inlineStr">
        <is>
          <t>NORRTÄLJE</t>
        </is>
      </c>
      <c r="G407" t="n">
        <v>1.6</v>
      </c>
      <c r="H407" t="n">
        <v>0</v>
      </c>
      <c r="I407" t="n">
        <v>0</v>
      </c>
      <c r="J407" t="n">
        <v>0</v>
      </c>
      <c r="K407" t="n">
        <v>0</v>
      </c>
      <c r="L407" t="n">
        <v>0</v>
      </c>
      <c r="M407" t="n">
        <v>0</v>
      </c>
      <c r="N407" t="n">
        <v>0</v>
      </c>
      <c r="O407" t="n">
        <v>0</v>
      </c>
      <c r="P407" t="n">
        <v>0</v>
      </c>
      <c r="Q407" t="n">
        <v>0</v>
      </c>
      <c r="R407" s="2" t="inlineStr"/>
    </row>
    <row r="408" ht="15" customHeight="1">
      <c r="A408" t="inlineStr">
        <is>
          <t>A 3882-2020</t>
        </is>
      </c>
      <c r="B408" s="1" t="n">
        <v>43854</v>
      </c>
      <c r="C408" s="1" t="n">
        <v>45827</v>
      </c>
      <c r="D408" t="inlineStr">
        <is>
          <t>STOCKHOLMS LÄN</t>
        </is>
      </c>
      <c r="E408" t="inlineStr">
        <is>
          <t>NORRTÄLJE</t>
        </is>
      </c>
      <c r="G408" t="n">
        <v>5.9</v>
      </c>
      <c r="H408" t="n">
        <v>0</v>
      </c>
      <c r="I408" t="n">
        <v>0</v>
      </c>
      <c r="J408" t="n">
        <v>0</v>
      </c>
      <c r="K408" t="n">
        <v>0</v>
      </c>
      <c r="L408" t="n">
        <v>0</v>
      </c>
      <c r="M408" t="n">
        <v>0</v>
      </c>
      <c r="N408" t="n">
        <v>0</v>
      </c>
      <c r="O408" t="n">
        <v>0</v>
      </c>
      <c r="P408" t="n">
        <v>0</v>
      </c>
      <c r="Q408" t="n">
        <v>0</v>
      </c>
      <c r="R408" s="2" t="inlineStr"/>
    </row>
    <row r="409" ht="15" customHeight="1">
      <c r="A409" t="inlineStr">
        <is>
          <t>A 4094-2020</t>
        </is>
      </c>
      <c r="B409" s="1" t="n">
        <v>43857</v>
      </c>
      <c r="C409" s="1" t="n">
        <v>45827</v>
      </c>
      <c r="D409" t="inlineStr">
        <is>
          <t>STOCKHOLMS LÄN</t>
        </is>
      </c>
      <c r="E409" t="inlineStr">
        <is>
          <t>NORRTÄLJE</t>
        </is>
      </c>
      <c r="G409" t="n">
        <v>2.5</v>
      </c>
      <c r="H409" t="n">
        <v>0</v>
      </c>
      <c r="I409" t="n">
        <v>0</v>
      </c>
      <c r="J409" t="n">
        <v>0</v>
      </c>
      <c r="K409" t="n">
        <v>0</v>
      </c>
      <c r="L409" t="n">
        <v>0</v>
      </c>
      <c r="M409" t="n">
        <v>0</v>
      </c>
      <c r="N409" t="n">
        <v>0</v>
      </c>
      <c r="O409" t="n">
        <v>0</v>
      </c>
      <c r="P409" t="n">
        <v>0</v>
      </c>
      <c r="Q409" t="n">
        <v>0</v>
      </c>
      <c r="R409" s="2" t="inlineStr"/>
    </row>
    <row r="410" ht="15" customHeight="1">
      <c r="A410" t="inlineStr">
        <is>
          <t>A 4950-2020</t>
        </is>
      </c>
      <c r="B410" s="1" t="n">
        <v>43859</v>
      </c>
      <c r="C410" s="1" t="n">
        <v>45827</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5084-2020</t>
        </is>
      </c>
      <c r="B411" s="1" t="n">
        <v>43859</v>
      </c>
      <c r="C411" s="1" t="n">
        <v>45827</v>
      </c>
      <c r="D411" t="inlineStr">
        <is>
          <t>STOCKHOLMS LÄN</t>
        </is>
      </c>
      <c r="E411" t="inlineStr">
        <is>
          <t>NORRTÄLJE</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4952-2020</t>
        </is>
      </c>
      <c r="B412" s="1" t="n">
        <v>43859</v>
      </c>
      <c r="C412" s="1" t="n">
        <v>45827</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5735-2020</t>
        </is>
      </c>
      <c r="B413" s="1" t="n">
        <v>43863</v>
      </c>
      <c r="C413" s="1" t="n">
        <v>45827</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5733-2020</t>
        </is>
      </c>
      <c r="B414" s="1" t="n">
        <v>43863</v>
      </c>
      <c r="C414" s="1" t="n">
        <v>45827</v>
      </c>
      <c r="D414" t="inlineStr">
        <is>
          <t>STOCKHOLMS LÄN</t>
        </is>
      </c>
      <c r="E414" t="inlineStr">
        <is>
          <t>NORRTÄLJE</t>
        </is>
      </c>
      <c r="G414" t="n">
        <v>1.5</v>
      </c>
      <c r="H414" t="n">
        <v>0</v>
      </c>
      <c r="I414" t="n">
        <v>0</v>
      </c>
      <c r="J414" t="n">
        <v>0</v>
      </c>
      <c r="K414" t="n">
        <v>0</v>
      </c>
      <c r="L414" t="n">
        <v>0</v>
      </c>
      <c r="M414" t="n">
        <v>0</v>
      </c>
      <c r="N414" t="n">
        <v>0</v>
      </c>
      <c r="O414" t="n">
        <v>0</v>
      </c>
      <c r="P414" t="n">
        <v>0</v>
      </c>
      <c r="Q414" t="n">
        <v>0</v>
      </c>
      <c r="R414" s="2" t="inlineStr"/>
    </row>
    <row r="415" ht="15" customHeight="1">
      <c r="A415" t="inlineStr">
        <is>
          <t>A 5739-2020</t>
        </is>
      </c>
      <c r="B415" s="1" t="n">
        <v>43863</v>
      </c>
      <c r="C415" s="1" t="n">
        <v>45827</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7471-2020</t>
        </is>
      </c>
      <c r="B416" s="1" t="n">
        <v>43871</v>
      </c>
      <c r="C416" s="1" t="n">
        <v>45827</v>
      </c>
      <c r="D416" t="inlineStr">
        <is>
          <t>STOCKHOLMS LÄN</t>
        </is>
      </c>
      <c r="E416" t="inlineStr">
        <is>
          <t>NORRTÄLJE</t>
        </is>
      </c>
      <c r="G416" t="n">
        <v>7.8</v>
      </c>
      <c r="H416" t="n">
        <v>0</v>
      </c>
      <c r="I416" t="n">
        <v>0</v>
      </c>
      <c r="J416" t="n">
        <v>0</v>
      </c>
      <c r="K416" t="n">
        <v>0</v>
      </c>
      <c r="L416" t="n">
        <v>0</v>
      </c>
      <c r="M416" t="n">
        <v>0</v>
      </c>
      <c r="N416" t="n">
        <v>0</v>
      </c>
      <c r="O416" t="n">
        <v>0</v>
      </c>
      <c r="P416" t="n">
        <v>0</v>
      </c>
      <c r="Q416" t="n">
        <v>0</v>
      </c>
      <c r="R416" s="2" t="inlineStr"/>
    </row>
    <row r="417" ht="15" customHeight="1">
      <c r="A417" t="inlineStr">
        <is>
          <t>A 9845-2020</t>
        </is>
      </c>
      <c r="B417" s="1" t="n">
        <v>43881</v>
      </c>
      <c r="C417" s="1" t="n">
        <v>45827</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10618-2020</t>
        </is>
      </c>
      <c r="B418" s="1" t="n">
        <v>43887</v>
      </c>
      <c r="C418" s="1" t="n">
        <v>45827</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11184-2020</t>
        </is>
      </c>
      <c r="B419" s="1" t="n">
        <v>43892</v>
      </c>
      <c r="C419" s="1" t="n">
        <v>45827</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11576-2020</t>
        </is>
      </c>
      <c r="B420" s="1" t="n">
        <v>43893</v>
      </c>
      <c r="C420" s="1" t="n">
        <v>45827</v>
      </c>
      <c r="D420" t="inlineStr">
        <is>
          <t>STOCKHOLMS LÄN</t>
        </is>
      </c>
      <c r="E420" t="inlineStr">
        <is>
          <t>NORRTÄLJE</t>
        </is>
      </c>
      <c r="G420" t="n">
        <v>1</v>
      </c>
      <c r="H420" t="n">
        <v>0</v>
      </c>
      <c r="I420" t="n">
        <v>0</v>
      </c>
      <c r="J420" t="n">
        <v>0</v>
      </c>
      <c r="K420" t="n">
        <v>0</v>
      </c>
      <c r="L420" t="n">
        <v>0</v>
      </c>
      <c r="M420" t="n">
        <v>0</v>
      </c>
      <c r="N420" t="n">
        <v>0</v>
      </c>
      <c r="O420" t="n">
        <v>0</v>
      </c>
      <c r="P420" t="n">
        <v>0</v>
      </c>
      <c r="Q420" t="n">
        <v>0</v>
      </c>
      <c r="R420" s="2" t="inlineStr"/>
    </row>
    <row r="421" ht="15" customHeight="1">
      <c r="A421" t="inlineStr">
        <is>
          <t>A 12113-2020</t>
        </is>
      </c>
      <c r="B421" s="1" t="n">
        <v>43895</v>
      </c>
      <c r="C421" s="1" t="n">
        <v>45827</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12970-2020</t>
        </is>
      </c>
      <c r="B422" s="1" t="n">
        <v>43900</v>
      </c>
      <c r="C422" s="1" t="n">
        <v>45827</v>
      </c>
      <c r="D422" t="inlineStr">
        <is>
          <t>STOCKHOLMS LÄN</t>
        </is>
      </c>
      <c r="E422" t="inlineStr">
        <is>
          <t>NORRTÄLJE</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13230-2020</t>
        </is>
      </c>
      <c r="B423" s="1" t="n">
        <v>43901</v>
      </c>
      <c r="C423" s="1" t="n">
        <v>45827</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13287-2020</t>
        </is>
      </c>
      <c r="B424" s="1" t="n">
        <v>43901</v>
      </c>
      <c r="C424" s="1" t="n">
        <v>45827</v>
      </c>
      <c r="D424" t="inlineStr">
        <is>
          <t>STOCKHOLMS LÄN</t>
        </is>
      </c>
      <c r="E424" t="inlineStr">
        <is>
          <t>NORRTÄLJE</t>
        </is>
      </c>
      <c r="F424" t="inlineStr">
        <is>
          <t>Kommuner</t>
        </is>
      </c>
      <c r="G424" t="n">
        <v>3.2</v>
      </c>
      <c r="H424" t="n">
        <v>0</v>
      </c>
      <c r="I424" t="n">
        <v>0</v>
      </c>
      <c r="J424" t="n">
        <v>0</v>
      </c>
      <c r="K424" t="n">
        <v>0</v>
      </c>
      <c r="L424" t="n">
        <v>0</v>
      </c>
      <c r="M424" t="n">
        <v>0</v>
      </c>
      <c r="N424" t="n">
        <v>0</v>
      </c>
      <c r="O424" t="n">
        <v>0</v>
      </c>
      <c r="P424" t="n">
        <v>0</v>
      </c>
      <c r="Q424" t="n">
        <v>0</v>
      </c>
      <c r="R424" s="2" t="inlineStr"/>
    </row>
    <row r="425" ht="15" customHeight="1">
      <c r="A425" t="inlineStr">
        <is>
          <t>A 13281-2020</t>
        </is>
      </c>
      <c r="B425" s="1" t="n">
        <v>43901</v>
      </c>
      <c r="C425" s="1" t="n">
        <v>45827</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13501-2020</t>
        </is>
      </c>
      <c r="B426" s="1" t="n">
        <v>43902</v>
      </c>
      <c r="C426" s="1" t="n">
        <v>45827</v>
      </c>
      <c r="D426" t="inlineStr">
        <is>
          <t>STOCKHOLMS LÄN</t>
        </is>
      </c>
      <c r="E426" t="inlineStr">
        <is>
          <t>NORRTÄLJE</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13506-2020</t>
        </is>
      </c>
      <c r="B427" s="1" t="n">
        <v>43902</v>
      </c>
      <c r="C427" s="1" t="n">
        <v>45827</v>
      </c>
      <c r="D427" t="inlineStr">
        <is>
          <t>STOCKHOLMS LÄN</t>
        </is>
      </c>
      <c r="E427" t="inlineStr">
        <is>
          <t>NORRTÄLJE</t>
        </is>
      </c>
      <c r="G427" t="n">
        <v>5.7</v>
      </c>
      <c r="H427" t="n">
        <v>0</v>
      </c>
      <c r="I427" t="n">
        <v>0</v>
      </c>
      <c r="J427" t="n">
        <v>0</v>
      </c>
      <c r="K427" t="n">
        <v>0</v>
      </c>
      <c r="L427" t="n">
        <v>0</v>
      </c>
      <c r="M427" t="n">
        <v>0</v>
      </c>
      <c r="N427" t="n">
        <v>0</v>
      </c>
      <c r="O427" t="n">
        <v>0</v>
      </c>
      <c r="P427" t="n">
        <v>0</v>
      </c>
      <c r="Q427" t="n">
        <v>0</v>
      </c>
      <c r="R427" s="2" t="inlineStr"/>
    </row>
    <row r="428" ht="15" customHeight="1">
      <c r="A428" t="inlineStr">
        <is>
          <t>A 14525-2020</t>
        </is>
      </c>
      <c r="B428" s="1" t="n">
        <v>43908</v>
      </c>
      <c r="C428" s="1" t="n">
        <v>45827</v>
      </c>
      <c r="D428" t="inlineStr">
        <is>
          <t>STOCKHOLMS LÄN</t>
        </is>
      </c>
      <c r="E428" t="inlineStr">
        <is>
          <t>NORRTÄLJE</t>
        </is>
      </c>
      <c r="G428" t="n">
        <v>10.2</v>
      </c>
      <c r="H428" t="n">
        <v>0</v>
      </c>
      <c r="I428" t="n">
        <v>0</v>
      </c>
      <c r="J428" t="n">
        <v>0</v>
      </c>
      <c r="K428" t="n">
        <v>0</v>
      </c>
      <c r="L428" t="n">
        <v>0</v>
      </c>
      <c r="M428" t="n">
        <v>0</v>
      </c>
      <c r="N428" t="n">
        <v>0</v>
      </c>
      <c r="O428" t="n">
        <v>0</v>
      </c>
      <c r="P428" t="n">
        <v>0</v>
      </c>
      <c r="Q428" t="n">
        <v>0</v>
      </c>
      <c r="R428" s="2" t="inlineStr"/>
    </row>
    <row r="429" ht="15" customHeight="1">
      <c r="A429" t="inlineStr">
        <is>
          <t>A 14831-2020</t>
        </is>
      </c>
      <c r="B429" s="1" t="n">
        <v>43909</v>
      </c>
      <c r="C429" s="1" t="n">
        <v>45827</v>
      </c>
      <c r="D429" t="inlineStr">
        <is>
          <t>STOCKHOLMS LÄN</t>
        </is>
      </c>
      <c r="E429" t="inlineStr">
        <is>
          <t>NORRTÄLJE</t>
        </is>
      </c>
      <c r="G429" t="n">
        <v>11.4</v>
      </c>
      <c r="H429" t="n">
        <v>0</v>
      </c>
      <c r="I429" t="n">
        <v>0</v>
      </c>
      <c r="J429" t="n">
        <v>0</v>
      </c>
      <c r="K429" t="n">
        <v>0</v>
      </c>
      <c r="L429" t="n">
        <v>0</v>
      </c>
      <c r="M429" t="n">
        <v>0</v>
      </c>
      <c r="N429" t="n">
        <v>0</v>
      </c>
      <c r="O429" t="n">
        <v>0</v>
      </c>
      <c r="P429" t="n">
        <v>0</v>
      </c>
      <c r="Q429" t="n">
        <v>0</v>
      </c>
      <c r="R429" s="2" t="inlineStr"/>
    </row>
    <row r="430" ht="15" customHeight="1">
      <c r="A430" t="inlineStr">
        <is>
          <t>A 15663-2020</t>
        </is>
      </c>
      <c r="B430" s="1" t="n">
        <v>43915</v>
      </c>
      <c r="C430" s="1" t="n">
        <v>45827</v>
      </c>
      <c r="D430" t="inlineStr">
        <is>
          <t>STOCKHOLMS LÄN</t>
        </is>
      </c>
      <c r="E430" t="inlineStr">
        <is>
          <t>NORRTÄLJE</t>
        </is>
      </c>
      <c r="G430" t="n">
        <v>11.1</v>
      </c>
      <c r="H430" t="n">
        <v>0</v>
      </c>
      <c r="I430" t="n">
        <v>0</v>
      </c>
      <c r="J430" t="n">
        <v>0</v>
      </c>
      <c r="K430" t="n">
        <v>0</v>
      </c>
      <c r="L430" t="n">
        <v>0</v>
      </c>
      <c r="M430" t="n">
        <v>0</v>
      </c>
      <c r="N430" t="n">
        <v>0</v>
      </c>
      <c r="O430" t="n">
        <v>0</v>
      </c>
      <c r="P430" t="n">
        <v>0</v>
      </c>
      <c r="Q430" t="n">
        <v>0</v>
      </c>
      <c r="R430" s="2" t="inlineStr"/>
    </row>
    <row r="431" ht="15" customHeight="1">
      <c r="A431" t="inlineStr">
        <is>
          <t>A 16273-2020</t>
        </is>
      </c>
      <c r="B431" s="1" t="n">
        <v>43917</v>
      </c>
      <c r="C431" s="1" t="n">
        <v>45827</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17965-2020</t>
        </is>
      </c>
      <c r="B432" s="1" t="n">
        <v>43925</v>
      </c>
      <c r="C432" s="1" t="n">
        <v>45827</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19258-2020</t>
        </is>
      </c>
      <c r="B433" s="1" t="n">
        <v>43937</v>
      </c>
      <c r="C433" s="1" t="n">
        <v>45827</v>
      </c>
      <c r="D433" t="inlineStr">
        <is>
          <t>STOCKHOLMS LÄN</t>
        </is>
      </c>
      <c r="E433" t="inlineStr">
        <is>
          <t>NORRTÄLJE</t>
        </is>
      </c>
      <c r="F433" t="inlineStr">
        <is>
          <t>Övriga statliga verk och myndigheter</t>
        </is>
      </c>
      <c r="G433" t="n">
        <v>2.9</v>
      </c>
      <c r="H433" t="n">
        <v>0</v>
      </c>
      <c r="I433" t="n">
        <v>0</v>
      </c>
      <c r="J433" t="n">
        <v>0</v>
      </c>
      <c r="K433" t="n">
        <v>0</v>
      </c>
      <c r="L433" t="n">
        <v>0</v>
      </c>
      <c r="M433" t="n">
        <v>0</v>
      </c>
      <c r="N433" t="n">
        <v>0</v>
      </c>
      <c r="O433" t="n">
        <v>0</v>
      </c>
      <c r="P433" t="n">
        <v>0</v>
      </c>
      <c r="Q433" t="n">
        <v>0</v>
      </c>
      <c r="R433" s="2" t="inlineStr"/>
    </row>
    <row r="434" ht="15" customHeight="1">
      <c r="A434" t="inlineStr">
        <is>
          <t>A 20257-2020</t>
        </is>
      </c>
      <c r="B434" s="1" t="n">
        <v>43944</v>
      </c>
      <c r="C434" s="1" t="n">
        <v>45827</v>
      </c>
      <c r="D434" t="inlineStr">
        <is>
          <t>STOCKHOLMS LÄN</t>
        </is>
      </c>
      <c r="E434" t="inlineStr">
        <is>
          <t>NORRTÄLJE</t>
        </is>
      </c>
      <c r="G434" t="n">
        <v>80.09999999999999</v>
      </c>
      <c r="H434" t="n">
        <v>0</v>
      </c>
      <c r="I434" t="n">
        <v>0</v>
      </c>
      <c r="J434" t="n">
        <v>0</v>
      </c>
      <c r="K434" t="n">
        <v>0</v>
      </c>
      <c r="L434" t="n">
        <v>0</v>
      </c>
      <c r="M434" t="n">
        <v>0</v>
      </c>
      <c r="N434" t="n">
        <v>0</v>
      </c>
      <c r="O434" t="n">
        <v>0</v>
      </c>
      <c r="P434" t="n">
        <v>0</v>
      </c>
      <c r="Q434" t="n">
        <v>0</v>
      </c>
      <c r="R434" s="2" t="inlineStr"/>
    </row>
    <row r="435" ht="15" customHeight="1">
      <c r="A435" t="inlineStr">
        <is>
          <t>A 21849-2020</t>
        </is>
      </c>
      <c r="B435" s="1" t="n">
        <v>43958</v>
      </c>
      <c r="C435" s="1" t="n">
        <v>45827</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21875-2020</t>
        </is>
      </c>
      <c r="B436" s="1" t="n">
        <v>43958</v>
      </c>
      <c r="C436" s="1" t="n">
        <v>45827</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23751-2020</t>
        </is>
      </c>
      <c r="B437" s="1" t="n">
        <v>43970</v>
      </c>
      <c r="C437" s="1" t="n">
        <v>45827</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24136-2020</t>
        </is>
      </c>
      <c r="B438" s="1" t="n">
        <v>43973</v>
      </c>
      <c r="C438" s="1" t="n">
        <v>45827</v>
      </c>
      <c r="D438" t="inlineStr">
        <is>
          <t>STOCKHOLMS LÄN</t>
        </is>
      </c>
      <c r="E438" t="inlineStr">
        <is>
          <t>NORRTÄLJE</t>
        </is>
      </c>
      <c r="G438" t="n">
        <v>4.1</v>
      </c>
      <c r="H438" t="n">
        <v>0</v>
      </c>
      <c r="I438" t="n">
        <v>0</v>
      </c>
      <c r="J438" t="n">
        <v>0</v>
      </c>
      <c r="K438" t="n">
        <v>0</v>
      </c>
      <c r="L438" t="n">
        <v>0</v>
      </c>
      <c r="M438" t="n">
        <v>0</v>
      </c>
      <c r="N438" t="n">
        <v>0</v>
      </c>
      <c r="O438" t="n">
        <v>0</v>
      </c>
      <c r="P438" t="n">
        <v>0</v>
      </c>
      <c r="Q438" t="n">
        <v>0</v>
      </c>
      <c r="R438" s="2" t="inlineStr"/>
    </row>
    <row r="439" ht="15" customHeight="1">
      <c r="A439" t="inlineStr">
        <is>
          <t>A 25584-2020</t>
        </is>
      </c>
      <c r="B439" s="1" t="n">
        <v>43983</v>
      </c>
      <c r="C439" s="1" t="n">
        <v>45827</v>
      </c>
      <c r="D439" t="inlineStr">
        <is>
          <t>STOCKHOLMS LÄN</t>
        </is>
      </c>
      <c r="E439" t="inlineStr">
        <is>
          <t>NORRTÄLJE</t>
        </is>
      </c>
      <c r="G439" t="n">
        <v>2</v>
      </c>
      <c r="H439" t="n">
        <v>0</v>
      </c>
      <c r="I439" t="n">
        <v>0</v>
      </c>
      <c r="J439" t="n">
        <v>0</v>
      </c>
      <c r="K439" t="n">
        <v>0</v>
      </c>
      <c r="L439" t="n">
        <v>0</v>
      </c>
      <c r="M439" t="n">
        <v>0</v>
      </c>
      <c r="N439" t="n">
        <v>0</v>
      </c>
      <c r="O439" t="n">
        <v>0</v>
      </c>
      <c r="P439" t="n">
        <v>0</v>
      </c>
      <c r="Q439" t="n">
        <v>0</v>
      </c>
      <c r="R439" s="2" t="inlineStr"/>
    </row>
    <row r="440" ht="15" customHeight="1">
      <c r="A440" t="inlineStr">
        <is>
          <t>A 25589-2020</t>
        </is>
      </c>
      <c r="B440" s="1" t="n">
        <v>43983</v>
      </c>
      <c r="C440" s="1" t="n">
        <v>45827</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25897-2020</t>
        </is>
      </c>
      <c r="B441" s="1" t="n">
        <v>43984</v>
      </c>
      <c r="C441" s="1" t="n">
        <v>45827</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30600-2020</t>
        </is>
      </c>
      <c r="B442" s="1" t="n">
        <v>44008</v>
      </c>
      <c r="C442" s="1" t="n">
        <v>45827</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31783-2020</t>
        </is>
      </c>
      <c r="B443" s="1" t="n">
        <v>44014</v>
      </c>
      <c r="C443" s="1" t="n">
        <v>45827</v>
      </c>
      <c r="D443" t="inlineStr">
        <is>
          <t>STOCKHOLMS LÄN</t>
        </is>
      </c>
      <c r="E443" t="inlineStr">
        <is>
          <t>NORRTÄLJE</t>
        </is>
      </c>
      <c r="G443" t="n">
        <v>4.8</v>
      </c>
      <c r="H443" t="n">
        <v>0</v>
      </c>
      <c r="I443" t="n">
        <v>0</v>
      </c>
      <c r="J443" t="n">
        <v>0</v>
      </c>
      <c r="K443" t="n">
        <v>0</v>
      </c>
      <c r="L443" t="n">
        <v>0</v>
      </c>
      <c r="M443" t="n">
        <v>0</v>
      </c>
      <c r="N443" t="n">
        <v>0</v>
      </c>
      <c r="O443" t="n">
        <v>0</v>
      </c>
      <c r="P443" t="n">
        <v>0</v>
      </c>
      <c r="Q443" t="n">
        <v>0</v>
      </c>
      <c r="R443" s="2" t="inlineStr"/>
    </row>
    <row r="444" ht="15" customHeight="1">
      <c r="A444" t="inlineStr">
        <is>
          <t>A 33749-2020</t>
        </is>
      </c>
      <c r="B444" s="1" t="n">
        <v>44026</v>
      </c>
      <c r="C444" s="1" t="n">
        <v>45827</v>
      </c>
      <c r="D444" t="inlineStr">
        <is>
          <t>STOCKHOLMS LÄN</t>
        </is>
      </c>
      <c r="E444" t="inlineStr">
        <is>
          <t>NORRTÄLJE</t>
        </is>
      </c>
      <c r="F444" t="inlineStr">
        <is>
          <t>Holmen skog AB</t>
        </is>
      </c>
      <c r="G444" t="n">
        <v>0.5</v>
      </c>
      <c r="H444" t="n">
        <v>0</v>
      </c>
      <c r="I444" t="n">
        <v>0</v>
      </c>
      <c r="J444" t="n">
        <v>0</v>
      </c>
      <c r="K444" t="n">
        <v>0</v>
      </c>
      <c r="L444" t="n">
        <v>0</v>
      </c>
      <c r="M444" t="n">
        <v>0</v>
      </c>
      <c r="N444" t="n">
        <v>0</v>
      </c>
      <c r="O444" t="n">
        <v>0</v>
      </c>
      <c r="P444" t="n">
        <v>0</v>
      </c>
      <c r="Q444" t="n">
        <v>0</v>
      </c>
      <c r="R444" s="2" t="inlineStr"/>
    </row>
    <row r="445" ht="15" customHeight="1">
      <c r="A445" t="inlineStr">
        <is>
          <t>A 34651-2020</t>
        </is>
      </c>
      <c r="B445" s="1" t="n">
        <v>44034</v>
      </c>
      <c r="C445" s="1" t="n">
        <v>45827</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34650-2020</t>
        </is>
      </c>
      <c r="B446" s="1" t="n">
        <v>44034</v>
      </c>
      <c r="C446" s="1" t="n">
        <v>45827</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36314-2020</t>
        </is>
      </c>
      <c r="B447" s="1" t="n">
        <v>44049</v>
      </c>
      <c r="C447" s="1" t="n">
        <v>45827</v>
      </c>
      <c r="D447" t="inlineStr">
        <is>
          <t>STOCKHOLMS LÄN</t>
        </is>
      </c>
      <c r="E447" t="inlineStr">
        <is>
          <t>NORRTÄLJE</t>
        </is>
      </c>
      <c r="G447" t="n">
        <v>5</v>
      </c>
      <c r="H447" t="n">
        <v>0</v>
      </c>
      <c r="I447" t="n">
        <v>0</v>
      </c>
      <c r="J447" t="n">
        <v>0</v>
      </c>
      <c r="K447" t="n">
        <v>0</v>
      </c>
      <c r="L447" t="n">
        <v>0</v>
      </c>
      <c r="M447" t="n">
        <v>0</v>
      </c>
      <c r="N447" t="n">
        <v>0</v>
      </c>
      <c r="O447" t="n">
        <v>0</v>
      </c>
      <c r="P447" t="n">
        <v>0</v>
      </c>
      <c r="Q447" t="n">
        <v>0</v>
      </c>
      <c r="R447" s="2" t="inlineStr"/>
    </row>
    <row r="448" ht="15" customHeight="1">
      <c r="A448" t="inlineStr">
        <is>
          <t>A 36359-2020</t>
        </is>
      </c>
      <c r="B448" s="1" t="n">
        <v>44049</v>
      </c>
      <c r="C448" s="1" t="n">
        <v>45827</v>
      </c>
      <c r="D448" t="inlineStr">
        <is>
          <t>STOCKHOLMS LÄN</t>
        </is>
      </c>
      <c r="E448" t="inlineStr">
        <is>
          <t>NORRTÄLJE</t>
        </is>
      </c>
      <c r="G448" t="n">
        <v>6.5</v>
      </c>
      <c r="H448" t="n">
        <v>0</v>
      </c>
      <c r="I448" t="n">
        <v>0</v>
      </c>
      <c r="J448" t="n">
        <v>0</v>
      </c>
      <c r="K448" t="n">
        <v>0</v>
      </c>
      <c r="L448" t="n">
        <v>0</v>
      </c>
      <c r="M448" t="n">
        <v>0</v>
      </c>
      <c r="N448" t="n">
        <v>0</v>
      </c>
      <c r="O448" t="n">
        <v>0</v>
      </c>
      <c r="P448" t="n">
        <v>0</v>
      </c>
      <c r="Q448" t="n">
        <v>0</v>
      </c>
      <c r="R448" s="2" t="inlineStr"/>
    </row>
    <row r="449" ht="15" customHeight="1">
      <c r="A449" t="inlineStr">
        <is>
          <t>A 40837-2020</t>
        </is>
      </c>
      <c r="B449" s="1" t="n">
        <v>44067</v>
      </c>
      <c r="C449" s="1" t="n">
        <v>45827</v>
      </c>
      <c r="D449" t="inlineStr">
        <is>
          <t>STOCKHOLMS LÄN</t>
        </is>
      </c>
      <c r="E449" t="inlineStr">
        <is>
          <t>NORRTÄLJE</t>
        </is>
      </c>
      <c r="G449" t="n">
        <v>20.6</v>
      </c>
      <c r="H449" t="n">
        <v>0</v>
      </c>
      <c r="I449" t="n">
        <v>0</v>
      </c>
      <c r="J449" t="n">
        <v>0</v>
      </c>
      <c r="K449" t="n">
        <v>0</v>
      </c>
      <c r="L449" t="n">
        <v>0</v>
      </c>
      <c r="M449" t="n">
        <v>0</v>
      </c>
      <c r="N449" t="n">
        <v>0</v>
      </c>
      <c r="O449" t="n">
        <v>0</v>
      </c>
      <c r="P449" t="n">
        <v>0</v>
      </c>
      <c r="Q449" t="n">
        <v>0</v>
      </c>
      <c r="R449" s="2" t="inlineStr"/>
    </row>
    <row r="450" ht="15" customHeight="1">
      <c r="A450" t="inlineStr">
        <is>
          <t>A 40661-2020</t>
        </is>
      </c>
      <c r="B450" s="1" t="n">
        <v>44069</v>
      </c>
      <c r="C450" s="1" t="n">
        <v>45827</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42247-2020</t>
        </is>
      </c>
      <c r="B451" s="1" t="n">
        <v>44074</v>
      </c>
      <c r="C451" s="1" t="n">
        <v>45827</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42256-2020</t>
        </is>
      </c>
      <c r="B452" s="1" t="n">
        <v>44074</v>
      </c>
      <c r="C452" s="1" t="n">
        <v>45827</v>
      </c>
      <c r="D452" t="inlineStr">
        <is>
          <t>STOCKHOLMS LÄN</t>
        </is>
      </c>
      <c r="E452" t="inlineStr">
        <is>
          <t>NORRTÄLJE</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41694-2020</t>
        </is>
      </c>
      <c r="B453" s="1" t="n">
        <v>44074</v>
      </c>
      <c r="C453" s="1" t="n">
        <v>45827</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42365-2020</t>
        </is>
      </c>
      <c r="B454" s="1" t="n">
        <v>44076</v>
      </c>
      <c r="C454" s="1" t="n">
        <v>45827</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42361-2020</t>
        </is>
      </c>
      <c r="B455" s="1" t="n">
        <v>44076</v>
      </c>
      <c r="C455" s="1" t="n">
        <v>45827</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42455-2020</t>
        </is>
      </c>
      <c r="B456" s="1" t="n">
        <v>44076</v>
      </c>
      <c r="C456" s="1" t="n">
        <v>45827</v>
      </c>
      <c r="D456" t="inlineStr">
        <is>
          <t>STOCKHOLMS LÄN</t>
        </is>
      </c>
      <c r="E456" t="inlineStr">
        <is>
          <t>NORRTÄLJE</t>
        </is>
      </c>
      <c r="G456" t="n">
        <v>1.9</v>
      </c>
      <c r="H456" t="n">
        <v>0</v>
      </c>
      <c r="I456" t="n">
        <v>0</v>
      </c>
      <c r="J456" t="n">
        <v>0</v>
      </c>
      <c r="K456" t="n">
        <v>0</v>
      </c>
      <c r="L456" t="n">
        <v>0</v>
      </c>
      <c r="M456" t="n">
        <v>0</v>
      </c>
      <c r="N456" t="n">
        <v>0</v>
      </c>
      <c r="O456" t="n">
        <v>0</v>
      </c>
      <c r="P456" t="n">
        <v>0</v>
      </c>
      <c r="Q456" t="n">
        <v>0</v>
      </c>
      <c r="R456" s="2" t="inlineStr"/>
    </row>
    <row r="457" ht="15" customHeight="1">
      <c r="A457" t="inlineStr">
        <is>
          <t>A 43751-2020</t>
        </is>
      </c>
      <c r="B457" s="1" t="n">
        <v>44082</v>
      </c>
      <c r="C457" s="1" t="n">
        <v>45827</v>
      </c>
      <c r="D457" t="inlineStr">
        <is>
          <t>STOCKHOLMS LÄN</t>
        </is>
      </c>
      <c r="E457" t="inlineStr">
        <is>
          <t>NORRTÄLJE</t>
        </is>
      </c>
      <c r="G457" t="n">
        <v>8</v>
      </c>
      <c r="H457" t="n">
        <v>0</v>
      </c>
      <c r="I457" t="n">
        <v>0</v>
      </c>
      <c r="J457" t="n">
        <v>0</v>
      </c>
      <c r="K457" t="n">
        <v>0</v>
      </c>
      <c r="L457" t="n">
        <v>0</v>
      </c>
      <c r="M457" t="n">
        <v>0</v>
      </c>
      <c r="N457" t="n">
        <v>0</v>
      </c>
      <c r="O457" t="n">
        <v>0</v>
      </c>
      <c r="P457" t="n">
        <v>0</v>
      </c>
      <c r="Q457" t="n">
        <v>0</v>
      </c>
      <c r="R457" s="2" t="inlineStr"/>
    </row>
    <row r="458" ht="15" customHeight="1">
      <c r="A458" t="inlineStr">
        <is>
          <t>A 44096-2020</t>
        </is>
      </c>
      <c r="B458" s="1" t="n">
        <v>44083</v>
      </c>
      <c r="C458" s="1" t="n">
        <v>45827</v>
      </c>
      <c r="D458" t="inlineStr">
        <is>
          <t>STOCKHOLMS LÄN</t>
        </is>
      </c>
      <c r="E458" t="inlineStr">
        <is>
          <t>NORRTÄLJE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44071-2020</t>
        </is>
      </c>
      <c r="B459" s="1" t="n">
        <v>44083</v>
      </c>
      <c r="C459" s="1" t="n">
        <v>45827</v>
      </c>
      <c r="D459" t="inlineStr">
        <is>
          <t>STOCKHOLMS LÄN</t>
        </is>
      </c>
      <c r="E459" t="inlineStr">
        <is>
          <t>NORRTÄLJE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44183-2020</t>
        </is>
      </c>
      <c r="B460" s="1" t="n">
        <v>44083</v>
      </c>
      <c r="C460" s="1" t="n">
        <v>45827</v>
      </c>
      <c r="D460" t="inlineStr">
        <is>
          <t>STOCKHOLMS LÄN</t>
        </is>
      </c>
      <c r="E460" t="inlineStr">
        <is>
          <t>NORRTÄLJE</t>
        </is>
      </c>
      <c r="G460" t="n">
        <v>4.3</v>
      </c>
      <c r="H460" t="n">
        <v>0</v>
      </c>
      <c r="I460" t="n">
        <v>0</v>
      </c>
      <c r="J460" t="n">
        <v>0</v>
      </c>
      <c r="K460" t="n">
        <v>0</v>
      </c>
      <c r="L460" t="n">
        <v>0</v>
      </c>
      <c r="M460" t="n">
        <v>0</v>
      </c>
      <c r="N460" t="n">
        <v>0</v>
      </c>
      <c r="O460" t="n">
        <v>0</v>
      </c>
      <c r="P460" t="n">
        <v>0</v>
      </c>
      <c r="Q460" t="n">
        <v>0</v>
      </c>
      <c r="R460" s="2" t="inlineStr"/>
    </row>
    <row r="461" ht="15" customHeight="1">
      <c r="A461" t="inlineStr">
        <is>
          <t>A 44792-2020</t>
        </is>
      </c>
      <c r="B461" s="1" t="n">
        <v>44085</v>
      </c>
      <c r="C461" s="1" t="n">
        <v>45827</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45988-2020</t>
        </is>
      </c>
      <c r="B462" s="1" t="n">
        <v>44091</v>
      </c>
      <c r="C462" s="1" t="n">
        <v>45827</v>
      </c>
      <c r="D462" t="inlineStr">
        <is>
          <t>STOCKHOLMS LÄN</t>
        </is>
      </c>
      <c r="E462" t="inlineStr">
        <is>
          <t>NORRTÄLJE</t>
        </is>
      </c>
      <c r="F462" t="inlineStr">
        <is>
          <t>Holmen skog AB</t>
        </is>
      </c>
      <c r="G462" t="n">
        <v>1.6</v>
      </c>
      <c r="H462" t="n">
        <v>0</v>
      </c>
      <c r="I462" t="n">
        <v>0</v>
      </c>
      <c r="J462" t="n">
        <v>0</v>
      </c>
      <c r="K462" t="n">
        <v>0</v>
      </c>
      <c r="L462" t="n">
        <v>0</v>
      </c>
      <c r="M462" t="n">
        <v>0</v>
      </c>
      <c r="N462" t="n">
        <v>0</v>
      </c>
      <c r="O462" t="n">
        <v>0</v>
      </c>
      <c r="P462" t="n">
        <v>0</v>
      </c>
      <c r="Q462" t="n">
        <v>0</v>
      </c>
      <c r="R462" s="2" t="inlineStr"/>
    </row>
    <row r="463" ht="15" customHeight="1">
      <c r="A463" t="inlineStr">
        <is>
          <t>A 46556-2020</t>
        </is>
      </c>
      <c r="B463" s="1" t="n">
        <v>44095</v>
      </c>
      <c r="C463" s="1" t="n">
        <v>45827</v>
      </c>
      <c r="D463" t="inlineStr">
        <is>
          <t>STOCKHOLMS LÄN</t>
        </is>
      </c>
      <c r="E463" t="inlineStr">
        <is>
          <t>NORRTÄLJE</t>
        </is>
      </c>
      <c r="F463" t="inlineStr">
        <is>
          <t>Holmen skog AB</t>
        </is>
      </c>
      <c r="G463" t="n">
        <v>2.1</v>
      </c>
      <c r="H463" t="n">
        <v>0</v>
      </c>
      <c r="I463" t="n">
        <v>0</v>
      </c>
      <c r="J463" t="n">
        <v>0</v>
      </c>
      <c r="K463" t="n">
        <v>0</v>
      </c>
      <c r="L463" t="n">
        <v>0</v>
      </c>
      <c r="M463" t="n">
        <v>0</v>
      </c>
      <c r="N463" t="n">
        <v>0</v>
      </c>
      <c r="O463" t="n">
        <v>0</v>
      </c>
      <c r="P463" t="n">
        <v>0</v>
      </c>
      <c r="Q463" t="n">
        <v>0</v>
      </c>
      <c r="R463" s="2" t="inlineStr"/>
    </row>
    <row r="464" ht="15" customHeight="1">
      <c r="A464" t="inlineStr">
        <is>
          <t>A 47291-2020</t>
        </is>
      </c>
      <c r="B464" s="1" t="n">
        <v>44097</v>
      </c>
      <c r="C464" s="1" t="n">
        <v>45827</v>
      </c>
      <c r="D464" t="inlineStr">
        <is>
          <t>STOCKHOLMS LÄN</t>
        </is>
      </c>
      <c r="E464" t="inlineStr">
        <is>
          <t>NORRTÄLJE</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48392-2020</t>
        </is>
      </c>
      <c r="B465" s="1" t="n">
        <v>44097</v>
      </c>
      <c r="C465" s="1" t="n">
        <v>45827</v>
      </c>
      <c r="D465" t="inlineStr">
        <is>
          <t>STOCKHOLMS LÄN</t>
        </is>
      </c>
      <c r="E465" t="inlineStr">
        <is>
          <t>NORRTÄLJE</t>
        </is>
      </c>
      <c r="G465" t="n">
        <v>12.5</v>
      </c>
      <c r="H465" t="n">
        <v>0</v>
      </c>
      <c r="I465" t="n">
        <v>0</v>
      </c>
      <c r="J465" t="n">
        <v>0</v>
      </c>
      <c r="K465" t="n">
        <v>0</v>
      </c>
      <c r="L465" t="n">
        <v>0</v>
      </c>
      <c r="M465" t="n">
        <v>0</v>
      </c>
      <c r="N465" t="n">
        <v>0</v>
      </c>
      <c r="O465" t="n">
        <v>0</v>
      </c>
      <c r="P465" t="n">
        <v>0</v>
      </c>
      <c r="Q465" t="n">
        <v>0</v>
      </c>
      <c r="R465" s="2" t="inlineStr"/>
    </row>
    <row r="466" ht="15" customHeight="1">
      <c r="A466" t="inlineStr">
        <is>
          <t>A 47869-2020</t>
        </is>
      </c>
      <c r="B466" s="1" t="n">
        <v>44098</v>
      </c>
      <c r="C466" s="1" t="n">
        <v>45827</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47868-2020</t>
        </is>
      </c>
      <c r="B467" s="1" t="n">
        <v>44098</v>
      </c>
      <c r="C467" s="1" t="n">
        <v>45827</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48066-2020</t>
        </is>
      </c>
      <c r="B468" s="1" t="n">
        <v>44100</v>
      </c>
      <c r="C468" s="1" t="n">
        <v>45827</v>
      </c>
      <c r="D468" t="inlineStr">
        <is>
          <t>STOCKHOLMS LÄN</t>
        </is>
      </c>
      <c r="E468" t="inlineStr">
        <is>
          <t>NORRTÄLJE</t>
        </is>
      </c>
      <c r="G468" t="n">
        <v>3.7</v>
      </c>
      <c r="H468" t="n">
        <v>0</v>
      </c>
      <c r="I468" t="n">
        <v>0</v>
      </c>
      <c r="J468" t="n">
        <v>0</v>
      </c>
      <c r="K468" t="n">
        <v>0</v>
      </c>
      <c r="L468" t="n">
        <v>0</v>
      </c>
      <c r="M468" t="n">
        <v>0</v>
      </c>
      <c r="N468" t="n">
        <v>0</v>
      </c>
      <c r="O468" t="n">
        <v>0</v>
      </c>
      <c r="P468" t="n">
        <v>0</v>
      </c>
      <c r="Q468" t="n">
        <v>0</v>
      </c>
      <c r="R468" s="2" t="inlineStr"/>
    </row>
    <row r="469" ht="15" customHeight="1">
      <c r="A469" t="inlineStr">
        <is>
          <t>A 48071-2020</t>
        </is>
      </c>
      <c r="B469" s="1" t="n">
        <v>44100</v>
      </c>
      <c r="C469" s="1" t="n">
        <v>45827</v>
      </c>
      <c r="D469" t="inlineStr">
        <is>
          <t>STOCKHOLMS LÄN</t>
        </is>
      </c>
      <c r="E469" t="inlineStr">
        <is>
          <t>NORRTÄLJE</t>
        </is>
      </c>
      <c r="G469" t="n">
        <v>6.8</v>
      </c>
      <c r="H469" t="n">
        <v>0</v>
      </c>
      <c r="I469" t="n">
        <v>0</v>
      </c>
      <c r="J469" t="n">
        <v>0</v>
      </c>
      <c r="K469" t="n">
        <v>0</v>
      </c>
      <c r="L469" t="n">
        <v>0</v>
      </c>
      <c r="M469" t="n">
        <v>0</v>
      </c>
      <c r="N469" t="n">
        <v>0</v>
      </c>
      <c r="O469" t="n">
        <v>0</v>
      </c>
      <c r="P469" t="n">
        <v>0</v>
      </c>
      <c r="Q469" t="n">
        <v>0</v>
      </c>
      <c r="R469" s="2" t="inlineStr"/>
    </row>
    <row r="470" ht="15" customHeight="1">
      <c r="A470" t="inlineStr">
        <is>
          <t>A 48496-2020</t>
        </is>
      </c>
      <c r="B470" s="1" t="n">
        <v>44103</v>
      </c>
      <c r="C470" s="1" t="n">
        <v>45827</v>
      </c>
      <c r="D470" t="inlineStr">
        <is>
          <t>STOCKHOLMS LÄN</t>
        </is>
      </c>
      <c r="E470" t="inlineStr">
        <is>
          <t>NORRTÄLJE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48522-2020</t>
        </is>
      </c>
      <c r="B471" s="1" t="n">
        <v>44103</v>
      </c>
      <c r="C471" s="1" t="n">
        <v>45827</v>
      </c>
      <c r="D471" t="inlineStr">
        <is>
          <t>STOCKHOLMS LÄN</t>
        </is>
      </c>
      <c r="E471" t="inlineStr">
        <is>
          <t>NORRTÄLJE</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49334-2020</t>
        </is>
      </c>
      <c r="B472" s="1" t="n">
        <v>44105</v>
      </c>
      <c r="C472" s="1" t="n">
        <v>45827</v>
      </c>
      <c r="D472" t="inlineStr">
        <is>
          <t>STOCKHOLMS LÄN</t>
        </is>
      </c>
      <c r="E472" t="inlineStr">
        <is>
          <t>NORRTÄLJE</t>
        </is>
      </c>
      <c r="G472" t="n">
        <v>1.5</v>
      </c>
      <c r="H472" t="n">
        <v>0</v>
      </c>
      <c r="I472" t="n">
        <v>0</v>
      </c>
      <c r="J472" t="n">
        <v>0</v>
      </c>
      <c r="K472" t="n">
        <v>0</v>
      </c>
      <c r="L472" t="n">
        <v>0</v>
      </c>
      <c r="M472" t="n">
        <v>0</v>
      </c>
      <c r="N472" t="n">
        <v>0</v>
      </c>
      <c r="O472" t="n">
        <v>0</v>
      </c>
      <c r="P472" t="n">
        <v>0</v>
      </c>
      <c r="Q472" t="n">
        <v>0</v>
      </c>
      <c r="R472" s="2" t="inlineStr"/>
    </row>
    <row r="473" ht="15" customHeight="1">
      <c r="A473" t="inlineStr">
        <is>
          <t>A 49327-2020</t>
        </is>
      </c>
      <c r="B473" s="1" t="n">
        <v>44105</v>
      </c>
      <c r="C473" s="1" t="n">
        <v>45827</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49898-2020</t>
        </is>
      </c>
      <c r="B474" s="1" t="n">
        <v>44108</v>
      </c>
      <c r="C474" s="1" t="n">
        <v>45827</v>
      </c>
      <c r="D474" t="inlineStr">
        <is>
          <t>STOCKHOLMS LÄN</t>
        </is>
      </c>
      <c r="E474" t="inlineStr">
        <is>
          <t>NORRTÄLJE</t>
        </is>
      </c>
      <c r="G474" t="n">
        <v>1.2</v>
      </c>
      <c r="H474" t="n">
        <v>0</v>
      </c>
      <c r="I474" t="n">
        <v>0</v>
      </c>
      <c r="J474" t="n">
        <v>0</v>
      </c>
      <c r="K474" t="n">
        <v>0</v>
      </c>
      <c r="L474" t="n">
        <v>0</v>
      </c>
      <c r="M474" t="n">
        <v>0</v>
      </c>
      <c r="N474" t="n">
        <v>0</v>
      </c>
      <c r="O474" t="n">
        <v>0</v>
      </c>
      <c r="P474" t="n">
        <v>0</v>
      </c>
      <c r="Q474" t="n">
        <v>0</v>
      </c>
      <c r="R474" s="2" t="inlineStr"/>
    </row>
    <row r="475" ht="15" customHeight="1">
      <c r="A475" t="inlineStr">
        <is>
          <t>A 50497-2020</t>
        </is>
      </c>
      <c r="B475" s="1" t="n">
        <v>44110</v>
      </c>
      <c r="C475" s="1" t="n">
        <v>45827</v>
      </c>
      <c r="D475" t="inlineStr">
        <is>
          <t>STOCKHOLMS LÄN</t>
        </is>
      </c>
      <c r="E475" t="inlineStr">
        <is>
          <t>NORRTÄLJE</t>
        </is>
      </c>
      <c r="F475" t="inlineStr">
        <is>
          <t>Holmen skog AB</t>
        </is>
      </c>
      <c r="G475" t="n">
        <v>4.3</v>
      </c>
      <c r="H475" t="n">
        <v>0</v>
      </c>
      <c r="I475" t="n">
        <v>0</v>
      </c>
      <c r="J475" t="n">
        <v>0</v>
      </c>
      <c r="K475" t="n">
        <v>0</v>
      </c>
      <c r="L475" t="n">
        <v>0</v>
      </c>
      <c r="M475" t="n">
        <v>0</v>
      </c>
      <c r="N475" t="n">
        <v>0</v>
      </c>
      <c r="O475" t="n">
        <v>0</v>
      </c>
      <c r="P475" t="n">
        <v>0</v>
      </c>
      <c r="Q475" t="n">
        <v>0</v>
      </c>
      <c r="R475" s="2" t="inlineStr"/>
    </row>
    <row r="476" ht="15" customHeight="1">
      <c r="A476" t="inlineStr">
        <is>
          <t>A 50738-2020</t>
        </is>
      </c>
      <c r="B476" s="1" t="n">
        <v>44111</v>
      </c>
      <c r="C476" s="1" t="n">
        <v>45827</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50746-2020</t>
        </is>
      </c>
      <c r="B477" s="1" t="n">
        <v>44111</v>
      </c>
      <c r="C477" s="1" t="n">
        <v>45827</v>
      </c>
      <c r="D477" t="inlineStr">
        <is>
          <t>STOCKHOLMS LÄN</t>
        </is>
      </c>
      <c r="E477" t="inlineStr">
        <is>
          <t>NORRTÄLJE</t>
        </is>
      </c>
      <c r="G477" t="n">
        <v>4.9</v>
      </c>
      <c r="H477" t="n">
        <v>0</v>
      </c>
      <c r="I477" t="n">
        <v>0</v>
      </c>
      <c r="J477" t="n">
        <v>0</v>
      </c>
      <c r="K477" t="n">
        <v>0</v>
      </c>
      <c r="L477" t="n">
        <v>0</v>
      </c>
      <c r="M477" t="n">
        <v>0</v>
      </c>
      <c r="N477" t="n">
        <v>0</v>
      </c>
      <c r="O477" t="n">
        <v>0</v>
      </c>
      <c r="P477" t="n">
        <v>0</v>
      </c>
      <c r="Q477" t="n">
        <v>0</v>
      </c>
      <c r="R477" s="2" t="inlineStr"/>
    </row>
    <row r="478" ht="15" customHeight="1">
      <c r="A478" t="inlineStr">
        <is>
          <t>A 50742-2020</t>
        </is>
      </c>
      <c r="B478" s="1" t="n">
        <v>44111</v>
      </c>
      <c r="C478" s="1" t="n">
        <v>45827</v>
      </c>
      <c r="D478" t="inlineStr">
        <is>
          <t>STOCKHOLMS LÄN</t>
        </is>
      </c>
      <c r="E478" t="inlineStr">
        <is>
          <t>NORRTÄLJE</t>
        </is>
      </c>
      <c r="G478" t="n">
        <v>0.4</v>
      </c>
      <c r="H478" t="n">
        <v>0</v>
      </c>
      <c r="I478" t="n">
        <v>0</v>
      </c>
      <c r="J478" t="n">
        <v>0</v>
      </c>
      <c r="K478" t="n">
        <v>0</v>
      </c>
      <c r="L478" t="n">
        <v>0</v>
      </c>
      <c r="M478" t="n">
        <v>0</v>
      </c>
      <c r="N478" t="n">
        <v>0</v>
      </c>
      <c r="O478" t="n">
        <v>0</v>
      </c>
      <c r="P478" t="n">
        <v>0</v>
      </c>
      <c r="Q478" t="n">
        <v>0</v>
      </c>
      <c r="R478" s="2" t="inlineStr"/>
    </row>
    <row r="479" ht="15" customHeight="1">
      <c r="A479" t="inlineStr">
        <is>
          <t>A 51720-2020</t>
        </is>
      </c>
      <c r="B479" s="1" t="n">
        <v>44113</v>
      </c>
      <c r="C479" s="1" t="n">
        <v>45827</v>
      </c>
      <c r="D479" t="inlineStr">
        <is>
          <t>STOCKHOLMS LÄN</t>
        </is>
      </c>
      <c r="E479" t="inlineStr">
        <is>
          <t>NORRTÄLJE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51787-2020</t>
        </is>
      </c>
      <c r="B480" s="1" t="n">
        <v>44116</v>
      </c>
      <c r="C480" s="1" t="n">
        <v>45827</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51798-2020</t>
        </is>
      </c>
      <c r="B481" s="1" t="n">
        <v>44116</v>
      </c>
      <c r="C481" s="1" t="n">
        <v>45827</v>
      </c>
      <c r="D481" t="inlineStr">
        <is>
          <t>STOCKHOLMS LÄN</t>
        </is>
      </c>
      <c r="E481" t="inlineStr">
        <is>
          <t>NORRTÄLJE</t>
        </is>
      </c>
      <c r="G481" t="n">
        <v>4.3</v>
      </c>
      <c r="H481" t="n">
        <v>0</v>
      </c>
      <c r="I481" t="n">
        <v>0</v>
      </c>
      <c r="J481" t="n">
        <v>0</v>
      </c>
      <c r="K481" t="n">
        <v>0</v>
      </c>
      <c r="L481" t="n">
        <v>0</v>
      </c>
      <c r="M481" t="n">
        <v>0</v>
      </c>
      <c r="N481" t="n">
        <v>0</v>
      </c>
      <c r="O481" t="n">
        <v>0</v>
      </c>
      <c r="P481" t="n">
        <v>0</v>
      </c>
      <c r="Q481" t="n">
        <v>0</v>
      </c>
      <c r="R481" s="2" t="inlineStr"/>
    </row>
    <row r="482" ht="15" customHeight="1">
      <c r="A482" t="inlineStr">
        <is>
          <t>A 53768-2020</t>
        </is>
      </c>
      <c r="B482" s="1" t="n">
        <v>44123</v>
      </c>
      <c r="C482" s="1" t="n">
        <v>45827</v>
      </c>
      <c r="D482" t="inlineStr">
        <is>
          <t>STOCKHOLMS LÄN</t>
        </is>
      </c>
      <c r="E482" t="inlineStr">
        <is>
          <t>NORRTÄLJE</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53652-2020</t>
        </is>
      </c>
      <c r="B483" s="1" t="n">
        <v>44124</v>
      </c>
      <c r="C483" s="1" t="n">
        <v>45827</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53690-2020</t>
        </is>
      </c>
      <c r="B484" s="1" t="n">
        <v>44124</v>
      </c>
      <c r="C484" s="1" t="n">
        <v>45827</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53607-2020</t>
        </is>
      </c>
      <c r="B485" s="1" t="n">
        <v>44124</v>
      </c>
      <c r="C485" s="1" t="n">
        <v>45827</v>
      </c>
      <c r="D485" t="inlineStr">
        <is>
          <t>STOCKHOLMS LÄN</t>
        </is>
      </c>
      <c r="E485" t="inlineStr">
        <is>
          <t>NORRTÄLJE</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55089-2020</t>
        </is>
      </c>
      <c r="B486" s="1" t="n">
        <v>44130</v>
      </c>
      <c r="C486" s="1" t="n">
        <v>45827</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55895-2020</t>
        </is>
      </c>
      <c r="B487" s="1" t="n">
        <v>44132</v>
      </c>
      <c r="C487" s="1" t="n">
        <v>45827</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55890-2020</t>
        </is>
      </c>
      <c r="B488" s="1" t="n">
        <v>44132</v>
      </c>
      <c r="C488" s="1" t="n">
        <v>45827</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55982-2020</t>
        </is>
      </c>
      <c r="B489" s="1" t="n">
        <v>44132</v>
      </c>
      <c r="C489" s="1" t="n">
        <v>45827</v>
      </c>
      <c r="D489" t="inlineStr">
        <is>
          <t>STOCKHOLMS LÄN</t>
        </is>
      </c>
      <c r="E489" t="inlineStr">
        <is>
          <t>NORRTÄLJE</t>
        </is>
      </c>
      <c r="G489" t="n">
        <v>11.3</v>
      </c>
      <c r="H489" t="n">
        <v>0</v>
      </c>
      <c r="I489" t="n">
        <v>0</v>
      </c>
      <c r="J489" t="n">
        <v>0</v>
      </c>
      <c r="K489" t="n">
        <v>0</v>
      </c>
      <c r="L489" t="n">
        <v>0</v>
      </c>
      <c r="M489" t="n">
        <v>0</v>
      </c>
      <c r="N489" t="n">
        <v>0</v>
      </c>
      <c r="O489" t="n">
        <v>0</v>
      </c>
      <c r="P489" t="n">
        <v>0</v>
      </c>
      <c r="Q489" t="n">
        <v>0</v>
      </c>
      <c r="R489" s="2" t="inlineStr"/>
    </row>
    <row r="490" ht="15" customHeight="1">
      <c r="A490" t="inlineStr">
        <is>
          <t>A 56166-2020</t>
        </is>
      </c>
      <c r="B490" s="1" t="n">
        <v>44133</v>
      </c>
      <c r="C490" s="1" t="n">
        <v>45827</v>
      </c>
      <c r="D490" t="inlineStr">
        <is>
          <t>STOCKHOLMS LÄN</t>
        </is>
      </c>
      <c r="E490" t="inlineStr">
        <is>
          <t>NORRTÄLJE</t>
        </is>
      </c>
      <c r="G490" t="n">
        <v>4.4</v>
      </c>
      <c r="H490" t="n">
        <v>0</v>
      </c>
      <c r="I490" t="n">
        <v>0</v>
      </c>
      <c r="J490" t="n">
        <v>0</v>
      </c>
      <c r="K490" t="n">
        <v>0</v>
      </c>
      <c r="L490" t="n">
        <v>0</v>
      </c>
      <c r="M490" t="n">
        <v>0</v>
      </c>
      <c r="N490" t="n">
        <v>0</v>
      </c>
      <c r="O490" t="n">
        <v>0</v>
      </c>
      <c r="P490" t="n">
        <v>0</v>
      </c>
      <c r="Q490" t="n">
        <v>0</v>
      </c>
      <c r="R490" s="2" t="inlineStr"/>
    </row>
    <row r="491" ht="15" customHeight="1">
      <c r="A491" t="inlineStr">
        <is>
          <t>A 56323-2020</t>
        </is>
      </c>
      <c r="B491" s="1" t="n">
        <v>44134</v>
      </c>
      <c r="C491" s="1" t="n">
        <v>45827</v>
      </c>
      <c r="D491" t="inlineStr">
        <is>
          <t>STOCKHOLMS LÄN</t>
        </is>
      </c>
      <c r="E491" t="inlineStr">
        <is>
          <t>NORRTÄLJE</t>
        </is>
      </c>
      <c r="G491" t="n">
        <v>2.4</v>
      </c>
      <c r="H491" t="n">
        <v>0</v>
      </c>
      <c r="I491" t="n">
        <v>0</v>
      </c>
      <c r="J491" t="n">
        <v>0</v>
      </c>
      <c r="K491" t="n">
        <v>0</v>
      </c>
      <c r="L491" t="n">
        <v>0</v>
      </c>
      <c r="M491" t="n">
        <v>0</v>
      </c>
      <c r="N491" t="n">
        <v>0</v>
      </c>
      <c r="O491" t="n">
        <v>0</v>
      </c>
      <c r="P491" t="n">
        <v>0</v>
      </c>
      <c r="Q491" t="n">
        <v>0</v>
      </c>
      <c r="R491" s="2" t="inlineStr"/>
    </row>
    <row r="492" ht="15" customHeight="1">
      <c r="A492" t="inlineStr">
        <is>
          <t>A 57216-2020</t>
        </is>
      </c>
      <c r="B492" s="1" t="n">
        <v>44139</v>
      </c>
      <c r="C492" s="1" t="n">
        <v>45827</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57957-2020</t>
        </is>
      </c>
      <c r="B493" s="1" t="n">
        <v>44143</v>
      </c>
      <c r="C493" s="1" t="n">
        <v>45827</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57987-2020</t>
        </is>
      </c>
      <c r="B494" s="1" t="n">
        <v>44143</v>
      </c>
      <c r="C494" s="1" t="n">
        <v>45827</v>
      </c>
      <c r="D494" t="inlineStr">
        <is>
          <t>STOCKHOLMS LÄN</t>
        </is>
      </c>
      <c r="E494" t="inlineStr">
        <is>
          <t>NORRTÄLJE</t>
        </is>
      </c>
      <c r="G494" t="n">
        <v>1.3</v>
      </c>
      <c r="H494" t="n">
        <v>0</v>
      </c>
      <c r="I494" t="n">
        <v>0</v>
      </c>
      <c r="J494" t="n">
        <v>0</v>
      </c>
      <c r="K494" t="n">
        <v>0</v>
      </c>
      <c r="L494" t="n">
        <v>0</v>
      </c>
      <c r="M494" t="n">
        <v>0</v>
      </c>
      <c r="N494" t="n">
        <v>0</v>
      </c>
      <c r="O494" t="n">
        <v>0</v>
      </c>
      <c r="P494" t="n">
        <v>0</v>
      </c>
      <c r="Q494" t="n">
        <v>0</v>
      </c>
      <c r="R494" s="2" t="inlineStr"/>
    </row>
    <row r="495" ht="15" customHeight="1">
      <c r="A495" t="inlineStr">
        <is>
          <t>A 58493-2020</t>
        </is>
      </c>
      <c r="B495" s="1" t="n">
        <v>44145</v>
      </c>
      <c r="C495" s="1" t="n">
        <v>45827</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58661-2020</t>
        </is>
      </c>
      <c r="B496" s="1" t="n">
        <v>44145</v>
      </c>
      <c r="C496" s="1" t="n">
        <v>45827</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58665-2020</t>
        </is>
      </c>
      <c r="B497" s="1" t="n">
        <v>44145</v>
      </c>
      <c r="C497" s="1" t="n">
        <v>45827</v>
      </c>
      <c r="D497" t="inlineStr">
        <is>
          <t>STOCKHOLMS LÄN</t>
        </is>
      </c>
      <c r="E497" t="inlineStr">
        <is>
          <t>NORRTÄLJE</t>
        </is>
      </c>
      <c r="G497" t="n">
        <v>5.2</v>
      </c>
      <c r="H497" t="n">
        <v>0</v>
      </c>
      <c r="I497" t="n">
        <v>0</v>
      </c>
      <c r="J497" t="n">
        <v>0</v>
      </c>
      <c r="K497" t="n">
        <v>0</v>
      </c>
      <c r="L497" t="n">
        <v>0</v>
      </c>
      <c r="M497" t="n">
        <v>0</v>
      </c>
      <c r="N497" t="n">
        <v>0</v>
      </c>
      <c r="O497" t="n">
        <v>0</v>
      </c>
      <c r="P497" t="n">
        <v>0</v>
      </c>
      <c r="Q497" t="n">
        <v>0</v>
      </c>
      <c r="R497" s="2" t="inlineStr"/>
    </row>
    <row r="498" ht="15" customHeight="1">
      <c r="A498" t="inlineStr">
        <is>
          <t>A 58888-2020</t>
        </is>
      </c>
      <c r="B498" s="1" t="n">
        <v>44146</v>
      </c>
      <c r="C498" s="1" t="n">
        <v>45827</v>
      </c>
      <c r="D498" t="inlineStr">
        <is>
          <t>STOCKHOLMS LÄN</t>
        </is>
      </c>
      <c r="E498" t="inlineStr">
        <is>
          <t>NORRTÄLJE</t>
        </is>
      </c>
      <c r="G498" t="n">
        <v>1.9</v>
      </c>
      <c r="H498" t="n">
        <v>0</v>
      </c>
      <c r="I498" t="n">
        <v>0</v>
      </c>
      <c r="J498" t="n">
        <v>0</v>
      </c>
      <c r="K498" t="n">
        <v>0</v>
      </c>
      <c r="L498" t="n">
        <v>0</v>
      </c>
      <c r="M498" t="n">
        <v>0</v>
      </c>
      <c r="N498" t="n">
        <v>0</v>
      </c>
      <c r="O498" t="n">
        <v>0</v>
      </c>
      <c r="P498" t="n">
        <v>0</v>
      </c>
      <c r="Q498" t="n">
        <v>0</v>
      </c>
      <c r="R498" s="2" t="inlineStr"/>
    </row>
    <row r="499" ht="15" customHeight="1">
      <c r="A499" t="inlineStr">
        <is>
          <t>A 60321-2020</t>
        </is>
      </c>
      <c r="B499" s="1" t="n">
        <v>44152</v>
      </c>
      <c r="C499" s="1" t="n">
        <v>45827</v>
      </c>
      <c r="D499" t="inlineStr">
        <is>
          <t>STOCKHOLMS LÄN</t>
        </is>
      </c>
      <c r="E499" t="inlineStr">
        <is>
          <t>NORRTÄLJE</t>
        </is>
      </c>
      <c r="F499" t="inlineStr">
        <is>
          <t>Holmen skog AB</t>
        </is>
      </c>
      <c r="G499" t="n">
        <v>3.4</v>
      </c>
      <c r="H499" t="n">
        <v>0</v>
      </c>
      <c r="I499" t="n">
        <v>0</v>
      </c>
      <c r="J499" t="n">
        <v>0</v>
      </c>
      <c r="K499" t="n">
        <v>0</v>
      </c>
      <c r="L499" t="n">
        <v>0</v>
      </c>
      <c r="M499" t="n">
        <v>0</v>
      </c>
      <c r="N499" t="n">
        <v>0</v>
      </c>
      <c r="O499" t="n">
        <v>0</v>
      </c>
      <c r="P499" t="n">
        <v>0</v>
      </c>
      <c r="Q499" t="n">
        <v>0</v>
      </c>
      <c r="R499" s="2" t="inlineStr"/>
    </row>
    <row r="500" ht="15" customHeight="1">
      <c r="A500" t="inlineStr">
        <is>
          <t>A 60542-2020</t>
        </is>
      </c>
      <c r="B500" s="1" t="n">
        <v>44153</v>
      </c>
      <c r="C500" s="1" t="n">
        <v>45827</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60977-2020</t>
        </is>
      </c>
      <c r="B501" s="1" t="n">
        <v>44154</v>
      </c>
      <c r="C501" s="1" t="n">
        <v>45827</v>
      </c>
      <c r="D501" t="inlineStr">
        <is>
          <t>STOCKHOLMS LÄN</t>
        </is>
      </c>
      <c r="E501" t="inlineStr">
        <is>
          <t>NORRTÄLJE</t>
        </is>
      </c>
      <c r="F501" t="inlineStr">
        <is>
          <t>Holmen skog AB</t>
        </is>
      </c>
      <c r="G501" t="n">
        <v>0.8</v>
      </c>
      <c r="H501" t="n">
        <v>0</v>
      </c>
      <c r="I501" t="n">
        <v>0</v>
      </c>
      <c r="J501" t="n">
        <v>0</v>
      </c>
      <c r="K501" t="n">
        <v>0</v>
      </c>
      <c r="L501" t="n">
        <v>0</v>
      </c>
      <c r="M501" t="n">
        <v>0</v>
      </c>
      <c r="N501" t="n">
        <v>0</v>
      </c>
      <c r="O501" t="n">
        <v>0</v>
      </c>
      <c r="P501" t="n">
        <v>0</v>
      </c>
      <c r="Q501" t="n">
        <v>0</v>
      </c>
      <c r="R501" s="2" t="inlineStr"/>
    </row>
    <row r="502" ht="15" customHeight="1">
      <c r="A502" t="inlineStr">
        <is>
          <t>A 60891-2020</t>
        </is>
      </c>
      <c r="B502" s="1" t="n">
        <v>44154</v>
      </c>
      <c r="C502" s="1" t="n">
        <v>45827</v>
      </c>
      <c r="D502" t="inlineStr">
        <is>
          <t>STOCKHOLMS LÄN</t>
        </is>
      </c>
      <c r="E502" t="inlineStr">
        <is>
          <t>NORRTÄLJE</t>
        </is>
      </c>
      <c r="G502" t="n">
        <v>1.8</v>
      </c>
      <c r="H502" t="n">
        <v>0</v>
      </c>
      <c r="I502" t="n">
        <v>0</v>
      </c>
      <c r="J502" t="n">
        <v>0</v>
      </c>
      <c r="K502" t="n">
        <v>0</v>
      </c>
      <c r="L502" t="n">
        <v>0</v>
      </c>
      <c r="M502" t="n">
        <v>0</v>
      </c>
      <c r="N502" t="n">
        <v>0</v>
      </c>
      <c r="O502" t="n">
        <v>0</v>
      </c>
      <c r="P502" t="n">
        <v>0</v>
      </c>
      <c r="Q502" t="n">
        <v>0</v>
      </c>
      <c r="R502" s="2" t="inlineStr"/>
    </row>
    <row r="503" ht="15" customHeight="1">
      <c r="A503" t="inlineStr">
        <is>
          <t>A 60961-2020</t>
        </is>
      </c>
      <c r="B503" s="1" t="n">
        <v>44154</v>
      </c>
      <c r="C503" s="1" t="n">
        <v>45827</v>
      </c>
      <c r="D503" t="inlineStr">
        <is>
          <t>STOCKHOLMS LÄN</t>
        </is>
      </c>
      <c r="E503" t="inlineStr">
        <is>
          <t>NORRTÄLJE</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61195-2020</t>
        </is>
      </c>
      <c r="B504" s="1" t="n">
        <v>44155</v>
      </c>
      <c r="C504" s="1" t="n">
        <v>45827</v>
      </c>
      <c r="D504" t="inlineStr">
        <is>
          <t>STOCKHOLMS LÄN</t>
        </is>
      </c>
      <c r="E504" t="inlineStr">
        <is>
          <t>NORRTÄLJE</t>
        </is>
      </c>
      <c r="G504" t="n">
        <v>7.8</v>
      </c>
      <c r="H504" t="n">
        <v>0</v>
      </c>
      <c r="I504" t="n">
        <v>0</v>
      </c>
      <c r="J504" t="n">
        <v>0</v>
      </c>
      <c r="K504" t="n">
        <v>0</v>
      </c>
      <c r="L504" t="n">
        <v>0</v>
      </c>
      <c r="M504" t="n">
        <v>0</v>
      </c>
      <c r="N504" t="n">
        <v>0</v>
      </c>
      <c r="O504" t="n">
        <v>0</v>
      </c>
      <c r="P504" t="n">
        <v>0</v>
      </c>
      <c r="Q504" t="n">
        <v>0</v>
      </c>
      <c r="R504" s="2" t="inlineStr"/>
    </row>
    <row r="505" ht="15" customHeight="1">
      <c r="A505" t="inlineStr">
        <is>
          <t>A 61221-2020</t>
        </is>
      </c>
      <c r="B505" s="1" t="n">
        <v>44155</v>
      </c>
      <c r="C505" s="1" t="n">
        <v>45827</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61363-2020</t>
        </is>
      </c>
      <c r="B506" s="1" t="n">
        <v>44155</v>
      </c>
      <c r="C506" s="1" t="n">
        <v>45827</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61469-2020</t>
        </is>
      </c>
      <c r="B507" s="1" t="n">
        <v>44155</v>
      </c>
      <c r="C507" s="1" t="n">
        <v>45827</v>
      </c>
      <c r="D507" t="inlineStr">
        <is>
          <t>STOCKHOLMS LÄN</t>
        </is>
      </c>
      <c r="E507" t="inlineStr">
        <is>
          <t>NORRTÄLJE</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61192-2020</t>
        </is>
      </c>
      <c r="B508" s="1" t="n">
        <v>44155</v>
      </c>
      <c r="C508" s="1" t="n">
        <v>45827</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62460-2020</t>
        </is>
      </c>
      <c r="B509" s="1" t="n">
        <v>44160</v>
      </c>
      <c r="C509" s="1" t="n">
        <v>45827</v>
      </c>
      <c r="D509" t="inlineStr">
        <is>
          <t>STOCKHOLMS LÄN</t>
        </is>
      </c>
      <c r="E509" t="inlineStr">
        <is>
          <t>NORRTÄLJE</t>
        </is>
      </c>
      <c r="G509" t="n">
        <v>0.8</v>
      </c>
      <c r="H509" t="n">
        <v>0</v>
      </c>
      <c r="I509" t="n">
        <v>0</v>
      </c>
      <c r="J509" t="n">
        <v>0</v>
      </c>
      <c r="K509" t="n">
        <v>0</v>
      </c>
      <c r="L509" t="n">
        <v>0</v>
      </c>
      <c r="M509" t="n">
        <v>0</v>
      </c>
      <c r="N509" t="n">
        <v>0</v>
      </c>
      <c r="O509" t="n">
        <v>0</v>
      </c>
      <c r="P509" t="n">
        <v>0</v>
      </c>
      <c r="Q509" t="n">
        <v>0</v>
      </c>
      <c r="R509" s="2" t="inlineStr"/>
    </row>
    <row r="510" ht="15" customHeight="1">
      <c r="A510" t="inlineStr">
        <is>
          <t>A 62854-2020</t>
        </is>
      </c>
      <c r="B510" s="1" t="n">
        <v>44161</v>
      </c>
      <c r="C510" s="1" t="n">
        <v>45827</v>
      </c>
      <c r="D510" t="inlineStr">
        <is>
          <t>STOCKHOLMS LÄN</t>
        </is>
      </c>
      <c r="E510" t="inlineStr">
        <is>
          <t>NORRTÄLJE</t>
        </is>
      </c>
      <c r="G510" t="n">
        <v>4.7</v>
      </c>
      <c r="H510" t="n">
        <v>0</v>
      </c>
      <c r="I510" t="n">
        <v>0</v>
      </c>
      <c r="J510" t="n">
        <v>0</v>
      </c>
      <c r="K510" t="n">
        <v>0</v>
      </c>
      <c r="L510" t="n">
        <v>0</v>
      </c>
      <c r="M510" t="n">
        <v>0</v>
      </c>
      <c r="N510" t="n">
        <v>0</v>
      </c>
      <c r="O510" t="n">
        <v>0</v>
      </c>
      <c r="P510" t="n">
        <v>0</v>
      </c>
      <c r="Q510" t="n">
        <v>0</v>
      </c>
      <c r="R510" s="2" t="inlineStr"/>
    </row>
    <row r="511" ht="15" customHeight="1">
      <c r="A511" t="inlineStr">
        <is>
          <t>A 63824-2020</t>
        </is>
      </c>
      <c r="B511" s="1" t="n">
        <v>44162</v>
      </c>
      <c r="C511" s="1" t="n">
        <v>45827</v>
      </c>
      <c r="D511" t="inlineStr">
        <is>
          <t>STOCKHOLMS LÄN</t>
        </is>
      </c>
      <c r="E511" t="inlineStr">
        <is>
          <t>NORRTÄLJE</t>
        </is>
      </c>
      <c r="F511" t="inlineStr">
        <is>
          <t>Övriga Aktiebolag</t>
        </is>
      </c>
      <c r="G511" t="n">
        <v>1.9</v>
      </c>
      <c r="H511" t="n">
        <v>0</v>
      </c>
      <c r="I511" t="n">
        <v>0</v>
      </c>
      <c r="J511" t="n">
        <v>0</v>
      </c>
      <c r="K511" t="n">
        <v>0</v>
      </c>
      <c r="L511" t="n">
        <v>0</v>
      </c>
      <c r="M511" t="n">
        <v>0</v>
      </c>
      <c r="N511" t="n">
        <v>0</v>
      </c>
      <c r="O511" t="n">
        <v>0</v>
      </c>
      <c r="P511" t="n">
        <v>0</v>
      </c>
      <c r="Q511" t="n">
        <v>0</v>
      </c>
      <c r="R511" s="2" t="inlineStr"/>
    </row>
    <row r="512" ht="15" customHeight="1">
      <c r="A512" t="inlineStr">
        <is>
          <t>A 66372-2020</t>
        </is>
      </c>
      <c r="B512" s="1" t="n">
        <v>44176</v>
      </c>
      <c r="C512" s="1" t="n">
        <v>45827</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66907-2020</t>
        </is>
      </c>
      <c r="B513" s="1" t="n">
        <v>44176</v>
      </c>
      <c r="C513" s="1" t="n">
        <v>45827</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67393-2020</t>
        </is>
      </c>
      <c r="B514" s="1" t="n">
        <v>44181</v>
      </c>
      <c r="C514" s="1" t="n">
        <v>45827</v>
      </c>
      <c r="D514" t="inlineStr">
        <is>
          <t>STOCKHOLMS LÄN</t>
        </is>
      </c>
      <c r="E514" t="inlineStr">
        <is>
          <t>NORRTÄLJE</t>
        </is>
      </c>
      <c r="G514" t="n">
        <v>5.5</v>
      </c>
      <c r="H514" t="n">
        <v>0</v>
      </c>
      <c r="I514" t="n">
        <v>0</v>
      </c>
      <c r="J514" t="n">
        <v>0</v>
      </c>
      <c r="K514" t="n">
        <v>0</v>
      </c>
      <c r="L514" t="n">
        <v>0</v>
      </c>
      <c r="M514" t="n">
        <v>0</v>
      </c>
      <c r="N514" t="n">
        <v>0</v>
      </c>
      <c r="O514" t="n">
        <v>0</v>
      </c>
      <c r="P514" t="n">
        <v>0</v>
      </c>
      <c r="Q514" t="n">
        <v>0</v>
      </c>
      <c r="R514" s="2" t="inlineStr"/>
    </row>
    <row r="515" ht="15" customHeight="1">
      <c r="A515" t="inlineStr">
        <is>
          <t>A 68081-2020</t>
        </is>
      </c>
      <c r="B515" s="1" t="n">
        <v>44183</v>
      </c>
      <c r="C515" s="1" t="n">
        <v>45827</v>
      </c>
      <c r="D515" t="inlineStr">
        <is>
          <t>STOCKHOLMS LÄN</t>
        </is>
      </c>
      <c r="E515" t="inlineStr">
        <is>
          <t>NORRTÄLJE</t>
        </is>
      </c>
      <c r="G515" t="n">
        <v>2.1</v>
      </c>
      <c r="H515" t="n">
        <v>0</v>
      </c>
      <c r="I515" t="n">
        <v>0</v>
      </c>
      <c r="J515" t="n">
        <v>0</v>
      </c>
      <c r="K515" t="n">
        <v>0</v>
      </c>
      <c r="L515" t="n">
        <v>0</v>
      </c>
      <c r="M515" t="n">
        <v>0</v>
      </c>
      <c r="N515" t="n">
        <v>0</v>
      </c>
      <c r="O515" t="n">
        <v>0</v>
      </c>
      <c r="P515" t="n">
        <v>0</v>
      </c>
      <c r="Q515" t="n">
        <v>0</v>
      </c>
      <c r="R515" s="2" t="inlineStr"/>
    </row>
    <row r="516" ht="15" customHeight="1">
      <c r="A516" t="inlineStr">
        <is>
          <t>A 367-2021</t>
        </is>
      </c>
      <c r="B516" s="1" t="n">
        <v>44201</v>
      </c>
      <c r="C516" s="1" t="n">
        <v>45827</v>
      </c>
      <c r="D516" t="inlineStr">
        <is>
          <t>STOCKHOLMS LÄN</t>
        </is>
      </c>
      <c r="E516" t="inlineStr">
        <is>
          <t>NORRTÄLJE</t>
        </is>
      </c>
      <c r="G516" t="n">
        <v>0.1</v>
      </c>
      <c r="H516" t="n">
        <v>0</v>
      </c>
      <c r="I516" t="n">
        <v>0</v>
      </c>
      <c r="J516" t="n">
        <v>0</v>
      </c>
      <c r="K516" t="n">
        <v>0</v>
      </c>
      <c r="L516" t="n">
        <v>0</v>
      </c>
      <c r="M516" t="n">
        <v>0</v>
      </c>
      <c r="N516" t="n">
        <v>0</v>
      </c>
      <c r="O516" t="n">
        <v>0</v>
      </c>
      <c r="P516" t="n">
        <v>0</v>
      </c>
      <c r="Q516" t="n">
        <v>0</v>
      </c>
      <c r="R516" s="2" t="inlineStr"/>
    </row>
    <row r="517" ht="15" customHeight="1">
      <c r="A517" t="inlineStr">
        <is>
          <t>A 348-2021</t>
        </is>
      </c>
      <c r="B517" s="1" t="n">
        <v>44201</v>
      </c>
      <c r="C517" s="1" t="n">
        <v>45827</v>
      </c>
      <c r="D517" t="inlineStr">
        <is>
          <t>STOCKHOLMS LÄN</t>
        </is>
      </c>
      <c r="E517" t="inlineStr">
        <is>
          <t>NORRTÄLJE</t>
        </is>
      </c>
      <c r="G517" t="n">
        <v>0.1</v>
      </c>
      <c r="H517" t="n">
        <v>0</v>
      </c>
      <c r="I517" t="n">
        <v>0</v>
      </c>
      <c r="J517" t="n">
        <v>0</v>
      </c>
      <c r="K517" t="n">
        <v>0</v>
      </c>
      <c r="L517" t="n">
        <v>0</v>
      </c>
      <c r="M517" t="n">
        <v>0</v>
      </c>
      <c r="N517" t="n">
        <v>0</v>
      </c>
      <c r="O517" t="n">
        <v>0</v>
      </c>
      <c r="P517" t="n">
        <v>0</v>
      </c>
      <c r="Q517" t="n">
        <v>0</v>
      </c>
      <c r="R517" s="2" t="inlineStr"/>
    </row>
    <row r="518" ht="15" customHeight="1">
      <c r="A518" t="inlineStr">
        <is>
          <t>A 1637-2021</t>
        </is>
      </c>
      <c r="B518" s="1" t="n">
        <v>44209</v>
      </c>
      <c r="C518" s="1" t="n">
        <v>45827</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1970-2021</t>
        </is>
      </c>
      <c r="B519" s="1" t="n">
        <v>44210</v>
      </c>
      <c r="C519" s="1" t="n">
        <v>45827</v>
      </c>
      <c r="D519" t="inlineStr">
        <is>
          <t>STOCKHOLMS LÄN</t>
        </is>
      </c>
      <c r="E519" t="inlineStr">
        <is>
          <t>NORRTÄLJE</t>
        </is>
      </c>
      <c r="G519" t="n">
        <v>3.1</v>
      </c>
      <c r="H519" t="n">
        <v>0</v>
      </c>
      <c r="I519" t="n">
        <v>0</v>
      </c>
      <c r="J519" t="n">
        <v>0</v>
      </c>
      <c r="K519" t="n">
        <v>0</v>
      </c>
      <c r="L519" t="n">
        <v>0</v>
      </c>
      <c r="M519" t="n">
        <v>0</v>
      </c>
      <c r="N519" t="n">
        <v>0</v>
      </c>
      <c r="O519" t="n">
        <v>0</v>
      </c>
      <c r="P519" t="n">
        <v>0</v>
      </c>
      <c r="Q519" t="n">
        <v>0</v>
      </c>
      <c r="R519" s="2" t="inlineStr"/>
    </row>
    <row r="520" ht="15" customHeight="1">
      <c r="A520" t="inlineStr">
        <is>
          <t>A 2447-2021</t>
        </is>
      </c>
      <c r="B520" s="1" t="n">
        <v>44214</v>
      </c>
      <c r="C520" s="1" t="n">
        <v>45827</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2976-2021</t>
        </is>
      </c>
      <c r="B521" s="1" t="n">
        <v>44216</v>
      </c>
      <c r="C521" s="1" t="n">
        <v>45827</v>
      </c>
      <c r="D521" t="inlineStr">
        <is>
          <t>STOCKHOLMS LÄN</t>
        </is>
      </c>
      <c r="E521" t="inlineStr">
        <is>
          <t>NORRTÄLJE</t>
        </is>
      </c>
      <c r="G521" t="n">
        <v>0.8</v>
      </c>
      <c r="H521" t="n">
        <v>0</v>
      </c>
      <c r="I521" t="n">
        <v>0</v>
      </c>
      <c r="J521" t="n">
        <v>0</v>
      </c>
      <c r="K521" t="n">
        <v>0</v>
      </c>
      <c r="L521" t="n">
        <v>0</v>
      </c>
      <c r="M521" t="n">
        <v>0</v>
      </c>
      <c r="N521" t="n">
        <v>0</v>
      </c>
      <c r="O521" t="n">
        <v>0</v>
      </c>
      <c r="P521" t="n">
        <v>0</v>
      </c>
      <c r="Q521" t="n">
        <v>0</v>
      </c>
      <c r="R521" s="2" t="inlineStr"/>
    </row>
    <row r="522" ht="15" customHeight="1">
      <c r="A522" t="inlineStr">
        <is>
          <t>A 3143-2021</t>
        </is>
      </c>
      <c r="B522" s="1" t="n">
        <v>44217</v>
      </c>
      <c r="C522" s="1" t="n">
        <v>45827</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3386-2021</t>
        </is>
      </c>
      <c r="B523" s="1" t="n">
        <v>44218</v>
      </c>
      <c r="C523" s="1" t="n">
        <v>45827</v>
      </c>
      <c r="D523" t="inlineStr">
        <is>
          <t>STOCKHOLMS LÄN</t>
        </is>
      </c>
      <c r="E523" t="inlineStr">
        <is>
          <t>NORRTÄLJE</t>
        </is>
      </c>
      <c r="G523" t="n">
        <v>8</v>
      </c>
      <c r="H523" t="n">
        <v>0</v>
      </c>
      <c r="I523" t="n">
        <v>0</v>
      </c>
      <c r="J523" t="n">
        <v>0</v>
      </c>
      <c r="K523" t="n">
        <v>0</v>
      </c>
      <c r="L523" t="n">
        <v>0</v>
      </c>
      <c r="M523" t="n">
        <v>0</v>
      </c>
      <c r="N523" t="n">
        <v>0</v>
      </c>
      <c r="O523" t="n">
        <v>0</v>
      </c>
      <c r="P523" t="n">
        <v>0</v>
      </c>
      <c r="Q523" t="n">
        <v>0</v>
      </c>
      <c r="R523" s="2" t="inlineStr"/>
    </row>
    <row r="524" ht="15" customHeight="1">
      <c r="A524" t="inlineStr">
        <is>
          <t>A 4634-2021</t>
        </is>
      </c>
      <c r="B524" s="1" t="n">
        <v>44224</v>
      </c>
      <c r="C524" s="1" t="n">
        <v>45827</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4632-2021</t>
        </is>
      </c>
      <c r="B525" s="1" t="n">
        <v>44224</v>
      </c>
      <c r="C525" s="1" t="n">
        <v>45827</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5037-2021</t>
        </is>
      </c>
      <c r="B526" s="1" t="n">
        <v>44228</v>
      </c>
      <c r="C526" s="1" t="n">
        <v>45827</v>
      </c>
      <c r="D526" t="inlineStr">
        <is>
          <t>STOCKHOLMS LÄN</t>
        </is>
      </c>
      <c r="E526" t="inlineStr">
        <is>
          <t>NORRTÄLJE</t>
        </is>
      </c>
      <c r="F526" t="inlineStr">
        <is>
          <t>Holmen skog AB</t>
        </is>
      </c>
      <c r="G526" t="n">
        <v>3.8</v>
      </c>
      <c r="H526" t="n">
        <v>0</v>
      </c>
      <c r="I526" t="n">
        <v>0</v>
      </c>
      <c r="J526" t="n">
        <v>0</v>
      </c>
      <c r="K526" t="n">
        <v>0</v>
      </c>
      <c r="L526" t="n">
        <v>0</v>
      </c>
      <c r="M526" t="n">
        <v>0</v>
      </c>
      <c r="N526" t="n">
        <v>0</v>
      </c>
      <c r="O526" t="n">
        <v>0</v>
      </c>
      <c r="P526" t="n">
        <v>0</v>
      </c>
      <c r="Q526" t="n">
        <v>0</v>
      </c>
      <c r="R526" s="2" t="inlineStr"/>
    </row>
    <row r="527" ht="15" customHeight="1">
      <c r="A527" t="inlineStr">
        <is>
          <t>A 5562-2021</t>
        </is>
      </c>
      <c r="B527" s="1" t="n">
        <v>44230</v>
      </c>
      <c r="C527" s="1" t="n">
        <v>45827</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5566-2021</t>
        </is>
      </c>
      <c r="B528" s="1" t="n">
        <v>44230</v>
      </c>
      <c r="C528" s="1" t="n">
        <v>45827</v>
      </c>
      <c r="D528" t="inlineStr">
        <is>
          <t>STOCKHOLMS LÄN</t>
        </is>
      </c>
      <c r="E528" t="inlineStr">
        <is>
          <t>NORRTÄLJE</t>
        </is>
      </c>
      <c r="G528" t="n">
        <v>3.1</v>
      </c>
      <c r="H528" t="n">
        <v>0</v>
      </c>
      <c r="I528" t="n">
        <v>0</v>
      </c>
      <c r="J528" t="n">
        <v>0</v>
      </c>
      <c r="K528" t="n">
        <v>0</v>
      </c>
      <c r="L528" t="n">
        <v>0</v>
      </c>
      <c r="M528" t="n">
        <v>0</v>
      </c>
      <c r="N528" t="n">
        <v>0</v>
      </c>
      <c r="O528" t="n">
        <v>0</v>
      </c>
      <c r="P528" t="n">
        <v>0</v>
      </c>
      <c r="Q528" t="n">
        <v>0</v>
      </c>
      <c r="R528" s="2" t="inlineStr"/>
    </row>
    <row r="529" ht="15" customHeight="1">
      <c r="A529" t="inlineStr">
        <is>
          <t>A 5950-2021</t>
        </is>
      </c>
      <c r="B529" s="1" t="n">
        <v>44231</v>
      </c>
      <c r="C529" s="1" t="n">
        <v>45827</v>
      </c>
      <c r="D529" t="inlineStr">
        <is>
          <t>STOCKHOLMS LÄN</t>
        </is>
      </c>
      <c r="E529" t="inlineStr">
        <is>
          <t>NORRTÄLJE</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6049-2021</t>
        </is>
      </c>
      <c r="B530" s="1" t="n">
        <v>44231</v>
      </c>
      <c r="C530" s="1" t="n">
        <v>45827</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7903-2021</t>
        </is>
      </c>
      <c r="B531" s="1" t="n">
        <v>44243</v>
      </c>
      <c r="C531" s="1" t="n">
        <v>45827</v>
      </c>
      <c r="D531" t="inlineStr">
        <is>
          <t>STOCKHOLMS LÄN</t>
        </is>
      </c>
      <c r="E531" t="inlineStr">
        <is>
          <t>NORRTÄLJE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7999-2021</t>
        </is>
      </c>
      <c r="B532" s="1" t="n">
        <v>44243</v>
      </c>
      <c r="C532" s="1" t="n">
        <v>45827</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8338-2021</t>
        </is>
      </c>
      <c r="B533" s="1" t="n">
        <v>44244</v>
      </c>
      <c r="C533" s="1" t="n">
        <v>45827</v>
      </c>
      <c r="D533" t="inlineStr">
        <is>
          <t>STOCKHOLMS LÄN</t>
        </is>
      </c>
      <c r="E533" t="inlineStr">
        <is>
          <t>NORRTÄLJE</t>
        </is>
      </c>
      <c r="G533" t="n">
        <v>1.4</v>
      </c>
      <c r="H533" t="n">
        <v>0</v>
      </c>
      <c r="I533" t="n">
        <v>0</v>
      </c>
      <c r="J533" t="n">
        <v>0</v>
      </c>
      <c r="K533" t="n">
        <v>0</v>
      </c>
      <c r="L533" t="n">
        <v>0</v>
      </c>
      <c r="M533" t="n">
        <v>0</v>
      </c>
      <c r="N533" t="n">
        <v>0</v>
      </c>
      <c r="O533" t="n">
        <v>0</v>
      </c>
      <c r="P533" t="n">
        <v>0</v>
      </c>
      <c r="Q533" t="n">
        <v>0</v>
      </c>
      <c r="R533" s="2" t="inlineStr"/>
    </row>
    <row r="534" ht="15" customHeight="1">
      <c r="A534" t="inlineStr">
        <is>
          <t>A 9467-2021</t>
        </is>
      </c>
      <c r="B534" s="1" t="n">
        <v>44251</v>
      </c>
      <c r="C534" s="1" t="n">
        <v>45827</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9469-2021</t>
        </is>
      </c>
      <c r="B535" s="1" t="n">
        <v>44251</v>
      </c>
      <c r="C535" s="1" t="n">
        <v>45827</v>
      </c>
      <c r="D535" t="inlineStr">
        <is>
          <t>STOCKHOLMS LÄN</t>
        </is>
      </c>
      <c r="E535" t="inlineStr">
        <is>
          <t>NORRTÄLJE</t>
        </is>
      </c>
      <c r="G535" t="n">
        <v>2.5</v>
      </c>
      <c r="H535" t="n">
        <v>0</v>
      </c>
      <c r="I535" t="n">
        <v>0</v>
      </c>
      <c r="J535" t="n">
        <v>0</v>
      </c>
      <c r="K535" t="n">
        <v>0</v>
      </c>
      <c r="L535" t="n">
        <v>0</v>
      </c>
      <c r="M535" t="n">
        <v>0</v>
      </c>
      <c r="N535" t="n">
        <v>0</v>
      </c>
      <c r="O535" t="n">
        <v>0</v>
      </c>
      <c r="P535" t="n">
        <v>0</v>
      </c>
      <c r="Q535" t="n">
        <v>0</v>
      </c>
      <c r="R535" s="2" t="inlineStr"/>
    </row>
    <row r="536" ht="15" customHeight="1">
      <c r="A536" t="inlineStr">
        <is>
          <t>A 9446-2021</t>
        </is>
      </c>
      <c r="B536" s="1" t="n">
        <v>44251</v>
      </c>
      <c r="C536" s="1" t="n">
        <v>45827</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9719-2021</t>
        </is>
      </c>
      <c r="B537" s="1" t="n">
        <v>44252</v>
      </c>
      <c r="C537" s="1" t="n">
        <v>45827</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9703-2021</t>
        </is>
      </c>
      <c r="B538" s="1" t="n">
        <v>44252</v>
      </c>
      <c r="C538" s="1" t="n">
        <v>45827</v>
      </c>
      <c r="D538" t="inlineStr">
        <is>
          <t>STOCKHOLMS LÄN</t>
        </is>
      </c>
      <c r="E538" t="inlineStr">
        <is>
          <t>NORRTÄLJE</t>
        </is>
      </c>
      <c r="G538" t="n">
        <v>3.4</v>
      </c>
      <c r="H538" t="n">
        <v>0</v>
      </c>
      <c r="I538" t="n">
        <v>0</v>
      </c>
      <c r="J538" t="n">
        <v>0</v>
      </c>
      <c r="K538" t="n">
        <v>0</v>
      </c>
      <c r="L538" t="n">
        <v>0</v>
      </c>
      <c r="M538" t="n">
        <v>0</v>
      </c>
      <c r="N538" t="n">
        <v>0</v>
      </c>
      <c r="O538" t="n">
        <v>0</v>
      </c>
      <c r="P538" t="n">
        <v>0</v>
      </c>
      <c r="Q538" t="n">
        <v>0</v>
      </c>
      <c r="R538" s="2" t="inlineStr"/>
    </row>
    <row r="539" ht="15" customHeight="1">
      <c r="A539" t="inlineStr">
        <is>
          <t>A 10687-2021</t>
        </is>
      </c>
      <c r="B539" s="1" t="n">
        <v>44258</v>
      </c>
      <c r="C539" s="1" t="n">
        <v>45827</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10684-2021</t>
        </is>
      </c>
      <c r="B540" s="1" t="n">
        <v>44258</v>
      </c>
      <c r="C540" s="1" t="n">
        <v>45827</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11122-2021</t>
        </is>
      </c>
      <c r="B541" s="1" t="n">
        <v>44260</v>
      </c>
      <c r="C541" s="1" t="n">
        <v>45827</v>
      </c>
      <c r="D541" t="inlineStr">
        <is>
          <t>STOCKHOLMS LÄN</t>
        </is>
      </c>
      <c r="E541" t="inlineStr">
        <is>
          <t>NORRTÄLJE</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11438-2021</t>
        </is>
      </c>
      <c r="B542" s="1" t="n">
        <v>44263</v>
      </c>
      <c r="C542" s="1" t="n">
        <v>45827</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11988-2021</t>
        </is>
      </c>
      <c r="B543" s="1" t="n">
        <v>44266</v>
      </c>
      <c r="C543" s="1" t="n">
        <v>45827</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12031-2021</t>
        </is>
      </c>
      <c r="B544" s="1" t="n">
        <v>44266</v>
      </c>
      <c r="C544" s="1" t="n">
        <v>45827</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12111-2021</t>
        </is>
      </c>
      <c r="B545" s="1" t="n">
        <v>44266</v>
      </c>
      <c r="C545" s="1" t="n">
        <v>45827</v>
      </c>
      <c r="D545" t="inlineStr">
        <is>
          <t>STOCKHOLMS LÄN</t>
        </is>
      </c>
      <c r="E545" t="inlineStr">
        <is>
          <t>NORRTÄLJE</t>
        </is>
      </c>
      <c r="G545" t="n">
        <v>5.5</v>
      </c>
      <c r="H545" t="n">
        <v>0</v>
      </c>
      <c r="I545" t="n">
        <v>0</v>
      </c>
      <c r="J545" t="n">
        <v>0</v>
      </c>
      <c r="K545" t="n">
        <v>0</v>
      </c>
      <c r="L545" t="n">
        <v>0</v>
      </c>
      <c r="M545" t="n">
        <v>0</v>
      </c>
      <c r="N545" t="n">
        <v>0</v>
      </c>
      <c r="O545" t="n">
        <v>0</v>
      </c>
      <c r="P545" t="n">
        <v>0</v>
      </c>
      <c r="Q545" t="n">
        <v>0</v>
      </c>
      <c r="R545" s="2" t="inlineStr"/>
    </row>
    <row r="546" ht="15" customHeight="1">
      <c r="A546" t="inlineStr">
        <is>
          <t>A 12132-2021</t>
        </is>
      </c>
      <c r="B546" s="1" t="n">
        <v>44266</v>
      </c>
      <c r="C546" s="1" t="n">
        <v>45827</v>
      </c>
      <c r="D546" t="inlineStr">
        <is>
          <t>STOCKHOLMS LÄN</t>
        </is>
      </c>
      <c r="E546" t="inlineStr">
        <is>
          <t>NORRTÄLJE</t>
        </is>
      </c>
      <c r="G546" t="n">
        <v>4</v>
      </c>
      <c r="H546" t="n">
        <v>0</v>
      </c>
      <c r="I546" t="n">
        <v>0</v>
      </c>
      <c r="J546" t="n">
        <v>0</v>
      </c>
      <c r="K546" t="n">
        <v>0</v>
      </c>
      <c r="L546" t="n">
        <v>0</v>
      </c>
      <c r="M546" t="n">
        <v>0</v>
      </c>
      <c r="N546" t="n">
        <v>0</v>
      </c>
      <c r="O546" t="n">
        <v>0</v>
      </c>
      <c r="P546" t="n">
        <v>0</v>
      </c>
      <c r="Q546" t="n">
        <v>0</v>
      </c>
      <c r="R546" s="2" t="inlineStr"/>
    </row>
    <row r="547" ht="15" customHeight="1">
      <c r="A547" t="inlineStr">
        <is>
          <t>A 12564-2021</t>
        </is>
      </c>
      <c r="B547" s="1" t="n">
        <v>44270</v>
      </c>
      <c r="C547" s="1" t="n">
        <v>45827</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12779-2021</t>
        </is>
      </c>
      <c r="B548" s="1" t="n">
        <v>44270</v>
      </c>
      <c r="C548" s="1" t="n">
        <v>45827</v>
      </c>
      <c r="D548" t="inlineStr">
        <is>
          <t>STOCKHOLMS LÄN</t>
        </is>
      </c>
      <c r="E548" t="inlineStr">
        <is>
          <t>NORRTÄLJE</t>
        </is>
      </c>
      <c r="G548" t="n">
        <v>10.8</v>
      </c>
      <c r="H548" t="n">
        <v>0</v>
      </c>
      <c r="I548" t="n">
        <v>0</v>
      </c>
      <c r="J548" t="n">
        <v>0</v>
      </c>
      <c r="K548" t="n">
        <v>0</v>
      </c>
      <c r="L548" t="n">
        <v>0</v>
      </c>
      <c r="M548" t="n">
        <v>0</v>
      </c>
      <c r="N548" t="n">
        <v>0</v>
      </c>
      <c r="O548" t="n">
        <v>0</v>
      </c>
      <c r="P548" t="n">
        <v>0</v>
      </c>
      <c r="Q548" t="n">
        <v>0</v>
      </c>
      <c r="R548" s="2" t="inlineStr"/>
    </row>
    <row r="549" ht="15" customHeight="1">
      <c r="A549" t="inlineStr">
        <is>
          <t>A 12782-2021</t>
        </is>
      </c>
      <c r="B549" s="1" t="n">
        <v>44270</v>
      </c>
      <c r="C549" s="1" t="n">
        <v>45827</v>
      </c>
      <c r="D549" t="inlineStr">
        <is>
          <t>STOCKHOLMS LÄN</t>
        </is>
      </c>
      <c r="E549" t="inlineStr">
        <is>
          <t>NORRTÄLJE</t>
        </is>
      </c>
      <c r="G549" t="n">
        <v>3.8</v>
      </c>
      <c r="H549" t="n">
        <v>0</v>
      </c>
      <c r="I549" t="n">
        <v>0</v>
      </c>
      <c r="J549" t="n">
        <v>0</v>
      </c>
      <c r="K549" t="n">
        <v>0</v>
      </c>
      <c r="L549" t="n">
        <v>0</v>
      </c>
      <c r="M549" t="n">
        <v>0</v>
      </c>
      <c r="N549" t="n">
        <v>0</v>
      </c>
      <c r="O549" t="n">
        <v>0</v>
      </c>
      <c r="P549" t="n">
        <v>0</v>
      </c>
      <c r="Q549" t="n">
        <v>0</v>
      </c>
      <c r="R549" s="2" t="inlineStr"/>
    </row>
    <row r="550" ht="15" customHeight="1">
      <c r="A550" t="inlineStr">
        <is>
          <t>A 13051-2021</t>
        </is>
      </c>
      <c r="B550" s="1" t="n">
        <v>44272</v>
      </c>
      <c r="C550" s="1" t="n">
        <v>45827</v>
      </c>
      <c r="D550" t="inlineStr">
        <is>
          <t>STOCKHOLMS LÄN</t>
        </is>
      </c>
      <c r="E550" t="inlineStr">
        <is>
          <t>NORRTÄLJE</t>
        </is>
      </c>
      <c r="G550" t="n">
        <v>9.1</v>
      </c>
      <c r="H550" t="n">
        <v>0</v>
      </c>
      <c r="I550" t="n">
        <v>0</v>
      </c>
      <c r="J550" t="n">
        <v>0</v>
      </c>
      <c r="K550" t="n">
        <v>0</v>
      </c>
      <c r="L550" t="n">
        <v>0</v>
      </c>
      <c r="M550" t="n">
        <v>0</v>
      </c>
      <c r="N550" t="n">
        <v>0</v>
      </c>
      <c r="O550" t="n">
        <v>0</v>
      </c>
      <c r="P550" t="n">
        <v>0</v>
      </c>
      <c r="Q550" t="n">
        <v>0</v>
      </c>
      <c r="R550" s="2" t="inlineStr"/>
    </row>
    <row r="551" ht="15" customHeight="1">
      <c r="A551" t="inlineStr">
        <is>
          <t>A 13148-2021</t>
        </is>
      </c>
      <c r="B551" s="1" t="n">
        <v>44272</v>
      </c>
      <c r="C551" s="1" t="n">
        <v>45827</v>
      </c>
      <c r="D551" t="inlineStr">
        <is>
          <t>STOCKHOLMS LÄN</t>
        </is>
      </c>
      <c r="E551" t="inlineStr">
        <is>
          <t>NORRTÄLJE</t>
        </is>
      </c>
      <c r="G551" t="n">
        <v>12.4</v>
      </c>
      <c r="H551" t="n">
        <v>0</v>
      </c>
      <c r="I551" t="n">
        <v>0</v>
      </c>
      <c r="J551" t="n">
        <v>0</v>
      </c>
      <c r="K551" t="n">
        <v>0</v>
      </c>
      <c r="L551" t="n">
        <v>0</v>
      </c>
      <c r="M551" t="n">
        <v>0</v>
      </c>
      <c r="N551" t="n">
        <v>0</v>
      </c>
      <c r="O551" t="n">
        <v>0</v>
      </c>
      <c r="P551" t="n">
        <v>0</v>
      </c>
      <c r="Q551" t="n">
        <v>0</v>
      </c>
      <c r="R551" s="2" t="inlineStr"/>
    </row>
    <row r="552" ht="15" customHeight="1">
      <c r="A552" t="inlineStr">
        <is>
          <t>A 13736-2021</t>
        </is>
      </c>
      <c r="B552" s="1" t="n">
        <v>44274</v>
      </c>
      <c r="C552" s="1" t="n">
        <v>45827</v>
      </c>
      <c r="D552" t="inlineStr">
        <is>
          <t>STOCKHOLMS LÄN</t>
        </is>
      </c>
      <c r="E552" t="inlineStr">
        <is>
          <t>NORRTÄLJE</t>
        </is>
      </c>
      <c r="F552" t="inlineStr">
        <is>
          <t>Holmen skog AB</t>
        </is>
      </c>
      <c r="G552" t="n">
        <v>3.5</v>
      </c>
      <c r="H552" t="n">
        <v>0</v>
      </c>
      <c r="I552" t="n">
        <v>0</v>
      </c>
      <c r="J552" t="n">
        <v>0</v>
      </c>
      <c r="K552" t="n">
        <v>0</v>
      </c>
      <c r="L552" t="n">
        <v>0</v>
      </c>
      <c r="M552" t="n">
        <v>0</v>
      </c>
      <c r="N552" t="n">
        <v>0</v>
      </c>
      <c r="O552" t="n">
        <v>0</v>
      </c>
      <c r="P552" t="n">
        <v>0</v>
      </c>
      <c r="Q552" t="n">
        <v>0</v>
      </c>
      <c r="R552" s="2" t="inlineStr"/>
    </row>
    <row r="553" ht="15" customHeight="1">
      <c r="A553" t="inlineStr">
        <is>
          <t>A 13752-2021</t>
        </is>
      </c>
      <c r="B553" s="1" t="n">
        <v>44274</v>
      </c>
      <c r="C553" s="1" t="n">
        <v>45827</v>
      </c>
      <c r="D553" t="inlineStr">
        <is>
          <t>STOCKHOLMS LÄN</t>
        </is>
      </c>
      <c r="E553" t="inlineStr">
        <is>
          <t>NORRTÄLJE</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14381-2021</t>
        </is>
      </c>
      <c r="B554" s="1" t="n">
        <v>44279</v>
      </c>
      <c r="C554" s="1" t="n">
        <v>45827</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14922-2021</t>
        </is>
      </c>
      <c r="B555" s="1" t="n">
        <v>44281</v>
      </c>
      <c r="C555" s="1" t="n">
        <v>45827</v>
      </c>
      <c r="D555" t="inlineStr">
        <is>
          <t>STOCKHOLMS LÄN</t>
        </is>
      </c>
      <c r="E555" t="inlineStr">
        <is>
          <t>NORRTÄLJE</t>
        </is>
      </c>
      <c r="G555" t="n">
        <v>4.8</v>
      </c>
      <c r="H555" t="n">
        <v>0</v>
      </c>
      <c r="I555" t="n">
        <v>0</v>
      </c>
      <c r="J555" t="n">
        <v>0</v>
      </c>
      <c r="K555" t="n">
        <v>0</v>
      </c>
      <c r="L555" t="n">
        <v>0</v>
      </c>
      <c r="M555" t="n">
        <v>0</v>
      </c>
      <c r="N555" t="n">
        <v>0</v>
      </c>
      <c r="O555" t="n">
        <v>0</v>
      </c>
      <c r="P555" t="n">
        <v>0</v>
      </c>
      <c r="Q555" t="n">
        <v>0</v>
      </c>
      <c r="R555" s="2" t="inlineStr"/>
    </row>
    <row r="556" ht="15" customHeight="1">
      <c r="A556" t="inlineStr">
        <is>
          <t>A 14933-2021</t>
        </is>
      </c>
      <c r="B556" s="1" t="n">
        <v>44281</v>
      </c>
      <c r="C556" s="1" t="n">
        <v>45827</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15289-2021</t>
        </is>
      </c>
      <c r="B557" s="1" t="n">
        <v>44284</v>
      </c>
      <c r="C557" s="1" t="n">
        <v>45827</v>
      </c>
      <c r="D557" t="inlineStr">
        <is>
          <t>STOCKHOLMS LÄN</t>
        </is>
      </c>
      <c r="E557" t="inlineStr">
        <is>
          <t>NORRTÄLJE</t>
        </is>
      </c>
      <c r="G557" t="n">
        <v>0.5</v>
      </c>
      <c r="H557" t="n">
        <v>0</v>
      </c>
      <c r="I557" t="n">
        <v>0</v>
      </c>
      <c r="J557" t="n">
        <v>0</v>
      </c>
      <c r="K557" t="n">
        <v>0</v>
      </c>
      <c r="L557" t="n">
        <v>0</v>
      </c>
      <c r="M557" t="n">
        <v>0</v>
      </c>
      <c r="N557" t="n">
        <v>0</v>
      </c>
      <c r="O557" t="n">
        <v>0</v>
      </c>
      <c r="P557" t="n">
        <v>0</v>
      </c>
      <c r="Q557" t="n">
        <v>0</v>
      </c>
      <c r="R557" s="2" t="inlineStr"/>
    </row>
    <row r="558" ht="15" customHeight="1">
      <c r="A558" t="inlineStr">
        <is>
          <t>A 15441-2021</t>
        </is>
      </c>
      <c r="B558" s="1" t="n">
        <v>44284</v>
      </c>
      <c r="C558" s="1" t="n">
        <v>45827</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15552-2021</t>
        </is>
      </c>
      <c r="B559" s="1" t="n">
        <v>44285</v>
      </c>
      <c r="C559" s="1" t="n">
        <v>45827</v>
      </c>
      <c r="D559" t="inlineStr">
        <is>
          <t>STOCKHOLMS LÄN</t>
        </is>
      </c>
      <c r="E559" t="inlineStr">
        <is>
          <t>NORRTÄLJE</t>
        </is>
      </c>
      <c r="G559" t="n">
        <v>10</v>
      </c>
      <c r="H559" t="n">
        <v>0</v>
      </c>
      <c r="I559" t="n">
        <v>0</v>
      </c>
      <c r="J559" t="n">
        <v>0</v>
      </c>
      <c r="K559" t="n">
        <v>0</v>
      </c>
      <c r="L559" t="n">
        <v>0</v>
      </c>
      <c r="M559" t="n">
        <v>0</v>
      </c>
      <c r="N559" t="n">
        <v>0</v>
      </c>
      <c r="O559" t="n">
        <v>0</v>
      </c>
      <c r="P559" t="n">
        <v>0</v>
      </c>
      <c r="Q559" t="n">
        <v>0</v>
      </c>
      <c r="R559" s="2" t="inlineStr"/>
    </row>
    <row r="560" ht="15" customHeight="1">
      <c r="A560" t="inlineStr">
        <is>
          <t>A 16668-2021</t>
        </is>
      </c>
      <c r="B560" s="1" t="n">
        <v>44294</v>
      </c>
      <c r="C560" s="1" t="n">
        <v>45827</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17460-2021</t>
        </is>
      </c>
      <c r="B561" s="1" t="n">
        <v>44299</v>
      </c>
      <c r="C561" s="1" t="n">
        <v>45827</v>
      </c>
      <c r="D561" t="inlineStr">
        <is>
          <t>STOCKHOLMS LÄN</t>
        </is>
      </c>
      <c r="E561" t="inlineStr">
        <is>
          <t>NORRTÄLJE</t>
        </is>
      </c>
      <c r="G561" t="n">
        <v>3.2</v>
      </c>
      <c r="H561" t="n">
        <v>0</v>
      </c>
      <c r="I561" t="n">
        <v>0</v>
      </c>
      <c r="J561" t="n">
        <v>0</v>
      </c>
      <c r="K561" t="n">
        <v>0</v>
      </c>
      <c r="L561" t="n">
        <v>0</v>
      </c>
      <c r="M561" t="n">
        <v>0</v>
      </c>
      <c r="N561" t="n">
        <v>0</v>
      </c>
      <c r="O561" t="n">
        <v>0</v>
      </c>
      <c r="P561" t="n">
        <v>0</v>
      </c>
      <c r="Q561" t="n">
        <v>0</v>
      </c>
      <c r="R561" s="2" t="inlineStr"/>
    </row>
    <row r="562" ht="15" customHeight="1">
      <c r="A562" t="inlineStr">
        <is>
          <t>A 17703-2021</t>
        </is>
      </c>
      <c r="B562" s="1" t="n">
        <v>44300</v>
      </c>
      <c r="C562" s="1" t="n">
        <v>45827</v>
      </c>
      <c r="D562" t="inlineStr">
        <is>
          <t>STOCKHOLMS LÄN</t>
        </is>
      </c>
      <c r="E562" t="inlineStr">
        <is>
          <t>NORRTÄLJE</t>
        </is>
      </c>
      <c r="F562" t="inlineStr">
        <is>
          <t>Holmen skog AB</t>
        </is>
      </c>
      <c r="G562" t="n">
        <v>1.1</v>
      </c>
      <c r="H562" t="n">
        <v>0</v>
      </c>
      <c r="I562" t="n">
        <v>0</v>
      </c>
      <c r="J562" t="n">
        <v>0</v>
      </c>
      <c r="K562" t="n">
        <v>0</v>
      </c>
      <c r="L562" t="n">
        <v>0</v>
      </c>
      <c r="M562" t="n">
        <v>0</v>
      </c>
      <c r="N562" t="n">
        <v>0</v>
      </c>
      <c r="O562" t="n">
        <v>0</v>
      </c>
      <c r="P562" t="n">
        <v>0</v>
      </c>
      <c r="Q562" t="n">
        <v>0</v>
      </c>
      <c r="R562" s="2" t="inlineStr"/>
    </row>
    <row r="563" ht="15" customHeight="1">
      <c r="A563" t="inlineStr">
        <is>
          <t>A 18580-2021</t>
        </is>
      </c>
      <c r="B563" s="1" t="n">
        <v>44306</v>
      </c>
      <c r="C563" s="1" t="n">
        <v>45827</v>
      </c>
      <c r="D563" t="inlineStr">
        <is>
          <t>STOCKHOLMS LÄN</t>
        </is>
      </c>
      <c r="E563" t="inlineStr">
        <is>
          <t>NORRTÄLJE</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18609-2021</t>
        </is>
      </c>
      <c r="B564" s="1" t="n">
        <v>44306</v>
      </c>
      <c r="C564" s="1" t="n">
        <v>45827</v>
      </c>
      <c r="D564" t="inlineStr">
        <is>
          <t>STOCKHOLMS LÄN</t>
        </is>
      </c>
      <c r="E564" t="inlineStr">
        <is>
          <t>NORRTÄLJE</t>
        </is>
      </c>
      <c r="G564" t="n">
        <v>9.5</v>
      </c>
      <c r="H564" t="n">
        <v>0</v>
      </c>
      <c r="I564" t="n">
        <v>0</v>
      </c>
      <c r="J564" t="n">
        <v>0</v>
      </c>
      <c r="K564" t="n">
        <v>0</v>
      </c>
      <c r="L564" t="n">
        <v>0</v>
      </c>
      <c r="M564" t="n">
        <v>0</v>
      </c>
      <c r="N564" t="n">
        <v>0</v>
      </c>
      <c r="O564" t="n">
        <v>0</v>
      </c>
      <c r="P564" t="n">
        <v>0</v>
      </c>
      <c r="Q564" t="n">
        <v>0</v>
      </c>
      <c r="R564" s="2" t="inlineStr"/>
    </row>
    <row r="565" ht="15" customHeight="1">
      <c r="A565" t="inlineStr">
        <is>
          <t>A 18539-2021</t>
        </is>
      </c>
      <c r="B565" s="1" t="n">
        <v>44306</v>
      </c>
      <c r="C565" s="1" t="n">
        <v>45827</v>
      </c>
      <c r="D565" t="inlineStr">
        <is>
          <t>STOCKHOLMS LÄN</t>
        </is>
      </c>
      <c r="E565" t="inlineStr">
        <is>
          <t>NORRTÄLJE</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18570-2021</t>
        </is>
      </c>
      <c r="B566" s="1" t="n">
        <v>44306</v>
      </c>
      <c r="C566" s="1" t="n">
        <v>45827</v>
      </c>
      <c r="D566" t="inlineStr">
        <is>
          <t>STOCKHOLMS LÄN</t>
        </is>
      </c>
      <c r="E566" t="inlineStr">
        <is>
          <t>NORRTÄLJE</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19283-2021</t>
        </is>
      </c>
      <c r="B567" s="1" t="n">
        <v>44309</v>
      </c>
      <c r="C567" s="1" t="n">
        <v>45827</v>
      </c>
      <c r="D567" t="inlineStr">
        <is>
          <t>STOCKHOLMS LÄN</t>
        </is>
      </c>
      <c r="E567" t="inlineStr">
        <is>
          <t>NORRTÄLJE</t>
        </is>
      </c>
      <c r="F567" t="inlineStr">
        <is>
          <t>Holmen skog AB</t>
        </is>
      </c>
      <c r="G567" t="n">
        <v>0.6</v>
      </c>
      <c r="H567" t="n">
        <v>0</v>
      </c>
      <c r="I567" t="n">
        <v>0</v>
      </c>
      <c r="J567" t="n">
        <v>0</v>
      </c>
      <c r="K567" t="n">
        <v>0</v>
      </c>
      <c r="L567" t="n">
        <v>0</v>
      </c>
      <c r="M567" t="n">
        <v>0</v>
      </c>
      <c r="N567" t="n">
        <v>0</v>
      </c>
      <c r="O567" t="n">
        <v>0</v>
      </c>
      <c r="P567" t="n">
        <v>0</v>
      </c>
      <c r="Q567" t="n">
        <v>0</v>
      </c>
      <c r="R567" s="2" t="inlineStr"/>
    </row>
    <row r="568" ht="15" customHeight="1">
      <c r="A568" t="inlineStr">
        <is>
          <t>A 19400-2021</t>
        </is>
      </c>
      <c r="B568" s="1" t="n">
        <v>44309</v>
      </c>
      <c r="C568" s="1" t="n">
        <v>45827</v>
      </c>
      <c r="D568" t="inlineStr">
        <is>
          <t>STOCKHOLMS LÄN</t>
        </is>
      </c>
      <c r="E568" t="inlineStr">
        <is>
          <t>NORRTÄLJE</t>
        </is>
      </c>
      <c r="F568" t="inlineStr">
        <is>
          <t>Kommuner</t>
        </is>
      </c>
      <c r="G568" t="n">
        <v>2.4</v>
      </c>
      <c r="H568" t="n">
        <v>0</v>
      </c>
      <c r="I568" t="n">
        <v>0</v>
      </c>
      <c r="J568" t="n">
        <v>0</v>
      </c>
      <c r="K568" t="n">
        <v>0</v>
      </c>
      <c r="L568" t="n">
        <v>0</v>
      </c>
      <c r="M568" t="n">
        <v>0</v>
      </c>
      <c r="N568" t="n">
        <v>0</v>
      </c>
      <c r="O568" t="n">
        <v>0</v>
      </c>
      <c r="P568" t="n">
        <v>0</v>
      </c>
      <c r="Q568" t="n">
        <v>0</v>
      </c>
      <c r="R568" s="2" t="inlineStr"/>
    </row>
    <row r="569" ht="15" customHeight="1">
      <c r="A569" t="inlineStr">
        <is>
          <t>A 19307-2021</t>
        </is>
      </c>
      <c r="B569" s="1" t="n">
        <v>44309</v>
      </c>
      <c r="C569" s="1" t="n">
        <v>45827</v>
      </c>
      <c r="D569" t="inlineStr">
        <is>
          <t>STOCKHOLMS LÄN</t>
        </is>
      </c>
      <c r="E569" t="inlineStr">
        <is>
          <t>NORRTÄLJE</t>
        </is>
      </c>
      <c r="F569" t="inlineStr">
        <is>
          <t>Holmen skog AB</t>
        </is>
      </c>
      <c r="G569" t="n">
        <v>1.9</v>
      </c>
      <c r="H569" t="n">
        <v>0</v>
      </c>
      <c r="I569" t="n">
        <v>0</v>
      </c>
      <c r="J569" t="n">
        <v>0</v>
      </c>
      <c r="K569" t="n">
        <v>0</v>
      </c>
      <c r="L569" t="n">
        <v>0</v>
      </c>
      <c r="M569" t="n">
        <v>0</v>
      </c>
      <c r="N569" t="n">
        <v>0</v>
      </c>
      <c r="O569" t="n">
        <v>0</v>
      </c>
      <c r="P569" t="n">
        <v>0</v>
      </c>
      <c r="Q569" t="n">
        <v>0</v>
      </c>
      <c r="R569" s="2" t="inlineStr"/>
    </row>
    <row r="570" ht="15" customHeight="1">
      <c r="A570" t="inlineStr">
        <is>
          <t>A 19398-2021</t>
        </is>
      </c>
      <c r="B570" s="1" t="n">
        <v>44309</v>
      </c>
      <c r="C570" s="1" t="n">
        <v>45827</v>
      </c>
      <c r="D570" t="inlineStr">
        <is>
          <t>STOCKHOLMS LÄN</t>
        </is>
      </c>
      <c r="E570" t="inlineStr">
        <is>
          <t>NORRTÄLJE</t>
        </is>
      </c>
      <c r="F570" t="inlineStr">
        <is>
          <t>Kommuner</t>
        </is>
      </c>
      <c r="G570" t="n">
        <v>2.1</v>
      </c>
      <c r="H570" t="n">
        <v>0</v>
      </c>
      <c r="I570" t="n">
        <v>0</v>
      </c>
      <c r="J570" t="n">
        <v>0</v>
      </c>
      <c r="K570" t="n">
        <v>0</v>
      </c>
      <c r="L570" t="n">
        <v>0</v>
      </c>
      <c r="M570" t="n">
        <v>0</v>
      </c>
      <c r="N570" t="n">
        <v>0</v>
      </c>
      <c r="O570" t="n">
        <v>0</v>
      </c>
      <c r="P570" t="n">
        <v>0</v>
      </c>
      <c r="Q570" t="n">
        <v>0</v>
      </c>
      <c r="R570" s="2" t="inlineStr"/>
    </row>
    <row r="571" ht="15" customHeight="1">
      <c r="A571" t="inlineStr">
        <is>
          <t>A 20073-2021</t>
        </is>
      </c>
      <c r="B571" s="1" t="n">
        <v>44314</v>
      </c>
      <c r="C571" s="1" t="n">
        <v>45827</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20473-2021</t>
        </is>
      </c>
      <c r="B572" s="1" t="n">
        <v>44315</v>
      </c>
      <c r="C572" s="1" t="n">
        <v>45827</v>
      </c>
      <c r="D572" t="inlineStr">
        <is>
          <t>STOCKHOLMS LÄN</t>
        </is>
      </c>
      <c r="E572" t="inlineStr">
        <is>
          <t>NORRTÄLJE</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21291-2021</t>
        </is>
      </c>
      <c r="B573" s="1" t="n">
        <v>44319</v>
      </c>
      <c r="C573" s="1" t="n">
        <v>45827</v>
      </c>
      <c r="D573" t="inlineStr">
        <is>
          <t>STOCKHOLMS LÄN</t>
        </is>
      </c>
      <c r="E573" t="inlineStr">
        <is>
          <t>NORRTÄLJE</t>
        </is>
      </c>
      <c r="G573" t="n">
        <v>12.7</v>
      </c>
      <c r="H573" t="n">
        <v>0</v>
      </c>
      <c r="I573" t="n">
        <v>0</v>
      </c>
      <c r="J573" t="n">
        <v>0</v>
      </c>
      <c r="K573" t="n">
        <v>0</v>
      </c>
      <c r="L573" t="n">
        <v>0</v>
      </c>
      <c r="M573" t="n">
        <v>0</v>
      </c>
      <c r="N573" t="n">
        <v>0</v>
      </c>
      <c r="O573" t="n">
        <v>0</v>
      </c>
      <c r="P573" t="n">
        <v>0</v>
      </c>
      <c r="Q573" t="n">
        <v>0</v>
      </c>
      <c r="R573" s="2" t="inlineStr"/>
    </row>
    <row r="574" ht="15" customHeight="1">
      <c r="A574" t="inlineStr">
        <is>
          <t>A 21529-2021</t>
        </is>
      </c>
      <c r="B574" s="1" t="n">
        <v>44321</v>
      </c>
      <c r="C574" s="1" t="n">
        <v>45827</v>
      </c>
      <c r="D574" t="inlineStr">
        <is>
          <t>STOCKHOLMS LÄN</t>
        </is>
      </c>
      <c r="E574" t="inlineStr">
        <is>
          <t>NORRTÄLJE</t>
        </is>
      </c>
      <c r="G574" t="n">
        <v>2.7</v>
      </c>
      <c r="H574" t="n">
        <v>0</v>
      </c>
      <c r="I574" t="n">
        <v>0</v>
      </c>
      <c r="J574" t="n">
        <v>0</v>
      </c>
      <c r="K574" t="n">
        <v>0</v>
      </c>
      <c r="L574" t="n">
        <v>0</v>
      </c>
      <c r="M574" t="n">
        <v>0</v>
      </c>
      <c r="N574" t="n">
        <v>0</v>
      </c>
      <c r="O574" t="n">
        <v>0</v>
      </c>
      <c r="P574" t="n">
        <v>0</v>
      </c>
      <c r="Q574" t="n">
        <v>0</v>
      </c>
      <c r="R574" s="2" t="inlineStr"/>
    </row>
    <row r="575" ht="15" customHeight="1">
      <c r="A575" t="inlineStr">
        <is>
          <t>A 22832-2021</t>
        </is>
      </c>
      <c r="B575" s="1" t="n">
        <v>44325</v>
      </c>
      <c r="C575" s="1" t="n">
        <v>45827</v>
      </c>
      <c r="D575" t="inlineStr">
        <is>
          <t>STOCKHOLMS LÄN</t>
        </is>
      </c>
      <c r="E575" t="inlineStr">
        <is>
          <t>NORRTÄLJE</t>
        </is>
      </c>
      <c r="G575" t="n">
        <v>6.8</v>
      </c>
      <c r="H575" t="n">
        <v>0</v>
      </c>
      <c r="I575" t="n">
        <v>0</v>
      </c>
      <c r="J575" t="n">
        <v>0</v>
      </c>
      <c r="K575" t="n">
        <v>0</v>
      </c>
      <c r="L575" t="n">
        <v>0</v>
      </c>
      <c r="M575" t="n">
        <v>0</v>
      </c>
      <c r="N575" t="n">
        <v>0</v>
      </c>
      <c r="O575" t="n">
        <v>0</v>
      </c>
      <c r="P575" t="n">
        <v>0</v>
      </c>
      <c r="Q575" t="n">
        <v>0</v>
      </c>
      <c r="R575" s="2" t="inlineStr"/>
    </row>
    <row r="576" ht="15" customHeight="1">
      <c r="A576" t="inlineStr">
        <is>
          <t>A 22816-2021</t>
        </is>
      </c>
      <c r="B576" s="1" t="n">
        <v>44325</v>
      </c>
      <c r="C576" s="1" t="n">
        <v>45827</v>
      </c>
      <c r="D576" t="inlineStr">
        <is>
          <t>STOCKHOLMS LÄN</t>
        </is>
      </c>
      <c r="E576" t="inlineStr">
        <is>
          <t>NORRTÄLJE</t>
        </is>
      </c>
      <c r="G576" t="n">
        <v>4.5</v>
      </c>
      <c r="H576" t="n">
        <v>0</v>
      </c>
      <c r="I576" t="n">
        <v>0</v>
      </c>
      <c r="J576" t="n">
        <v>0</v>
      </c>
      <c r="K576" t="n">
        <v>0</v>
      </c>
      <c r="L576" t="n">
        <v>0</v>
      </c>
      <c r="M576" t="n">
        <v>0</v>
      </c>
      <c r="N576" t="n">
        <v>0</v>
      </c>
      <c r="O576" t="n">
        <v>0</v>
      </c>
      <c r="P576" t="n">
        <v>0</v>
      </c>
      <c r="Q576" t="n">
        <v>0</v>
      </c>
      <c r="R576" s="2" t="inlineStr"/>
    </row>
    <row r="577" ht="15" customHeight="1">
      <c r="A577" t="inlineStr">
        <is>
          <t>A 22369-2021</t>
        </is>
      </c>
      <c r="B577" s="1" t="n">
        <v>44326</v>
      </c>
      <c r="C577" s="1" t="n">
        <v>45827</v>
      </c>
      <c r="D577" t="inlineStr">
        <is>
          <t>STOCKHOLMS LÄN</t>
        </is>
      </c>
      <c r="E577" t="inlineStr">
        <is>
          <t>NORRTÄLJE</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22421-2021</t>
        </is>
      </c>
      <c r="B578" s="1" t="n">
        <v>44326</v>
      </c>
      <c r="C578" s="1" t="n">
        <v>45827</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22412-2021</t>
        </is>
      </c>
      <c r="B579" s="1" t="n">
        <v>44326</v>
      </c>
      <c r="C579" s="1" t="n">
        <v>45827</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23123-2021</t>
        </is>
      </c>
      <c r="B580" s="1" t="n">
        <v>44330</v>
      </c>
      <c r="C580" s="1" t="n">
        <v>45827</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23096-2021</t>
        </is>
      </c>
      <c r="B581" s="1" t="n">
        <v>44330</v>
      </c>
      <c r="C581" s="1" t="n">
        <v>45827</v>
      </c>
      <c r="D581" t="inlineStr">
        <is>
          <t>STOCKHOLMS LÄN</t>
        </is>
      </c>
      <c r="E581" t="inlineStr">
        <is>
          <t>NORRTÄLJE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23122-2021</t>
        </is>
      </c>
      <c r="B582" s="1" t="n">
        <v>44330</v>
      </c>
      <c r="C582" s="1" t="n">
        <v>45827</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23453-2021</t>
        </is>
      </c>
      <c r="B583" s="1" t="n">
        <v>44333</v>
      </c>
      <c r="C583" s="1" t="n">
        <v>45827</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24082-2021</t>
        </is>
      </c>
      <c r="B584" s="1" t="n">
        <v>44336</v>
      </c>
      <c r="C584" s="1" t="n">
        <v>45827</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25463-2021</t>
        </is>
      </c>
      <c r="B585" s="1" t="n">
        <v>44342</v>
      </c>
      <c r="C585" s="1" t="n">
        <v>45827</v>
      </c>
      <c r="D585" t="inlineStr">
        <is>
          <t>STOCKHOLMS LÄN</t>
        </is>
      </c>
      <c r="E585" t="inlineStr">
        <is>
          <t>NORRTÄLJE</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27217-2021</t>
        </is>
      </c>
      <c r="B586" s="1" t="n">
        <v>44350</v>
      </c>
      <c r="C586" s="1" t="n">
        <v>45827</v>
      </c>
      <c r="D586" t="inlineStr">
        <is>
          <t>STOCKHOLMS LÄN</t>
        </is>
      </c>
      <c r="E586" t="inlineStr">
        <is>
          <t>NORRTÄLJE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27214-2021</t>
        </is>
      </c>
      <c r="B587" s="1" t="n">
        <v>44350</v>
      </c>
      <c r="C587" s="1" t="n">
        <v>45827</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29357-2021</t>
        </is>
      </c>
      <c r="B588" s="1" t="n">
        <v>44361</v>
      </c>
      <c r="C588" s="1" t="n">
        <v>45827</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29680-2021</t>
        </is>
      </c>
      <c r="B589" s="1" t="n">
        <v>44362</v>
      </c>
      <c r="C589" s="1" t="n">
        <v>45827</v>
      </c>
      <c r="D589" t="inlineStr">
        <is>
          <t>STOCKHOLMS LÄN</t>
        </is>
      </c>
      <c r="E589" t="inlineStr">
        <is>
          <t>NORRTÄLJE</t>
        </is>
      </c>
      <c r="F589" t="inlineStr">
        <is>
          <t>Holmen skog AB</t>
        </is>
      </c>
      <c r="G589" t="n">
        <v>0.7</v>
      </c>
      <c r="H589" t="n">
        <v>0</v>
      </c>
      <c r="I589" t="n">
        <v>0</v>
      </c>
      <c r="J589" t="n">
        <v>0</v>
      </c>
      <c r="K589" t="n">
        <v>0</v>
      </c>
      <c r="L589" t="n">
        <v>0</v>
      </c>
      <c r="M589" t="n">
        <v>0</v>
      </c>
      <c r="N589" t="n">
        <v>0</v>
      </c>
      <c r="O589" t="n">
        <v>0</v>
      </c>
      <c r="P589" t="n">
        <v>0</v>
      </c>
      <c r="Q589" t="n">
        <v>0</v>
      </c>
      <c r="R589" s="2" t="inlineStr"/>
    </row>
    <row r="590" ht="15" customHeight="1">
      <c r="A590" t="inlineStr">
        <is>
          <t>A 29684-2021</t>
        </is>
      </c>
      <c r="B590" s="1" t="n">
        <v>44362</v>
      </c>
      <c r="C590" s="1" t="n">
        <v>45827</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v>
      </c>
      <c r="C591" s="1" t="n">
        <v>45827</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31688-2021</t>
        </is>
      </c>
      <c r="B592" s="1" t="n">
        <v>44369</v>
      </c>
      <c r="C592" s="1" t="n">
        <v>45827</v>
      </c>
      <c r="D592" t="inlineStr">
        <is>
          <t>STOCKHOLMS LÄN</t>
        </is>
      </c>
      <c r="E592" t="inlineStr">
        <is>
          <t>NORRTÄLJE</t>
        </is>
      </c>
      <c r="G592" t="n">
        <v>2.9</v>
      </c>
      <c r="H592" t="n">
        <v>0</v>
      </c>
      <c r="I592" t="n">
        <v>0</v>
      </c>
      <c r="J592" t="n">
        <v>0</v>
      </c>
      <c r="K592" t="n">
        <v>0</v>
      </c>
      <c r="L592" t="n">
        <v>0</v>
      </c>
      <c r="M592" t="n">
        <v>0</v>
      </c>
      <c r="N592" t="n">
        <v>0</v>
      </c>
      <c r="O592" t="n">
        <v>0</v>
      </c>
      <c r="P592" t="n">
        <v>0</v>
      </c>
      <c r="Q592" t="n">
        <v>0</v>
      </c>
      <c r="R592" s="2" t="inlineStr"/>
    </row>
    <row r="593" ht="15" customHeight="1">
      <c r="A593" t="inlineStr">
        <is>
          <t>A 32002-2021</t>
        </is>
      </c>
      <c r="B593" s="1" t="n">
        <v>44370</v>
      </c>
      <c r="C593" s="1" t="n">
        <v>45827</v>
      </c>
      <c r="D593" t="inlineStr">
        <is>
          <t>STOCKHOLMS LÄN</t>
        </is>
      </c>
      <c r="E593" t="inlineStr">
        <is>
          <t>NORRTÄLJE</t>
        </is>
      </c>
      <c r="F593" t="inlineStr">
        <is>
          <t>Övriga Aktiebolag</t>
        </is>
      </c>
      <c r="G593" t="n">
        <v>4</v>
      </c>
      <c r="H593" t="n">
        <v>0</v>
      </c>
      <c r="I593" t="n">
        <v>0</v>
      </c>
      <c r="J593" t="n">
        <v>0</v>
      </c>
      <c r="K593" t="n">
        <v>0</v>
      </c>
      <c r="L593" t="n">
        <v>0</v>
      </c>
      <c r="M593" t="n">
        <v>0</v>
      </c>
      <c r="N593" t="n">
        <v>0</v>
      </c>
      <c r="O593" t="n">
        <v>0</v>
      </c>
      <c r="P593" t="n">
        <v>0</v>
      </c>
      <c r="Q593" t="n">
        <v>0</v>
      </c>
      <c r="R593" s="2" t="inlineStr"/>
    </row>
    <row r="594" ht="15" customHeight="1">
      <c r="A594" t="inlineStr">
        <is>
          <t>A 32051-2021</t>
        </is>
      </c>
      <c r="B594" s="1" t="n">
        <v>44370</v>
      </c>
      <c r="C594" s="1" t="n">
        <v>45827</v>
      </c>
      <c r="D594" t="inlineStr">
        <is>
          <t>STOCKHOLMS LÄN</t>
        </is>
      </c>
      <c r="E594" t="inlineStr">
        <is>
          <t>NORRTÄLJE</t>
        </is>
      </c>
      <c r="G594" t="n">
        <v>4.6</v>
      </c>
      <c r="H594" t="n">
        <v>0</v>
      </c>
      <c r="I594" t="n">
        <v>0</v>
      </c>
      <c r="J594" t="n">
        <v>0</v>
      </c>
      <c r="K594" t="n">
        <v>0</v>
      </c>
      <c r="L594" t="n">
        <v>0</v>
      </c>
      <c r="M594" t="n">
        <v>0</v>
      </c>
      <c r="N594" t="n">
        <v>0</v>
      </c>
      <c r="O594" t="n">
        <v>0</v>
      </c>
      <c r="P594" t="n">
        <v>0</v>
      </c>
      <c r="Q594" t="n">
        <v>0</v>
      </c>
      <c r="R594" s="2" t="inlineStr"/>
    </row>
    <row r="595" ht="15" customHeight="1">
      <c r="A595" t="inlineStr">
        <is>
          <t>A 32055-2021</t>
        </is>
      </c>
      <c r="B595" s="1" t="n">
        <v>44370</v>
      </c>
      <c r="C595" s="1" t="n">
        <v>45827</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32561-2021</t>
        </is>
      </c>
      <c r="B596" s="1" t="n">
        <v>44375</v>
      </c>
      <c r="C596" s="1" t="n">
        <v>45827</v>
      </c>
      <c r="D596" t="inlineStr">
        <is>
          <t>STOCKHOLMS LÄN</t>
        </is>
      </c>
      <c r="E596" t="inlineStr">
        <is>
          <t>NORRTÄLJE</t>
        </is>
      </c>
      <c r="G596" t="n">
        <v>3.4</v>
      </c>
      <c r="H596" t="n">
        <v>0</v>
      </c>
      <c r="I596" t="n">
        <v>0</v>
      </c>
      <c r="J596" t="n">
        <v>0</v>
      </c>
      <c r="K596" t="n">
        <v>0</v>
      </c>
      <c r="L596" t="n">
        <v>0</v>
      </c>
      <c r="M596" t="n">
        <v>0</v>
      </c>
      <c r="N596" t="n">
        <v>0</v>
      </c>
      <c r="O596" t="n">
        <v>0</v>
      </c>
      <c r="P596" t="n">
        <v>0</v>
      </c>
      <c r="Q596" t="n">
        <v>0</v>
      </c>
      <c r="R596" s="2" t="inlineStr"/>
    </row>
    <row r="597" ht="15" customHeight="1">
      <c r="A597" t="inlineStr">
        <is>
          <t>A 32857-2021</t>
        </is>
      </c>
      <c r="B597" s="1" t="n">
        <v>44375</v>
      </c>
      <c r="C597" s="1" t="n">
        <v>45827</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33053-2021</t>
        </is>
      </c>
      <c r="B598" s="1" t="n">
        <v>44376</v>
      </c>
      <c r="C598" s="1" t="n">
        <v>45827</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33046-2021</t>
        </is>
      </c>
      <c r="B599" s="1" t="n">
        <v>44376</v>
      </c>
      <c r="C599" s="1" t="n">
        <v>45827</v>
      </c>
      <c r="D599" t="inlineStr">
        <is>
          <t>STOCKHOLMS LÄN</t>
        </is>
      </c>
      <c r="E599" t="inlineStr">
        <is>
          <t>NORRTÄLJE</t>
        </is>
      </c>
      <c r="G599" t="n">
        <v>2.1</v>
      </c>
      <c r="H599" t="n">
        <v>0</v>
      </c>
      <c r="I599" t="n">
        <v>0</v>
      </c>
      <c r="J599" t="n">
        <v>0</v>
      </c>
      <c r="K599" t="n">
        <v>0</v>
      </c>
      <c r="L599" t="n">
        <v>0</v>
      </c>
      <c r="M599" t="n">
        <v>0</v>
      </c>
      <c r="N599" t="n">
        <v>0</v>
      </c>
      <c r="O599" t="n">
        <v>0</v>
      </c>
      <c r="P599" t="n">
        <v>0</v>
      </c>
      <c r="Q599" t="n">
        <v>0</v>
      </c>
      <c r="R599" s="2" t="inlineStr"/>
    </row>
    <row r="600" ht="15" customHeight="1">
      <c r="A600" t="inlineStr">
        <is>
          <t>A 33040-2021</t>
        </is>
      </c>
      <c r="B600" s="1" t="n">
        <v>44376</v>
      </c>
      <c r="C600" s="1" t="n">
        <v>45827</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34520-2021</t>
        </is>
      </c>
      <c r="B601" s="1" t="n">
        <v>44379</v>
      </c>
      <c r="C601" s="1" t="n">
        <v>45827</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34432-2021</t>
        </is>
      </c>
      <c r="B602" s="1" t="n">
        <v>44380</v>
      </c>
      <c r="C602" s="1" t="n">
        <v>45827</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34431-2021</t>
        </is>
      </c>
      <c r="B603" s="1" t="n">
        <v>44380</v>
      </c>
      <c r="C603" s="1" t="n">
        <v>45827</v>
      </c>
      <c r="D603" t="inlineStr">
        <is>
          <t>STOCKHOLMS LÄN</t>
        </is>
      </c>
      <c r="E603" t="inlineStr">
        <is>
          <t>NORRTÄLJE</t>
        </is>
      </c>
      <c r="G603" t="n">
        <v>3</v>
      </c>
      <c r="H603" t="n">
        <v>0</v>
      </c>
      <c r="I603" t="n">
        <v>0</v>
      </c>
      <c r="J603" t="n">
        <v>0</v>
      </c>
      <c r="K603" t="n">
        <v>0</v>
      </c>
      <c r="L603" t="n">
        <v>0</v>
      </c>
      <c r="M603" t="n">
        <v>0</v>
      </c>
      <c r="N603" t="n">
        <v>0</v>
      </c>
      <c r="O603" t="n">
        <v>0</v>
      </c>
      <c r="P603" t="n">
        <v>0</v>
      </c>
      <c r="Q603" t="n">
        <v>0</v>
      </c>
      <c r="R603" s="2" t="inlineStr"/>
    </row>
    <row r="604" ht="15" customHeight="1">
      <c r="A604" t="inlineStr">
        <is>
          <t>A 34436-2021</t>
        </is>
      </c>
      <c r="B604" s="1" t="n">
        <v>44380</v>
      </c>
      <c r="C604" s="1" t="n">
        <v>45827</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34731-2021</t>
        </is>
      </c>
      <c r="B605" s="1" t="n">
        <v>44382</v>
      </c>
      <c r="C605" s="1" t="n">
        <v>45827</v>
      </c>
      <c r="D605" t="inlineStr">
        <is>
          <t>STOCKHOLMS LÄN</t>
        </is>
      </c>
      <c r="E605" t="inlineStr">
        <is>
          <t>NORRTÄLJE</t>
        </is>
      </c>
      <c r="G605" t="n">
        <v>0.2</v>
      </c>
      <c r="H605" t="n">
        <v>0</v>
      </c>
      <c r="I605" t="n">
        <v>0</v>
      </c>
      <c r="J605" t="n">
        <v>0</v>
      </c>
      <c r="K605" t="n">
        <v>0</v>
      </c>
      <c r="L605" t="n">
        <v>0</v>
      </c>
      <c r="M605" t="n">
        <v>0</v>
      </c>
      <c r="N605" t="n">
        <v>0</v>
      </c>
      <c r="O605" t="n">
        <v>0</v>
      </c>
      <c r="P605" t="n">
        <v>0</v>
      </c>
      <c r="Q605" t="n">
        <v>0</v>
      </c>
      <c r="R605" s="2" t="inlineStr"/>
    </row>
    <row r="606" ht="15" customHeight="1">
      <c r="A606" t="inlineStr">
        <is>
          <t>A 34792-2021</t>
        </is>
      </c>
      <c r="B606" s="1" t="n">
        <v>44383</v>
      </c>
      <c r="C606" s="1" t="n">
        <v>45827</v>
      </c>
      <c r="D606" t="inlineStr">
        <is>
          <t>STOCKHOLMS LÄN</t>
        </is>
      </c>
      <c r="E606" t="inlineStr">
        <is>
          <t>NORRTÄLJE</t>
        </is>
      </c>
      <c r="G606" t="n">
        <v>4.4</v>
      </c>
      <c r="H606" t="n">
        <v>0</v>
      </c>
      <c r="I606" t="n">
        <v>0</v>
      </c>
      <c r="J606" t="n">
        <v>0</v>
      </c>
      <c r="K606" t="n">
        <v>0</v>
      </c>
      <c r="L606" t="n">
        <v>0</v>
      </c>
      <c r="M606" t="n">
        <v>0</v>
      </c>
      <c r="N606" t="n">
        <v>0</v>
      </c>
      <c r="O606" t="n">
        <v>0</v>
      </c>
      <c r="P606" t="n">
        <v>0</v>
      </c>
      <c r="Q606" t="n">
        <v>0</v>
      </c>
      <c r="R606" s="2" t="inlineStr"/>
    </row>
    <row r="607" ht="15" customHeight="1">
      <c r="A607" t="inlineStr">
        <is>
          <t>A 36246-2021</t>
        </is>
      </c>
      <c r="B607" s="1" t="n">
        <v>44390</v>
      </c>
      <c r="C607" s="1" t="n">
        <v>45827</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36565-2021</t>
        </is>
      </c>
      <c r="B608" s="1" t="n">
        <v>44391</v>
      </c>
      <c r="C608" s="1" t="n">
        <v>45827</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37085-2021</t>
        </is>
      </c>
      <c r="B609" s="1" t="n">
        <v>44395</v>
      </c>
      <c r="C609" s="1" t="n">
        <v>45827</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37344-2021</t>
        </is>
      </c>
      <c r="B610" s="1" t="n">
        <v>44397</v>
      </c>
      <c r="C610" s="1" t="n">
        <v>45827</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37415-2021</t>
        </is>
      </c>
      <c r="B611" s="1" t="n">
        <v>44397</v>
      </c>
      <c r="C611" s="1" t="n">
        <v>45827</v>
      </c>
      <c r="D611" t="inlineStr">
        <is>
          <t>STOCKHOLMS LÄN</t>
        </is>
      </c>
      <c r="E611" t="inlineStr">
        <is>
          <t>NORRTÄLJE</t>
        </is>
      </c>
      <c r="F611" t="inlineStr">
        <is>
          <t>Övriga Aktiebolag</t>
        </is>
      </c>
      <c r="G611" t="n">
        <v>3</v>
      </c>
      <c r="H611" t="n">
        <v>0</v>
      </c>
      <c r="I611" t="n">
        <v>0</v>
      </c>
      <c r="J611" t="n">
        <v>0</v>
      </c>
      <c r="K611" t="n">
        <v>0</v>
      </c>
      <c r="L611" t="n">
        <v>0</v>
      </c>
      <c r="M611" t="n">
        <v>0</v>
      </c>
      <c r="N611" t="n">
        <v>0</v>
      </c>
      <c r="O611" t="n">
        <v>0</v>
      </c>
      <c r="P611" t="n">
        <v>0</v>
      </c>
      <c r="Q611" t="n">
        <v>0</v>
      </c>
      <c r="R611" s="2" t="inlineStr"/>
    </row>
    <row r="612" ht="15" customHeight="1">
      <c r="A612" t="inlineStr">
        <is>
          <t>A 37444-2021</t>
        </is>
      </c>
      <c r="B612" s="1" t="n">
        <v>44398</v>
      </c>
      <c r="C612" s="1" t="n">
        <v>45827</v>
      </c>
      <c r="D612" t="inlineStr">
        <is>
          <t>STOCKHOLMS LÄN</t>
        </is>
      </c>
      <c r="E612" t="inlineStr">
        <is>
          <t>NORRTÄLJE</t>
        </is>
      </c>
      <c r="F612" t="inlineStr">
        <is>
          <t>Holmen skog AB</t>
        </is>
      </c>
      <c r="G612" t="n">
        <v>3.2</v>
      </c>
      <c r="H612" t="n">
        <v>0</v>
      </c>
      <c r="I612" t="n">
        <v>0</v>
      </c>
      <c r="J612" t="n">
        <v>0</v>
      </c>
      <c r="K612" t="n">
        <v>0</v>
      </c>
      <c r="L612" t="n">
        <v>0</v>
      </c>
      <c r="M612" t="n">
        <v>0</v>
      </c>
      <c r="N612" t="n">
        <v>0</v>
      </c>
      <c r="O612" t="n">
        <v>0</v>
      </c>
      <c r="P612" t="n">
        <v>0</v>
      </c>
      <c r="Q612" t="n">
        <v>0</v>
      </c>
      <c r="R612" s="2" t="inlineStr"/>
    </row>
    <row r="613" ht="15" customHeight="1">
      <c r="A613" t="inlineStr">
        <is>
          <t>A 37462-2021</t>
        </is>
      </c>
      <c r="B613" s="1" t="n">
        <v>44398</v>
      </c>
      <c r="C613" s="1" t="n">
        <v>45827</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37530-2021</t>
        </is>
      </c>
      <c r="B614" s="1" t="n">
        <v>44399</v>
      </c>
      <c r="C614" s="1" t="n">
        <v>45827</v>
      </c>
      <c r="D614" t="inlineStr">
        <is>
          <t>STOCKHOLMS LÄN</t>
        </is>
      </c>
      <c r="E614" t="inlineStr">
        <is>
          <t>NORRTÄLJE</t>
        </is>
      </c>
      <c r="F614" t="inlineStr">
        <is>
          <t>Holmen skog AB</t>
        </is>
      </c>
      <c r="G614" t="n">
        <v>2.8</v>
      </c>
      <c r="H614" t="n">
        <v>0</v>
      </c>
      <c r="I614" t="n">
        <v>0</v>
      </c>
      <c r="J614" t="n">
        <v>0</v>
      </c>
      <c r="K614" t="n">
        <v>0</v>
      </c>
      <c r="L614" t="n">
        <v>0</v>
      </c>
      <c r="M614" t="n">
        <v>0</v>
      </c>
      <c r="N614" t="n">
        <v>0</v>
      </c>
      <c r="O614" t="n">
        <v>0</v>
      </c>
      <c r="P614" t="n">
        <v>0</v>
      </c>
      <c r="Q614" t="n">
        <v>0</v>
      </c>
      <c r="R614" s="2" t="inlineStr"/>
    </row>
    <row r="615" ht="15" customHeight="1">
      <c r="A615" t="inlineStr">
        <is>
          <t>A 37522-2021</t>
        </is>
      </c>
      <c r="B615" s="1" t="n">
        <v>44399</v>
      </c>
      <c r="C615" s="1" t="n">
        <v>45827</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37525-2021</t>
        </is>
      </c>
      <c r="B616" s="1" t="n">
        <v>44399</v>
      </c>
      <c r="C616" s="1" t="n">
        <v>45827</v>
      </c>
      <c r="D616" t="inlineStr">
        <is>
          <t>STOCKHOLMS LÄN</t>
        </is>
      </c>
      <c r="E616" t="inlineStr">
        <is>
          <t>NORRTÄLJE</t>
        </is>
      </c>
      <c r="F616" t="inlineStr">
        <is>
          <t>Holmen skog AB</t>
        </is>
      </c>
      <c r="G616" t="n">
        <v>2.5</v>
      </c>
      <c r="H616" t="n">
        <v>0</v>
      </c>
      <c r="I616" t="n">
        <v>0</v>
      </c>
      <c r="J616" t="n">
        <v>0</v>
      </c>
      <c r="K616" t="n">
        <v>0</v>
      </c>
      <c r="L616" t="n">
        <v>0</v>
      </c>
      <c r="M616" t="n">
        <v>0</v>
      </c>
      <c r="N616" t="n">
        <v>0</v>
      </c>
      <c r="O616" t="n">
        <v>0</v>
      </c>
      <c r="P616" t="n">
        <v>0</v>
      </c>
      <c r="Q616" t="n">
        <v>0</v>
      </c>
      <c r="R616" s="2" t="inlineStr"/>
    </row>
    <row r="617" ht="15" customHeight="1">
      <c r="A617" t="inlineStr">
        <is>
          <t>A 37712-2021</t>
        </is>
      </c>
      <c r="B617" s="1" t="n">
        <v>44400</v>
      </c>
      <c r="C617" s="1" t="n">
        <v>45827</v>
      </c>
      <c r="D617" t="inlineStr">
        <is>
          <t>STOCKHOLMS LÄN</t>
        </is>
      </c>
      <c r="E617" t="inlineStr">
        <is>
          <t>NORRTÄLJE</t>
        </is>
      </c>
      <c r="G617" t="n">
        <v>22.9</v>
      </c>
      <c r="H617" t="n">
        <v>0</v>
      </c>
      <c r="I617" t="n">
        <v>0</v>
      </c>
      <c r="J617" t="n">
        <v>0</v>
      </c>
      <c r="K617" t="n">
        <v>0</v>
      </c>
      <c r="L617" t="n">
        <v>0</v>
      </c>
      <c r="M617" t="n">
        <v>0</v>
      </c>
      <c r="N617" t="n">
        <v>0</v>
      </c>
      <c r="O617" t="n">
        <v>0</v>
      </c>
      <c r="P617" t="n">
        <v>0</v>
      </c>
      <c r="Q617" t="n">
        <v>0</v>
      </c>
      <c r="R617" s="2" t="inlineStr"/>
    </row>
    <row r="618" ht="15" customHeight="1">
      <c r="A618" t="inlineStr">
        <is>
          <t>A 37859-2021</t>
        </is>
      </c>
      <c r="B618" s="1" t="n">
        <v>44403</v>
      </c>
      <c r="C618" s="1" t="n">
        <v>45827</v>
      </c>
      <c r="D618" t="inlineStr">
        <is>
          <t>STOCKHOLMS LÄN</t>
        </is>
      </c>
      <c r="E618" t="inlineStr">
        <is>
          <t>NORRTÄLJE</t>
        </is>
      </c>
      <c r="F618" t="inlineStr">
        <is>
          <t>Holmen skog AB</t>
        </is>
      </c>
      <c r="G618" t="n">
        <v>6.9</v>
      </c>
      <c r="H618" t="n">
        <v>0</v>
      </c>
      <c r="I618" t="n">
        <v>0</v>
      </c>
      <c r="J618" t="n">
        <v>0</v>
      </c>
      <c r="K618" t="n">
        <v>0</v>
      </c>
      <c r="L618" t="n">
        <v>0</v>
      </c>
      <c r="M618" t="n">
        <v>0</v>
      </c>
      <c r="N618" t="n">
        <v>0</v>
      </c>
      <c r="O618" t="n">
        <v>0</v>
      </c>
      <c r="P618" t="n">
        <v>0</v>
      </c>
      <c r="Q618" t="n">
        <v>0</v>
      </c>
      <c r="R618" s="2" t="inlineStr"/>
    </row>
    <row r="619" ht="15" customHeight="1">
      <c r="A619" t="inlineStr">
        <is>
          <t>A 39157-2021</t>
        </is>
      </c>
      <c r="B619" s="1" t="n">
        <v>44412</v>
      </c>
      <c r="C619" s="1" t="n">
        <v>45827</v>
      </c>
      <c r="D619" t="inlineStr">
        <is>
          <t>STOCKHOLMS LÄN</t>
        </is>
      </c>
      <c r="E619" t="inlineStr">
        <is>
          <t>NORRTÄLJE</t>
        </is>
      </c>
      <c r="G619" t="n">
        <v>3.1</v>
      </c>
      <c r="H619" t="n">
        <v>0</v>
      </c>
      <c r="I619" t="n">
        <v>0</v>
      </c>
      <c r="J619" t="n">
        <v>0</v>
      </c>
      <c r="K619" t="n">
        <v>0</v>
      </c>
      <c r="L619" t="n">
        <v>0</v>
      </c>
      <c r="M619" t="n">
        <v>0</v>
      </c>
      <c r="N619" t="n">
        <v>0</v>
      </c>
      <c r="O619" t="n">
        <v>0</v>
      </c>
      <c r="P619" t="n">
        <v>0</v>
      </c>
      <c r="Q619" t="n">
        <v>0</v>
      </c>
      <c r="R619" s="2" t="inlineStr"/>
    </row>
    <row r="620" ht="15" customHeight="1">
      <c r="A620" t="inlineStr">
        <is>
          <t>A 39496-2021</t>
        </is>
      </c>
      <c r="B620" s="1" t="n">
        <v>44414</v>
      </c>
      <c r="C620" s="1" t="n">
        <v>45827</v>
      </c>
      <c r="D620" t="inlineStr">
        <is>
          <t>STOCKHOLMS LÄN</t>
        </is>
      </c>
      <c r="E620" t="inlineStr">
        <is>
          <t>NORRTÄLJE</t>
        </is>
      </c>
      <c r="G620" t="n">
        <v>4.6</v>
      </c>
      <c r="H620" t="n">
        <v>0</v>
      </c>
      <c r="I620" t="n">
        <v>0</v>
      </c>
      <c r="J620" t="n">
        <v>0</v>
      </c>
      <c r="K620" t="n">
        <v>0</v>
      </c>
      <c r="L620" t="n">
        <v>0</v>
      </c>
      <c r="M620" t="n">
        <v>0</v>
      </c>
      <c r="N620" t="n">
        <v>0</v>
      </c>
      <c r="O620" t="n">
        <v>0</v>
      </c>
      <c r="P620" t="n">
        <v>0</v>
      </c>
      <c r="Q620" t="n">
        <v>0</v>
      </c>
      <c r="R620" s="2" t="inlineStr"/>
    </row>
    <row r="621" ht="15" customHeight="1">
      <c r="A621" t="inlineStr">
        <is>
          <t>A 39497-2021</t>
        </is>
      </c>
      <c r="B621" s="1" t="n">
        <v>44414</v>
      </c>
      <c r="C621" s="1" t="n">
        <v>45827</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40425-2021</t>
        </is>
      </c>
      <c r="B622" s="1" t="n">
        <v>44419</v>
      </c>
      <c r="C622" s="1" t="n">
        <v>45827</v>
      </c>
      <c r="D622" t="inlineStr">
        <is>
          <t>STOCKHOLMS LÄN</t>
        </is>
      </c>
      <c r="E622" t="inlineStr">
        <is>
          <t>NORRTÄLJE</t>
        </is>
      </c>
      <c r="G622" t="n">
        <v>5</v>
      </c>
      <c r="H622" t="n">
        <v>0</v>
      </c>
      <c r="I622" t="n">
        <v>0</v>
      </c>
      <c r="J622" t="n">
        <v>0</v>
      </c>
      <c r="K622" t="n">
        <v>0</v>
      </c>
      <c r="L622" t="n">
        <v>0</v>
      </c>
      <c r="M622" t="n">
        <v>0</v>
      </c>
      <c r="N622" t="n">
        <v>0</v>
      </c>
      <c r="O622" t="n">
        <v>0</v>
      </c>
      <c r="P622" t="n">
        <v>0</v>
      </c>
      <c r="Q622" t="n">
        <v>0</v>
      </c>
      <c r="R622" s="2" t="inlineStr"/>
    </row>
    <row r="623" ht="15" customHeight="1">
      <c r="A623" t="inlineStr">
        <is>
          <t>A 40542-2021</t>
        </is>
      </c>
      <c r="B623" s="1" t="n">
        <v>44420</v>
      </c>
      <c r="C623" s="1" t="n">
        <v>45827</v>
      </c>
      <c r="D623" t="inlineStr">
        <is>
          <t>STOCKHOLMS LÄN</t>
        </is>
      </c>
      <c r="E623" t="inlineStr">
        <is>
          <t>NORRTÄLJE</t>
        </is>
      </c>
      <c r="G623" t="n">
        <v>0.4</v>
      </c>
      <c r="H623" t="n">
        <v>0</v>
      </c>
      <c r="I623" t="n">
        <v>0</v>
      </c>
      <c r="J623" t="n">
        <v>0</v>
      </c>
      <c r="K623" t="n">
        <v>0</v>
      </c>
      <c r="L623" t="n">
        <v>0</v>
      </c>
      <c r="M623" t="n">
        <v>0</v>
      </c>
      <c r="N623" t="n">
        <v>0</v>
      </c>
      <c r="O623" t="n">
        <v>0</v>
      </c>
      <c r="P623" t="n">
        <v>0</v>
      </c>
      <c r="Q623" t="n">
        <v>0</v>
      </c>
      <c r="R623" s="2" t="inlineStr"/>
    </row>
    <row r="624" ht="15" customHeight="1">
      <c r="A624" t="inlineStr">
        <is>
          <t>A 40546-2021</t>
        </is>
      </c>
      <c r="B624" s="1" t="n">
        <v>44420</v>
      </c>
      <c r="C624" s="1" t="n">
        <v>45827</v>
      </c>
      <c r="D624" t="inlineStr">
        <is>
          <t>STOCKHOLMS LÄN</t>
        </is>
      </c>
      <c r="E624" t="inlineStr">
        <is>
          <t>NORRTÄLJE</t>
        </is>
      </c>
      <c r="G624" t="n">
        <v>0.4</v>
      </c>
      <c r="H624" t="n">
        <v>0</v>
      </c>
      <c r="I624" t="n">
        <v>0</v>
      </c>
      <c r="J624" t="n">
        <v>0</v>
      </c>
      <c r="K624" t="n">
        <v>0</v>
      </c>
      <c r="L624" t="n">
        <v>0</v>
      </c>
      <c r="M624" t="n">
        <v>0</v>
      </c>
      <c r="N624" t="n">
        <v>0</v>
      </c>
      <c r="O624" t="n">
        <v>0</v>
      </c>
      <c r="P624" t="n">
        <v>0</v>
      </c>
      <c r="Q624" t="n">
        <v>0</v>
      </c>
      <c r="R624" s="2" t="inlineStr"/>
    </row>
    <row r="625" ht="15" customHeight="1">
      <c r="A625" t="inlineStr">
        <is>
          <t>A 41595-2021</t>
        </is>
      </c>
      <c r="B625" s="1" t="n">
        <v>44425</v>
      </c>
      <c r="C625" s="1" t="n">
        <v>45827</v>
      </c>
      <c r="D625" t="inlineStr">
        <is>
          <t>STOCKHOLMS LÄN</t>
        </is>
      </c>
      <c r="E625" t="inlineStr">
        <is>
          <t>NORRTÄLJE</t>
        </is>
      </c>
      <c r="G625" t="n">
        <v>3.2</v>
      </c>
      <c r="H625" t="n">
        <v>0</v>
      </c>
      <c r="I625" t="n">
        <v>0</v>
      </c>
      <c r="J625" t="n">
        <v>0</v>
      </c>
      <c r="K625" t="n">
        <v>0</v>
      </c>
      <c r="L625" t="n">
        <v>0</v>
      </c>
      <c r="M625" t="n">
        <v>0</v>
      </c>
      <c r="N625" t="n">
        <v>0</v>
      </c>
      <c r="O625" t="n">
        <v>0</v>
      </c>
      <c r="P625" t="n">
        <v>0</v>
      </c>
      <c r="Q625" t="n">
        <v>0</v>
      </c>
      <c r="R625" s="2" t="inlineStr"/>
    </row>
    <row r="626" ht="15" customHeight="1">
      <c r="A626" t="inlineStr">
        <is>
          <t>A 41823-2021</t>
        </is>
      </c>
      <c r="B626" s="1" t="n">
        <v>44425</v>
      </c>
      <c r="C626" s="1" t="n">
        <v>45827</v>
      </c>
      <c r="D626" t="inlineStr">
        <is>
          <t>STOCKHOLMS LÄN</t>
        </is>
      </c>
      <c r="E626" t="inlineStr">
        <is>
          <t>NORRTÄLJE</t>
        </is>
      </c>
      <c r="G626" t="n">
        <v>2.4</v>
      </c>
      <c r="H626" t="n">
        <v>0</v>
      </c>
      <c r="I626" t="n">
        <v>0</v>
      </c>
      <c r="J626" t="n">
        <v>0</v>
      </c>
      <c r="K626" t="n">
        <v>0</v>
      </c>
      <c r="L626" t="n">
        <v>0</v>
      </c>
      <c r="M626" t="n">
        <v>0</v>
      </c>
      <c r="N626" t="n">
        <v>0</v>
      </c>
      <c r="O626" t="n">
        <v>0</v>
      </c>
      <c r="P626" t="n">
        <v>0</v>
      </c>
      <c r="Q626" t="n">
        <v>0</v>
      </c>
      <c r="R626" s="2" t="inlineStr"/>
    </row>
    <row r="627" ht="15" customHeight="1">
      <c r="A627" t="inlineStr">
        <is>
          <t>A 41822-2021</t>
        </is>
      </c>
      <c r="B627" s="1" t="n">
        <v>44425</v>
      </c>
      <c r="C627" s="1" t="n">
        <v>45827</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42396-2021</t>
        </is>
      </c>
      <c r="B628" s="1" t="n">
        <v>44427</v>
      </c>
      <c r="C628" s="1" t="n">
        <v>45827</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43478-2021</t>
        </is>
      </c>
      <c r="B629" s="1" t="n">
        <v>44432</v>
      </c>
      <c r="C629" s="1" t="n">
        <v>45827</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44274-2021</t>
        </is>
      </c>
      <c r="B630" s="1" t="n">
        <v>44435</v>
      </c>
      <c r="C630" s="1" t="n">
        <v>45827</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47344-2021</t>
        </is>
      </c>
      <c r="B631" s="1" t="n">
        <v>44447</v>
      </c>
      <c r="C631" s="1" t="n">
        <v>45827</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47349-2021</t>
        </is>
      </c>
      <c r="B632" s="1" t="n">
        <v>44447</v>
      </c>
      <c r="C632" s="1" t="n">
        <v>45827</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47691-2021</t>
        </is>
      </c>
      <c r="B633" s="1" t="n">
        <v>44448</v>
      </c>
      <c r="C633" s="1" t="n">
        <v>45827</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48384-2021</t>
        </is>
      </c>
      <c r="B634" s="1" t="n">
        <v>44451</v>
      </c>
      <c r="C634" s="1" t="n">
        <v>45827</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48798-2021</t>
        </is>
      </c>
      <c r="B635" s="1" t="n">
        <v>44452</v>
      </c>
      <c r="C635" s="1" t="n">
        <v>45827</v>
      </c>
      <c r="D635" t="inlineStr">
        <is>
          <t>STOCKHOLMS LÄN</t>
        </is>
      </c>
      <c r="E635" t="inlineStr">
        <is>
          <t>NORRTÄLJE</t>
        </is>
      </c>
      <c r="G635" t="n">
        <v>2</v>
      </c>
      <c r="H635" t="n">
        <v>0</v>
      </c>
      <c r="I635" t="n">
        <v>0</v>
      </c>
      <c r="J635" t="n">
        <v>0</v>
      </c>
      <c r="K635" t="n">
        <v>0</v>
      </c>
      <c r="L635" t="n">
        <v>0</v>
      </c>
      <c r="M635" t="n">
        <v>0</v>
      </c>
      <c r="N635" t="n">
        <v>0</v>
      </c>
      <c r="O635" t="n">
        <v>0</v>
      </c>
      <c r="P635" t="n">
        <v>0</v>
      </c>
      <c r="Q635" t="n">
        <v>0</v>
      </c>
      <c r="R635" s="2" t="inlineStr"/>
    </row>
    <row r="636" ht="15" customHeight="1">
      <c r="A636" t="inlineStr">
        <is>
          <t>A 48932-2021</t>
        </is>
      </c>
      <c r="B636" s="1" t="n">
        <v>44453</v>
      </c>
      <c r="C636" s="1" t="n">
        <v>45827</v>
      </c>
      <c r="D636" t="inlineStr">
        <is>
          <t>STOCKHOLMS LÄN</t>
        </is>
      </c>
      <c r="E636" t="inlineStr">
        <is>
          <t>NORRTÄLJE</t>
        </is>
      </c>
      <c r="G636" t="n">
        <v>11.2</v>
      </c>
      <c r="H636" t="n">
        <v>0</v>
      </c>
      <c r="I636" t="n">
        <v>0</v>
      </c>
      <c r="J636" t="n">
        <v>0</v>
      </c>
      <c r="K636" t="n">
        <v>0</v>
      </c>
      <c r="L636" t="n">
        <v>0</v>
      </c>
      <c r="M636" t="n">
        <v>0</v>
      </c>
      <c r="N636" t="n">
        <v>0</v>
      </c>
      <c r="O636" t="n">
        <v>0</v>
      </c>
      <c r="P636" t="n">
        <v>0</v>
      </c>
      <c r="Q636" t="n">
        <v>0</v>
      </c>
      <c r="R636" s="2" t="inlineStr"/>
    </row>
    <row r="637" ht="15" customHeight="1">
      <c r="A637" t="inlineStr">
        <is>
          <t>A 49113-2021</t>
        </is>
      </c>
      <c r="B637" s="1" t="n">
        <v>44453</v>
      </c>
      <c r="C637" s="1" t="n">
        <v>45827</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50038-2021</t>
        </is>
      </c>
      <c r="B638" s="1" t="n">
        <v>44456</v>
      </c>
      <c r="C638" s="1" t="n">
        <v>45827</v>
      </c>
      <c r="D638" t="inlineStr">
        <is>
          <t>STOCKHOLMS LÄN</t>
        </is>
      </c>
      <c r="E638" t="inlineStr">
        <is>
          <t>NORRTÄLJE</t>
        </is>
      </c>
      <c r="G638" t="n">
        <v>4.2</v>
      </c>
      <c r="H638" t="n">
        <v>0</v>
      </c>
      <c r="I638" t="n">
        <v>0</v>
      </c>
      <c r="J638" t="n">
        <v>0</v>
      </c>
      <c r="K638" t="n">
        <v>0</v>
      </c>
      <c r="L638" t="n">
        <v>0</v>
      </c>
      <c r="M638" t="n">
        <v>0</v>
      </c>
      <c r="N638" t="n">
        <v>0</v>
      </c>
      <c r="O638" t="n">
        <v>0</v>
      </c>
      <c r="P638" t="n">
        <v>0</v>
      </c>
      <c r="Q638" t="n">
        <v>0</v>
      </c>
      <c r="R638" s="2" t="inlineStr"/>
    </row>
    <row r="639" ht="15" customHeight="1">
      <c r="A639" t="inlineStr">
        <is>
          <t>A 50108-2021</t>
        </is>
      </c>
      <c r="B639" s="1" t="n">
        <v>44456</v>
      </c>
      <c r="C639" s="1" t="n">
        <v>45827</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50252-2021</t>
        </is>
      </c>
      <c r="B640" s="1" t="n">
        <v>44458</v>
      </c>
      <c r="C640" s="1" t="n">
        <v>45827</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50602-2021</t>
        </is>
      </c>
      <c r="B641" s="1" t="n">
        <v>44459</v>
      </c>
      <c r="C641" s="1" t="n">
        <v>45827</v>
      </c>
      <c r="D641" t="inlineStr">
        <is>
          <t>STOCKHOLMS LÄN</t>
        </is>
      </c>
      <c r="E641" t="inlineStr">
        <is>
          <t>NORRTÄLJE</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51279-2021</t>
        </is>
      </c>
      <c r="B642" s="1" t="n">
        <v>44461</v>
      </c>
      <c r="C642" s="1" t="n">
        <v>45827</v>
      </c>
      <c r="D642" t="inlineStr">
        <is>
          <t>STOCKHOLMS LÄN</t>
        </is>
      </c>
      <c r="E642" t="inlineStr">
        <is>
          <t>NORRTÄLJE</t>
        </is>
      </c>
      <c r="F642" t="inlineStr">
        <is>
          <t>Holmen skog AB</t>
        </is>
      </c>
      <c r="G642" t="n">
        <v>2.1</v>
      </c>
      <c r="H642" t="n">
        <v>0</v>
      </c>
      <c r="I642" t="n">
        <v>0</v>
      </c>
      <c r="J642" t="n">
        <v>0</v>
      </c>
      <c r="K642" t="n">
        <v>0</v>
      </c>
      <c r="L642" t="n">
        <v>0</v>
      </c>
      <c r="M642" t="n">
        <v>0</v>
      </c>
      <c r="N642" t="n">
        <v>0</v>
      </c>
      <c r="O642" t="n">
        <v>0</v>
      </c>
      <c r="P642" t="n">
        <v>0</v>
      </c>
      <c r="Q642" t="n">
        <v>0</v>
      </c>
      <c r="R642" s="2" t="inlineStr"/>
    </row>
    <row r="643" ht="15" customHeight="1">
      <c r="A643" t="inlineStr">
        <is>
          <t>A 51315-2021</t>
        </is>
      </c>
      <c r="B643" s="1" t="n">
        <v>44461</v>
      </c>
      <c r="C643" s="1" t="n">
        <v>45827</v>
      </c>
      <c r="D643" t="inlineStr">
        <is>
          <t>STOCKHOLMS LÄN</t>
        </is>
      </c>
      <c r="E643" t="inlineStr">
        <is>
          <t>NORRTÄLJE</t>
        </is>
      </c>
      <c r="F643" t="inlineStr">
        <is>
          <t>Holmen skog AB</t>
        </is>
      </c>
      <c r="G643" t="n">
        <v>2.2</v>
      </c>
      <c r="H643" t="n">
        <v>0</v>
      </c>
      <c r="I643" t="n">
        <v>0</v>
      </c>
      <c r="J643" t="n">
        <v>0</v>
      </c>
      <c r="K643" t="n">
        <v>0</v>
      </c>
      <c r="L643" t="n">
        <v>0</v>
      </c>
      <c r="M643" t="n">
        <v>0</v>
      </c>
      <c r="N643" t="n">
        <v>0</v>
      </c>
      <c r="O643" t="n">
        <v>0</v>
      </c>
      <c r="P643" t="n">
        <v>0</v>
      </c>
      <c r="Q643" t="n">
        <v>0</v>
      </c>
      <c r="R643" s="2" t="inlineStr"/>
    </row>
    <row r="644" ht="15" customHeight="1">
      <c r="A644" t="inlineStr">
        <is>
          <t>A 52090-2021</t>
        </is>
      </c>
      <c r="B644" s="1" t="n">
        <v>44463</v>
      </c>
      <c r="C644" s="1" t="n">
        <v>45827</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v>
      </c>
      <c r="C645" s="1" t="n">
        <v>45827</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54276-2021</t>
        </is>
      </c>
      <c r="B646" s="1" t="n">
        <v>44470</v>
      </c>
      <c r="C646" s="1" t="n">
        <v>45827</v>
      </c>
      <c r="D646" t="inlineStr">
        <is>
          <t>STOCKHOLMS LÄN</t>
        </is>
      </c>
      <c r="E646" t="inlineStr">
        <is>
          <t>NORRTÄLJE</t>
        </is>
      </c>
      <c r="G646" t="n">
        <v>7.3</v>
      </c>
      <c r="H646" t="n">
        <v>0</v>
      </c>
      <c r="I646" t="n">
        <v>0</v>
      </c>
      <c r="J646" t="n">
        <v>0</v>
      </c>
      <c r="K646" t="n">
        <v>0</v>
      </c>
      <c r="L646" t="n">
        <v>0</v>
      </c>
      <c r="M646" t="n">
        <v>0</v>
      </c>
      <c r="N646" t="n">
        <v>0</v>
      </c>
      <c r="O646" t="n">
        <v>0</v>
      </c>
      <c r="P646" t="n">
        <v>0</v>
      </c>
      <c r="Q646" t="n">
        <v>0</v>
      </c>
      <c r="R646" s="2" t="inlineStr"/>
    </row>
    <row r="647" ht="15" customHeight="1">
      <c r="A647" t="inlineStr">
        <is>
          <t>A 54273-2021</t>
        </is>
      </c>
      <c r="B647" s="1" t="n">
        <v>44470</v>
      </c>
      <c r="C647" s="1" t="n">
        <v>45827</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54272-2021</t>
        </is>
      </c>
      <c r="B648" s="1" t="n">
        <v>44470</v>
      </c>
      <c r="C648" s="1" t="n">
        <v>45827</v>
      </c>
      <c r="D648" t="inlineStr">
        <is>
          <t>STOCKHOLMS LÄN</t>
        </is>
      </c>
      <c r="E648" t="inlineStr">
        <is>
          <t>NORRTÄLJE</t>
        </is>
      </c>
      <c r="G648" t="n">
        <v>5.8</v>
      </c>
      <c r="H648" t="n">
        <v>0</v>
      </c>
      <c r="I648" t="n">
        <v>0</v>
      </c>
      <c r="J648" t="n">
        <v>0</v>
      </c>
      <c r="K648" t="n">
        <v>0</v>
      </c>
      <c r="L648" t="n">
        <v>0</v>
      </c>
      <c r="M648" t="n">
        <v>0</v>
      </c>
      <c r="N648" t="n">
        <v>0</v>
      </c>
      <c r="O648" t="n">
        <v>0</v>
      </c>
      <c r="P648" t="n">
        <v>0</v>
      </c>
      <c r="Q648" t="n">
        <v>0</v>
      </c>
      <c r="R648" s="2" t="inlineStr"/>
    </row>
    <row r="649" ht="15" customHeight="1">
      <c r="A649" t="inlineStr">
        <is>
          <t>A 54396-2021</t>
        </is>
      </c>
      <c r="B649" s="1" t="n">
        <v>44472</v>
      </c>
      <c r="C649" s="1" t="n">
        <v>45827</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55058-2021</t>
        </is>
      </c>
      <c r="B650" s="1" t="n">
        <v>44474</v>
      </c>
      <c r="C650" s="1" t="n">
        <v>45827</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56219-2021</t>
        </is>
      </c>
      <c r="B651" s="1" t="n">
        <v>44477</v>
      </c>
      <c r="C651" s="1" t="n">
        <v>45827</v>
      </c>
      <c r="D651" t="inlineStr">
        <is>
          <t>STOCKHOLMS LÄN</t>
        </is>
      </c>
      <c r="E651" t="inlineStr">
        <is>
          <t>NORRTÄLJE</t>
        </is>
      </c>
      <c r="F651" t="inlineStr">
        <is>
          <t>Kommuner</t>
        </is>
      </c>
      <c r="G651" t="n">
        <v>2.3</v>
      </c>
      <c r="H651" t="n">
        <v>0</v>
      </c>
      <c r="I651" t="n">
        <v>0</v>
      </c>
      <c r="J651" t="n">
        <v>0</v>
      </c>
      <c r="K651" t="n">
        <v>0</v>
      </c>
      <c r="L651" t="n">
        <v>0</v>
      </c>
      <c r="M651" t="n">
        <v>0</v>
      </c>
      <c r="N651" t="n">
        <v>0</v>
      </c>
      <c r="O651" t="n">
        <v>0</v>
      </c>
      <c r="P651" t="n">
        <v>0</v>
      </c>
      <c r="Q651" t="n">
        <v>0</v>
      </c>
      <c r="R651" s="2" t="inlineStr"/>
    </row>
    <row r="652" ht="15" customHeight="1">
      <c r="A652" t="inlineStr">
        <is>
          <t>A 56225-2021</t>
        </is>
      </c>
      <c r="B652" s="1" t="n">
        <v>44478</v>
      </c>
      <c r="C652" s="1" t="n">
        <v>45827</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56878-2021</t>
        </is>
      </c>
      <c r="B653" s="1" t="n">
        <v>44481</v>
      </c>
      <c r="C653" s="1" t="n">
        <v>45827</v>
      </c>
      <c r="D653" t="inlineStr">
        <is>
          <t>STOCKHOLMS LÄN</t>
        </is>
      </c>
      <c r="E653" t="inlineStr">
        <is>
          <t>NORRTÄLJE</t>
        </is>
      </c>
      <c r="G653" t="n">
        <v>4.5</v>
      </c>
      <c r="H653" t="n">
        <v>0</v>
      </c>
      <c r="I653" t="n">
        <v>0</v>
      </c>
      <c r="J653" t="n">
        <v>0</v>
      </c>
      <c r="K653" t="n">
        <v>0</v>
      </c>
      <c r="L653" t="n">
        <v>0</v>
      </c>
      <c r="M653" t="n">
        <v>0</v>
      </c>
      <c r="N653" t="n">
        <v>0</v>
      </c>
      <c r="O653" t="n">
        <v>0</v>
      </c>
      <c r="P653" t="n">
        <v>0</v>
      </c>
      <c r="Q653" t="n">
        <v>0</v>
      </c>
      <c r="R653" s="2" t="inlineStr"/>
    </row>
    <row r="654" ht="15" customHeight="1">
      <c r="A654" t="inlineStr">
        <is>
          <t>A 57442-2021</t>
        </is>
      </c>
      <c r="B654" s="1" t="n">
        <v>44483</v>
      </c>
      <c r="C654" s="1" t="n">
        <v>45827</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57507-2021</t>
        </is>
      </c>
      <c r="B655" s="1" t="n">
        <v>44483</v>
      </c>
      <c r="C655" s="1" t="n">
        <v>45827</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58989-2021</t>
        </is>
      </c>
      <c r="B656" s="1" t="n">
        <v>44490</v>
      </c>
      <c r="C656" s="1" t="n">
        <v>45827</v>
      </c>
      <c r="D656" t="inlineStr">
        <is>
          <t>STOCKHOLMS LÄN</t>
        </is>
      </c>
      <c r="E656" t="inlineStr">
        <is>
          <t>NORRTÄLJE</t>
        </is>
      </c>
      <c r="G656" t="n">
        <v>0.3</v>
      </c>
      <c r="H656" t="n">
        <v>0</v>
      </c>
      <c r="I656" t="n">
        <v>0</v>
      </c>
      <c r="J656" t="n">
        <v>0</v>
      </c>
      <c r="K656" t="n">
        <v>0</v>
      </c>
      <c r="L656" t="n">
        <v>0</v>
      </c>
      <c r="M656" t="n">
        <v>0</v>
      </c>
      <c r="N656" t="n">
        <v>0</v>
      </c>
      <c r="O656" t="n">
        <v>0</v>
      </c>
      <c r="P656" t="n">
        <v>0</v>
      </c>
      <c r="Q656" t="n">
        <v>0</v>
      </c>
      <c r="R656" s="2" t="inlineStr"/>
    </row>
    <row r="657" ht="15" customHeight="1">
      <c r="A657" t="inlineStr">
        <is>
          <t>A 58990-2021</t>
        </is>
      </c>
      <c r="B657" s="1" t="n">
        <v>44490</v>
      </c>
      <c r="C657" s="1" t="n">
        <v>45827</v>
      </c>
      <c r="D657" t="inlineStr">
        <is>
          <t>STOCKHOLMS LÄN</t>
        </is>
      </c>
      <c r="E657" t="inlineStr">
        <is>
          <t>NORRTÄLJE</t>
        </is>
      </c>
      <c r="G657" t="n">
        <v>4.2</v>
      </c>
      <c r="H657" t="n">
        <v>0</v>
      </c>
      <c r="I657" t="n">
        <v>0</v>
      </c>
      <c r="J657" t="n">
        <v>0</v>
      </c>
      <c r="K657" t="n">
        <v>0</v>
      </c>
      <c r="L657" t="n">
        <v>0</v>
      </c>
      <c r="M657" t="n">
        <v>0</v>
      </c>
      <c r="N657" t="n">
        <v>0</v>
      </c>
      <c r="O657" t="n">
        <v>0</v>
      </c>
      <c r="P657" t="n">
        <v>0</v>
      </c>
      <c r="Q657" t="n">
        <v>0</v>
      </c>
      <c r="R657" s="2" t="inlineStr"/>
    </row>
    <row r="658" ht="15" customHeight="1">
      <c r="A658" t="inlineStr">
        <is>
          <t>A 60217-2021</t>
        </is>
      </c>
      <c r="B658" s="1" t="n">
        <v>44495</v>
      </c>
      <c r="C658" s="1" t="n">
        <v>45827</v>
      </c>
      <c r="D658" t="inlineStr">
        <is>
          <t>STOCKHOLMS LÄN</t>
        </is>
      </c>
      <c r="E658" t="inlineStr">
        <is>
          <t>NORRTÄLJE</t>
        </is>
      </c>
      <c r="G658" t="n">
        <v>4.3</v>
      </c>
      <c r="H658" t="n">
        <v>0</v>
      </c>
      <c r="I658" t="n">
        <v>0</v>
      </c>
      <c r="J658" t="n">
        <v>0</v>
      </c>
      <c r="K658" t="n">
        <v>0</v>
      </c>
      <c r="L658" t="n">
        <v>0</v>
      </c>
      <c r="M658" t="n">
        <v>0</v>
      </c>
      <c r="N658" t="n">
        <v>0</v>
      </c>
      <c r="O658" t="n">
        <v>0</v>
      </c>
      <c r="P658" t="n">
        <v>0</v>
      </c>
      <c r="Q658" t="n">
        <v>0</v>
      </c>
      <c r="R658" s="2" t="inlineStr"/>
    </row>
    <row r="659" ht="15" customHeight="1">
      <c r="A659" t="inlineStr">
        <is>
          <t>A 60184-2021</t>
        </is>
      </c>
      <c r="B659" s="1" t="n">
        <v>44495</v>
      </c>
      <c r="C659" s="1" t="n">
        <v>45827</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60186-2021</t>
        </is>
      </c>
      <c r="B660" s="1" t="n">
        <v>44495</v>
      </c>
      <c r="C660" s="1" t="n">
        <v>45827</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60209-2021</t>
        </is>
      </c>
      <c r="B661" s="1" t="n">
        <v>44495</v>
      </c>
      <c r="C661" s="1" t="n">
        <v>45827</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60671-2021</t>
        </is>
      </c>
      <c r="B662" s="1" t="n">
        <v>44496</v>
      </c>
      <c r="C662" s="1" t="n">
        <v>45827</v>
      </c>
      <c r="D662" t="inlineStr">
        <is>
          <t>STOCKHOLMS LÄN</t>
        </is>
      </c>
      <c r="E662" t="inlineStr">
        <is>
          <t>NORRTÄLJE</t>
        </is>
      </c>
      <c r="G662" t="n">
        <v>3.3</v>
      </c>
      <c r="H662" t="n">
        <v>0</v>
      </c>
      <c r="I662" t="n">
        <v>0</v>
      </c>
      <c r="J662" t="n">
        <v>0</v>
      </c>
      <c r="K662" t="n">
        <v>0</v>
      </c>
      <c r="L662" t="n">
        <v>0</v>
      </c>
      <c r="M662" t="n">
        <v>0</v>
      </c>
      <c r="N662" t="n">
        <v>0</v>
      </c>
      <c r="O662" t="n">
        <v>0</v>
      </c>
      <c r="P662" t="n">
        <v>0</v>
      </c>
      <c r="Q662" t="n">
        <v>0</v>
      </c>
      <c r="R662" s="2" t="inlineStr"/>
    </row>
    <row r="663" ht="15" customHeight="1">
      <c r="A663" t="inlineStr">
        <is>
          <t>A 60733-2021</t>
        </is>
      </c>
      <c r="B663" s="1" t="n">
        <v>44496</v>
      </c>
      <c r="C663" s="1" t="n">
        <v>45827</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60813-2021</t>
        </is>
      </c>
      <c r="B664" s="1" t="n">
        <v>44496</v>
      </c>
      <c r="C664" s="1" t="n">
        <v>45827</v>
      </c>
      <c r="D664" t="inlineStr">
        <is>
          <t>STOCKHOLMS LÄN</t>
        </is>
      </c>
      <c r="E664" t="inlineStr">
        <is>
          <t>NORRTÄLJE</t>
        </is>
      </c>
      <c r="G664" t="n">
        <v>1.6</v>
      </c>
      <c r="H664" t="n">
        <v>0</v>
      </c>
      <c r="I664" t="n">
        <v>0</v>
      </c>
      <c r="J664" t="n">
        <v>0</v>
      </c>
      <c r="K664" t="n">
        <v>0</v>
      </c>
      <c r="L664" t="n">
        <v>0</v>
      </c>
      <c r="M664" t="n">
        <v>0</v>
      </c>
      <c r="N664" t="n">
        <v>0</v>
      </c>
      <c r="O664" t="n">
        <v>0</v>
      </c>
      <c r="P664" t="n">
        <v>0</v>
      </c>
      <c r="Q664" t="n">
        <v>0</v>
      </c>
      <c r="R664" s="2" t="inlineStr"/>
    </row>
    <row r="665" ht="15" customHeight="1">
      <c r="A665" t="inlineStr">
        <is>
          <t>A 60822-2021</t>
        </is>
      </c>
      <c r="B665" s="1" t="n">
        <v>44496</v>
      </c>
      <c r="C665" s="1" t="n">
        <v>45827</v>
      </c>
      <c r="D665" t="inlineStr">
        <is>
          <t>STOCKHOLMS LÄN</t>
        </is>
      </c>
      <c r="E665" t="inlineStr">
        <is>
          <t>NORRTÄLJE</t>
        </is>
      </c>
      <c r="G665" t="n">
        <v>7.6</v>
      </c>
      <c r="H665" t="n">
        <v>0</v>
      </c>
      <c r="I665" t="n">
        <v>0</v>
      </c>
      <c r="J665" t="n">
        <v>0</v>
      </c>
      <c r="K665" t="n">
        <v>0</v>
      </c>
      <c r="L665" t="n">
        <v>0</v>
      </c>
      <c r="M665" t="n">
        <v>0</v>
      </c>
      <c r="N665" t="n">
        <v>0</v>
      </c>
      <c r="O665" t="n">
        <v>0</v>
      </c>
      <c r="P665" t="n">
        <v>0</v>
      </c>
      <c r="Q665" t="n">
        <v>0</v>
      </c>
      <c r="R665" s="2" t="inlineStr"/>
    </row>
    <row r="666" ht="15" customHeight="1">
      <c r="A666" t="inlineStr">
        <is>
          <t>A 62030-2021</t>
        </is>
      </c>
      <c r="B666" s="1" t="n">
        <v>44502</v>
      </c>
      <c r="C666" s="1" t="n">
        <v>45827</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63530-2021</t>
        </is>
      </c>
      <c r="B667" s="1" t="n">
        <v>44508</v>
      </c>
      <c r="C667" s="1" t="n">
        <v>45827</v>
      </c>
      <c r="D667" t="inlineStr">
        <is>
          <t>STOCKHOLMS LÄN</t>
        </is>
      </c>
      <c r="E667" t="inlineStr">
        <is>
          <t>NORRTÄLJE</t>
        </is>
      </c>
      <c r="G667" t="n">
        <v>8.9</v>
      </c>
      <c r="H667" t="n">
        <v>0</v>
      </c>
      <c r="I667" t="n">
        <v>0</v>
      </c>
      <c r="J667" t="n">
        <v>0</v>
      </c>
      <c r="K667" t="n">
        <v>0</v>
      </c>
      <c r="L667" t="n">
        <v>0</v>
      </c>
      <c r="M667" t="n">
        <v>0</v>
      </c>
      <c r="N667" t="n">
        <v>0</v>
      </c>
      <c r="O667" t="n">
        <v>0</v>
      </c>
      <c r="P667" t="n">
        <v>0</v>
      </c>
      <c r="Q667" t="n">
        <v>0</v>
      </c>
      <c r="R667" s="2" t="inlineStr"/>
    </row>
    <row r="668" ht="15" customHeight="1">
      <c r="A668" t="inlineStr">
        <is>
          <t>A 64137-2021</t>
        </is>
      </c>
      <c r="B668" s="1" t="n">
        <v>44510</v>
      </c>
      <c r="C668" s="1" t="n">
        <v>45827</v>
      </c>
      <c r="D668" t="inlineStr">
        <is>
          <t>STOCKHOLMS LÄN</t>
        </is>
      </c>
      <c r="E668" t="inlineStr">
        <is>
          <t>NORRTÄLJE</t>
        </is>
      </c>
      <c r="F668" t="inlineStr">
        <is>
          <t>Holmen skog AB</t>
        </is>
      </c>
      <c r="G668" t="n">
        <v>1.5</v>
      </c>
      <c r="H668" t="n">
        <v>0</v>
      </c>
      <c r="I668" t="n">
        <v>0</v>
      </c>
      <c r="J668" t="n">
        <v>0</v>
      </c>
      <c r="K668" t="n">
        <v>0</v>
      </c>
      <c r="L668" t="n">
        <v>0</v>
      </c>
      <c r="M668" t="n">
        <v>0</v>
      </c>
      <c r="N668" t="n">
        <v>0</v>
      </c>
      <c r="O668" t="n">
        <v>0</v>
      </c>
      <c r="P668" t="n">
        <v>0</v>
      </c>
      <c r="Q668" t="n">
        <v>0</v>
      </c>
      <c r="R668" s="2" t="inlineStr"/>
    </row>
    <row r="669" ht="15" customHeight="1">
      <c r="A669" t="inlineStr">
        <is>
          <t>A 64212-2021</t>
        </is>
      </c>
      <c r="B669" s="1" t="n">
        <v>44510</v>
      </c>
      <c r="C669" s="1" t="n">
        <v>45827</v>
      </c>
      <c r="D669" t="inlineStr">
        <is>
          <t>STOCKHOLMS LÄN</t>
        </is>
      </c>
      <c r="E669" t="inlineStr">
        <is>
          <t>NORRTÄLJE</t>
        </is>
      </c>
      <c r="G669" t="n">
        <v>28.7</v>
      </c>
      <c r="H669" t="n">
        <v>0</v>
      </c>
      <c r="I669" t="n">
        <v>0</v>
      </c>
      <c r="J669" t="n">
        <v>0</v>
      </c>
      <c r="K669" t="n">
        <v>0</v>
      </c>
      <c r="L669" t="n">
        <v>0</v>
      </c>
      <c r="M669" t="n">
        <v>0</v>
      </c>
      <c r="N669" t="n">
        <v>0</v>
      </c>
      <c r="O669" t="n">
        <v>0</v>
      </c>
      <c r="P669" t="n">
        <v>0</v>
      </c>
      <c r="Q669" t="n">
        <v>0</v>
      </c>
      <c r="R669" s="2" t="inlineStr"/>
    </row>
    <row r="670" ht="15" customHeight="1">
      <c r="A670" t="inlineStr">
        <is>
          <t>A 64074-2021</t>
        </is>
      </c>
      <c r="B670" s="1" t="n">
        <v>44510</v>
      </c>
      <c r="C670" s="1" t="n">
        <v>45827</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64145-2021</t>
        </is>
      </c>
      <c r="B671" s="1" t="n">
        <v>44510</v>
      </c>
      <c r="C671" s="1" t="n">
        <v>45827</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64600-2021</t>
        </is>
      </c>
      <c r="B672" s="1" t="n">
        <v>44511</v>
      </c>
      <c r="C672" s="1" t="n">
        <v>45827</v>
      </c>
      <c r="D672" t="inlineStr">
        <is>
          <t>STOCKHOLMS LÄN</t>
        </is>
      </c>
      <c r="E672" t="inlineStr">
        <is>
          <t>NORRTÄLJE</t>
        </is>
      </c>
      <c r="G672" t="n">
        <v>6.2</v>
      </c>
      <c r="H672" t="n">
        <v>0</v>
      </c>
      <c r="I672" t="n">
        <v>0</v>
      </c>
      <c r="J672" t="n">
        <v>0</v>
      </c>
      <c r="K672" t="n">
        <v>0</v>
      </c>
      <c r="L672" t="n">
        <v>0</v>
      </c>
      <c r="M672" t="n">
        <v>0</v>
      </c>
      <c r="N672" t="n">
        <v>0</v>
      </c>
      <c r="O672" t="n">
        <v>0</v>
      </c>
      <c r="P672" t="n">
        <v>0</v>
      </c>
      <c r="Q672" t="n">
        <v>0</v>
      </c>
      <c r="R672" s="2" t="inlineStr"/>
    </row>
    <row r="673" ht="15" customHeight="1">
      <c r="A673" t="inlineStr">
        <is>
          <t>A 64599-2021</t>
        </is>
      </c>
      <c r="B673" s="1" t="n">
        <v>44511</v>
      </c>
      <c r="C673" s="1" t="n">
        <v>45827</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64628-2021</t>
        </is>
      </c>
      <c r="B674" s="1" t="n">
        <v>44511</v>
      </c>
      <c r="C674" s="1" t="n">
        <v>45827</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64915-2021</t>
        </is>
      </c>
      <c r="B675" s="1" t="n">
        <v>44512</v>
      </c>
      <c r="C675" s="1" t="n">
        <v>45827</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65359-2021</t>
        </is>
      </c>
      <c r="B676" s="1" t="n">
        <v>44515</v>
      </c>
      <c r="C676" s="1" t="n">
        <v>45827</v>
      </c>
      <c r="D676" t="inlineStr">
        <is>
          <t>STOCKHOLMS LÄN</t>
        </is>
      </c>
      <c r="E676" t="inlineStr">
        <is>
          <t>NORRTÄLJE</t>
        </is>
      </c>
      <c r="F676" t="inlineStr">
        <is>
          <t>Kyrkan</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65499-2021</t>
        </is>
      </c>
      <c r="B677" s="1" t="n">
        <v>44516</v>
      </c>
      <c r="C677" s="1" t="n">
        <v>45827</v>
      </c>
      <c r="D677" t="inlineStr">
        <is>
          <t>STOCKHOLMS LÄN</t>
        </is>
      </c>
      <c r="E677" t="inlineStr">
        <is>
          <t>NORRTÄLJE</t>
        </is>
      </c>
      <c r="F677" t="inlineStr">
        <is>
          <t>Kommuner</t>
        </is>
      </c>
      <c r="G677" t="n">
        <v>5.2</v>
      </c>
      <c r="H677" t="n">
        <v>0</v>
      </c>
      <c r="I677" t="n">
        <v>0</v>
      </c>
      <c r="J677" t="n">
        <v>0</v>
      </c>
      <c r="K677" t="n">
        <v>0</v>
      </c>
      <c r="L677" t="n">
        <v>0</v>
      </c>
      <c r="M677" t="n">
        <v>0</v>
      </c>
      <c r="N677" t="n">
        <v>0</v>
      </c>
      <c r="O677" t="n">
        <v>0</v>
      </c>
      <c r="P677" t="n">
        <v>0</v>
      </c>
      <c r="Q677" t="n">
        <v>0</v>
      </c>
      <c r="R677" s="2" t="inlineStr"/>
    </row>
    <row r="678" ht="15" customHeight="1">
      <c r="A678" t="inlineStr">
        <is>
          <t>A 65513-2021</t>
        </is>
      </c>
      <c r="B678" s="1" t="n">
        <v>44516</v>
      </c>
      <c r="C678" s="1" t="n">
        <v>45827</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65511-2021</t>
        </is>
      </c>
      <c r="B679" s="1" t="n">
        <v>44516</v>
      </c>
      <c r="C679" s="1" t="n">
        <v>45827</v>
      </c>
      <c r="D679" t="inlineStr">
        <is>
          <t>STOCKHOLMS LÄN</t>
        </is>
      </c>
      <c r="E679" t="inlineStr">
        <is>
          <t>NORRTÄLJE</t>
        </is>
      </c>
      <c r="F679" t="inlineStr">
        <is>
          <t>Kommuner</t>
        </is>
      </c>
      <c r="G679" t="n">
        <v>2.8</v>
      </c>
      <c r="H679" t="n">
        <v>0</v>
      </c>
      <c r="I679" t="n">
        <v>0</v>
      </c>
      <c r="J679" t="n">
        <v>0</v>
      </c>
      <c r="K679" t="n">
        <v>0</v>
      </c>
      <c r="L679" t="n">
        <v>0</v>
      </c>
      <c r="M679" t="n">
        <v>0</v>
      </c>
      <c r="N679" t="n">
        <v>0</v>
      </c>
      <c r="O679" t="n">
        <v>0</v>
      </c>
      <c r="P679" t="n">
        <v>0</v>
      </c>
      <c r="Q679" t="n">
        <v>0</v>
      </c>
      <c r="R679" s="2" t="inlineStr"/>
    </row>
    <row r="680" ht="15" customHeight="1">
      <c r="A680" t="inlineStr">
        <is>
          <t>A 65501-2021</t>
        </is>
      </c>
      <c r="B680" s="1" t="n">
        <v>44516</v>
      </c>
      <c r="C680" s="1" t="n">
        <v>45827</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65509-2021</t>
        </is>
      </c>
      <c r="B681" s="1" t="n">
        <v>44516</v>
      </c>
      <c r="C681" s="1" t="n">
        <v>45827</v>
      </c>
      <c r="D681" t="inlineStr">
        <is>
          <t>STOCKHOLMS LÄN</t>
        </is>
      </c>
      <c r="E681" t="inlineStr">
        <is>
          <t>NORRTÄLJE</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65611-2021</t>
        </is>
      </c>
      <c r="B682" s="1" t="n">
        <v>44516</v>
      </c>
      <c r="C682" s="1" t="n">
        <v>45827</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65737-2021</t>
        </is>
      </c>
      <c r="B683" s="1" t="n">
        <v>44516</v>
      </c>
      <c r="C683" s="1" t="n">
        <v>45827</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66450-2021</t>
        </is>
      </c>
      <c r="B684" s="1" t="n">
        <v>44518</v>
      </c>
      <c r="C684" s="1" t="n">
        <v>45827</v>
      </c>
      <c r="D684" t="inlineStr">
        <is>
          <t>STOCKHOLMS LÄN</t>
        </is>
      </c>
      <c r="E684" t="inlineStr">
        <is>
          <t>NORRTÄLJE</t>
        </is>
      </c>
      <c r="G684" t="n">
        <v>9.1</v>
      </c>
      <c r="H684" t="n">
        <v>0</v>
      </c>
      <c r="I684" t="n">
        <v>0</v>
      </c>
      <c r="J684" t="n">
        <v>0</v>
      </c>
      <c r="K684" t="n">
        <v>0</v>
      </c>
      <c r="L684" t="n">
        <v>0</v>
      </c>
      <c r="M684" t="n">
        <v>0</v>
      </c>
      <c r="N684" t="n">
        <v>0</v>
      </c>
      <c r="O684" t="n">
        <v>0</v>
      </c>
      <c r="P684" t="n">
        <v>0</v>
      </c>
      <c r="Q684" t="n">
        <v>0</v>
      </c>
      <c r="R684" s="2" t="inlineStr"/>
    </row>
    <row r="685" ht="15" customHeight="1">
      <c r="A685" t="inlineStr">
        <is>
          <t>A 66608-2021</t>
        </is>
      </c>
      <c r="B685" s="1" t="n">
        <v>44519</v>
      </c>
      <c r="C685" s="1" t="n">
        <v>45827</v>
      </c>
      <c r="D685" t="inlineStr">
        <is>
          <t>STOCKHOLMS LÄN</t>
        </is>
      </c>
      <c r="E685" t="inlineStr">
        <is>
          <t>NORRTÄLJE</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66592-2021</t>
        </is>
      </c>
      <c r="B686" s="1" t="n">
        <v>44519</v>
      </c>
      <c r="C686" s="1" t="n">
        <v>45827</v>
      </c>
      <c r="D686" t="inlineStr">
        <is>
          <t>STOCKHOLMS LÄN</t>
        </is>
      </c>
      <c r="E686" t="inlineStr">
        <is>
          <t>NORRTÄLJE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66769-2021</t>
        </is>
      </c>
      <c r="B687" s="1" t="n">
        <v>44521</v>
      </c>
      <c r="C687" s="1" t="n">
        <v>45827</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67285-2021</t>
        </is>
      </c>
      <c r="B688" s="1" t="n">
        <v>44523</v>
      </c>
      <c r="C688" s="1" t="n">
        <v>45827</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67525-2021</t>
        </is>
      </c>
      <c r="B689" s="1" t="n">
        <v>44524</v>
      </c>
      <c r="C689" s="1" t="n">
        <v>45827</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67598-2021</t>
        </is>
      </c>
      <c r="B690" s="1" t="n">
        <v>44524</v>
      </c>
      <c r="C690" s="1" t="n">
        <v>45827</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67921-2021</t>
        </is>
      </c>
      <c r="B691" s="1" t="n">
        <v>44525</v>
      </c>
      <c r="C691" s="1" t="n">
        <v>45827</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67990-2021</t>
        </is>
      </c>
      <c r="B692" s="1" t="n">
        <v>44525</v>
      </c>
      <c r="C692" s="1" t="n">
        <v>45827</v>
      </c>
      <c r="D692" t="inlineStr">
        <is>
          <t>STOCKHOLMS LÄN</t>
        </is>
      </c>
      <c r="E692" t="inlineStr">
        <is>
          <t>NORRTÄLJE</t>
        </is>
      </c>
      <c r="F692" t="inlineStr">
        <is>
          <t>Sveaskog</t>
        </is>
      </c>
      <c r="G692" t="n">
        <v>7.8</v>
      </c>
      <c r="H692" t="n">
        <v>0</v>
      </c>
      <c r="I692" t="n">
        <v>0</v>
      </c>
      <c r="J692" t="n">
        <v>0</v>
      </c>
      <c r="K692" t="n">
        <v>0</v>
      </c>
      <c r="L692" t="n">
        <v>0</v>
      </c>
      <c r="M692" t="n">
        <v>0</v>
      </c>
      <c r="N692" t="n">
        <v>0</v>
      </c>
      <c r="O692" t="n">
        <v>0</v>
      </c>
      <c r="P692" t="n">
        <v>0</v>
      </c>
      <c r="Q692" t="n">
        <v>0</v>
      </c>
      <c r="R692" s="2" t="inlineStr"/>
    </row>
    <row r="693" ht="15" customHeight="1">
      <c r="A693" t="inlineStr">
        <is>
          <t>A 67992-2021</t>
        </is>
      </c>
      <c r="B693" s="1" t="n">
        <v>44525</v>
      </c>
      <c r="C693" s="1" t="n">
        <v>45827</v>
      </c>
      <c r="D693" t="inlineStr">
        <is>
          <t>STOCKHOLMS LÄN</t>
        </is>
      </c>
      <c r="E693" t="inlineStr">
        <is>
          <t>NORRTÄLJE</t>
        </is>
      </c>
      <c r="F693" t="inlineStr">
        <is>
          <t>Sveaskog</t>
        </is>
      </c>
      <c r="G693" t="n">
        <v>4.6</v>
      </c>
      <c r="H693" t="n">
        <v>0</v>
      </c>
      <c r="I693" t="n">
        <v>0</v>
      </c>
      <c r="J693" t="n">
        <v>0</v>
      </c>
      <c r="K693" t="n">
        <v>0</v>
      </c>
      <c r="L693" t="n">
        <v>0</v>
      </c>
      <c r="M693" t="n">
        <v>0</v>
      </c>
      <c r="N693" t="n">
        <v>0</v>
      </c>
      <c r="O693" t="n">
        <v>0</v>
      </c>
      <c r="P693" t="n">
        <v>0</v>
      </c>
      <c r="Q693" t="n">
        <v>0</v>
      </c>
      <c r="R693" s="2" t="inlineStr"/>
    </row>
    <row r="694" ht="15" customHeight="1">
      <c r="A694" t="inlineStr">
        <is>
          <t>A 67993-2021</t>
        </is>
      </c>
      <c r="B694" s="1" t="n">
        <v>44525</v>
      </c>
      <c r="C694" s="1" t="n">
        <v>45827</v>
      </c>
      <c r="D694" t="inlineStr">
        <is>
          <t>STOCKHOLMS LÄN</t>
        </is>
      </c>
      <c r="E694" t="inlineStr">
        <is>
          <t>NORRTÄLJE</t>
        </is>
      </c>
      <c r="F694" t="inlineStr">
        <is>
          <t>Sveaskog</t>
        </is>
      </c>
      <c r="G694" t="n">
        <v>3.4</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45827</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68361-2021</t>
        </is>
      </c>
      <c r="B696" s="1" t="n">
        <v>44528</v>
      </c>
      <c r="C696" s="1" t="n">
        <v>45827</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69034-2021</t>
        </is>
      </c>
      <c r="B697" s="1" t="n">
        <v>44529</v>
      </c>
      <c r="C697" s="1" t="n">
        <v>45827</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69539-2021</t>
        </is>
      </c>
      <c r="B698" s="1" t="n">
        <v>44531</v>
      </c>
      <c r="C698" s="1" t="n">
        <v>45827</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69723-2021</t>
        </is>
      </c>
      <c r="B699" s="1" t="n">
        <v>44532</v>
      </c>
      <c r="C699" s="1" t="n">
        <v>45827</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69816-2021</t>
        </is>
      </c>
      <c r="B700" s="1" t="n">
        <v>44532</v>
      </c>
      <c r="C700" s="1" t="n">
        <v>45827</v>
      </c>
      <c r="D700" t="inlineStr">
        <is>
          <t>STOCKHOLMS LÄN</t>
        </is>
      </c>
      <c r="E700" t="inlineStr">
        <is>
          <t>NORRTÄLJE</t>
        </is>
      </c>
      <c r="G700" t="n">
        <v>4.9</v>
      </c>
      <c r="H700" t="n">
        <v>0</v>
      </c>
      <c r="I700" t="n">
        <v>0</v>
      </c>
      <c r="J700" t="n">
        <v>0</v>
      </c>
      <c r="K700" t="n">
        <v>0</v>
      </c>
      <c r="L700" t="n">
        <v>0</v>
      </c>
      <c r="M700" t="n">
        <v>0</v>
      </c>
      <c r="N700" t="n">
        <v>0</v>
      </c>
      <c r="O700" t="n">
        <v>0</v>
      </c>
      <c r="P700" t="n">
        <v>0</v>
      </c>
      <c r="Q700" t="n">
        <v>0</v>
      </c>
      <c r="R700" s="2" t="inlineStr"/>
    </row>
    <row r="701" ht="15" customHeight="1">
      <c r="A701" t="inlineStr">
        <is>
          <t>A 70170-2021</t>
        </is>
      </c>
      <c r="B701" s="1" t="n">
        <v>44533</v>
      </c>
      <c r="C701" s="1" t="n">
        <v>45827</v>
      </c>
      <c r="D701" t="inlineStr">
        <is>
          <t>STOCKHOLMS LÄN</t>
        </is>
      </c>
      <c r="E701" t="inlineStr">
        <is>
          <t>NORRTÄLJE</t>
        </is>
      </c>
      <c r="G701" t="n">
        <v>2.7</v>
      </c>
      <c r="H701" t="n">
        <v>0</v>
      </c>
      <c r="I701" t="n">
        <v>0</v>
      </c>
      <c r="J701" t="n">
        <v>0</v>
      </c>
      <c r="K701" t="n">
        <v>0</v>
      </c>
      <c r="L701" t="n">
        <v>0</v>
      </c>
      <c r="M701" t="n">
        <v>0</v>
      </c>
      <c r="N701" t="n">
        <v>0</v>
      </c>
      <c r="O701" t="n">
        <v>0</v>
      </c>
      <c r="P701" t="n">
        <v>0</v>
      </c>
      <c r="Q701" t="n">
        <v>0</v>
      </c>
      <c r="R701" s="2" t="inlineStr"/>
    </row>
    <row r="702" ht="15" customHeight="1">
      <c r="A702" t="inlineStr">
        <is>
          <t>A 69988-2021</t>
        </is>
      </c>
      <c r="B702" s="1" t="n">
        <v>44533</v>
      </c>
      <c r="C702" s="1" t="n">
        <v>45827</v>
      </c>
      <c r="D702" t="inlineStr">
        <is>
          <t>STOCKHOLMS LÄN</t>
        </is>
      </c>
      <c r="E702" t="inlineStr">
        <is>
          <t>NORRTÄLJE</t>
        </is>
      </c>
      <c r="G702" t="n">
        <v>6.3</v>
      </c>
      <c r="H702" t="n">
        <v>0</v>
      </c>
      <c r="I702" t="n">
        <v>0</v>
      </c>
      <c r="J702" t="n">
        <v>0</v>
      </c>
      <c r="K702" t="n">
        <v>0</v>
      </c>
      <c r="L702" t="n">
        <v>0</v>
      </c>
      <c r="M702" t="n">
        <v>0</v>
      </c>
      <c r="N702" t="n">
        <v>0</v>
      </c>
      <c r="O702" t="n">
        <v>0</v>
      </c>
      <c r="P702" t="n">
        <v>0</v>
      </c>
      <c r="Q702" t="n">
        <v>0</v>
      </c>
      <c r="R702" s="2" t="inlineStr"/>
    </row>
    <row r="703" ht="15" customHeight="1">
      <c r="A703" t="inlineStr">
        <is>
          <t>A 70469-2021</t>
        </is>
      </c>
      <c r="B703" s="1" t="n">
        <v>44536</v>
      </c>
      <c r="C703" s="1" t="n">
        <v>45827</v>
      </c>
      <c r="D703" t="inlineStr">
        <is>
          <t>STOCKHOLMS LÄN</t>
        </is>
      </c>
      <c r="E703" t="inlineStr">
        <is>
          <t>NORRTÄLJE</t>
        </is>
      </c>
      <c r="F703" t="inlineStr">
        <is>
          <t>Holmen skog AB</t>
        </is>
      </c>
      <c r="G703" t="n">
        <v>2.5</v>
      </c>
      <c r="H703" t="n">
        <v>0</v>
      </c>
      <c r="I703" t="n">
        <v>0</v>
      </c>
      <c r="J703" t="n">
        <v>0</v>
      </c>
      <c r="K703" t="n">
        <v>0</v>
      </c>
      <c r="L703" t="n">
        <v>0</v>
      </c>
      <c r="M703" t="n">
        <v>0</v>
      </c>
      <c r="N703" t="n">
        <v>0</v>
      </c>
      <c r="O703" t="n">
        <v>0</v>
      </c>
      <c r="P703" t="n">
        <v>0</v>
      </c>
      <c r="Q703" t="n">
        <v>0</v>
      </c>
      <c r="R703" s="2" t="inlineStr"/>
    </row>
    <row r="704" ht="15" customHeight="1">
      <c r="A704" t="inlineStr">
        <is>
          <t>A 71325-2021</t>
        </is>
      </c>
      <c r="B704" s="1" t="n">
        <v>44539</v>
      </c>
      <c r="C704" s="1" t="n">
        <v>45827</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71552-2021</t>
        </is>
      </c>
      <c r="B705" s="1" t="n">
        <v>44540</v>
      </c>
      <c r="C705" s="1" t="n">
        <v>45827</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71479-2021</t>
        </is>
      </c>
      <c r="B706" s="1" t="n">
        <v>44540</v>
      </c>
      <c r="C706" s="1" t="n">
        <v>45827</v>
      </c>
      <c r="D706" t="inlineStr">
        <is>
          <t>STOCKHOLMS LÄN</t>
        </is>
      </c>
      <c r="E706" t="inlineStr">
        <is>
          <t>NORRTÄLJE</t>
        </is>
      </c>
      <c r="G706" t="n">
        <v>3</v>
      </c>
      <c r="H706" t="n">
        <v>0</v>
      </c>
      <c r="I706" t="n">
        <v>0</v>
      </c>
      <c r="J706" t="n">
        <v>0</v>
      </c>
      <c r="K706" t="n">
        <v>0</v>
      </c>
      <c r="L706" t="n">
        <v>0</v>
      </c>
      <c r="M706" t="n">
        <v>0</v>
      </c>
      <c r="N706" t="n">
        <v>0</v>
      </c>
      <c r="O706" t="n">
        <v>0</v>
      </c>
      <c r="P706" t="n">
        <v>0</v>
      </c>
      <c r="Q706" t="n">
        <v>0</v>
      </c>
      <c r="R706" s="2" t="inlineStr"/>
    </row>
    <row r="707" ht="15" customHeight="1">
      <c r="A707" t="inlineStr">
        <is>
          <t>A 71543-2021</t>
        </is>
      </c>
      <c r="B707" s="1" t="n">
        <v>44540</v>
      </c>
      <c r="C707" s="1" t="n">
        <v>45827</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71873-2021</t>
        </is>
      </c>
      <c r="B708" s="1" t="n">
        <v>44543</v>
      </c>
      <c r="C708" s="1" t="n">
        <v>45827</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71876-2021</t>
        </is>
      </c>
      <c r="B709" s="1" t="n">
        <v>44543</v>
      </c>
      <c r="C709" s="1" t="n">
        <v>45827</v>
      </c>
      <c r="D709" t="inlineStr">
        <is>
          <t>STOCKHOLMS LÄN</t>
        </is>
      </c>
      <c r="E709" t="inlineStr">
        <is>
          <t>NORRTÄLJE</t>
        </is>
      </c>
      <c r="G709" t="n">
        <v>2.8</v>
      </c>
      <c r="H709" t="n">
        <v>0</v>
      </c>
      <c r="I709" t="n">
        <v>0</v>
      </c>
      <c r="J709" t="n">
        <v>0</v>
      </c>
      <c r="K709" t="n">
        <v>0</v>
      </c>
      <c r="L709" t="n">
        <v>0</v>
      </c>
      <c r="M709" t="n">
        <v>0</v>
      </c>
      <c r="N709" t="n">
        <v>0</v>
      </c>
      <c r="O709" t="n">
        <v>0</v>
      </c>
      <c r="P709" t="n">
        <v>0</v>
      </c>
      <c r="Q709" t="n">
        <v>0</v>
      </c>
      <c r="R709" s="2" t="inlineStr"/>
    </row>
    <row r="710" ht="15" customHeight="1">
      <c r="A710" t="inlineStr">
        <is>
          <t>A 71880-2021</t>
        </is>
      </c>
      <c r="B710" s="1" t="n">
        <v>44543</v>
      </c>
      <c r="C710" s="1" t="n">
        <v>45827</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71871-2021</t>
        </is>
      </c>
      <c r="B711" s="1" t="n">
        <v>44543</v>
      </c>
      <c r="C711" s="1" t="n">
        <v>45827</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71878-2021</t>
        </is>
      </c>
      <c r="B712" s="1" t="n">
        <v>44543</v>
      </c>
      <c r="C712" s="1" t="n">
        <v>45827</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72085-2021</t>
        </is>
      </c>
      <c r="B713" s="1" t="n">
        <v>44544</v>
      </c>
      <c r="C713" s="1" t="n">
        <v>45827</v>
      </c>
      <c r="D713" t="inlineStr">
        <is>
          <t>STOCKHOLMS LÄN</t>
        </is>
      </c>
      <c r="E713" t="inlineStr">
        <is>
          <t>NORRTÄLJE</t>
        </is>
      </c>
      <c r="G713" t="n">
        <v>4.9</v>
      </c>
      <c r="H713" t="n">
        <v>0</v>
      </c>
      <c r="I713" t="n">
        <v>0</v>
      </c>
      <c r="J713" t="n">
        <v>0</v>
      </c>
      <c r="K713" t="n">
        <v>0</v>
      </c>
      <c r="L713" t="n">
        <v>0</v>
      </c>
      <c r="M713" t="n">
        <v>0</v>
      </c>
      <c r="N713" t="n">
        <v>0</v>
      </c>
      <c r="O713" t="n">
        <v>0</v>
      </c>
      <c r="P713" t="n">
        <v>0</v>
      </c>
      <c r="Q713" t="n">
        <v>0</v>
      </c>
      <c r="R713" s="2" t="inlineStr"/>
    </row>
    <row r="714" ht="15" customHeight="1">
      <c r="A714" t="inlineStr">
        <is>
          <t>A 72202-2021</t>
        </is>
      </c>
      <c r="B714" s="1" t="n">
        <v>44544</v>
      </c>
      <c r="C714" s="1" t="n">
        <v>45827</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72308-2021</t>
        </is>
      </c>
      <c r="B715" s="1" t="n">
        <v>44545</v>
      </c>
      <c r="C715" s="1" t="n">
        <v>45827</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72343-2021</t>
        </is>
      </c>
      <c r="B716" s="1" t="n">
        <v>44545</v>
      </c>
      <c r="C716" s="1" t="n">
        <v>45827</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72357-2021</t>
        </is>
      </c>
      <c r="B717" s="1" t="n">
        <v>44545</v>
      </c>
      <c r="C717" s="1" t="n">
        <v>45827</v>
      </c>
      <c r="D717" t="inlineStr">
        <is>
          <t>STOCKHOLMS LÄN</t>
        </is>
      </c>
      <c r="E717" t="inlineStr">
        <is>
          <t>NORRTÄLJE</t>
        </is>
      </c>
      <c r="G717" t="n">
        <v>5.1</v>
      </c>
      <c r="H717" t="n">
        <v>0</v>
      </c>
      <c r="I717" t="n">
        <v>0</v>
      </c>
      <c r="J717" t="n">
        <v>0</v>
      </c>
      <c r="K717" t="n">
        <v>0</v>
      </c>
      <c r="L717" t="n">
        <v>0</v>
      </c>
      <c r="M717" t="n">
        <v>0</v>
      </c>
      <c r="N717" t="n">
        <v>0</v>
      </c>
      <c r="O717" t="n">
        <v>0</v>
      </c>
      <c r="P717" t="n">
        <v>0</v>
      </c>
      <c r="Q717" t="n">
        <v>0</v>
      </c>
      <c r="R717" s="2" t="inlineStr"/>
    </row>
    <row r="718" ht="15" customHeight="1">
      <c r="A718" t="inlineStr">
        <is>
          <t>A 72355-2021</t>
        </is>
      </c>
      <c r="B718" s="1" t="n">
        <v>44545</v>
      </c>
      <c r="C718" s="1" t="n">
        <v>45827</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72353-2021</t>
        </is>
      </c>
      <c r="B719" s="1" t="n">
        <v>44545</v>
      </c>
      <c r="C719" s="1" t="n">
        <v>45827</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72747-2021</t>
        </is>
      </c>
      <c r="B720" s="1" t="n">
        <v>44546</v>
      </c>
      <c r="C720" s="1" t="n">
        <v>45827</v>
      </c>
      <c r="D720" t="inlineStr">
        <is>
          <t>STOCKHOLMS LÄN</t>
        </is>
      </c>
      <c r="E720" t="inlineStr">
        <is>
          <t>NORRTÄLJE</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72704-2021</t>
        </is>
      </c>
      <c r="B721" s="1" t="n">
        <v>44546</v>
      </c>
      <c r="C721" s="1" t="n">
        <v>45827</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72890-2021</t>
        </is>
      </c>
      <c r="B722" s="1" t="n">
        <v>44547</v>
      </c>
      <c r="C722" s="1" t="n">
        <v>45827</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73311-2021</t>
        </is>
      </c>
      <c r="B723" s="1" t="n">
        <v>44549</v>
      </c>
      <c r="C723" s="1" t="n">
        <v>45827</v>
      </c>
      <c r="D723" t="inlineStr">
        <is>
          <t>STOCKHOLMS LÄN</t>
        </is>
      </c>
      <c r="E723" t="inlineStr">
        <is>
          <t>NORRTÄLJE</t>
        </is>
      </c>
      <c r="G723" t="n">
        <v>5.2</v>
      </c>
      <c r="H723" t="n">
        <v>0</v>
      </c>
      <c r="I723" t="n">
        <v>0</v>
      </c>
      <c r="J723" t="n">
        <v>0</v>
      </c>
      <c r="K723" t="n">
        <v>0</v>
      </c>
      <c r="L723" t="n">
        <v>0</v>
      </c>
      <c r="M723" t="n">
        <v>0</v>
      </c>
      <c r="N723" t="n">
        <v>0</v>
      </c>
      <c r="O723" t="n">
        <v>0</v>
      </c>
      <c r="P723" t="n">
        <v>0</v>
      </c>
      <c r="Q723" t="n">
        <v>0</v>
      </c>
      <c r="R723" s="2" t="inlineStr"/>
    </row>
    <row r="724" ht="15" customHeight="1">
      <c r="A724" t="inlineStr">
        <is>
          <t>A 73307-2021</t>
        </is>
      </c>
      <c r="B724" s="1" t="n">
        <v>44549</v>
      </c>
      <c r="C724" s="1" t="n">
        <v>45827</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73271-2021</t>
        </is>
      </c>
      <c r="B725" s="1" t="n">
        <v>44550</v>
      </c>
      <c r="C725" s="1" t="n">
        <v>45827</v>
      </c>
      <c r="D725" t="inlineStr">
        <is>
          <t>STOCKHOLMS LÄN</t>
        </is>
      </c>
      <c r="E725" t="inlineStr">
        <is>
          <t>NORRTÄLJE</t>
        </is>
      </c>
      <c r="G725" t="n">
        <v>2</v>
      </c>
      <c r="H725" t="n">
        <v>0</v>
      </c>
      <c r="I725" t="n">
        <v>0</v>
      </c>
      <c r="J725" t="n">
        <v>0</v>
      </c>
      <c r="K725" t="n">
        <v>0</v>
      </c>
      <c r="L725" t="n">
        <v>0</v>
      </c>
      <c r="M725" t="n">
        <v>0</v>
      </c>
      <c r="N725" t="n">
        <v>0</v>
      </c>
      <c r="O725" t="n">
        <v>0</v>
      </c>
      <c r="P725" t="n">
        <v>0</v>
      </c>
      <c r="Q725" t="n">
        <v>0</v>
      </c>
      <c r="R725" s="2" t="inlineStr"/>
    </row>
    <row r="726" ht="15" customHeight="1">
      <c r="A726" t="inlineStr">
        <is>
          <t>A 73504-2021</t>
        </is>
      </c>
      <c r="B726" s="1" t="n">
        <v>44551</v>
      </c>
      <c r="C726" s="1" t="n">
        <v>45827</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73855-2021</t>
        </is>
      </c>
      <c r="B727" s="1" t="n">
        <v>44552</v>
      </c>
      <c r="C727" s="1" t="n">
        <v>45827</v>
      </c>
      <c r="D727" t="inlineStr">
        <is>
          <t>STOCKHOLMS LÄN</t>
        </is>
      </c>
      <c r="E727" t="inlineStr">
        <is>
          <t>NORRTÄLJE</t>
        </is>
      </c>
      <c r="F727" t="inlineStr">
        <is>
          <t>Övriga Aktiebolag</t>
        </is>
      </c>
      <c r="G727" t="n">
        <v>4</v>
      </c>
      <c r="H727" t="n">
        <v>0</v>
      </c>
      <c r="I727" t="n">
        <v>0</v>
      </c>
      <c r="J727" t="n">
        <v>0</v>
      </c>
      <c r="K727" t="n">
        <v>0</v>
      </c>
      <c r="L727" t="n">
        <v>0</v>
      </c>
      <c r="M727" t="n">
        <v>0</v>
      </c>
      <c r="N727" t="n">
        <v>0</v>
      </c>
      <c r="O727" t="n">
        <v>0</v>
      </c>
      <c r="P727" t="n">
        <v>0</v>
      </c>
      <c r="Q727" t="n">
        <v>0</v>
      </c>
      <c r="R727" s="2" t="inlineStr"/>
    </row>
    <row r="728" ht="15" customHeight="1">
      <c r="A728" t="inlineStr">
        <is>
          <t>A 73992-2021</t>
        </is>
      </c>
      <c r="B728" s="1" t="n">
        <v>44556</v>
      </c>
      <c r="C728" s="1" t="n">
        <v>45827</v>
      </c>
      <c r="D728" t="inlineStr">
        <is>
          <t>STOCKHOLMS LÄN</t>
        </is>
      </c>
      <c r="E728" t="inlineStr">
        <is>
          <t>NORRTÄLJE</t>
        </is>
      </c>
      <c r="G728" t="n">
        <v>12.5</v>
      </c>
      <c r="H728" t="n">
        <v>0</v>
      </c>
      <c r="I728" t="n">
        <v>0</v>
      </c>
      <c r="J728" t="n">
        <v>0</v>
      </c>
      <c r="K728" t="n">
        <v>0</v>
      </c>
      <c r="L728" t="n">
        <v>0</v>
      </c>
      <c r="M728" t="n">
        <v>0</v>
      </c>
      <c r="N728" t="n">
        <v>0</v>
      </c>
      <c r="O728" t="n">
        <v>0</v>
      </c>
      <c r="P728" t="n">
        <v>0</v>
      </c>
      <c r="Q728" t="n">
        <v>0</v>
      </c>
      <c r="R728" s="2" t="inlineStr"/>
    </row>
    <row r="729" ht="15" customHeight="1">
      <c r="A729" t="inlineStr">
        <is>
          <t>A 73993-2021</t>
        </is>
      </c>
      <c r="B729" s="1" t="n">
        <v>44556</v>
      </c>
      <c r="C729" s="1" t="n">
        <v>45827</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74468-2021</t>
        </is>
      </c>
      <c r="B730" s="1" t="n">
        <v>44560</v>
      </c>
      <c r="C730" s="1" t="n">
        <v>45827</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185-2022</t>
        </is>
      </c>
      <c r="B731" s="1" t="n">
        <v>44564</v>
      </c>
      <c r="C731" s="1" t="n">
        <v>45827</v>
      </c>
      <c r="D731" t="inlineStr">
        <is>
          <t>STOCKHOLMS LÄN</t>
        </is>
      </c>
      <c r="E731" t="inlineStr">
        <is>
          <t>NORRTÄLJE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190-2022</t>
        </is>
      </c>
      <c r="B732" s="1" t="n">
        <v>44564</v>
      </c>
      <c r="C732" s="1" t="n">
        <v>45827</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187-2022</t>
        </is>
      </c>
      <c r="B733" s="1" t="n">
        <v>44564</v>
      </c>
      <c r="C733" s="1" t="n">
        <v>45827</v>
      </c>
      <c r="D733" t="inlineStr">
        <is>
          <t>STOCKHOLMS LÄN</t>
        </is>
      </c>
      <c r="E733" t="inlineStr">
        <is>
          <t>NORRTÄLJE</t>
        </is>
      </c>
      <c r="G733" t="n">
        <v>2.6</v>
      </c>
      <c r="H733" t="n">
        <v>0</v>
      </c>
      <c r="I733" t="n">
        <v>0</v>
      </c>
      <c r="J733" t="n">
        <v>0</v>
      </c>
      <c r="K733" t="n">
        <v>0</v>
      </c>
      <c r="L733" t="n">
        <v>0</v>
      </c>
      <c r="M733" t="n">
        <v>0</v>
      </c>
      <c r="N733" t="n">
        <v>0</v>
      </c>
      <c r="O733" t="n">
        <v>0</v>
      </c>
      <c r="P733" t="n">
        <v>0</v>
      </c>
      <c r="Q733" t="n">
        <v>0</v>
      </c>
      <c r="R733" s="2" t="inlineStr"/>
    </row>
    <row r="734" ht="15" customHeight="1">
      <c r="A734" t="inlineStr">
        <is>
          <t>A 77-2022</t>
        </is>
      </c>
      <c r="B734" s="1" t="n">
        <v>44564</v>
      </c>
      <c r="C734" s="1" t="n">
        <v>45827</v>
      </c>
      <c r="D734" t="inlineStr">
        <is>
          <t>STOCKHOLMS LÄN</t>
        </is>
      </c>
      <c r="E734" t="inlineStr">
        <is>
          <t>NORRTÄLJE</t>
        </is>
      </c>
      <c r="G734" t="n">
        <v>4.1</v>
      </c>
      <c r="H734" t="n">
        <v>0</v>
      </c>
      <c r="I734" t="n">
        <v>0</v>
      </c>
      <c r="J734" t="n">
        <v>0</v>
      </c>
      <c r="K734" t="n">
        <v>0</v>
      </c>
      <c r="L734" t="n">
        <v>0</v>
      </c>
      <c r="M734" t="n">
        <v>0</v>
      </c>
      <c r="N734" t="n">
        <v>0</v>
      </c>
      <c r="O734" t="n">
        <v>0</v>
      </c>
      <c r="P734" t="n">
        <v>0</v>
      </c>
      <c r="Q734" t="n">
        <v>0</v>
      </c>
      <c r="R734" s="2" t="inlineStr"/>
    </row>
    <row r="735" ht="15" customHeight="1">
      <c r="A735" t="inlineStr">
        <is>
          <t>A 1058-2022</t>
        </is>
      </c>
      <c r="B735" s="1" t="n">
        <v>44571</v>
      </c>
      <c r="C735" s="1" t="n">
        <v>45827</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1051-2022</t>
        </is>
      </c>
      <c r="B736" s="1" t="n">
        <v>44571</v>
      </c>
      <c r="C736" s="1" t="n">
        <v>45827</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1054-2022</t>
        </is>
      </c>
      <c r="B737" s="1" t="n">
        <v>44571</v>
      </c>
      <c r="C737" s="1" t="n">
        <v>45827</v>
      </c>
      <c r="D737" t="inlineStr">
        <is>
          <t>STOCKHOLMS LÄN</t>
        </is>
      </c>
      <c r="E737" t="inlineStr">
        <is>
          <t>NORRTÄLJE</t>
        </is>
      </c>
      <c r="G737" t="n">
        <v>5</v>
      </c>
      <c r="H737" t="n">
        <v>0</v>
      </c>
      <c r="I737" t="n">
        <v>0</v>
      </c>
      <c r="J737" t="n">
        <v>0</v>
      </c>
      <c r="K737" t="n">
        <v>0</v>
      </c>
      <c r="L737" t="n">
        <v>0</v>
      </c>
      <c r="M737" t="n">
        <v>0</v>
      </c>
      <c r="N737" t="n">
        <v>0</v>
      </c>
      <c r="O737" t="n">
        <v>0</v>
      </c>
      <c r="P737" t="n">
        <v>0</v>
      </c>
      <c r="Q737" t="n">
        <v>0</v>
      </c>
      <c r="R737" s="2" t="inlineStr"/>
    </row>
    <row r="738" ht="15" customHeight="1">
      <c r="A738" t="inlineStr">
        <is>
          <t>A 1229-2022</t>
        </is>
      </c>
      <c r="B738" s="1" t="n">
        <v>44572</v>
      </c>
      <c r="C738" s="1" t="n">
        <v>45827</v>
      </c>
      <c r="D738" t="inlineStr">
        <is>
          <t>STOCKHOLMS LÄN</t>
        </is>
      </c>
      <c r="E738" t="inlineStr">
        <is>
          <t>NORRTÄLJE</t>
        </is>
      </c>
      <c r="G738" t="n">
        <v>11.5</v>
      </c>
      <c r="H738" t="n">
        <v>0</v>
      </c>
      <c r="I738" t="n">
        <v>0</v>
      </c>
      <c r="J738" t="n">
        <v>0</v>
      </c>
      <c r="K738" t="n">
        <v>0</v>
      </c>
      <c r="L738" t="n">
        <v>0</v>
      </c>
      <c r="M738" t="n">
        <v>0</v>
      </c>
      <c r="N738" t="n">
        <v>0</v>
      </c>
      <c r="O738" t="n">
        <v>0</v>
      </c>
      <c r="P738" t="n">
        <v>0</v>
      </c>
      <c r="Q738" t="n">
        <v>0</v>
      </c>
      <c r="R738" s="2" t="inlineStr"/>
    </row>
    <row r="739" ht="15" customHeight="1">
      <c r="A739" t="inlineStr">
        <is>
          <t>A 1704-2022</t>
        </is>
      </c>
      <c r="B739" s="1" t="n">
        <v>44574</v>
      </c>
      <c r="C739" s="1" t="n">
        <v>45827</v>
      </c>
      <c r="D739" t="inlineStr">
        <is>
          <t>STOCKHOLMS LÄN</t>
        </is>
      </c>
      <c r="E739" t="inlineStr">
        <is>
          <t>NORRTÄLJE</t>
        </is>
      </c>
      <c r="G739" t="n">
        <v>6.2</v>
      </c>
      <c r="H739" t="n">
        <v>0</v>
      </c>
      <c r="I739" t="n">
        <v>0</v>
      </c>
      <c r="J739" t="n">
        <v>0</v>
      </c>
      <c r="K739" t="n">
        <v>0</v>
      </c>
      <c r="L739" t="n">
        <v>0</v>
      </c>
      <c r="M739" t="n">
        <v>0</v>
      </c>
      <c r="N739" t="n">
        <v>0</v>
      </c>
      <c r="O739" t="n">
        <v>0</v>
      </c>
      <c r="P739" t="n">
        <v>0</v>
      </c>
      <c r="Q739" t="n">
        <v>0</v>
      </c>
      <c r="R739" s="2" t="inlineStr"/>
    </row>
    <row r="740" ht="15" customHeight="1">
      <c r="A740" t="inlineStr">
        <is>
          <t>A 1968-2022</t>
        </is>
      </c>
      <c r="B740" s="1" t="n">
        <v>44575</v>
      </c>
      <c r="C740" s="1" t="n">
        <v>45827</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2182-2022</t>
        </is>
      </c>
      <c r="B741" s="1" t="n">
        <v>44578</v>
      </c>
      <c r="C741" s="1" t="n">
        <v>45827</v>
      </c>
      <c r="D741" t="inlineStr">
        <is>
          <t>STOCKHOLMS LÄN</t>
        </is>
      </c>
      <c r="E741" t="inlineStr">
        <is>
          <t>NORRTÄLJE</t>
        </is>
      </c>
      <c r="G741" t="n">
        <v>7.2</v>
      </c>
      <c r="H741" t="n">
        <v>0</v>
      </c>
      <c r="I741" t="n">
        <v>0</v>
      </c>
      <c r="J741" t="n">
        <v>0</v>
      </c>
      <c r="K741" t="n">
        <v>0</v>
      </c>
      <c r="L741" t="n">
        <v>0</v>
      </c>
      <c r="M741" t="n">
        <v>0</v>
      </c>
      <c r="N741" t="n">
        <v>0</v>
      </c>
      <c r="O741" t="n">
        <v>0</v>
      </c>
      <c r="P741" t="n">
        <v>0</v>
      </c>
      <c r="Q741" t="n">
        <v>0</v>
      </c>
      <c r="R741" s="2" t="inlineStr"/>
    </row>
    <row r="742" ht="15" customHeight="1">
      <c r="A742" t="inlineStr">
        <is>
          <t>A 2549-2022</t>
        </is>
      </c>
      <c r="B742" s="1" t="n">
        <v>44580</v>
      </c>
      <c r="C742" s="1" t="n">
        <v>45827</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2732-2022</t>
        </is>
      </c>
      <c r="B743" s="1" t="n">
        <v>44580</v>
      </c>
      <c r="C743" s="1" t="n">
        <v>45827</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2888-2022</t>
        </is>
      </c>
      <c r="B744" s="1" t="n">
        <v>44581</v>
      </c>
      <c r="C744" s="1" t="n">
        <v>45827</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2977-2022</t>
        </is>
      </c>
      <c r="B745" s="1" t="n">
        <v>44581</v>
      </c>
      <c r="C745" s="1" t="n">
        <v>45827</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3300-2022</t>
        </is>
      </c>
      <c r="B746" s="1" t="n">
        <v>44584</v>
      </c>
      <c r="C746" s="1" t="n">
        <v>45827</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3310-2022</t>
        </is>
      </c>
      <c r="B747" s="1" t="n">
        <v>44584</v>
      </c>
      <c r="C747" s="1" t="n">
        <v>45827</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3396-2022</t>
        </is>
      </c>
      <c r="B748" s="1" t="n">
        <v>44585</v>
      </c>
      <c r="C748" s="1" t="n">
        <v>45827</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3509-2022</t>
        </is>
      </c>
      <c r="B749" s="1" t="n">
        <v>44585</v>
      </c>
      <c r="C749" s="1" t="n">
        <v>45827</v>
      </c>
      <c r="D749" t="inlineStr">
        <is>
          <t>STOCKHOLMS LÄN</t>
        </is>
      </c>
      <c r="E749" t="inlineStr">
        <is>
          <t>NORRTÄLJE</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4860-2022</t>
        </is>
      </c>
      <c r="B750" s="1" t="n">
        <v>44592</v>
      </c>
      <c r="C750" s="1" t="n">
        <v>45827</v>
      </c>
      <c r="D750" t="inlineStr">
        <is>
          <t>STOCKHOLMS LÄN</t>
        </is>
      </c>
      <c r="E750" t="inlineStr">
        <is>
          <t>NORRTÄLJE</t>
        </is>
      </c>
      <c r="G750" t="n">
        <v>22.3</v>
      </c>
      <c r="H750" t="n">
        <v>0</v>
      </c>
      <c r="I750" t="n">
        <v>0</v>
      </c>
      <c r="J750" t="n">
        <v>0</v>
      </c>
      <c r="K750" t="n">
        <v>0</v>
      </c>
      <c r="L750" t="n">
        <v>0</v>
      </c>
      <c r="M750" t="n">
        <v>0</v>
      </c>
      <c r="N750" t="n">
        <v>0</v>
      </c>
      <c r="O750" t="n">
        <v>0</v>
      </c>
      <c r="P750" t="n">
        <v>0</v>
      </c>
      <c r="Q750" t="n">
        <v>0</v>
      </c>
      <c r="R750" s="2" t="inlineStr"/>
    </row>
    <row r="751" ht="15" customHeight="1">
      <c r="A751" t="inlineStr">
        <is>
          <t>A 5351-2022</t>
        </is>
      </c>
      <c r="B751" s="1" t="n">
        <v>44594</v>
      </c>
      <c r="C751" s="1" t="n">
        <v>45827</v>
      </c>
      <c r="D751" t="inlineStr">
        <is>
          <t>STOCKHOLMS LÄN</t>
        </is>
      </c>
      <c r="E751" t="inlineStr">
        <is>
          <t>NORRTÄLJE</t>
        </is>
      </c>
      <c r="G751" t="n">
        <v>4</v>
      </c>
      <c r="H751" t="n">
        <v>0</v>
      </c>
      <c r="I751" t="n">
        <v>0</v>
      </c>
      <c r="J751" t="n">
        <v>0</v>
      </c>
      <c r="K751" t="n">
        <v>0</v>
      </c>
      <c r="L751" t="n">
        <v>0</v>
      </c>
      <c r="M751" t="n">
        <v>0</v>
      </c>
      <c r="N751" t="n">
        <v>0</v>
      </c>
      <c r="O751" t="n">
        <v>0</v>
      </c>
      <c r="P751" t="n">
        <v>0</v>
      </c>
      <c r="Q751" t="n">
        <v>0</v>
      </c>
      <c r="R751" s="2" t="inlineStr"/>
    </row>
    <row r="752" ht="15" customHeight="1">
      <c r="A752" t="inlineStr">
        <is>
          <t>A 5513-2022</t>
        </is>
      </c>
      <c r="B752" s="1" t="n">
        <v>44595</v>
      </c>
      <c r="C752" s="1" t="n">
        <v>45827</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5611-2022</t>
        </is>
      </c>
      <c r="B753" s="1" t="n">
        <v>44595</v>
      </c>
      <c r="C753" s="1" t="n">
        <v>45827</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5831-2022</t>
        </is>
      </c>
      <c r="B754" s="1" t="n">
        <v>44596</v>
      </c>
      <c r="C754" s="1" t="n">
        <v>45827</v>
      </c>
      <c r="D754" t="inlineStr">
        <is>
          <t>STOCKHOLMS LÄN</t>
        </is>
      </c>
      <c r="E754" t="inlineStr">
        <is>
          <t>NORRTÄLJE</t>
        </is>
      </c>
      <c r="G754" t="n">
        <v>4.8</v>
      </c>
      <c r="H754" t="n">
        <v>0</v>
      </c>
      <c r="I754" t="n">
        <v>0</v>
      </c>
      <c r="J754" t="n">
        <v>0</v>
      </c>
      <c r="K754" t="n">
        <v>0</v>
      </c>
      <c r="L754" t="n">
        <v>0</v>
      </c>
      <c r="M754" t="n">
        <v>0</v>
      </c>
      <c r="N754" t="n">
        <v>0</v>
      </c>
      <c r="O754" t="n">
        <v>0</v>
      </c>
      <c r="P754" t="n">
        <v>0</v>
      </c>
      <c r="Q754" t="n">
        <v>0</v>
      </c>
      <c r="R754" s="2" t="inlineStr"/>
    </row>
    <row r="755" ht="15" customHeight="1">
      <c r="A755" t="inlineStr">
        <is>
          <t>A 5867-2022</t>
        </is>
      </c>
      <c r="B755" s="1" t="n">
        <v>44596</v>
      </c>
      <c r="C755" s="1" t="n">
        <v>45827</v>
      </c>
      <c r="D755" t="inlineStr">
        <is>
          <t>STOCKHOLMS LÄN</t>
        </is>
      </c>
      <c r="E755" t="inlineStr">
        <is>
          <t>NORRTÄLJE</t>
        </is>
      </c>
      <c r="F755" t="inlineStr">
        <is>
          <t>Naturvårdsverket</t>
        </is>
      </c>
      <c r="G755" t="n">
        <v>1.6</v>
      </c>
      <c r="H755" t="n">
        <v>0</v>
      </c>
      <c r="I755" t="n">
        <v>0</v>
      </c>
      <c r="J755" t="n">
        <v>0</v>
      </c>
      <c r="K755" t="n">
        <v>0</v>
      </c>
      <c r="L755" t="n">
        <v>0</v>
      </c>
      <c r="M755" t="n">
        <v>0</v>
      </c>
      <c r="N755" t="n">
        <v>0</v>
      </c>
      <c r="O755" t="n">
        <v>0</v>
      </c>
      <c r="P755" t="n">
        <v>0</v>
      </c>
      <c r="Q755" t="n">
        <v>0</v>
      </c>
      <c r="R755" s="2" t="inlineStr"/>
    </row>
    <row r="756" ht="15" customHeight="1">
      <c r="A756" t="inlineStr">
        <is>
          <t>A 6070-2022</t>
        </is>
      </c>
      <c r="B756" s="1" t="n">
        <v>44599</v>
      </c>
      <c r="C756" s="1" t="n">
        <v>45827</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6332-2022</t>
        </is>
      </c>
      <c r="B757" s="1" t="n">
        <v>44600</v>
      </c>
      <c r="C757" s="1" t="n">
        <v>45827</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7301-2022</t>
        </is>
      </c>
      <c r="B758" s="1" t="n">
        <v>44606</v>
      </c>
      <c r="C758" s="1" t="n">
        <v>45827</v>
      </c>
      <c r="D758" t="inlineStr">
        <is>
          <t>STOCKHOLMS LÄN</t>
        </is>
      </c>
      <c r="E758" t="inlineStr">
        <is>
          <t>NORRTÄLJE</t>
        </is>
      </c>
      <c r="G758" t="n">
        <v>6.1</v>
      </c>
      <c r="H758" t="n">
        <v>0</v>
      </c>
      <c r="I758" t="n">
        <v>0</v>
      </c>
      <c r="J758" t="n">
        <v>0</v>
      </c>
      <c r="K758" t="n">
        <v>0</v>
      </c>
      <c r="L758" t="n">
        <v>0</v>
      </c>
      <c r="M758" t="n">
        <v>0</v>
      </c>
      <c r="N758" t="n">
        <v>0</v>
      </c>
      <c r="O758" t="n">
        <v>0</v>
      </c>
      <c r="P758" t="n">
        <v>0</v>
      </c>
      <c r="Q758" t="n">
        <v>0</v>
      </c>
      <c r="R758" s="2" t="inlineStr"/>
    </row>
    <row r="759" ht="15" customHeight="1">
      <c r="A759" t="inlineStr">
        <is>
          <t>A 7565-2022</t>
        </is>
      </c>
      <c r="B759" s="1" t="n">
        <v>44607</v>
      </c>
      <c r="C759" s="1" t="n">
        <v>45827</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8049-2022</t>
        </is>
      </c>
      <c r="B760" s="1" t="n">
        <v>44609</v>
      </c>
      <c r="C760" s="1" t="n">
        <v>45827</v>
      </c>
      <c r="D760" t="inlineStr">
        <is>
          <t>STOCKHOLMS LÄN</t>
        </is>
      </c>
      <c r="E760" t="inlineStr">
        <is>
          <t>NORRTÄLJE</t>
        </is>
      </c>
      <c r="F760" t="inlineStr">
        <is>
          <t>Holmen skog AB</t>
        </is>
      </c>
      <c r="G760" t="n">
        <v>3</v>
      </c>
      <c r="H760" t="n">
        <v>0</v>
      </c>
      <c r="I760" t="n">
        <v>0</v>
      </c>
      <c r="J760" t="n">
        <v>0</v>
      </c>
      <c r="K760" t="n">
        <v>0</v>
      </c>
      <c r="L760" t="n">
        <v>0</v>
      </c>
      <c r="M760" t="n">
        <v>0</v>
      </c>
      <c r="N760" t="n">
        <v>0</v>
      </c>
      <c r="O760" t="n">
        <v>0</v>
      </c>
      <c r="P760" t="n">
        <v>0</v>
      </c>
      <c r="Q760" t="n">
        <v>0</v>
      </c>
      <c r="R760" s="2" t="inlineStr"/>
    </row>
    <row r="761" ht="15" customHeight="1">
      <c r="A761" t="inlineStr">
        <is>
          <t>A 8160-2022</t>
        </is>
      </c>
      <c r="B761" s="1" t="n">
        <v>44609</v>
      </c>
      <c r="C761" s="1" t="n">
        <v>45827</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8433-2022</t>
        </is>
      </c>
      <c r="B762" s="1" t="n">
        <v>44611</v>
      </c>
      <c r="C762" s="1" t="n">
        <v>45827</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9668-2022</t>
        </is>
      </c>
      <c r="B763" s="1" t="n">
        <v>44617</v>
      </c>
      <c r="C763" s="1" t="n">
        <v>45827</v>
      </c>
      <c r="D763" t="inlineStr">
        <is>
          <t>STOCKHOLMS LÄN</t>
        </is>
      </c>
      <c r="E763" t="inlineStr">
        <is>
          <t>NORRTÄLJE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9654-2022</t>
        </is>
      </c>
      <c r="B764" s="1" t="n">
        <v>44617</v>
      </c>
      <c r="C764" s="1" t="n">
        <v>45827</v>
      </c>
      <c r="D764" t="inlineStr">
        <is>
          <t>STOCKHOLMS LÄN</t>
        </is>
      </c>
      <c r="E764" t="inlineStr">
        <is>
          <t>NORRTÄLJE</t>
        </is>
      </c>
      <c r="G764" t="n">
        <v>6.4</v>
      </c>
      <c r="H764" t="n">
        <v>0</v>
      </c>
      <c r="I764" t="n">
        <v>0</v>
      </c>
      <c r="J764" t="n">
        <v>0</v>
      </c>
      <c r="K764" t="n">
        <v>0</v>
      </c>
      <c r="L764" t="n">
        <v>0</v>
      </c>
      <c r="M764" t="n">
        <v>0</v>
      </c>
      <c r="N764" t="n">
        <v>0</v>
      </c>
      <c r="O764" t="n">
        <v>0</v>
      </c>
      <c r="P764" t="n">
        <v>0</v>
      </c>
      <c r="Q764" t="n">
        <v>0</v>
      </c>
      <c r="R764" s="2" t="inlineStr"/>
    </row>
    <row r="765" ht="15" customHeight="1">
      <c r="A765" t="inlineStr">
        <is>
          <t>A 9749-2022</t>
        </is>
      </c>
      <c r="B765" s="1" t="n">
        <v>44618</v>
      </c>
      <c r="C765" s="1" t="n">
        <v>45827</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9988-2022</t>
        </is>
      </c>
      <c r="B766" s="1" t="n">
        <v>44621</v>
      </c>
      <c r="C766" s="1" t="n">
        <v>45827</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10090-2022</t>
        </is>
      </c>
      <c r="B767" s="1" t="n">
        <v>44621</v>
      </c>
      <c r="C767" s="1" t="n">
        <v>45827</v>
      </c>
      <c r="D767" t="inlineStr">
        <is>
          <t>STOCKHOLMS LÄN</t>
        </is>
      </c>
      <c r="E767" t="inlineStr">
        <is>
          <t>NORRTÄLJE</t>
        </is>
      </c>
      <c r="G767" t="n">
        <v>5.2</v>
      </c>
      <c r="H767" t="n">
        <v>0</v>
      </c>
      <c r="I767" t="n">
        <v>0</v>
      </c>
      <c r="J767" t="n">
        <v>0</v>
      </c>
      <c r="K767" t="n">
        <v>0</v>
      </c>
      <c r="L767" t="n">
        <v>0</v>
      </c>
      <c r="M767" t="n">
        <v>0</v>
      </c>
      <c r="N767" t="n">
        <v>0</v>
      </c>
      <c r="O767" t="n">
        <v>0</v>
      </c>
      <c r="P767" t="n">
        <v>0</v>
      </c>
      <c r="Q767" t="n">
        <v>0</v>
      </c>
      <c r="R767" s="2" t="inlineStr"/>
    </row>
    <row r="768" ht="15" customHeight="1">
      <c r="A768" t="inlineStr">
        <is>
          <t>A 10098-2022</t>
        </is>
      </c>
      <c r="B768" s="1" t="n">
        <v>44621</v>
      </c>
      <c r="C768" s="1" t="n">
        <v>45827</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10521-2022</t>
        </is>
      </c>
      <c r="B769" s="1" t="n">
        <v>44623</v>
      </c>
      <c r="C769" s="1" t="n">
        <v>45827</v>
      </c>
      <c r="D769" t="inlineStr">
        <is>
          <t>STOCKHOLMS LÄN</t>
        </is>
      </c>
      <c r="E769" t="inlineStr">
        <is>
          <t>NORRTÄLJE</t>
        </is>
      </c>
      <c r="G769" t="n">
        <v>2.9</v>
      </c>
      <c r="H769" t="n">
        <v>0</v>
      </c>
      <c r="I769" t="n">
        <v>0</v>
      </c>
      <c r="J769" t="n">
        <v>0</v>
      </c>
      <c r="K769" t="n">
        <v>0</v>
      </c>
      <c r="L769" t="n">
        <v>0</v>
      </c>
      <c r="M769" t="n">
        <v>0</v>
      </c>
      <c r="N769" t="n">
        <v>0</v>
      </c>
      <c r="O769" t="n">
        <v>0</v>
      </c>
      <c r="P769" t="n">
        <v>0</v>
      </c>
      <c r="Q769" t="n">
        <v>0</v>
      </c>
      <c r="R769" s="2" t="inlineStr"/>
    </row>
    <row r="770" ht="15" customHeight="1">
      <c r="A770" t="inlineStr">
        <is>
          <t>A 10653-2022</t>
        </is>
      </c>
      <c r="B770" s="1" t="n">
        <v>44624</v>
      </c>
      <c r="C770" s="1" t="n">
        <v>45827</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10710-2022</t>
        </is>
      </c>
      <c r="B771" s="1" t="n">
        <v>44626</v>
      </c>
      <c r="C771" s="1" t="n">
        <v>45827</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10711-2022</t>
        </is>
      </c>
      <c r="B772" s="1" t="n">
        <v>44626</v>
      </c>
      <c r="C772" s="1" t="n">
        <v>45827</v>
      </c>
      <c r="D772" t="inlineStr">
        <is>
          <t>STOCKHOLMS LÄN</t>
        </is>
      </c>
      <c r="E772" t="inlineStr">
        <is>
          <t>NORRTÄLJE</t>
        </is>
      </c>
      <c r="G772" t="n">
        <v>0.4</v>
      </c>
      <c r="H772" t="n">
        <v>0</v>
      </c>
      <c r="I772" t="n">
        <v>0</v>
      </c>
      <c r="J772" t="n">
        <v>0</v>
      </c>
      <c r="K772" t="n">
        <v>0</v>
      </c>
      <c r="L772" t="n">
        <v>0</v>
      </c>
      <c r="M772" t="n">
        <v>0</v>
      </c>
      <c r="N772" t="n">
        <v>0</v>
      </c>
      <c r="O772" t="n">
        <v>0</v>
      </c>
      <c r="P772" t="n">
        <v>0</v>
      </c>
      <c r="Q772" t="n">
        <v>0</v>
      </c>
      <c r="R772" s="2" t="inlineStr"/>
    </row>
    <row r="773" ht="15" customHeight="1">
      <c r="A773" t="inlineStr">
        <is>
          <t>A 11150-2022</t>
        </is>
      </c>
      <c r="B773" s="1" t="n">
        <v>44629</v>
      </c>
      <c r="C773" s="1" t="n">
        <v>45827</v>
      </c>
      <c r="D773" t="inlineStr">
        <is>
          <t>STOCKHOLMS LÄN</t>
        </is>
      </c>
      <c r="E773" t="inlineStr">
        <is>
          <t>NORRTÄLJE</t>
        </is>
      </c>
      <c r="F773" t="inlineStr">
        <is>
          <t>Övriga Aktiebolag</t>
        </is>
      </c>
      <c r="G773" t="n">
        <v>6.5</v>
      </c>
      <c r="H773" t="n">
        <v>0</v>
      </c>
      <c r="I773" t="n">
        <v>0</v>
      </c>
      <c r="J773" t="n">
        <v>0</v>
      </c>
      <c r="K773" t="n">
        <v>0</v>
      </c>
      <c r="L773" t="n">
        <v>0</v>
      </c>
      <c r="M773" t="n">
        <v>0</v>
      </c>
      <c r="N773" t="n">
        <v>0</v>
      </c>
      <c r="O773" t="n">
        <v>0</v>
      </c>
      <c r="P773" t="n">
        <v>0</v>
      </c>
      <c r="Q773" t="n">
        <v>0</v>
      </c>
      <c r="R773" s="2" t="inlineStr"/>
    </row>
    <row r="774" ht="15" customHeight="1">
      <c r="A774" t="inlineStr">
        <is>
          <t>A 11229-2022</t>
        </is>
      </c>
      <c r="B774" s="1" t="n">
        <v>44629</v>
      </c>
      <c r="C774" s="1" t="n">
        <v>45827</v>
      </c>
      <c r="D774" t="inlineStr">
        <is>
          <t>STOCKHOLMS LÄN</t>
        </is>
      </c>
      <c r="E774" t="inlineStr">
        <is>
          <t>NORRTÄLJE</t>
        </is>
      </c>
      <c r="F774" t="inlineStr">
        <is>
          <t>Övriga Aktiebolag</t>
        </is>
      </c>
      <c r="G774" t="n">
        <v>4.1</v>
      </c>
      <c r="H774" t="n">
        <v>0</v>
      </c>
      <c r="I774" t="n">
        <v>0</v>
      </c>
      <c r="J774" t="n">
        <v>0</v>
      </c>
      <c r="K774" t="n">
        <v>0</v>
      </c>
      <c r="L774" t="n">
        <v>0</v>
      </c>
      <c r="M774" t="n">
        <v>0</v>
      </c>
      <c r="N774" t="n">
        <v>0</v>
      </c>
      <c r="O774" t="n">
        <v>0</v>
      </c>
      <c r="P774" t="n">
        <v>0</v>
      </c>
      <c r="Q774" t="n">
        <v>0</v>
      </c>
      <c r="R774" s="2" t="inlineStr"/>
    </row>
    <row r="775" ht="15" customHeight="1">
      <c r="A775" t="inlineStr">
        <is>
          <t>A 11533-2022</t>
        </is>
      </c>
      <c r="B775" s="1" t="n">
        <v>44631</v>
      </c>
      <c r="C775" s="1" t="n">
        <v>45827</v>
      </c>
      <c r="D775" t="inlineStr">
        <is>
          <t>STOCKHOLMS LÄN</t>
        </is>
      </c>
      <c r="E775" t="inlineStr">
        <is>
          <t>NORRTÄLJE</t>
        </is>
      </c>
      <c r="G775" t="n">
        <v>3.6</v>
      </c>
      <c r="H775" t="n">
        <v>0</v>
      </c>
      <c r="I775" t="n">
        <v>0</v>
      </c>
      <c r="J775" t="n">
        <v>0</v>
      </c>
      <c r="K775" t="n">
        <v>0</v>
      </c>
      <c r="L775" t="n">
        <v>0</v>
      </c>
      <c r="M775" t="n">
        <v>0</v>
      </c>
      <c r="N775" t="n">
        <v>0</v>
      </c>
      <c r="O775" t="n">
        <v>0</v>
      </c>
      <c r="P775" t="n">
        <v>0</v>
      </c>
      <c r="Q775" t="n">
        <v>0</v>
      </c>
      <c r="R775" s="2" t="inlineStr"/>
    </row>
    <row r="776" ht="15" customHeight="1">
      <c r="A776" t="inlineStr">
        <is>
          <t>A 11821-2022</t>
        </is>
      </c>
      <c r="B776" s="1" t="n">
        <v>44634</v>
      </c>
      <c r="C776" s="1" t="n">
        <v>45827</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11900-2022</t>
        </is>
      </c>
      <c r="B777" s="1" t="n">
        <v>44635</v>
      </c>
      <c r="C777" s="1" t="n">
        <v>45827</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12355-2022</t>
        </is>
      </c>
      <c r="B778" s="1" t="n">
        <v>44637</v>
      </c>
      <c r="C778" s="1" t="n">
        <v>45827</v>
      </c>
      <c r="D778" t="inlineStr">
        <is>
          <t>STOCKHOLMS LÄN</t>
        </is>
      </c>
      <c r="E778" t="inlineStr">
        <is>
          <t>NORRTÄLJE</t>
        </is>
      </c>
      <c r="G778" t="n">
        <v>10.4</v>
      </c>
      <c r="H778" t="n">
        <v>0</v>
      </c>
      <c r="I778" t="n">
        <v>0</v>
      </c>
      <c r="J778" t="n">
        <v>0</v>
      </c>
      <c r="K778" t="n">
        <v>0</v>
      </c>
      <c r="L778" t="n">
        <v>0</v>
      </c>
      <c r="M778" t="n">
        <v>0</v>
      </c>
      <c r="N778" t="n">
        <v>0</v>
      </c>
      <c r="O778" t="n">
        <v>0</v>
      </c>
      <c r="P778" t="n">
        <v>0</v>
      </c>
      <c r="Q778" t="n">
        <v>0</v>
      </c>
      <c r="R778" s="2" t="inlineStr"/>
    </row>
    <row r="779" ht="15" customHeight="1">
      <c r="A779" t="inlineStr">
        <is>
          <t>A 12270-2022</t>
        </is>
      </c>
      <c r="B779" s="1" t="n">
        <v>44637</v>
      </c>
      <c r="C779" s="1" t="n">
        <v>45827</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12314-2022</t>
        </is>
      </c>
      <c r="B780" s="1" t="n">
        <v>44637</v>
      </c>
      <c r="C780" s="1" t="n">
        <v>45827</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12268-2022</t>
        </is>
      </c>
      <c r="B781" s="1" t="n">
        <v>44637</v>
      </c>
      <c r="C781" s="1" t="n">
        <v>45827</v>
      </c>
      <c r="D781" t="inlineStr">
        <is>
          <t>STOCKHOLMS LÄN</t>
        </is>
      </c>
      <c r="E781" t="inlineStr">
        <is>
          <t>NORRTÄLJE</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12357-2022</t>
        </is>
      </c>
      <c r="B782" s="1" t="n">
        <v>44637</v>
      </c>
      <c r="C782" s="1" t="n">
        <v>45827</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62765-2022</t>
        </is>
      </c>
      <c r="B783" s="1" t="n">
        <v>44637</v>
      </c>
      <c r="C783" s="1" t="n">
        <v>45827</v>
      </c>
      <c r="D783" t="inlineStr">
        <is>
          <t>STOCKHOLMS LÄN</t>
        </is>
      </c>
      <c r="E783" t="inlineStr">
        <is>
          <t>NORRTÄLJE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12874-2022</t>
        </is>
      </c>
      <c r="B784" s="1" t="n">
        <v>44642</v>
      </c>
      <c r="C784" s="1" t="n">
        <v>45827</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12816-2022</t>
        </is>
      </c>
      <c r="B785" s="1" t="n">
        <v>44642</v>
      </c>
      <c r="C785" s="1" t="n">
        <v>45827</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12877-2022</t>
        </is>
      </c>
      <c r="B786" s="1" t="n">
        <v>44642</v>
      </c>
      <c r="C786" s="1" t="n">
        <v>45827</v>
      </c>
      <c r="D786" t="inlineStr">
        <is>
          <t>STOCKHOLMS LÄN</t>
        </is>
      </c>
      <c r="E786" t="inlineStr">
        <is>
          <t>NORRTÄLJE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12875-2022</t>
        </is>
      </c>
      <c r="B787" s="1" t="n">
        <v>44642</v>
      </c>
      <c r="C787" s="1" t="n">
        <v>45827</v>
      </c>
      <c r="D787" t="inlineStr">
        <is>
          <t>STOCKHOLMS LÄN</t>
        </is>
      </c>
      <c r="E787" t="inlineStr">
        <is>
          <t>NORRTÄLJE</t>
        </is>
      </c>
      <c r="G787" t="n">
        <v>1.6</v>
      </c>
      <c r="H787" t="n">
        <v>0</v>
      </c>
      <c r="I787" t="n">
        <v>0</v>
      </c>
      <c r="J787" t="n">
        <v>0</v>
      </c>
      <c r="K787" t="n">
        <v>0</v>
      </c>
      <c r="L787" t="n">
        <v>0</v>
      </c>
      <c r="M787" t="n">
        <v>0</v>
      </c>
      <c r="N787" t="n">
        <v>0</v>
      </c>
      <c r="O787" t="n">
        <v>0</v>
      </c>
      <c r="P787" t="n">
        <v>0</v>
      </c>
      <c r="Q787" t="n">
        <v>0</v>
      </c>
      <c r="R787" s="2" t="inlineStr"/>
    </row>
    <row r="788" ht="15" customHeight="1">
      <c r="A788" t="inlineStr">
        <is>
          <t>A 13077-2022</t>
        </is>
      </c>
      <c r="B788" s="1" t="n">
        <v>44643</v>
      </c>
      <c r="C788" s="1" t="n">
        <v>45827</v>
      </c>
      <c r="D788" t="inlineStr">
        <is>
          <t>STOCKHOLMS LÄN</t>
        </is>
      </c>
      <c r="E788" t="inlineStr">
        <is>
          <t>NORRTÄLJE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13053-2022</t>
        </is>
      </c>
      <c r="B789" s="1" t="n">
        <v>44643</v>
      </c>
      <c r="C789" s="1" t="n">
        <v>45827</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13089-2022</t>
        </is>
      </c>
      <c r="B790" s="1" t="n">
        <v>44643</v>
      </c>
      <c r="C790" s="1" t="n">
        <v>45827</v>
      </c>
      <c r="D790" t="inlineStr">
        <is>
          <t>STOCKHOLMS LÄN</t>
        </is>
      </c>
      <c r="E790" t="inlineStr">
        <is>
          <t>NORRTÄLJE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13106-2022</t>
        </is>
      </c>
      <c r="B791" s="1" t="n">
        <v>44644</v>
      </c>
      <c r="C791" s="1" t="n">
        <v>45827</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13278-2022</t>
        </is>
      </c>
      <c r="B792" s="1" t="n">
        <v>44644</v>
      </c>
      <c r="C792" s="1" t="n">
        <v>45827</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13276-2022</t>
        </is>
      </c>
      <c r="B793" s="1" t="n">
        <v>44644</v>
      </c>
      <c r="C793" s="1" t="n">
        <v>45827</v>
      </c>
      <c r="D793" t="inlineStr">
        <is>
          <t>STOCKHOLMS LÄN</t>
        </is>
      </c>
      <c r="E793" t="inlineStr">
        <is>
          <t>NORRTÄLJE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13395-2022</t>
        </is>
      </c>
      <c r="B794" s="1" t="n">
        <v>44645</v>
      </c>
      <c r="C794" s="1" t="n">
        <v>45827</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13696-2022</t>
        </is>
      </c>
      <c r="B795" s="1" t="n">
        <v>44648</v>
      </c>
      <c r="C795" s="1" t="n">
        <v>45827</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13701-2022</t>
        </is>
      </c>
      <c r="B796" s="1" t="n">
        <v>44648</v>
      </c>
      <c r="C796" s="1" t="n">
        <v>45827</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13718-2022</t>
        </is>
      </c>
      <c r="B797" s="1" t="n">
        <v>44649</v>
      </c>
      <c r="C797" s="1" t="n">
        <v>45827</v>
      </c>
      <c r="D797" t="inlineStr">
        <is>
          <t>STOCKHOLMS LÄN</t>
        </is>
      </c>
      <c r="E797" t="inlineStr">
        <is>
          <t>NORRTÄLJE</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14036-2022</t>
        </is>
      </c>
      <c r="B798" s="1" t="n">
        <v>44650</v>
      </c>
      <c r="C798" s="1" t="n">
        <v>45827</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14033-2022</t>
        </is>
      </c>
      <c r="B799" s="1" t="n">
        <v>44650</v>
      </c>
      <c r="C799" s="1" t="n">
        <v>45827</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14034-2022</t>
        </is>
      </c>
      <c r="B800" s="1" t="n">
        <v>44650</v>
      </c>
      <c r="C800" s="1" t="n">
        <v>45827</v>
      </c>
      <c r="D800" t="inlineStr">
        <is>
          <t>STOCKHOLMS LÄN</t>
        </is>
      </c>
      <c r="E800" t="inlineStr">
        <is>
          <t>NORRTÄLJE</t>
        </is>
      </c>
      <c r="G800" t="n">
        <v>6.1</v>
      </c>
      <c r="H800" t="n">
        <v>0</v>
      </c>
      <c r="I800" t="n">
        <v>0</v>
      </c>
      <c r="J800" t="n">
        <v>0</v>
      </c>
      <c r="K800" t="n">
        <v>0</v>
      </c>
      <c r="L800" t="n">
        <v>0</v>
      </c>
      <c r="M800" t="n">
        <v>0</v>
      </c>
      <c r="N800" t="n">
        <v>0</v>
      </c>
      <c r="O800" t="n">
        <v>0</v>
      </c>
      <c r="P800" t="n">
        <v>0</v>
      </c>
      <c r="Q800" t="n">
        <v>0</v>
      </c>
      <c r="R800" s="2" t="inlineStr"/>
    </row>
    <row r="801" ht="15" customHeight="1">
      <c r="A801" t="inlineStr">
        <is>
          <t>A 14051-2022</t>
        </is>
      </c>
      <c r="B801" s="1" t="n">
        <v>44651</v>
      </c>
      <c r="C801" s="1" t="n">
        <v>45827</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14166-2022</t>
        </is>
      </c>
      <c r="B802" s="1" t="n">
        <v>44651</v>
      </c>
      <c r="C802" s="1" t="n">
        <v>45827</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14543-2022</t>
        </is>
      </c>
      <c r="B803" s="1" t="n">
        <v>44655</v>
      </c>
      <c r="C803" s="1" t="n">
        <v>45827</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14724-2022</t>
        </is>
      </c>
      <c r="B804" s="1" t="n">
        <v>44656</v>
      </c>
      <c r="C804" s="1" t="n">
        <v>45827</v>
      </c>
      <c r="D804" t="inlineStr">
        <is>
          <t>STOCKHOLMS LÄN</t>
        </is>
      </c>
      <c r="E804" t="inlineStr">
        <is>
          <t>NORRTÄLJE</t>
        </is>
      </c>
      <c r="F804" t="inlineStr">
        <is>
          <t>Sveaskog</t>
        </is>
      </c>
      <c r="G804" t="n">
        <v>9</v>
      </c>
      <c r="H804" t="n">
        <v>0</v>
      </c>
      <c r="I804" t="n">
        <v>0</v>
      </c>
      <c r="J804" t="n">
        <v>0</v>
      </c>
      <c r="K804" t="n">
        <v>0</v>
      </c>
      <c r="L804" t="n">
        <v>0</v>
      </c>
      <c r="M804" t="n">
        <v>0</v>
      </c>
      <c r="N804" t="n">
        <v>0</v>
      </c>
      <c r="O804" t="n">
        <v>0</v>
      </c>
      <c r="P804" t="n">
        <v>0</v>
      </c>
      <c r="Q804" t="n">
        <v>0</v>
      </c>
      <c r="R804" s="2" t="inlineStr"/>
    </row>
    <row r="805" ht="15" customHeight="1">
      <c r="A805" t="inlineStr">
        <is>
          <t>A 14716-2022</t>
        </is>
      </c>
      <c r="B805" s="1" t="n">
        <v>44656</v>
      </c>
      <c r="C805" s="1" t="n">
        <v>45827</v>
      </c>
      <c r="D805" t="inlineStr">
        <is>
          <t>STOCKHOLMS LÄN</t>
        </is>
      </c>
      <c r="E805" t="inlineStr">
        <is>
          <t>NORRTÄLJE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14869-2022</t>
        </is>
      </c>
      <c r="B806" s="1" t="n">
        <v>44656</v>
      </c>
      <c r="C806" s="1" t="n">
        <v>45827</v>
      </c>
      <c r="D806" t="inlineStr">
        <is>
          <t>STOCKHOLMS LÄN</t>
        </is>
      </c>
      <c r="E806" t="inlineStr">
        <is>
          <t>NORRTÄLJE</t>
        </is>
      </c>
      <c r="F806" t="inlineStr">
        <is>
          <t>Holmen skog AB</t>
        </is>
      </c>
      <c r="G806" t="n">
        <v>9.1</v>
      </c>
      <c r="H806" t="n">
        <v>0</v>
      </c>
      <c r="I806" t="n">
        <v>0</v>
      </c>
      <c r="J806" t="n">
        <v>0</v>
      </c>
      <c r="K806" t="n">
        <v>0</v>
      </c>
      <c r="L806" t="n">
        <v>0</v>
      </c>
      <c r="M806" t="n">
        <v>0</v>
      </c>
      <c r="N806" t="n">
        <v>0</v>
      </c>
      <c r="O806" t="n">
        <v>0</v>
      </c>
      <c r="P806" t="n">
        <v>0</v>
      </c>
      <c r="Q806" t="n">
        <v>0</v>
      </c>
      <c r="R806" s="2" t="inlineStr"/>
    </row>
    <row r="807" ht="15" customHeight="1">
      <c r="A807" t="inlineStr">
        <is>
          <t>A 15225-2022</t>
        </is>
      </c>
      <c r="B807" s="1" t="n">
        <v>44658</v>
      </c>
      <c r="C807" s="1" t="n">
        <v>45827</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15226-2022</t>
        </is>
      </c>
      <c r="B808" s="1" t="n">
        <v>44658</v>
      </c>
      <c r="C808" s="1" t="n">
        <v>45827</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15861-2022</t>
        </is>
      </c>
      <c r="B809" s="1" t="n">
        <v>44664</v>
      </c>
      <c r="C809" s="1" t="n">
        <v>45827</v>
      </c>
      <c r="D809" t="inlineStr">
        <is>
          <t>STOCKHOLMS LÄN</t>
        </is>
      </c>
      <c r="E809" t="inlineStr">
        <is>
          <t>NORRTÄLJE</t>
        </is>
      </c>
      <c r="G809" t="n">
        <v>10.2</v>
      </c>
      <c r="H809" t="n">
        <v>0</v>
      </c>
      <c r="I809" t="n">
        <v>0</v>
      </c>
      <c r="J809" t="n">
        <v>0</v>
      </c>
      <c r="K809" t="n">
        <v>0</v>
      </c>
      <c r="L809" t="n">
        <v>0</v>
      </c>
      <c r="M809" t="n">
        <v>0</v>
      </c>
      <c r="N809" t="n">
        <v>0</v>
      </c>
      <c r="O809" t="n">
        <v>0</v>
      </c>
      <c r="P809" t="n">
        <v>0</v>
      </c>
      <c r="Q809" t="n">
        <v>0</v>
      </c>
      <c r="R809" s="2" t="inlineStr"/>
    </row>
    <row r="810" ht="15" customHeight="1">
      <c r="A810" t="inlineStr">
        <is>
          <t>A 16117-2022</t>
        </is>
      </c>
      <c r="B810" s="1" t="n">
        <v>44665</v>
      </c>
      <c r="C810" s="1" t="n">
        <v>45827</v>
      </c>
      <c r="D810" t="inlineStr">
        <is>
          <t>STOCKHOLMS LÄN</t>
        </is>
      </c>
      <c r="E810" t="inlineStr">
        <is>
          <t>NORRTÄLJE</t>
        </is>
      </c>
      <c r="G810" t="n">
        <v>8.1</v>
      </c>
      <c r="H810" t="n">
        <v>0</v>
      </c>
      <c r="I810" t="n">
        <v>0</v>
      </c>
      <c r="J810" t="n">
        <v>0</v>
      </c>
      <c r="K810" t="n">
        <v>0</v>
      </c>
      <c r="L810" t="n">
        <v>0</v>
      </c>
      <c r="M810" t="n">
        <v>0</v>
      </c>
      <c r="N810" t="n">
        <v>0</v>
      </c>
      <c r="O810" t="n">
        <v>0</v>
      </c>
      <c r="P810" t="n">
        <v>0</v>
      </c>
      <c r="Q810" t="n">
        <v>0</v>
      </c>
      <c r="R810" s="2" t="inlineStr"/>
    </row>
    <row r="811" ht="15" customHeight="1">
      <c r="A811" t="inlineStr">
        <is>
          <t>A 16119-2022</t>
        </is>
      </c>
      <c r="B811" s="1" t="n">
        <v>44665</v>
      </c>
      <c r="C811" s="1" t="n">
        <v>45827</v>
      </c>
      <c r="D811" t="inlineStr">
        <is>
          <t>STOCKHOLMS LÄN</t>
        </is>
      </c>
      <c r="E811" t="inlineStr">
        <is>
          <t>NORRTÄLJE</t>
        </is>
      </c>
      <c r="G811" t="n">
        <v>3.9</v>
      </c>
      <c r="H811" t="n">
        <v>0</v>
      </c>
      <c r="I811" t="n">
        <v>0</v>
      </c>
      <c r="J811" t="n">
        <v>0</v>
      </c>
      <c r="K811" t="n">
        <v>0</v>
      </c>
      <c r="L811" t="n">
        <v>0</v>
      </c>
      <c r="M811" t="n">
        <v>0</v>
      </c>
      <c r="N811" t="n">
        <v>0</v>
      </c>
      <c r="O811" t="n">
        <v>0</v>
      </c>
      <c r="P811" t="n">
        <v>0</v>
      </c>
      <c r="Q811" t="n">
        <v>0</v>
      </c>
      <c r="R811" s="2" t="inlineStr"/>
    </row>
    <row r="812" ht="15" customHeight="1">
      <c r="A812" t="inlineStr">
        <is>
          <t>A 16132-2022</t>
        </is>
      </c>
      <c r="B812" s="1" t="n">
        <v>44665</v>
      </c>
      <c r="C812" s="1" t="n">
        <v>45827</v>
      </c>
      <c r="D812" t="inlineStr">
        <is>
          <t>STOCKHOLMS LÄN</t>
        </is>
      </c>
      <c r="E812" t="inlineStr">
        <is>
          <t>NORRTÄLJE</t>
        </is>
      </c>
      <c r="G812" t="n">
        <v>4.4</v>
      </c>
      <c r="H812" t="n">
        <v>0</v>
      </c>
      <c r="I812" t="n">
        <v>0</v>
      </c>
      <c r="J812" t="n">
        <v>0</v>
      </c>
      <c r="K812" t="n">
        <v>0</v>
      </c>
      <c r="L812" t="n">
        <v>0</v>
      </c>
      <c r="M812" t="n">
        <v>0</v>
      </c>
      <c r="N812" t="n">
        <v>0</v>
      </c>
      <c r="O812" t="n">
        <v>0</v>
      </c>
      <c r="P812" t="n">
        <v>0</v>
      </c>
      <c r="Q812" t="n">
        <v>0</v>
      </c>
      <c r="R812" s="2" t="inlineStr"/>
    </row>
    <row r="813" ht="15" customHeight="1">
      <c r="A813" t="inlineStr">
        <is>
          <t>A 16224-2022</t>
        </is>
      </c>
      <c r="B813" s="1" t="n">
        <v>44670</v>
      </c>
      <c r="C813" s="1" t="n">
        <v>45827</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16202-2022</t>
        </is>
      </c>
      <c r="B814" s="1" t="n">
        <v>44670</v>
      </c>
      <c r="C814" s="1" t="n">
        <v>45827</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16229-2022</t>
        </is>
      </c>
      <c r="B815" s="1" t="n">
        <v>44670</v>
      </c>
      <c r="C815" s="1" t="n">
        <v>45827</v>
      </c>
      <c r="D815" t="inlineStr">
        <is>
          <t>STOCKHOLMS LÄN</t>
        </is>
      </c>
      <c r="E815" t="inlineStr">
        <is>
          <t>NORRTÄLJE</t>
        </is>
      </c>
      <c r="G815" t="n">
        <v>7.4</v>
      </c>
      <c r="H815" t="n">
        <v>0</v>
      </c>
      <c r="I815" t="n">
        <v>0</v>
      </c>
      <c r="J815" t="n">
        <v>0</v>
      </c>
      <c r="K815" t="n">
        <v>0</v>
      </c>
      <c r="L815" t="n">
        <v>0</v>
      </c>
      <c r="M815" t="n">
        <v>0</v>
      </c>
      <c r="N815" t="n">
        <v>0</v>
      </c>
      <c r="O815" t="n">
        <v>0</v>
      </c>
      <c r="P815" t="n">
        <v>0</v>
      </c>
      <c r="Q815" t="n">
        <v>0</v>
      </c>
      <c r="R815" s="2" t="inlineStr"/>
    </row>
    <row r="816" ht="15" customHeight="1">
      <c r="A816" t="inlineStr">
        <is>
          <t>A 16442-2022</t>
        </is>
      </c>
      <c r="B816" s="1" t="n">
        <v>44671</v>
      </c>
      <c r="C816" s="1" t="n">
        <v>45827</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16534-2022</t>
        </is>
      </c>
      <c r="B817" s="1" t="n">
        <v>44672</v>
      </c>
      <c r="C817" s="1" t="n">
        <v>45827</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16835-2022</t>
        </is>
      </c>
      <c r="B818" s="1" t="n">
        <v>44673</v>
      </c>
      <c r="C818" s="1" t="n">
        <v>45827</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17391-2022</t>
        </is>
      </c>
      <c r="B819" s="1" t="n">
        <v>44678</v>
      </c>
      <c r="C819" s="1" t="n">
        <v>45827</v>
      </c>
      <c r="D819" t="inlineStr">
        <is>
          <t>STOCKHOLMS LÄN</t>
        </is>
      </c>
      <c r="E819" t="inlineStr">
        <is>
          <t>NORRTÄLJE</t>
        </is>
      </c>
      <c r="G819" t="n">
        <v>2.8</v>
      </c>
      <c r="H819" t="n">
        <v>0</v>
      </c>
      <c r="I819" t="n">
        <v>0</v>
      </c>
      <c r="J819" t="n">
        <v>0</v>
      </c>
      <c r="K819" t="n">
        <v>0</v>
      </c>
      <c r="L819" t="n">
        <v>0</v>
      </c>
      <c r="M819" t="n">
        <v>0</v>
      </c>
      <c r="N819" t="n">
        <v>0</v>
      </c>
      <c r="O819" t="n">
        <v>0</v>
      </c>
      <c r="P819" t="n">
        <v>0</v>
      </c>
      <c r="Q819" t="n">
        <v>0</v>
      </c>
      <c r="R819" s="2" t="inlineStr"/>
    </row>
    <row r="820" ht="15" customHeight="1">
      <c r="A820" t="inlineStr">
        <is>
          <t>A 17388-2022</t>
        </is>
      </c>
      <c r="B820" s="1" t="n">
        <v>44678</v>
      </c>
      <c r="C820" s="1" t="n">
        <v>45827</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17390-2022</t>
        </is>
      </c>
      <c r="B821" s="1" t="n">
        <v>44678</v>
      </c>
      <c r="C821" s="1" t="n">
        <v>45827</v>
      </c>
      <c r="D821" t="inlineStr">
        <is>
          <t>STOCKHOLMS LÄN</t>
        </is>
      </c>
      <c r="E821" t="inlineStr">
        <is>
          <t>NORRTÄLJE</t>
        </is>
      </c>
      <c r="G821" t="n">
        <v>4.9</v>
      </c>
      <c r="H821" t="n">
        <v>0</v>
      </c>
      <c r="I821" t="n">
        <v>0</v>
      </c>
      <c r="J821" t="n">
        <v>0</v>
      </c>
      <c r="K821" t="n">
        <v>0</v>
      </c>
      <c r="L821" t="n">
        <v>0</v>
      </c>
      <c r="M821" t="n">
        <v>0</v>
      </c>
      <c r="N821" t="n">
        <v>0</v>
      </c>
      <c r="O821" t="n">
        <v>0</v>
      </c>
      <c r="P821" t="n">
        <v>0</v>
      </c>
      <c r="Q821" t="n">
        <v>0</v>
      </c>
      <c r="R821" s="2" t="inlineStr"/>
    </row>
    <row r="822" ht="15" customHeight="1">
      <c r="A822" t="inlineStr">
        <is>
          <t>A 17612-2022</t>
        </is>
      </c>
      <c r="B822" s="1" t="n">
        <v>44680</v>
      </c>
      <c r="C822" s="1" t="n">
        <v>45827</v>
      </c>
      <c r="D822" t="inlineStr">
        <is>
          <t>STOCKHOLMS LÄN</t>
        </is>
      </c>
      <c r="E822" t="inlineStr">
        <is>
          <t>NORRTÄLJE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17629-2022</t>
        </is>
      </c>
      <c r="B823" s="1" t="n">
        <v>44680</v>
      </c>
      <c r="C823" s="1" t="n">
        <v>45827</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17771-2022</t>
        </is>
      </c>
      <c r="B824" s="1" t="n">
        <v>44682</v>
      </c>
      <c r="C824" s="1" t="n">
        <v>45827</v>
      </c>
      <c r="D824" t="inlineStr">
        <is>
          <t>STOCKHOLMS LÄN</t>
        </is>
      </c>
      <c r="E824" t="inlineStr">
        <is>
          <t>NORRTÄLJE</t>
        </is>
      </c>
      <c r="G824" t="n">
        <v>13.3</v>
      </c>
      <c r="H824" t="n">
        <v>0</v>
      </c>
      <c r="I824" t="n">
        <v>0</v>
      </c>
      <c r="J824" t="n">
        <v>0</v>
      </c>
      <c r="K824" t="n">
        <v>0</v>
      </c>
      <c r="L824" t="n">
        <v>0</v>
      </c>
      <c r="M824" t="n">
        <v>0</v>
      </c>
      <c r="N824" t="n">
        <v>0</v>
      </c>
      <c r="O824" t="n">
        <v>0</v>
      </c>
      <c r="P824" t="n">
        <v>0</v>
      </c>
      <c r="Q824" t="n">
        <v>0</v>
      </c>
      <c r="R824" s="2" t="inlineStr"/>
    </row>
    <row r="825" ht="15" customHeight="1">
      <c r="A825" t="inlineStr">
        <is>
          <t>A 17775-2022</t>
        </is>
      </c>
      <c r="B825" s="1" t="n">
        <v>44682</v>
      </c>
      <c r="C825" s="1" t="n">
        <v>45827</v>
      </c>
      <c r="D825" t="inlineStr">
        <is>
          <t>STOCKHOLMS LÄN</t>
        </is>
      </c>
      <c r="E825" t="inlineStr">
        <is>
          <t>NORRTÄLJE</t>
        </is>
      </c>
      <c r="G825" t="n">
        <v>4.7</v>
      </c>
      <c r="H825" t="n">
        <v>0</v>
      </c>
      <c r="I825" t="n">
        <v>0</v>
      </c>
      <c r="J825" t="n">
        <v>0</v>
      </c>
      <c r="K825" t="n">
        <v>0</v>
      </c>
      <c r="L825" t="n">
        <v>0</v>
      </c>
      <c r="M825" t="n">
        <v>0</v>
      </c>
      <c r="N825" t="n">
        <v>0</v>
      </c>
      <c r="O825" t="n">
        <v>0</v>
      </c>
      <c r="P825" t="n">
        <v>0</v>
      </c>
      <c r="Q825" t="n">
        <v>0</v>
      </c>
      <c r="R825" s="2" t="inlineStr"/>
    </row>
    <row r="826" ht="15" customHeight="1">
      <c r="A826" t="inlineStr">
        <is>
          <t>A 17773-2022</t>
        </is>
      </c>
      <c r="B826" s="1" t="n">
        <v>44682</v>
      </c>
      <c r="C826" s="1" t="n">
        <v>45827</v>
      </c>
      <c r="D826" t="inlineStr">
        <is>
          <t>STOCKHOLMS LÄN</t>
        </is>
      </c>
      <c r="E826" t="inlineStr">
        <is>
          <t>NORRTÄLJE</t>
        </is>
      </c>
      <c r="G826" t="n">
        <v>10.8</v>
      </c>
      <c r="H826" t="n">
        <v>0</v>
      </c>
      <c r="I826" t="n">
        <v>0</v>
      </c>
      <c r="J826" t="n">
        <v>0</v>
      </c>
      <c r="K826" t="n">
        <v>0</v>
      </c>
      <c r="L826" t="n">
        <v>0</v>
      </c>
      <c r="M826" t="n">
        <v>0</v>
      </c>
      <c r="N826" t="n">
        <v>0</v>
      </c>
      <c r="O826" t="n">
        <v>0</v>
      </c>
      <c r="P826" t="n">
        <v>0</v>
      </c>
      <c r="Q826" t="n">
        <v>0</v>
      </c>
      <c r="R826" s="2" t="inlineStr"/>
    </row>
    <row r="827" ht="15" customHeight="1">
      <c r="A827" t="inlineStr">
        <is>
          <t>A 17772-2022</t>
        </is>
      </c>
      <c r="B827" s="1" t="n">
        <v>44682</v>
      </c>
      <c r="C827" s="1" t="n">
        <v>45827</v>
      </c>
      <c r="D827" t="inlineStr">
        <is>
          <t>STOCKHOLMS LÄN</t>
        </is>
      </c>
      <c r="E827" t="inlineStr">
        <is>
          <t>NORRTÄLJE</t>
        </is>
      </c>
      <c r="G827" t="n">
        <v>4</v>
      </c>
      <c r="H827" t="n">
        <v>0</v>
      </c>
      <c r="I827" t="n">
        <v>0</v>
      </c>
      <c r="J827" t="n">
        <v>0</v>
      </c>
      <c r="K827" t="n">
        <v>0</v>
      </c>
      <c r="L827" t="n">
        <v>0</v>
      </c>
      <c r="M827" t="n">
        <v>0</v>
      </c>
      <c r="N827" t="n">
        <v>0</v>
      </c>
      <c r="O827" t="n">
        <v>0</v>
      </c>
      <c r="P827" t="n">
        <v>0</v>
      </c>
      <c r="Q827" t="n">
        <v>0</v>
      </c>
      <c r="R827" s="2" t="inlineStr"/>
    </row>
    <row r="828" ht="15" customHeight="1">
      <c r="A828" t="inlineStr">
        <is>
          <t>A 17777-2022</t>
        </is>
      </c>
      <c r="B828" s="1" t="n">
        <v>44682</v>
      </c>
      <c r="C828" s="1" t="n">
        <v>45827</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17803-2022</t>
        </is>
      </c>
      <c r="B829" s="1" t="n">
        <v>44683</v>
      </c>
      <c r="C829" s="1" t="n">
        <v>45827</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17952-2022</t>
        </is>
      </c>
      <c r="B830" s="1" t="n">
        <v>44683</v>
      </c>
      <c r="C830" s="1" t="n">
        <v>45827</v>
      </c>
      <c r="D830" t="inlineStr">
        <is>
          <t>STOCKHOLMS LÄN</t>
        </is>
      </c>
      <c r="E830" t="inlineStr">
        <is>
          <t>NORRTÄLJE</t>
        </is>
      </c>
      <c r="G830" t="n">
        <v>51.1</v>
      </c>
      <c r="H830" t="n">
        <v>0</v>
      </c>
      <c r="I830" t="n">
        <v>0</v>
      </c>
      <c r="J830" t="n">
        <v>0</v>
      </c>
      <c r="K830" t="n">
        <v>0</v>
      </c>
      <c r="L830" t="n">
        <v>0</v>
      </c>
      <c r="M830" t="n">
        <v>0</v>
      </c>
      <c r="N830" t="n">
        <v>0</v>
      </c>
      <c r="O830" t="n">
        <v>0</v>
      </c>
      <c r="P830" t="n">
        <v>0</v>
      </c>
      <c r="Q830" t="n">
        <v>0</v>
      </c>
      <c r="R830" s="2" t="inlineStr"/>
    </row>
    <row r="831" ht="15" customHeight="1">
      <c r="A831" t="inlineStr">
        <is>
          <t>A 18092-2022</t>
        </is>
      </c>
      <c r="B831" s="1" t="n">
        <v>44684</v>
      </c>
      <c r="C831" s="1" t="n">
        <v>45827</v>
      </c>
      <c r="D831" t="inlineStr">
        <is>
          <t>STOCKHOLMS LÄN</t>
        </is>
      </c>
      <c r="E831" t="inlineStr">
        <is>
          <t>NORRTÄLJE</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18103-2022</t>
        </is>
      </c>
      <c r="B832" s="1" t="n">
        <v>44684</v>
      </c>
      <c r="C832" s="1" t="n">
        <v>45827</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18350-2022</t>
        </is>
      </c>
      <c r="B833" s="1" t="n">
        <v>44685</v>
      </c>
      <c r="C833" s="1" t="n">
        <v>45827</v>
      </c>
      <c r="D833" t="inlineStr">
        <is>
          <t>STOCKHOLMS LÄN</t>
        </is>
      </c>
      <c r="E833" t="inlineStr">
        <is>
          <t>NORRTÄLJE</t>
        </is>
      </c>
      <c r="F833" t="inlineStr">
        <is>
          <t>Holmen skog AB</t>
        </is>
      </c>
      <c r="G833" t="n">
        <v>7.1</v>
      </c>
      <c r="H833" t="n">
        <v>0</v>
      </c>
      <c r="I833" t="n">
        <v>0</v>
      </c>
      <c r="J833" t="n">
        <v>0</v>
      </c>
      <c r="K833" t="n">
        <v>0</v>
      </c>
      <c r="L833" t="n">
        <v>0</v>
      </c>
      <c r="M833" t="n">
        <v>0</v>
      </c>
      <c r="N833" t="n">
        <v>0</v>
      </c>
      <c r="O833" t="n">
        <v>0</v>
      </c>
      <c r="P833" t="n">
        <v>0</v>
      </c>
      <c r="Q833" t="n">
        <v>0</v>
      </c>
      <c r="R833" s="2" t="inlineStr"/>
    </row>
    <row r="834" ht="15" customHeight="1">
      <c r="A834" t="inlineStr">
        <is>
          <t>A 18546-2022</t>
        </is>
      </c>
      <c r="B834" s="1" t="n">
        <v>44686</v>
      </c>
      <c r="C834" s="1" t="n">
        <v>45827</v>
      </c>
      <c r="D834" t="inlineStr">
        <is>
          <t>STOCKHOLMS LÄN</t>
        </is>
      </c>
      <c r="E834" t="inlineStr">
        <is>
          <t>NORRTÄLJE</t>
        </is>
      </c>
      <c r="G834" t="n">
        <v>15.2</v>
      </c>
      <c r="H834" t="n">
        <v>0</v>
      </c>
      <c r="I834" t="n">
        <v>0</v>
      </c>
      <c r="J834" t="n">
        <v>0</v>
      </c>
      <c r="K834" t="n">
        <v>0</v>
      </c>
      <c r="L834" t="n">
        <v>0</v>
      </c>
      <c r="M834" t="n">
        <v>0</v>
      </c>
      <c r="N834" t="n">
        <v>0</v>
      </c>
      <c r="O834" t="n">
        <v>0</v>
      </c>
      <c r="P834" t="n">
        <v>0</v>
      </c>
      <c r="Q834" t="n">
        <v>0</v>
      </c>
      <c r="R834" s="2" t="inlineStr"/>
    </row>
    <row r="835" ht="15" customHeight="1">
      <c r="A835" t="inlineStr">
        <is>
          <t>A 18665-2022</t>
        </is>
      </c>
      <c r="B835" s="1" t="n">
        <v>44687</v>
      </c>
      <c r="C835" s="1" t="n">
        <v>45827</v>
      </c>
      <c r="D835" t="inlineStr">
        <is>
          <t>STOCKHOLMS LÄN</t>
        </is>
      </c>
      <c r="E835" t="inlineStr">
        <is>
          <t>NORRTÄLJE</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18787-2022</t>
        </is>
      </c>
      <c r="B836" s="1" t="n">
        <v>44687</v>
      </c>
      <c r="C836" s="1" t="n">
        <v>45827</v>
      </c>
      <c r="D836" t="inlineStr">
        <is>
          <t>STOCKHOLMS LÄN</t>
        </is>
      </c>
      <c r="E836" t="inlineStr">
        <is>
          <t>NORRTÄLJE</t>
        </is>
      </c>
      <c r="G836" t="n">
        <v>2</v>
      </c>
      <c r="H836" t="n">
        <v>0</v>
      </c>
      <c r="I836" t="n">
        <v>0</v>
      </c>
      <c r="J836" t="n">
        <v>0</v>
      </c>
      <c r="K836" t="n">
        <v>0</v>
      </c>
      <c r="L836" t="n">
        <v>0</v>
      </c>
      <c r="M836" t="n">
        <v>0</v>
      </c>
      <c r="N836" t="n">
        <v>0</v>
      </c>
      <c r="O836" t="n">
        <v>0</v>
      </c>
      <c r="P836" t="n">
        <v>0</v>
      </c>
      <c r="Q836" t="n">
        <v>0</v>
      </c>
      <c r="R836" s="2" t="inlineStr"/>
    </row>
    <row r="837" ht="15" customHeight="1">
      <c r="A837" t="inlineStr">
        <is>
          <t>A 18846-2022</t>
        </is>
      </c>
      <c r="B837" s="1" t="n">
        <v>44690</v>
      </c>
      <c r="C837" s="1" t="n">
        <v>45827</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18905-2022</t>
        </is>
      </c>
      <c r="B838" s="1" t="n">
        <v>44690</v>
      </c>
      <c r="C838" s="1" t="n">
        <v>45827</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18894-2022</t>
        </is>
      </c>
      <c r="B839" s="1" t="n">
        <v>44690</v>
      </c>
      <c r="C839" s="1" t="n">
        <v>45827</v>
      </c>
      <c r="D839" t="inlineStr">
        <is>
          <t>STOCKHOLMS LÄN</t>
        </is>
      </c>
      <c r="E839" t="inlineStr">
        <is>
          <t>NORRTÄLJE</t>
        </is>
      </c>
      <c r="G839" t="n">
        <v>3.6</v>
      </c>
      <c r="H839" t="n">
        <v>0</v>
      </c>
      <c r="I839" t="n">
        <v>0</v>
      </c>
      <c r="J839" t="n">
        <v>0</v>
      </c>
      <c r="K839" t="n">
        <v>0</v>
      </c>
      <c r="L839" t="n">
        <v>0</v>
      </c>
      <c r="M839" t="n">
        <v>0</v>
      </c>
      <c r="N839" t="n">
        <v>0</v>
      </c>
      <c r="O839" t="n">
        <v>0</v>
      </c>
      <c r="P839" t="n">
        <v>0</v>
      </c>
      <c r="Q839" t="n">
        <v>0</v>
      </c>
      <c r="R839" s="2" t="inlineStr"/>
    </row>
    <row r="840" ht="15" customHeight="1">
      <c r="A840" t="inlineStr">
        <is>
          <t>A 19116-2022</t>
        </is>
      </c>
      <c r="B840" s="1" t="n">
        <v>44691</v>
      </c>
      <c r="C840" s="1" t="n">
        <v>45827</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19118-2022</t>
        </is>
      </c>
      <c r="B841" s="1" t="n">
        <v>44691</v>
      </c>
      <c r="C841" s="1" t="n">
        <v>45827</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19580-2022</t>
        </is>
      </c>
      <c r="B842" s="1" t="n">
        <v>44693</v>
      </c>
      <c r="C842" s="1" t="n">
        <v>45827</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19729-2022</t>
        </is>
      </c>
      <c r="B843" s="1" t="n">
        <v>44694</v>
      </c>
      <c r="C843" s="1" t="n">
        <v>45827</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19728-2022</t>
        </is>
      </c>
      <c r="B844" s="1" t="n">
        <v>44694</v>
      </c>
      <c r="C844" s="1" t="n">
        <v>45827</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19982-2022</t>
        </is>
      </c>
      <c r="B845" s="1" t="n">
        <v>44697</v>
      </c>
      <c r="C845" s="1" t="n">
        <v>45827</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19983-2022</t>
        </is>
      </c>
      <c r="B846" s="1" t="n">
        <v>44697</v>
      </c>
      <c r="C846" s="1" t="n">
        <v>45827</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20121-2022</t>
        </is>
      </c>
      <c r="B847" s="1" t="n">
        <v>44698</v>
      </c>
      <c r="C847" s="1" t="n">
        <v>45827</v>
      </c>
      <c r="D847" t="inlineStr">
        <is>
          <t>STOCKHOLMS LÄN</t>
        </is>
      </c>
      <c r="E847" t="inlineStr">
        <is>
          <t>NORRTÄLJE</t>
        </is>
      </c>
      <c r="G847" t="n">
        <v>4.2</v>
      </c>
      <c r="H847" t="n">
        <v>0</v>
      </c>
      <c r="I847" t="n">
        <v>0</v>
      </c>
      <c r="J847" t="n">
        <v>0</v>
      </c>
      <c r="K847" t="n">
        <v>0</v>
      </c>
      <c r="L847" t="n">
        <v>0</v>
      </c>
      <c r="M847" t="n">
        <v>0</v>
      </c>
      <c r="N847" t="n">
        <v>0</v>
      </c>
      <c r="O847" t="n">
        <v>0</v>
      </c>
      <c r="P847" t="n">
        <v>0</v>
      </c>
      <c r="Q847" t="n">
        <v>0</v>
      </c>
      <c r="R847" s="2" t="inlineStr"/>
    </row>
    <row r="848" ht="15" customHeight="1">
      <c r="A848" t="inlineStr">
        <is>
          <t>A 20129-2022</t>
        </is>
      </c>
      <c r="B848" s="1" t="n">
        <v>44698</v>
      </c>
      <c r="C848" s="1" t="n">
        <v>45827</v>
      </c>
      <c r="D848" t="inlineStr">
        <is>
          <t>STOCKHOLMS LÄN</t>
        </is>
      </c>
      <c r="E848" t="inlineStr">
        <is>
          <t>NORRTÄLJE</t>
        </is>
      </c>
      <c r="G848" t="n">
        <v>3.7</v>
      </c>
      <c r="H848" t="n">
        <v>0</v>
      </c>
      <c r="I848" t="n">
        <v>0</v>
      </c>
      <c r="J848" t="n">
        <v>0</v>
      </c>
      <c r="K848" t="n">
        <v>0</v>
      </c>
      <c r="L848" t="n">
        <v>0</v>
      </c>
      <c r="M848" t="n">
        <v>0</v>
      </c>
      <c r="N848" t="n">
        <v>0</v>
      </c>
      <c r="O848" t="n">
        <v>0</v>
      </c>
      <c r="P848" t="n">
        <v>0</v>
      </c>
      <c r="Q848" t="n">
        <v>0</v>
      </c>
      <c r="R848" s="2" t="inlineStr"/>
    </row>
    <row r="849" ht="15" customHeight="1">
      <c r="A849" t="inlineStr">
        <is>
          <t>A 20291-2022</t>
        </is>
      </c>
      <c r="B849" s="1" t="n">
        <v>44698</v>
      </c>
      <c r="C849" s="1" t="n">
        <v>45827</v>
      </c>
      <c r="D849" t="inlineStr">
        <is>
          <t>STOCKHOLMS LÄN</t>
        </is>
      </c>
      <c r="E849" t="inlineStr">
        <is>
          <t>NORRTÄLJE</t>
        </is>
      </c>
      <c r="F849" t="inlineStr">
        <is>
          <t>Naturvårdsverket</t>
        </is>
      </c>
      <c r="G849" t="n">
        <v>2</v>
      </c>
      <c r="H849" t="n">
        <v>0</v>
      </c>
      <c r="I849" t="n">
        <v>0</v>
      </c>
      <c r="J849" t="n">
        <v>0</v>
      </c>
      <c r="K849" t="n">
        <v>0</v>
      </c>
      <c r="L849" t="n">
        <v>0</v>
      </c>
      <c r="M849" t="n">
        <v>0</v>
      </c>
      <c r="N849" t="n">
        <v>0</v>
      </c>
      <c r="O849" t="n">
        <v>0</v>
      </c>
      <c r="P849" t="n">
        <v>0</v>
      </c>
      <c r="Q849" t="n">
        <v>0</v>
      </c>
      <c r="R849" s="2" t="inlineStr"/>
    </row>
    <row r="850" ht="15" customHeight="1">
      <c r="A850" t="inlineStr">
        <is>
          <t>A 20294-2022</t>
        </is>
      </c>
      <c r="B850" s="1" t="n">
        <v>44698</v>
      </c>
      <c r="C850" s="1" t="n">
        <v>45827</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20295-2022</t>
        </is>
      </c>
      <c r="B851" s="1" t="n">
        <v>44698</v>
      </c>
      <c r="C851" s="1" t="n">
        <v>45827</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20618-2022</t>
        </is>
      </c>
      <c r="B852" s="1" t="n">
        <v>44700</v>
      </c>
      <c r="C852" s="1" t="n">
        <v>45827</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21102-2022</t>
        </is>
      </c>
      <c r="B853" s="1" t="n">
        <v>44704</v>
      </c>
      <c r="C853" s="1" t="n">
        <v>45827</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21158-2022</t>
        </is>
      </c>
      <c r="B854" s="1" t="n">
        <v>44704</v>
      </c>
      <c r="C854" s="1" t="n">
        <v>45827</v>
      </c>
      <c r="D854" t="inlineStr">
        <is>
          <t>STOCKHOLMS LÄN</t>
        </is>
      </c>
      <c r="E854" t="inlineStr">
        <is>
          <t>NORRTÄLJE</t>
        </is>
      </c>
      <c r="G854" t="n">
        <v>17.8</v>
      </c>
      <c r="H854" t="n">
        <v>0</v>
      </c>
      <c r="I854" t="n">
        <v>0</v>
      </c>
      <c r="J854" t="n">
        <v>0</v>
      </c>
      <c r="K854" t="n">
        <v>0</v>
      </c>
      <c r="L854" t="n">
        <v>0</v>
      </c>
      <c r="M854" t="n">
        <v>0</v>
      </c>
      <c r="N854" t="n">
        <v>0</v>
      </c>
      <c r="O854" t="n">
        <v>0</v>
      </c>
      <c r="P854" t="n">
        <v>0</v>
      </c>
      <c r="Q854" t="n">
        <v>0</v>
      </c>
      <c r="R854" s="2" t="inlineStr"/>
    </row>
    <row r="855" ht="15" customHeight="1">
      <c r="A855" t="inlineStr">
        <is>
          <t>A 21174-2022</t>
        </is>
      </c>
      <c r="B855" s="1" t="n">
        <v>44704</v>
      </c>
      <c r="C855" s="1" t="n">
        <v>45827</v>
      </c>
      <c r="D855" t="inlineStr">
        <is>
          <t>STOCKHOLMS LÄN</t>
        </is>
      </c>
      <c r="E855" t="inlineStr">
        <is>
          <t>NORRTÄLJE</t>
        </is>
      </c>
      <c r="G855" t="n">
        <v>5.2</v>
      </c>
      <c r="H855" t="n">
        <v>0</v>
      </c>
      <c r="I855" t="n">
        <v>0</v>
      </c>
      <c r="J855" t="n">
        <v>0</v>
      </c>
      <c r="K855" t="n">
        <v>0</v>
      </c>
      <c r="L855" t="n">
        <v>0</v>
      </c>
      <c r="M855" t="n">
        <v>0</v>
      </c>
      <c r="N855" t="n">
        <v>0</v>
      </c>
      <c r="O855" t="n">
        <v>0</v>
      </c>
      <c r="P855" t="n">
        <v>0</v>
      </c>
      <c r="Q855" t="n">
        <v>0</v>
      </c>
      <c r="R855" s="2" t="inlineStr"/>
    </row>
    <row r="856" ht="15" customHeight="1">
      <c r="A856" t="inlineStr">
        <is>
          <t>A 21480-2022</t>
        </is>
      </c>
      <c r="B856" s="1" t="n">
        <v>44704</v>
      </c>
      <c r="C856" s="1" t="n">
        <v>45827</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21178-2022</t>
        </is>
      </c>
      <c r="B857" s="1" t="n">
        <v>44704</v>
      </c>
      <c r="C857" s="1" t="n">
        <v>45827</v>
      </c>
      <c r="D857" t="inlineStr">
        <is>
          <t>STOCKHOLMS LÄN</t>
        </is>
      </c>
      <c r="E857" t="inlineStr">
        <is>
          <t>NORRTÄLJE</t>
        </is>
      </c>
      <c r="G857" t="n">
        <v>6</v>
      </c>
      <c r="H857" t="n">
        <v>0</v>
      </c>
      <c r="I857" t="n">
        <v>0</v>
      </c>
      <c r="J857" t="n">
        <v>0</v>
      </c>
      <c r="K857" t="n">
        <v>0</v>
      </c>
      <c r="L857" t="n">
        <v>0</v>
      </c>
      <c r="M857" t="n">
        <v>0</v>
      </c>
      <c r="N857" t="n">
        <v>0</v>
      </c>
      <c r="O857" t="n">
        <v>0</v>
      </c>
      <c r="P857" t="n">
        <v>0</v>
      </c>
      <c r="Q857" t="n">
        <v>0</v>
      </c>
      <c r="R857" s="2" t="inlineStr"/>
    </row>
    <row r="858" ht="15" customHeight="1">
      <c r="A858" t="inlineStr">
        <is>
          <t>A 21329-2022</t>
        </is>
      </c>
      <c r="B858" s="1" t="n">
        <v>44705</v>
      </c>
      <c r="C858" s="1" t="n">
        <v>45827</v>
      </c>
      <c r="D858" t="inlineStr">
        <is>
          <t>STOCKHOLMS LÄN</t>
        </is>
      </c>
      <c r="E858" t="inlineStr">
        <is>
          <t>NORRTÄLJE</t>
        </is>
      </c>
      <c r="G858" t="n">
        <v>4.1</v>
      </c>
      <c r="H858" t="n">
        <v>0</v>
      </c>
      <c r="I858" t="n">
        <v>0</v>
      </c>
      <c r="J858" t="n">
        <v>0</v>
      </c>
      <c r="K858" t="n">
        <v>0</v>
      </c>
      <c r="L858" t="n">
        <v>0</v>
      </c>
      <c r="M858" t="n">
        <v>0</v>
      </c>
      <c r="N858" t="n">
        <v>0</v>
      </c>
      <c r="O858" t="n">
        <v>0</v>
      </c>
      <c r="P858" t="n">
        <v>0</v>
      </c>
      <c r="Q858" t="n">
        <v>0</v>
      </c>
      <c r="R858" s="2" t="inlineStr"/>
    </row>
    <row r="859" ht="15" customHeight="1">
      <c r="A859" t="inlineStr">
        <is>
          <t>A 21739-2022</t>
        </is>
      </c>
      <c r="B859" s="1" t="n">
        <v>44708</v>
      </c>
      <c r="C859" s="1" t="n">
        <v>45827</v>
      </c>
      <c r="D859" t="inlineStr">
        <is>
          <t>STOCKHOLMS LÄN</t>
        </is>
      </c>
      <c r="E859" t="inlineStr">
        <is>
          <t>NORRTÄLJE</t>
        </is>
      </c>
      <c r="F859" t="inlineStr">
        <is>
          <t>Holmen skog AB</t>
        </is>
      </c>
      <c r="G859" t="n">
        <v>1.1</v>
      </c>
      <c r="H859" t="n">
        <v>0</v>
      </c>
      <c r="I859" t="n">
        <v>0</v>
      </c>
      <c r="J859" t="n">
        <v>0</v>
      </c>
      <c r="K859" t="n">
        <v>0</v>
      </c>
      <c r="L859" t="n">
        <v>0</v>
      </c>
      <c r="M859" t="n">
        <v>0</v>
      </c>
      <c r="N859" t="n">
        <v>0</v>
      </c>
      <c r="O859" t="n">
        <v>0</v>
      </c>
      <c r="P859" t="n">
        <v>0</v>
      </c>
      <c r="Q859" t="n">
        <v>0</v>
      </c>
      <c r="R859" s="2" t="inlineStr"/>
    </row>
    <row r="860" ht="15" customHeight="1">
      <c r="A860" t="inlineStr">
        <is>
          <t>A 21723-2022</t>
        </is>
      </c>
      <c r="B860" s="1" t="n">
        <v>44708</v>
      </c>
      <c r="C860" s="1" t="n">
        <v>45827</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21726-2022</t>
        </is>
      </c>
      <c r="B861" s="1" t="n">
        <v>44708</v>
      </c>
      <c r="C861" s="1" t="n">
        <v>45827</v>
      </c>
      <c r="D861" t="inlineStr">
        <is>
          <t>STOCKHOLMS LÄN</t>
        </is>
      </c>
      <c r="E861" t="inlineStr">
        <is>
          <t>NORRTÄLJE</t>
        </is>
      </c>
      <c r="G861" t="n">
        <v>0.2</v>
      </c>
      <c r="H861" t="n">
        <v>0</v>
      </c>
      <c r="I861" t="n">
        <v>0</v>
      </c>
      <c r="J861" t="n">
        <v>0</v>
      </c>
      <c r="K861" t="n">
        <v>0</v>
      </c>
      <c r="L861" t="n">
        <v>0</v>
      </c>
      <c r="M861" t="n">
        <v>0</v>
      </c>
      <c r="N861" t="n">
        <v>0</v>
      </c>
      <c r="O861" t="n">
        <v>0</v>
      </c>
      <c r="P861" t="n">
        <v>0</v>
      </c>
      <c r="Q861" t="n">
        <v>0</v>
      </c>
      <c r="R861" s="2" t="inlineStr"/>
    </row>
    <row r="862" ht="15" customHeight="1">
      <c r="A862" t="inlineStr">
        <is>
          <t>A 21803-2022</t>
        </is>
      </c>
      <c r="B862" s="1" t="n">
        <v>44708</v>
      </c>
      <c r="C862" s="1" t="n">
        <v>45827</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21970-2022</t>
        </is>
      </c>
      <c r="B863" s="1" t="n">
        <v>44711</v>
      </c>
      <c r="C863" s="1" t="n">
        <v>45827</v>
      </c>
      <c r="D863" t="inlineStr">
        <is>
          <t>STOCKHOLMS LÄN</t>
        </is>
      </c>
      <c r="E863" t="inlineStr">
        <is>
          <t>NORRTÄLJE</t>
        </is>
      </c>
      <c r="F863" t="inlineStr">
        <is>
          <t>Holmen skog AB</t>
        </is>
      </c>
      <c r="G863" t="n">
        <v>2.8</v>
      </c>
      <c r="H863" t="n">
        <v>0</v>
      </c>
      <c r="I863" t="n">
        <v>0</v>
      </c>
      <c r="J863" t="n">
        <v>0</v>
      </c>
      <c r="K863" t="n">
        <v>0</v>
      </c>
      <c r="L863" t="n">
        <v>0</v>
      </c>
      <c r="M863" t="n">
        <v>0</v>
      </c>
      <c r="N863" t="n">
        <v>0</v>
      </c>
      <c r="O863" t="n">
        <v>0</v>
      </c>
      <c r="P863" t="n">
        <v>0</v>
      </c>
      <c r="Q863" t="n">
        <v>0</v>
      </c>
      <c r="R863" s="2" t="inlineStr"/>
    </row>
    <row r="864" ht="15" customHeight="1">
      <c r="A864" t="inlineStr">
        <is>
          <t>A 22072-2022</t>
        </is>
      </c>
      <c r="B864" s="1" t="n">
        <v>44711</v>
      </c>
      <c r="C864" s="1" t="n">
        <v>45827</v>
      </c>
      <c r="D864" t="inlineStr">
        <is>
          <t>STOCKHOLMS LÄN</t>
        </is>
      </c>
      <c r="E864" t="inlineStr">
        <is>
          <t>NORRTÄLJE</t>
        </is>
      </c>
      <c r="G864" t="n">
        <v>9.6</v>
      </c>
      <c r="H864" t="n">
        <v>0</v>
      </c>
      <c r="I864" t="n">
        <v>0</v>
      </c>
      <c r="J864" t="n">
        <v>0</v>
      </c>
      <c r="K864" t="n">
        <v>0</v>
      </c>
      <c r="L864" t="n">
        <v>0</v>
      </c>
      <c r="M864" t="n">
        <v>0</v>
      </c>
      <c r="N864" t="n">
        <v>0</v>
      </c>
      <c r="O864" t="n">
        <v>0</v>
      </c>
      <c r="P864" t="n">
        <v>0</v>
      </c>
      <c r="Q864" t="n">
        <v>0</v>
      </c>
      <c r="R864" s="2" t="inlineStr"/>
    </row>
    <row r="865" ht="15" customHeight="1">
      <c r="A865" t="inlineStr">
        <is>
          <t>A 22071-2022</t>
        </is>
      </c>
      <c r="B865" s="1" t="n">
        <v>44711</v>
      </c>
      <c r="C865" s="1" t="n">
        <v>45827</v>
      </c>
      <c r="D865" t="inlineStr">
        <is>
          <t>STOCKHOLMS LÄN</t>
        </is>
      </c>
      <c r="E865" t="inlineStr">
        <is>
          <t>NORRTÄLJE</t>
        </is>
      </c>
      <c r="G865" t="n">
        <v>7</v>
      </c>
      <c r="H865" t="n">
        <v>0</v>
      </c>
      <c r="I865" t="n">
        <v>0</v>
      </c>
      <c r="J865" t="n">
        <v>0</v>
      </c>
      <c r="K865" t="n">
        <v>0</v>
      </c>
      <c r="L865" t="n">
        <v>0</v>
      </c>
      <c r="M865" t="n">
        <v>0</v>
      </c>
      <c r="N865" t="n">
        <v>0</v>
      </c>
      <c r="O865" t="n">
        <v>0</v>
      </c>
      <c r="P865" t="n">
        <v>0</v>
      </c>
      <c r="Q865" t="n">
        <v>0</v>
      </c>
      <c r="R865" s="2" t="inlineStr"/>
    </row>
    <row r="866" ht="15" customHeight="1">
      <c r="A866" t="inlineStr">
        <is>
          <t>A 22269-2022</t>
        </is>
      </c>
      <c r="B866" s="1" t="n">
        <v>44712</v>
      </c>
      <c r="C866" s="1" t="n">
        <v>45827</v>
      </c>
      <c r="D866" t="inlineStr">
        <is>
          <t>STOCKHOLMS LÄN</t>
        </is>
      </c>
      <c r="E866" t="inlineStr">
        <is>
          <t>NORRTÄLJE</t>
        </is>
      </c>
      <c r="G866" t="n">
        <v>4.5</v>
      </c>
      <c r="H866" t="n">
        <v>0</v>
      </c>
      <c r="I866" t="n">
        <v>0</v>
      </c>
      <c r="J866" t="n">
        <v>0</v>
      </c>
      <c r="K866" t="n">
        <v>0</v>
      </c>
      <c r="L866" t="n">
        <v>0</v>
      </c>
      <c r="M866" t="n">
        <v>0</v>
      </c>
      <c r="N866" t="n">
        <v>0</v>
      </c>
      <c r="O866" t="n">
        <v>0</v>
      </c>
      <c r="P866" t="n">
        <v>0</v>
      </c>
      <c r="Q866" t="n">
        <v>0</v>
      </c>
      <c r="R866" s="2" t="inlineStr"/>
    </row>
    <row r="867" ht="15" customHeight="1">
      <c r="A867" t="inlineStr">
        <is>
          <t>A 22316-2022</t>
        </is>
      </c>
      <c r="B867" s="1" t="n">
        <v>44712</v>
      </c>
      <c r="C867" s="1" t="n">
        <v>45827</v>
      </c>
      <c r="D867" t="inlineStr">
        <is>
          <t>STOCKHOLMS LÄN</t>
        </is>
      </c>
      <c r="E867" t="inlineStr">
        <is>
          <t>NORRTÄLJE</t>
        </is>
      </c>
      <c r="G867" t="n">
        <v>6.3</v>
      </c>
      <c r="H867" t="n">
        <v>0</v>
      </c>
      <c r="I867" t="n">
        <v>0</v>
      </c>
      <c r="J867" t="n">
        <v>0</v>
      </c>
      <c r="K867" t="n">
        <v>0</v>
      </c>
      <c r="L867" t="n">
        <v>0</v>
      </c>
      <c r="M867" t="n">
        <v>0</v>
      </c>
      <c r="N867" t="n">
        <v>0</v>
      </c>
      <c r="O867" t="n">
        <v>0</v>
      </c>
      <c r="P867" t="n">
        <v>0</v>
      </c>
      <c r="Q867" t="n">
        <v>0</v>
      </c>
      <c r="R867" s="2" t="inlineStr"/>
    </row>
    <row r="868" ht="15" customHeight="1">
      <c r="A868" t="inlineStr">
        <is>
          <t>A 22503-2022</t>
        </is>
      </c>
      <c r="B868" s="1" t="n">
        <v>44713</v>
      </c>
      <c r="C868" s="1" t="n">
        <v>45827</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22697-2022</t>
        </is>
      </c>
      <c r="B869" s="1" t="n">
        <v>44714</v>
      </c>
      <c r="C869" s="1" t="n">
        <v>45827</v>
      </c>
      <c r="D869" t="inlineStr">
        <is>
          <t>STOCKHOLMS LÄN</t>
        </is>
      </c>
      <c r="E869" t="inlineStr">
        <is>
          <t>NORRTÄLJE</t>
        </is>
      </c>
      <c r="G869" t="n">
        <v>5.6</v>
      </c>
      <c r="H869" t="n">
        <v>0</v>
      </c>
      <c r="I869" t="n">
        <v>0</v>
      </c>
      <c r="J869" t="n">
        <v>0</v>
      </c>
      <c r="K869" t="n">
        <v>0</v>
      </c>
      <c r="L869" t="n">
        <v>0</v>
      </c>
      <c r="M869" t="n">
        <v>0</v>
      </c>
      <c r="N869" t="n">
        <v>0</v>
      </c>
      <c r="O869" t="n">
        <v>0</v>
      </c>
      <c r="P869" t="n">
        <v>0</v>
      </c>
      <c r="Q869" t="n">
        <v>0</v>
      </c>
      <c r="R869" s="2" t="inlineStr"/>
    </row>
    <row r="870" ht="15" customHeight="1">
      <c r="A870" t="inlineStr">
        <is>
          <t>A 22628-2022</t>
        </is>
      </c>
      <c r="B870" s="1" t="n">
        <v>44714</v>
      </c>
      <c r="C870" s="1" t="n">
        <v>45827</v>
      </c>
      <c r="D870" t="inlineStr">
        <is>
          <t>STOCKHOLMS LÄN</t>
        </is>
      </c>
      <c r="E870" t="inlineStr">
        <is>
          <t>NORRTÄLJE</t>
        </is>
      </c>
      <c r="G870" t="n">
        <v>11.4</v>
      </c>
      <c r="H870" t="n">
        <v>0</v>
      </c>
      <c r="I870" t="n">
        <v>0</v>
      </c>
      <c r="J870" t="n">
        <v>0</v>
      </c>
      <c r="K870" t="n">
        <v>0</v>
      </c>
      <c r="L870" t="n">
        <v>0</v>
      </c>
      <c r="M870" t="n">
        <v>0</v>
      </c>
      <c r="N870" t="n">
        <v>0</v>
      </c>
      <c r="O870" t="n">
        <v>0</v>
      </c>
      <c r="P870" t="n">
        <v>0</v>
      </c>
      <c r="Q870" t="n">
        <v>0</v>
      </c>
      <c r="R870" s="2" t="inlineStr"/>
    </row>
    <row r="871" ht="15" customHeight="1">
      <c r="A871" t="inlineStr">
        <is>
          <t>A 22636-2022</t>
        </is>
      </c>
      <c r="B871" s="1" t="n">
        <v>44714</v>
      </c>
      <c r="C871" s="1" t="n">
        <v>45827</v>
      </c>
      <c r="D871" t="inlineStr">
        <is>
          <t>STOCKHOLMS LÄN</t>
        </is>
      </c>
      <c r="E871" t="inlineStr">
        <is>
          <t>NORRTÄLJE</t>
        </is>
      </c>
      <c r="G871" t="n">
        <v>16.6</v>
      </c>
      <c r="H871" t="n">
        <v>0</v>
      </c>
      <c r="I871" t="n">
        <v>0</v>
      </c>
      <c r="J871" t="n">
        <v>0</v>
      </c>
      <c r="K871" t="n">
        <v>0</v>
      </c>
      <c r="L871" t="n">
        <v>0</v>
      </c>
      <c r="M871" t="n">
        <v>0</v>
      </c>
      <c r="N871" t="n">
        <v>0</v>
      </c>
      <c r="O871" t="n">
        <v>0</v>
      </c>
      <c r="P871" t="n">
        <v>0</v>
      </c>
      <c r="Q871" t="n">
        <v>0</v>
      </c>
      <c r="R871" s="2" t="inlineStr"/>
    </row>
    <row r="872" ht="15" customHeight="1">
      <c r="A872" t="inlineStr">
        <is>
          <t>A 22716-2022</t>
        </is>
      </c>
      <c r="B872" s="1" t="n">
        <v>44714</v>
      </c>
      <c r="C872" s="1" t="n">
        <v>45827</v>
      </c>
      <c r="D872" t="inlineStr">
        <is>
          <t>STOCKHOLMS LÄN</t>
        </is>
      </c>
      <c r="E872" t="inlineStr">
        <is>
          <t>NORRTÄLJE</t>
        </is>
      </c>
      <c r="G872" t="n">
        <v>13.5</v>
      </c>
      <c r="H872" t="n">
        <v>0</v>
      </c>
      <c r="I872" t="n">
        <v>0</v>
      </c>
      <c r="J872" t="n">
        <v>0</v>
      </c>
      <c r="K872" t="n">
        <v>0</v>
      </c>
      <c r="L872" t="n">
        <v>0</v>
      </c>
      <c r="M872" t="n">
        <v>0</v>
      </c>
      <c r="N872" t="n">
        <v>0</v>
      </c>
      <c r="O872" t="n">
        <v>0</v>
      </c>
      <c r="P872" t="n">
        <v>0</v>
      </c>
      <c r="Q872" t="n">
        <v>0</v>
      </c>
      <c r="R872" s="2" t="inlineStr"/>
    </row>
    <row r="873" ht="15" customHeight="1">
      <c r="A873" t="inlineStr">
        <is>
          <t>A 22756-2022</t>
        </is>
      </c>
      <c r="B873" s="1" t="n">
        <v>44715</v>
      </c>
      <c r="C873" s="1" t="n">
        <v>45827</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23125-2022</t>
        </is>
      </c>
      <c r="B874" s="1" t="n">
        <v>44719</v>
      </c>
      <c r="C874" s="1" t="n">
        <v>45827</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23770-2022</t>
        </is>
      </c>
      <c r="B875" s="1" t="n">
        <v>44722</v>
      </c>
      <c r="C875" s="1" t="n">
        <v>45827</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23801-2022</t>
        </is>
      </c>
      <c r="B876" s="1" t="n">
        <v>44722</v>
      </c>
      <c r="C876" s="1" t="n">
        <v>45827</v>
      </c>
      <c r="D876" t="inlineStr">
        <is>
          <t>STOCKHOLMS LÄN</t>
        </is>
      </c>
      <c r="E876" t="inlineStr">
        <is>
          <t>NORRTÄLJE</t>
        </is>
      </c>
      <c r="G876" t="n">
        <v>6.8</v>
      </c>
      <c r="H876" t="n">
        <v>0</v>
      </c>
      <c r="I876" t="n">
        <v>0</v>
      </c>
      <c r="J876" t="n">
        <v>0</v>
      </c>
      <c r="K876" t="n">
        <v>0</v>
      </c>
      <c r="L876" t="n">
        <v>0</v>
      </c>
      <c r="M876" t="n">
        <v>0</v>
      </c>
      <c r="N876" t="n">
        <v>0</v>
      </c>
      <c r="O876" t="n">
        <v>0</v>
      </c>
      <c r="P876" t="n">
        <v>0</v>
      </c>
      <c r="Q876" t="n">
        <v>0</v>
      </c>
      <c r="R876" s="2" t="inlineStr"/>
    </row>
    <row r="877" ht="15" customHeight="1">
      <c r="A877" t="inlineStr">
        <is>
          <t>A 24101-2022</t>
        </is>
      </c>
      <c r="B877" s="1" t="n">
        <v>44725</v>
      </c>
      <c r="C877" s="1" t="n">
        <v>45827</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24162-2022</t>
        </is>
      </c>
      <c r="B878" s="1" t="n">
        <v>44725</v>
      </c>
      <c r="C878" s="1" t="n">
        <v>45827</v>
      </c>
      <c r="D878" t="inlineStr">
        <is>
          <t>STOCKHOLMS LÄN</t>
        </is>
      </c>
      <c r="E878" t="inlineStr">
        <is>
          <t>NORRTÄLJE</t>
        </is>
      </c>
      <c r="G878" t="n">
        <v>2.1</v>
      </c>
      <c r="H878" t="n">
        <v>0</v>
      </c>
      <c r="I878" t="n">
        <v>0</v>
      </c>
      <c r="J878" t="n">
        <v>0</v>
      </c>
      <c r="K878" t="n">
        <v>0</v>
      </c>
      <c r="L878" t="n">
        <v>0</v>
      </c>
      <c r="M878" t="n">
        <v>0</v>
      </c>
      <c r="N878" t="n">
        <v>0</v>
      </c>
      <c r="O878" t="n">
        <v>0</v>
      </c>
      <c r="P878" t="n">
        <v>0</v>
      </c>
      <c r="Q878" t="n">
        <v>0</v>
      </c>
      <c r="R878" s="2" t="inlineStr"/>
    </row>
    <row r="879" ht="15" customHeight="1">
      <c r="A879" t="inlineStr">
        <is>
          <t>A 24167-2022</t>
        </is>
      </c>
      <c r="B879" s="1" t="n">
        <v>44725</v>
      </c>
      <c r="C879" s="1" t="n">
        <v>45827</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24152-2022</t>
        </is>
      </c>
      <c r="B880" s="1" t="n">
        <v>44725</v>
      </c>
      <c r="C880" s="1" t="n">
        <v>45827</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24534-2022</t>
        </is>
      </c>
      <c r="B881" s="1" t="n">
        <v>44727</v>
      </c>
      <c r="C881" s="1" t="n">
        <v>45827</v>
      </c>
      <c r="D881" t="inlineStr">
        <is>
          <t>STOCKHOLMS LÄN</t>
        </is>
      </c>
      <c r="E881" t="inlineStr">
        <is>
          <t>NORRTÄLJE</t>
        </is>
      </c>
      <c r="G881" t="n">
        <v>2.8</v>
      </c>
      <c r="H881" t="n">
        <v>0</v>
      </c>
      <c r="I881" t="n">
        <v>0</v>
      </c>
      <c r="J881" t="n">
        <v>0</v>
      </c>
      <c r="K881" t="n">
        <v>0</v>
      </c>
      <c r="L881" t="n">
        <v>0</v>
      </c>
      <c r="M881" t="n">
        <v>0</v>
      </c>
      <c r="N881" t="n">
        <v>0</v>
      </c>
      <c r="O881" t="n">
        <v>0</v>
      </c>
      <c r="P881" t="n">
        <v>0</v>
      </c>
      <c r="Q881" t="n">
        <v>0</v>
      </c>
      <c r="R881" s="2" t="inlineStr"/>
    </row>
    <row r="882" ht="15" customHeight="1">
      <c r="A882" t="inlineStr">
        <is>
          <t>A 24977-2022</t>
        </is>
      </c>
      <c r="B882" s="1" t="n">
        <v>44728</v>
      </c>
      <c r="C882" s="1" t="n">
        <v>45827</v>
      </c>
      <c r="D882" t="inlineStr">
        <is>
          <t>STOCKHOLMS LÄN</t>
        </is>
      </c>
      <c r="E882" t="inlineStr">
        <is>
          <t>NORRTÄLJE</t>
        </is>
      </c>
      <c r="F882" t="inlineStr">
        <is>
          <t>Kyrkan</t>
        </is>
      </c>
      <c r="G882" t="n">
        <v>1</v>
      </c>
      <c r="H882" t="n">
        <v>0</v>
      </c>
      <c r="I882" t="n">
        <v>0</v>
      </c>
      <c r="J882" t="n">
        <v>0</v>
      </c>
      <c r="K882" t="n">
        <v>0</v>
      </c>
      <c r="L882" t="n">
        <v>0</v>
      </c>
      <c r="M882" t="n">
        <v>0</v>
      </c>
      <c r="N882" t="n">
        <v>0</v>
      </c>
      <c r="O882" t="n">
        <v>0</v>
      </c>
      <c r="P882" t="n">
        <v>0</v>
      </c>
      <c r="Q882" t="n">
        <v>0</v>
      </c>
      <c r="R882" s="2" t="inlineStr"/>
    </row>
    <row r="883" ht="15" customHeight="1">
      <c r="A883" t="inlineStr">
        <is>
          <t>A 25525-2022</t>
        </is>
      </c>
      <c r="B883" s="1" t="n">
        <v>44732</v>
      </c>
      <c r="C883" s="1" t="n">
        <v>45827</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25621-2022</t>
        </is>
      </c>
      <c r="B884" s="1" t="n">
        <v>44732</v>
      </c>
      <c r="C884" s="1" t="n">
        <v>45827</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25619-2022</t>
        </is>
      </c>
      <c r="B885" s="1" t="n">
        <v>44732</v>
      </c>
      <c r="C885" s="1" t="n">
        <v>45827</v>
      </c>
      <c r="D885" t="inlineStr">
        <is>
          <t>STOCKHOLMS LÄN</t>
        </is>
      </c>
      <c r="E885" t="inlineStr">
        <is>
          <t>NORRTÄLJE</t>
        </is>
      </c>
      <c r="G885" t="n">
        <v>3.9</v>
      </c>
      <c r="H885" t="n">
        <v>0</v>
      </c>
      <c r="I885" t="n">
        <v>0</v>
      </c>
      <c r="J885" t="n">
        <v>0</v>
      </c>
      <c r="K885" t="n">
        <v>0</v>
      </c>
      <c r="L885" t="n">
        <v>0</v>
      </c>
      <c r="M885" t="n">
        <v>0</v>
      </c>
      <c r="N885" t="n">
        <v>0</v>
      </c>
      <c r="O885" t="n">
        <v>0</v>
      </c>
      <c r="P885" t="n">
        <v>0</v>
      </c>
      <c r="Q885" t="n">
        <v>0</v>
      </c>
      <c r="R885" s="2" t="inlineStr"/>
    </row>
    <row r="886" ht="15" customHeight="1">
      <c r="A886" t="inlineStr">
        <is>
          <t>A 26328-2022</t>
        </is>
      </c>
      <c r="B886" s="1" t="n">
        <v>44735</v>
      </c>
      <c r="C886" s="1" t="n">
        <v>45827</v>
      </c>
      <c r="D886" t="inlineStr">
        <is>
          <t>STOCKHOLMS LÄN</t>
        </is>
      </c>
      <c r="E886" t="inlineStr">
        <is>
          <t>NORRTÄLJE</t>
        </is>
      </c>
      <c r="G886" t="n">
        <v>2.8</v>
      </c>
      <c r="H886" t="n">
        <v>0</v>
      </c>
      <c r="I886" t="n">
        <v>0</v>
      </c>
      <c r="J886" t="n">
        <v>0</v>
      </c>
      <c r="K886" t="n">
        <v>0</v>
      </c>
      <c r="L886" t="n">
        <v>0</v>
      </c>
      <c r="M886" t="n">
        <v>0</v>
      </c>
      <c r="N886" t="n">
        <v>0</v>
      </c>
      <c r="O886" t="n">
        <v>0</v>
      </c>
      <c r="P886" t="n">
        <v>0</v>
      </c>
      <c r="Q886" t="n">
        <v>0</v>
      </c>
      <c r="R886" s="2" t="inlineStr"/>
    </row>
    <row r="887" ht="15" customHeight="1">
      <c r="A887" t="inlineStr">
        <is>
          <t>A 26335-2022</t>
        </is>
      </c>
      <c r="B887" s="1" t="n">
        <v>44735</v>
      </c>
      <c r="C887" s="1" t="n">
        <v>45827</v>
      </c>
      <c r="D887" t="inlineStr">
        <is>
          <t>STOCKHOLMS LÄN</t>
        </is>
      </c>
      <c r="E887" t="inlineStr">
        <is>
          <t>NORRTÄLJE</t>
        </is>
      </c>
      <c r="G887" t="n">
        <v>3.3</v>
      </c>
      <c r="H887" t="n">
        <v>0</v>
      </c>
      <c r="I887" t="n">
        <v>0</v>
      </c>
      <c r="J887" t="n">
        <v>0</v>
      </c>
      <c r="K887" t="n">
        <v>0</v>
      </c>
      <c r="L887" t="n">
        <v>0</v>
      </c>
      <c r="M887" t="n">
        <v>0</v>
      </c>
      <c r="N887" t="n">
        <v>0</v>
      </c>
      <c r="O887" t="n">
        <v>0</v>
      </c>
      <c r="P887" t="n">
        <v>0</v>
      </c>
      <c r="Q887" t="n">
        <v>0</v>
      </c>
      <c r="R887" s="2" t="inlineStr"/>
    </row>
    <row r="888" ht="15" customHeight="1">
      <c r="A888" t="inlineStr">
        <is>
          <t>A 27538-2022</t>
        </is>
      </c>
      <c r="B888" s="1" t="n">
        <v>44742</v>
      </c>
      <c r="C888" s="1" t="n">
        <v>45827</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27715-2022</t>
        </is>
      </c>
      <c r="B889" s="1" t="n">
        <v>44743</v>
      </c>
      <c r="C889" s="1" t="n">
        <v>45827</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27827-2022</t>
        </is>
      </c>
      <c r="B890" s="1" t="n">
        <v>44743</v>
      </c>
      <c r="C890" s="1" t="n">
        <v>45827</v>
      </c>
      <c r="D890" t="inlineStr">
        <is>
          <t>STOCKHOLMS LÄN</t>
        </is>
      </c>
      <c r="E890" t="inlineStr">
        <is>
          <t>NORRTÄLJE</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27870-2022</t>
        </is>
      </c>
      <c r="B891" s="1" t="n">
        <v>44743</v>
      </c>
      <c r="C891" s="1" t="n">
        <v>45827</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27828-2022</t>
        </is>
      </c>
      <c r="B892" s="1" t="n">
        <v>44743</v>
      </c>
      <c r="C892" s="1" t="n">
        <v>45827</v>
      </c>
      <c r="D892" t="inlineStr">
        <is>
          <t>STOCKHOLMS LÄN</t>
        </is>
      </c>
      <c r="E892" t="inlineStr">
        <is>
          <t>NORRTÄLJE</t>
        </is>
      </c>
      <c r="F892" t="inlineStr">
        <is>
          <t>Kommuner</t>
        </is>
      </c>
      <c r="G892" t="n">
        <v>1.6</v>
      </c>
      <c r="H892" t="n">
        <v>0</v>
      </c>
      <c r="I892" t="n">
        <v>0</v>
      </c>
      <c r="J892" t="n">
        <v>0</v>
      </c>
      <c r="K892" t="n">
        <v>0</v>
      </c>
      <c r="L892" t="n">
        <v>0</v>
      </c>
      <c r="M892" t="n">
        <v>0</v>
      </c>
      <c r="N892" t="n">
        <v>0</v>
      </c>
      <c r="O892" t="n">
        <v>0</v>
      </c>
      <c r="P892" t="n">
        <v>0</v>
      </c>
      <c r="Q892" t="n">
        <v>0</v>
      </c>
      <c r="R892" s="2" t="inlineStr"/>
    </row>
    <row r="893" ht="15" customHeight="1">
      <c r="A893" t="inlineStr">
        <is>
          <t>A 27824-2022</t>
        </is>
      </c>
      <c r="B893" s="1" t="n">
        <v>44743</v>
      </c>
      <c r="C893" s="1" t="n">
        <v>45827</v>
      </c>
      <c r="D893" t="inlineStr">
        <is>
          <t>STOCKHOLMS LÄN</t>
        </is>
      </c>
      <c r="E893" t="inlineStr">
        <is>
          <t>NORRTÄLJE</t>
        </is>
      </c>
      <c r="F893" t="inlineStr">
        <is>
          <t>Kommuner</t>
        </is>
      </c>
      <c r="G893" t="n">
        <v>3.1</v>
      </c>
      <c r="H893" t="n">
        <v>0</v>
      </c>
      <c r="I893" t="n">
        <v>0</v>
      </c>
      <c r="J893" t="n">
        <v>0</v>
      </c>
      <c r="K893" t="n">
        <v>0</v>
      </c>
      <c r="L893" t="n">
        <v>0</v>
      </c>
      <c r="M893" t="n">
        <v>0</v>
      </c>
      <c r="N893" t="n">
        <v>0</v>
      </c>
      <c r="O893" t="n">
        <v>0</v>
      </c>
      <c r="P893" t="n">
        <v>0</v>
      </c>
      <c r="Q893" t="n">
        <v>0</v>
      </c>
      <c r="R893" s="2" t="inlineStr"/>
    </row>
    <row r="894" ht="15" customHeight="1">
      <c r="A894" t="inlineStr">
        <is>
          <t>A 27831-2022</t>
        </is>
      </c>
      <c r="B894" s="1" t="n">
        <v>44743</v>
      </c>
      <c r="C894" s="1" t="n">
        <v>45827</v>
      </c>
      <c r="D894" t="inlineStr">
        <is>
          <t>STOCKHOLMS LÄN</t>
        </is>
      </c>
      <c r="E894" t="inlineStr">
        <is>
          <t>NORRTÄLJE</t>
        </is>
      </c>
      <c r="F894" t="inlineStr">
        <is>
          <t>Kommuner</t>
        </is>
      </c>
      <c r="G894" t="n">
        <v>4</v>
      </c>
      <c r="H894" t="n">
        <v>0</v>
      </c>
      <c r="I894" t="n">
        <v>0</v>
      </c>
      <c r="J894" t="n">
        <v>0</v>
      </c>
      <c r="K894" t="n">
        <v>0</v>
      </c>
      <c r="L894" t="n">
        <v>0</v>
      </c>
      <c r="M894" t="n">
        <v>0</v>
      </c>
      <c r="N894" t="n">
        <v>0</v>
      </c>
      <c r="O894" t="n">
        <v>0</v>
      </c>
      <c r="P894" t="n">
        <v>0</v>
      </c>
      <c r="Q894" t="n">
        <v>0</v>
      </c>
      <c r="R894" s="2" t="inlineStr"/>
    </row>
    <row r="895" ht="15" customHeight="1">
      <c r="A895" t="inlineStr">
        <is>
          <t>A 27885-2022</t>
        </is>
      </c>
      <c r="B895" s="1" t="n">
        <v>44743</v>
      </c>
      <c r="C895" s="1" t="n">
        <v>45827</v>
      </c>
      <c r="D895" t="inlineStr">
        <is>
          <t>STOCKHOLMS LÄN</t>
        </is>
      </c>
      <c r="E895" t="inlineStr">
        <is>
          <t>NORRTÄLJE</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27867-2022</t>
        </is>
      </c>
      <c r="B896" s="1" t="n">
        <v>44743</v>
      </c>
      <c r="C896" s="1" t="n">
        <v>45827</v>
      </c>
      <c r="D896" t="inlineStr">
        <is>
          <t>STOCKHOLMS LÄN</t>
        </is>
      </c>
      <c r="E896" t="inlineStr">
        <is>
          <t>NORRTÄLJE</t>
        </is>
      </c>
      <c r="F896" t="inlineStr">
        <is>
          <t>Holmen skog AB</t>
        </is>
      </c>
      <c r="G896" t="n">
        <v>1.3</v>
      </c>
      <c r="H896" t="n">
        <v>0</v>
      </c>
      <c r="I896" t="n">
        <v>0</v>
      </c>
      <c r="J896" t="n">
        <v>0</v>
      </c>
      <c r="K896" t="n">
        <v>0</v>
      </c>
      <c r="L896" t="n">
        <v>0</v>
      </c>
      <c r="M896" t="n">
        <v>0</v>
      </c>
      <c r="N896" t="n">
        <v>0</v>
      </c>
      <c r="O896" t="n">
        <v>0</v>
      </c>
      <c r="P896" t="n">
        <v>0</v>
      </c>
      <c r="Q896" t="n">
        <v>0</v>
      </c>
      <c r="R896" s="2" t="inlineStr"/>
    </row>
    <row r="897" ht="15" customHeight="1">
      <c r="A897" t="inlineStr">
        <is>
          <t>A 28042-2022</t>
        </is>
      </c>
      <c r="B897" s="1" t="n">
        <v>44744</v>
      </c>
      <c r="C897" s="1" t="n">
        <v>45827</v>
      </c>
      <c r="D897" t="inlineStr">
        <is>
          <t>STOCKHOLMS LÄN</t>
        </is>
      </c>
      <c r="E897" t="inlineStr">
        <is>
          <t>NORRTÄLJE</t>
        </is>
      </c>
      <c r="G897" t="n">
        <v>0.2</v>
      </c>
      <c r="H897" t="n">
        <v>0</v>
      </c>
      <c r="I897" t="n">
        <v>0</v>
      </c>
      <c r="J897" t="n">
        <v>0</v>
      </c>
      <c r="K897" t="n">
        <v>0</v>
      </c>
      <c r="L897" t="n">
        <v>0</v>
      </c>
      <c r="M897" t="n">
        <v>0</v>
      </c>
      <c r="N897" t="n">
        <v>0</v>
      </c>
      <c r="O897" t="n">
        <v>0</v>
      </c>
      <c r="P897" t="n">
        <v>0</v>
      </c>
      <c r="Q897" t="n">
        <v>0</v>
      </c>
      <c r="R897" s="2" t="inlineStr"/>
    </row>
    <row r="898" ht="15" customHeight="1">
      <c r="A898" t="inlineStr">
        <is>
          <t>A 28100-2022</t>
        </is>
      </c>
      <c r="B898" s="1" t="n">
        <v>44746</v>
      </c>
      <c r="C898" s="1" t="n">
        <v>45827</v>
      </c>
      <c r="D898" t="inlineStr">
        <is>
          <t>STOCKHOLMS LÄN</t>
        </is>
      </c>
      <c r="E898" t="inlineStr">
        <is>
          <t>NORRTÄLJE</t>
        </is>
      </c>
      <c r="F898" t="inlineStr">
        <is>
          <t>Holmen skog AB</t>
        </is>
      </c>
      <c r="G898" t="n">
        <v>5.8</v>
      </c>
      <c r="H898" t="n">
        <v>0</v>
      </c>
      <c r="I898" t="n">
        <v>0</v>
      </c>
      <c r="J898" t="n">
        <v>0</v>
      </c>
      <c r="K898" t="n">
        <v>0</v>
      </c>
      <c r="L898" t="n">
        <v>0</v>
      </c>
      <c r="M898" t="n">
        <v>0</v>
      </c>
      <c r="N898" t="n">
        <v>0</v>
      </c>
      <c r="O898" t="n">
        <v>0</v>
      </c>
      <c r="P898" t="n">
        <v>0</v>
      </c>
      <c r="Q898" t="n">
        <v>0</v>
      </c>
      <c r="R898" s="2" t="inlineStr"/>
    </row>
    <row r="899" ht="15" customHeight="1">
      <c r="A899" t="inlineStr">
        <is>
          <t>A 28182-2022</t>
        </is>
      </c>
      <c r="B899" s="1" t="n">
        <v>44746</v>
      </c>
      <c r="C899" s="1" t="n">
        <v>45827</v>
      </c>
      <c r="D899" t="inlineStr">
        <is>
          <t>STOCKHOLMS LÄN</t>
        </is>
      </c>
      <c r="E899" t="inlineStr">
        <is>
          <t>NORRTÄLJE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28209-2022</t>
        </is>
      </c>
      <c r="B900" s="1" t="n">
        <v>44746</v>
      </c>
      <c r="C900" s="1" t="n">
        <v>45827</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28365-2022</t>
        </is>
      </c>
      <c r="B901" s="1" t="n">
        <v>44747</v>
      </c>
      <c r="C901" s="1" t="n">
        <v>45827</v>
      </c>
      <c r="D901" t="inlineStr">
        <is>
          <t>STOCKHOLMS LÄN</t>
        </is>
      </c>
      <c r="E901" t="inlineStr">
        <is>
          <t>NORRTÄLJE</t>
        </is>
      </c>
      <c r="G901" t="n">
        <v>5.1</v>
      </c>
      <c r="H901" t="n">
        <v>0</v>
      </c>
      <c r="I901" t="n">
        <v>0</v>
      </c>
      <c r="J901" t="n">
        <v>0</v>
      </c>
      <c r="K901" t="n">
        <v>0</v>
      </c>
      <c r="L901" t="n">
        <v>0</v>
      </c>
      <c r="M901" t="n">
        <v>0</v>
      </c>
      <c r="N901" t="n">
        <v>0</v>
      </c>
      <c r="O901" t="n">
        <v>0</v>
      </c>
      <c r="P901" t="n">
        <v>0</v>
      </c>
      <c r="Q901" t="n">
        <v>0</v>
      </c>
      <c r="R901" s="2" t="inlineStr"/>
    </row>
    <row r="902" ht="15" customHeight="1">
      <c r="A902" t="inlineStr">
        <is>
          <t>A 28900-2022</t>
        </is>
      </c>
      <c r="B902" s="1" t="n">
        <v>44749</v>
      </c>
      <c r="C902" s="1" t="n">
        <v>45827</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28959-2022</t>
        </is>
      </c>
      <c r="B903" s="1" t="n">
        <v>44749</v>
      </c>
      <c r="C903" s="1" t="n">
        <v>45827</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29070-2022</t>
        </is>
      </c>
      <c r="B904" s="1" t="n">
        <v>44750</v>
      </c>
      <c r="C904" s="1" t="n">
        <v>45827</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29266-2022</t>
        </is>
      </c>
      <c r="B905" s="1" t="n">
        <v>44750</v>
      </c>
      <c r="C905" s="1" t="n">
        <v>45827</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29278-2022</t>
        </is>
      </c>
      <c r="B906" s="1" t="n">
        <v>44750</v>
      </c>
      <c r="C906" s="1" t="n">
        <v>45827</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29362-2022</t>
        </is>
      </c>
      <c r="B907" s="1" t="n">
        <v>44753</v>
      </c>
      <c r="C907" s="1" t="n">
        <v>45827</v>
      </c>
      <c r="D907" t="inlineStr">
        <is>
          <t>STOCKHOLMS LÄN</t>
        </is>
      </c>
      <c r="E907" t="inlineStr">
        <is>
          <t>NORRTÄLJE</t>
        </is>
      </c>
      <c r="G907" t="n">
        <v>3.8</v>
      </c>
      <c r="H907" t="n">
        <v>0</v>
      </c>
      <c r="I907" t="n">
        <v>0</v>
      </c>
      <c r="J907" t="n">
        <v>0</v>
      </c>
      <c r="K907" t="n">
        <v>0</v>
      </c>
      <c r="L907" t="n">
        <v>0</v>
      </c>
      <c r="M907" t="n">
        <v>0</v>
      </c>
      <c r="N907" t="n">
        <v>0</v>
      </c>
      <c r="O907" t="n">
        <v>0</v>
      </c>
      <c r="P907" t="n">
        <v>0</v>
      </c>
      <c r="Q907" t="n">
        <v>0</v>
      </c>
      <c r="R907" s="2" t="inlineStr"/>
    </row>
    <row r="908" ht="15" customHeight="1">
      <c r="A908" t="inlineStr">
        <is>
          <t>A 29395-2022</t>
        </is>
      </c>
      <c r="B908" s="1" t="n">
        <v>44753</v>
      </c>
      <c r="C908" s="1" t="n">
        <v>45827</v>
      </c>
      <c r="D908" t="inlineStr">
        <is>
          <t>STOCKHOLMS LÄN</t>
        </is>
      </c>
      <c r="E908" t="inlineStr">
        <is>
          <t>NORRTÄLJE</t>
        </is>
      </c>
      <c r="F908" t="inlineStr">
        <is>
          <t>Holmen skog AB</t>
        </is>
      </c>
      <c r="G908" t="n">
        <v>4.1</v>
      </c>
      <c r="H908" t="n">
        <v>0</v>
      </c>
      <c r="I908" t="n">
        <v>0</v>
      </c>
      <c r="J908" t="n">
        <v>0</v>
      </c>
      <c r="K908" t="n">
        <v>0</v>
      </c>
      <c r="L908" t="n">
        <v>0</v>
      </c>
      <c r="M908" t="n">
        <v>0</v>
      </c>
      <c r="N908" t="n">
        <v>0</v>
      </c>
      <c r="O908" t="n">
        <v>0</v>
      </c>
      <c r="P908" t="n">
        <v>0</v>
      </c>
      <c r="Q908" t="n">
        <v>0</v>
      </c>
      <c r="R908" s="2" t="inlineStr"/>
    </row>
    <row r="909" ht="15" customHeight="1">
      <c r="A909" t="inlineStr">
        <is>
          <t>A 29868-2022</t>
        </is>
      </c>
      <c r="B909" s="1" t="n">
        <v>44756</v>
      </c>
      <c r="C909" s="1" t="n">
        <v>45827</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30151-2022</t>
        </is>
      </c>
      <c r="B910" s="1" t="n">
        <v>44757</v>
      </c>
      <c r="C910" s="1" t="n">
        <v>45827</v>
      </c>
      <c r="D910" t="inlineStr">
        <is>
          <t>STOCKHOLMS LÄN</t>
        </is>
      </c>
      <c r="E910" t="inlineStr">
        <is>
          <t>NORRTÄLJE</t>
        </is>
      </c>
      <c r="G910" t="n">
        <v>12.6</v>
      </c>
      <c r="H910" t="n">
        <v>0</v>
      </c>
      <c r="I910" t="n">
        <v>0</v>
      </c>
      <c r="J910" t="n">
        <v>0</v>
      </c>
      <c r="K910" t="n">
        <v>0</v>
      </c>
      <c r="L910" t="n">
        <v>0</v>
      </c>
      <c r="M910" t="n">
        <v>0</v>
      </c>
      <c r="N910" t="n">
        <v>0</v>
      </c>
      <c r="O910" t="n">
        <v>0</v>
      </c>
      <c r="P910" t="n">
        <v>0</v>
      </c>
      <c r="Q910" t="n">
        <v>0</v>
      </c>
      <c r="R910" s="2" t="inlineStr"/>
    </row>
    <row r="911" ht="15" customHeight="1">
      <c r="A911" t="inlineStr">
        <is>
          <t>A 30164-2022</t>
        </is>
      </c>
      <c r="B911" s="1" t="n">
        <v>44757</v>
      </c>
      <c r="C911" s="1" t="n">
        <v>45827</v>
      </c>
      <c r="D911" t="inlineStr">
        <is>
          <t>STOCKHOLMS LÄN</t>
        </is>
      </c>
      <c r="E911" t="inlineStr">
        <is>
          <t>NORRTÄLJE</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30171-2022</t>
        </is>
      </c>
      <c r="B912" s="1" t="n">
        <v>44757</v>
      </c>
      <c r="C912" s="1" t="n">
        <v>45827</v>
      </c>
      <c r="D912" t="inlineStr">
        <is>
          <t>STOCKHOLMS LÄN</t>
        </is>
      </c>
      <c r="E912" t="inlineStr">
        <is>
          <t>NORRTÄLJE</t>
        </is>
      </c>
      <c r="F912" t="inlineStr">
        <is>
          <t>Holmen skog AB</t>
        </is>
      </c>
      <c r="G912" t="n">
        <v>6.3</v>
      </c>
      <c r="H912" t="n">
        <v>0</v>
      </c>
      <c r="I912" t="n">
        <v>0</v>
      </c>
      <c r="J912" t="n">
        <v>0</v>
      </c>
      <c r="K912" t="n">
        <v>0</v>
      </c>
      <c r="L912" t="n">
        <v>0</v>
      </c>
      <c r="M912" t="n">
        <v>0</v>
      </c>
      <c r="N912" t="n">
        <v>0</v>
      </c>
      <c r="O912" t="n">
        <v>0</v>
      </c>
      <c r="P912" t="n">
        <v>0</v>
      </c>
      <c r="Q912" t="n">
        <v>0</v>
      </c>
      <c r="R912" s="2" t="inlineStr"/>
    </row>
    <row r="913" ht="15" customHeight="1">
      <c r="A913" t="inlineStr">
        <is>
          <t>A 30283-2022</t>
        </is>
      </c>
      <c r="B913" s="1" t="n">
        <v>44760</v>
      </c>
      <c r="C913" s="1" t="n">
        <v>45827</v>
      </c>
      <c r="D913" t="inlineStr">
        <is>
          <t>STOCKHOLMS LÄN</t>
        </is>
      </c>
      <c r="E913" t="inlineStr">
        <is>
          <t>NORRTÄLJE</t>
        </is>
      </c>
      <c r="G913" t="n">
        <v>6.2</v>
      </c>
      <c r="H913" t="n">
        <v>0</v>
      </c>
      <c r="I913" t="n">
        <v>0</v>
      </c>
      <c r="J913" t="n">
        <v>0</v>
      </c>
      <c r="K913" t="n">
        <v>0</v>
      </c>
      <c r="L913" t="n">
        <v>0</v>
      </c>
      <c r="M913" t="n">
        <v>0</v>
      </c>
      <c r="N913" t="n">
        <v>0</v>
      </c>
      <c r="O913" t="n">
        <v>0</v>
      </c>
      <c r="P913" t="n">
        <v>0</v>
      </c>
      <c r="Q913" t="n">
        <v>0</v>
      </c>
      <c r="R913" s="2" t="inlineStr"/>
    </row>
    <row r="914" ht="15" customHeight="1">
      <c r="A914" t="inlineStr">
        <is>
          <t>A 30338-2022</t>
        </is>
      </c>
      <c r="B914" s="1" t="n">
        <v>44760</v>
      </c>
      <c r="C914" s="1" t="n">
        <v>45827</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30286-2022</t>
        </is>
      </c>
      <c r="B915" s="1" t="n">
        <v>44760</v>
      </c>
      <c r="C915" s="1" t="n">
        <v>45827</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30290-2022</t>
        </is>
      </c>
      <c r="B916" s="1" t="n">
        <v>44760</v>
      </c>
      <c r="C916" s="1" t="n">
        <v>45827</v>
      </c>
      <c r="D916" t="inlineStr">
        <is>
          <t>STOCKHOLMS LÄN</t>
        </is>
      </c>
      <c r="E916" t="inlineStr">
        <is>
          <t>NORRTÄLJE</t>
        </is>
      </c>
      <c r="G916" t="n">
        <v>4.8</v>
      </c>
      <c r="H916" t="n">
        <v>0</v>
      </c>
      <c r="I916" t="n">
        <v>0</v>
      </c>
      <c r="J916" t="n">
        <v>0</v>
      </c>
      <c r="K916" t="n">
        <v>0</v>
      </c>
      <c r="L916" t="n">
        <v>0</v>
      </c>
      <c r="M916" t="n">
        <v>0</v>
      </c>
      <c r="N916" t="n">
        <v>0</v>
      </c>
      <c r="O916" t="n">
        <v>0</v>
      </c>
      <c r="P916" t="n">
        <v>0</v>
      </c>
      <c r="Q916" t="n">
        <v>0</v>
      </c>
      <c r="R916" s="2" t="inlineStr"/>
    </row>
    <row r="917" ht="15" customHeight="1">
      <c r="A917" t="inlineStr">
        <is>
          <t>A 30620-2022</t>
        </is>
      </c>
      <c r="B917" s="1" t="n">
        <v>44763</v>
      </c>
      <c r="C917" s="1" t="n">
        <v>45827</v>
      </c>
      <c r="D917" t="inlineStr">
        <is>
          <t>STOCKHOLMS LÄN</t>
        </is>
      </c>
      <c r="E917" t="inlineStr">
        <is>
          <t>NORRTÄLJE</t>
        </is>
      </c>
      <c r="G917" t="n">
        <v>1.8</v>
      </c>
      <c r="H917" t="n">
        <v>0</v>
      </c>
      <c r="I917" t="n">
        <v>0</v>
      </c>
      <c r="J917" t="n">
        <v>0</v>
      </c>
      <c r="K917" t="n">
        <v>0</v>
      </c>
      <c r="L917" t="n">
        <v>0</v>
      </c>
      <c r="M917" t="n">
        <v>0</v>
      </c>
      <c r="N917" t="n">
        <v>0</v>
      </c>
      <c r="O917" t="n">
        <v>0</v>
      </c>
      <c r="P917" t="n">
        <v>0</v>
      </c>
      <c r="Q917" t="n">
        <v>0</v>
      </c>
      <c r="R917" s="2" t="inlineStr"/>
    </row>
    <row r="918" ht="15" customHeight="1">
      <c r="A918" t="inlineStr">
        <is>
          <t>A 30624-2022</t>
        </is>
      </c>
      <c r="B918" s="1" t="n">
        <v>44763</v>
      </c>
      <c r="C918" s="1" t="n">
        <v>45827</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30758-2022</t>
        </is>
      </c>
      <c r="B919" s="1" t="n">
        <v>44764</v>
      </c>
      <c r="C919" s="1" t="n">
        <v>45827</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30740-2022</t>
        </is>
      </c>
      <c r="B920" s="1" t="n">
        <v>44764</v>
      </c>
      <c r="C920" s="1" t="n">
        <v>45827</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30750-2022</t>
        </is>
      </c>
      <c r="B921" s="1" t="n">
        <v>44764</v>
      </c>
      <c r="C921" s="1" t="n">
        <v>45827</v>
      </c>
      <c r="D921" t="inlineStr">
        <is>
          <t>STOCKHOLMS LÄN</t>
        </is>
      </c>
      <c r="E921" t="inlineStr">
        <is>
          <t>NORRTÄLJE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30802-2022</t>
        </is>
      </c>
      <c r="B922" s="1" t="n">
        <v>44764</v>
      </c>
      <c r="C922" s="1" t="n">
        <v>45827</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30886-2022</t>
        </is>
      </c>
      <c r="B923" s="1" t="n">
        <v>44767</v>
      </c>
      <c r="C923" s="1" t="n">
        <v>45827</v>
      </c>
      <c r="D923" t="inlineStr">
        <is>
          <t>STOCKHOLMS LÄN</t>
        </is>
      </c>
      <c r="E923" t="inlineStr">
        <is>
          <t>NORRTÄLJE</t>
        </is>
      </c>
      <c r="G923" t="n">
        <v>2.6</v>
      </c>
      <c r="H923" t="n">
        <v>0</v>
      </c>
      <c r="I923" t="n">
        <v>0</v>
      </c>
      <c r="J923" t="n">
        <v>0</v>
      </c>
      <c r="K923" t="n">
        <v>0</v>
      </c>
      <c r="L923" t="n">
        <v>0</v>
      </c>
      <c r="M923" t="n">
        <v>0</v>
      </c>
      <c r="N923" t="n">
        <v>0</v>
      </c>
      <c r="O923" t="n">
        <v>0</v>
      </c>
      <c r="P923" t="n">
        <v>0</v>
      </c>
      <c r="Q923" t="n">
        <v>0</v>
      </c>
      <c r="R923" s="2" t="inlineStr"/>
    </row>
    <row r="924" ht="15" customHeight="1">
      <c r="A924" t="inlineStr">
        <is>
          <t>A 31102-2022</t>
        </is>
      </c>
      <c r="B924" s="1" t="n">
        <v>44769</v>
      </c>
      <c r="C924" s="1" t="n">
        <v>45827</v>
      </c>
      <c r="D924" t="inlineStr">
        <is>
          <t>STOCKHOLMS LÄN</t>
        </is>
      </c>
      <c r="E924" t="inlineStr">
        <is>
          <t>NORRTÄLJE</t>
        </is>
      </c>
      <c r="G924" t="n">
        <v>3.7</v>
      </c>
      <c r="H924" t="n">
        <v>0</v>
      </c>
      <c r="I924" t="n">
        <v>0</v>
      </c>
      <c r="J924" t="n">
        <v>0</v>
      </c>
      <c r="K924" t="n">
        <v>0</v>
      </c>
      <c r="L924" t="n">
        <v>0</v>
      </c>
      <c r="M924" t="n">
        <v>0</v>
      </c>
      <c r="N924" t="n">
        <v>0</v>
      </c>
      <c r="O924" t="n">
        <v>0</v>
      </c>
      <c r="P924" t="n">
        <v>0</v>
      </c>
      <c r="Q924" t="n">
        <v>0</v>
      </c>
      <c r="R924" s="2" t="inlineStr"/>
    </row>
    <row r="925" ht="15" customHeight="1">
      <c r="A925" t="inlineStr">
        <is>
          <t>A 31092-2022</t>
        </is>
      </c>
      <c r="B925" s="1" t="n">
        <v>44769</v>
      </c>
      <c r="C925" s="1" t="n">
        <v>45827</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31052-2022</t>
        </is>
      </c>
      <c r="B926" s="1" t="n">
        <v>44769</v>
      </c>
      <c r="C926" s="1" t="n">
        <v>45827</v>
      </c>
      <c r="D926" t="inlineStr">
        <is>
          <t>STOCKHOLMS LÄN</t>
        </is>
      </c>
      <c r="E926" t="inlineStr">
        <is>
          <t>NORRTÄLJE</t>
        </is>
      </c>
      <c r="G926" t="n">
        <v>6</v>
      </c>
      <c r="H926" t="n">
        <v>0</v>
      </c>
      <c r="I926" t="n">
        <v>0</v>
      </c>
      <c r="J926" t="n">
        <v>0</v>
      </c>
      <c r="K926" t="n">
        <v>0</v>
      </c>
      <c r="L926" t="n">
        <v>0</v>
      </c>
      <c r="M926" t="n">
        <v>0</v>
      </c>
      <c r="N926" t="n">
        <v>0</v>
      </c>
      <c r="O926" t="n">
        <v>0</v>
      </c>
      <c r="P926" t="n">
        <v>0</v>
      </c>
      <c r="Q926" t="n">
        <v>0</v>
      </c>
      <c r="R926" s="2" t="inlineStr"/>
    </row>
    <row r="927" ht="15" customHeight="1">
      <c r="A927" t="inlineStr">
        <is>
          <t>A 31105-2022</t>
        </is>
      </c>
      <c r="B927" s="1" t="n">
        <v>44769</v>
      </c>
      <c r="C927" s="1" t="n">
        <v>45827</v>
      </c>
      <c r="D927" t="inlineStr">
        <is>
          <t>STOCKHOLMS LÄN</t>
        </is>
      </c>
      <c r="E927" t="inlineStr">
        <is>
          <t>NORRTÄLJE</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31107-2022</t>
        </is>
      </c>
      <c r="B928" s="1" t="n">
        <v>44769</v>
      </c>
      <c r="C928" s="1" t="n">
        <v>45827</v>
      </c>
      <c r="D928" t="inlineStr">
        <is>
          <t>STOCKHOLMS LÄN</t>
        </is>
      </c>
      <c r="E928" t="inlineStr">
        <is>
          <t>NORRTÄLJE</t>
        </is>
      </c>
      <c r="G928" t="n">
        <v>3.8</v>
      </c>
      <c r="H928" t="n">
        <v>0</v>
      </c>
      <c r="I928" t="n">
        <v>0</v>
      </c>
      <c r="J928" t="n">
        <v>0</v>
      </c>
      <c r="K928" t="n">
        <v>0</v>
      </c>
      <c r="L928" t="n">
        <v>0</v>
      </c>
      <c r="M928" t="n">
        <v>0</v>
      </c>
      <c r="N928" t="n">
        <v>0</v>
      </c>
      <c r="O928" t="n">
        <v>0</v>
      </c>
      <c r="P928" t="n">
        <v>0</v>
      </c>
      <c r="Q928" t="n">
        <v>0</v>
      </c>
      <c r="R928" s="2" t="inlineStr"/>
    </row>
    <row r="929" ht="15" customHeight="1">
      <c r="A929" t="inlineStr">
        <is>
          <t>A 31057-2022</t>
        </is>
      </c>
      <c r="B929" s="1" t="n">
        <v>44769</v>
      </c>
      <c r="C929" s="1" t="n">
        <v>45827</v>
      </c>
      <c r="D929" t="inlineStr">
        <is>
          <t>STOCKHOLMS LÄN</t>
        </is>
      </c>
      <c r="E929" t="inlineStr">
        <is>
          <t>NORRTÄLJE</t>
        </is>
      </c>
      <c r="G929" t="n">
        <v>6.5</v>
      </c>
      <c r="H929" t="n">
        <v>0</v>
      </c>
      <c r="I929" t="n">
        <v>0</v>
      </c>
      <c r="J929" t="n">
        <v>0</v>
      </c>
      <c r="K929" t="n">
        <v>0</v>
      </c>
      <c r="L929" t="n">
        <v>0</v>
      </c>
      <c r="M929" t="n">
        <v>0</v>
      </c>
      <c r="N929" t="n">
        <v>0</v>
      </c>
      <c r="O929" t="n">
        <v>0</v>
      </c>
      <c r="P929" t="n">
        <v>0</v>
      </c>
      <c r="Q929" t="n">
        <v>0</v>
      </c>
      <c r="R929" s="2" t="inlineStr"/>
    </row>
    <row r="930" ht="15" customHeight="1">
      <c r="A930" t="inlineStr">
        <is>
          <t>A 31236-2022</t>
        </is>
      </c>
      <c r="B930" s="1" t="n">
        <v>44771</v>
      </c>
      <c r="C930" s="1" t="n">
        <v>45827</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31281-2022</t>
        </is>
      </c>
      <c r="B931" s="1" t="n">
        <v>44771</v>
      </c>
      <c r="C931" s="1" t="n">
        <v>45827</v>
      </c>
      <c r="D931" t="inlineStr">
        <is>
          <t>STOCKHOLMS LÄN</t>
        </is>
      </c>
      <c r="E931" t="inlineStr">
        <is>
          <t>NORRTÄLJE</t>
        </is>
      </c>
      <c r="F931" t="inlineStr">
        <is>
          <t>Holmen skog AB</t>
        </is>
      </c>
      <c r="G931" t="n">
        <v>5.2</v>
      </c>
      <c r="H931" t="n">
        <v>0</v>
      </c>
      <c r="I931" t="n">
        <v>0</v>
      </c>
      <c r="J931" t="n">
        <v>0</v>
      </c>
      <c r="K931" t="n">
        <v>0</v>
      </c>
      <c r="L931" t="n">
        <v>0</v>
      </c>
      <c r="M931" t="n">
        <v>0</v>
      </c>
      <c r="N931" t="n">
        <v>0</v>
      </c>
      <c r="O931" t="n">
        <v>0</v>
      </c>
      <c r="P931" t="n">
        <v>0</v>
      </c>
      <c r="Q931" t="n">
        <v>0</v>
      </c>
      <c r="R931" s="2" t="inlineStr"/>
    </row>
    <row r="932" ht="15" customHeight="1">
      <c r="A932" t="inlineStr">
        <is>
          <t>A 31283-2022</t>
        </is>
      </c>
      <c r="B932" s="1" t="n">
        <v>44771</v>
      </c>
      <c r="C932" s="1" t="n">
        <v>45827</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31559-2022</t>
        </is>
      </c>
      <c r="B933" s="1" t="n">
        <v>44775</v>
      </c>
      <c r="C933" s="1" t="n">
        <v>45827</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31807-2022</t>
        </is>
      </c>
      <c r="B934" s="1" t="n">
        <v>44776</v>
      </c>
      <c r="C934" s="1" t="n">
        <v>45827</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31938-2022</t>
        </is>
      </c>
      <c r="B935" s="1" t="n">
        <v>44777</v>
      </c>
      <c r="C935" s="1" t="n">
        <v>45827</v>
      </c>
      <c r="D935" t="inlineStr">
        <is>
          <t>STOCKHOLMS LÄN</t>
        </is>
      </c>
      <c r="E935" t="inlineStr">
        <is>
          <t>NORRTÄLJE</t>
        </is>
      </c>
      <c r="G935" t="n">
        <v>7.8</v>
      </c>
      <c r="H935" t="n">
        <v>0</v>
      </c>
      <c r="I935" t="n">
        <v>0</v>
      </c>
      <c r="J935" t="n">
        <v>0</v>
      </c>
      <c r="K935" t="n">
        <v>0</v>
      </c>
      <c r="L935" t="n">
        <v>0</v>
      </c>
      <c r="M935" t="n">
        <v>0</v>
      </c>
      <c r="N935" t="n">
        <v>0</v>
      </c>
      <c r="O935" t="n">
        <v>0</v>
      </c>
      <c r="P935" t="n">
        <v>0</v>
      </c>
      <c r="Q935" t="n">
        <v>0</v>
      </c>
      <c r="R935" s="2" t="inlineStr"/>
    </row>
    <row r="936" ht="15" customHeight="1">
      <c r="A936" t="inlineStr">
        <is>
          <t>A 31936-2022</t>
        </is>
      </c>
      <c r="B936" s="1" t="n">
        <v>44777</v>
      </c>
      <c r="C936" s="1" t="n">
        <v>45827</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31924-2022</t>
        </is>
      </c>
      <c r="B937" s="1" t="n">
        <v>44777</v>
      </c>
      <c r="C937" s="1" t="n">
        <v>45827</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31939-2022</t>
        </is>
      </c>
      <c r="B938" s="1" t="n">
        <v>44777</v>
      </c>
      <c r="C938" s="1" t="n">
        <v>45827</v>
      </c>
      <c r="D938" t="inlineStr">
        <is>
          <t>STOCKHOLMS LÄN</t>
        </is>
      </c>
      <c r="E938" t="inlineStr">
        <is>
          <t>NORRTÄLJE</t>
        </is>
      </c>
      <c r="G938" t="n">
        <v>13.5</v>
      </c>
      <c r="H938" t="n">
        <v>0</v>
      </c>
      <c r="I938" t="n">
        <v>0</v>
      </c>
      <c r="J938" t="n">
        <v>0</v>
      </c>
      <c r="K938" t="n">
        <v>0</v>
      </c>
      <c r="L938" t="n">
        <v>0</v>
      </c>
      <c r="M938" t="n">
        <v>0</v>
      </c>
      <c r="N938" t="n">
        <v>0</v>
      </c>
      <c r="O938" t="n">
        <v>0</v>
      </c>
      <c r="P938" t="n">
        <v>0</v>
      </c>
      <c r="Q938" t="n">
        <v>0</v>
      </c>
      <c r="R938" s="2" t="inlineStr"/>
    </row>
    <row r="939" ht="15" customHeight="1">
      <c r="A939" t="inlineStr">
        <is>
          <t>A 31926-2022</t>
        </is>
      </c>
      <c r="B939" s="1" t="n">
        <v>44777</v>
      </c>
      <c r="C939" s="1" t="n">
        <v>45827</v>
      </c>
      <c r="D939" t="inlineStr">
        <is>
          <t>STOCKHOLMS LÄN</t>
        </is>
      </c>
      <c r="E939" t="inlineStr">
        <is>
          <t>NORRTÄLJE</t>
        </is>
      </c>
      <c r="G939" t="n">
        <v>5.2</v>
      </c>
      <c r="H939" t="n">
        <v>0</v>
      </c>
      <c r="I939" t="n">
        <v>0</v>
      </c>
      <c r="J939" t="n">
        <v>0</v>
      </c>
      <c r="K939" t="n">
        <v>0</v>
      </c>
      <c r="L939" t="n">
        <v>0</v>
      </c>
      <c r="M939" t="n">
        <v>0</v>
      </c>
      <c r="N939" t="n">
        <v>0</v>
      </c>
      <c r="O939" t="n">
        <v>0</v>
      </c>
      <c r="P939" t="n">
        <v>0</v>
      </c>
      <c r="Q939" t="n">
        <v>0</v>
      </c>
      <c r="R939" s="2" t="inlineStr"/>
    </row>
    <row r="940" ht="15" customHeight="1">
      <c r="A940" t="inlineStr">
        <is>
          <t>A 31934-2022</t>
        </is>
      </c>
      <c r="B940" s="1" t="n">
        <v>44777</v>
      </c>
      <c r="C940" s="1" t="n">
        <v>45827</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32103-2022</t>
        </is>
      </c>
      <c r="B941" s="1" t="n">
        <v>44778</v>
      </c>
      <c r="C941" s="1" t="n">
        <v>45827</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32111-2022</t>
        </is>
      </c>
      <c r="B942" s="1" t="n">
        <v>44779</v>
      </c>
      <c r="C942" s="1" t="n">
        <v>45827</v>
      </c>
      <c r="D942" t="inlineStr">
        <is>
          <t>STOCKHOLMS LÄN</t>
        </is>
      </c>
      <c r="E942" t="inlineStr">
        <is>
          <t>NORRTÄLJE</t>
        </is>
      </c>
      <c r="G942" t="n">
        <v>3.1</v>
      </c>
      <c r="H942" t="n">
        <v>0</v>
      </c>
      <c r="I942" t="n">
        <v>0</v>
      </c>
      <c r="J942" t="n">
        <v>0</v>
      </c>
      <c r="K942" t="n">
        <v>0</v>
      </c>
      <c r="L942" t="n">
        <v>0</v>
      </c>
      <c r="M942" t="n">
        <v>0</v>
      </c>
      <c r="N942" t="n">
        <v>0</v>
      </c>
      <c r="O942" t="n">
        <v>0</v>
      </c>
      <c r="P942" t="n">
        <v>0</v>
      </c>
      <c r="Q942" t="n">
        <v>0</v>
      </c>
      <c r="R942" s="2" t="inlineStr"/>
    </row>
    <row r="943" ht="15" customHeight="1">
      <c r="A943" t="inlineStr">
        <is>
          <t>A 32101-2022</t>
        </is>
      </c>
      <c r="B943" s="1" t="n">
        <v>44778</v>
      </c>
      <c r="C943" s="1" t="n">
        <v>45827</v>
      </c>
      <c r="D943" t="inlineStr">
        <is>
          <t>STOCKHOLMS LÄN</t>
        </is>
      </c>
      <c r="E943" t="inlineStr">
        <is>
          <t>NORRTÄLJE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32100-2022</t>
        </is>
      </c>
      <c r="B944" s="1" t="n">
        <v>44778</v>
      </c>
      <c r="C944" s="1" t="n">
        <v>45827</v>
      </c>
      <c r="D944" t="inlineStr">
        <is>
          <t>STOCKHOLMS LÄN</t>
        </is>
      </c>
      <c r="E944" t="inlineStr">
        <is>
          <t>NORRTÄLJE</t>
        </is>
      </c>
      <c r="G944" t="n">
        <v>3.3</v>
      </c>
      <c r="H944" t="n">
        <v>0</v>
      </c>
      <c r="I944" t="n">
        <v>0</v>
      </c>
      <c r="J944" t="n">
        <v>0</v>
      </c>
      <c r="K944" t="n">
        <v>0</v>
      </c>
      <c r="L944" t="n">
        <v>0</v>
      </c>
      <c r="M944" t="n">
        <v>0</v>
      </c>
      <c r="N944" t="n">
        <v>0</v>
      </c>
      <c r="O944" t="n">
        <v>0</v>
      </c>
      <c r="P944" t="n">
        <v>0</v>
      </c>
      <c r="Q944" t="n">
        <v>0</v>
      </c>
      <c r="R944" s="2" t="inlineStr"/>
    </row>
    <row r="945" ht="15" customHeight="1">
      <c r="A945" t="inlineStr">
        <is>
          <t>A 32102-2022</t>
        </is>
      </c>
      <c r="B945" s="1" t="n">
        <v>44778</v>
      </c>
      <c r="C945" s="1" t="n">
        <v>45827</v>
      </c>
      <c r="D945" t="inlineStr">
        <is>
          <t>STOCKHOLMS LÄN</t>
        </is>
      </c>
      <c r="E945" t="inlineStr">
        <is>
          <t>NORRTÄLJE</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32514-2022</t>
        </is>
      </c>
      <c r="B946" s="1" t="n">
        <v>44782</v>
      </c>
      <c r="C946" s="1" t="n">
        <v>45827</v>
      </c>
      <c r="D946" t="inlineStr">
        <is>
          <t>STOCKHOLMS LÄN</t>
        </is>
      </c>
      <c r="E946" t="inlineStr">
        <is>
          <t>NORRTÄLJE</t>
        </is>
      </c>
      <c r="G946" t="n">
        <v>5.1</v>
      </c>
      <c r="H946" t="n">
        <v>0</v>
      </c>
      <c r="I946" t="n">
        <v>0</v>
      </c>
      <c r="J946" t="n">
        <v>0</v>
      </c>
      <c r="K946" t="n">
        <v>0</v>
      </c>
      <c r="L946" t="n">
        <v>0</v>
      </c>
      <c r="M946" t="n">
        <v>0</v>
      </c>
      <c r="N946" t="n">
        <v>0</v>
      </c>
      <c r="O946" t="n">
        <v>0</v>
      </c>
      <c r="P946" t="n">
        <v>0</v>
      </c>
      <c r="Q946" t="n">
        <v>0</v>
      </c>
      <c r="R946" s="2" t="inlineStr"/>
    </row>
    <row r="947" ht="15" customHeight="1">
      <c r="A947" t="inlineStr">
        <is>
          <t>A 32705-2022</t>
        </is>
      </c>
      <c r="B947" s="1" t="n">
        <v>44783</v>
      </c>
      <c r="C947" s="1" t="n">
        <v>45827</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33055-2022</t>
        </is>
      </c>
      <c r="B948" s="1" t="n">
        <v>44785</v>
      </c>
      <c r="C948" s="1" t="n">
        <v>45827</v>
      </c>
      <c r="D948" t="inlineStr">
        <is>
          <t>STOCKHOLMS LÄN</t>
        </is>
      </c>
      <c r="E948" t="inlineStr">
        <is>
          <t>NORRTÄLJE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33149-2022</t>
        </is>
      </c>
      <c r="B949" s="1" t="n">
        <v>44785</v>
      </c>
      <c r="C949" s="1" t="n">
        <v>45827</v>
      </c>
      <c r="D949" t="inlineStr">
        <is>
          <t>STOCKHOLMS LÄN</t>
        </is>
      </c>
      <c r="E949" t="inlineStr">
        <is>
          <t>NORRTÄLJE</t>
        </is>
      </c>
      <c r="F949" t="inlineStr">
        <is>
          <t>Holmen skog AB</t>
        </is>
      </c>
      <c r="G949" t="n">
        <v>4.4</v>
      </c>
      <c r="H949" t="n">
        <v>0</v>
      </c>
      <c r="I949" t="n">
        <v>0</v>
      </c>
      <c r="J949" t="n">
        <v>0</v>
      </c>
      <c r="K949" t="n">
        <v>0</v>
      </c>
      <c r="L949" t="n">
        <v>0</v>
      </c>
      <c r="M949" t="n">
        <v>0</v>
      </c>
      <c r="N949" t="n">
        <v>0</v>
      </c>
      <c r="O949" t="n">
        <v>0</v>
      </c>
      <c r="P949" t="n">
        <v>0</v>
      </c>
      <c r="Q949" t="n">
        <v>0</v>
      </c>
      <c r="R949" s="2" t="inlineStr"/>
    </row>
    <row r="950" ht="15" customHeight="1">
      <c r="A950" t="inlineStr">
        <is>
          <t>A 33445-2022</t>
        </is>
      </c>
      <c r="B950" s="1" t="n">
        <v>44788</v>
      </c>
      <c r="C950" s="1" t="n">
        <v>45827</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33793-2022</t>
        </is>
      </c>
      <c r="B951" s="1" t="n">
        <v>44790</v>
      </c>
      <c r="C951" s="1" t="n">
        <v>45827</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33895-2022</t>
        </is>
      </c>
      <c r="B952" s="1" t="n">
        <v>44790</v>
      </c>
      <c r="C952" s="1" t="n">
        <v>45827</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34773-2022</t>
        </is>
      </c>
      <c r="B953" s="1" t="n">
        <v>44795</v>
      </c>
      <c r="C953" s="1" t="n">
        <v>45827</v>
      </c>
      <c r="D953" t="inlineStr">
        <is>
          <t>STOCKHOLMS LÄN</t>
        </is>
      </c>
      <c r="E953" t="inlineStr">
        <is>
          <t>NORRTÄLJE</t>
        </is>
      </c>
      <c r="G953" t="n">
        <v>3.9</v>
      </c>
      <c r="H953" t="n">
        <v>0</v>
      </c>
      <c r="I953" t="n">
        <v>0</v>
      </c>
      <c r="J953" t="n">
        <v>0</v>
      </c>
      <c r="K953" t="n">
        <v>0</v>
      </c>
      <c r="L953" t="n">
        <v>0</v>
      </c>
      <c r="M953" t="n">
        <v>0</v>
      </c>
      <c r="N953" t="n">
        <v>0</v>
      </c>
      <c r="O953" t="n">
        <v>0</v>
      </c>
      <c r="P953" t="n">
        <v>0</v>
      </c>
      <c r="Q953" t="n">
        <v>0</v>
      </c>
      <c r="R953" s="2" t="inlineStr"/>
    </row>
    <row r="954" ht="15" customHeight="1">
      <c r="A954" t="inlineStr">
        <is>
          <t>A 35121-2022</t>
        </is>
      </c>
      <c r="B954" s="1" t="n">
        <v>44797</v>
      </c>
      <c r="C954" s="1" t="n">
        <v>45827</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35161-2022</t>
        </is>
      </c>
      <c r="B955" s="1" t="n">
        <v>44797</v>
      </c>
      <c r="C955" s="1" t="n">
        <v>45827</v>
      </c>
      <c r="D955" t="inlineStr">
        <is>
          <t>STOCKHOLMS LÄN</t>
        </is>
      </c>
      <c r="E955" t="inlineStr">
        <is>
          <t>NORRTÄLJE</t>
        </is>
      </c>
      <c r="G955" t="n">
        <v>6</v>
      </c>
      <c r="H955" t="n">
        <v>0</v>
      </c>
      <c r="I955" t="n">
        <v>0</v>
      </c>
      <c r="J955" t="n">
        <v>0</v>
      </c>
      <c r="K955" t="n">
        <v>0</v>
      </c>
      <c r="L955" t="n">
        <v>0</v>
      </c>
      <c r="M955" t="n">
        <v>0</v>
      </c>
      <c r="N955" t="n">
        <v>0</v>
      </c>
      <c r="O955" t="n">
        <v>0</v>
      </c>
      <c r="P955" t="n">
        <v>0</v>
      </c>
      <c r="Q955" t="n">
        <v>0</v>
      </c>
      <c r="R955" s="2" t="inlineStr"/>
    </row>
    <row r="956" ht="15" customHeight="1">
      <c r="A956" t="inlineStr">
        <is>
          <t>A 35156-2022</t>
        </is>
      </c>
      <c r="B956" s="1" t="n">
        <v>44797</v>
      </c>
      <c r="C956" s="1" t="n">
        <v>45827</v>
      </c>
      <c r="D956" t="inlineStr">
        <is>
          <t>STOCKHOLMS LÄN</t>
        </is>
      </c>
      <c r="E956" t="inlineStr">
        <is>
          <t>NORRTÄLJE</t>
        </is>
      </c>
      <c r="G956" t="n">
        <v>3.6</v>
      </c>
      <c r="H956" t="n">
        <v>0</v>
      </c>
      <c r="I956" t="n">
        <v>0</v>
      </c>
      <c r="J956" t="n">
        <v>0</v>
      </c>
      <c r="K956" t="n">
        <v>0</v>
      </c>
      <c r="L956" t="n">
        <v>0</v>
      </c>
      <c r="M956" t="n">
        <v>0</v>
      </c>
      <c r="N956" t="n">
        <v>0</v>
      </c>
      <c r="O956" t="n">
        <v>0</v>
      </c>
      <c r="P956" t="n">
        <v>0</v>
      </c>
      <c r="Q956" t="n">
        <v>0</v>
      </c>
      <c r="R956" s="2" t="inlineStr"/>
    </row>
    <row r="957" ht="15" customHeight="1">
      <c r="A957" t="inlineStr">
        <is>
          <t>A 35708-2022</t>
        </is>
      </c>
      <c r="B957" s="1" t="n">
        <v>44799</v>
      </c>
      <c r="C957" s="1" t="n">
        <v>45827</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36269-2022</t>
        </is>
      </c>
      <c r="B958" s="1" t="n">
        <v>44803</v>
      </c>
      <c r="C958" s="1" t="n">
        <v>45827</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36308-2022</t>
        </is>
      </c>
      <c r="B959" s="1" t="n">
        <v>44803</v>
      </c>
      <c r="C959" s="1" t="n">
        <v>45827</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36975-2022</t>
        </is>
      </c>
      <c r="B960" s="1" t="n">
        <v>44806</v>
      </c>
      <c r="C960" s="1" t="n">
        <v>45827</v>
      </c>
      <c r="D960" t="inlineStr">
        <is>
          <t>STOCKHOLMS LÄN</t>
        </is>
      </c>
      <c r="E960" t="inlineStr">
        <is>
          <t>NORRTÄLJE</t>
        </is>
      </c>
      <c r="G960" t="n">
        <v>4.7</v>
      </c>
      <c r="H960" t="n">
        <v>0</v>
      </c>
      <c r="I960" t="n">
        <v>0</v>
      </c>
      <c r="J960" t="n">
        <v>0</v>
      </c>
      <c r="K960" t="n">
        <v>0</v>
      </c>
      <c r="L960" t="n">
        <v>0</v>
      </c>
      <c r="M960" t="n">
        <v>0</v>
      </c>
      <c r="N960" t="n">
        <v>0</v>
      </c>
      <c r="O960" t="n">
        <v>0</v>
      </c>
      <c r="P960" t="n">
        <v>0</v>
      </c>
      <c r="Q960" t="n">
        <v>0</v>
      </c>
      <c r="R960" s="2" t="inlineStr"/>
    </row>
    <row r="961" ht="15" customHeight="1">
      <c r="A961" t="inlineStr">
        <is>
          <t>A 37550-2022</t>
        </is>
      </c>
      <c r="B961" s="1" t="n">
        <v>44809</v>
      </c>
      <c r="C961" s="1" t="n">
        <v>45827</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37679-2022</t>
        </is>
      </c>
      <c r="B962" s="1" t="n">
        <v>44810</v>
      </c>
      <c r="C962" s="1" t="n">
        <v>45827</v>
      </c>
      <c r="D962" t="inlineStr">
        <is>
          <t>STOCKHOLMS LÄN</t>
        </is>
      </c>
      <c r="E962" t="inlineStr">
        <is>
          <t>NORRTÄLJE</t>
        </is>
      </c>
      <c r="G962" t="n">
        <v>3.1</v>
      </c>
      <c r="H962" t="n">
        <v>0</v>
      </c>
      <c r="I962" t="n">
        <v>0</v>
      </c>
      <c r="J962" t="n">
        <v>0</v>
      </c>
      <c r="K962" t="n">
        <v>0</v>
      </c>
      <c r="L962" t="n">
        <v>0</v>
      </c>
      <c r="M962" t="n">
        <v>0</v>
      </c>
      <c r="N962" t="n">
        <v>0</v>
      </c>
      <c r="O962" t="n">
        <v>0</v>
      </c>
      <c r="P962" t="n">
        <v>0</v>
      </c>
      <c r="Q962" t="n">
        <v>0</v>
      </c>
      <c r="R962" s="2" t="inlineStr"/>
    </row>
    <row r="963" ht="15" customHeight="1">
      <c r="A963" t="inlineStr">
        <is>
          <t>A 37815-2022</t>
        </is>
      </c>
      <c r="B963" s="1" t="n">
        <v>44810</v>
      </c>
      <c r="C963" s="1" t="n">
        <v>45827</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38449-2022</t>
        </is>
      </c>
      <c r="B964" s="1" t="n">
        <v>44813</v>
      </c>
      <c r="C964" s="1" t="n">
        <v>45827</v>
      </c>
      <c r="D964" t="inlineStr">
        <is>
          <t>STOCKHOLMS LÄN</t>
        </is>
      </c>
      <c r="E964" t="inlineStr">
        <is>
          <t>NORRTÄLJE</t>
        </is>
      </c>
      <c r="G964" t="n">
        <v>4.2</v>
      </c>
      <c r="H964" t="n">
        <v>0</v>
      </c>
      <c r="I964" t="n">
        <v>0</v>
      </c>
      <c r="J964" t="n">
        <v>0</v>
      </c>
      <c r="K964" t="n">
        <v>0</v>
      </c>
      <c r="L964" t="n">
        <v>0</v>
      </c>
      <c r="M964" t="n">
        <v>0</v>
      </c>
      <c r="N964" t="n">
        <v>0</v>
      </c>
      <c r="O964" t="n">
        <v>0</v>
      </c>
      <c r="P964" t="n">
        <v>0</v>
      </c>
      <c r="Q964" t="n">
        <v>0</v>
      </c>
      <c r="R964" s="2" t="inlineStr"/>
    </row>
    <row r="965" ht="15" customHeight="1">
      <c r="A965" t="inlineStr">
        <is>
          <t>A 38612-2022</t>
        </is>
      </c>
      <c r="B965" s="1" t="n">
        <v>44813</v>
      </c>
      <c r="C965" s="1" t="n">
        <v>45827</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38590-2022</t>
        </is>
      </c>
      <c r="B966" s="1" t="n">
        <v>44813</v>
      </c>
      <c r="C966" s="1" t="n">
        <v>45827</v>
      </c>
      <c r="D966" t="inlineStr">
        <is>
          <t>STOCKHOLMS LÄN</t>
        </is>
      </c>
      <c r="E966" t="inlineStr">
        <is>
          <t>NORRTÄLJE</t>
        </is>
      </c>
      <c r="G966" t="n">
        <v>5.9</v>
      </c>
      <c r="H966" t="n">
        <v>0</v>
      </c>
      <c r="I966" t="n">
        <v>0</v>
      </c>
      <c r="J966" t="n">
        <v>0</v>
      </c>
      <c r="K966" t="n">
        <v>0</v>
      </c>
      <c r="L966" t="n">
        <v>0</v>
      </c>
      <c r="M966" t="n">
        <v>0</v>
      </c>
      <c r="N966" t="n">
        <v>0</v>
      </c>
      <c r="O966" t="n">
        <v>0</v>
      </c>
      <c r="P966" t="n">
        <v>0</v>
      </c>
      <c r="Q966" t="n">
        <v>0</v>
      </c>
      <c r="R966" s="2" t="inlineStr"/>
    </row>
    <row r="967" ht="15" customHeight="1">
      <c r="A967" t="inlineStr">
        <is>
          <t>A 38610-2022</t>
        </is>
      </c>
      <c r="B967" s="1" t="n">
        <v>44813</v>
      </c>
      <c r="C967" s="1" t="n">
        <v>45827</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38720-2022</t>
        </is>
      </c>
      <c r="B968" s="1" t="n">
        <v>44815</v>
      </c>
      <c r="C968" s="1" t="n">
        <v>45827</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38721-2022</t>
        </is>
      </c>
      <c r="B969" s="1" t="n">
        <v>44815</v>
      </c>
      <c r="C969" s="1" t="n">
        <v>45827</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38927-2022</t>
        </is>
      </c>
      <c r="B970" s="1" t="n">
        <v>44816</v>
      </c>
      <c r="C970" s="1" t="n">
        <v>45827</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38759-2022</t>
        </is>
      </c>
      <c r="B971" s="1" t="n">
        <v>44816</v>
      </c>
      <c r="C971" s="1" t="n">
        <v>45827</v>
      </c>
      <c r="D971" t="inlineStr">
        <is>
          <t>STOCKHOLMS LÄN</t>
        </is>
      </c>
      <c r="E971" t="inlineStr">
        <is>
          <t>NORRTÄLJE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38990-2022</t>
        </is>
      </c>
      <c r="B972" s="1" t="n">
        <v>44816</v>
      </c>
      <c r="C972" s="1" t="n">
        <v>45827</v>
      </c>
      <c r="D972" t="inlineStr">
        <is>
          <t>STOCKHOLMS LÄN</t>
        </is>
      </c>
      <c r="E972" t="inlineStr">
        <is>
          <t>NORRTÄLJE</t>
        </is>
      </c>
      <c r="G972" t="n">
        <v>5.7</v>
      </c>
      <c r="H972" t="n">
        <v>0</v>
      </c>
      <c r="I972" t="n">
        <v>0</v>
      </c>
      <c r="J972" t="n">
        <v>0</v>
      </c>
      <c r="K972" t="n">
        <v>0</v>
      </c>
      <c r="L972" t="n">
        <v>0</v>
      </c>
      <c r="M972" t="n">
        <v>0</v>
      </c>
      <c r="N972" t="n">
        <v>0</v>
      </c>
      <c r="O972" t="n">
        <v>0</v>
      </c>
      <c r="P972" t="n">
        <v>0</v>
      </c>
      <c r="Q972" t="n">
        <v>0</v>
      </c>
      <c r="R972" s="2" t="inlineStr"/>
    </row>
    <row r="973" ht="15" customHeight="1">
      <c r="A973" t="inlineStr">
        <is>
          <t>A 38991-2022</t>
        </is>
      </c>
      <c r="B973" s="1" t="n">
        <v>44816</v>
      </c>
      <c r="C973" s="1" t="n">
        <v>45827</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38985-2022</t>
        </is>
      </c>
      <c r="B974" s="1" t="n">
        <v>44816</v>
      </c>
      <c r="C974" s="1" t="n">
        <v>45827</v>
      </c>
      <c r="D974" t="inlineStr">
        <is>
          <t>STOCKHOLMS LÄN</t>
        </is>
      </c>
      <c r="E974" t="inlineStr">
        <is>
          <t>NORRTÄLJE</t>
        </is>
      </c>
      <c r="G974" t="n">
        <v>10.1</v>
      </c>
      <c r="H974" t="n">
        <v>0</v>
      </c>
      <c r="I974" t="n">
        <v>0</v>
      </c>
      <c r="J974" t="n">
        <v>0</v>
      </c>
      <c r="K974" t="n">
        <v>0</v>
      </c>
      <c r="L974" t="n">
        <v>0</v>
      </c>
      <c r="M974" t="n">
        <v>0</v>
      </c>
      <c r="N974" t="n">
        <v>0</v>
      </c>
      <c r="O974" t="n">
        <v>0</v>
      </c>
      <c r="P974" t="n">
        <v>0</v>
      </c>
      <c r="Q974" t="n">
        <v>0</v>
      </c>
      <c r="R974" s="2" t="inlineStr"/>
    </row>
    <row r="975" ht="15" customHeight="1">
      <c r="A975" t="inlineStr">
        <is>
          <t>A 38992-2022</t>
        </is>
      </c>
      <c r="B975" s="1" t="n">
        <v>44817</v>
      </c>
      <c r="C975" s="1" t="n">
        <v>45827</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39213-2022</t>
        </is>
      </c>
      <c r="B976" s="1" t="n">
        <v>44817</v>
      </c>
      <c r="C976" s="1" t="n">
        <v>45827</v>
      </c>
      <c r="D976" t="inlineStr">
        <is>
          <t>STOCKHOLMS LÄN</t>
        </is>
      </c>
      <c r="E976" t="inlineStr">
        <is>
          <t>NORRTÄLJE</t>
        </is>
      </c>
      <c r="G976" t="n">
        <v>3.4</v>
      </c>
      <c r="H976" t="n">
        <v>0</v>
      </c>
      <c r="I976" t="n">
        <v>0</v>
      </c>
      <c r="J976" t="n">
        <v>0</v>
      </c>
      <c r="K976" t="n">
        <v>0</v>
      </c>
      <c r="L976" t="n">
        <v>0</v>
      </c>
      <c r="M976" t="n">
        <v>0</v>
      </c>
      <c r="N976" t="n">
        <v>0</v>
      </c>
      <c r="O976" t="n">
        <v>0</v>
      </c>
      <c r="P976" t="n">
        <v>0</v>
      </c>
      <c r="Q976" t="n">
        <v>0</v>
      </c>
      <c r="R976" s="2" t="inlineStr"/>
    </row>
    <row r="977" ht="15" customHeight="1">
      <c r="A977" t="inlineStr">
        <is>
          <t>A 39319-2022</t>
        </is>
      </c>
      <c r="B977" s="1" t="n">
        <v>44817</v>
      </c>
      <c r="C977" s="1" t="n">
        <v>45827</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39854-2022</t>
        </is>
      </c>
      <c r="B978" s="1" t="n">
        <v>44819</v>
      </c>
      <c r="C978" s="1" t="n">
        <v>45827</v>
      </c>
      <c r="D978" t="inlineStr">
        <is>
          <t>STOCKHOLMS LÄN</t>
        </is>
      </c>
      <c r="E978" t="inlineStr">
        <is>
          <t>NORRTÄLJE</t>
        </is>
      </c>
      <c r="G978" t="n">
        <v>4.4</v>
      </c>
      <c r="H978" t="n">
        <v>0</v>
      </c>
      <c r="I978" t="n">
        <v>0</v>
      </c>
      <c r="J978" t="n">
        <v>0</v>
      </c>
      <c r="K978" t="n">
        <v>0</v>
      </c>
      <c r="L978" t="n">
        <v>0</v>
      </c>
      <c r="M978" t="n">
        <v>0</v>
      </c>
      <c r="N978" t="n">
        <v>0</v>
      </c>
      <c r="O978" t="n">
        <v>0</v>
      </c>
      <c r="P978" t="n">
        <v>0</v>
      </c>
      <c r="Q978" t="n">
        <v>0</v>
      </c>
      <c r="R978" s="2" t="inlineStr"/>
    </row>
    <row r="979" ht="15" customHeight="1">
      <c r="A979" t="inlineStr">
        <is>
          <t>A 39869-2022</t>
        </is>
      </c>
      <c r="B979" s="1" t="n">
        <v>44819</v>
      </c>
      <c r="C979" s="1" t="n">
        <v>45827</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39867-2022</t>
        </is>
      </c>
      <c r="B980" s="1" t="n">
        <v>44819</v>
      </c>
      <c r="C980" s="1" t="n">
        <v>45827</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40504-2022</t>
        </is>
      </c>
      <c r="B981" s="1" t="n">
        <v>44823</v>
      </c>
      <c r="C981" s="1" t="n">
        <v>45827</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40503-2022</t>
        </is>
      </c>
      <c r="B982" s="1" t="n">
        <v>44823</v>
      </c>
      <c r="C982" s="1" t="n">
        <v>45827</v>
      </c>
      <c r="D982" t="inlineStr">
        <is>
          <t>STOCKHOLMS LÄN</t>
        </is>
      </c>
      <c r="E982" t="inlineStr">
        <is>
          <t>NORRTÄLJE</t>
        </is>
      </c>
      <c r="G982" t="n">
        <v>5.1</v>
      </c>
      <c r="H982" t="n">
        <v>0</v>
      </c>
      <c r="I982" t="n">
        <v>0</v>
      </c>
      <c r="J982" t="n">
        <v>0</v>
      </c>
      <c r="K982" t="n">
        <v>0</v>
      </c>
      <c r="L982" t="n">
        <v>0</v>
      </c>
      <c r="M982" t="n">
        <v>0</v>
      </c>
      <c r="N982" t="n">
        <v>0</v>
      </c>
      <c r="O982" t="n">
        <v>0</v>
      </c>
      <c r="P982" t="n">
        <v>0</v>
      </c>
      <c r="Q982" t="n">
        <v>0</v>
      </c>
      <c r="R982" s="2" t="inlineStr"/>
    </row>
    <row r="983" ht="15" customHeight="1">
      <c r="A983" t="inlineStr">
        <is>
          <t>A 40656-2022</t>
        </is>
      </c>
      <c r="B983" s="1" t="n">
        <v>44824</v>
      </c>
      <c r="C983" s="1" t="n">
        <v>45827</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40751-2022</t>
        </is>
      </c>
      <c r="B984" s="1" t="n">
        <v>44824</v>
      </c>
      <c r="C984" s="1" t="n">
        <v>45827</v>
      </c>
      <c r="D984" t="inlineStr">
        <is>
          <t>STOCKHOLMS LÄN</t>
        </is>
      </c>
      <c r="E984" t="inlineStr">
        <is>
          <t>NORRTÄLJE</t>
        </is>
      </c>
      <c r="G984" t="n">
        <v>6.1</v>
      </c>
      <c r="H984" t="n">
        <v>0</v>
      </c>
      <c r="I984" t="n">
        <v>0</v>
      </c>
      <c r="J984" t="n">
        <v>0</v>
      </c>
      <c r="K984" t="n">
        <v>0</v>
      </c>
      <c r="L984" t="n">
        <v>0</v>
      </c>
      <c r="M984" t="n">
        <v>0</v>
      </c>
      <c r="N984" t="n">
        <v>0</v>
      </c>
      <c r="O984" t="n">
        <v>0</v>
      </c>
      <c r="P984" t="n">
        <v>0</v>
      </c>
      <c r="Q984" t="n">
        <v>0</v>
      </c>
      <c r="R984" s="2" t="inlineStr"/>
    </row>
    <row r="985" ht="15" customHeight="1">
      <c r="A985" t="inlineStr">
        <is>
          <t>A 41398-2022</t>
        </is>
      </c>
      <c r="B985" s="1" t="n">
        <v>44826</v>
      </c>
      <c r="C985" s="1" t="n">
        <v>45827</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41320-2022</t>
        </is>
      </c>
      <c r="B986" s="1" t="n">
        <v>44826</v>
      </c>
      <c r="C986" s="1" t="n">
        <v>45827</v>
      </c>
      <c r="D986" t="inlineStr">
        <is>
          <t>STOCKHOLMS LÄN</t>
        </is>
      </c>
      <c r="E986" t="inlineStr">
        <is>
          <t>NORRTÄLJE</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42087-2022</t>
        </is>
      </c>
      <c r="B987" s="1" t="n">
        <v>44830</v>
      </c>
      <c r="C987" s="1" t="n">
        <v>45827</v>
      </c>
      <c r="D987" t="inlineStr">
        <is>
          <t>STOCKHOLMS LÄN</t>
        </is>
      </c>
      <c r="E987" t="inlineStr">
        <is>
          <t>NORRTÄLJE</t>
        </is>
      </c>
      <c r="F987" t="inlineStr">
        <is>
          <t>Holmen skog AB</t>
        </is>
      </c>
      <c r="G987" t="n">
        <v>2.2</v>
      </c>
      <c r="H987" t="n">
        <v>0</v>
      </c>
      <c r="I987" t="n">
        <v>0</v>
      </c>
      <c r="J987" t="n">
        <v>0</v>
      </c>
      <c r="K987" t="n">
        <v>0</v>
      </c>
      <c r="L987" t="n">
        <v>0</v>
      </c>
      <c r="M987" t="n">
        <v>0</v>
      </c>
      <c r="N987" t="n">
        <v>0</v>
      </c>
      <c r="O987" t="n">
        <v>0</v>
      </c>
      <c r="P987" t="n">
        <v>0</v>
      </c>
      <c r="Q987" t="n">
        <v>0</v>
      </c>
      <c r="R987" s="2" t="inlineStr"/>
    </row>
    <row r="988" ht="15" customHeight="1">
      <c r="A988" t="inlineStr">
        <is>
          <t>A 42112-2022</t>
        </is>
      </c>
      <c r="B988" s="1" t="n">
        <v>44830</v>
      </c>
      <c r="C988" s="1" t="n">
        <v>45827</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42126-2022</t>
        </is>
      </c>
      <c r="B989" s="1" t="n">
        <v>44830</v>
      </c>
      <c r="C989" s="1" t="n">
        <v>45827</v>
      </c>
      <c r="D989" t="inlineStr">
        <is>
          <t>STOCKHOLMS LÄN</t>
        </is>
      </c>
      <c r="E989" t="inlineStr">
        <is>
          <t>NORRTÄLJE</t>
        </is>
      </c>
      <c r="F989" t="inlineStr">
        <is>
          <t>Holmen skog AB</t>
        </is>
      </c>
      <c r="G989" t="n">
        <v>2</v>
      </c>
      <c r="H989" t="n">
        <v>0</v>
      </c>
      <c r="I989" t="n">
        <v>0</v>
      </c>
      <c r="J989" t="n">
        <v>0</v>
      </c>
      <c r="K989" t="n">
        <v>0</v>
      </c>
      <c r="L989" t="n">
        <v>0</v>
      </c>
      <c r="M989" t="n">
        <v>0</v>
      </c>
      <c r="N989" t="n">
        <v>0</v>
      </c>
      <c r="O989" t="n">
        <v>0</v>
      </c>
      <c r="P989" t="n">
        <v>0</v>
      </c>
      <c r="Q989" t="n">
        <v>0</v>
      </c>
      <c r="R989" s="2" t="inlineStr"/>
    </row>
    <row r="990" ht="15" customHeight="1">
      <c r="A990" t="inlineStr">
        <is>
          <t>A 42867-2022</t>
        </is>
      </c>
      <c r="B990" s="1" t="n">
        <v>44832</v>
      </c>
      <c r="C990" s="1" t="n">
        <v>45827</v>
      </c>
      <c r="D990" t="inlineStr">
        <is>
          <t>STOCKHOLMS LÄN</t>
        </is>
      </c>
      <c r="E990" t="inlineStr">
        <is>
          <t>NORRTÄLJE</t>
        </is>
      </c>
      <c r="G990" t="n">
        <v>6.4</v>
      </c>
      <c r="H990" t="n">
        <v>0</v>
      </c>
      <c r="I990" t="n">
        <v>0</v>
      </c>
      <c r="J990" t="n">
        <v>0</v>
      </c>
      <c r="K990" t="n">
        <v>0</v>
      </c>
      <c r="L990" t="n">
        <v>0</v>
      </c>
      <c r="M990" t="n">
        <v>0</v>
      </c>
      <c r="N990" t="n">
        <v>0</v>
      </c>
      <c r="O990" t="n">
        <v>0</v>
      </c>
      <c r="P990" t="n">
        <v>0</v>
      </c>
      <c r="Q990" t="n">
        <v>0</v>
      </c>
      <c r="R990" s="2" t="inlineStr"/>
    </row>
    <row r="991" ht="15" customHeight="1">
      <c r="A991" t="inlineStr">
        <is>
          <t>A 42955-2022</t>
        </is>
      </c>
      <c r="B991" s="1" t="n">
        <v>44833</v>
      </c>
      <c r="C991" s="1" t="n">
        <v>45827</v>
      </c>
      <c r="D991" t="inlineStr">
        <is>
          <t>STOCKHOLMS LÄN</t>
        </is>
      </c>
      <c r="E991" t="inlineStr">
        <is>
          <t>NORRTÄLJE</t>
        </is>
      </c>
      <c r="G991" t="n">
        <v>13.1</v>
      </c>
      <c r="H991" t="n">
        <v>0</v>
      </c>
      <c r="I991" t="n">
        <v>0</v>
      </c>
      <c r="J991" t="n">
        <v>0</v>
      </c>
      <c r="K991" t="n">
        <v>0</v>
      </c>
      <c r="L991" t="n">
        <v>0</v>
      </c>
      <c r="M991" t="n">
        <v>0</v>
      </c>
      <c r="N991" t="n">
        <v>0</v>
      </c>
      <c r="O991" t="n">
        <v>0</v>
      </c>
      <c r="P991" t="n">
        <v>0</v>
      </c>
      <c r="Q991" t="n">
        <v>0</v>
      </c>
      <c r="R991" s="2" t="inlineStr"/>
    </row>
    <row r="992" ht="15" customHeight="1">
      <c r="A992" t="inlineStr">
        <is>
          <t>A 43036-2022</t>
        </is>
      </c>
      <c r="B992" s="1" t="n">
        <v>44833</v>
      </c>
      <c r="C992" s="1" t="n">
        <v>45827</v>
      </c>
      <c r="D992" t="inlineStr">
        <is>
          <t>STOCKHOLMS LÄN</t>
        </is>
      </c>
      <c r="E992" t="inlineStr">
        <is>
          <t>NORRTÄLJE</t>
        </is>
      </c>
      <c r="F992" t="inlineStr">
        <is>
          <t>Kyrkan</t>
        </is>
      </c>
      <c r="G992" t="n">
        <v>1.7</v>
      </c>
      <c r="H992" t="n">
        <v>0</v>
      </c>
      <c r="I992" t="n">
        <v>0</v>
      </c>
      <c r="J992" t="n">
        <v>0</v>
      </c>
      <c r="K992" t="n">
        <v>0</v>
      </c>
      <c r="L992" t="n">
        <v>0</v>
      </c>
      <c r="M992" t="n">
        <v>0</v>
      </c>
      <c r="N992" t="n">
        <v>0</v>
      </c>
      <c r="O992" t="n">
        <v>0</v>
      </c>
      <c r="P992" t="n">
        <v>0</v>
      </c>
      <c r="Q992" t="n">
        <v>0</v>
      </c>
      <c r="R992" s="2" t="inlineStr"/>
    </row>
    <row r="993" ht="15" customHeight="1">
      <c r="A993" t="inlineStr">
        <is>
          <t>A 43212-2022</t>
        </is>
      </c>
      <c r="B993" s="1" t="n">
        <v>44834</v>
      </c>
      <c r="C993" s="1" t="n">
        <v>45827</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43374-2022</t>
        </is>
      </c>
      <c r="B994" s="1" t="n">
        <v>44834</v>
      </c>
      <c r="C994" s="1" t="n">
        <v>45827</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43972-2022</t>
        </is>
      </c>
      <c r="B995" s="1" t="n">
        <v>44838</v>
      </c>
      <c r="C995" s="1" t="n">
        <v>45827</v>
      </c>
      <c r="D995" t="inlineStr">
        <is>
          <t>STOCKHOLMS LÄN</t>
        </is>
      </c>
      <c r="E995" t="inlineStr">
        <is>
          <t>NORRTÄLJE</t>
        </is>
      </c>
      <c r="F995" t="inlineStr">
        <is>
          <t>Holmen skog AB</t>
        </is>
      </c>
      <c r="G995" t="n">
        <v>8.6</v>
      </c>
      <c r="H995" t="n">
        <v>0</v>
      </c>
      <c r="I995" t="n">
        <v>0</v>
      </c>
      <c r="J995" t="n">
        <v>0</v>
      </c>
      <c r="K995" t="n">
        <v>0</v>
      </c>
      <c r="L995" t="n">
        <v>0</v>
      </c>
      <c r="M995" t="n">
        <v>0</v>
      </c>
      <c r="N995" t="n">
        <v>0</v>
      </c>
      <c r="O995" t="n">
        <v>0</v>
      </c>
      <c r="P995" t="n">
        <v>0</v>
      </c>
      <c r="Q995" t="n">
        <v>0</v>
      </c>
      <c r="R995" s="2" t="inlineStr"/>
    </row>
    <row r="996" ht="15" customHeight="1">
      <c r="A996" t="inlineStr">
        <is>
          <t>A 44349-2022</t>
        </is>
      </c>
      <c r="B996" s="1" t="n">
        <v>44839</v>
      </c>
      <c r="C996" s="1" t="n">
        <v>45827</v>
      </c>
      <c r="D996" t="inlineStr">
        <is>
          <t>STOCKHOLMS LÄN</t>
        </is>
      </c>
      <c r="E996" t="inlineStr">
        <is>
          <t>NORRTÄLJE</t>
        </is>
      </c>
      <c r="G996" t="n">
        <v>0.8</v>
      </c>
      <c r="H996" t="n">
        <v>0</v>
      </c>
      <c r="I996" t="n">
        <v>0</v>
      </c>
      <c r="J996" t="n">
        <v>0</v>
      </c>
      <c r="K996" t="n">
        <v>0</v>
      </c>
      <c r="L996" t="n">
        <v>0</v>
      </c>
      <c r="M996" t="n">
        <v>0</v>
      </c>
      <c r="N996" t="n">
        <v>0</v>
      </c>
      <c r="O996" t="n">
        <v>0</v>
      </c>
      <c r="P996" t="n">
        <v>0</v>
      </c>
      <c r="Q996" t="n">
        <v>0</v>
      </c>
      <c r="R996" s="2" t="inlineStr"/>
    </row>
    <row r="997" ht="15" customHeight="1">
      <c r="A997" t="inlineStr">
        <is>
          <t>A 45255-2022</t>
        </is>
      </c>
      <c r="B997" s="1" t="n">
        <v>44840</v>
      </c>
      <c r="C997" s="1" t="n">
        <v>45827</v>
      </c>
      <c r="D997" t="inlineStr">
        <is>
          <t>STOCKHOLMS LÄN</t>
        </is>
      </c>
      <c r="E997" t="inlineStr">
        <is>
          <t>NORRTÄLJE</t>
        </is>
      </c>
      <c r="G997" t="n">
        <v>4.1</v>
      </c>
      <c r="H997" t="n">
        <v>0</v>
      </c>
      <c r="I997" t="n">
        <v>0</v>
      </c>
      <c r="J997" t="n">
        <v>0</v>
      </c>
      <c r="K997" t="n">
        <v>0</v>
      </c>
      <c r="L997" t="n">
        <v>0</v>
      </c>
      <c r="M997" t="n">
        <v>0</v>
      </c>
      <c r="N997" t="n">
        <v>0</v>
      </c>
      <c r="O997" t="n">
        <v>0</v>
      </c>
      <c r="P997" t="n">
        <v>0</v>
      </c>
      <c r="Q997" t="n">
        <v>0</v>
      </c>
      <c r="R997" s="2" t="inlineStr"/>
    </row>
    <row r="998" ht="15" customHeight="1">
      <c r="A998" t="inlineStr">
        <is>
          <t>A 44917-2022</t>
        </is>
      </c>
      <c r="B998" s="1" t="n">
        <v>44841</v>
      </c>
      <c r="C998" s="1" t="n">
        <v>45827</v>
      </c>
      <c r="D998" t="inlineStr">
        <is>
          <t>STOCKHOLMS LÄN</t>
        </is>
      </c>
      <c r="E998" t="inlineStr">
        <is>
          <t>NORRTÄLJE</t>
        </is>
      </c>
      <c r="F998" t="inlineStr">
        <is>
          <t>Holmen skog AB</t>
        </is>
      </c>
      <c r="G998" t="n">
        <v>3.3</v>
      </c>
      <c r="H998" t="n">
        <v>0</v>
      </c>
      <c r="I998" t="n">
        <v>0</v>
      </c>
      <c r="J998" t="n">
        <v>0</v>
      </c>
      <c r="K998" t="n">
        <v>0</v>
      </c>
      <c r="L998" t="n">
        <v>0</v>
      </c>
      <c r="M998" t="n">
        <v>0</v>
      </c>
      <c r="N998" t="n">
        <v>0</v>
      </c>
      <c r="O998" t="n">
        <v>0</v>
      </c>
      <c r="P998" t="n">
        <v>0</v>
      </c>
      <c r="Q998" t="n">
        <v>0</v>
      </c>
      <c r="R998" s="2" t="inlineStr"/>
    </row>
    <row r="999" ht="15" customHeight="1">
      <c r="A999" t="inlineStr">
        <is>
          <t>A 45541-2022</t>
        </is>
      </c>
      <c r="B999" s="1" t="n">
        <v>44845</v>
      </c>
      <c r="C999" s="1" t="n">
        <v>45827</v>
      </c>
      <c r="D999" t="inlineStr">
        <is>
          <t>STOCKHOLMS LÄN</t>
        </is>
      </c>
      <c r="E999" t="inlineStr">
        <is>
          <t>NORRTÄLJE</t>
        </is>
      </c>
      <c r="G999" t="n">
        <v>0.4</v>
      </c>
      <c r="H999" t="n">
        <v>0</v>
      </c>
      <c r="I999" t="n">
        <v>0</v>
      </c>
      <c r="J999" t="n">
        <v>0</v>
      </c>
      <c r="K999" t="n">
        <v>0</v>
      </c>
      <c r="L999" t="n">
        <v>0</v>
      </c>
      <c r="M999" t="n">
        <v>0</v>
      </c>
      <c r="N999" t="n">
        <v>0</v>
      </c>
      <c r="O999" t="n">
        <v>0</v>
      </c>
      <c r="P999" t="n">
        <v>0</v>
      </c>
      <c r="Q999" t="n">
        <v>0</v>
      </c>
      <c r="R999" s="2" t="inlineStr"/>
    </row>
    <row r="1000" ht="15" customHeight="1">
      <c r="A1000" t="inlineStr">
        <is>
          <t>A 45539-2022</t>
        </is>
      </c>
      <c r="B1000" s="1" t="n">
        <v>44845</v>
      </c>
      <c r="C1000" s="1" t="n">
        <v>45827</v>
      </c>
      <c r="D1000" t="inlineStr">
        <is>
          <t>STOCKHOLMS LÄN</t>
        </is>
      </c>
      <c r="E1000" t="inlineStr">
        <is>
          <t>NORRTÄLJE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45549-2022</t>
        </is>
      </c>
      <c r="B1001" s="1" t="n">
        <v>44845</v>
      </c>
      <c r="C1001" s="1" t="n">
        <v>45827</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46914-2022</t>
        </is>
      </c>
      <c r="B1002" s="1" t="n">
        <v>44851</v>
      </c>
      <c r="C1002" s="1" t="n">
        <v>45827</v>
      </c>
      <c r="D1002" t="inlineStr">
        <is>
          <t>STOCKHOLMS LÄN</t>
        </is>
      </c>
      <c r="E1002" t="inlineStr">
        <is>
          <t>NORRTÄLJE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47076-2022</t>
        </is>
      </c>
      <c r="B1003" s="1" t="n">
        <v>44852</v>
      </c>
      <c r="C1003" s="1" t="n">
        <v>45827</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47079-2022</t>
        </is>
      </c>
      <c r="B1004" s="1" t="n">
        <v>44852</v>
      </c>
      <c r="C1004" s="1" t="n">
        <v>45827</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47626-2022</t>
        </is>
      </c>
      <c r="B1005" s="1" t="n">
        <v>44854</v>
      </c>
      <c r="C1005" s="1" t="n">
        <v>45827</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48316-2022</t>
        </is>
      </c>
      <c r="B1006" s="1" t="n">
        <v>44854</v>
      </c>
      <c r="C1006" s="1" t="n">
        <v>45827</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47929-2022</t>
        </is>
      </c>
      <c r="B1007" s="1" t="n">
        <v>44855</v>
      </c>
      <c r="C1007" s="1" t="n">
        <v>45827</v>
      </c>
      <c r="D1007" t="inlineStr">
        <is>
          <t>STOCKHOLMS LÄN</t>
        </is>
      </c>
      <c r="E1007" t="inlineStr">
        <is>
          <t>NORRTÄLJE</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48161-2022</t>
        </is>
      </c>
      <c r="B1008" s="1" t="n">
        <v>44858</v>
      </c>
      <c r="C1008" s="1" t="n">
        <v>45827</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48453-2022</t>
        </is>
      </c>
      <c r="B1009" s="1" t="n">
        <v>44858</v>
      </c>
      <c r="C1009" s="1" t="n">
        <v>45827</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48492-2022</t>
        </is>
      </c>
      <c r="B1010" s="1" t="n">
        <v>44858</v>
      </c>
      <c r="C1010" s="1" t="n">
        <v>45827</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50065-2022</t>
        </is>
      </c>
      <c r="B1011" s="1" t="n">
        <v>44865</v>
      </c>
      <c r="C1011" s="1" t="n">
        <v>45827</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50469-2022</t>
        </is>
      </c>
      <c r="B1012" s="1" t="n">
        <v>44866</v>
      </c>
      <c r="C1012" s="1" t="n">
        <v>45827</v>
      </c>
      <c r="D1012" t="inlineStr">
        <is>
          <t>STOCKHOLMS LÄN</t>
        </is>
      </c>
      <c r="E1012" t="inlineStr">
        <is>
          <t>NORRTÄLJE</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50481-2022</t>
        </is>
      </c>
      <c r="B1013" s="1" t="n">
        <v>44866</v>
      </c>
      <c r="C1013" s="1" t="n">
        <v>45827</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50465-2022</t>
        </is>
      </c>
      <c r="B1014" s="1" t="n">
        <v>44866</v>
      </c>
      <c r="C1014" s="1" t="n">
        <v>45827</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50488-2022</t>
        </is>
      </c>
      <c r="B1015" s="1" t="n">
        <v>44866</v>
      </c>
      <c r="C1015" s="1" t="n">
        <v>45827</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50563-2022</t>
        </is>
      </c>
      <c r="B1016" s="1" t="n">
        <v>44866</v>
      </c>
      <c r="C1016" s="1" t="n">
        <v>45827</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50569-2022</t>
        </is>
      </c>
      <c r="B1017" s="1" t="n">
        <v>44866</v>
      </c>
      <c r="C1017" s="1" t="n">
        <v>45827</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50484-2022</t>
        </is>
      </c>
      <c r="B1018" s="1" t="n">
        <v>44866</v>
      </c>
      <c r="C1018" s="1" t="n">
        <v>45827</v>
      </c>
      <c r="D1018" t="inlineStr">
        <is>
          <t>STOCKHOLMS LÄN</t>
        </is>
      </c>
      <c r="E1018" t="inlineStr">
        <is>
          <t>NORRTÄLJE</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50970-2022</t>
        </is>
      </c>
      <c r="B1019" s="1" t="n">
        <v>44867</v>
      </c>
      <c r="C1019" s="1" t="n">
        <v>45827</v>
      </c>
      <c r="D1019" t="inlineStr">
        <is>
          <t>STOCKHOLMS LÄN</t>
        </is>
      </c>
      <c r="E1019" t="inlineStr">
        <is>
          <t>NORRTÄLJE</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50983-2022</t>
        </is>
      </c>
      <c r="B1020" s="1" t="n">
        <v>44867</v>
      </c>
      <c r="C1020" s="1" t="n">
        <v>45827</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50907-2022</t>
        </is>
      </c>
      <c r="B1021" s="1" t="n">
        <v>44867</v>
      </c>
      <c r="C1021" s="1" t="n">
        <v>45827</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51653-2022</t>
        </is>
      </c>
      <c r="B1022" s="1" t="n">
        <v>44867</v>
      </c>
      <c r="C1022" s="1" t="n">
        <v>45827</v>
      </c>
      <c r="D1022" t="inlineStr">
        <is>
          <t>STOCKHOLMS LÄN</t>
        </is>
      </c>
      <c r="E1022" t="inlineStr">
        <is>
          <t>NORRTÄLJE</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51116-2022</t>
        </is>
      </c>
      <c r="B1023" s="1" t="n">
        <v>44868</v>
      </c>
      <c r="C1023" s="1" t="n">
        <v>45827</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51265-2022</t>
        </is>
      </c>
      <c r="B1024" s="1" t="n">
        <v>44868</v>
      </c>
      <c r="C1024" s="1" t="n">
        <v>45827</v>
      </c>
      <c r="D1024" t="inlineStr">
        <is>
          <t>STOCKHOLMS LÄN</t>
        </is>
      </c>
      <c r="E1024" t="inlineStr">
        <is>
          <t>NORRTÄLJE</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52139-2022</t>
        </is>
      </c>
      <c r="B1025" s="1" t="n">
        <v>44868</v>
      </c>
      <c r="C1025" s="1" t="n">
        <v>45827</v>
      </c>
      <c r="D1025" t="inlineStr">
        <is>
          <t>STOCKHOLMS LÄN</t>
        </is>
      </c>
      <c r="E1025" t="inlineStr">
        <is>
          <t>NORRTÄLJE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52133-2022</t>
        </is>
      </c>
      <c r="B1026" s="1" t="n">
        <v>44868</v>
      </c>
      <c r="C1026" s="1" t="n">
        <v>45827</v>
      </c>
      <c r="D1026" t="inlineStr">
        <is>
          <t>STOCKHOLMS LÄN</t>
        </is>
      </c>
      <c r="E1026" t="inlineStr">
        <is>
          <t>NORRTÄLJE</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52260-2022</t>
        </is>
      </c>
      <c r="B1027" s="1" t="n">
        <v>44869</v>
      </c>
      <c r="C1027" s="1" t="n">
        <v>45827</v>
      </c>
      <c r="D1027" t="inlineStr">
        <is>
          <t>STOCKHOLMS LÄN</t>
        </is>
      </c>
      <c r="E1027" t="inlineStr">
        <is>
          <t>NORRTÄLJE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51984-2022</t>
        </is>
      </c>
      <c r="B1028" s="1" t="n">
        <v>44872</v>
      </c>
      <c r="C1028" s="1" t="n">
        <v>45827</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52322-2022</t>
        </is>
      </c>
      <c r="B1029" s="1" t="n">
        <v>44873</v>
      </c>
      <c r="C1029" s="1" t="n">
        <v>45827</v>
      </c>
      <c r="D1029" t="inlineStr">
        <is>
          <t>STOCKHOLMS LÄN</t>
        </is>
      </c>
      <c r="E1029" t="inlineStr">
        <is>
          <t>NORRTÄLJE</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53461-2022</t>
        </is>
      </c>
      <c r="B1030" s="1" t="n">
        <v>44879</v>
      </c>
      <c r="C1030" s="1" t="n">
        <v>45827</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53600-2022</t>
        </is>
      </c>
      <c r="B1031" s="1" t="n">
        <v>44879</v>
      </c>
      <c r="C1031" s="1" t="n">
        <v>45827</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53459-2022</t>
        </is>
      </c>
      <c r="B1032" s="1" t="n">
        <v>44879</v>
      </c>
      <c r="C1032" s="1" t="n">
        <v>45827</v>
      </c>
      <c r="D1032" t="inlineStr">
        <is>
          <t>STOCKHOLMS LÄN</t>
        </is>
      </c>
      <c r="E1032" t="inlineStr">
        <is>
          <t>NORRTÄLJE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53884-2022</t>
        </is>
      </c>
      <c r="B1033" s="1" t="n">
        <v>44880</v>
      </c>
      <c r="C1033" s="1" t="n">
        <v>45827</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54169-2022</t>
        </is>
      </c>
      <c r="B1034" s="1" t="n">
        <v>44881</v>
      </c>
      <c r="C1034" s="1" t="n">
        <v>45827</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54175-2022</t>
        </is>
      </c>
      <c r="B1035" s="1" t="n">
        <v>44881</v>
      </c>
      <c r="C1035" s="1" t="n">
        <v>45827</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54355-2022</t>
        </is>
      </c>
      <c r="B1036" s="1" t="n">
        <v>44882</v>
      </c>
      <c r="C1036" s="1" t="n">
        <v>45827</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54427-2022</t>
        </is>
      </c>
      <c r="B1037" s="1" t="n">
        <v>44882</v>
      </c>
      <c r="C1037" s="1" t="n">
        <v>45827</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54340-2022</t>
        </is>
      </c>
      <c r="B1038" s="1" t="n">
        <v>44882</v>
      </c>
      <c r="C1038" s="1" t="n">
        <v>45827</v>
      </c>
      <c r="D1038" t="inlineStr">
        <is>
          <t>STOCKHOLMS LÄN</t>
        </is>
      </c>
      <c r="E1038" t="inlineStr">
        <is>
          <t>NORRTÄLJE</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54358-2022</t>
        </is>
      </c>
      <c r="B1039" s="1" t="n">
        <v>44882</v>
      </c>
      <c r="C1039" s="1" t="n">
        <v>45827</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54354-2022</t>
        </is>
      </c>
      <c r="B1040" s="1" t="n">
        <v>44882</v>
      </c>
      <c r="C1040" s="1" t="n">
        <v>45827</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55047-2022</t>
        </is>
      </c>
      <c r="B1041" s="1" t="n">
        <v>44886</v>
      </c>
      <c r="C1041" s="1" t="n">
        <v>45827</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55696-2022</t>
        </is>
      </c>
      <c r="B1042" s="1" t="n">
        <v>44888</v>
      </c>
      <c r="C1042" s="1" t="n">
        <v>45827</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57037-2022</t>
        </is>
      </c>
      <c r="B1043" s="1" t="n">
        <v>44895</v>
      </c>
      <c r="C1043" s="1" t="n">
        <v>45827</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59767-2022</t>
        </is>
      </c>
      <c r="B1044" s="1" t="n">
        <v>44900</v>
      </c>
      <c r="C1044" s="1" t="n">
        <v>45827</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58302-2022</t>
        </is>
      </c>
      <c r="B1045" s="1" t="n">
        <v>44901</v>
      </c>
      <c r="C1045" s="1" t="n">
        <v>45827</v>
      </c>
      <c r="D1045" t="inlineStr">
        <is>
          <t>STOCKHOLMS LÄN</t>
        </is>
      </c>
      <c r="E1045" t="inlineStr">
        <is>
          <t>NORRTÄLJE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58492-2022</t>
        </is>
      </c>
      <c r="B1046" s="1" t="n">
        <v>44902</v>
      </c>
      <c r="C1046" s="1" t="n">
        <v>45827</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58543-2022</t>
        </is>
      </c>
      <c r="B1047" s="1" t="n">
        <v>44902</v>
      </c>
      <c r="C1047" s="1" t="n">
        <v>45827</v>
      </c>
      <c r="D1047" t="inlineStr">
        <is>
          <t>STOCKHOLMS LÄN</t>
        </is>
      </c>
      <c r="E1047" t="inlineStr">
        <is>
          <t>NORRTÄLJE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58993-2022</t>
        </is>
      </c>
      <c r="B1048" s="1" t="n">
        <v>44903</v>
      </c>
      <c r="C1048" s="1" t="n">
        <v>45827</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60525-2022</t>
        </is>
      </c>
      <c r="B1049" s="1" t="n">
        <v>44904</v>
      </c>
      <c r="C1049" s="1" t="n">
        <v>45827</v>
      </c>
      <c r="D1049" t="inlineStr">
        <is>
          <t>STOCKHOLMS LÄN</t>
        </is>
      </c>
      <c r="E1049" t="inlineStr">
        <is>
          <t>NORRTÄLJE</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59893-2022</t>
        </is>
      </c>
      <c r="B1050" s="1" t="n">
        <v>44908</v>
      </c>
      <c r="C1050" s="1" t="n">
        <v>45827</v>
      </c>
      <c r="D1050" t="inlineStr">
        <is>
          <t>STOCKHOLMS LÄN</t>
        </is>
      </c>
      <c r="E1050" t="inlineStr">
        <is>
          <t>NORRTÄLJE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59892-2022</t>
        </is>
      </c>
      <c r="B1051" s="1" t="n">
        <v>44908</v>
      </c>
      <c r="C1051" s="1" t="n">
        <v>45827</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60840-2022</t>
        </is>
      </c>
      <c r="B1052" s="1" t="n">
        <v>44914</v>
      </c>
      <c r="C1052" s="1" t="n">
        <v>45827</v>
      </c>
      <c r="D1052" t="inlineStr">
        <is>
          <t>STOCKHOLMS LÄN</t>
        </is>
      </c>
      <c r="E1052" t="inlineStr">
        <is>
          <t>NORRTÄLJE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61016-2022</t>
        </is>
      </c>
      <c r="B1053" s="1" t="n">
        <v>44914</v>
      </c>
      <c r="C1053" s="1" t="n">
        <v>45827</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62206-2022</t>
        </is>
      </c>
      <c r="B1054" s="1" t="n">
        <v>44922</v>
      </c>
      <c r="C1054" s="1" t="n">
        <v>45827</v>
      </c>
      <c r="D1054" t="inlineStr">
        <is>
          <t>STOCKHOLMS LÄN</t>
        </is>
      </c>
      <c r="E1054" t="inlineStr">
        <is>
          <t>NORRTÄLJE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62398-2022</t>
        </is>
      </c>
      <c r="B1055" s="1" t="n">
        <v>44923</v>
      </c>
      <c r="C1055" s="1" t="n">
        <v>45827</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62593-2022</t>
        </is>
      </c>
      <c r="B1056" s="1" t="n">
        <v>44925</v>
      </c>
      <c r="C1056" s="1" t="n">
        <v>45827</v>
      </c>
      <c r="D1056" t="inlineStr">
        <is>
          <t>STOCKHOLMS LÄN</t>
        </is>
      </c>
      <c r="E1056" t="inlineStr">
        <is>
          <t>NORRTÄLJE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576-2023</t>
        </is>
      </c>
      <c r="B1057" s="1" t="n">
        <v>44925</v>
      </c>
      <c r="C1057" s="1" t="n">
        <v>45827</v>
      </c>
      <c r="D1057" t="inlineStr">
        <is>
          <t>STOCKHOLMS LÄN</t>
        </is>
      </c>
      <c r="E1057" t="inlineStr">
        <is>
          <t>NORRTÄLJE</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574-2023</t>
        </is>
      </c>
      <c r="B1058" s="1" t="n">
        <v>44925</v>
      </c>
      <c r="C1058" s="1" t="n">
        <v>45827</v>
      </c>
      <c r="D1058" t="inlineStr">
        <is>
          <t>STOCKHOLMS LÄN</t>
        </is>
      </c>
      <c r="E1058" t="inlineStr">
        <is>
          <t>NORRTÄLJE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755-2023</t>
        </is>
      </c>
      <c r="B1059" s="1" t="n">
        <v>44931</v>
      </c>
      <c r="C1059" s="1" t="n">
        <v>45827</v>
      </c>
      <c r="D1059" t="inlineStr">
        <is>
          <t>STOCKHOLMS LÄN</t>
        </is>
      </c>
      <c r="E1059" t="inlineStr">
        <is>
          <t>NORRTÄLJE</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875-2023</t>
        </is>
      </c>
      <c r="B1060" s="1" t="n">
        <v>44931</v>
      </c>
      <c r="C1060" s="1" t="n">
        <v>45827</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951-2023</t>
        </is>
      </c>
      <c r="B1061" s="1" t="n">
        <v>44934</v>
      </c>
      <c r="C1061" s="1" t="n">
        <v>45827</v>
      </c>
      <c r="D1061" t="inlineStr">
        <is>
          <t>STOCKHOLMS LÄN</t>
        </is>
      </c>
      <c r="E1061" t="inlineStr">
        <is>
          <t>NORRTÄLJE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1183-2023</t>
        </is>
      </c>
      <c r="B1062" s="1" t="n">
        <v>44935</v>
      </c>
      <c r="C1062" s="1" t="n">
        <v>45827</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1335-2023</t>
        </is>
      </c>
      <c r="B1063" s="1" t="n">
        <v>44936</v>
      </c>
      <c r="C1063" s="1" t="n">
        <v>45827</v>
      </c>
      <c r="D1063" t="inlineStr">
        <is>
          <t>STOCKHOLMS LÄN</t>
        </is>
      </c>
      <c r="E1063" t="inlineStr">
        <is>
          <t>NORRTÄLJE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1373-2023</t>
        </is>
      </c>
      <c r="B1064" s="1" t="n">
        <v>44936</v>
      </c>
      <c r="C1064" s="1" t="n">
        <v>45827</v>
      </c>
      <c r="D1064" t="inlineStr">
        <is>
          <t>STOCKHOLMS LÄN</t>
        </is>
      </c>
      <c r="E1064" t="inlineStr">
        <is>
          <t>NORRTÄLJE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1448-2023</t>
        </is>
      </c>
      <c r="B1065" s="1" t="n">
        <v>44937</v>
      </c>
      <c r="C1065" s="1" t="n">
        <v>45827</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1740-2023</t>
        </is>
      </c>
      <c r="B1066" s="1" t="n">
        <v>44938</v>
      </c>
      <c r="C1066" s="1" t="n">
        <v>45827</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1847-2023</t>
        </is>
      </c>
      <c r="B1067" s="1" t="n">
        <v>44938</v>
      </c>
      <c r="C1067" s="1" t="n">
        <v>45827</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2103-2023</t>
        </is>
      </c>
      <c r="B1068" s="1" t="n">
        <v>44939</v>
      </c>
      <c r="C1068" s="1" t="n">
        <v>45827</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2976-2023</t>
        </is>
      </c>
      <c r="B1069" s="1" t="n">
        <v>44945</v>
      </c>
      <c r="C1069" s="1" t="n">
        <v>45827</v>
      </c>
      <c r="D1069" t="inlineStr">
        <is>
          <t>STOCKHOLMS LÄN</t>
        </is>
      </c>
      <c r="E1069" t="inlineStr">
        <is>
          <t>NORRTÄLJE</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2890-2023</t>
        </is>
      </c>
      <c r="B1070" s="1" t="n">
        <v>44945</v>
      </c>
      <c r="C1070" s="1" t="n">
        <v>45827</v>
      </c>
      <c r="D1070" t="inlineStr">
        <is>
          <t>STOCKHOLMS LÄN</t>
        </is>
      </c>
      <c r="E1070" t="inlineStr">
        <is>
          <t>NORRTÄLJE</t>
        </is>
      </c>
      <c r="F1070" t="inlineStr">
        <is>
          <t>Holmen skog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2982-2023</t>
        </is>
      </c>
      <c r="B1071" s="1" t="n">
        <v>44945</v>
      </c>
      <c r="C1071" s="1" t="n">
        <v>45827</v>
      </c>
      <c r="D1071" t="inlineStr">
        <is>
          <t>STOCKHOLMS LÄN</t>
        </is>
      </c>
      <c r="E1071" t="inlineStr">
        <is>
          <t>NORRTÄLJE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3383-2023</t>
        </is>
      </c>
      <c r="B1072" s="1" t="n">
        <v>44949</v>
      </c>
      <c r="C1072" s="1" t="n">
        <v>45827</v>
      </c>
      <c r="D1072" t="inlineStr">
        <is>
          <t>STOCKHOLMS LÄN</t>
        </is>
      </c>
      <c r="E1072" t="inlineStr">
        <is>
          <t>NORRTÄLJE</t>
        </is>
      </c>
      <c r="G1072" t="n">
        <v>14.6</v>
      </c>
      <c r="H1072" t="n">
        <v>0</v>
      </c>
      <c r="I1072" t="n">
        <v>0</v>
      </c>
      <c r="J1072" t="n">
        <v>0</v>
      </c>
      <c r="K1072" t="n">
        <v>0</v>
      </c>
      <c r="L1072" t="n">
        <v>0</v>
      </c>
      <c r="M1072" t="n">
        <v>0</v>
      </c>
      <c r="N1072" t="n">
        <v>0</v>
      </c>
      <c r="O1072" t="n">
        <v>0</v>
      </c>
      <c r="P1072" t="n">
        <v>0</v>
      </c>
      <c r="Q1072" t="n">
        <v>0</v>
      </c>
      <c r="R1072" s="2" t="inlineStr"/>
    </row>
    <row r="1073" ht="15" customHeight="1">
      <c r="A1073" t="inlineStr">
        <is>
          <t>A 3444-2023</t>
        </is>
      </c>
      <c r="B1073" s="1" t="n">
        <v>44949</v>
      </c>
      <c r="C1073" s="1" t="n">
        <v>45827</v>
      </c>
      <c r="D1073" t="inlineStr">
        <is>
          <t>STOCKHOLMS LÄN</t>
        </is>
      </c>
      <c r="E1073" t="inlineStr">
        <is>
          <t>NORRTÄLJE</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4035-2023</t>
        </is>
      </c>
      <c r="B1074" s="1" t="n">
        <v>44952</v>
      </c>
      <c r="C1074" s="1" t="n">
        <v>45827</v>
      </c>
      <c r="D1074" t="inlineStr">
        <is>
          <t>STOCKHOLMS LÄN</t>
        </is>
      </c>
      <c r="E1074" t="inlineStr">
        <is>
          <t>NORRTÄLJE</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4058-2023</t>
        </is>
      </c>
      <c r="B1075" s="1" t="n">
        <v>44952</v>
      </c>
      <c r="C1075" s="1" t="n">
        <v>45827</v>
      </c>
      <c r="D1075" t="inlineStr">
        <is>
          <t>STOCKHOLMS LÄN</t>
        </is>
      </c>
      <c r="E1075" t="inlineStr">
        <is>
          <t>NORRTÄLJE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4194-2023</t>
        </is>
      </c>
      <c r="B1076" s="1" t="n">
        <v>44953</v>
      </c>
      <c r="C1076" s="1" t="n">
        <v>45827</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4168-2023</t>
        </is>
      </c>
      <c r="B1077" s="1" t="n">
        <v>44953</v>
      </c>
      <c r="C1077" s="1" t="n">
        <v>45827</v>
      </c>
      <c r="D1077" t="inlineStr">
        <is>
          <t>STOCKHOLMS LÄN</t>
        </is>
      </c>
      <c r="E1077" t="inlineStr">
        <is>
          <t>NORRTÄLJE</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4316-2023</t>
        </is>
      </c>
      <c r="B1078" s="1" t="n">
        <v>44953</v>
      </c>
      <c r="C1078" s="1" t="n">
        <v>45827</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4326-2023</t>
        </is>
      </c>
      <c r="B1079" s="1" t="n">
        <v>44953</v>
      </c>
      <c r="C1079" s="1" t="n">
        <v>45827</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4322-2023</t>
        </is>
      </c>
      <c r="B1080" s="1" t="n">
        <v>44953</v>
      </c>
      <c r="C1080" s="1" t="n">
        <v>45827</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4364-2023</t>
        </is>
      </c>
      <c r="B1081" s="1" t="n">
        <v>44954</v>
      </c>
      <c r="C1081" s="1" t="n">
        <v>45827</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4395-2023</t>
        </is>
      </c>
      <c r="B1082" s="1" t="n">
        <v>44956</v>
      </c>
      <c r="C1082" s="1" t="n">
        <v>45827</v>
      </c>
      <c r="D1082" t="inlineStr">
        <is>
          <t>STOCKHOLMS LÄN</t>
        </is>
      </c>
      <c r="E1082" t="inlineStr">
        <is>
          <t>NORRTÄLJE</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4438-2023</t>
        </is>
      </c>
      <c r="B1083" s="1" t="n">
        <v>44956</v>
      </c>
      <c r="C1083" s="1" t="n">
        <v>45827</v>
      </c>
      <c r="D1083" t="inlineStr">
        <is>
          <t>STOCKHOLMS LÄN</t>
        </is>
      </c>
      <c r="E1083" t="inlineStr">
        <is>
          <t>NORRTÄLJE</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4593-2023</t>
        </is>
      </c>
      <c r="B1084" s="1" t="n">
        <v>44956</v>
      </c>
      <c r="C1084" s="1" t="n">
        <v>45827</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4596-2023</t>
        </is>
      </c>
      <c r="B1085" s="1" t="n">
        <v>44956</v>
      </c>
      <c r="C1085" s="1" t="n">
        <v>45827</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4553-2023</t>
        </is>
      </c>
      <c r="B1086" s="1" t="n">
        <v>44956</v>
      </c>
      <c r="C1086" s="1" t="n">
        <v>45827</v>
      </c>
      <c r="D1086" t="inlineStr">
        <is>
          <t>STOCKHOLMS LÄN</t>
        </is>
      </c>
      <c r="E1086" t="inlineStr">
        <is>
          <t>NORRTÄLJE</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5137-2023</t>
        </is>
      </c>
      <c r="B1087" s="1" t="n">
        <v>44958</v>
      </c>
      <c r="C1087" s="1" t="n">
        <v>45827</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5207-2023</t>
        </is>
      </c>
      <c r="B1088" s="1" t="n">
        <v>44959</v>
      </c>
      <c r="C1088" s="1" t="n">
        <v>45827</v>
      </c>
      <c r="D1088" t="inlineStr">
        <is>
          <t>STOCKHOLMS LÄN</t>
        </is>
      </c>
      <c r="E1088" t="inlineStr">
        <is>
          <t>NORRTÄLJE</t>
        </is>
      </c>
      <c r="F1088" t="inlineStr">
        <is>
          <t>Holmen skog AB</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5422-2023</t>
        </is>
      </c>
      <c r="B1089" s="1" t="n">
        <v>44959</v>
      </c>
      <c r="C1089" s="1" t="n">
        <v>45827</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5244-2023</t>
        </is>
      </c>
      <c r="B1090" s="1" t="n">
        <v>44959</v>
      </c>
      <c r="C1090" s="1" t="n">
        <v>45827</v>
      </c>
      <c r="D1090" t="inlineStr">
        <is>
          <t>STOCKHOLMS LÄN</t>
        </is>
      </c>
      <c r="E1090" t="inlineStr">
        <is>
          <t>NORRTÄLJE</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5423-2023</t>
        </is>
      </c>
      <c r="B1091" s="1" t="n">
        <v>44959</v>
      </c>
      <c r="C1091" s="1" t="n">
        <v>45827</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6312-2023</t>
        </is>
      </c>
      <c r="B1092" s="1" t="n">
        <v>44959</v>
      </c>
      <c r="C1092" s="1" t="n">
        <v>45827</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5645-2023</t>
        </is>
      </c>
      <c r="B1093" s="1" t="n">
        <v>44960</v>
      </c>
      <c r="C1093" s="1" t="n">
        <v>45827</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5501-2023</t>
        </is>
      </c>
      <c r="B1094" s="1" t="n">
        <v>44960</v>
      </c>
      <c r="C1094" s="1" t="n">
        <v>45827</v>
      </c>
      <c r="D1094" t="inlineStr">
        <is>
          <t>STOCKHOLMS LÄN</t>
        </is>
      </c>
      <c r="E1094" t="inlineStr">
        <is>
          <t>NORRTÄLJE</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6496-2023</t>
        </is>
      </c>
      <c r="B1095" s="1" t="n">
        <v>44960</v>
      </c>
      <c r="C1095" s="1" t="n">
        <v>45827</v>
      </c>
      <c r="D1095" t="inlineStr">
        <is>
          <t>STOCKHOLMS LÄN</t>
        </is>
      </c>
      <c r="E1095" t="inlineStr">
        <is>
          <t>NORRTÄLJE</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5732-2023</t>
        </is>
      </c>
      <c r="B1096" s="1" t="n">
        <v>44962</v>
      </c>
      <c r="C1096" s="1" t="n">
        <v>45827</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5823-2023</t>
        </is>
      </c>
      <c r="B1097" s="1" t="n">
        <v>44963</v>
      </c>
      <c r="C1097" s="1" t="n">
        <v>45827</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5839-2023</t>
        </is>
      </c>
      <c r="B1098" s="1" t="n">
        <v>44963</v>
      </c>
      <c r="C1098" s="1" t="n">
        <v>45827</v>
      </c>
      <c r="D1098" t="inlineStr">
        <is>
          <t>STOCKHOLMS LÄN</t>
        </is>
      </c>
      <c r="E1098" t="inlineStr">
        <is>
          <t>NORRTÄLJE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6433-2023</t>
        </is>
      </c>
      <c r="B1099" s="1" t="n">
        <v>44965</v>
      </c>
      <c r="C1099" s="1" t="n">
        <v>45827</v>
      </c>
      <c r="D1099" t="inlineStr">
        <is>
          <t>STOCKHOLMS LÄN</t>
        </is>
      </c>
      <c r="E1099" t="inlineStr">
        <is>
          <t>NORRTÄLJE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7230-2023</t>
        </is>
      </c>
      <c r="B1100" s="1" t="n">
        <v>44965</v>
      </c>
      <c r="C1100" s="1" t="n">
        <v>45827</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6437-2023</t>
        </is>
      </c>
      <c r="B1101" s="1" t="n">
        <v>44965</v>
      </c>
      <c r="C1101" s="1" t="n">
        <v>45827</v>
      </c>
      <c r="D1101" t="inlineStr">
        <is>
          <t>STOCKHOLMS LÄN</t>
        </is>
      </c>
      <c r="E1101" t="inlineStr">
        <is>
          <t>NORRTÄLJE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7093-2023</t>
        </is>
      </c>
      <c r="B1102" s="1" t="n">
        <v>44970</v>
      </c>
      <c r="C1102" s="1" t="n">
        <v>45827</v>
      </c>
      <c r="D1102" t="inlineStr">
        <is>
          <t>STOCKHOLMS LÄN</t>
        </is>
      </c>
      <c r="E1102" t="inlineStr">
        <is>
          <t>NORRTÄLJE</t>
        </is>
      </c>
      <c r="F1102" t="inlineStr">
        <is>
          <t>Sveaskog</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7190-2023</t>
        </is>
      </c>
      <c r="B1103" s="1" t="n">
        <v>44970</v>
      </c>
      <c r="C1103" s="1" t="n">
        <v>45827</v>
      </c>
      <c r="D1103" t="inlineStr">
        <is>
          <t>STOCKHOLMS LÄN</t>
        </is>
      </c>
      <c r="E1103" t="inlineStr">
        <is>
          <t>NORRTÄLJE</t>
        </is>
      </c>
      <c r="F1103" t="inlineStr">
        <is>
          <t>Sveaskog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7120-2023</t>
        </is>
      </c>
      <c r="B1104" s="1" t="n">
        <v>44970</v>
      </c>
      <c r="C1104" s="1" t="n">
        <v>45827</v>
      </c>
      <c r="D1104" t="inlineStr">
        <is>
          <t>STOCKHOLMS LÄN</t>
        </is>
      </c>
      <c r="E1104" t="inlineStr">
        <is>
          <t>NORRTÄLJE</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7638-2023</t>
        </is>
      </c>
      <c r="B1105" s="1" t="n">
        <v>44972</v>
      </c>
      <c r="C1105" s="1" t="n">
        <v>45827</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7966-2023</t>
        </is>
      </c>
      <c r="B1106" s="1" t="n">
        <v>44973</v>
      </c>
      <c r="C1106" s="1" t="n">
        <v>45827</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7974-2023</t>
        </is>
      </c>
      <c r="B1107" s="1" t="n">
        <v>44973</v>
      </c>
      <c r="C1107" s="1" t="n">
        <v>45827</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8296-2023</t>
        </is>
      </c>
      <c r="B1108" s="1" t="n">
        <v>44974</v>
      </c>
      <c r="C1108" s="1" t="n">
        <v>45827</v>
      </c>
      <c r="D1108" t="inlineStr">
        <is>
          <t>STOCKHOLMS LÄN</t>
        </is>
      </c>
      <c r="E1108" t="inlineStr">
        <is>
          <t>NORRTÄLJE</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8586-2023</t>
        </is>
      </c>
      <c r="B1109" s="1" t="n">
        <v>44977</v>
      </c>
      <c r="C1109" s="1" t="n">
        <v>45827</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9401-2023</t>
        </is>
      </c>
      <c r="B1110" s="1" t="n">
        <v>44977</v>
      </c>
      <c r="C1110" s="1" t="n">
        <v>45827</v>
      </c>
      <c r="D1110" t="inlineStr">
        <is>
          <t>STOCKHOLMS LÄN</t>
        </is>
      </c>
      <c r="E1110" t="inlineStr">
        <is>
          <t>NORRTÄLJE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8730-2023</t>
        </is>
      </c>
      <c r="B1111" s="1" t="n">
        <v>44978</v>
      </c>
      <c r="C1111" s="1" t="n">
        <v>45827</v>
      </c>
      <c r="D1111" t="inlineStr">
        <is>
          <t>STOCKHOLMS LÄN</t>
        </is>
      </c>
      <c r="E1111" t="inlineStr">
        <is>
          <t>NORRTÄLJE</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8762-2023</t>
        </is>
      </c>
      <c r="B1112" s="1" t="n">
        <v>44978</v>
      </c>
      <c r="C1112" s="1" t="n">
        <v>45827</v>
      </c>
      <c r="D1112" t="inlineStr">
        <is>
          <t>STOCKHOLMS LÄN</t>
        </is>
      </c>
      <c r="E1112" t="inlineStr">
        <is>
          <t>NORRTÄLJE</t>
        </is>
      </c>
      <c r="F1112" t="inlineStr">
        <is>
          <t>Holmen skog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8899-2023</t>
        </is>
      </c>
      <c r="B1113" s="1" t="n">
        <v>44979</v>
      </c>
      <c r="C1113" s="1" t="n">
        <v>45827</v>
      </c>
      <c r="D1113" t="inlineStr">
        <is>
          <t>STOCKHOLMS LÄN</t>
        </is>
      </c>
      <c r="E1113" t="inlineStr">
        <is>
          <t>NORRTÄLJE</t>
        </is>
      </c>
      <c r="F1113" t="inlineStr">
        <is>
          <t>Naturvårdsverket</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9189-2023</t>
        </is>
      </c>
      <c r="B1114" s="1" t="n">
        <v>44980</v>
      </c>
      <c r="C1114" s="1" t="n">
        <v>45827</v>
      </c>
      <c r="D1114" t="inlineStr">
        <is>
          <t>STOCKHOLMS LÄN</t>
        </is>
      </c>
      <c r="E1114" t="inlineStr">
        <is>
          <t>NORRTÄLJE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9184-2023</t>
        </is>
      </c>
      <c r="B1115" s="1" t="n">
        <v>44980</v>
      </c>
      <c r="C1115" s="1" t="n">
        <v>45827</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9255-2023</t>
        </is>
      </c>
      <c r="B1116" s="1" t="n">
        <v>44980</v>
      </c>
      <c r="C1116" s="1" t="n">
        <v>45827</v>
      </c>
      <c r="D1116" t="inlineStr">
        <is>
          <t>STOCKHOLMS LÄN</t>
        </is>
      </c>
      <c r="E1116" t="inlineStr">
        <is>
          <t>NORRTÄLJE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9329-2023</t>
        </is>
      </c>
      <c r="B1117" s="1" t="n">
        <v>44980</v>
      </c>
      <c r="C1117" s="1" t="n">
        <v>45827</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9793-2023</t>
        </is>
      </c>
      <c r="B1118" s="1" t="n">
        <v>44984</v>
      </c>
      <c r="C1118" s="1" t="n">
        <v>45827</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9914-2023</t>
        </is>
      </c>
      <c r="B1119" s="1" t="n">
        <v>44985</v>
      </c>
      <c r="C1119" s="1" t="n">
        <v>45827</v>
      </c>
      <c r="D1119" t="inlineStr">
        <is>
          <t>STOCKHOLMS LÄN</t>
        </is>
      </c>
      <c r="E1119" t="inlineStr">
        <is>
          <t>NORRTÄLJE</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9965-2023</t>
        </is>
      </c>
      <c r="B1120" s="1" t="n">
        <v>44985</v>
      </c>
      <c r="C1120" s="1" t="n">
        <v>45827</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9995-2023</t>
        </is>
      </c>
      <c r="B1121" s="1" t="n">
        <v>44985</v>
      </c>
      <c r="C1121" s="1" t="n">
        <v>45827</v>
      </c>
      <c r="D1121" t="inlineStr">
        <is>
          <t>STOCKHOLMS LÄN</t>
        </is>
      </c>
      <c r="E1121" t="inlineStr">
        <is>
          <t>NORRTÄLJE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10036-2023</t>
        </is>
      </c>
      <c r="B1122" s="1" t="n">
        <v>44985</v>
      </c>
      <c r="C1122" s="1" t="n">
        <v>45827</v>
      </c>
      <c r="D1122" t="inlineStr">
        <is>
          <t>STOCKHOLMS LÄN</t>
        </is>
      </c>
      <c r="E1122" t="inlineStr">
        <is>
          <t>NORRTÄLJE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10039-2023</t>
        </is>
      </c>
      <c r="B1123" s="1" t="n">
        <v>44985</v>
      </c>
      <c r="C1123" s="1" t="n">
        <v>45827</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9945-2023</t>
        </is>
      </c>
      <c r="B1124" s="1" t="n">
        <v>44985</v>
      </c>
      <c r="C1124" s="1" t="n">
        <v>45827</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10105-2023</t>
        </is>
      </c>
      <c r="B1125" s="1" t="n">
        <v>44986</v>
      </c>
      <c r="C1125" s="1" t="n">
        <v>45827</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10215-2023</t>
        </is>
      </c>
      <c r="B1126" s="1" t="n">
        <v>44986</v>
      </c>
      <c r="C1126" s="1" t="n">
        <v>45827</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11280-2023</t>
        </is>
      </c>
      <c r="B1127" s="1" t="n">
        <v>44992</v>
      </c>
      <c r="C1127" s="1" t="n">
        <v>45827</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11499-2023</t>
        </is>
      </c>
      <c r="B1128" s="1" t="n">
        <v>44993</v>
      </c>
      <c r="C1128" s="1" t="n">
        <v>45827</v>
      </c>
      <c r="D1128" t="inlineStr">
        <is>
          <t>STOCKHOLMS LÄN</t>
        </is>
      </c>
      <c r="E1128" t="inlineStr">
        <is>
          <t>NORRTÄLJE</t>
        </is>
      </c>
      <c r="F1128" t="inlineStr">
        <is>
          <t>Holmen skog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11844-2023</t>
        </is>
      </c>
      <c r="B1129" s="1" t="n">
        <v>44995</v>
      </c>
      <c r="C1129" s="1" t="n">
        <v>45827</v>
      </c>
      <c r="D1129" t="inlineStr">
        <is>
          <t>STOCKHOLMS LÄN</t>
        </is>
      </c>
      <c r="E1129" t="inlineStr">
        <is>
          <t>NORRTÄLJE</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11940-2023</t>
        </is>
      </c>
      <c r="B1130" s="1" t="n">
        <v>44995</v>
      </c>
      <c r="C1130" s="1" t="n">
        <v>45827</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11852-2023</t>
        </is>
      </c>
      <c r="B1131" s="1" t="n">
        <v>44995</v>
      </c>
      <c r="C1131" s="1" t="n">
        <v>45827</v>
      </c>
      <c r="D1131" t="inlineStr">
        <is>
          <t>STOCKHOLMS LÄN</t>
        </is>
      </c>
      <c r="E1131" t="inlineStr">
        <is>
          <t>NORRTÄLJE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12609-2023</t>
        </is>
      </c>
      <c r="B1132" s="1" t="n">
        <v>45000</v>
      </c>
      <c r="C1132" s="1" t="n">
        <v>45827</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12756-2023</t>
        </is>
      </c>
      <c r="B1133" s="1" t="n">
        <v>45000</v>
      </c>
      <c r="C1133" s="1" t="n">
        <v>45827</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13072-2023</t>
        </is>
      </c>
      <c r="B1134" s="1" t="n">
        <v>45002</v>
      </c>
      <c r="C1134" s="1" t="n">
        <v>45827</v>
      </c>
      <c r="D1134" t="inlineStr">
        <is>
          <t>STOCKHOLMS LÄN</t>
        </is>
      </c>
      <c r="E1134" t="inlineStr">
        <is>
          <t>NORRTÄLJE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13354-2023</t>
        </is>
      </c>
      <c r="B1135" s="1" t="n">
        <v>45005</v>
      </c>
      <c r="C1135" s="1" t="n">
        <v>45827</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13360-2023</t>
        </is>
      </c>
      <c r="B1136" s="1" t="n">
        <v>45005</v>
      </c>
      <c r="C1136" s="1" t="n">
        <v>45827</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13860-2023</t>
        </is>
      </c>
      <c r="B1137" s="1" t="n">
        <v>45007</v>
      </c>
      <c r="C1137" s="1" t="n">
        <v>45827</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13957-2023</t>
        </is>
      </c>
      <c r="B1138" s="1" t="n">
        <v>45008</v>
      </c>
      <c r="C1138" s="1" t="n">
        <v>45827</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13947-2023</t>
        </is>
      </c>
      <c r="B1139" s="1" t="n">
        <v>45008</v>
      </c>
      <c r="C1139" s="1" t="n">
        <v>45827</v>
      </c>
      <c r="D1139" t="inlineStr">
        <is>
          <t>STOCKHOLMS LÄN</t>
        </is>
      </c>
      <c r="E1139" t="inlineStr">
        <is>
          <t>NORRTÄLJE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13977-2023</t>
        </is>
      </c>
      <c r="B1140" s="1" t="n">
        <v>45008</v>
      </c>
      <c r="C1140" s="1" t="n">
        <v>45827</v>
      </c>
      <c r="D1140" t="inlineStr">
        <is>
          <t>STOCKHOLMS LÄN</t>
        </is>
      </c>
      <c r="E1140" t="inlineStr">
        <is>
          <t>NORRTÄLJE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14135-2023</t>
        </is>
      </c>
      <c r="B1141" s="1" t="n">
        <v>45009</v>
      </c>
      <c r="C1141" s="1" t="n">
        <v>45827</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15217-2023</t>
        </is>
      </c>
      <c r="B1142" s="1" t="n">
        <v>45019</v>
      </c>
      <c r="C1142" s="1" t="n">
        <v>45827</v>
      </c>
      <c r="D1142" t="inlineStr">
        <is>
          <t>STOCKHOLMS LÄN</t>
        </is>
      </c>
      <c r="E1142" t="inlineStr">
        <is>
          <t>NORRTÄLJE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15256-2023</t>
        </is>
      </c>
      <c r="B1143" s="1" t="n">
        <v>45019</v>
      </c>
      <c r="C1143" s="1" t="n">
        <v>45827</v>
      </c>
      <c r="D1143" t="inlineStr">
        <is>
          <t>STOCKHOLMS LÄN</t>
        </is>
      </c>
      <c r="E1143" t="inlineStr">
        <is>
          <t>NORRTÄLJE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15447-2023</t>
        </is>
      </c>
      <c r="B1144" s="1" t="n">
        <v>45020</v>
      </c>
      <c r="C1144" s="1" t="n">
        <v>45827</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15459-2023</t>
        </is>
      </c>
      <c r="B1145" s="1" t="n">
        <v>45020</v>
      </c>
      <c r="C1145" s="1" t="n">
        <v>45827</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15655-2023</t>
        </is>
      </c>
      <c r="B1146" s="1" t="n">
        <v>45021</v>
      </c>
      <c r="C1146" s="1" t="n">
        <v>45827</v>
      </c>
      <c r="D1146" t="inlineStr">
        <is>
          <t>STOCKHOLMS LÄN</t>
        </is>
      </c>
      <c r="E1146" t="inlineStr">
        <is>
          <t>NORRTÄLJE</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15905-2023</t>
        </is>
      </c>
      <c r="B1147" s="1" t="n">
        <v>45022</v>
      </c>
      <c r="C1147" s="1" t="n">
        <v>45827</v>
      </c>
      <c r="D1147" t="inlineStr">
        <is>
          <t>STOCKHOLMS LÄN</t>
        </is>
      </c>
      <c r="E1147" t="inlineStr">
        <is>
          <t>NORRTÄLJE</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15915-2023</t>
        </is>
      </c>
      <c r="B1148" s="1" t="n">
        <v>45022</v>
      </c>
      <c r="C1148" s="1" t="n">
        <v>45827</v>
      </c>
      <c r="D1148" t="inlineStr">
        <is>
          <t>STOCKHOLMS LÄN</t>
        </is>
      </c>
      <c r="E1148" t="inlineStr">
        <is>
          <t>NORRTÄLJE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15956-2023</t>
        </is>
      </c>
      <c r="B1149" s="1" t="n">
        <v>45022</v>
      </c>
      <c r="C1149" s="1" t="n">
        <v>45827</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15954-2023</t>
        </is>
      </c>
      <c r="B1150" s="1" t="n">
        <v>45022</v>
      </c>
      <c r="C1150" s="1" t="n">
        <v>45827</v>
      </c>
      <c r="D1150" t="inlineStr">
        <is>
          <t>STOCKHOLMS LÄN</t>
        </is>
      </c>
      <c r="E1150" t="inlineStr">
        <is>
          <t>NORRTÄLJE</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16006-2023</t>
        </is>
      </c>
      <c r="B1151" s="1" t="n">
        <v>45025</v>
      </c>
      <c r="C1151" s="1" t="n">
        <v>45827</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16980-2023</t>
        </is>
      </c>
      <c r="B1152" s="1" t="n">
        <v>45033</v>
      </c>
      <c r="C1152" s="1" t="n">
        <v>45827</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16977-2023</t>
        </is>
      </c>
      <c r="B1153" s="1" t="n">
        <v>45033</v>
      </c>
      <c r="C1153" s="1" t="n">
        <v>45827</v>
      </c>
      <c r="D1153" t="inlineStr">
        <is>
          <t>STOCKHOLMS LÄN</t>
        </is>
      </c>
      <c r="E1153" t="inlineStr">
        <is>
          <t>NORRTÄLJE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17140-2023</t>
        </is>
      </c>
      <c r="B1154" s="1" t="n">
        <v>45034</v>
      </c>
      <c r="C1154" s="1" t="n">
        <v>45827</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17133-2023</t>
        </is>
      </c>
      <c r="B1155" s="1" t="n">
        <v>45034</v>
      </c>
      <c r="C1155" s="1" t="n">
        <v>45827</v>
      </c>
      <c r="D1155" t="inlineStr">
        <is>
          <t>STOCKHOLMS LÄN</t>
        </is>
      </c>
      <c r="E1155" t="inlineStr">
        <is>
          <t>NORRTÄLJE</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17919-2023</t>
        </is>
      </c>
      <c r="B1156" s="1" t="n">
        <v>45040</v>
      </c>
      <c r="C1156" s="1" t="n">
        <v>45827</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17939-2023</t>
        </is>
      </c>
      <c r="B1157" s="1" t="n">
        <v>45040</v>
      </c>
      <c r="C1157" s="1" t="n">
        <v>45827</v>
      </c>
      <c r="D1157" t="inlineStr">
        <is>
          <t>STOCKHOLMS LÄN</t>
        </is>
      </c>
      <c r="E1157" t="inlineStr">
        <is>
          <t>NORRTÄLJE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17930-2023</t>
        </is>
      </c>
      <c r="B1158" s="1" t="n">
        <v>45040</v>
      </c>
      <c r="C1158" s="1" t="n">
        <v>45827</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17984-2023</t>
        </is>
      </c>
      <c r="B1159" s="1" t="n">
        <v>45040</v>
      </c>
      <c r="C1159" s="1" t="n">
        <v>45827</v>
      </c>
      <c r="D1159" t="inlineStr">
        <is>
          <t>STOCKHOLMS LÄN</t>
        </is>
      </c>
      <c r="E1159" t="inlineStr">
        <is>
          <t>NORRTÄLJE</t>
        </is>
      </c>
      <c r="F1159" t="inlineStr">
        <is>
          <t>Holmen skog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18023-2023</t>
        </is>
      </c>
      <c r="B1160" s="1" t="n">
        <v>45040</v>
      </c>
      <c r="C1160" s="1" t="n">
        <v>45827</v>
      </c>
      <c r="D1160" t="inlineStr">
        <is>
          <t>STOCKHOLMS LÄN</t>
        </is>
      </c>
      <c r="E1160" t="inlineStr">
        <is>
          <t>NORRTÄLJE</t>
        </is>
      </c>
      <c r="F1160" t="inlineStr">
        <is>
          <t>Sveaskog</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18541-2023</t>
        </is>
      </c>
      <c r="B1161" s="1" t="n">
        <v>45042</v>
      </c>
      <c r="C1161" s="1" t="n">
        <v>45827</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18540-2023</t>
        </is>
      </c>
      <c r="B1162" s="1" t="n">
        <v>45042</v>
      </c>
      <c r="C1162" s="1" t="n">
        <v>45827</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18895-2023</t>
        </is>
      </c>
      <c r="B1163" s="1" t="n">
        <v>45044</v>
      </c>
      <c r="C1163" s="1" t="n">
        <v>45827</v>
      </c>
      <c r="D1163" t="inlineStr">
        <is>
          <t>STOCKHOLMS LÄN</t>
        </is>
      </c>
      <c r="E1163" t="inlineStr">
        <is>
          <t>NORRTÄLJE</t>
        </is>
      </c>
      <c r="F1163" t="inlineStr">
        <is>
          <t>Kommuner</t>
        </is>
      </c>
      <c r="G1163" t="n">
        <v>12.7</v>
      </c>
      <c r="H1163" t="n">
        <v>0</v>
      </c>
      <c r="I1163" t="n">
        <v>0</v>
      </c>
      <c r="J1163" t="n">
        <v>0</v>
      </c>
      <c r="K1163" t="n">
        <v>0</v>
      </c>
      <c r="L1163" t="n">
        <v>0</v>
      </c>
      <c r="M1163" t="n">
        <v>0</v>
      </c>
      <c r="N1163" t="n">
        <v>0</v>
      </c>
      <c r="O1163" t="n">
        <v>0</v>
      </c>
      <c r="P1163" t="n">
        <v>0</v>
      </c>
      <c r="Q1163" t="n">
        <v>0</v>
      </c>
      <c r="R1163" s="2" t="inlineStr"/>
    </row>
    <row r="1164" ht="15" customHeight="1">
      <c r="A1164" t="inlineStr">
        <is>
          <t>A 19074-2023</t>
        </is>
      </c>
      <c r="B1164" s="1" t="n">
        <v>45048</v>
      </c>
      <c r="C1164" s="1" t="n">
        <v>45827</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19058-2023</t>
        </is>
      </c>
      <c r="B1165" s="1" t="n">
        <v>45048</v>
      </c>
      <c r="C1165" s="1" t="n">
        <v>45827</v>
      </c>
      <c r="D1165" t="inlineStr">
        <is>
          <t>STOCKHOLMS LÄN</t>
        </is>
      </c>
      <c r="E1165" t="inlineStr">
        <is>
          <t>NORRTÄLJE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19702-2023</t>
        </is>
      </c>
      <c r="B1166" s="1" t="n">
        <v>45051</v>
      </c>
      <c r="C1166" s="1" t="n">
        <v>45827</v>
      </c>
      <c r="D1166" t="inlineStr">
        <is>
          <t>STOCKHOLMS LÄN</t>
        </is>
      </c>
      <c r="E1166" t="inlineStr">
        <is>
          <t>NORRTÄLJE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19706-2023</t>
        </is>
      </c>
      <c r="B1167" s="1" t="n">
        <v>45051</v>
      </c>
      <c r="C1167" s="1" t="n">
        <v>45827</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19719-2023</t>
        </is>
      </c>
      <c r="B1168" s="1" t="n">
        <v>45051</v>
      </c>
      <c r="C1168" s="1" t="n">
        <v>45827</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19951-2023</t>
        </is>
      </c>
      <c r="B1169" s="1" t="n">
        <v>45054</v>
      </c>
      <c r="C1169" s="1" t="n">
        <v>45827</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19971-2023</t>
        </is>
      </c>
      <c r="B1170" s="1" t="n">
        <v>45054</v>
      </c>
      <c r="C1170" s="1" t="n">
        <v>45827</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19994-2023</t>
        </is>
      </c>
      <c r="B1171" s="1" t="n">
        <v>45054</v>
      </c>
      <c r="C1171" s="1" t="n">
        <v>45827</v>
      </c>
      <c r="D1171" t="inlineStr">
        <is>
          <t>STOCKHOLMS LÄN</t>
        </is>
      </c>
      <c r="E1171" t="inlineStr">
        <is>
          <t>NORRTÄLJE</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19952-2023</t>
        </is>
      </c>
      <c r="B1172" s="1" t="n">
        <v>45054</v>
      </c>
      <c r="C1172" s="1" t="n">
        <v>45827</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20004-2023</t>
        </is>
      </c>
      <c r="B1173" s="1" t="n">
        <v>45054</v>
      </c>
      <c r="C1173" s="1" t="n">
        <v>45827</v>
      </c>
      <c r="D1173" t="inlineStr">
        <is>
          <t>STOCKHOLMS LÄN</t>
        </is>
      </c>
      <c r="E1173" t="inlineStr">
        <is>
          <t>NORRTÄLJE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20015-2023</t>
        </is>
      </c>
      <c r="B1174" s="1" t="n">
        <v>45054</v>
      </c>
      <c r="C1174" s="1" t="n">
        <v>45827</v>
      </c>
      <c r="D1174" t="inlineStr">
        <is>
          <t>STOCKHOLMS LÄN</t>
        </is>
      </c>
      <c r="E1174" t="inlineStr">
        <is>
          <t>NORRTÄLJE</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20144-2023</t>
        </is>
      </c>
      <c r="B1175" s="1" t="n">
        <v>45055</v>
      </c>
      <c r="C1175" s="1" t="n">
        <v>45827</v>
      </c>
      <c r="D1175" t="inlineStr">
        <is>
          <t>STOCKHOLMS LÄN</t>
        </is>
      </c>
      <c r="E1175" t="inlineStr">
        <is>
          <t>NORRTÄLJE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20304-2023</t>
        </is>
      </c>
      <c r="B1176" s="1" t="n">
        <v>45056</v>
      </c>
      <c r="C1176" s="1" t="n">
        <v>45827</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20535-2023</t>
        </is>
      </c>
      <c r="B1177" s="1" t="n">
        <v>45057</v>
      </c>
      <c r="C1177" s="1" t="n">
        <v>45827</v>
      </c>
      <c r="D1177" t="inlineStr">
        <is>
          <t>STOCKHOLMS LÄN</t>
        </is>
      </c>
      <c r="E1177" t="inlineStr">
        <is>
          <t>NORRTÄLJE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20852-2023</t>
        </is>
      </c>
      <c r="B1178" s="1" t="n">
        <v>45058</v>
      </c>
      <c r="C1178" s="1" t="n">
        <v>45827</v>
      </c>
      <c r="D1178" t="inlineStr">
        <is>
          <t>STOCKHOLMS LÄN</t>
        </is>
      </c>
      <c r="E1178" t="inlineStr">
        <is>
          <t>NORRTÄLJE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21237-2023</t>
        </is>
      </c>
      <c r="B1179" s="1" t="n">
        <v>45062</v>
      </c>
      <c r="C1179" s="1" t="n">
        <v>45827</v>
      </c>
      <c r="D1179" t="inlineStr">
        <is>
          <t>STOCKHOLMS LÄN</t>
        </is>
      </c>
      <c r="E1179" t="inlineStr">
        <is>
          <t>NORRTÄLJE</t>
        </is>
      </c>
      <c r="F1179" t="inlineStr">
        <is>
          <t>Övriga Aktiebolag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21386-2023</t>
        </is>
      </c>
      <c r="B1180" s="1" t="n">
        <v>45063</v>
      </c>
      <c r="C1180" s="1" t="n">
        <v>45827</v>
      </c>
      <c r="D1180" t="inlineStr">
        <is>
          <t>STOCKHOLMS LÄN</t>
        </is>
      </c>
      <c r="E1180" t="inlineStr">
        <is>
          <t>NORRTÄLJE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21435-2023</t>
        </is>
      </c>
      <c r="B1181" s="1" t="n">
        <v>45063</v>
      </c>
      <c r="C1181" s="1" t="n">
        <v>45827</v>
      </c>
      <c r="D1181" t="inlineStr">
        <is>
          <t>STOCKHOLMS LÄN</t>
        </is>
      </c>
      <c r="E1181" t="inlineStr">
        <is>
          <t>NORRTÄLJE</t>
        </is>
      </c>
      <c r="G1181" t="n">
        <v>19.1</v>
      </c>
      <c r="H1181" t="n">
        <v>0</v>
      </c>
      <c r="I1181" t="n">
        <v>0</v>
      </c>
      <c r="J1181" t="n">
        <v>0</v>
      </c>
      <c r="K1181" t="n">
        <v>0</v>
      </c>
      <c r="L1181" t="n">
        <v>0</v>
      </c>
      <c r="M1181" t="n">
        <v>0</v>
      </c>
      <c r="N1181" t="n">
        <v>0</v>
      </c>
      <c r="O1181" t="n">
        <v>0</v>
      </c>
      <c r="P1181" t="n">
        <v>0</v>
      </c>
      <c r="Q1181" t="n">
        <v>0</v>
      </c>
      <c r="R1181" s="2" t="inlineStr"/>
    </row>
    <row r="1182" ht="15" customHeight="1">
      <c r="A1182" t="inlineStr">
        <is>
          <t>A 21732-2023</t>
        </is>
      </c>
      <c r="B1182" s="1" t="n">
        <v>45063</v>
      </c>
      <c r="C1182" s="1" t="n">
        <v>45827</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21733-2023</t>
        </is>
      </c>
      <c r="B1183" s="1" t="n">
        <v>45063</v>
      </c>
      <c r="C1183" s="1" t="n">
        <v>45827</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21731-2023</t>
        </is>
      </c>
      <c r="B1184" s="1" t="n">
        <v>45063</v>
      </c>
      <c r="C1184" s="1" t="n">
        <v>45827</v>
      </c>
      <c r="D1184" t="inlineStr">
        <is>
          <t>STOCKHOLMS LÄN</t>
        </is>
      </c>
      <c r="E1184" t="inlineStr">
        <is>
          <t>NORRTÄLJE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21718-2023</t>
        </is>
      </c>
      <c r="B1185" s="1" t="n">
        <v>45065</v>
      </c>
      <c r="C1185" s="1" t="n">
        <v>45827</v>
      </c>
      <c r="D1185" t="inlineStr">
        <is>
          <t>STOCKHOLMS LÄN</t>
        </is>
      </c>
      <c r="E1185" t="inlineStr">
        <is>
          <t>NORRTÄLJE</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21719-2023</t>
        </is>
      </c>
      <c r="B1186" s="1" t="n">
        <v>45065</v>
      </c>
      <c r="C1186" s="1" t="n">
        <v>45827</v>
      </c>
      <c r="D1186" t="inlineStr">
        <is>
          <t>STOCKHOLMS LÄN</t>
        </is>
      </c>
      <c r="E1186" t="inlineStr">
        <is>
          <t>NORRTÄLJE</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21745-2023</t>
        </is>
      </c>
      <c r="B1187" s="1" t="n">
        <v>45065</v>
      </c>
      <c r="C1187" s="1" t="n">
        <v>45827</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21720-2023</t>
        </is>
      </c>
      <c r="B1188" s="1" t="n">
        <v>45065</v>
      </c>
      <c r="C1188" s="1" t="n">
        <v>45827</v>
      </c>
      <c r="D1188" t="inlineStr">
        <is>
          <t>STOCKHOLMS LÄN</t>
        </is>
      </c>
      <c r="E1188" t="inlineStr">
        <is>
          <t>NORRTÄLJE</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21716-2023</t>
        </is>
      </c>
      <c r="B1189" s="1" t="n">
        <v>45065</v>
      </c>
      <c r="C1189" s="1" t="n">
        <v>45827</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21894-2023</t>
        </is>
      </c>
      <c r="B1190" s="1" t="n">
        <v>45068</v>
      </c>
      <c r="C1190" s="1" t="n">
        <v>45827</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21832-2023</t>
        </is>
      </c>
      <c r="B1191" s="1" t="n">
        <v>45068</v>
      </c>
      <c r="C1191" s="1" t="n">
        <v>45827</v>
      </c>
      <c r="D1191" t="inlineStr">
        <is>
          <t>STOCKHOLMS LÄN</t>
        </is>
      </c>
      <c r="E1191" t="inlineStr">
        <is>
          <t>NORRTÄLJE</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21825-2023</t>
        </is>
      </c>
      <c r="B1192" s="1" t="n">
        <v>45068</v>
      </c>
      <c r="C1192" s="1" t="n">
        <v>45827</v>
      </c>
      <c r="D1192" t="inlineStr">
        <is>
          <t>STOCKHOLMS LÄN</t>
        </is>
      </c>
      <c r="E1192" t="inlineStr">
        <is>
          <t>NORRTÄLJE</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21897-2023</t>
        </is>
      </c>
      <c r="B1193" s="1" t="n">
        <v>45068</v>
      </c>
      <c r="C1193" s="1" t="n">
        <v>45827</v>
      </c>
      <c r="D1193" t="inlineStr">
        <is>
          <t>STOCKHOLMS LÄN</t>
        </is>
      </c>
      <c r="E1193" t="inlineStr">
        <is>
          <t>NORRTÄLJE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21993-2023</t>
        </is>
      </c>
      <c r="B1194" s="1" t="n">
        <v>45068</v>
      </c>
      <c r="C1194" s="1" t="n">
        <v>45827</v>
      </c>
      <c r="D1194" t="inlineStr">
        <is>
          <t>STOCKHOLMS LÄN</t>
        </is>
      </c>
      <c r="E1194" t="inlineStr">
        <is>
          <t>NORRTÄLJE</t>
        </is>
      </c>
      <c r="G1194" t="n">
        <v>17.2</v>
      </c>
      <c r="H1194" t="n">
        <v>0</v>
      </c>
      <c r="I1194" t="n">
        <v>0</v>
      </c>
      <c r="J1194" t="n">
        <v>0</v>
      </c>
      <c r="K1194" t="n">
        <v>0</v>
      </c>
      <c r="L1194" t="n">
        <v>0</v>
      </c>
      <c r="M1194" t="n">
        <v>0</v>
      </c>
      <c r="N1194" t="n">
        <v>0</v>
      </c>
      <c r="O1194" t="n">
        <v>0</v>
      </c>
      <c r="P1194" t="n">
        <v>0</v>
      </c>
      <c r="Q1194" t="n">
        <v>0</v>
      </c>
      <c r="R1194" s="2" t="inlineStr"/>
    </row>
    <row r="1195" ht="15" customHeight="1">
      <c r="A1195" t="inlineStr">
        <is>
          <t>A 21961-2023</t>
        </is>
      </c>
      <c r="B1195" s="1" t="n">
        <v>45068</v>
      </c>
      <c r="C1195" s="1" t="n">
        <v>45827</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22157-2023</t>
        </is>
      </c>
      <c r="B1196" s="1" t="n">
        <v>45069</v>
      </c>
      <c r="C1196" s="1" t="n">
        <v>45827</v>
      </c>
      <c r="D1196" t="inlineStr">
        <is>
          <t>STOCKHOLMS LÄN</t>
        </is>
      </c>
      <c r="E1196" t="inlineStr">
        <is>
          <t>NORRTÄLJE</t>
        </is>
      </c>
      <c r="G1196" t="n">
        <v>0.6</v>
      </c>
      <c r="H1196" t="n">
        <v>0</v>
      </c>
      <c r="I1196" t="n">
        <v>0</v>
      </c>
      <c r="J1196" t="n">
        <v>0</v>
      </c>
      <c r="K1196" t="n">
        <v>0</v>
      </c>
      <c r="L1196" t="n">
        <v>0</v>
      </c>
      <c r="M1196" t="n">
        <v>0</v>
      </c>
      <c r="N1196" t="n">
        <v>0</v>
      </c>
      <c r="O1196" t="n">
        <v>0</v>
      </c>
      <c r="P1196" t="n">
        <v>0</v>
      </c>
      <c r="Q1196" t="n">
        <v>0</v>
      </c>
      <c r="R1196" s="2" t="inlineStr"/>
      <c r="U1196">
        <f>HYPERLINK("https://klasma.github.io/Logging_0188/knärot/A 22157-2023 karta knärot.png", "A 22157-2023")</f>
        <v/>
      </c>
      <c r="V1196">
        <f>HYPERLINK("https://klasma.github.io/Logging_0188/klagomål/A 22157-2023 FSC-klagomål.docx", "A 22157-2023")</f>
        <v/>
      </c>
      <c r="W1196">
        <f>HYPERLINK("https://klasma.github.io/Logging_0188/klagomålsmail/A 22157-2023 FSC-klagomål mail.docx", "A 22157-2023")</f>
        <v/>
      </c>
      <c r="X1196">
        <f>HYPERLINK("https://klasma.github.io/Logging_0188/tillsyn/A 22157-2023 tillsynsbegäran.docx", "A 22157-2023")</f>
        <v/>
      </c>
      <c r="Y1196">
        <f>HYPERLINK("https://klasma.github.io/Logging_0188/tillsynsmail/A 22157-2023 tillsynsbegäran mail.docx", "A 22157-2023")</f>
        <v/>
      </c>
    </row>
    <row r="1197" ht="15" customHeight="1">
      <c r="A1197" t="inlineStr">
        <is>
          <t>A 22175-2023</t>
        </is>
      </c>
      <c r="B1197" s="1" t="n">
        <v>45069</v>
      </c>
      <c r="C1197" s="1" t="n">
        <v>45827</v>
      </c>
      <c r="D1197" t="inlineStr">
        <is>
          <t>STOCKHOLMS LÄN</t>
        </is>
      </c>
      <c r="E1197" t="inlineStr">
        <is>
          <t>NORRTÄLJE</t>
        </is>
      </c>
      <c r="G1197" t="n">
        <v>32.7</v>
      </c>
      <c r="H1197" t="n">
        <v>0</v>
      </c>
      <c r="I1197" t="n">
        <v>0</v>
      </c>
      <c r="J1197" t="n">
        <v>0</v>
      </c>
      <c r="K1197" t="n">
        <v>0</v>
      </c>
      <c r="L1197" t="n">
        <v>0</v>
      </c>
      <c r="M1197" t="n">
        <v>0</v>
      </c>
      <c r="N1197" t="n">
        <v>0</v>
      </c>
      <c r="O1197" t="n">
        <v>0</v>
      </c>
      <c r="P1197" t="n">
        <v>0</v>
      </c>
      <c r="Q1197" t="n">
        <v>0</v>
      </c>
      <c r="R1197" s="2" t="inlineStr"/>
    </row>
    <row r="1198" ht="15" customHeight="1">
      <c r="A1198" t="inlineStr">
        <is>
          <t>A 22249-2023</t>
        </is>
      </c>
      <c r="B1198" s="1" t="n">
        <v>45070</v>
      </c>
      <c r="C1198" s="1" t="n">
        <v>45827</v>
      </c>
      <c r="D1198" t="inlineStr">
        <is>
          <t>STOCKHOLMS LÄN</t>
        </is>
      </c>
      <c r="E1198" t="inlineStr">
        <is>
          <t>NORRTÄLJE</t>
        </is>
      </c>
      <c r="F1198" t="inlineStr">
        <is>
          <t>Övriga Aktiebolag</t>
        </is>
      </c>
      <c r="G1198" t="n">
        <v>17.7</v>
      </c>
      <c r="H1198" t="n">
        <v>0</v>
      </c>
      <c r="I1198" t="n">
        <v>0</v>
      </c>
      <c r="J1198" t="n">
        <v>0</v>
      </c>
      <c r="K1198" t="n">
        <v>0</v>
      </c>
      <c r="L1198" t="n">
        <v>0</v>
      </c>
      <c r="M1198" t="n">
        <v>0</v>
      </c>
      <c r="N1198" t="n">
        <v>0</v>
      </c>
      <c r="O1198" t="n">
        <v>0</v>
      </c>
      <c r="P1198" t="n">
        <v>0</v>
      </c>
      <c r="Q1198" t="n">
        <v>0</v>
      </c>
      <c r="R1198" s="2" t="inlineStr"/>
    </row>
    <row r="1199" ht="15" customHeight="1">
      <c r="A1199" t="inlineStr">
        <is>
          <t>A 22398-2023</t>
        </is>
      </c>
      <c r="B1199" s="1" t="n">
        <v>45070</v>
      </c>
      <c r="C1199" s="1" t="n">
        <v>45827</v>
      </c>
      <c r="D1199" t="inlineStr">
        <is>
          <t>STOCKHOLMS LÄN</t>
        </is>
      </c>
      <c r="E1199" t="inlineStr">
        <is>
          <t>NORRTÄLJE</t>
        </is>
      </c>
      <c r="F1199" t="inlineStr">
        <is>
          <t>Övriga Aktiebolag</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22376-2023</t>
        </is>
      </c>
      <c r="B1200" s="1" t="n">
        <v>45070</v>
      </c>
      <c r="C1200" s="1" t="n">
        <v>45827</v>
      </c>
      <c r="D1200" t="inlineStr">
        <is>
          <t>STOCKHOLMS LÄN</t>
        </is>
      </c>
      <c r="E1200" t="inlineStr">
        <is>
          <t>NORRTÄLJE</t>
        </is>
      </c>
      <c r="F1200" t="inlineStr">
        <is>
          <t>Kommuner</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22456-2023</t>
        </is>
      </c>
      <c r="B1201" s="1" t="n">
        <v>45070</v>
      </c>
      <c r="C1201" s="1" t="n">
        <v>45827</v>
      </c>
      <c r="D1201" t="inlineStr">
        <is>
          <t>STOCKHOLMS LÄN</t>
        </is>
      </c>
      <c r="E1201" t="inlineStr">
        <is>
          <t>NORRTÄLJE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22378-2023</t>
        </is>
      </c>
      <c r="B1202" s="1" t="n">
        <v>45070</v>
      </c>
      <c r="C1202" s="1" t="n">
        <v>45827</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22406-2023</t>
        </is>
      </c>
      <c r="B1203" s="1" t="n">
        <v>45070</v>
      </c>
      <c r="C1203" s="1" t="n">
        <v>45827</v>
      </c>
      <c r="D1203" t="inlineStr">
        <is>
          <t>STOCKHOLMS LÄN</t>
        </is>
      </c>
      <c r="E1203" t="inlineStr">
        <is>
          <t>NORRTÄLJE</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22553-2023</t>
        </is>
      </c>
      <c r="B1204" s="1" t="n">
        <v>45071</v>
      </c>
      <c r="C1204" s="1" t="n">
        <v>45827</v>
      </c>
      <c r="D1204" t="inlineStr">
        <is>
          <t>STOCKHOLMS LÄN</t>
        </is>
      </c>
      <c r="E1204" t="inlineStr">
        <is>
          <t>NORRTÄLJE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22962-2023</t>
        </is>
      </c>
      <c r="B1205" s="1" t="n">
        <v>45072</v>
      </c>
      <c r="C1205" s="1" t="n">
        <v>45827</v>
      </c>
      <c r="D1205" t="inlineStr">
        <is>
          <t>STOCKHOLMS LÄN</t>
        </is>
      </c>
      <c r="E1205" t="inlineStr">
        <is>
          <t>NORRTÄLJE</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23056-2023</t>
        </is>
      </c>
      <c r="B1206" s="1" t="n">
        <v>45075</v>
      </c>
      <c r="C1206" s="1" t="n">
        <v>45827</v>
      </c>
      <c r="D1206" t="inlineStr">
        <is>
          <t>STOCKHOLMS LÄN</t>
        </is>
      </c>
      <c r="E1206" t="inlineStr">
        <is>
          <t>NORRTÄLJE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23060-2023</t>
        </is>
      </c>
      <c r="B1207" s="1" t="n">
        <v>45075</v>
      </c>
      <c r="C1207" s="1" t="n">
        <v>45827</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23070-2023</t>
        </is>
      </c>
      <c r="B1208" s="1" t="n">
        <v>45075</v>
      </c>
      <c r="C1208" s="1" t="n">
        <v>45827</v>
      </c>
      <c r="D1208" t="inlineStr">
        <is>
          <t>STOCKHOLMS LÄN</t>
        </is>
      </c>
      <c r="E1208" t="inlineStr">
        <is>
          <t>NORRTÄLJE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23130-2023</t>
        </is>
      </c>
      <c r="B1209" s="1" t="n">
        <v>45075</v>
      </c>
      <c r="C1209" s="1" t="n">
        <v>45827</v>
      </c>
      <c r="D1209" t="inlineStr">
        <is>
          <t>STOCKHOLMS LÄN</t>
        </is>
      </c>
      <c r="E1209" t="inlineStr">
        <is>
          <t>NORRTÄLJE</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23265-2023</t>
        </is>
      </c>
      <c r="B1210" s="1" t="n">
        <v>45075</v>
      </c>
      <c r="C1210" s="1" t="n">
        <v>45827</v>
      </c>
      <c r="D1210" t="inlineStr">
        <is>
          <t>STOCKHOLMS LÄN</t>
        </is>
      </c>
      <c r="E1210" t="inlineStr">
        <is>
          <t>NORRTÄLJE</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23269-2023</t>
        </is>
      </c>
      <c r="B1211" s="1" t="n">
        <v>45075</v>
      </c>
      <c r="C1211" s="1" t="n">
        <v>45827</v>
      </c>
      <c r="D1211" t="inlineStr">
        <is>
          <t>STOCKHOLMS LÄN</t>
        </is>
      </c>
      <c r="E1211" t="inlineStr">
        <is>
          <t>NORRTÄLJE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23273-2023</t>
        </is>
      </c>
      <c r="B1212" s="1" t="n">
        <v>45076</v>
      </c>
      <c r="C1212" s="1" t="n">
        <v>45827</v>
      </c>
      <c r="D1212" t="inlineStr">
        <is>
          <t>STOCKHOLMS LÄN</t>
        </is>
      </c>
      <c r="E1212" t="inlineStr">
        <is>
          <t>NORRTÄLJE</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23134-2023</t>
        </is>
      </c>
      <c r="B1213" s="1" t="n">
        <v>45075</v>
      </c>
      <c r="C1213" s="1" t="n">
        <v>45827</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23263-2023</t>
        </is>
      </c>
      <c r="B1214" s="1" t="n">
        <v>45075</v>
      </c>
      <c r="C1214" s="1" t="n">
        <v>45827</v>
      </c>
      <c r="D1214" t="inlineStr">
        <is>
          <t>STOCKHOLMS LÄN</t>
        </is>
      </c>
      <c r="E1214" t="inlineStr">
        <is>
          <t>NORRTÄLJE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23267-2023</t>
        </is>
      </c>
      <c r="B1215" s="1" t="n">
        <v>45075</v>
      </c>
      <c r="C1215" s="1" t="n">
        <v>45827</v>
      </c>
      <c r="D1215" t="inlineStr">
        <is>
          <t>STOCKHOLMS LÄN</t>
        </is>
      </c>
      <c r="E1215" t="inlineStr">
        <is>
          <t>NORRTÄLJE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23271-2023</t>
        </is>
      </c>
      <c r="B1216" s="1" t="n">
        <v>45075</v>
      </c>
      <c r="C1216" s="1" t="n">
        <v>45827</v>
      </c>
      <c r="D1216" t="inlineStr">
        <is>
          <t>STOCKHOLMS LÄN</t>
        </is>
      </c>
      <c r="E1216" t="inlineStr">
        <is>
          <t>NORRTÄLJE</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23264-2023</t>
        </is>
      </c>
      <c r="B1217" s="1" t="n">
        <v>45075</v>
      </c>
      <c r="C1217" s="1" t="n">
        <v>45827</v>
      </c>
      <c r="D1217" t="inlineStr">
        <is>
          <t>STOCKHOLMS LÄN</t>
        </is>
      </c>
      <c r="E1217" t="inlineStr">
        <is>
          <t>NORRTÄLJE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23268-2023</t>
        </is>
      </c>
      <c r="B1218" s="1" t="n">
        <v>45075</v>
      </c>
      <c r="C1218" s="1" t="n">
        <v>45827</v>
      </c>
      <c r="D1218" t="inlineStr">
        <is>
          <t>STOCKHOLMS LÄN</t>
        </is>
      </c>
      <c r="E1218" t="inlineStr">
        <is>
          <t>NORRTÄLJE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23272-2023</t>
        </is>
      </c>
      <c r="B1219" s="1" t="n">
        <v>45075</v>
      </c>
      <c r="C1219" s="1" t="n">
        <v>45827</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23262-2023</t>
        </is>
      </c>
      <c r="B1220" s="1" t="n">
        <v>45075</v>
      </c>
      <c r="C1220" s="1" t="n">
        <v>45827</v>
      </c>
      <c r="D1220" t="inlineStr">
        <is>
          <t>STOCKHOLMS LÄN</t>
        </is>
      </c>
      <c r="E1220" t="inlineStr">
        <is>
          <t>NORRTÄLJE</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23266-2023</t>
        </is>
      </c>
      <c r="B1221" s="1" t="n">
        <v>45075</v>
      </c>
      <c r="C1221" s="1" t="n">
        <v>45827</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23270-2023</t>
        </is>
      </c>
      <c r="B1222" s="1" t="n">
        <v>45075</v>
      </c>
      <c r="C1222" s="1" t="n">
        <v>45827</v>
      </c>
      <c r="D1222" t="inlineStr">
        <is>
          <t>STOCKHOLMS LÄN</t>
        </is>
      </c>
      <c r="E1222" t="inlineStr">
        <is>
          <t>NORRTÄLJE</t>
        </is>
      </c>
      <c r="G1222" t="n">
        <v>12.3</v>
      </c>
      <c r="H1222" t="n">
        <v>0</v>
      </c>
      <c r="I1222" t="n">
        <v>0</v>
      </c>
      <c r="J1222" t="n">
        <v>0</v>
      </c>
      <c r="K1222" t="n">
        <v>0</v>
      </c>
      <c r="L1222" t="n">
        <v>0</v>
      </c>
      <c r="M1222" t="n">
        <v>0</v>
      </c>
      <c r="N1222" t="n">
        <v>0</v>
      </c>
      <c r="O1222" t="n">
        <v>0</v>
      </c>
      <c r="P1222" t="n">
        <v>0</v>
      </c>
      <c r="Q1222" t="n">
        <v>0</v>
      </c>
      <c r="R1222" s="2" t="inlineStr"/>
    </row>
    <row r="1223" ht="15" customHeight="1">
      <c r="A1223" t="inlineStr">
        <is>
          <t>A 23274-2023</t>
        </is>
      </c>
      <c r="B1223" s="1" t="n">
        <v>45076</v>
      </c>
      <c r="C1223" s="1" t="n">
        <v>45827</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23699-2023</t>
        </is>
      </c>
      <c r="B1224" s="1" t="n">
        <v>45077</v>
      </c>
      <c r="C1224" s="1" t="n">
        <v>45827</v>
      </c>
      <c r="D1224" t="inlineStr">
        <is>
          <t>STOCKHOLMS LÄN</t>
        </is>
      </c>
      <c r="E1224" t="inlineStr">
        <is>
          <t>NORRTÄLJE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24129-2023</t>
        </is>
      </c>
      <c r="B1225" s="1" t="n">
        <v>45079</v>
      </c>
      <c r="C1225" s="1" t="n">
        <v>45827</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24520-2023</t>
        </is>
      </c>
      <c r="B1226" s="1" t="n">
        <v>45082</v>
      </c>
      <c r="C1226" s="1" t="n">
        <v>45827</v>
      </c>
      <c r="D1226" t="inlineStr">
        <is>
          <t>STOCKHOLMS LÄN</t>
        </is>
      </c>
      <c r="E1226" t="inlineStr">
        <is>
          <t>NORRTÄLJE</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24501-2023</t>
        </is>
      </c>
      <c r="B1227" s="1" t="n">
        <v>45082</v>
      </c>
      <c r="C1227" s="1" t="n">
        <v>45827</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24522-2023</t>
        </is>
      </c>
      <c r="B1228" s="1" t="n">
        <v>45082</v>
      </c>
      <c r="C1228" s="1" t="n">
        <v>45827</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24705-2023</t>
        </is>
      </c>
      <c r="B1229" s="1" t="n">
        <v>45084</v>
      </c>
      <c r="C1229" s="1" t="n">
        <v>45827</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24727-2023</t>
        </is>
      </c>
      <c r="B1230" s="1" t="n">
        <v>45084</v>
      </c>
      <c r="C1230" s="1" t="n">
        <v>45827</v>
      </c>
      <c r="D1230" t="inlineStr">
        <is>
          <t>STOCKHOLMS LÄN</t>
        </is>
      </c>
      <c r="E1230" t="inlineStr">
        <is>
          <t>NORRTÄLJE</t>
        </is>
      </c>
      <c r="F1230" t="inlineStr">
        <is>
          <t>Holmen skog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24788-2023</t>
        </is>
      </c>
      <c r="B1231" s="1" t="n">
        <v>45084</v>
      </c>
      <c r="C1231" s="1" t="n">
        <v>45827</v>
      </c>
      <c r="D1231" t="inlineStr">
        <is>
          <t>STOCKHOLMS LÄN</t>
        </is>
      </c>
      <c r="E1231" t="inlineStr">
        <is>
          <t>NORRTÄLJE</t>
        </is>
      </c>
      <c r="F1231" t="inlineStr">
        <is>
          <t>Sveaskog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24789-2023</t>
        </is>
      </c>
      <c r="B1232" s="1" t="n">
        <v>45084</v>
      </c>
      <c r="C1232" s="1" t="n">
        <v>45827</v>
      </c>
      <c r="D1232" t="inlineStr">
        <is>
          <t>STOCKHOLMS LÄN</t>
        </is>
      </c>
      <c r="E1232" t="inlineStr">
        <is>
          <t>NORRTÄLJE</t>
        </is>
      </c>
      <c r="F1232" t="inlineStr">
        <is>
          <t>Sveaskog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24887-2023</t>
        </is>
      </c>
      <c r="B1233" s="1" t="n">
        <v>45085</v>
      </c>
      <c r="C1233" s="1" t="n">
        <v>45827</v>
      </c>
      <c r="D1233" t="inlineStr">
        <is>
          <t>STOCKHOLMS LÄN</t>
        </is>
      </c>
      <c r="E1233" t="inlineStr">
        <is>
          <t>NORRTÄLJE</t>
        </is>
      </c>
      <c r="G1233" t="n">
        <v>13.9</v>
      </c>
      <c r="H1233" t="n">
        <v>0</v>
      </c>
      <c r="I1233" t="n">
        <v>0</v>
      </c>
      <c r="J1233" t="n">
        <v>0</v>
      </c>
      <c r="K1233" t="n">
        <v>0</v>
      </c>
      <c r="L1233" t="n">
        <v>0</v>
      </c>
      <c r="M1233" t="n">
        <v>0</v>
      </c>
      <c r="N1233" t="n">
        <v>0</v>
      </c>
      <c r="O1233" t="n">
        <v>0</v>
      </c>
      <c r="P1233" t="n">
        <v>0</v>
      </c>
      <c r="Q1233" t="n">
        <v>0</v>
      </c>
      <c r="R1233" s="2" t="inlineStr"/>
    </row>
    <row r="1234" ht="15" customHeight="1">
      <c r="A1234" t="inlineStr">
        <is>
          <t>A 24933-2023</t>
        </is>
      </c>
      <c r="B1234" s="1" t="n">
        <v>45085</v>
      </c>
      <c r="C1234" s="1" t="n">
        <v>45827</v>
      </c>
      <c r="D1234" t="inlineStr">
        <is>
          <t>STOCKHOLMS LÄN</t>
        </is>
      </c>
      <c r="E1234" t="inlineStr">
        <is>
          <t>NORRTÄLJE</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25174-2023</t>
        </is>
      </c>
      <c r="B1235" s="1" t="n">
        <v>45086</v>
      </c>
      <c r="C1235" s="1" t="n">
        <v>45827</v>
      </c>
      <c r="D1235" t="inlineStr">
        <is>
          <t>STOCKHOLMS LÄN</t>
        </is>
      </c>
      <c r="E1235" t="inlineStr">
        <is>
          <t>NORRTÄLJE</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25094-2023</t>
        </is>
      </c>
      <c r="B1236" s="1" t="n">
        <v>45086</v>
      </c>
      <c r="C1236" s="1" t="n">
        <v>45827</v>
      </c>
      <c r="D1236" t="inlineStr">
        <is>
          <t>STOCKHOLMS LÄN</t>
        </is>
      </c>
      <c r="E1236" t="inlineStr">
        <is>
          <t>NORRTÄLJE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25257-2023</t>
        </is>
      </c>
      <c r="B1237" s="1" t="n">
        <v>45086</v>
      </c>
      <c r="C1237" s="1" t="n">
        <v>45827</v>
      </c>
      <c r="D1237" t="inlineStr">
        <is>
          <t>STOCKHOLMS LÄN</t>
        </is>
      </c>
      <c r="E1237" t="inlineStr">
        <is>
          <t>NORRTÄLJE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25614-2023</t>
        </is>
      </c>
      <c r="B1238" s="1" t="n">
        <v>45089</v>
      </c>
      <c r="C1238" s="1" t="n">
        <v>45827</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25625-2023</t>
        </is>
      </c>
      <c r="B1239" s="1" t="n">
        <v>45089</v>
      </c>
      <c r="C1239" s="1" t="n">
        <v>45827</v>
      </c>
      <c r="D1239" t="inlineStr">
        <is>
          <t>STOCKHOLMS LÄN</t>
        </is>
      </c>
      <c r="E1239" t="inlineStr">
        <is>
          <t>NORRTÄLJE</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25557-2023</t>
        </is>
      </c>
      <c r="B1240" s="1" t="n">
        <v>45089</v>
      </c>
      <c r="C1240" s="1" t="n">
        <v>45827</v>
      </c>
      <c r="D1240" t="inlineStr">
        <is>
          <t>STOCKHOLMS LÄN</t>
        </is>
      </c>
      <c r="E1240" t="inlineStr">
        <is>
          <t>NORRTÄLJE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25609-2023</t>
        </is>
      </c>
      <c r="B1241" s="1" t="n">
        <v>45089</v>
      </c>
      <c r="C1241" s="1" t="n">
        <v>45827</v>
      </c>
      <c r="D1241" t="inlineStr">
        <is>
          <t>STOCKHOLMS LÄN</t>
        </is>
      </c>
      <c r="E1241" t="inlineStr">
        <is>
          <t>NORRTÄLJE</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25618-2023</t>
        </is>
      </c>
      <c r="B1242" s="1" t="n">
        <v>45089</v>
      </c>
      <c r="C1242" s="1" t="n">
        <v>45827</v>
      </c>
      <c r="D1242" t="inlineStr">
        <is>
          <t>STOCKHOLMS LÄN</t>
        </is>
      </c>
      <c r="E1242" t="inlineStr">
        <is>
          <t>NORRTÄLJE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25656-2023</t>
        </is>
      </c>
      <c r="B1243" s="1" t="n">
        <v>45089</v>
      </c>
      <c r="C1243" s="1" t="n">
        <v>45827</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25654-2023</t>
        </is>
      </c>
      <c r="B1244" s="1" t="n">
        <v>45089</v>
      </c>
      <c r="C1244" s="1" t="n">
        <v>45827</v>
      </c>
      <c r="D1244" t="inlineStr">
        <is>
          <t>STOCKHOLMS LÄN</t>
        </is>
      </c>
      <c r="E1244" t="inlineStr">
        <is>
          <t>NORRTÄLJE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25831-2023</t>
        </is>
      </c>
      <c r="B1245" s="1" t="n">
        <v>45090</v>
      </c>
      <c r="C1245" s="1" t="n">
        <v>45827</v>
      </c>
      <c r="D1245" t="inlineStr">
        <is>
          <t>STOCKHOLMS LÄN</t>
        </is>
      </c>
      <c r="E1245" t="inlineStr">
        <is>
          <t>NORRTÄLJE</t>
        </is>
      </c>
      <c r="F1245" t="inlineStr">
        <is>
          <t>Övriga Aktiebolag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25915-2023</t>
        </is>
      </c>
      <c r="B1246" s="1" t="n">
        <v>45090</v>
      </c>
      <c r="C1246" s="1" t="n">
        <v>45827</v>
      </c>
      <c r="D1246" t="inlineStr">
        <is>
          <t>STOCKHOLMS LÄN</t>
        </is>
      </c>
      <c r="E1246" t="inlineStr">
        <is>
          <t>NORRTÄLJE</t>
        </is>
      </c>
      <c r="F1246" t="inlineStr">
        <is>
          <t>Naturvårdsverket</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26065-2023</t>
        </is>
      </c>
      <c r="B1247" s="1" t="n">
        <v>45091</v>
      </c>
      <c r="C1247" s="1" t="n">
        <v>45827</v>
      </c>
      <c r="D1247" t="inlineStr">
        <is>
          <t>STOCKHOLMS LÄN</t>
        </is>
      </c>
      <c r="E1247" t="inlineStr">
        <is>
          <t>NORRTÄLJE</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26315-2023</t>
        </is>
      </c>
      <c r="B1248" s="1" t="n">
        <v>45091</v>
      </c>
      <c r="C1248" s="1" t="n">
        <v>45827</v>
      </c>
      <c r="D1248" t="inlineStr">
        <is>
          <t>STOCKHOLMS LÄN</t>
        </is>
      </c>
      <c r="E1248" t="inlineStr">
        <is>
          <t>NORRTÄLJE</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26570-2023</t>
        </is>
      </c>
      <c r="B1249" s="1" t="n">
        <v>45092</v>
      </c>
      <c r="C1249" s="1" t="n">
        <v>45827</v>
      </c>
      <c r="D1249" t="inlineStr">
        <is>
          <t>STOCKHOLMS LÄN</t>
        </is>
      </c>
      <c r="E1249" t="inlineStr">
        <is>
          <t>NORRTÄLJE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26636-2023</t>
        </is>
      </c>
      <c r="B1250" s="1" t="n">
        <v>45092</v>
      </c>
      <c r="C1250" s="1" t="n">
        <v>45827</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26640-2023</t>
        </is>
      </c>
      <c r="B1251" s="1" t="n">
        <v>45092</v>
      </c>
      <c r="C1251" s="1" t="n">
        <v>45827</v>
      </c>
      <c r="D1251" t="inlineStr">
        <is>
          <t>STOCKHOLMS LÄN</t>
        </is>
      </c>
      <c r="E1251" t="inlineStr">
        <is>
          <t>NORRTÄLJE</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26637-2023</t>
        </is>
      </c>
      <c r="B1252" s="1" t="n">
        <v>45092</v>
      </c>
      <c r="C1252" s="1" t="n">
        <v>45827</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26639-2023</t>
        </is>
      </c>
      <c r="B1253" s="1" t="n">
        <v>45092</v>
      </c>
      <c r="C1253" s="1" t="n">
        <v>45827</v>
      </c>
      <c r="D1253" t="inlineStr">
        <is>
          <t>STOCKHOLMS LÄN</t>
        </is>
      </c>
      <c r="E1253" t="inlineStr">
        <is>
          <t>NORRTÄLJE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27651-2023</t>
        </is>
      </c>
      <c r="B1254" s="1" t="n">
        <v>45097</v>
      </c>
      <c r="C1254" s="1" t="n">
        <v>45827</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28281-2023</t>
        </is>
      </c>
      <c r="B1255" s="1" t="n">
        <v>45099</v>
      </c>
      <c r="C1255" s="1" t="n">
        <v>45827</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28820-2023</t>
        </is>
      </c>
      <c r="B1256" s="1" t="n">
        <v>45104</v>
      </c>
      <c r="C1256" s="1" t="n">
        <v>45827</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28813-2023</t>
        </is>
      </c>
      <c r="B1257" s="1" t="n">
        <v>45104</v>
      </c>
      <c r="C1257" s="1" t="n">
        <v>45827</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29003-2023</t>
        </is>
      </c>
      <c r="B1258" s="1" t="n">
        <v>45104</v>
      </c>
      <c r="C1258" s="1" t="n">
        <v>45827</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28816-2023</t>
        </is>
      </c>
      <c r="B1259" s="1" t="n">
        <v>45104</v>
      </c>
      <c r="C1259" s="1" t="n">
        <v>45827</v>
      </c>
      <c r="D1259" t="inlineStr">
        <is>
          <t>STOCKHOLMS LÄN</t>
        </is>
      </c>
      <c r="E1259" t="inlineStr">
        <is>
          <t>NORRTÄLJE</t>
        </is>
      </c>
      <c r="F1259" t="inlineStr">
        <is>
          <t>Kommuner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28809-2023</t>
        </is>
      </c>
      <c r="B1260" s="1" t="n">
        <v>45104</v>
      </c>
      <c r="C1260" s="1" t="n">
        <v>45827</v>
      </c>
      <c r="D1260" t="inlineStr">
        <is>
          <t>STOCKHOLMS LÄN</t>
        </is>
      </c>
      <c r="E1260" t="inlineStr">
        <is>
          <t>NORRTÄLJE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29254-2023</t>
        </is>
      </c>
      <c r="B1261" s="1" t="n">
        <v>45105</v>
      </c>
      <c r="C1261" s="1" t="n">
        <v>45827</v>
      </c>
      <c r="D1261" t="inlineStr">
        <is>
          <t>STOCKHOLMS LÄN</t>
        </is>
      </c>
      <c r="E1261" t="inlineStr">
        <is>
          <t>NORRTÄLJE</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29433-2023</t>
        </is>
      </c>
      <c r="B1262" s="1" t="n">
        <v>45106</v>
      </c>
      <c r="C1262" s="1" t="n">
        <v>45827</v>
      </c>
      <c r="D1262" t="inlineStr">
        <is>
          <t>STOCKHOLMS LÄN</t>
        </is>
      </c>
      <c r="E1262" t="inlineStr">
        <is>
          <t>NORRTÄLJE</t>
        </is>
      </c>
      <c r="F1262" t="inlineStr">
        <is>
          <t>Övriga Aktiebolag</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29681-2023</t>
        </is>
      </c>
      <c r="B1263" s="1" t="n">
        <v>45107</v>
      </c>
      <c r="C1263" s="1" t="n">
        <v>45827</v>
      </c>
      <c r="D1263" t="inlineStr">
        <is>
          <t>STOCKHOLMS LÄN</t>
        </is>
      </c>
      <c r="E1263" t="inlineStr">
        <is>
          <t>NORRTÄLJE</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29710-2023</t>
        </is>
      </c>
      <c r="B1264" s="1" t="n">
        <v>45107</v>
      </c>
      <c r="C1264" s="1" t="n">
        <v>45827</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29714-2023</t>
        </is>
      </c>
      <c r="B1265" s="1" t="n">
        <v>45107</v>
      </c>
      <c r="C1265" s="1" t="n">
        <v>45827</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30116-2023</t>
        </is>
      </c>
      <c r="B1266" s="1" t="n">
        <v>45110</v>
      </c>
      <c r="C1266" s="1" t="n">
        <v>45827</v>
      </c>
      <c r="D1266" t="inlineStr">
        <is>
          <t>STOCKHOLMS LÄN</t>
        </is>
      </c>
      <c r="E1266" t="inlineStr">
        <is>
          <t>NORRTÄLJE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30281-2023</t>
        </is>
      </c>
      <c r="B1267" s="1" t="n">
        <v>45110</v>
      </c>
      <c r="C1267" s="1" t="n">
        <v>45827</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30508-2023</t>
        </is>
      </c>
      <c r="B1268" s="1" t="n">
        <v>45111</v>
      </c>
      <c r="C1268" s="1" t="n">
        <v>45827</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30496-2023</t>
        </is>
      </c>
      <c r="B1269" s="1" t="n">
        <v>45111</v>
      </c>
      <c r="C1269" s="1" t="n">
        <v>45827</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30516-2023</t>
        </is>
      </c>
      <c r="B1270" s="1" t="n">
        <v>45111</v>
      </c>
      <c r="C1270" s="1" t="n">
        <v>45827</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30525-2023</t>
        </is>
      </c>
      <c r="B1271" s="1" t="n">
        <v>45111</v>
      </c>
      <c r="C1271" s="1" t="n">
        <v>45827</v>
      </c>
      <c r="D1271" t="inlineStr">
        <is>
          <t>STOCKHOLMS LÄN</t>
        </is>
      </c>
      <c r="E1271" t="inlineStr">
        <is>
          <t>NORRTÄLJE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30424-2023</t>
        </is>
      </c>
      <c r="B1272" s="1" t="n">
        <v>45111</v>
      </c>
      <c r="C1272" s="1" t="n">
        <v>45827</v>
      </c>
      <c r="D1272" t="inlineStr">
        <is>
          <t>STOCKHOLMS LÄN</t>
        </is>
      </c>
      <c r="E1272" t="inlineStr">
        <is>
          <t>NORRTÄLJE</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30425-2023</t>
        </is>
      </c>
      <c r="B1273" s="1" t="n">
        <v>45111</v>
      </c>
      <c r="C1273" s="1" t="n">
        <v>45827</v>
      </c>
      <c r="D1273" t="inlineStr">
        <is>
          <t>STOCKHOLMS LÄN</t>
        </is>
      </c>
      <c r="E1273" t="inlineStr">
        <is>
          <t>NORRTÄLJE</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30731-2023</t>
        </is>
      </c>
      <c r="B1274" s="1" t="n">
        <v>45112</v>
      </c>
      <c r="C1274" s="1" t="n">
        <v>45827</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30663-2023</t>
        </is>
      </c>
      <c r="B1275" s="1" t="n">
        <v>45112</v>
      </c>
      <c r="C1275" s="1" t="n">
        <v>45827</v>
      </c>
      <c r="D1275" t="inlineStr">
        <is>
          <t>STOCKHOLMS LÄN</t>
        </is>
      </c>
      <c r="E1275" t="inlineStr">
        <is>
          <t>NORRTÄLJE</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30780-2023</t>
        </is>
      </c>
      <c r="B1276" s="1" t="n">
        <v>45112</v>
      </c>
      <c r="C1276" s="1" t="n">
        <v>45827</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30773-2023</t>
        </is>
      </c>
      <c r="B1277" s="1" t="n">
        <v>45112</v>
      </c>
      <c r="C1277" s="1" t="n">
        <v>45827</v>
      </c>
      <c r="D1277" t="inlineStr">
        <is>
          <t>STOCKHOLMS LÄN</t>
        </is>
      </c>
      <c r="E1277" t="inlineStr">
        <is>
          <t>NORRTÄLJE</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30924-2023</t>
        </is>
      </c>
      <c r="B1278" s="1" t="n">
        <v>45113</v>
      </c>
      <c r="C1278" s="1" t="n">
        <v>45827</v>
      </c>
      <c r="D1278" t="inlineStr">
        <is>
          <t>STOCKHOLMS LÄN</t>
        </is>
      </c>
      <c r="E1278" t="inlineStr">
        <is>
          <t>NORRTÄLJE</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30923-2023</t>
        </is>
      </c>
      <c r="B1279" s="1" t="n">
        <v>45113</v>
      </c>
      <c r="C1279" s="1" t="n">
        <v>45827</v>
      </c>
      <c r="D1279" t="inlineStr">
        <is>
          <t>STOCKHOLMS LÄN</t>
        </is>
      </c>
      <c r="E1279" t="inlineStr">
        <is>
          <t>NORRTÄLJE</t>
        </is>
      </c>
      <c r="F1279" t="inlineStr">
        <is>
          <t>Sveaskog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31140-2023</t>
        </is>
      </c>
      <c r="B1280" s="1" t="n">
        <v>45113</v>
      </c>
      <c r="C1280" s="1" t="n">
        <v>45827</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30921-2023</t>
        </is>
      </c>
      <c r="B1281" s="1" t="n">
        <v>45113</v>
      </c>
      <c r="C1281" s="1" t="n">
        <v>45827</v>
      </c>
      <c r="D1281" t="inlineStr">
        <is>
          <t>STOCKHOLMS LÄN</t>
        </is>
      </c>
      <c r="E1281" t="inlineStr">
        <is>
          <t>NORRTÄLJE</t>
        </is>
      </c>
      <c r="F1281" t="inlineStr">
        <is>
          <t>Sveaskog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31149-2023</t>
        </is>
      </c>
      <c r="B1282" s="1" t="n">
        <v>45113</v>
      </c>
      <c r="C1282" s="1" t="n">
        <v>45827</v>
      </c>
      <c r="D1282" t="inlineStr">
        <is>
          <t>STOCKHOLMS LÄN</t>
        </is>
      </c>
      <c r="E1282" t="inlineStr">
        <is>
          <t>NORRTÄLJE</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31153-2023</t>
        </is>
      </c>
      <c r="B1283" s="1" t="n">
        <v>45113</v>
      </c>
      <c r="C1283" s="1" t="n">
        <v>45827</v>
      </c>
      <c r="D1283" t="inlineStr">
        <is>
          <t>STOCKHOLMS LÄN</t>
        </is>
      </c>
      <c r="E1283" t="inlineStr">
        <is>
          <t>NORRTÄLJE</t>
        </is>
      </c>
      <c r="G1283" t="n">
        <v>17.5</v>
      </c>
      <c r="H1283" t="n">
        <v>0</v>
      </c>
      <c r="I1283" t="n">
        <v>0</v>
      </c>
      <c r="J1283" t="n">
        <v>0</v>
      </c>
      <c r="K1283" t="n">
        <v>0</v>
      </c>
      <c r="L1283" t="n">
        <v>0</v>
      </c>
      <c r="M1283" t="n">
        <v>0</v>
      </c>
      <c r="N1283" t="n">
        <v>0</v>
      </c>
      <c r="O1283" t="n">
        <v>0</v>
      </c>
      <c r="P1283" t="n">
        <v>0</v>
      </c>
      <c r="Q1283" t="n">
        <v>0</v>
      </c>
      <c r="R1283" s="2" t="inlineStr"/>
    </row>
    <row r="1284" ht="15" customHeight="1">
      <c r="A1284" t="inlineStr">
        <is>
          <t>A 31827-2023</t>
        </is>
      </c>
      <c r="B1284" s="1" t="n">
        <v>45118</v>
      </c>
      <c r="C1284" s="1" t="n">
        <v>45827</v>
      </c>
      <c r="D1284" t="inlineStr">
        <is>
          <t>STOCKHOLMS LÄN</t>
        </is>
      </c>
      <c r="E1284" t="inlineStr">
        <is>
          <t>NORRTÄLJE</t>
        </is>
      </c>
      <c r="F1284" t="inlineStr">
        <is>
          <t>Kyrkan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31832-2023</t>
        </is>
      </c>
      <c r="B1285" s="1" t="n">
        <v>45118</v>
      </c>
      <c r="C1285" s="1" t="n">
        <v>45827</v>
      </c>
      <c r="D1285" t="inlineStr">
        <is>
          <t>STOCKHOLMS LÄN</t>
        </is>
      </c>
      <c r="E1285" t="inlineStr">
        <is>
          <t>NORRTÄLJE</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32071-2023</t>
        </is>
      </c>
      <c r="B1286" s="1" t="n">
        <v>45119</v>
      </c>
      <c r="C1286" s="1" t="n">
        <v>45827</v>
      </c>
      <c r="D1286" t="inlineStr">
        <is>
          <t>STOCKHOLMS LÄN</t>
        </is>
      </c>
      <c r="E1286" t="inlineStr">
        <is>
          <t>NORRTÄLJE</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32621-2023</t>
        </is>
      </c>
      <c r="B1287" s="1" t="n">
        <v>45121</v>
      </c>
      <c r="C1287" s="1" t="n">
        <v>45827</v>
      </c>
      <c r="D1287" t="inlineStr">
        <is>
          <t>STOCKHOLMS LÄN</t>
        </is>
      </c>
      <c r="E1287" t="inlineStr">
        <is>
          <t>NORRTÄLJE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32595-2023</t>
        </is>
      </c>
      <c r="B1288" s="1" t="n">
        <v>45121</v>
      </c>
      <c r="C1288" s="1" t="n">
        <v>45827</v>
      </c>
      <c r="D1288" t="inlineStr">
        <is>
          <t>STOCKHOLMS LÄN</t>
        </is>
      </c>
      <c r="E1288" t="inlineStr">
        <is>
          <t>NORRTÄLJE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32948-2023</t>
        </is>
      </c>
      <c r="B1289" s="1" t="n">
        <v>45125</v>
      </c>
      <c r="C1289" s="1" t="n">
        <v>45827</v>
      </c>
      <c r="D1289" t="inlineStr">
        <is>
          <t>STOCKHOLMS LÄN</t>
        </is>
      </c>
      <c r="E1289" t="inlineStr">
        <is>
          <t>NORRTÄLJE</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33025-2023</t>
        </is>
      </c>
      <c r="B1290" s="1" t="n">
        <v>45125</v>
      </c>
      <c r="C1290" s="1" t="n">
        <v>45827</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33130-2023</t>
        </is>
      </c>
      <c r="B1291" s="1" t="n">
        <v>45126</v>
      </c>
      <c r="C1291" s="1" t="n">
        <v>45827</v>
      </c>
      <c r="D1291" t="inlineStr">
        <is>
          <t>STOCKHOLMS LÄN</t>
        </is>
      </c>
      <c r="E1291" t="inlineStr">
        <is>
          <t>NORRTÄLJE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33295-2023</t>
        </is>
      </c>
      <c r="B1292" s="1" t="n">
        <v>45127</v>
      </c>
      <c r="C1292" s="1" t="n">
        <v>45827</v>
      </c>
      <c r="D1292" t="inlineStr">
        <is>
          <t>STOCKHOLMS LÄN</t>
        </is>
      </c>
      <c r="E1292" t="inlineStr">
        <is>
          <t>NORRTÄLJE</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33270-2023</t>
        </is>
      </c>
      <c r="B1293" s="1" t="n">
        <v>45127</v>
      </c>
      <c r="C1293" s="1" t="n">
        <v>45827</v>
      </c>
      <c r="D1293" t="inlineStr">
        <is>
          <t>STOCKHOLMS LÄN</t>
        </is>
      </c>
      <c r="E1293" t="inlineStr">
        <is>
          <t>NORRTÄLJE</t>
        </is>
      </c>
      <c r="F1293" t="inlineStr">
        <is>
          <t>Holmen skog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33226-2023</t>
        </is>
      </c>
      <c r="B1294" s="1" t="n">
        <v>45127</v>
      </c>
      <c r="C1294" s="1" t="n">
        <v>45827</v>
      </c>
      <c r="D1294" t="inlineStr">
        <is>
          <t>STOCKHOLMS LÄN</t>
        </is>
      </c>
      <c r="E1294" t="inlineStr">
        <is>
          <t>NORRTÄLJE</t>
        </is>
      </c>
      <c r="F1294" t="inlineStr">
        <is>
          <t>Holmen skog AB</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33243-2023</t>
        </is>
      </c>
      <c r="B1295" s="1" t="n">
        <v>45127</v>
      </c>
      <c r="C1295" s="1" t="n">
        <v>45827</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33291-2023</t>
        </is>
      </c>
      <c r="B1296" s="1" t="n">
        <v>45127</v>
      </c>
      <c r="C1296" s="1" t="n">
        <v>45827</v>
      </c>
      <c r="D1296" t="inlineStr">
        <is>
          <t>STOCKHOLMS LÄN</t>
        </is>
      </c>
      <c r="E1296" t="inlineStr">
        <is>
          <t>NORRTÄLJE</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33353-2023</t>
        </is>
      </c>
      <c r="B1297" s="1" t="n">
        <v>45128</v>
      </c>
      <c r="C1297" s="1" t="n">
        <v>45827</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33569-2023</t>
        </is>
      </c>
      <c r="B1298" s="1" t="n">
        <v>45131</v>
      </c>
      <c r="C1298" s="1" t="n">
        <v>45827</v>
      </c>
      <c r="D1298" t="inlineStr">
        <is>
          <t>STOCKHOLMS LÄN</t>
        </is>
      </c>
      <c r="E1298" t="inlineStr">
        <is>
          <t>NORRTÄLJE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33646-2023</t>
        </is>
      </c>
      <c r="B1299" s="1" t="n">
        <v>45132</v>
      </c>
      <c r="C1299" s="1" t="n">
        <v>45827</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33641-2023</t>
        </is>
      </c>
      <c r="B1300" s="1" t="n">
        <v>45132</v>
      </c>
      <c r="C1300" s="1" t="n">
        <v>45827</v>
      </c>
      <c r="D1300" t="inlineStr">
        <is>
          <t>STOCKHOLMS LÄN</t>
        </is>
      </c>
      <c r="E1300" t="inlineStr">
        <is>
          <t>NORRTÄLJE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34085-2023</t>
        </is>
      </c>
      <c r="B1301" s="1" t="n">
        <v>45135</v>
      </c>
      <c r="C1301" s="1" t="n">
        <v>45827</v>
      </c>
      <c r="D1301" t="inlineStr">
        <is>
          <t>STOCKHOLMS LÄN</t>
        </is>
      </c>
      <c r="E1301" t="inlineStr">
        <is>
          <t>NORRTÄLJE</t>
        </is>
      </c>
      <c r="G1301" t="n">
        <v>10.6</v>
      </c>
      <c r="H1301" t="n">
        <v>0</v>
      </c>
      <c r="I1301" t="n">
        <v>0</v>
      </c>
      <c r="J1301" t="n">
        <v>0</v>
      </c>
      <c r="K1301" t="n">
        <v>0</v>
      </c>
      <c r="L1301" t="n">
        <v>0</v>
      </c>
      <c r="M1301" t="n">
        <v>0</v>
      </c>
      <c r="N1301" t="n">
        <v>0</v>
      </c>
      <c r="O1301" t="n">
        <v>0</v>
      </c>
      <c r="P1301" t="n">
        <v>0</v>
      </c>
      <c r="Q1301" t="n">
        <v>0</v>
      </c>
      <c r="R1301" s="2" t="inlineStr"/>
    </row>
    <row r="1302" ht="15" customHeight="1">
      <c r="A1302" t="inlineStr">
        <is>
          <t>A 34084-2023</t>
        </is>
      </c>
      <c r="B1302" s="1" t="n">
        <v>45135</v>
      </c>
      <c r="C1302" s="1" t="n">
        <v>45827</v>
      </c>
      <c r="D1302" t="inlineStr">
        <is>
          <t>STOCKHOLMS LÄN</t>
        </is>
      </c>
      <c r="E1302" t="inlineStr">
        <is>
          <t>NORRTÄLJE</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34132-2023</t>
        </is>
      </c>
      <c r="B1303" s="1" t="n">
        <v>45135</v>
      </c>
      <c r="C1303" s="1" t="n">
        <v>45827</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34391-2023</t>
        </is>
      </c>
      <c r="B1304" s="1" t="n">
        <v>45139</v>
      </c>
      <c r="C1304" s="1" t="n">
        <v>45827</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34461-2023</t>
        </is>
      </c>
      <c r="B1305" s="1" t="n">
        <v>45139</v>
      </c>
      <c r="C1305" s="1" t="n">
        <v>45827</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34462-2023</t>
        </is>
      </c>
      <c r="B1306" s="1" t="n">
        <v>45139</v>
      </c>
      <c r="C1306" s="1" t="n">
        <v>45827</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34825-2023</t>
        </is>
      </c>
      <c r="B1307" s="1" t="n">
        <v>45141</v>
      </c>
      <c r="C1307" s="1" t="n">
        <v>45827</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35215-2023</t>
        </is>
      </c>
      <c r="B1308" s="1" t="n">
        <v>45145</v>
      </c>
      <c r="C1308" s="1" t="n">
        <v>45827</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35219-2023</t>
        </is>
      </c>
      <c r="B1309" s="1" t="n">
        <v>45145</v>
      </c>
      <c r="C1309" s="1" t="n">
        <v>45827</v>
      </c>
      <c r="D1309" t="inlineStr">
        <is>
          <t>STOCKHOLMS LÄN</t>
        </is>
      </c>
      <c r="E1309" t="inlineStr">
        <is>
          <t>NORRTÄLJE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35127-2023</t>
        </is>
      </c>
      <c r="B1310" s="1" t="n">
        <v>45145</v>
      </c>
      <c r="C1310" s="1" t="n">
        <v>45827</v>
      </c>
      <c r="D1310" t="inlineStr">
        <is>
          <t>STOCKHOLMS LÄN</t>
        </is>
      </c>
      <c r="E1310" t="inlineStr">
        <is>
          <t>NORRTÄLJE</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35131-2023</t>
        </is>
      </c>
      <c r="B1311" s="1" t="n">
        <v>45145</v>
      </c>
      <c r="C1311" s="1" t="n">
        <v>45827</v>
      </c>
      <c r="D1311" t="inlineStr">
        <is>
          <t>STOCKHOLMS LÄN</t>
        </is>
      </c>
      <c r="E1311" t="inlineStr">
        <is>
          <t>NORRTÄLJE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35128-2023</t>
        </is>
      </c>
      <c r="B1312" s="1" t="n">
        <v>45145</v>
      </c>
      <c r="C1312" s="1" t="n">
        <v>45827</v>
      </c>
      <c r="D1312" t="inlineStr">
        <is>
          <t>STOCKHOLMS LÄN</t>
        </is>
      </c>
      <c r="E1312" t="inlineStr">
        <is>
          <t>NORRTÄLJE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35210-2023</t>
        </is>
      </c>
      <c r="B1313" s="1" t="n">
        <v>45145</v>
      </c>
      <c r="C1313" s="1" t="n">
        <v>45827</v>
      </c>
      <c r="D1313" t="inlineStr">
        <is>
          <t>STOCKHOLMS LÄN</t>
        </is>
      </c>
      <c r="E1313" t="inlineStr">
        <is>
          <t>NORRTÄLJE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35438-2023</t>
        </is>
      </c>
      <c r="B1314" s="1" t="n">
        <v>45146</v>
      </c>
      <c r="C1314" s="1" t="n">
        <v>45827</v>
      </c>
      <c r="D1314" t="inlineStr">
        <is>
          <t>STOCKHOLMS LÄN</t>
        </is>
      </c>
      <c r="E1314" t="inlineStr">
        <is>
          <t>NORRTÄLJE</t>
        </is>
      </c>
      <c r="F1314" t="inlineStr">
        <is>
          <t>Kommuner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35698-2023</t>
        </is>
      </c>
      <c r="B1315" s="1" t="n">
        <v>45147</v>
      </c>
      <c r="C1315" s="1" t="n">
        <v>45827</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35702-2023</t>
        </is>
      </c>
      <c r="B1316" s="1" t="n">
        <v>45147</v>
      </c>
      <c r="C1316" s="1" t="n">
        <v>45827</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35691-2023</t>
        </is>
      </c>
      <c r="B1317" s="1" t="n">
        <v>45147</v>
      </c>
      <c r="C1317" s="1" t="n">
        <v>45827</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35695-2023</t>
        </is>
      </c>
      <c r="B1318" s="1" t="n">
        <v>45147</v>
      </c>
      <c r="C1318" s="1" t="n">
        <v>45827</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35696-2023</t>
        </is>
      </c>
      <c r="B1319" s="1" t="n">
        <v>45147</v>
      </c>
      <c r="C1319" s="1" t="n">
        <v>45827</v>
      </c>
      <c r="D1319" t="inlineStr">
        <is>
          <t>STOCKHOLMS LÄN</t>
        </is>
      </c>
      <c r="E1319" t="inlineStr">
        <is>
          <t>NORRTÄLJE</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35700-2023</t>
        </is>
      </c>
      <c r="B1320" s="1" t="n">
        <v>45147</v>
      </c>
      <c r="C1320" s="1" t="n">
        <v>45827</v>
      </c>
      <c r="D1320" t="inlineStr">
        <is>
          <t>STOCKHOLMS LÄN</t>
        </is>
      </c>
      <c r="E1320" t="inlineStr">
        <is>
          <t>NORRTÄLJE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35704-2023</t>
        </is>
      </c>
      <c r="B1321" s="1" t="n">
        <v>45147</v>
      </c>
      <c r="C1321" s="1" t="n">
        <v>45827</v>
      </c>
      <c r="D1321" t="inlineStr">
        <is>
          <t>STOCKHOLMS LÄN</t>
        </is>
      </c>
      <c r="E1321" t="inlineStr">
        <is>
          <t>NORRTÄLJE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35693-2023</t>
        </is>
      </c>
      <c r="B1322" s="1" t="n">
        <v>45147</v>
      </c>
      <c r="C1322" s="1" t="n">
        <v>45827</v>
      </c>
      <c r="D1322" t="inlineStr">
        <is>
          <t>STOCKHOLMS LÄN</t>
        </is>
      </c>
      <c r="E1322" t="inlineStr">
        <is>
          <t>NORRTÄLJE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35701-2023</t>
        </is>
      </c>
      <c r="B1323" s="1" t="n">
        <v>45147</v>
      </c>
      <c r="C1323" s="1" t="n">
        <v>45827</v>
      </c>
      <c r="D1323" t="inlineStr">
        <is>
          <t>STOCKHOLMS LÄN</t>
        </is>
      </c>
      <c r="E1323" t="inlineStr">
        <is>
          <t>NORRTÄLJE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35823-2023</t>
        </is>
      </c>
      <c r="B1324" s="1" t="n">
        <v>45148</v>
      </c>
      <c r="C1324" s="1" t="n">
        <v>45827</v>
      </c>
      <c r="D1324" t="inlineStr">
        <is>
          <t>STOCKHOLMS LÄN</t>
        </is>
      </c>
      <c r="E1324" t="inlineStr">
        <is>
          <t>NORRTÄLJE</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36253-2023</t>
        </is>
      </c>
      <c r="B1325" s="1" t="n">
        <v>45151</v>
      </c>
      <c r="C1325" s="1" t="n">
        <v>45827</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36257-2023</t>
        </is>
      </c>
      <c r="B1326" s="1" t="n">
        <v>45151</v>
      </c>
      <c r="C1326" s="1" t="n">
        <v>45827</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36259-2023</t>
        </is>
      </c>
      <c r="B1327" s="1" t="n">
        <v>45151</v>
      </c>
      <c r="C1327" s="1" t="n">
        <v>45827</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36254-2023</t>
        </is>
      </c>
      <c r="B1328" s="1" t="n">
        <v>45151</v>
      </c>
      <c r="C1328" s="1" t="n">
        <v>45827</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36258-2023</t>
        </is>
      </c>
      <c r="B1329" s="1" t="n">
        <v>45151</v>
      </c>
      <c r="C1329" s="1" t="n">
        <v>45827</v>
      </c>
      <c r="D1329" t="inlineStr">
        <is>
          <t>STOCKHOLMS LÄN</t>
        </is>
      </c>
      <c r="E1329" t="inlineStr">
        <is>
          <t>NORRTÄLJE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36689-2023</t>
        </is>
      </c>
      <c r="B1330" s="1" t="n">
        <v>45152</v>
      </c>
      <c r="C1330" s="1" t="n">
        <v>45827</v>
      </c>
      <c r="D1330" t="inlineStr">
        <is>
          <t>STOCKHOLMS LÄN</t>
        </is>
      </c>
      <c r="E1330" t="inlineStr">
        <is>
          <t>NORRTÄLJE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36865-2023</t>
        </is>
      </c>
      <c r="B1331" s="1" t="n">
        <v>45154</v>
      </c>
      <c r="C1331" s="1" t="n">
        <v>45827</v>
      </c>
      <c r="D1331" t="inlineStr">
        <is>
          <t>STOCKHOLMS LÄN</t>
        </is>
      </c>
      <c r="E1331" t="inlineStr">
        <is>
          <t>NORRTÄLJE</t>
        </is>
      </c>
      <c r="F1331" t="inlineStr">
        <is>
          <t>Kyrkan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37139-2023</t>
        </is>
      </c>
      <c r="B1332" s="1" t="n">
        <v>45155</v>
      </c>
      <c r="C1332" s="1" t="n">
        <v>45827</v>
      </c>
      <c r="D1332" t="inlineStr">
        <is>
          <t>STOCKHOLMS LÄN</t>
        </is>
      </c>
      <c r="E1332" t="inlineStr">
        <is>
          <t>NORRTÄLJE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37136-2023</t>
        </is>
      </c>
      <c r="B1333" s="1" t="n">
        <v>45155</v>
      </c>
      <c r="C1333" s="1" t="n">
        <v>45827</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37147-2023</t>
        </is>
      </c>
      <c r="B1334" s="1" t="n">
        <v>45155</v>
      </c>
      <c r="C1334" s="1" t="n">
        <v>45827</v>
      </c>
      <c r="D1334" t="inlineStr">
        <is>
          <t>STOCKHOLMS LÄN</t>
        </is>
      </c>
      <c r="E1334" t="inlineStr">
        <is>
          <t>NORRTÄLJE</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37670-2023</t>
        </is>
      </c>
      <c r="B1335" s="1" t="n">
        <v>45159</v>
      </c>
      <c r="C1335" s="1" t="n">
        <v>45827</v>
      </c>
      <c r="D1335" t="inlineStr">
        <is>
          <t>STOCKHOLMS LÄN</t>
        </is>
      </c>
      <c r="E1335" t="inlineStr">
        <is>
          <t>NORRTÄLJE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38049-2023</t>
        </is>
      </c>
      <c r="B1336" s="1" t="n">
        <v>45159</v>
      </c>
      <c r="C1336" s="1" t="n">
        <v>45827</v>
      </c>
      <c r="D1336" t="inlineStr">
        <is>
          <t>STOCKHOLMS LÄN</t>
        </is>
      </c>
      <c r="E1336" t="inlineStr">
        <is>
          <t>NORRTÄLJE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38022-2023</t>
        </is>
      </c>
      <c r="B1337" s="1" t="n">
        <v>45160</v>
      </c>
      <c r="C1337" s="1" t="n">
        <v>45827</v>
      </c>
      <c r="D1337" t="inlineStr">
        <is>
          <t>STOCKHOLMS LÄN</t>
        </is>
      </c>
      <c r="E1337" t="inlineStr">
        <is>
          <t>NORRTÄLJE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38482-2023</t>
        </is>
      </c>
      <c r="B1338" s="1" t="n">
        <v>45162</v>
      </c>
      <c r="C1338" s="1" t="n">
        <v>45827</v>
      </c>
      <c r="D1338" t="inlineStr">
        <is>
          <t>STOCKHOLMS LÄN</t>
        </is>
      </c>
      <c r="E1338" t="inlineStr">
        <is>
          <t>NORRTÄLJE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38487-2023</t>
        </is>
      </c>
      <c r="B1339" s="1" t="n">
        <v>45162</v>
      </c>
      <c r="C1339" s="1" t="n">
        <v>45827</v>
      </c>
      <c r="D1339" t="inlineStr">
        <is>
          <t>STOCKHOLMS LÄN</t>
        </is>
      </c>
      <c r="E1339" t="inlineStr">
        <is>
          <t>NORRTÄLJE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38591-2023</t>
        </is>
      </c>
      <c r="B1340" s="1" t="n">
        <v>45162</v>
      </c>
      <c r="C1340" s="1" t="n">
        <v>45827</v>
      </c>
      <c r="D1340" t="inlineStr">
        <is>
          <t>STOCKHOLMS LÄN</t>
        </is>
      </c>
      <c r="E1340" t="inlineStr">
        <is>
          <t>NORRTÄLJE</t>
        </is>
      </c>
      <c r="F1340" t="inlineStr">
        <is>
          <t>Övriga Aktiebolag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39229-2023</t>
        </is>
      </c>
      <c r="B1341" s="1" t="n">
        <v>45166</v>
      </c>
      <c r="C1341" s="1" t="n">
        <v>45827</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39255-2023</t>
        </is>
      </c>
      <c r="B1342" s="1" t="n">
        <v>45166</v>
      </c>
      <c r="C1342" s="1" t="n">
        <v>45827</v>
      </c>
      <c r="D1342" t="inlineStr">
        <is>
          <t>STOCKHOLMS LÄN</t>
        </is>
      </c>
      <c r="E1342" t="inlineStr">
        <is>
          <t>NORRTÄLJE</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39879-2023</t>
        </is>
      </c>
      <c r="B1343" s="1" t="n">
        <v>45168</v>
      </c>
      <c r="C1343" s="1" t="n">
        <v>45827</v>
      </c>
      <c r="D1343" t="inlineStr">
        <is>
          <t>STOCKHOLMS LÄN</t>
        </is>
      </c>
      <c r="E1343" t="inlineStr">
        <is>
          <t>NORRTÄLJE</t>
        </is>
      </c>
      <c r="F1343" t="inlineStr">
        <is>
          <t>Holmen skog AB</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39905-2023</t>
        </is>
      </c>
      <c r="B1344" s="1" t="n">
        <v>45168</v>
      </c>
      <c r="C1344" s="1" t="n">
        <v>45827</v>
      </c>
      <c r="D1344" t="inlineStr">
        <is>
          <t>STOCKHOLMS LÄN</t>
        </is>
      </c>
      <c r="E1344" t="inlineStr">
        <is>
          <t>NORRTÄLJE</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40139-2023</t>
        </is>
      </c>
      <c r="B1345" s="1" t="n">
        <v>45169</v>
      </c>
      <c r="C1345" s="1" t="n">
        <v>45827</v>
      </c>
      <c r="D1345" t="inlineStr">
        <is>
          <t>STOCKHOLMS LÄN</t>
        </is>
      </c>
      <c r="E1345" t="inlineStr">
        <is>
          <t>NORRTÄLJE</t>
        </is>
      </c>
      <c r="F1345" t="inlineStr">
        <is>
          <t>Kyrkan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40192-2023</t>
        </is>
      </c>
      <c r="B1346" s="1" t="n">
        <v>45169</v>
      </c>
      <c r="C1346" s="1" t="n">
        <v>45827</v>
      </c>
      <c r="D1346" t="inlineStr">
        <is>
          <t>STOCKHOLMS LÄN</t>
        </is>
      </c>
      <c r="E1346" t="inlineStr">
        <is>
          <t>NORRTÄLJE</t>
        </is>
      </c>
      <c r="F1346" t="inlineStr">
        <is>
          <t>Kyrkan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40161-2023</t>
        </is>
      </c>
      <c r="B1347" s="1" t="n">
        <v>45169</v>
      </c>
      <c r="C1347" s="1" t="n">
        <v>45827</v>
      </c>
      <c r="D1347" t="inlineStr">
        <is>
          <t>STOCKHOLMS LÄN</t>
        </is>
      </c>
      <c r="E1347" t="inlineStr">
        <is>
          <t>NORRTÄLJE</t>
        </is>
      </c>
      <c r="F1347" t="inlineStr">
        <is>
          <t>Kyrkan</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40190-2023</t>
        </is>
      </c>
      <c r="B1348" s="1" t="n">
        <v>45169</v>
      </c>
      <c r="C1348" s="1" t="n">
        <v>45827</v>
      </c>
      <c r="D1348" t="inlineStr">
        <is>
          <t>STOCKHOLMS LÄN</t>
        </is>
      </c>
      <c r="E1348" t="inlineStr">
        <is>
          <t>NORRTÄLJE</t>
        </is>
      </c>
      <c r="F1348" t="inlineStr">
        <is>
          <t>Kyrkan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40379-2023</t>
        </is>
      </c>
      <c r="B1349" s="1" t="n">
        <v>45169</v>
      </c>
      <c r="C1349" s="1" t="n">
        <v>45827</v>
      </c>
      <c r="D1349" t="inlineStr">
        <is>
          <t>STOCKHOLMS LÄN</t>
        </is>
      </c>
      <c r="E1349" t="inlineStr">
        <is>
          <t>NORRTÄLJE</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41172-2023</t>
        </is>
      </c>
      <c r="B1350" s="1" t="n">
        <v>45170</v>
      </c>
      <c r="C1350" s="1" t="n">
        <v>45827</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40995-2023</t>
        </is>
      </c>
      <c r="B1351" s="1" t="n">
        <v>45173</v>
      </c>
      <c r="C1351" s="1" t="n">
        <v>45827</v>
      </c>
      <c r="D1351" t="inlineStr">
        <is>
          <t>STOCKHOLMS LÄN</t>
        </is>
      </c>
      <c r="E1351" t="inlineStr">
        <is>
          <t>NORRTÄLJE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41335-2023</t>
        </is>
      </c>
      <c r="B1352" s="1" t="n">
        <v>45174</v>
      </c>
      <c r="C1352" s="1" t="n">
        <v>45827</v>
      </c>
      <c r="D1352" t="inlineStr">
        <is>
          <t>STOCKHOLMS LÄN</t>
        </is>
      </c>
      <c r="E1352" t="inlineStr">
        <is>
          <t>NORRTÄLJE</t>
        </is>
      </c>
      <c r="F1352" t="inlineStr">
        <is>
          <t>Holmen skog AB</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41587-2023</t>
        </is>
      </c>
      <c r="B1353" s="1" t="n">
        <v>45175</v>
      </c>
      <c r="C1353" s="1" t="n">
        <v>45827</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41716-2023</t>
        </is>
      </c>
      <c r="B1354" s="1" t="n">
        <v>45176</v>
      </c>
      <c r="C1354" s="1" t="n">
        <v>45827</v>
      </c>
      <c r="D1354" t="inlineStr">
        <is>
          <t>STOCKHOLMS LÄN</t>
        </is>
      </c>
      <c r="E1354" t="inlineStr">
        <is>
          <t>NORRTÄLJE</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41715-2023</t>
        </is>
      </c>
      <c r="B1355" s="1" t="n">
        <v>45176</v>
      </c>
      <c r="C1355" s="1" t="n">
        <v>45827</v>
      </c>
      <c r="D1355" t="inlineStr">
        <is>
          <t>STOCKHOLMS LÄN</t>
        </is>
      </c>
      <c r="E1355" t="inlineStr">
        <is>
          <t>NORRTÄLJE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41880-2023</t>
        </is>
      </c>
      <c r="B1356" s="1" t="n">
        <v>45176</v>
      </c>
      <c r="C1356" s="1" t="n">
        <v>45827</v>
      </c>
      <c r="D1356" t="inlineStr">
        <is>
          <t>STOCKHOLMS LÄN</t>
        </is>
      </c>
      <c r="E1356" t="inlineStr">
        <is>
          <t>NORRTÄLJE</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42094-2023</t>
        </is>
      </c>
      <c r="B1357" s="1" t="n">
        <v>45177</v>
      </c>
      <c r="C1357" s="1" t="n">
        <v>45827</v>
      </c>
      <c r="D1357" t="inlineStr">
        <is>
          <t>STOCKHOLMS LÄN</t>
        </is>
      </c>
      <c r="E1357" t="inlineStr">
        <is>
          <t>NORRTÄLJE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42075-2023</t>
        </is>
      </c>
      <c r="B1358" s="1" t="n">
        <v>45177</v>
      </c>
      <c r="C1358" s="1" t="n">
        <v>45827</v>
      </c>
      <c r="D1358" t="inlineStr">
        <is>
          <t>STOCKHOLMS LÄN</t>
        </is>
      </c>
      <c r="E1358" t="inlineStr">
        <is>
          <t>NORRTÄLJE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42199-2023</t>
        </is>
      </c>
      <c r="B1359" s="1" t="n">
        <v>45179</v>
      </c>
      <c r="C1359" s="1" t="n">
        <v>45827</v>
      </c>
      <c r="D1359" t="inlineStr">
        <is>
          <t>STOCKHOLMS LÄN</t>
        </is>
      </c>
      <c r="E1359" t="inlineStr">
        <is>
          <t>NORRTÄLJE</t>
        </is>
      </c>
      <c r="F1359" t="inlineStr">
        <is>
          <t>Sveaskog</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42200-2023</t>
        </is>
      </c>
      <c r="B1360" s="1" t="n">
        <v>45179</v>
      </c>
      <c r="C1360" s="1" t="n">
        <v>45827</v>
      </c>
      <c r="D1360" t="inlineStr">
        <is>
          <t>STOCKHOLMS LÄN</t>
        </is>
      </c>
      <c r="E1360" t="inlineStr">
        <is>
          <t>NORRTÄLJE</t>
        </is>
      </c>
      <c r="F1360" t="inlineStr">
        <is>
          <t>Sveaskog</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42765-2023</t>
        </is>
      </c>
      <c r="B1361" s="1" t="n">
        <v>45181</v>
      </c>
      <c r="C1361" s="1" t="n">
        <v>45827</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42775-2023</t>
        </is>
      </c>
      <c r="B1362" s="1" t="n">
        <v>45181</v>
      </c>
      <c r="C1362" s="1" t="n">
        <v>45827</v>
      </c>
      <c r="D1362" t="inlineStr">
        <is>
          <t>STOCKHOLMS LÄN</t>
        </is>
      </c>
      <c r="E1362" t="inlineStr">
        <is>
          <t>NORRTÄLJE</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42948-2023</t>
        </is>
      </c>
      <c r="B1363" s="1" t="n">
        <v>45182</v>
      </c>
      <c r="C1363" s="1" t="n">
        <v>45827</v>
      </c>
      <c r="D1363" t="inlineStr">
        <is>
          <t>STOCKHOLMS LÄN</t>
        </is>
      </c>
      <c r="E1363" t="inlineStr">
        <is>
          <t>NORRTÄLJE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42977-2023</t>
        </is>
      </c>
      <c r="B1364" s="1" t="n">
        <v>45182</v>
      </c>
      <c r="C1364" s="1" t="n">
        <v>45827</v>
      </c>
      <c r="D1364" t="inlineStr">
        <is>
          <t>STOCKHOLMS LÄN</t>
        </is>
      </c>
      <c r="E1364" t="inlineStr">
        <is>
          <t>NORRTÄLJE</t>
        </is>
      </c>
      <c r="F1364" t="inlineStr">
        <is>
          <t>Sveaskog</t>
        </is>
      </c>
      <c r="G1364" t="n">
        <v>11.8</v>
      </c>
      <c r="H1364" t="n">
        <v>0</v>
      </c>
      <c r="I1364" t="n">
        <v>0</v>
      </c>
      <c r="J1364" t="n">
        <v>0</v>
      </c>
      <c r="K1364" t="n">
        <v>0</v>
      </c>
      <c r="L1364" t="n">
        <v>0</v>
      </c>
      <c r="M1364" t="n">
        <v>0</v>
      </c>
      <c r="N1364" t="n">
        <v>0</v>
      </c>
      <c r="O1364" t="n">
        <v>0</v>
      </c>
      <c r="P1364" t="n">
        <v>0</v>
      </c>
      <c r="Q1364" t="n">
        <v>0</v>
      </c>
      <c r="R1364" s="2" t="inlineStr"/>
    </row>
    <row r="1365" ht="15" customHeight="1">
      <c r="A1365" t="inlineStr">
        <is>
          <t>A 43140-2023</t>
        </is>
      </c>
      <c r="B1365" s="1" t="n">
        <v>45183</v>
      </c>
      <c r="C1365" s="1" t="n">
        <v>45827</v>
      </c>
      <c r="D1365" t="inlineStr">
        <is>
          <t>STOCKHOLMS LÄN</t>
        </is>
      </c>
      <c r="E1365" t="inlineStr">
        <is>
          <t>NORRTÄLJE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43207-2023</t>
        </is>
      </c>
      <c r="B1366" s="1" t="n">
        <v>45183</v>
      </c>
      <c r="C1366" s="1" t="n">
        <v>45827</v>
      </c>
      <c r="D1366" t="inlineStr">
        <is>
          <t>STOCKHOLMS LÄN</t>
        </is>
      </c>
      <c r="E1366" t="inlineStr">
        <is>
          <t>NORRTÄLJE</t>
        </is>
      </c>
      <c r="F1366" t="inlineStr">
        <is>
          <t>Kyrkan</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43150-2023</t>
        </is>
      </c>
      <c r="B1367" s="1" t="n">
        <v>45183</v>
      </c>
      <c r="C1367" s="1" t="n">
        <v>45827</v>
      </c>
      <c r="D1367" t="inlineStr">
        <is>
          <t>STOCKHOLMS LÄN</t>
        </is>
      </c>
      <c r="E1367" t="inlineStr">
        <is>
          <t>NORRTÄLJE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43170-2023</t>
        </is>
      </c>
      <c r="B1368" s="1" t="n">
        <v>45183</v>
      </c>
      <c r="C1368" s="1" t="n">
        <v>45827</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43289-2023</t>
        </is>
      </c>
      <c r="B1369" s="1" t="n">
        <v>45183</v>
      </c>
      <c r="C1369" s="1" t="n">
        <v>45827</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43300-2023</t>
        </is>
      </c>
      <c r="B1370" s="1" t="n">
        <v>45183</v>
      </c>
      <c r="C1370" s="1" t="n">
        <v>45827</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43638-2023</t>
        </is>
      </c>
      <c r="B1371" s="1" t="n">
        <v>45186</v>
      </c>
      <c r="C1371" s="1" t="n">
        <v>45827</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43684-2023</t>
        </is>
      </c>
      <c r="B1372" s="1" t="n">
        <v>45187</v>
      </c>
      <c r="C1372" s="1" t="n">
        <v>45827</v>
      </c>
      <c r="D1372" t="inlineStr">
        <is>
          <t>STOCKHOLMS LÄN</t>
        </is>
      </c>
      <c r="E1372" t="inlineStr">
        <is>
          <t>NORRTÄLJE</t>
        </is>
      </c>
      <c r="F1372" t="inlineStr">
        <is>
          <t>Holmen skog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43836-2023</t>
        </is>
      </c>
      <c r="B1373" s="1" t="n">
        <v>45187</v>
      </c>
      <c r="C1373" s="1" t="n">
        <v>45827</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43710-2023</t>
        </is>
      </c>
      <c r="B1374" s="1" t="n">
        <v>45187</v>
      </c>
      <c r="C1374" s="1" t="n">
        <v>45827</v>
      </c>
      <c r="D1374" t="inlineStr">
        <is>
          <t>STOCKHOLMS LÄN</t>
        </is>
      </c>
      <c r="E1374" t="inlineStr">
        <is>
          <t>NORRTÄLJE</t>
        </is>
      </c>
      <c r="F1374" t="inlineStr">
        <is>
          <t>Holmen skog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44891-2023</t>
        </is>
      </c>
      <c r="B1375" s="1" t="n">
        <v>45187</v>
      </c>
      <c r="C1375" s="1" t="n">
        <v>45827</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44885-2023</t>
        </is>
      </c>
      <c r="B1376" s="1" t="n">
        <v>45187</v>
      </c>
      <c r="C1376" s="1" t="n">
        <v>45827</v>
      </c>
      <c r="D1376" t="inlineStr">
        <is>
          <t>STOCKHOLMS LÄN</t>
        </is>
      </c>
      <c r="E1376" t="inlineStr">
        <is>
          <t>NORRTÄLJE</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44075-2023</t>
        </is>
      </c>
      <c r="B1377" s="1" t="n">
        <v>45188</v>
      </c>
      <c r="C1377" s="1" t="n">
        <v>45827</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44154-2023</t>
        </is>
      </c>
      <c r="B1378" s="1" t="n">
        <v>45188</v>
      </c>
      <c r="C1378" s="1" t="n">
        <v>45827</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44571-2023</t>
        </is>
      </c>
      <c r="B1379" s="1" t="n">
        <v>45189</v>
      </c>
      <c r="C1379" s="1" t="n">
        <v>45827</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44836-2023</t>
        </is>
      </c>
      <c r="B1380" s="1" t="n">
        <v>45190</v>
      </c>
      <c r="C1380" s="1" t="n">
        <v>45827</v>
      </c>
      <c r="D1380" t="inlineStr">
        <is>
          <t>STOCKHOLMS LÄN</t>
        </is>
      </c>
      <c r="E1380" t="inlineStr">
        <is>
          <t>NORRTÄLJE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45173-2023</t>
        </is>
      </c>
      <c r="B1381" s="1" t="n">
        <v>45191</v>
      </c>
      <c r="C1381" s="1" t="n">
        <v>45827</v>
      </c>
      <c r="D1381" t="inlineStr">
        <is>
          <t>STOCKHOLMS LÄN</t>
        </is>
      </c>
      <c r="E1381" t="inlineStr">
        <is>
          <t>NORRTÄLJE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45174-2023</t>
        </is>
      </c>
      <c r="B1382" s="1" t="n">
        <v>45191</v>
      </c>
      <c r="C1382" s="1" t="n">
        <v>45827</v>
      </c>
      <c r="D1382" t="inlineStr">
        <is>
          <t>STOCKHOLMS LÄN</t>
        </is>
      </c>
      <c r="E1382" t="inlineStr">
        <is>
          <t>NORRTÄLJE</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46161-2023</t>
        </is>
      </c>
      <c r="B1383" s="1" t="n">
        <v>45196</v>
      </c>
      <c r="C1383" s="1" t="n">
        <v>45827</v>
      </c>
      <c r="D1383" t="inlineStr">
        <is>
          <t>STOCKHOLMS LÄN</t>
        </is>
      </c>
      <c r="E1383" t="inlineStr">
        <is>
          <t>NORRTÄLJE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46155-2023</t>
        </is>
      </c>
      <c r="B1384" s="1" t="n">
        <v>45196</v>
      </c>
      <c r="C1384" s="1" t="n">
        <v>45827</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46621-2023</t>
        </is>
      </c>
      <c r="B1385" s="1" t="n">
        <v>45198</v>
      </c>
      <c r="C1385" s="1" t="n">
        <v>45827</v>
      </c>
      <c r="D1385" t="inlineStr">
        <is>
          <t>STOCKHOLMS LÄN</t>
        </is>
      </c>
      <c r="E1385" t="inlineStr">
        <is>
          <t>NORRTÄLJE</t>
        </is>
      </c>
      <c r="F1385" t="inlineStr">
        <is>
          <t>Holmen skog AB</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47419-2023</t>
        </is>
      </c>
      <c r="B1386" s="1" t="n">
        <v>45202</v>
      </c>
      <c r="C1386" s="1" t="n">
        <v>45827</v>
      </c>
      <c r="D1386" t="inlineStr">
        <is>
          <t>STOCKHOLMS LÄN</t>
        </is>
      </c>
      <c r="E1386" t="inlineStr">
        <is>
          <t>NORRTÄLJE</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47431-2023</t>
        </is>
      </c>
      <c r="B1387" s="1" t="n">
        <v>45202</v>
      </c>
      <c r="C1387" s="1" t="n">
        <v>45827</v>
      </c>
      <c r="D1387" t="inlineStr">
        <is>
          <t>STOCKHOLMS LÄN</t>
        </is>
      </c>
      <c r="E1387" t="inlineStr">
        <is>
          <t>NORRTÄLJE</t>
        </is>
      </c>
      <c r="F1387" t="inlineStr">
        <is>
          <t>Naturvårdsverket</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47325-2023</t>
        </is>
      </c>
      <c r="B1388" s="1" t="n">
        <v>45202</v>
      </c>
      <c r="C1388" s="1" t="n">
        <v>45827</v>
      </c>
      <c r="D1388" t="inlineStr">
        <is>
          <t>STOCKHOLMS LÄN</t>
        </is>
      </c>
      <c r="E1388" t="inlineStr">
        <is>
          <t>NORRTÄLJE</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47433-2023</t>
        </is>
      </c>
      <c r="B1389" s="1" t="n">
        <v>45202</v>
      </c>
      <c r="C1389" s="1" t="n">
        <v>45827</v>
      </c>
      <c r="D1389" t="inlineStr">
        <is>
          <t>STOCKHOLMS LÄN</t>
        </is>
      </c>
      <c r="E1389" t="inlineStr">
        <is>
          <t>NORRTÄLJE</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47388-2023</t>
        </is>
      </c>
      <c r="B1390" s="1" t="n">
        <v>45202</v>
      </c>
      <c r="C1390" s="1" t="n">
        <v>45827</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47430-2023</t>
        </is>
      </c>
      <c r="B1391" s="1" t="n">
        <v>45202</v>
      </c>
      <c r="C1391" s="1" t="n">
        <v>45827</v>
      </c>
      <c r="D1391" t="inlineStr">
        <is>
          <t>STOCKHOLMS LÄN</t>
        </is>
      </c>
      <c r="E1391" t="inlineStr">
        <is>
          <t>NORRTÄLJE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49775-2023</t>
        </is>
      </c>
      <c r="B1392" s="1" t="n">
        <v>45202</v>
      </c>
      <c r="C1392" s="1" t="n">
        <v>45827</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48578-2023</t>
        </is>
      </c>
      <c r="B1393" s="1" t="n">
        <v>45202</v>
      </c>
      <c r="C1393" s="1" t="n">
        <v>45827</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49774-2023</t>
        </is>
      </c>
      <c r="B1394" s="1" t="n">
        <v>45202</v>
      </c>
      <c r="C1394" s="1" t="n">
        <v>45827</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47672-2023</t>
        </is>
      </c>
      <c r="B1395" s="1" t="n">
        <v>45203</v>
      </c>
      <c r="C1395" s="1" t="n">
        <v>45827</v>
      </c>
      <c r="D1395" t="inlineStr">
        <is>
          <t>STOCKHOLMS LÄN</t>
        </is>
      </c>
      <c r="E1395" t="inlineStr">
        <is>
          <t>NORRTÄLJE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47694-2023</t>
        </is>
      </c>
      <c r="B1396" s="1" t="n">
        <v>45203</v>
      </c>
      <c r="C1396" s="1" t="n">
        <v>45827</v>
      </c>
      <c r="D1396" t="inlineStr">
        <is>
          <t>STOCKHOLMS LÄN</t>
        </is>
      </c>
      <c r="E1396" t="inlineStr">
        <is>
          <t>NORRTÄLJE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47708-2023</t>
        </is>
      </c>
      <c r="B1397" s="1" t="n">
        <v>45203</v>
      </c>
      <c r="C1397" s="1" t="n">
        <v>45827</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47758-2023</t>
        </is>
      </c>
      <c r="B1398" s="1" t="n">
        <v>45203</v>
      </c>
      <c r="C1398" s="1" t="n">
        <v>45827</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47699-2023</t>
        </is>
      </c>
      <c r="B1399" s="1" t="n">
        <v>45203</v>
      </c>
      <c r="C1399" s="1" t="n">
        <v>45827</v>
      </c>
      <c r="D1399" t="inlineStr">
        <is>
          <t>STOCKHOLMS LÄN</t>
        </is>
      </c>
      <c r="E1399" t="inlineStr">
        <is>
          <t>NORRTÄLJE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47735-2023</t>
        </is>
      </c>
      <c r="B1400" s="1" t="n">
        <v>45203</v>
      </c>
      <c r="C1400" s="1" t="n">
        <v>45827</v>
      </c>
      <c r="D1400" t="inlineStr">
        <is>
          <t>STOCKHOLMS LÄN</t>
        </is>
      </c>
      <c r="E1400" t="inlineStr">
        <is>
          <t>NORRTÄLJE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48167-2023</t>
        </is>
      </c>
      <c r="B1401" s="1" t="n">
        <v>45205</v>
      </c>
      <c r="C1401" s="1" t="n">
        <v>45827</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48180-2023</t>
        </is>
      </c>
      <c r="B1402" s="1" t="n">
        <v>45205</v>
      </c>
      <c r="C1402" s="1" t="n">
        <v>45827</v>
      </c>
      <c r="D1402" t="inlineStr">
        <is>
          <t>STOCKHOLMS LÄN</t>
        </is>
      </c>
      <c r="E1402" t="inlineStr">
        <is>
          <t>NORRTÄLJE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48185-2023</t>
        </is>
      </c>
      <c r="B1403" s="1" t="n">
        <v>45205</v>
      </c>
      <c r="C1403" s="1" t="n">
        <v>45827</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48302-2023</t>
        </is>
      </c>
      <c r="B1404" s="1" t="n">
        <v>45205</v>
      </c>
      <c r="C1404" s="1" t="n">
        <v>45827</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48333-2023</t>
        </is>
      </c>
      <c r="B1405" s="1" t="n">
        <v>45205</v>
      </c>
      <c r="C1405" s="1" t="n">
        <v>45827</v>
      </c>
      <c r="D1405" t="inlineStr">
        <is>
          <t>STOCKHOLMS LÄN</t>
        </is>
      </c>
      <c r="E1405" t="inlineStr">
        <is>
          <t>NORRTÄLJE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48541-2023</t>
        </is>
      </c>
      <c r="B1406" s="1" t="n">
        <v>45208</v>
      </c>
      <c r="C1406" s="1" t="n">
        <v>45827</v>
      </c>
      <c r="D1406" t="inlineStr">
        <is>
          <t>STOCKHOLMS LÄN</t>
        </is>
      </c>
      <c r="E1406" t="inlineStr">
        <is>
          <t>NORRTÄLJE</t>
        </is>
      </c>
      <c r="G1406" t="n">
        <v>10.6</v>
      </c>
      <c r="H1406" t="n">
        <v>0</v>
      </c>
      <c r="I1406" t="n">
        <v>0</v>
      </c>
      <c r="J1406" t="n">
        <v>0</v>
      </c>
      <c r="K1406" t="n">
        <v>0</v>
      </c>
      <c r="L1406" t="n">
        <v>0</v>
      </c>
      <c r="M1406" t="n">
        <v>0</v>
      </c>
      <c r="N1406" t="n">
        <v>0</v>
      </c>
      <c r="O1406" t="n">
        <v>0</v>
      </c>
      <c r="P1406" t="n">
        <v>0</v>
      </c>
      <c r="Q1406" t="n">
        <v>0</v>
      </c>
      <c r="R1406" s="2" t="inlineStr"/>
    </row>
    <row r="1407" ht="15" customHeight="1">
      <c r="A1407" t="inlineStr">
        <is>
          <t>A 48552-2023</t>
        </is>
      </c>
      <c r="B1407" s="1" t="n">
        <v>45208</v>
      </c>
      <c r="C1407" s="1" t="n">
        <v>45827</v>
      </c>
      <c r="D1407" t="inlineStr">
        <is>
          <t>STOCKHOLMS LÄN</t>
        </is>
      </c>
      <c r="E1407" t="inlineStr">
        <is>
          <t>NORRTÄLJE</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48587-2023</t>
        </is>
      </c>
      <c r="B1408" s="1" t="n">
        <v>45208</v>
      </c>
      <c r="C1408" s="1" t="n">
        <v>45827</v>
      </c>
      <c r="D1408" t="inlineStr">
        <is>
          <t>STOCKHOLMS LÄN</t>
        </is>
      </c>
      <c r="E1408" t="inlineStr">
        <is>
          <t>NORRTÄLJE</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48633-2023</t>
        </is>
      </c>
      <c r="B1409" s="1" t="n">
        <v>45208</v>
      </c>
      <c r="C1409" s="1" t="n">
        <v>45827</v>
      </c>
      <c r="D1409" t="inlineStr">
        <is>
          <t>STOCKHOLMS LÄN</t>
        </is>
      </c>
      <c r="E1409" t="inlineStr">
        <is>
          <t>NORRTÄLJE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48641-2023</t>
        </is>
      </c>
      <c r="B1410" s="1" t="n">
        <v>45208</v>
      </c>
      <c r="C1410" s="1" t="n">
        <v>45827</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48686-2023</t>
        </is>
      </c>
      <c r="B1411" s="1" t="n">
        <v>45208</v>
      </c>
      <c r="C1411" s="1" t="n">
        <v>45827</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48629-2023</t>
        </is>
      </c>
      <c r="B1412" s="1" t="n">
        <v>45208</v>
      </c>
      <c r="C1412" s="1" t="n">
        <v>45827</v>
      </c>
      <c r="D1412" t="inlineStr">
        <is>
          <t>STOCKHOLMS LÄN</t>
        </is>
      </c>
      <c r="E1412" t="inlineStr">
        <is>
          <t>NORRTÄLJE</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48668-2023</t>
        </is>
      </c>
      <c r="B1413" s="1" t="n">
        <v>45208</v>
      </c>
      <c r="C1413" s="1" t="n">
        <v>45827</v>
      </c>
      <c r="D1413" t="inlineStr">
        <is>
          <t>STOCKHOLMS LÄN</t>
        </is>
      </c>
      <c r="E1413" t="inlineStr">
        <is>
          <t>NORRTÄLJE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48685-2023</t>
        </is>
      </c>
      <c r="B1414" s="1" t="n">
        <v>45208</v>
      </c>
      <c r="C1414" s="1" t="n">
        <v>45827</v>
      </c>
      <c r="D1414" t="inlineStr">
        <is>
          <t>STOCKHOLMS LÄN</t>
        </is>
      </c>
      <c r="E1414" t="inlineStr">
        <is>
          <t>NORRTÄLJE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48691-2023</t>
        </is>
      </c>
      <c r="B1415" s="1" t="n">
        <v>45208</v>
      </c>
      <c r="C1415" s="1" t="n">
        <v>45827</v>
      </c>
      <c r="D1415" t="inlineStr">
        <is>
          <t>STOCKHOLMS LÄN</t>
        </is>
      </c>
      <c r="E1415" t="inlineStr">
        <is>
          <t>NORRTÄLJE</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48701-2023</t>
        </is>
      </c>
      <c r="B1416" s="1" t="n">
        <v>45208</v>
      </c>
      <c r="C1416" s="1" t="n">
        <v>45827</v>
      </c>
      <c r="D1416" t="inlineStr">
        <is>
          <t>STOCKHOLMS LÄN</t>
        </is>
      </c>
      <c r="E1416" t="inlineStr">
        <is>
          <t>NORRTÄLJE</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48716-2023</t>
        </is>
      </c>
      <c r="B1417" s="1" t="n">
        <v>45208</v>
      </c>
      <c r="C1417" s="1" t="n">
        <v>45827</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48709-2023</t>
        </is>
      </c>
      <c r="B1418" s="1" t="n">
        <v>45208</v>
      </c>
      <c r="C1418" s="1" t="n">
        <v>45827</v>
      </c>
      <c r="D1418" t="inlineStr">
        <is>
          <t>STOCKHOLMS LÄN</t>
        </is>
      </c>
      <c r="E1418" t="inlineStr">
        <is>
          <t>NORRTÄLJE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48722-2023</t>
        </is>
      </c>
      <c r="B1419" s="1" t="n">
        <v>45208</v>
      </c>
      <c r="C1419" s="1" t="n">
        <v>45827</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48726-2023</t>
        </is>
      </c>
      <c r="B1420" s="1" t="n">
        <v>45208</v>
      </c>
      <c r="C1420" s="1" t="n">
        <v>45827</v>
      </c>
      <c r="D1420" t="inlineStr">
        <is>
          <t>STOCKHOLMS LÄN</t>
        </is>
      </c>
      <c r="E1420" t="inlineStr">
        <is>
          <t>NORRTÄLJE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49169-2023</t>
        </is>
      </c>
      <c r="B1421" s="1" t="n">
        <v>45210</v>
      </c>
      <c r="C1421" s="1" t="n">
        <v>45827</v>
      </c>
      <c r="D1421" t="inlineStr">
        <is>
          <t>STOCKHOLMS LÄN</t>
        </is>
      </c>
      <c r="E1421" t="inlineStr">
        <is>
          <t>NORRTÄLJE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49176-2023</t>
        </is>
      </c>
      <c r="B1422" s="1" t="n">
        <v>45210</v>
      </c>
      <c r="C1422" s="1" t="n">
        <v>45827</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49224-2023</t>
        </is>
      </c>
      <c r="B1423" s="1" t="n">
        <v>45210</v>
      </c>
      <c r="C1423" s="1" t="n">
        <v>45827</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49696-2023</t>
        </is>
      </c>
      <c r="B1424" s="1" t="n">
        <v>45212</v>
      </c>
      <c r="C1424" s="1" t="n">
        <v>45827</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49700-2023</t>
        </is>
      </c>
      <c r="B1425" s="1" t="n">
        <v>45212</v>
      </c>
      <c r="C1425" s="1" t="n">
        <v>45827</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49694-2023</t>
        </is>
      </c>
      <c r="B1426" s="1" t="n">
        <v>45212</v>
      </c>
      <c r="C1426" s="1" t="n">
        <v>45827</v>
      </c>
      <c r="D1426" t="inlineStr">
        <is>
          <t>STOCKHOLMS LÄN</t>
        </is>
      </c>
      <c r="E1426" t="inlineStr">
        <is>
          <t>NORRTÄLJE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50143-2023</t>
        </is>
      </c>
      <c r="B1427" s="1" t="n">
        <v>45215</v>
      </c>
      <c r="C1427" s="1" t="n">
        <v>45827</v>
      </c>
      <c r="D1427" t="inlineStr">
        <is>
          <t>STOCKHOLMS LÄN</t>
        </is>
      </c>
      <c r="E1427" t="inlineStr">
        <is>
          <t>NORRTÄLJE</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50107-2023</t>
        </is>
      </c>
      <c r="B1428" s="1" t="n">
        <v>45215</v>
      </c>
      <c r="C1428" s="1" t="n">
        <v>45827</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50033-2023</t>
        </is>
      </c>
      <c r="B1429" s="1" t="n">
        <v>45215</v>
      </c>
      <c r="C1429" s="1" t="n">
        <v>45827</v>
      </c>
      <c r="D1429" t="inlineStr">
        <is>
          <t>STOCKHOLMS LÄN</t>
        </is>
      </c>
      <c r="E1429" t="inlineStr">
        <is>
          <t>NORRTÄLJE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50136-2023</t>
        </is>
      </c>
      <c r="B1430" s="1" t="n">
        <v>45215</v>
      </c>
      <c r="C1430" s="1" t="n">
        <v>45827</v>
      </c>
      <c r="D1430" t="inlineStr">
        <is>
          <t>STOCKHOLMS LÄN</t>
        </is>
      </c>
      <c r="E1430" t="inlineStr">
        <is>
          <t>NORRTÄLJE</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50150-2023</t>
        </is>
      </c>
      <c r="B1431" s="1" t="n">
        <v>45215</v>
      </c>
      <c r="C1431" s="1" t="n">
        <v>45827</v>
      </c>
      <c r="D1431" t="inlineStr">
        <is>
          <t>STOCKHOLMS LÄN</t>
        </is>
      </c>
      <c r="E1431" t="inlineStr">
        <is>
          <t>NORRTÄLJE</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50289-2023</t>
        </is>
      </c>
      <c r="B1432" s="1" t="n">
        <v>45216</v>
      </c>
      <c r="C1432" s="1" t="n">
        <v>45827</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50436-2023</t>
        </is>
      </c>
      <c r="B1433" s="1" t="n">
        <v>45216</v>
      </c>
      <c r="C1433" s="1" t="n">
        <v>45827</v>
      </c>
      <c r="D1433" t="inlineStr">
        <is>
          <t>STOCKHOLMS LÄN</t>
        </is>
      </c>
      <c r="E1433" t="inlineStr">
        <is>
          <t>NORRTÄLJE</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50690-2023</t>
        </is>
      </c>
      <c r="B1434" s="1" t="n">
        <v>45217</v>
      </c>
      <c r="C1434" s="1" t="n">
        <v>45827</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51049-2023</t>
        </is>
      </c>
      <c r="B1435" s="1" t="n">
        <v>45218</v>
      </c>
      <c r="C1435" s="1" t="n">
        <v>45827</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51063-2023</t>
        </is>
      </c>
      <c r="B1436" s="1" t="n">
        <v>45218</v>
      </c>
      <c r="C1436" s="1" t="n">
        <v>45827</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50880-2023</t>
        </is>
      </c>
      <c r="B1437" s="1" t="n">
        <v>45218</v>
      </c>
      <c r="C1437" s="1" t="n">
        <v>45827</v>
      </c>
      <c r="D1437" t="inlineStr">
        <is>
          <t>STOCKHOLMS LÄN</t>
        </is>
      </c>
      <c r="E1437" t="inlineStr">
        <is>
          <t>NORRTÄLJE</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51046-2023</t>
        </is>
      </c>
      <c r="B1438" s="1" t="n">
        <v>45218</v>
      </c>
      <c r="C1438" s="1" t="n">
        <v>45827</v>
      </c>
      <c r="D1438" t="inlineStr">
        <is>
          <t>STOCKHOLMS LÄN</t>
        </is>
      </c>
      <c r="E1438" t="inlineStr">
        <is>
          <t>NORRTÄLJE</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51043-2023</t>
        </is>
      </c>
      <c r="B1439" s="1" t="n">
        <v>45218</v>
      </c>
      <c r="C1439" s="1" t="n">
        <v>45827</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51061-2023</t>
        </is>
      </c>
      <c r="B1440" s="1" t="n">
        <v>45218</v>
      </c>
      <c r="C1440" s="1" t="n">
        <v>45827</v>
      </c>
      <c r="D1440" t="inlineStr">
        <is>
          <t>STOCKHOLMS LÄN</t>
        </is>
      </c>
      <c r="E1440" t="inlineStr">
        <is>
          <t>NORRTÄLJE</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51325-2023</t>
        </is>
      </c>
      <c r="B1441" s="1" t="n">
        <v>45219</v>
      </c>
      <c r="C1441" s="1" t="n">
        <v>45827</v>
      </c>
      <c r="D1441" t="inlineStr">
        <is>
          <t>STOCKHOLMS LÄN</t>
        </is>
      </c>
      <c r="E1441" t="inlineStr">
        <is>
          <t>NORRTÄLJE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51312-2023</t>
        </is>
      </c>
      <c r="B1442" s="1" t="n">
        <v>45219</v>
      </c>
      <c r="C1442" s="1" t="n">
        <v>45827</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51597-2023</t>
        </is>
      </c>
      <c r="B1443" s="1" t="n">
        <v>45222</v>
      </c>
      <c r="C1443" s="1" t="n">
        <v>45827</v>
      </c>
      <c r="D1443" t="inlineStr">
        <is>
          <t>STOCKHOLMS LÄN</t>
        </is>
      </c>
      <c r="E1443" t="inlineStr">
        <is>
          <t>NORRTÄLJE</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51657-2023</t>
        </is>
      </c>
      <c r="B1444" s="1" t="n">
        <v>45222</v>
      </c>
      <c r="C1444" s="1" t="n">
        <v>45827</v>
      </c>
      <c r="D1444" t="inlineStr">
        <is>
          <t>STOCKHOLMS LÄN</t>
        </is>
      </c>
      <c r="E1444" t="inlineStr">
        <is>
          <t>NORRTÄLJE</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51903-2023</t>
        </is>
      </c>
      <c r="B1445" s="1" t="n">
        <v>45223</v>
      </c>
      <c r="C1445" s="1" t="n">
        <v>45827</v>
      </c>
      <c r="D1445" t="inlineStr">
        <is>
          <t>STOCKHOLMS LÄN</t>
        </is>
      </c>
      <c r="E1445" t="inlineStr">
        <is>
          <t>NORRTÄLJE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52095-2023</t>
        </is>
      </c>
      <c r="B1446" s="1" t="n">
        <v>45223</v>
      </c>
      <c r="C1446" s="1" t="n">
        <v>45827</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51978-2023</t>
        </is>
      </c>
      <c r="B1447" s="1" t="n">
        <v>45223</v>
      </c>
      <c r="C1447" s="1" t="n">
        <v>45827</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51997-2023</t>
        </is>
      </c>
      <c r="B1448" s="1" t="n">
        <v>45223</v>
      </c>
      <c r="C1448" s="1" t="n">
        <v>45827</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52001-2023</t>
        </is>
      </c>
      <c r="B1449" s="1" t="n">
        <v>45223</v>
      </c>
      <c r="C1449" s="1" t="n">
        <v>45827</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52096-2023</t>
        </is>
      </c>
      <c r="B1450" s="1" t="n">
        <v>45223</v>
      </c>
      <c r="C1450" s="1" t="n">
        <v>45827</v>
      </c>
      <c r="D1450" t="inlineStr">
        <is>
          <t>STOCKHOLMS LÄN</t>
        </is>
      </c>
      <c r="E1450" t="inlineStr">
        <is>
          <t>NORRTÄLJE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53362-2023</t>
        </is>
      </c>
      <c r="B1451" s="1" t="n">
        <v>45223</v>
      </c>
      <c r="C1451" s="1" t="n">
        <v>45827</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53372-2023</t>
        </is>
      </c>
      <c r="B1452" s="1" t="n">
        <v>45223</v>
      </c>
      <c r="C1452" s="1" t="n">
        <v>45827</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52221-2023</t>
        </is>
      </c>
      <c r="B1453" s="1" t="n">
        <v>45224</v>
      </c>
      <c r="C1453" s="1" t="n">
        <v>45827</v>
      </c>
      <c r="D1453" t="inlineStr">
        <is>
          <t>STOCKHOLMS LÄN</t>
        </is>
      </c>
      <c r="E1453" t="inlineStr">
        <is>
          <t>NORRTÄLJE</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53561-2023</t>
        </is>
      </c>
      <c r="B1454" s="1" t="n">
        <v>45224</v>
      </c>
      <c r="C1454" s="1" t="n">
        <v>45827</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53556-2023</t>
        </is>
      </c>
      <c r="B1455" s="1" t="n">
        <v>45224</v>
      </c>
      <c r="C1455" s="1" t="n">
        <v>45827</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52570-2023</t>
        </is>
      </c>
      <c r="B1456" s="1" t="n">
        <v>45225</v>
      </c>
      <c r="C1456" s="1" t="n">
        <v>45827</v>
      </c>
      <c r="D1456" t="inlineStr">
        <is>
          <t>STOCKHOLMS LÄN</t>
        </is>
      </c>
      <c r="E1456" t="inlineStr">
        <is>
          <t>NORRTÄLJE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52619-2023</t>
        </is>
      </c>
      <c r="B1457" s="1" t="n">
        <v>45225</v>
      </c>
      <c r="C1457" s="1" t="n">
        <v>45827</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52875-2023</t>
        </is>
      </c>
      <c r="B1458" s="1" t="n">
        <v>45226</v>
      </c>
      <c r="C1458" s="1" t="n">
        <v>45827</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52899-2023</t>
        </is>
      </c>
      <c r="B1459" s="1" t="n">
        <v>45226</v>
      </c>
      <c r="C1459" s="1" t="n">
        <v>45827</v>
      </c>
      <c r="D1459" t="inlineStr">
        <is>
          <t>STOCKHOLMS LÄN</t>
        </is>
      </c>
      <c r="E1459" t="inlineStr">
        <is>
          <t>NORRTÄLJE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53563-2023</t>
        </is>
      </c>
      <c r="B1460" s="1" t="n">
        <v>45230</v>
      </c>
      <c r="C1460" s="1" t="n">
        <v>45827</v>
      </c>
      <c r="D1460" t="inlineStr">
        <is>
          <t>STOCKHOLMS LÄN</t>
        </is>
      </c>
      <c r="E1460" t="inlineStr">
        <is>
          <t>NORRTÄLJE</t>
        </is>
      </c>
      <c r="G1460" t="n">
        <v>17.2</v>
      </c>
      <c r="H1460" t="n">
        <v>0</v>
      </c>
      <c r="I1460" t="n">
        <v>0</v>
      </c>
      <c r="J1460" t="n">
        <v>0</v>
      </c>
      <c r="K1460" t="n">
        <v>0</v>
      </c>
      <c r="L1460" t="n">
        <v>0</v>
      </c>
      <c r="M1460" t="n">
        <v>0</v>
      </c>
      <c r="N1460" t="n">
        <v>0</v>
      </c>
      <c r="O1460" t="n">
        <v>0</v>
      </c>
      <c r="P1460" t="n">
        <v>0</v>
      </c>
      <c r="Q1460" t="n">
        <v>0</v>
      </c>
      <c r="R1460" s="2" t="inlineStr"/>
    </row>
    <row r="1461" ht="15" customHeight="1">
      <c r="A1461" t="inlineStr">
        <is>
          <t>A 53718-2023</t>
        </is>
      </c>
      <c r="B1461" s="1" t="n">
        <v>45230</v>
      </c>
      <c r="C1461" s="1" t="n">
        <v>45827</v>
      </c>
      <c r="D1461" t="inlineStr">
        <is>
          <t>STOCKHOLMS LÄN</t>
        </is>
      </c>
      <c r="E1461" t="inlineStr">
        <is>
          <t>NORRTÄLJE</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53787-2023</t>
        </is>
      </c>
      <c r="B1462" s="1" t="n">
        <v>45231</v>
      </c>
      <c r="C1462" s="1" t="n">
        <v>45827</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53792-2023</t>
        </is>
      </c>
      <c r="B1463" s="1" t="n">
        <v>45231</v>
      </c>
      <c r="C1463" s="1" t="n">
        <v>45827</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55518-2023</t>
        </is>
      </c>
      <c r="B1464" s="1" t="n">
        <v>45231</v>
      </c>
      <c r="C1464" s="1" t="n">
        <v>45827</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55533-2023</t>
        </is>
      </c>
      <c r="B1465" s="1" t="n">
        <v>45231</v>
      </c>
      <c r="C1465" s="1" t="n">
        <v>45827</v>
      </c>
      <c r="D1465" t="inlineStr">
        <is>
          <t>STOCKHOLMS LÄN</t>
        </is>
      </c>
      <c r="E1465" t="inlineStr">
        <is>
          <t>NORRTÄLJE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54259-2023</t>
        </is>
      </c>
      <c r="B1466" s="1" t="n">
        <v>45232</v>
      </c>
      <c r="C1466" s="1" t="n">
        <v>45827</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54546-2023</t>
        </is>
      </c>
      <c r="B1467" s="1" t="n">
        <v>45233</v>
      </c>
      <c r="C1467" s="1" t="n">
        <v>45827</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54776-2023</t>
        </is>
      </c>
      <c r="B1468" s="1" t="n">
        <v>45236</v>
      </c>
      <c r="C1468" s="1" t="n">
        <v>45827</v>
      </c>
      <c r="D1468" t="inlineStr">
        <is>
          <t>STOCKHOLMS LÄN</t>
        </is>
      </c>
      <c r="E1468" t="inlineStr">
        <is>
          <t>NORRTÄLJE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55038-2023</t>
        </is>
      </c>
      <c r="B1469" s="1" t="n">
        <v>45237</v>
      </c>
      <c r="C1469" s="1" t="n">
        <v>45827</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55243-2023</t>
        </is>
      </c>
      <c r="B1470" s="1" t="n">
        <v>45237</v>
      </c>
      <c r="C1470" s="1" t="n">
        <v>45827</v>
      </c>
      <c r="D1470" t="inlineStr">
        <is>
          <t>STOCKHOLMS LÄN</t>
        </is>
      </c>
      <c r="E1470" t="inlineStr">
        <is>
          <t>NORRTÄLJE</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55369-2023</t>
        </is>
      </c>
      <c r="B1471" s="1" t="n">
        <v>45238</v>
      </c>
      <c r="C1471" s="1" t="n">
        <v>45827</v>
      </c>
      <c r="D1471" t="inlineStr">
        <is>
          <t>STOCKHOLMS LÄN</t>
        </is>
      </c>
      <c r="E1471" t="inlineStr">
        <is>
          <t>NORRTÄLJE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55755-2023</t>
        </is>
      </c>
      <c r="B1472" s="1" t="n">
        <v>45239</v>
      </c>
      <c r="C1472" s="1" t="n">
        <v>45827</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56428-2023</t>
        </is>
      </c>
      <c r="B1473" s="1" t="n">
        <v>45243</v>
      </c>
      <c r="C1473" s="1" t="n">
        <v>45827</v>
      </c>
      <c r="D1473" t="inlineStr">
        <is>
          <t>STOCKHOLMS LÄN</t>
        </is>
      </c>
      <c r="E1473" t="inlineStr">
        <is>
          <t>NORRTÄLJE</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56439-2023</t>
        </is>
      </c>
      <c r="B1474" s="1" t="n">
        <v>45243</v>
      </c>
      <c r="C1474" s="1" t="n">
        <v>45827</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56445-2023</t>
        </is>
      </c>
      <c r="B1475" s="1" t="n">
        <v>45243</v>
      </c>
      <c r="C1475" s="1" t="n">
        <v>45827</v>
      </c>
      <c r="D1475" t="inlineStr">
        <is>
          <t>STOCKHOLMS LÄN</t>
        </is>
      </c>
      <c r="E1475" t="inlineStr">
        <is>
          <t>NORRTÄLJE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56577-2023</t>
        </is>
      </c>
      <c r="B1476" s="1" t="n">
        <v>45243</v>
      </c>
      <c r="C1476" s="1" t="n">
        <v>45827</v>
      </c>
      <c r="D1476" t="inlineStr">
        <is>
          <t>STOCKHOLMS LÄN</t>
        </is>
      </c>
      <c r="E1476" t="inlineStr">
        <is>
          <t>NORRTÄLJE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56593-2023</t>
        </is>
      </c>
      <c r="B1477" s="1" t="n">
        <v>45243</v>
      </c>
      <c r="C1477" s="1" t="n">
        <v>45827</v>
      </c>
      <c r="D1477" t="inlineStr">
        <is>
          <t>STOCKHOLMS LÄN</t>
        </is>
      </c>
      <c r="E1477" t="inlineStr">
        <is>
          <t>NORRTÄLJE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56819-2023</t>
        </is>
      </c>
      <c r="B1478" s="1" t="n">
        <v>45244</v>
      </c>
      <c r="C1478" s="1" t="n">
        <v>45827</v>
      </c>
      <c r="D1478" t="inlineStr">
        <is>
          <t>STOCKHOLMS LÄN</t>
        </is>
      </c>
      <c r="E1478" t="inlineStr">
        <is>
          <t>NORRTÄLJE</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58261-2023</t>
        </is>
      </c>
      <c r="B1479" s="1" t="n">
        <v>45245</v>
      </c>
      <c r="C1479" s="1" t="n">
        <v>45827</v>
      </c>
      <c r="D1479" t="inlineStr">
        <is>
          <t>STOCKHOLMS LÄN</t>
        </is>
      </c>
      <c r="E1479" t="inlineStr">
        <is>
          <t>NORRTÄLJE</t>
        </is>
      </c>
      <c r="G1479" t="n">
        <v>53.5</v>
      </c>
      <c r="H1479" t="n">
        <v>0</v>
      </c>
      <c r="I1479" t="n">
        <v>0</v>
      </c>
      <c r="J1479" t="n">
        <v>0</v>
      </c>
      <c r="K1479" t="n">
        <v>0</v>
      </c>
      <c r="L1479" t="n">
        <v>0</v>
      </c>
      <c r="M1479" t="n">
        <v>0</v>
      </c>
      <c r="N1479" t="n">
        <v>0</v>
      </c>
      <c r="O1479" t="n">
        <v>0</v>
      </c>
      <c r="P1479" t="n">
        <v>0</v>
      </c>
      <c r="Q1479" t="n">
        <v>0</v>
      </c>
      <c r="R1479" s="2" t="inlineStr"/>
    </row>
    <row r="1480" ht="15" customHeight="1">
      <c r="A1480" t="inlineStr">
        <is>
          <t>A 58209-2023</t>
        </is>
      </c>
      <c r="B1480" s="1" t="n">
        <v>45245</v>
      </c>
      <c r="C1480" s="1" t="n">
        <v>45827</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58227-2023</t>
        </is>
      </c>
      <c r="B1481" s="1" t="n">
        <v>45245</v>
      </c>
      <c r="C1481" s="1" t="n">
        <v>45827</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58291-2023</t>
        </is>
      </c>
      <c r="B1482" s="1" t="n">
        <v>45245</v>
      </c>
      <c r="C1482" s="1" t="n">
        <v>45827</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58277-2023</t>
        </is>
      </c>
      <c r="B1483" s="1" t="n">
        <v>45245</v>
      </c>
      <c r="C1483" s="1" t="n">
        <v>45827</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58213-2023</t>
        </is>
      </c>
      <c r="B1484" s="1" t="n">
        <v>45245</v>
      </c>
      <c r="C1484" s="1" t="n">
        <v>45827</v>
      </c>
      <c r="D1484" t="inlineStr">
        <is>
          <t>STOCKHOLMS LÄN</t>
        </is>
      </c>
      <c r="E1484" t="inlineStr">
        <is>
          <t>NORRTÄLJE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58311-2023</t>
        </is>
      </c>
      <c r="B1485" s="1" t="n">
        <v>45245</v>
      </c>
      <c r="C1485" s="1" t="n">
        <v>45827</v>
      </c>
      <c r="D1485" t="inlineStr">
        <is>
          <t>STOCKHOLMS LÄN</t>
        </is>
      </c>
      <c r="E1485" t="inlineStr">
        <is>
          <t>NORRTÄLJE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58300-2023</t>
        </is>
      </c>
      <c r="B1486" s="1" t="n">
        <v>45245</v>
      </c>
      <c r="C1486" s="1" t="n">
        <v>45827</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58260-2023</t>
        </is>
      </c>
      <c r="B1487" s="1" t="n">
        <v>45245</v>
      </c>
      <c r="C1487" s="1" t="n">
        <v>45827</v>
      </c>
      <c r="D1487" t="inlineStr">
        <is>
          <t>STOCKHOLMS LÄN</t>
        </is>
      </c>
      <c r="E1487" t="inlineStr">
        <is>
          <t>NORRTÄLJE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58297-2023</t>
        </is>
      </c>
      <c r="B1488" s="1" t="n">
        <v>45245</v>
      </c>
      <c r="C1488" s="1" t="n">
        <v>45827</v>
      </c>
      <c r="D1488" t="inlineStr">
        <is>
          <t>STOCKHOLMS LÄN</t>
        </is>
      </c>
      <c r="E1488" t="inlineStr">
        <is>
          <t>NORRTÄLJE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58306-2023</t>
        </is>
      </c>
      <c r="B1489" s="1" t="n">
        <v>45245</v>
      </c>
      <c r="C1489" s="1" t="n">
        <v>45827</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58404-2023</t>
        </is>
      </c>
      <c r="B1490" s="1" t="n">
        <v>45245</v>
      </c>
      <c r="C1490" s="1" t="n">
        <v>45827</v>
      </c>
      <c r="D1490" t="inlineStr">
        <is>
          <t>STOCKHOLMS LÄN</t>
        </is>
      </c>
      <c r="E1490" t="inlineStr">
        <is>
          <t>NORRTÄLJE</t>
        </is>
      </c>
      <c r="G1490" t="n">
        <v>53.5</v>
      </c>
      <c r="H1490" t="n">
        <v>0</v>
      </c>
      <c r="I1490" t="n">
        <v>0</v>
      </c>
      <c r="J1490" t="n">
        <v>0</v>
      </c>
      <c r="K1490" t="n">
        <v>0</v>
      </c>
      <c r="L1490" t="n">
        <v>0</v>
      </c>
      <c r="M1490" t="n">
        <v>0</v>
      </c>
      <c r="N1490" t="n">
        <v>0</v>
      </c>
      <c r="O1490" t="n">
        <v>0</v>
      </c>
      <c r="P1490" t="n">
        <v>0</v>
      </c>
      <c r="Q1490" t="n">
        <v>0</v>
      </c>
      <c r="R1490" s="2" t="inlineStr"/>
    </row>
    <row r="1491" ht="15" customHeight="1">
      <c r="A1491" t="inlineStr">
        <is>
          <t>A 58191-2023</t>
        </is>
      </c>
      <c r="B1491" s="1" t="n">
        <v>45250</v>
      </c>
      <c r="C1491" s="1" t="n">
        <v>45827</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58186-2023</t>
        </is>
      </c>
      <c r="B1492" s="1" t="n">
        <v>45250</v>
      </c>
      <c r="C1492" s="1" t="n">
        <v>45827</v>
      </c>
      <c r="D1492" t="inlineStr">
        <is>
          <t>STOCKHOLMS LÄN</t>
        </is>
      </c>
      <c r="E1492" t="inlineStr">
        <is>
          <t>NORRTÄLJE</t>
        </is>
      </c>
      <c r="F1492" t="inlineStr">
        <is>
          <t>Kyrkan</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58981-2023</t>
        </is>
      </c>
      <c r="B1493" s="1" t="n">
        <v>45250</v>
      </c>
      <c r="C1493" s="1" t="n">
        <v>45827</v>
      </c>
      <c r="D1493" t="inlineStr">
        <is>
          <t>STOCKHOLMS LÄN</t>
        </is>
      </c>
      <c r="E1493" t="inlineStr">
        <is>
          <t>NORRTÄLJE</t>
        </is>
      </c>
      <c r="F1493" t="inlineStr">
        <is>
          <t>Övriga statliga verk och myndigheter</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58601-2023</t>
        </is>
      </c>
      <c r="B1494" s="1" t="n">
        <v>45251</v>
      </c>
      <c r="C1494" s="1" t="n">
        <v>45827</v>
      </c>
      <c r="D1494" t="inlineStr">
        <is>
          <t>STOCKHOLMS LÄN</t>
        </is>
      </c>
      <c r="E1494" t="inlineStr">
        <is>
          <t>NORRTÄLJE</t>
        </is>
      </c>
      <c r="F1494" t="inlineStr">
        <is>
          <t>Holmen skog AB</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59310-2023</t>
        </is>
      </c>
      <c r="B1495" s="1" t="n">
        <v>45253</v>
      </c>
      <c r="C1495" s="1" t="n">
        <v>45827</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59326-2023</t>
        </is>
      </c>
      <c r="B1496" s="1" t="n">
        <v>45253</v>
      </c>
      <c r="C1496" s="1" t="n">
        <v>45827</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59212-2023</t>
        </is>
      </c>
      <c r="B1497" s="1" t="n">
        <v>45253</v>
      </c>
      <c r="C1497" s="1" t="n">
        <v>45827</v>
      </c>
      <c r="D1497" t="inlineStr">
        <is>
          <t>STOCKHOLMS LÄN</t>
        </is>
      </c>
      <c r="E1497" t="inlineStr">
        <is>
          <t>NORRTÄLJE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59276-2023</t>
        </is>
      </c>
      <c r="B1498" s="1" t="n">
        <v>45253</v>
      </c>
      <c r="C1498" s="1" t="n">
        <v>45827</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59468-2023</t>
        </is>
      </c>
      <c r="B1499" s="1" t="n">
        <v>45254</v>
      </c>
      <c r="C1499" s="1" t="n">
        <v>45827</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59499-2023</t>
        </is>
      </c>
      <c r="B1500" s="1" t="n">
        <v>45254</v>
      </c>
      <c r="C1500" s="1" t="n">
        <v>45827</v>
      </c>
      <c r="D1500" t="inlineStr">
        <is>
          <t>STOCKHOLMS LÄN</t>
        </is>
      </c>
      <c r="E1500" t="inlineStr">
        <is>
          <t>NORRTÄLJE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59504-2023</t>
        </is>
      </c>
      <c r="B1501" s="1" t="n">
        <v>45254</v>
      </c>
      <c r="C1501" s="1" t="n">
        <v>45827</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59676-2023</t>
        </is>
      </c>
      <c r="B1502" s="1" t="n">
        <v>45255</v>
      </c>
      <c r="C1502" s="1" t="n">
        <v>45827</v>
      </c>
      <c r="D1502" t="inlineStr">
        <is>
          <t>STOCKHOLMS LÄN</t>
        </is>
      </c>
      <c r="E1502" t="inlineStr">
        <is>
          <t>NORRTÄLJE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59904-2023</t>
        </is>
      </c>
      <c r="B1503" s="1" t="n">
        <v>45257</v>
      </c>
      <c r="C1503" s="1" t="n">
        <v>45827</v>
      </c>
      <c r="D1503" t="inlineStr">
        <is>
          <t>STOCKHOLMS LÄN</t>
        </is>
      </c>
      <c r="E1503" t="inlineStr">
        <is>
          <t>NORRTÄLJE</t>
        </is>
      </c>
      <c r="G1503" t="n">
        <v>17.4</v>
      </c>
      <c r="H1503" t="n">
        <v>0</v>
      </c>
      <c r="I1503" t="n">
        <v>0</v>
      </c>
      <c r="J1503" t="n">
        <v>0</v>
      </c>
      <c r="K1503" t="n">
        <v>0</v>
      </c>
      <c r="L1503" t="n">
        <v>0</v>
      </c>
      <c r="M1503" t="n">
        <v>0</v>
      </c>
      <c r="N1503" t="n">
        <v>0</v>
      </c>
      <c r="O1503" t="n">
        <v>0</v>
      </c>
      <c r="P1503" t="n">
        <v>0</v>
      </c>
      <c r="Q1503" t="n">
        <v>0</v>
      </c>
      <c r="R1503" s="2" t="inlineStr"/>
    </row>
    <row r="1504" ht="15" customHeight="1">
      <c r="A1504" t="inlineStr">
        <is>
          <t>A 59906-2023</t>
        </is>
      </c>
      <c r="B1504" s="1" t="n">
        <v>45257</v>
      </c>
      <c r="C1504" s="1" t="n">
        <v>45827</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59992-2023</t>
        </is>
      </c>
      <c r="B1505" s="1" t="n">
        <v>45257</v>
      </c>
      <c r="C1505" s="1" t="n">
        <v>45827</v>
      </c>
      <c r="D1505" t="inlineStr">
        <is>
          <t>STOCKHOLMS LÄN</t>
        </is>
      </c>
      <c r="E1505" t="inlineStr">
        <is>
          <t>NORRTÄLJE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60224-2023</t>
        </is>
      </c>
      <c r="B1506" s="1" t="n">
        <v>45257</v>
      </c>
      <c r="C1506" s="1" t="n">
        <v>45827</v>
      </c>
      <c r="D1506" t="inlineStr">
        <is>
          <t>STOCKHOLMS LÄN</t>
        </is>
      </c>
      <c r="E1506" t="inlineStr">
        <is>
          <t>NORRTÄLJE</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60073-2023</t>
        </is>
      </c>
      <c r="B1507" s="1" t="n">
        <v>45258</v>
      </c>
      <c r="C1507" s="1" t="n">
        <v>45827</v>
      </c>
      <c r="D1507" t="inlineStr">
        <is>
          <t>STOCKHOLMS LÄN</t>
        </is>
      </c>
      <c r="E1507" t="inlineStr">
        <is>
          <t>NORRTÄLJE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60492-2023</t>
        </is>
      </c>
      <c r="B1508" s="1" t="n">
        <v>45259</v>
      </c>
      <c r="C1508" s="1" t="n">
        <v>45827</v>
      </c>
      <c r="D1508" t="inlineStr">
        <is>
          <t>STOCKHOLMS LÄN</t>
        </is>
      </c>
      <c r="E1508" t="inlineStr">
        <is>
          <t>NORRTÄLJE</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60529-2023</t>
        </is>
      </c>
      <c r="B1509" s="1" t="n">
        <v>45259</v>
      </c>
      <c r="C1509" s="1" t="n">
        <v>45827</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60822-2023</t>
        </is>
      </c>
      <c r="B1510" s="1" t="n">
        <v>45259</v>
      </c>
      <c r="C1510" s="1" t="n">
        <v>45827</v>
      </c>
      <c r="D1510" t="inlineStr">
        <is>
          <t>STOCKHOLMS LÄN</t>
        </is>
      </c>
      <c r="E1510" t="inlineStr">
        <is>
          <t>NORRTÄLJE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60654-2023</t>
        </is>
      </c>
      <c r="B1511" s="1" t="n">
        <v>45260</v>
      </c>
      <c r="C1511" s="1" t="n">
        <v>45827</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60640-2023</t>
        </is>
      </c>
      <c r="B1512" s="1" t="n">
        <v>45260</v>
      </c>
      <c r="C1512" s="1" t="n">
        <v>45827</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60672-2023</t>
        </is>
      </c>
      <c r="B1513" s="1" t="n">
        <v>45260</v>
      </c>
      <c r="C1513" s="1" t="n">
        <v>45827</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60823-2023</t>
        </is>
      </c>
      <c r="B1514" s="1" t="n">
        <v>45260</v>
      </c>
      <c r="C1514" s="1" t="n">
        <v>45827</v>
      </c>
      <c r="D1514" t="inlineStr">
        <is>
          <t>STOCKHOLMS LÄN</t>
        </is>
      </c>
      <c r="E1514" t="inlineStr">
        <is>
          <t>NORRTÄLJE</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60656-2023</t>
        </is>
      </c>
      <c r="B1515" s="1" t="n">
        <v>45260</v>
      </c>
      <c r="C1515" s="1" t="n">
        <v>45827</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60765-2023</t>
        </is>
      </c>
      <c r="B1516" s="1" t="n">
        <v>45260</v>
      </c>
      <c r="C1516" s="1" t="n">
        <v>45827</v>
      </c>
      <c r="D1516" t="inlineStr">
        <is>
          <t>STOCKHOLMS LÄN</t>
        </is>
      </c>
      <c r="E1516" t="inlineStr">
        <is>
          <t>NORRTÄLJE</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61113-2023</t>
        </is>
      </c>
      <c r="B1517" s="1" t="n">
        <v>45261</v>
      </c>
      <c r="C1517" s="1" t="n">
        <v>45827</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62644-2023</t>
        </is>
      </c>
      <c r="B1518" s="1" t="n">
        <v>45271</v>
      </c>
      <c r="C1518" s="1" t="n">
        <v>45827</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62998-2023</t>
        </is>
      </c>
      <c r="B1519" s="1" t="n">
        <v>45272</v>
      </c>
      <c r="C1519" s="1" t="n">
        <v>45827</v>
      </c>
      <c r="D1519" t="inlineStr">
        <is>
          <t>STOCKHOLMS LÄN</t>
        </is>
      </c>
      <c r="E1519" t="inlineStr">
        <is>
          <t>NORRTÄLJE</t>
        </is>
      </c>
      <c r="G1519" t="n">
        <v>16.3</v>
      </c>
      <c r="H1519" t="n">
        <v>0</v>
      </c>
      <c r="I1519" t="n">
        <v>0</v>
      </c>
      <c r="J1519" t="n">
        <v>0</v>
      </c>
      <c r="K1519" t="n">
        <v>0</v>
      </c>
      <c r="L1519" t="n">
        <v>0</v>
      </c>
      <c r="M1519" t="n">
        <v>0</v>
      </c>
      <c r="N1519" t="n">
        <v>0</v>
      </c>
      <c r="O1519" t="n">
        <v>0</v>
      </c>
      <c r="P1519" t="n">
        <v>0</v>
      </c>
      <c r="Q1519" t="n">
        <v>0</v>
      </c>
      <c r="R1519" s="2" t="inlineStr"/>
    </row>
    <row r="1520" ht="15" customHeight="1">
      <c r="A1520" t="inlineStr">
        <is>
          <t>A 63015-2023</t>
        </is>
      </c>
      <c r="B1520" s="1" t="n">
        <v>45272</v>
      </c>
      <c r="C1520" s="1" t="n">
        <v>45827</v>
      </c>
      <c r="D1520" t="inlineStr">
        <is>
          <t>STOCKHOLMS LÄN</t>
        </is>
      </c>
      <c r="E1520" t="inlineStr">
        <is>
          <t>NORRTÄLJE</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62971-2023</t>
        </is>
      </c>
      <c r="B1521" s="1" t="n">
        <v>45272</v>
      </c>
      <c r="C1521" s="1" t="n">
        <v>45827</v>
      </c>
      <c r="D1521" t="inlineStr">
        <is>
          <t>STOCKHOLMS LÄN</t>
        </is>
      </c>
      <c r="E1521" t="inlineStr">
        <is>
          <t>NORRTÄLJE</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63013-2023</t>
        </is>
      </c>
      <c r="B1522" s="1" t="n">
        <v>45272</v>
      </c>
      <c r="C1522" s="1" t="n">
        <v>45827</v>
      </c>
      <c r="D1522" t="inlineStr">
        <is>
          <t>STOCKHOLMS LÄN</t>
        </is>
      </c>
      <c r="E1522" t="inlineStr">
        <is>
          <t>NORRTÄLJE</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63161-2023</t>
        </is>
      </c>
      <c r="B1523" s="1" t="n">
        <v>45273</v>
      </c>
      <c r="C1523" s="1" t="n">
        <v>45827</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63655-2023</t>
        </is>
      </c>
      <c r="B1524" s="1" t="n">
        <v>45275</v>
      </c>
      <c r="C1524" s="1" t="n">
        <v>45827</v>
      </c>
      <c r="D1524" t="inlineStr">
        <is>
          <t>STOCKHOLMS LÄN</t>
        </is>
      </c>
      <c r="E1524" t="inlineStr">
        <is>
          <t>NORRTÄLJE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64902-2023</t>
        </is>
      </c>
      <c r="B1525" s="1" t="n">
        <v>45282</v>
      </c>
      <c r="C1525" s="1" t="n">
        <v>45827</v>
      </c>
      <c r="D1525" t="inlineStr">
        <is>
          <t>STOCKHOLMS LÄN</t>
        </is>
      </c>
      <c r="E1525" t="inlineStr">
        <is>
          <t>NORRTÄLJE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64899-2023</t>
        </is>
      </c>
      <c r="B1526" s="1" t="n">
        <v>45282</v>
      </c>
      <c r="C1526" s="1" t="n">
        <v>45827</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9-2024</t>
        </is>
      </c>
      <c r="B1527" s="1" t="n">
        <v>45293</v>
      </c>
      <c r="C1527" s="1" t="n">
        <v>45827</v>
      </c>
      <c r="D1527" t="inlineStr">
        <is>
          <t>STOCKHOLMS LÄN</t>
        </is>
      </c>
      <c r="E1527" t="inlineStr">
        <is>
          <t>NORRTÄLJE</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13-2024</t>
        </is>
      </c>
      <c r="B1528" s="1" t="n">
        <v>45293</v>
      </c>
      <c r="C1528" s="1" t="n">
        <v>45827</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11-2024</t>
        </is>
      </c>
      <c r="B1529" s="1" t="n">
        <v>45293</v>
      </c>
      <c r="C1529" s="1" t="n">
        <v>45827</v>
      </c>
      <c r="D1529" t="inlineStr">
        <is>
          <t>STOCKHOLMS LÄN</t>
        </is>
      </c>
      <c r="E1529" t="inlineStr">
        <is>
          <t>NORRTÄLJE</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19-2024</t>
        </is>
      </c>
      <c r="B1530" s="1" t="n">
        <v>45293</v>
      </c>
      <c r="C1530" s="1" t="n">
        <v>45827</v>
      </c>
      <c r="D1530" t="inlineStr">
        <is>
          <t>STOCKHOLMS LÄN</t>
        </is>
      </c>
      <c r="E1530" t="inlineStr">
        <is>
          <t>NORRTÄLJE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329-2024</t>
        </is>
      </c>
      <c r="B1531" s="1" t="n">
        <v>45295</v>
      </c>
      <c r="C1531" s="1" t="n">
        <v>45827</v>
      </c>
      <c r="D1531" t="inlineStr">
        <is>
          <t>STOCKHOLMS LÄN</t>
        </is>
      </c>
      <c r="E1531" t="inlineStr">
        <is>
          <t>NORRTÄLJE</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498-2024</t>
        </is>
      </c>
      <c r="B1532" s="1" t="n">
        <v>45299</v>
      </c>
      <c r="C1532" s="1" t="n">
        <v>45827</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577-2024</t>
        </is>
      </c>
      <c r="B1533" s="1" t="n">
        <v>45299</v>
      </c>
      <c r="C1533" s="1" t="n">
        <v>45827</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1372-2024</t>
        </is>
      </c>
      <c r="B1534" s="1" t="n">
        <v>45303</v>
      </c>
      <c r="C1534" s="1" t="n">
        <v>45827</v>
      </c>
      <c r="D1534" t="inlineStr">
        <is>
          <t>STOCKHOLMS LÄN</t>
        </is>
      </c>
      <c r="E1534" t="inlineStr">
        <is>
          <t>NORRTÄLJE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1996-2024</t>
        </is>
      </c>
      <c r="B1535" s="1" t="n">
        <v>45308</v>
      </c>
      <c r="C1535" s="1" t="n">
        <v>45827</v>
      </c>
      <c r="D1535" t="inlineStr">
        <is>
          <t>STOCKHOLMS LÄN</t>
        </is>
      </c>
      <c r="E1535" t="inlineStr">
        <is>
          <t>NORRTÄLJE</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2287-2024</t>
        </is>
      </c>
      <c r="B1536" s="1" t="n">
        <v>45310</v>
      </c>
      <c r="C1536" s="1" t="n">
        <v>45827</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2281-2024</t>
        </is>
      </c>
      <c r="B1537" s="1" t="n">
        <v>45310</v>
      </c>
      <c r="C1537" s="1" t="n">
        <v>45827</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2613-2024</t>
        </is>
      </c>
      <c r="B1538" s="1" t="n">
        <v>45313</v>
      </c>
      <c r="C1538" s="1" t="n">
        <v>45827</v>
      </c>
      <c r="D1538" t="inlineStr">
        <is>
          <t>STOCKHOLMS LÄN</t>
        </is>
      </c>
      <c r="E1538" t="inlineStr">
        <is>
          <t>NORRTÄLJE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2611-2024</t>
        </is>
      </c>
      <c r="B1539" s="1" t="n">
        <v>45313</v>
      </c>
      <c r="C1539" s="1" t="n">
        <v>45827</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3084-2024</t>
        </is>
      </c>
      <c r="B1540" s="1" t="n">
        <v>45316</v>
      </c>
      <c r="C1540" s="1" t="n">
        <v>45827</v>
      </c>
      <c r="D1540" t="inlineStr">
        <is>
          <t>STOCKHOLMS LÄN</t>
        </is>
      </c>
      <c r="E1540" t="inlineStr">
        <is>
          <t>NORRTÄLJE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3152-2024</t>
        </is>
      </c>
      <c r="B1541" s="1" t="n">
        <v>45316</v>
      </c>
      <c r="C1541" s="1" t="n">
        <v>45827</v>
      </c>
      <c r="D1541" t="inlineStr">
        <is>
          <t>STOCKHOLMS LÄN</t>
        </is>
      </c>
      <c r="E1541" t="inlineStr">
        <is>
          <t>NORRTÄLJE</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3381-2024</t>
        </is>
      </c>
      <c r="B1542" s="1" t="n">
        <v>45317</v>
      </c>
      <c r="C1542" s="1" t="n">
        <v>45827</v>
      </c>
      <c r="D1542" t="inlineStr">
        <is>
          <t>STOCKHOLMS LÄN</t>
        </is>
      </c>
      <c r="E1542" t="inlineStr">
        <is>
          <t>NORRTÄLJE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3942-2024</t>
        </is>
      </c>
      <c r="B1543" s="1" t="n">
        <v>45322</v>
      </c>
      <c r="C1543" s="1" t="n">
        <v>45827</v>
      </c>
      <c r="D1543" t="inlineStr">
        <is>
          <t>STOCKHOLMS LÄN</t>
        </is>
      </c>
      <c r="E1543" t="inlineStr">
        <is>
          <t>NORRTÄLJE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3966-2024</t>
        </is>
      </c>
      <c r="B1544" s="1" t="n">
        <v>45322</v>
      </c>
      <c r="C1544" s="1" t="n">
        <v>45827</v>
      </c>
      <c r="D1544" t="inlineStr">
        <is>
          <t>STOCKHOLMS LÄN</t>
        </is>
      </c>
      <c r="E1544" t="inlineStr">
        <is>
          <t>NORRTÄLJE</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4051-2024</t>
        </is>
      </c>
      <c r="B1545" s="1" t="n">
        <v>45323</v>
      </c>
      <c r="C1545" s="1" t="n">
        <v>45827</v>
      </c>
      <c r="D1545" t="inlineStr">
        <is>
          <t>STOCKHOLMS LÄN</t>
        </is>
      </c>
      <c r="E1545" t="inlineStr">
        <is>
          <t>NORRTÄLJE</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4542-2024</t>
        </is>
      </c>
      <c r="B1546" s="1" t="n">
        <v>45327</v>
      </c>
      <c r="C1546" s="1" t="n">
        <v>45827</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4658-2024</t>
        </is>
      </c>
      <c r="B1547" s="1" t="n">
        <v>45328</v>
      </c>
      <c r="C1547" s="1" t="n">
        <v>45827</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5158-2024</t>
        </is>
      </c>
      <c r="B1548" s="1" t="n">
        <v>45330</v>
      </c>
      <c r="C1548" s="1" t="n">
        <v>45827</v>
      </c>
      <c r="D1548" t="inlineStr">
        <is>
          <t>STOCKHOLMS LÄN</t>
        </is>
      </c>
      <c r="E1548" t="inlineStr">
        <is>
          <t>NORRTÄLJE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5670-2024</t>
        </is>
      </c>
      <c r="B1549" s="1" t="n">
        <v>45334</v>
      </c>
      <c r="C1549" s="1" t="n">
        <v>45827</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5664-2024</t>
        </is>
      </c>
      <c r="B1550" s="1" t="n">
        <v>45334</v>
      </c>
      <c r="C1550" s="1" t="n">
        <v>45827</v>
      </c>
      <c r="D1550" t="inlineStr">
        <is>
          <t>STOCKHOLMS LÄN</t>
        </is>
      </c>
      <c r="E1550" t="inlineStr">
        <is>
          <t>NORRTÄLJE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5683-2024</t>
        </is>
      </c>
      <c r="B1551" s="1" t="n">
        <v>45334</v>
      </c>
      <c r="C1551" s="1" t="n">
        <v>45827</v>
      </c>
      <c r="D1551" t="inlineStr">
        <is>
          <t>STOCKHOLMS LÄN</t>
        </is>
      </c>
      <c r="E1551" t="inlineStr">
        <is>
          <t>NORRTÄLJE</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5625-2024</t>
        </is>
      </c>
      <c r="B1552" s="1" t="n">
        <v>45334</v>
      </c>
      <c r="C1552" s="1" t="n">
        <v>45827</v>
      </c>
      <c r="D1552" t="inlineStr">
        <is>
          <t>STOCKHOLMS LÄN</t>
        </is>
      </c>
      <c r="E1552" t="inlineStr">
        <is>
          <t>NORRTÄLJE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5862-2024</t>
        </is>
      </c>
      <c r="B1553" s="1" t="n">
        <v>45335</v>
      </c>
      <c r="C1553" s="1" t="n">
        <v>45827</v>
      </c>
      <c r="D1553" t="inlineStr">
        <is>
          <t>STOCKHOLMS LÄN</t>
        </is>
      </c>
      <c r="E1553" t="inlineStr">
        <is>
          <t>NORRTÄLJE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5831-2024</t>
        </is>
      </c>
      <c r="B1554" s="1" t="n">
        <v>45335</v>
      </c>
      <c r="C1554" s="1" t="n">
        <v>45827</v>
      </c>
      <c r="D1554" t="inlineStr">
        <is>
          <t>STOCKHOLMS LÄN</t>
        </is>
      </c>
      <c r="E1554" t="inlineStr">
        <is>
          <t>NORRTÄLJE</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5894-2024</t>
        </is>
      </c>
      <c r="B1555" s="1" t="n">
        <v>45335</v>
      </c>
      <c r="C1555" s="1" t="n">
        <v>45827</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6401-2024</t>
        </is>
      </c>
      <c r="B1556" s="1" t="n">
        <v>45338</v>
      </c>
      <c r="C1556" s="1" t="n">
        <v>45827</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6537-2024</t>
        </is>
      </c>
      <c r="B1557" s="1" t="n">
        <v>45341</v>
      </c>
      <c r="C1557" s="1" t="n">
        <v>45827</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7009-2024</t>
        </is>
      </c>
      <c r="B1558" s="1" t="n">
        <v>45343</v>
      </c>
      <c r="C1558" s="1" t="n">
        <v>45827</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7186-2024</t>
        </is>
      </c>
      <c r="B1559" s="1" t="n">
        <v>45344</v>
      </c>
      <c r="C1559" s="1" t="n">
        <v>45827</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7408-2024</t>
        </is>
      </c>
      <c r="B1560" s="1" t="n">
        <v>45345</v>
      </c>
      <c r="C1560" s="1" t="n">
        <v>45827</v>
      </c>
      <c r="D1560" t="inlineStr">
        <is>
          <t>STOCKHOLMS LÄN</t>
        </is>
      </c>
      <c r="E1560" t="inlineStr">
        <is>
          <t>NORRTÄLJE</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7573-2024</t>
        </is>
      </c>
      <c r="B1561" s="1" t="n">
        <v>45345</v>
      </c>
      <c r="C1561" s="1" t="n">
        <v>45827</v>
      </c>
      <c r="D1561" t="inlineStr">
        <is>
          <t>STOCKHOLMS LÄN</t>
        </is>
      </c>
      <c r="E1561" t="inlineStr">
        <is>
          <t>NORRTÄLJE</t>
        </is>
      </c>
      <c r="F1561" t="inlineStr">
        <is>
          <t>Övriga Aktiebolag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7425-2024</t>
        </is>
      </c>
      <c r="B1562" s="1" t="n">
        <v>45345</v>
      </c>
      <c r="C1562" s="1" t="n">
        <v>45827</v>
      </c>
      <c r="D1562" t="inlineStr">
        <is>
          <t>STOCKHOLMS LÄN</t>
        </is>
      </c>
      <c r="E1562" t="inlineStr">
        <is>
          <t>NORRTÄLJE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7413-2024</t>
        </is>
      </c>
      <c r="B1563" s="1" t="n">
        <v>45345</v>
      </c>
      <c r="C1563" s="1" t="n">
        <v>45827</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7385-2024</t>
        </is>
      </c>
      <c r="B1564" s="1" t="n">
        <v>45345</v>
      </c>
      <c r="C1564" s="1" t="n">
        <v>45827</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7329-2024</t>
        </is>
      </c>
      <c r="B1565" s="1" t="n">
        <v>45345</v>
      </c>
      <c r="C1565" s="1" t="n">
        <v>45827</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7483-2024</t>
        </is>
      </c>
      <c r="B1566" s="1" t="n">
        <v>45346</v>
      </c>
      <c r="C1566" s="1" t="n">
        <v>45827</v>
      </c>
      <c r="D1566" t="inlineStr">
        <is>
          <t>STOCKHOLMS LÄN</t>
        </is>
      </c>
      <c r="E1566" t="inlineStr">
        <is>
          <t>NORRTÄLJE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7571-2024</t>
        </is>
      </c>
      <c r="B1567" s="1" t="n">
        <v>45348</v>
      </c>
      <c r="C1567" s="1" t="n">
        <v>45827</v>
      </c>
      <c r="D1567" t="inlineStr">
        <is>
          <t>STOCKHOLMS LÄN</t>
        </is>
      </c>
      <c r="E1567" t="inlineStr">
        <is>
          <t>NORRTÄLJE</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8270-2024</t>
        </is>
      </c>
      <c r="B1568" s="1" t="n">
        <v>45352</v>
      </c>
      <c r="C1568" s="1" t="n">
        <v>45827</v>
      </c>
      <c r="D1568" t="inlineStr">
        <is>
          <t>STOCKHOLMS LÄN</t>
        </is>
      </c>
      <c r="E1568" t="inlineStr">
        <is>
          <t>NORRTÄLJE</t>
        </is>
      </c>
      <c r="F1568" t="inlineStr">
        <is>
          <t>Kyrkan</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8399-2024</t>
        </is>
      </c>
      <c r="B1569" s="1" t="n">
        <v>45352</v>
      </c>
      <c r="C1569" s="1" t="n">
        <v>45827</v>
      </c>
      <c r="D1569" t="inlineStr">
        <is>
          <t>STOCKHOLMS LÄN</t>
        </is>
      </c>
      <c r="E1569" t="inlineStr">
        <is>
          <t>NORRTÄLJE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8365-2024</t>
        </is>
      </c>
      <c r="B1570" s="1" t="n">
        <v>45352</v>
      </c>
      <c r="C1570" s="1" t="n">
        <v>45827</v>
      </c>
      <c r="D1570" t="inlineStr">
        <is>
          <t>STOCKHOLMS LÄN</t>
        </is>
      </c>
      <c r="E1570" t="inlineStr">
        <is>
          <t>NORRTÄLJE</t>
        </is>
      </c>
      <c r="F1570" t="inlineStr">
        <is>
          <t>Naturvårdsverket</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8400-2024</t>
        </is>
      </c>
      <c r="B1571" s="1" t="n">
        <v>45352</v>
      </c>
      <c r="C1571" s="1" t="n">
        <v>45827</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8401-2024</t>
        </is>
      </c>
      <c r="B1572" s="1" t="n">
        <v>45352</v>
      </c>
      <c r="C1572" s="1" t="n">
        <v>45827</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8739-2024</t>
        </is>
      </c>
      <c r="B1573" s="1" t="n">
        <v>45356</v>
      </c>
      <c r="C1573" s="1" t="n">
        <v>45827</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8736-2024</t>
        </is>
      </c>
      <c r="B1574" s="1" t="n">
        <v>45356</v>
      </c>
      <c r="C1574" s="1" t="n">
        <v>45827</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9246-2024</t>
        </is>
      </c>
      <c r="B1575" s="1" t="n">
        <v>45357</v>
      </c>
      <c r="C1575" s="1" t="n">
        <v>45827</v>
      </c>
      <c r="D1575" t="inlineStr">
        <is>
          <t>STOCKHOLMS LÄN</t>
        </is>
      </c>
      <c r="E1575" t="inlineStr">
        <is>
          <t>NORRTÄLJE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9300-2024</t>
        </is>
      </c>
      <c r="B1576" s="1" t="n">
        <v>45358</v>
      </c>
      <c r="C1576" s="1" t="n">
        <v>45827</v>
      </c>
      <c r="D1576" t="inlineStr">
        <is>
          <t>STOCKHOLMS LÄN</t>
        </is>
      </c>
      <c r="E1576" t="inlineStr">
        <is>
          <t>NORRTÄLJE</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9297-2024</t>
        </is>
      </c>
      <c r="B1577" s="1" t="n">
        <v>45358</v>
      </c>
      <c r="C1577" s="1" t="n">
        <v>45827</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9301-2024</t>
        </is>
      </c>
      <c r="B1578" s="1" t="n">
        <v>45358</v>
      </c>
      <c r="C1578" s="1" t="n">
        <v>45827</v>
      </c>
      <c r="D1578" t="inlineStr">
        <is>
          <t>STOCKHOLMS LÄN</t>
        </is>
      </c>
      <c r="E1578" t="inlineStr">
        <is>
          <t>NORRTÄLJE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9305-2024</t>
        </is>
      </c>
      <c r="B1579" s="1" t="n">
        <v>45358</v>
      </c>
      <c r="C1579" s="1" t="n">
        <v>45827</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9765-2024</t>
        </is>
      </c>
      <c r="B1580" s="1" t="n">
        <v>45362</v>
      </c>
      <c r="C1580" s="1" t="n">
        <v>45827</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9959-2024</t>
        </is>
      </c>
      <c r="B1581" s="1" t="n">
        <v>45363</v>
      </c>
      <c r="C1581" s="1" t="n">
        <v>45827</v>
      </c>
      <c r="D1581" t="inlineStr">
        <is>
          <t>STOCKHOLMS LÄN</t>
        </is>
      </c>
      <c r="E1581" t="inlineStr">
        <is>
          <t>NORRTÄLJE</t>
        </is>
      </c>
      <c r="F1581" t="inlineStr">
        <is>
          <t>Naturvårdsverket</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10258-2024</t>
        </is>
      </c>
      <c r="B1582" s="1" t="n">
        <v>45365</v>
      </c>
      <c r="C1582" s="1" t="n">
        <v>45827</v>
      </c>
      <c r="D1582" t="inlineStr">
        <is>
          <t>STOCKHOLMS LÄN</t>
        </is>
      </c>
      <c r="E1582" t="inlineStr">
        <is>
          <t>NORRTÄLJE</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10279-2024</t>
        </is>
      </c>
      <c r="B1583" s="1" t="n">
        <v>45365</v>
      </c>
      <c r="C1583" s="1" t="n">
        <v>45827</v>
      </c>
      <c r="D1583" t="inlineStr">
        <is>
          <t>STOCKHOLMS LÄN</t>
        </is>
      </c>
      <c r="E1583" t="inlineStr">
        <is>
          <t>NORRTÄLJE</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10643-2024</t>
        </is>
      </c>
      <c r="B1584" s="1" t="n">
        <v>45367</v>
      </c>
      <c r="C1584" s="1" t="n">
        <v>45827</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10840-2024</t>
        </is>
      </c>
      <c r="B1585" s="1" t="n">
        <v>45369</v>
      </c>
      <c r="C1585" s="1" t="n">
        <v>45827</v>
      </c>
      <c r="D1585" t="inlineStr">
        <is>
          <t>STOCKHOLMS LÄN</t>
        </is>
      </c>
      <c r="E1585" t="inlineStr">
        <is>
          <t>NORRTÄLJE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10810-2024</t>
        </is>
      </c>
      <c r="B1586" s="1" t="n">
        <v>45369</v>
      </c>
      <c r="C1586" s="1" t="n">
        <v>45827</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10930-2024</t>
        </is>
      </c>
      <c r="B1587" s="1" t="n">
        <v>45370</v>
      </c>
      <c r="C1587" s="1" t="n">
        <v>45827</v>
      </c>
      <c r="D1587" t="inlineStr">
        <is>
          <t>STOCKHOLMS LÄN</t>
        </is>
      </c>
      <c r="E1587" t="inlineStr">
        <is>
          <t>NORRTÄLJE</t>
        </is>
      </c>
      <c r="G1587" t="n">
        <v>8.699999999999999</v>
      </c>
      <c r="H1587" t="n">
        <v>0</v>
      </c>
      <c r="I1587" t="n">
        <v>0</v>
      </c>
      <c r="J1587" t="n">
        <v>0</v>
      </c>
      <c r="K1587" t="n">
        <v>0</v>
      </c>
      <c r="L1587" t="n">
        <v>0</v>
      </c>
      <c r="M1587" t="n">
        <v>0</v>
      </c>
      <c r="N1587" t="n">
        <v>0</v>
      </c>
      <c r="O1587" t="n">
        <v>0</v>
      </c>
      <c r="P1587" t="n">
        <v>0</v>
      </c>
      <c r="Q1587" t="n">
        <v>0</v>
      </c>
      <c r="R1587" s="2" t="inlineStr"/>
      <c r="U1587">
        <f>HYPERLINK("https://klasma.github.io/Logging_0188/knärot/A 10930-2024 karta knärot.png", "A 10930-2024")</f>
        <v/>
      </c>
      <c r="V1587">
        <f>HYPERLINK("https://klasma.github.io/Logging_0188/klagomål/A 10930-2024 FSC-klagomål.docx", "A 10930-2024")</f>
        <v/>
      </c>
      <c r="W1587">
        <f>HYPERLINK("https://klasma.github.io/Logging_0188/klagomålsmail/A 10930-2024 FSC-klagomål mail.docx", "A 10930-2024")</f>
        <v/>
      </c>
      <c r="X1587">
        <f>HYPERLINK("https://klasma.github.io/Logging_0188/tillsyn/A 10930-2024 tillsynsbegäran.docx", "A 10930-2024")</f>
        <v/>
      </c>
      <c r="Y1587">
        <f>HYPERLINK("https://klasma.github.io/Logging_0188/tillsynsmail/A 10930-2024 tillsynsbegäran mail.docx", "A 10930-2024")</f>
        <v/>
      </c>
    </row>
    <row r="1588" ht="15" customHeight="1">
      <c r="A1588" t="inlineStr">
        <is>
          <t>A 11062-2024</t>
        </is>
      </c>
      <c r="B1588" s="1" t="n">
        <v>45370</v>
      </c>
      <c r="C1588" s="1" t="n">
        <v>45827</v>
      </c>
      <c r="D1588" t="inlineStr">
        <is>
          <t>STOCKHOLMS LÄN</t>
        </is>
      </c>
      <c r="E1588" t="inlineStr">
        <is>
          <t>NORRTÄLJE</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10968-2024</t>
        </is>
      </c>
      <c r="B1589" s="1" t="n">
        <v>45370</v>
      </c>
      <c r="C1589" s="1" t="n">
        <v>45827</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11902-2024</t>
        </is>
      </c>
      <c r="B1590" s="1" t="n">
        <v>45376</v>
      </c>
      <c r="C1590" s="1" t="n">
        <v>45827</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11926-2024</t>
        </is>
      </c>
      <c r="B1591" s="1" t="n">
        <v>45376</v>
      </c>
      <c r="C1591" s="1" t="n">
        <v>45827</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11896-2024</t>
        </is>
      </c>
      <c r="B1592" s="1" t="n">
        <v>45376</v>
      </c>
      <c r="C1592" s="1" t="n">
        <v>45827</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11900-2024</t>
        </is>
      </c>
      <c r="B1593" s="1" t="n">
        <v>45376</v>
      </c>
      <c r="C1593" s="1" t="n">
        <v>45827</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11924-2024</t>
        </is>
      </c>
      <c r="B1594" s="1" t="n">
        <v>45376</v>
      </c>
      <c r="C1594" s="1" t="n">
        <v>45827</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11893-2024</t>
        </is>
      </c>
      <c r="B1595" s="1" t="n">
        <v>45376</v>
      </c>
      <c r="C1595" s="1" t="n">
        <v>45827</v>
      </c>
      <c r="D1595" t="inlineStr">
        <is>
          <t>STOCKHOLMS LÄN</t>
        </is>
      </c>
      <c r="E1595" t="inlineStr">
        <is>
          <t>NORRTÄLJE</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11901-2024</t>
        </is>
      </c>
      <c r="B1596" s="1" t="n">
        <v>45376</v>
      </c>
      <c r="C1596" s="1" t="n">
        <v>45827</v>
      </c>
      <c r="D1596" t="inlineStr">
        <is>
          <t>STOCKHOLMS LÄN</t>
        </is>
      </c>
      <c r="E1596" t="inlineStr">
        <is>
          <t>NORRTÄLJE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11929-2024</t>
        </is>
      </c>
      <c r="B1597" s="1" t="n">
        <v>45376</v>
      </c>
      <c r="C1597" s="1" t="n">
        <v>45827</v>
      </c>
      <c r="D1597" t="inlineStr">
        <is>
          <t>STOCKHOLMS LÄN</t>
        </is>
      </c>
      <c r="E1597" t="inlineStr">
        <is>
          <t>NORRTÄLJE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11996-2024</t>
        </is>
      </c>
      <c r="B1598" s="1" t="n">
        <v>45376</v>
      </c>
      <c r="C1598" s="1" t="n">
        <v>45827</v>
      </c>
      <c r="D1598" t="inlineStr">
        <is>
          <t>STOCKHOLMS LÄN</t>
        </is>
      </c>
      <c r="E1598" t="inlineStr">
        <is>
          <t>NORRTÄLJE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11997-2024</t>
        </is>
      </c>
      <c r="B1599" s="1" t="n">
        <v>45377</v>
      </c>
      <c r="C1599" s="1" t="n">
        <v>45827</v>
      </c>
      <c r="D1599" t="inlineStr">
        <is>
          <t>STOCKHOLMS LÄN</t>
        </is>
      </c>
      <c r="E1599" t="inlineStr">
        <is>
          <t>NORRTÄLJE</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12135-2024</t>
        </is>
      </c>
      <c r="B1600" s="1" t="n">
        <v>45377</v>
      </c>
      <c r="C1600" s="1" t="n">
        <v>45827</v>
      </c>
      <c r="D1600" t="inlineStr">
        <is>
          <t>STOCKHOLMS LÄN</t>
        </is>
      </c>
      <c r="E1600" t="inlineStr">
        <is>
          <t>NORRTÄLJE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12022-2024</t>
        </is>
      </c>
      <c r="B1601" s="1" t="n">
        <v>45377</v>
      </c>
      <c r="C1601" s="1" t="n">
        <v>45827</v>
      </c>
      <c r="D1601" t="inlineStr">
        <is>
          <t>STOCKHOLMS LÄN</t>
        </is>
      </c>
      <c r="E1601" t="inlineStr">
        <is>
          <t>NORRTÄLJE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12323-2024</t>
        </is>
      </c>
      <c r="B1602" s="1" t="n">
        <v>45378</v>
      </c>
      <c r="C1602" s="1" t="n">
        <v>45827</v>
      </c>
      <c r="D1602" t="inlineStr">
        <is>
          <t>STOCKHOLMS LÄN</t>
        </is>
      </c>
      <c r="E1602" t="inlineStr">
        <is>
          <t>NORRTÄLJE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12470-2024</t>
        </is>
      </c>
      <c r="B1603" s="1" t="n">
        <v>45379</v>
      </c>
      <c r="C1603" s="1" t="n">
        <v>45827</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12560-2024</t>
        </is>
      </c>
      <c r="B1604" s="1" t="n">
        <v>45379</v>
      </c>
      <c r="C1604" s="1" t="n">
        <v>45827</v>
      </c>
      <c r="D1604" t="inlineStr">
        <is>
          <t>STOCKHOLMS LÄN</t>
        </is>
      </c>
      <c r="E1604" t="inlineStr">
        <is>
          <t>NORRTÄLJE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12629-2024</t>
        </is>
      </c>
      <c r="B1605" s="1" t="n">
        <v>45383</v>
      </c>
      <c r="C1605" s="1" t="n">
        <v>45827</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12896-2024</t>
        </is>
      </c>
      <c r="B1606" s="1" t="n">
        <v>45385</v>
      </c>
      <c r="C1606" s="1" t="n">
        <v>45827</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12904-2024</t>
        </is>
      </c>
      <c r="B1607" s="1" t="n">
        <v>45385</v>
      </c>
      <c r="C1607" s="1" t="n">
        <v>45827</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12901-2024</t>
        </is>
      </c>
      <c r="B1608" s="1" t="n">
        <v>45385</v>
      </c>
      <c r="C1608" s="1" t="n">
        <v>45827</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12890-2024</t>
        </is>
      </c>
      <c r="B1609" s="1" t="n">
        <v>45385</v>
      </c>
      <c r="C1609" s="1" t="n">
        <v>45827</v>
      </c>
      <c r="D1609" t="inlineStr">
        <is>
          <t>STOCKHOLMS LÄN</t>
        </is>
      </c>
      <c r="E1609" t="inlineStr">
        <is>
          <t>NORRTÄLJE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12902-2024</t>
        </is>
      </c>
      <c r="B1610" s="1" t="n">
        <v>45385</v>
      </c>
      <c r="C1610" s="1" t="n">
        <v>45827</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13115-2024</t>
        </is>
      </c>
      <c r="B1611" s="1" t="n">
        <v>45385</v>
      </c>
      <c r="C1611" s="1" t="n">
        <v>45827</v>
      </c>
      <c r="D1611" t="inlineStr">
        <is>
          <t>STOCKHOLMS LÄN</t>
        </is>
      </c>
      <c r="E1611" t="inlineStr">
        <is>
          <t>NORRTÄLJE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13137-2024</t>
        </is>
      </c>
      <c r="B1612" s="1" t="n">
        <v>45386</v>
      </c>
      <c r="C1612" s="1" t="n">
        <v>45827</v>
      </c>
      <c r="D1612" t="inlineStr">
        <is>
          <t>STOCKHOLMS LÄN</t>
        </is>
      </c>
      <c r="E1612" t="inlineStr">
        <is>
          <t>NORRTÄLJE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13241-2024</t>
        </is>
      </c>
      <c r="B1613" s="1" t="n">
        <v>45386</v>
      </c>
      <c r="C1613" s="1" t="n">
        <v>45827</v>
      </c>
      <c r="D1613" t="inlineStr">
        <is>
          <t>STOCKHOLMS LÄN</t>
        </is>
      </c>
      <c r="E1613" t="inlineStr">
        <is>
          <t>NORRTÄLJE</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13391-2024</t>
        </is>
      </c>
      <c r="B1614" s="1" t="n">
        <v>45387</v>
      </c>
      <c r="C1614" s="1" t="n">
        <v>45827</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13785-2024</t>
        </is>
      </c>
      <c r="B1615" s="1" t="n">
        <v>45391</v>
      </c>
      <c r="C1615" s="1" t="n">
        <v>45827</v>
      </c>
      <c r="D1615" t="inlineStr">
        <is>
          <t>STOCKHOLMS LÄN</t>
        </is>
      </c>
      <c r="E1615" t="inlineStr">
        <is>
          <t>NORRTÄLJE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14530-2024</t>
        </is>
      </c>
      <c r="B1616" s="1" t="n">
        <v>45394</v>
      </c>
      <c r="C1616" s="1" t="n">
        <v>45827</v>
      </c>
      <c r="D1616" t="inlineStr">
        <is>
          <t>STOCKHOLMS LÄN</t>
        </is>
      </c>
      <c r="E1616" t="inlineStr">
        <is>
          <t>NORRTÄLJE</t>
        </is>
      </c>
      <c r="F1616" t="inlineStr">
        <is>
          <t>Kyrkan</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14498-2024</t>
        </is>
      </c>
      <c r="B1617" s="1" t="n">
        <v>45394</v>
      </c>
      <c r="C1617" s="1" t="n">
        <v>45827</v>
      </c>
      <c r="D1617" t="inlineStr">
        <is>
          <t>STOCKHOLMS LÄN</t>
        </is>
      </c>
      <c r="E1617" t="inlineStr">
        <is>
          <t>NORRTÄLJE</t>
        </is>
      </c>
      <c r="F1617" t="inlineStr">
        <is>
          <t>Kyrkan</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14559-2024</t>
        </is>
      </c>
      <c r="B1618" s="1" t="n">
        <v>45394</v>
      </c>
      <c r="C1618" s="1" t="n">
        <v>45827</v>
      </c>
      <c r="D1618" t="inlineStr">
        <is>
          <t>STOCKHOLMS LÄN</t>
        </is>
      </c>
      <c r="E1618" t="inlineStr">
        <is>
          <t>NORRTÄLJE</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14751-2024</t>
        </is>
      </c>
      <c r="B1619" s="1" t="n">
        <v>45397</v>
      </c>
      <c r="C1619" s="1" t="n">
        <v>45827</v>
      </c>
      <c r="D1619" t="inlineStr">
        <is>
          <t>STOCKHOLMS LÄN</t>
        </is>
      </c>
      <c r="E1619" t="inlineStr">
        <is>
          <t>NORRTÄLJE</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14762-2024</t>
        </is>
      </c>
      <c r="B1620" s="1" t="n">
        <v>45397</v>
      </c>
      <c r="C1620" s="1" t="n">
        <v>45827</v>
      </c>
      <c r="D1620" t="inlineStr">
        <is>
          <t>STOCKHOLMS LÄN</t>
        </is>
      </c>
      <c r="E1620" t="inlineStr">
        <is>
          <t>NORRTÄLJE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15347-2024</t>
        </is>
      </c>
      <c r="B1621" s="1" t="n">
        <v>45400</v>
      </c>
      <c r="C1621" s="1" t="n">
        <v>45827</v>
      </c>
      <c r="D1621" t="inlineStr">
        <is>
          <t>STOCKHOLMS LÄN</t>
        </is>
      </c>
      <c r="E1621" t="inlineStr">
        <is>
          <t>NORRTÄLJE</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15317-2024</t>
        </is>
      </c>
      <c r="B1622" s="1" t="n">
        <v>45400</v>
      </c>
      <c r="C1622" s="1" t="n">
        <v>45827</v>
      </c>
      <c r="D1622" t="inlineStr">
        <is>
          <t>STOCKHOLMS LÄN</t>
        </is>
      </c>
      <c r="E1622" t="inlineStr">
        <is>
          <t>NORRTÄLJE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15429-2024</t>
        </is>
      </c>
      <c r="B1623" s="1" t="n">
        <v>45401</v>
      </c>
      <c r="C1623" s="1" t="n">
        <v>45827</v>
      </c>
      <c r="D1623" t="inlineStr">
        <is>
          <t>STOCKHOLMS LÄN</t>
        </is>
      </c>
      <c r="E1623" t="inlineStr">
        <is>
          <t>NORRTÄLJE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15422-2024</t>
        </is>
      </c>
      <c r="B1624" s="1" t="n">
        <v>45401</v>
      </c>
      <c r="C1624" s="1" t="n">
        <v>45827</v>
      </c>
      <c r="D1624" t="inlineStr">
        <is>
          <t>STOCKHOLMS LÄN</t>
        </is>
      </c>
      <c r="E1624" t="inlineStr">
        <is>
          <t>NORRTÄLJE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15470-2024</t>
        </is>
      </c>
      <c r="B1625" s="1" t="n">
        <v>45401</v>
      </c>
      <c r="C1625" s="1" t="n">
        <v>45827</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15428-2024</t>
        </is>
      </c>
      <c r="B1626" s="1" t="n">
        <v>45401</v>
      </c>
      <c r="C1626" s="1" t="n">
        <v>45827</v>
      </c>
      <c r="D1626" t="inlineStr">
        <is>
          <t>STOCKHOLMS LÄN</t>
        </is>
      </c>
      <c r="E1626" t="inlineStr">
        <is>
          <t>NORRTÄLJE</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15415-2024</t>
        </is>
      </c>
      <c r="B1627" s="1" t="n">
        <v>45401</v>
      </c>
      <c r="C1627" s="1" t="n">
        <v>45827</v>
      </c>
      <c r="D1627" t="inlineStr">
        <is>
          <t>STOCKHOLMS LÄN</t>
        </is>
      </c>
      <c r="E1627" t="inlineStr">
        <is>
          <t>NORRTÄLJE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15956-2024</t>
        </is>
      </c>
      <c r="B1628" s="1" t="n">
        <v>45405</v>
      </c>
      <c r="C1628" s="1" t="n">
        <v>45827</v>
      </c>
      <c r="D1628" t="inlineStr">
        <is>
          <t>STOCKHOLMS LÄN</t>
        </is>
      </c>
      <c r="E1628" t="inlineStr">
        <is>
          <t>NORRTÄLJE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15978-2024</t>
        </is>
      </c>
      <c r="B1629" s="1" t="n">
        <v>45405</v>
      </c>
      <c r="C1629" s="1" t="n">
        <v>45827</v>
      </c>
      <c r="D1629" t="inlineStr">
        <is>
          <t>STOCKHOLMS LÄN</t>
        </is>
      </c>
      <c r="E1629" t="inlineStr">
        <is>
          <t>NORRTÄLJE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16072-2024</t>
        </is>
      </c>
      <c r="B1630" s="1" t="n">
        <v>45406</v>
      </c>
      <c r="C1630" s="1" t="n">
        <v>45827</v>
      </c>
      <c r="D1630" t="inlineStr">
        <is>
          <t>STOCKHOLMS LÄN</t>
        </is>
      </c>
      <c r="E1630" t="inlineStr">
        <is>
          <t>NORRTÄLJE</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16071-2024</t>
        </is>
      </c>
      <c r="B1631" s="1" t="n">
        <v>45406</v>
      </c>
      <c r="C1631" s="1" t="n">
        <v>45827</v>
      </c>
      <c r="D1631" t="inlineStr">
        <is>
          <t>STOCKHOLMS LÄN</t>
        </is>
      </c>
      <c r="E1631" t="inlineStr">
        <is>
          <t>NORRTÄLJE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16075-2024</t>
        </is>
      </c>
      <c r="B1632" s="1" t="n">
        <v>45406</v>
      </c>
      <c r="C1632" s="1" t="n">
        <v>45827</v>
      </c>
      <c r="D1632" t="inlineStr">
        <is>
          <t>STOCKHOLMS LÄN</t>
        </is>
      </c>
      <c r="E1632" t="inlineStr">
        <is>
          <t>NORRTÄLJE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16620-2024</t>
        </is>
      </c>
      <c r="B1633" s="1" t="n">
        <v>45408</v>
      </c>
      <c r="C1633" s="1" t="n">
        <v>45827</v>
      </c>
      <c r="D1633" t="inlineStr">
        <is>
          <t>STOCKHOLMS LÄN</t>
        </is>
      </c>
      <c r="E1633" t="inlineStr">
        <is>
          <t>NORRTÄLJE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16852-2024</t>
        </is>
      </c>
      <c r="B1634" s="1" t="n">
        <v>45411</v>
      </c>
      <c r="C1634" s="1" t="n">
        <v>45827</v>
      </c>
      <c r="D1634" t="inlineStr">
        <is>
          <t>STOCKHOLMS LÄN</t>
        </is>
      </c>
      <c r="E1634" t="inlineStr">
        <is>
          <t>NORRTÄLJE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17013-2024</t>
        </is>
      </c>
      <c r="B1635" s="1" t="n">
        <v>45412</v>
      </c>
      <c r="C1635" s="1" t="n">
        <v>45827</v>
      </c>
      <c r="D1635" t="inlineStr">
        <is>
          <t>STOCKHOLMS LÄN</t>
        </is>
      </c>
      <c r="E1635" t="inlineStr">
        <is>
          <t>NORRTÄLJE</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17039-2024</t>
        </is>
      </c>
      <c r="B1636" s="1" t="n">
        <v>45412</v>
      </c>
      <c r="C1636" s="1" t="n">
        <v>45827</v>
      </c>
      <c r="D1636" t="inlineStr">
        <is>
          <t>STOCKHOLMS LÄN</t>
        </is>
      </c>
      <c r="E1636" t="inlineStr">
        <is>
          <t>NORRTÄLJE</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17348-2024</t>
        </is>
      </c>
      <c r="B1637" s="1" t="n">
        <v>45414</v>
      </c>
      <c r="C1637" s="1" t="n">
        <v>45827</v>
      </c>
      <c r="D1637" t="inlineStr">
        <is>
          <t>STOCKHOLMS LÄN</t>
        </is>
      </c>
      <c r="E1637" t="inlineStr">
        <is>
          <t>NORRTÄLJE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17304-2024</t>
        </is>
      </c>
      <c r="B1638" s="1" t="n">
        <v>45414</v>
      </c>
      <c r="C1638" s="1" t="n">
        <v>45827</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17354-2024</t>
        </is>
      </c>
      <c r="B1639" s="1" t="n">
        <v>45414</v>
      </c>
      <c r="C1639" s="1" t="n">
        <v>45827</v>
      </c>
      <c r="D1639" t="inlineStr">
        <is>
          <t>STOCKHOLMS LÄN</t>
        </is>
      </c>
      <c r="E1639" t="inlineStr">
        <is>
          <t>NORRTÄLJE</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17385-2024</t>
        </is>
      </c>
      <c r="B1640" s="1" t="n">
        <v>45414</v>
      </c>
      <c r="C1640" s="1" t="n">
        <v>45827</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17382-2024</t>
        </is>
      </c>
      <c r="B1641" s="1" t="n">
        <v>45414</v>
      </c>
      <c r="C1641" s="1" t="n">
        <v>45827</v>
      </c>
      <c r="D1641" t="inlineStr">
        <is>
          <t>STOCKHOLMS LÄN</t>
        </is>
      </c>
      <c r="E1641" t="inlineStr">
        <is>
          <t>NORRTÄLJE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17397-2024</t>
        </is>
      </c>
      <c r="B1642" s="1" t="n">
        <v>45414</v>
      </c>
      <c r="C1642" s="1" t="n">
        <v>45827</v>
      </c>
      <c r="D1642" t="inlineStr">
        <is>
          <t>STOCKHOLMS LÄN</t>
        </is>
      </c>
      <c r="E1642" t="inlineStr">
        <is>
          <t>NORRTÄLJE</t>
        </is>
      </c>
      <c r="F1642" t="inlineStr">
        <is>
          <t>Holmen skog AB</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17554-2024</t>
        </is>
      </c>
      <c r="B1643" s="1" t="n">
        <v>45415</v>
      </c>
      <c r="C1643" s="1" t="n">
        <v>45827</v>
      </c>
      <c r="D1643" t="inlineStr">
        <is>
          <t>STOCKHOLMS LÄN</t>
        </is>
      </c>
      <c r="E1643" t="inlineStr">
        <is>
          <t>NORRTÄLJE</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17775-2024</t>
        </is>
      </c>
      <c r="B1644" s="1" t="n">
        <v>45418</v>
      </c>
      <c r="C1644" s="1" t="n">
        <v>45827</v>
      </c>
      <c r="D1644" t="inlineStr">
        <is>
          <t>STOCKHOLMS LÄN</t>
        </is>
      </c>
      <c r="E1644" t="inlineStr">
        <is>
          <t>NORRTÄLJE</t>
        </is>
      </c>
      <c r="F1644" t="inlineStr">
        <is>
          <t>Holmen skog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17785-2024</t>
        </is>
      </c>
      <c r="B1645" s="1" t="n">
        <v>45418</v>
      </c>
      <c r="C1645" s="1" t="n">
        <v>45827</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17843-2024</t>
        </is>
      </c>
      <c r="B1646" s="1" t="n">
        <v>45418</v>
      </c>
      <c r="C1646" s="1" t="n">
        <v>45827</v>
      </c>
      <c r="D1646" t="inlineStr">
        <is>
          <t>STOCKHOLMS LÄN</t>
        </is>
      </c>
      <c r="E1646" t="inlineStr">
        <is>
          <t>NORRTÄLJE</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18331-2024</t>
        </is>
      </c>
      <c r="B1647" s="1" t="n">
        <v>45422</v>
      </c>
      <c r="C1647" s="1" t="n">
        <v>45827</v>
      </c>
      <c r="D1647" t="inlineStr">
        <is>
          <t>STOCKHOLMS LÄN</t>
        </is>
      </c>
      <c r="E1647" t="inlineStr">
        <is>
          <t>NORRTÄLJE</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18285-2024</t>
        </is>
      </c>
      <c r="B1648" s="1" t="n">
        <v>45422</v>
      </c>
      <c r="C1648" s="1" t="n">
        <v>45827</v>
      </c>
      <c r="D1648" t="inlineStr">
        <is>
          <t>STOCKHOLMS LÄN</t>
        </is>
      </c>
      <c r="E1648" t="inlineStr">
        <is>
          <t>NORRTÄLJE</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18287-2024</t>
        </is>
      </c>
      <c r="B1649" s="1" t="n">
        <v>45422</v>
      </c>
      <c r="C1649" s="1" t="n">
        <v>45827</v>
      </c>
      <c r="D1649" t="inlineStr">
        <is>
          <t>STOCKHOLMS LÄN</t>
        </is>
      </c>
      <c r="E1649" t="inlineStr">
        <is>
          <t>NORRTÄLJE</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19058-2024</t>
        </is>
      </c>
      <c r="B1650" s="1" t="n">
        <v>45427</v>
      </c>
      <c r="C1650" s="1" t="n">
        <v>45827</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19057-2024</t>
        </is>
      </c>
      <c r="B1651" s="1" t="n">
        <v>45427</v>
      </c>
      <c r="C1651" s="1" t="n">
        <v>45827</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19150-2024</t>
        </is>
      </c>
      <c r="B1652" s="1" t="n">
        <v>45428</v>
      </c>
      <c r="C1652" s="1" t="n">
        <v>45827</v>
      </c>
      <c r="D1652" t="inlineStr">
        <is>
          <t>STOCKHOLMS LÄN</t>
        </is>
      </c>
      <c r="E1652" t="inlineStr">
        <is>
          <t>NORRTÄLJE</t>
        </is>
      </c>
      <c r="F1652" t="inlineStr">
        <is>
          <t>Holmen skog AB</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19915-2024</t>
        </is>
      </c>
      <c r="B1653" s="1" t="n">
        <v>45433</v>
      </c>
      <c r="C1653" s="1" t="n">
        <v>45827</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19919-2024</t>
        </is>
      </c>
      <c r="B1654" s="1" t="n">
        <v>45433</v>
      </c>
      <c r="C1654" s="1" t="n">
        <v>45827</v>
      </c>
      <c r="D1654" t="inlineStr">
        <is>
          <t>STOCKHOLMS LÄN</t>
        </is>
      </c>
      <c r="E1654" t="inlineStr">
        <is>
          <t>NORRTÄLJE</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20336-2024</t>
        </is>
      </c>
      <c r="B1655" s="1" t="n">
        <v>45435</v>
      </c>
      <c r="C1655" s="1" t="n">
        <v>45827</v>
      </c>
      <c r="D1655" t="inlineStr">
        <is>
          <t>STOCKHOLMS LÄN</t>
        </is>
      </c>
      <c r="E1655" t="inlineStr">
        <is>
          <t>NORRTÄLJE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20345-2024</t>
        </is>
      </c>
      <c r="B1656" s="1" t="n">
        <v>45435</v>
      </c>
      <c r="C1656" s="1" t="n">
        <v>45827</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20343-2024</t>
        </is>
      </c>
      <c r="B1657" s="1" t="n">
        <v>45435</v>
      </c>
      <c r="C1657" s="1" t="n">
        <v>45827</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20393-2024</t>
        </is>
      </c>
      <c r="B1658" s="1" t="n">
        <v>45435</v>
      </c>
      <c r="C1658" s="1" t="n">
        <v>45827</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20445-2024</t>
        </is>
      </c>
      <c r="B1659" s="1" t="n">
        <v>45435</v>
      </c>
      <c r="C1659" s="1" t="n">
        <v>45827</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20428-2024</t>
        </is>
      </c>
      <c r="B1660" s="1" t="n">
        <v>45435</v>
      </c>
      <c r="C1660" s="1" t="n">
        <v>45827</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20460-2024</t>
        </is>
      </c>
      <c r="B1661" s="1" t="n">
        <v>45435</v>
      </c>
      <c r="C1661" s="1" t="n">
        <v>45827</v>
      </c>
      <c r="D1661" t="inlineStr">
        <is>
          <t>STOCKHOLMS LÄN</t>
        </is>
      </c>
      <c r="E1661" t="inlineStr">
        <is>
          <t>NORRTÄLJE</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20464-2024</t>
        </is>
      </c>
      <c r="B1662" s="1" t="n">
        <v>45435</v>
      </c>
      <c r="C1662" s="1" t="n">
        <v>45827</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20431-2024</t>
        </is>
      </c>
      <c r="B1663" s="1" t="n">
        <v>45435</v>
      </c>
      <c r="C1663" s="1" t="n">
        <v>45827</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20680-2024</t>
        </is>
      </c>
      <c r="B1664" s="1" t="n">
        <v>45436</v>
      </c>
      <c r="C1664" s="1" t="n">
        <v>45827</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20698-2024</t>
        </is>
      </c>
      <c r="B1665" s="1" t="n">
        <v>45436</v>
      </c>
      <c r="C1665" s="1" t="n">
        <v>45827</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20730-2024</t>
        </is>
      </c>
      <c r="B1666" s="1" t="n">
        <v>45436</v>
      </c>
      <c r="C1666" s="1" t="n">
        <v>45827</v>
      </c>
      <c r="D1666" t="inlineStr">
        <is>
          <t>STOCKHOLMS LÄN</t>
        </is>
      </c>
      <c r="E1666" t="inlineStr">
        <is>
          <t>NORRTÄLJE</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20825-2024</t>
        </is>
      </c>
      <c r="B1667" s="1" t="n">
        <v>45439</v>
      </c>
      <c r="C1667" s="1" t="n">
        <v>45827</v>
      </c>
      <c r="D1667" t="inlineStr">
        <is>
          <t>STOCKHOLMS LÄN</t>
        </is>
      </c>
      <c r="E1667" t="inlineStr">
        <is>
          <t>NORRTÄLJE</t>
        </is>
      </c>
      <c r="F1667" t="inlineStr">
        <is>
          <t>Holmen skog AB</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20836-2024</t>
        </is>
      </c>
      <c r="B1668" s="1" t="n">
        <v>45439</v>
      </c>
      <c r="C1668" s="1" t="n">
        <v>45827</v>
      </c>
      <c r="D1668" t="inlineStr">
        <is>
          <t>STOCKHOLMS LÄN</t>
        </is>
      </c>
      <c r="E1668" t="inlineStr">
        <is>
          <t>NORRTÄLJE</t>
        </is>
      </c>
      <c r="F1668" t="inlineStr">
        <is>
          <t>Holmen skog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21066-2024</t>
        </is>
      </c>
      <c r="B1669" s="1" t="n">
        <v>45439</v>
      </c>
      <c r="C1669" s="1" t="n">
        <v>45827</v>
      </c>
      <c r="D1669" t="inlineStr">
        <is>
          <t>STOCKHOLMS LÄN</t>
        </is>
      </c>
      <c r="E1669" t="inlineStr">
        <is>
          <t>NORRTÄLJE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21729-2024</t>
        </is>
      </c>
      <c r="B1670" s="1" t="n">
        <v>45442</v>
      </c>
      <c r="C1670" s="1" t="n">
        <v>45827</v>
      </c>
      <c r="D1670" t="inlineStr">
        <is>
          <t>STOCKHOLMS LÄN</t>
        </is>
      </c>
      <c r="E1670" t="inlineStr">
        <is>
          <t>NORRTÄLJE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21696-2024</t>
        </is>
      </c>
      <c r="B1671" s="1" t="n">
        <v>45442</v>
      </c>
      <c r="C1671" s="1" t="n">
        <v>45827</v>
      </c>
      <c r="D1671" t="inlineStr">
        <is>
          <t>STOCKHOLMS LÄN</t>
        </is>
      </c>
      <c r="E1671" t="inlineStr">
        <is>
          <t>NORRTÄLJE</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22008-2024</t>
        </is>
      </c>
      <c r="B1672" s="1" t="n">
        <v>45443</v>
      </c>
      <c r="C1672" s="1" t="n">
        <v>45827</v>
      </c>
      <c r="D1672" t="inlineStr">
        <is>
          <t>STOCKHOLMS LÄN</t>
        </is>
      </c>
      <c r="E1672" t="inlineStr">
        <is>
          <t>NORRTÄLJE</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22232-2024</t>
        </is>
      </c>
      <c r="B1673" s="1" t="n">
        <v>45446</v>
      </c>
      <c r="C1673" s="1" t="n">
        <v>45827</v>
      </c>
      <c r="D1673" t="inlineStr">
        <is>
          <t>STOCKHOLMS LÄN</t>
        </is>
      </c>
      <c r="E1673" t="inlineStr">
        <is>
          <t>NORRTÄLJE</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22231-2024</t>
        </is>
      </c>
      <c r="B1674" s="1" t="n">
        <v>45446</v>
      </c>
      <c r="C1674" s="1" t="n">
        <v>45827</v>
      </c>
      <c r="D1674" t="inlineStr">
        <is>
          <t>STOCKHOLMS LÄN</t>
        </is>
      </c>
      <c r="E1674" t="inlineStr">
        <is>
          <t>NORRTÄLJE</t>
        </is>
      </c>
      <c r="F1674" t="inlineStr">
        <is>
          <t>Holmen skog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22833-2024</t>
        </is>
      </c>
      <c r="B1675" s="1" t="n">
        <v>45448</v>
      </c>
      <c r="C1675" s="1" t="n">
        <v>45827</v>
      </c>
      <c r="D1675" t="inlineStr">
        <is>
          <t>STOCKHOLMS LÄN</t>
        </is>
      </c>
      <c r="E1675" t="inlineStr">
        <is>
          <t>NORRTÄLJE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23018-2024</t>
        </is>
      </c>
      <c r="B1676" s="1" t="n">
        <v>45450</v>
      </c>
      <c r="C1676" s="1" t="n">
        <v>45827</v>
      </c>
      <c r="D1676" t="inlineStr">
        <is>
          <t>STOCKHOLMS LÄN</t>
        </is>
      </c>
      <c r="E1676" t="inlineStr">
        <is>
          <t>NORRTÄLJE</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23149-2024</t>
        </is>
      </c>
      <c r="B1677" s="1" t="n">
        <v>45450</v>
      </c>
      <c r="C1677" s="1" t="n">
        <v>45827</v>
      </c>
      <c r="D1677" t="inlineStr">
        <is>
          <t>STOCKHOLMS LÄN</t>
        </is>
      </c>
      <c r="E1677" t="inlineStr">
        <is>
          <t>NORRTÄLJE</t>
        </is>
      </c>
      <c r="F1677" t="inlineStr">
        <is>
          <t>Kommuner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23150-2024</t>
        </is>
      </c>
      <c r="B1678" s="1" t="n">
        <v>45450</v>
      </c>
      <c r="C1678" s="1" t="n">
        <v>45827</v>
      </c>
      <c r="D1678" t="inlineStr">
        <is>
          <t>STOCKHOLMS LÄN</t>
        </is>
      </c>
      <c r="E1678" t="inlineStr">
        <is>
          <t>NORRTÄLJE</t>
        </is>
      </c>
      <c r="F1678" t="inlineStr">
        <is>
          <t>Kommuner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23151-2024</t>
        </is>
      </c>
      <c r="B1679" s="1" t="n">
        <v>45450</v>
      </c>
      <c r="C1679" s="1" t="n">
        <v>45827</v>
      </c>
      <c r="D1679" t="inlineStr">
        <is>
          <t>STOCKHOLMS LÄN</t>
        </is>
      </c>
      <c r="E1679" t="inlineStr">
        <is>
          <t>NORRTÄLJE</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23307-2024</t>
        </is>
      </c>
      <c r="B1680" s="1" t="n">
        <v>45453</v>
      </c>
      <c r="C1680" s="1" t="n">
        <v>45827</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23683-2024</t>
        </is>
      </c>
      <c r="B1681" s="1" t="n">
        <v>45454</v>
      </c>
      <c r="C1681" s="1" t="n">
        <v>45827</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23692-2024</t>
        </is>
      </c>
      <c r="B1682" s="1" t="n">
        <v>45454</v>
      </c>
      <c r="C1682" s="1" t="n">
        <v>45827</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23572-2024</t>
        </is>
      </c>
      <c r="B1683" s="1" t="n">
        <v>45454</v>
      </c>
      <c r="C1683" s="1" t="n">
        <v>45827</v>
      </c>
      <c r="D1683" t="inlineStr">
        <is>
          <t>STOCKHOLMS LÄN</t>
        </is>
      </c>
      <c r="E1683" t="inlineStr">
        <is>
          <t>NORRTÄLJE</t>
        </is>
      </c>
      <c r="F1683" t="inlineStr">
        <is>
          <t>Kyrkan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23749-2024</t>
        </is>
      </c>
      <c r="B1684" s="1" t="n">
        <v>45455</v>
      </c>
      <c r="C1684" s="1" t="n">
        <v>45827</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23755-2024</t>
        </is>
      </c>
      <c r="B1685" s="1" t="n">
        <v>45455</v>
      </c>
      <c r="C1685" s="1" t="n">
        <v>45827</v>
      </c>
      <c r="D1685" t="inlineStr">
        <is>
          <t>STOCKHOLMS LÄN</t>
        </is>
      </c>
      <c r="E1685" t="inlineStr">
        <is>
          <t>NORRTÄLJE</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23998-2024</t>
        </is>
      </c>
      <c r="B1686" s="1" t="n">
        <v>45456</v>
      </c>
      <c r="C1686" s="1" t="n">
        <v>45827</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24027-2024</t>
        </is>
      </c>
      <c r="B1687" s="1" t="n">
        <v>45456</v>
      </c>
      <c r="C1687" s="1" t="n">
        <v>45827</v>
      </c>
      <c r="D1687" t="inlineStr">
        <is>
          <t>STOCKHOLMS LÄN</t>
        </is>
      </c>
      <c r="E1687" t="inlineStr">
        <is>
          <t>NORRTÄLJE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24024-2024</t>
        </is>
      </c>
      <c r="B1688" s="1" t="n">
        <v>45456</v>
      </c>
      <c r="C1688" s="1" t="n">
        <v>45827</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23991-2024</t>
        </is>
      </c>
      <c r="B1689" s="1" t="n">
        <v>45456</v>
      </c>
      <c r="C1689" s="1" t="n">
        <v>45827</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24021-2024</t>
        </is>
      </c>
      <c r="B1690" s="1" t="n">
        <v>45456</v>
      </c>
      <c r="C1690" s="1" t="n">
        <v>45827</v>
      </c>
      <c r="D1690" t="inlineStr">
        <is>
          <t>STOCKHOLMS LÄN</t>
        </is>
      </c>
      <c r="E1690" t="inlineStr">
        <is>
          <t>NORRTÄLJE</t>
        </is>
      </c>
      <c r="G1690" t="n">
        <v>17.5</v>
      </c>
      <c r="H1690" t="n">
        <v>0</v>
      </c>
      <c r="I1690" t="n">
        <v>0</v>
      </c>
      <c r="J1690" t="n">
        <v>0</v>
      </c>
      <c r="K1690" t="n">
        <v>0</v>
      </c>
      <c r="L1690" t="n">
        <v>0</v>
      </c>
      <c r="M1690" t="n">
        <v>0</v>
      </c>
      <c r="N1690" t="n">
        <v>0</v>
      </c>
      <c r="O1690" t="n">
        <v>0</v>
      </c>
      <c r="P1690" t="n">
        <v>0</v>
      </c>
      <c r="Q1690" t="n">
        <v>0</v>
      </c>
      <c r="R1690" s="2" t="inlineStr"/>
    </row>
    <row r="1691" ht="15" customHeight="1">
      <c r="A1691" t="inlineStr">
        <is>
          <t>A 24022-2024</t>
        </is>
      </c>
      <c r="B1691" s="1" t="n">
        <v>45456</v>
      </c>
      <c r="C1691" s="1" t="n">
        <v>45827</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24245-2024</t>
        </is>
      </c>
      <c r="B1692" s="1" t="n">
        <v>45457</v>
      </c>
      <c r="C1692" s="1" t="n">
        <v>45827</v>
      </c>
      <c r="D1692" t="inlineStr">
        <is>
          <t>STOCKHOLMS LÄN</t>
        </is>
      </c>
      <c r="E1692" t="inlineStr">
        <is>
          <t>NORRTÄLJE</t>
        </is>
      </c>
      <c r="F1692" t="inlineStr">
        <is>
          <t>Holmen skog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24357-2024</t>
        </is>
      </c>
      <c r="B1693" s="1" t="n">
        <v>45457</v>
      </c>
      <c r="C1693" s="1" t="n">
        <v>45827</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24731-2024</t>
        </is>
      </c>
      <c r="B1694" s="1" t="n">
        <v>45460</v>
      </c>
      <c r="C1694" s="1" t="n">
        <v>45827</v>
      </c>
      <c r="D1694" t="inlineStr">
        <is>
          <t>STOCKHOLMS LÄN</t>
        </is>
      </c>
      <c r="E1694" t="inlineStr">
        <is>
          <t>NORRTÄLJE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24575-2024</t>
        </is>
      </c>
      <c r="B1695" s="1" t="n">
        <v>45460</v>
      </c>
      <c r="C1695" s="1" t="n">
        <v>45827</v>
      </c>
      <c r="D1695" t="inlineStr">
        <is>
          <t>STOCKHOLMS LÄN</t>
        </is>
      </c>
      <c r="E1695" t="inlineStr">
        <is>
          <t>NORRTÄLJE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24563-2024</t>
        </is>
      </c>
      <c r="B1696" s="1" t="n">
        <v>45460</v>
      </c>
      <c r="C1696" s="1" t="n">
        <v>45827</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24610-2024</t>
        </is>
      </c>
      <c r="B1697" s="1" t="n">
        <v>45460</v>
      </c>
      <c r="C1697" s="1" t="n">
        <v>45827</v>
      </c>
      <c r="D1697" t="inlineStr">
        <is>
          <t>STOCKHOLMS LÄN</t>
        </is>
      </c>
      <c r="E1697" t="inlineStr">
        <is>
          <t>NORRTÄLJE</t>
        </is>
      </c>
      <c r="G1697" t="n">
        <v>18.4</v>
      </c>
      <c r="H1697" t="n">
        <v>0</v>
      </c>
      <c r="I1697" t="n">
        <v>0</v>
      </c>
      <c r="J1697" t="n">
        <v>0</v>
      </c>
      <c r="K1697" t="n">
        <v>0</v>
      </c>
      <c r="L1697" t="n">
        <v>0</v>
      </c>
      <c r="M1697" t="n">
        <v>0</v>
      </c>
      <c r="N1697" t="n">
        <v>0</v>
      </c>
      <c r="O1697" t="n">
        <v>0</v>
      </c>
      <c r="P1697" t="n">
        <v>0</v>
      </c>
      <c r="Q1697" t="n">
        <v>0</v>
      </c>
      <c r="R1697" s="2" t="inlineStr"/>
    </row>
    <row r="1698" ht="15" customHeight="1">
      <c r="A1698" t="inlineStr">
        <is>
          <t>A 24730-2024</t>
        </is>
      </c>
      <c r="B1698" s="1" t="n">
        <v>45460</v>
      </c>
      <c r="C1698" s="1" t="n">
        <v>45827</v>
      </c>
      <c r="D1698" t="inlineStr">
        <is>
          <t>STOCKHOLMS LÄN</t>
        </is>
      </c>
      <c r="E1698" t="inlineStr">
        <is>
          <t>NORRTÄLJE</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25301-2024</t>
        </is>
      </c>
      <c r="B1699" s="1" t="n">
        <v>45462</v>
      </c>
      <c r="C1699" s="1" t="n">
        <v>45827</v>
      </c>
      <c r="D1699" t="inlineStr">
        <is>
          <t>STOCKHOLMS LÄN</t>
        </is>
      </c>
      <c r="E1699" t="inlineStr">
        <is>
          <t>NORRTÄLJE</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25055-2024</t>
        </is>
      </c>
      <c r="B1700" s="1" t="n">
        <v>45462</v>
      </c>
      <c r="C1700" s="1" t="n">
        <v>45827</v>
      </c>
      <c r="D1700" t="inlineStr">
        <is>
          <t>STOCKHOLMS LÄN</t>
        </is>
      </c>
      <c r="E1700" t="inlineStr">
        <is>
          <t>NORRTÄLJE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25565-2024</t>
        </is>
      </c>
      <c r="B1701" s="1" t="n">
        <v>45463</v>
      </c>
      <c r="C1701" s="1" t="n">
        <v>45827</v>
      </c>
      <c r="D1701" t="inlineStr">
        <is>
          <t>STOCKHOLMS LÄN</t>
        </is>
      </c>
      <c r="E1701" t="inlineStr">
        <is>
          <t>NORRTÄLJE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25681-2024</t>
        </is>
      </c>
      <c r="B1702" s="1" t="n">
        <v>45463</v>
      </c>
      <c r="C1702" s="1" t="n">
        <v>45827</v>
      </c>
      <c r="D1702" t="inlineStr">
        <is>
          <t>STOCKHOLMS LÄN</t>
        </is>
      </c>
      <c r="E1702" t="inlineStr">
        <is>
          <t>NORRTÄLJE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25817-2024</t>
        </is>
      </c>
      <c r="B1703" s="1" t="n">
        <v>45467</v>
      </c>
      <c r="C1703" s="1" t="n">
        <v>45827</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26116-2024</t>
        </is>
      </c>
      <c r="B1704" s="1" t="n">
        <v>45468</v>
      </c>
      <c r="C1704" s="1" t="n">
        <v>45827</v>
      </c>
      <c r="D1704" t="inlineStr">
        <is>
          <t>STOCKHOLMS LÄN</t>
        </is>
      </c>
      <c r="E1704" t="inlineStr">
        <is>
          <t>NORRTÄLJE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26115-2024</t>
        </is>
      </c>
      <c r="B1705" s="1" t="n">
        <v>45468</v>
      </c>
      <c r="C1705" s="1" t="n">
        <v>45827</v>
      </c>
      <c r="D1705" t="inlineStr">
        <is>
          <t>STOCKHOLMS LÄN</t>
        </is>
      </c>
      <c r="E1705" t="inlineStr">
        <is>
          <t>NORRTÄLJE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26067-2024</t>
        </is>
      </c>
      <c r="B1706" s="1" t="n">
        <v>45468</v>
      </c>
      <c r="C1706" s="1" t="n">
        <v>45827</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26117-2024</t>
        </is>
      </c>
      <c r="B1707" s="1" t="n">
        <v>45468</v>
      </c>
      <c r="C1707" s="1" t="n">
        <v>45827</v>
      </c>
      <c r="D1707" t="inlineStr">
        <is>
          <t>STOCKHOLMS LÄN</t>
        </is>
      </c>
      <c r="E1707" t="inlineStr">
        <is>
          <t>NORRTÄLJE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26113-2024</t>
        </is>
      </c>
      <c r="B1708" s="1" t="n">
        <v>45468</v>
      </c>
      <c r="C1708" s="1" t="n">
        <v>45827</v>
      </c>
      <c r="D1708" t="inlineStr">
        <is>
          <t>STOCKHOLMS LÄN</t>
        </is>
      </c>
      <c r="E1708" t="inlineStr">
        <is>
          <t>NORRTÄLJE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26090-2024</t>
        </is>
      </c>
      <c r="B1709" s="1" t="n">
        <v>45468</v>
      </c>
      <c r="C1709" s="1" t="n">
        <v>45827</v>
      </c>
      <c r="D1709" t="inlineStr">
        <is>
          <t>STOCKHOLMS LÄN</t>
        </is>
      </c>
      <c r="E1709" t="inlineStr">
        <is>
          <t>NORRTÄLJE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26355-2024</t>
        </is>
      </c>
      <c r="B1710" s="1" t="n">
        <v>45469</v>
      </c>
      <c r="C1710" s="1" t="n">
        <v>45827</v>
      </c>
      <c r="D1710" t="inlineStr">
        <is>
          <t>STOCKHOLMS LÄN</t>
        </is>
      </c>
      <c r="E1710" t="inlineStr">
        <is>
          <t>NORRTÄLJE</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26359-2024</t>
        </is>
      </c>
      <c r="B1711" s="1" t="n">
        <v>45469</v>
      </c>
      <c r="C1711" s="1" t="n">
        <v>45827</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26365-2024</t>
        </is>
      </c>
      <c r="B1712" s="1" t="n">
        <v>45469</v>
      </c>
      <c r="C1712" s="1" t="n">
        <v>45827</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26526-2024</t>
        </is>
      </c>
      <c r="B1713" s="1" t="n">
        <v>45469</v>
      </c>
      <c r="C1713" s="1" t="n">
        <v>45827</v>
      </c>
      <c r="D1713" t="inlineStr">
        <is>
          <t>STOCKHOLMS LÄN</t>
        </is>
      </c>
      <c r="E1713" t="inlineStr">
        <is>
          <t>NORRTÄLJE</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26407-2024</t>
        </is>
      </c>
      <c r="B1714" s="1" t="n">
        <v>45469</v>
      </c>
      <c r="C1714" s="1" t="n">
        <v>45827</v>
      </c>
      <c r="D1714" t="inlineStr">
        <is>
          <t>STOCKHOLMS LÄN</t>
        </is>
      </c>
      <c r="E1714" t="inlineStr">
        <is>
          <t>NORRTÄLJE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26600-2024</t>
        </is>
      </c>
      <c r="B1715" s="1" t="n">
        <v>45469</v>
      </c>
      <c r="C1715" s="1" t="n">
        <v>45827</v>
      </c>
      <c r="D1715" t="inlineStr">
        <is>
          <t>STOCKHOLMS LÄN</t>
        </is>
      </c>
      <c r="E1715" t="inlineStr">
        <is>
          <t>NORRTÄLJE</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26612-2024</t>
        </is>
      </c>
      <c r="B1716" s="1" t="n">
        <v>45469</v>
      </c>
      <c r="C1716" s="1" t="n">
        <v>45827</v>
      </c>
      <c r="D1716" t="inlineStr">
        <is>
          <t>STOCKHOLMS LÄN</t>
        </is>
      </c>
      <c r="E1716" t="inlineStr">
        <is>
          <t>NORRTÄLJE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26644-2024</t>
        </is>
      </c>
      <c r="B1717" s="1" t="n">
        <v>45469</v>
      </c>
      <c r="C1717" s="1" t="n">
        <v>45827</v>
      </c>
      <c r="D1717" t="inlineStr">
        <is>
          <t>STOCKHOLMS LÄN</t>
        </is>
      </c>
      <c r="E1717" t="inlineStr">
        <is>
          <t>NORRTÄLJE</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26668-2024</t>
        </is>
      </c>
      <c r="B1718" s="1" t="n">
        <v>45469</v>
      </c>
      <c r="C1718" s="1" t="n">
        <v>45827</v>
      </c>
      <c r="D1718" t="inlineStr">
        <is>
          <t>STOCKHOLMS LÄN</t>
        </is>
      </c>
      <c r="E1718" t="inlineStr">
        <is>
          <t>NORRTÄLJE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26698-2024</t>
        </is>
      </c>
      <c r="B1719" s="1" t="n">
        <v>45470</v>
      </c>
      <c r="C1719" s="1" t="n">
        <v>45827</v>
      </c>
      <c r="D1719" t="inlineStr">
        <is>
          <t>STOCKHOLMS LÄN</t>
        </is>
      </c>
      <c r="E1719" t="inlineStr">
        <is>
          <t>NORRTÄLJE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27059-2024</t>
        </is>
      </c>
      <c r="B1720" s="1" t="n">
        <v>45471</v>
      </c>
      <c r="C1720" s="1" t="n">
        <v>45827</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27248-2024</t>
        </is>
      </c>
      <c r="B1721" s="1" t="n">
        <v>45471</v>
      </c>
      <c r="C1721" s="1" t="n">
        <v>45827</v>
      </c>
      <c r="D1721" t="inlineStr">
        <is>
          <t>STOCKHOLMS LÄN</t>
        </is>
      </c>
      <c r="E1721" t="inlineStr">
        <is>
          <t>NORRTÄLJE</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27381-2024</t>
        </is>
      </c>
      <c r="B1722" s="1" t="n">
        <v>45474</v>
      </c>
      <c r="C1722" s="1" t="n">
        <v>45827</v>
      </c>
      <c r="D1722" t="inlineStr">
        <is>
          <t>STOCKHOLMS LÄN</t>
        </is>
      </c>
      <c r="E1722" t="inlineStr">
        <is>
          <t>NORRTÄLJE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27831-2024</t>
        </is>
      </c>
      <c r="B1723" s="1" t="n">
        <v>45475</v>
      </c>
      <c r="C1723" s="1" t="n">
        <v>45827</v>
      </c>
      <c r="D1723" t="inlineStr">
        <is>
          <t>STOCKHOLMS LÄN</t>
        </is>
      </c>
      <c r="E1723" t="inlineStr">
        <is>
          <t>NORRTÄLJE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28190-2024</t>
        </is>
      </c>
      <c r="B1724" s="1" t="n">
        <v>45477</v>
      </c>
      <c r="C1724" s="1" t="n">
        <v>45827</v>
      </c>
      <c r="D1724" t="inlineStr">
        <is>
          <t>STOCKHOLMS LÄN</t>
        </is>
      </c>
      <c r="E1724" t="inlineStr">
        <is>
          <t>NORRTÄLJE</t>
        </is>
      </c>
      <c r="F1724" t="inlineStr">
        <is>
          <t>Kyrkan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28245-2024</t>
        </is>
      </c>
      <c r="B1725" s="1" t="n">
        <v>45477</v>
      </c>
      <c r="C1725" s="1" t="n">
        <v>45827</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28200-2024</t>
        </is>
      </c>
      <c r="B1726" s="1" t="n">
        <v>45477</v>
      </c>
      <c r="C1726" s="1" t="n">
        <v>45827</v>
      </c>
      <c r="D1726" t="inlineStr">
        <is>
          <t>STOCKHOLMS LÄN</t>
        </is>
      </c>
      <c r="E1726" t="inlineStr">
        <is>
          <t>NORRTÄLJE</t>
        </is>
      </c>
      <c r="F1726" t="inlineStr">
        <is>
          <t>Kyrkan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28603-2024</t>
        </is>
      </c>
      <c r="B1727" s="1" t="n">
        <v>45478</v>
      </c>
      <c r="C1727" s="1" t="n">
        <v>45827</v>
      </c>
      <c r="D1727" t="inlineStr">
        <is>
          <t>STOCKHOLMS LÄN</t>
        </is>
      </c>
      <c r="E1727" t="inlineStr">
        <is>
          <t>NORRTÄLJE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28764-2024</t>
        </is>
      </c>
      <c r="B1728" s="1" t="n">
        <v>45478</v>
      </c>
      <c r="C1728" s="1" t="n">
        <v>45827</v>
      </c>
      <c r="D1728" t="inlineStr">
        <is>
          <t>STOCKHOLMS LÄN</t>
        </is>
      </c>
      <c r="E1728" t="inlineStr">
        <is>
          <t>NORRTÄLJE</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29210-2024</t>
        </is>
      </c>
      <c r="B1729" s="1" t="n">
        <v>45482</v>
      </c>
      <c r="C1729" s="1" t="n">
        <v>45827</v>
      </c>
      <c r="D1729" t="inlineStr">
        <is>
          <t>STOCKHOLMS LÄN</t>
        </is>
      </c>
      <c r="E1729" t="inlineStr">
        <is>
          <t>NORRTÄLJE</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29176-2024</t>
        </is>
      </c>
      <c r="B1730" s="1" t="n">
        <v>45482</v>
      </c>
      <c r="C1730" s="1" t="n">
        <v>45827</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29369-2024</t>
        </is>
      </c>
      <c r="B1731" s="1" t="n">
        <v>45483</v>
      </c>
      <c r="C1731" s="1" t="n">
        <v>45827</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29419-2024</t>
        </is>
      </c>
      <c r="B1732" s="1" t="n">
        <v>45483</v>
      </c>
      <c r="C1732" s="1" t="n">
        <v>45827</v>
      </c>
      <c r="D1732" t="inlineStr">
        <is>
          <t>STOCKHOLMS LÄN</t>
        </is>
      </c>
      <c r="E1732" t="inlineStr">
        <is>
          <t>NORRTÄLJE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29504-2024</t>
        </is>
      </c>
      <c r="B1733" s="1" t="n">
        <v>45484</v>
      </c>
      <c r="C1733" s="1" t="n">
        <v>45827</v>
      </c>
      <c r="D1733" t="inlineStr">
        <is>
          <t>STOCKHOLMS LÄN</t>
        </is>
      </c>
      <c r="E1733" t="inlineStr">
        <is>
          <t>NORRTÄLJE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29589-2024</t>
        </is>
      </c>
      <c r="B1734" s="1" t="n">
        <v>45484</v>
      </c>
      <c r="C1734" s="1" t="n">
        <v>45827</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29583-2024</t>
        </is>
      </c>
      <c r="B1735" s="1" t="n">
        <v>45484</v>
      </c>
      <c r="C1735" s="1" t="n">
        <v>45827</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29578-2024</t>
        </is>
      </c>
      <c r="B1736" s="1" t="n">
        <v>45484</v>
      </c>
      <c r="C1736" s="1" t="n">
        <v>45827</v>
      </c>
      <c r="D1736" t="inlineStr">
        <is>
          <t>STOCKHOLMS LÄN</t>
        </is>
      </c>
      <c r="E1736" t="inlineStr">
        <is>
          <t>NORRTÄLJE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29505-2024</t>
        </is>
      </c>
      <c r="B1737" s="1" t="n">
        <v>45484</v>
      </c>
      <c r="C1737" s="1" t="n">
        <v>45827</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29972-2024</t>
        </is>
      </c>
      <c r="B1738" s="1" t="n">
        <v>45485</v>
      </c>
      <c r="C1738" s="1" t="n">
        <v>45827</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29841-2024</t>
        </is>
      </c>
      <c r="B1739" s="1" t="n">
        <v>45485</v>
      </c>
      <c r="C1739" s="1" t="n">
        <v>45827</v>
      </c>
      <c r="D1739" t="inlineStr">
        <is>
          <t>STOCKHOLMS LÄN</t>
        </is>
      </c>
      <c r="E1739" t="inlineStr">
        <is>
          <t>NORRTÄLJE</t>
        </is>
      </c>
      <c r="G1739" t="n">
        <v>15.9</v>
      </c>
      <c r="H1739" t="n">
        <v>0</v>
      </c>
      <c r="I1739" t="n">
        <v>0</v>
      </c>
      <c r="J1739" t="n">
        <v>0</v>
      </c>
      <c r="K1739" t="n">
        <v>0</v>
      </c>
      <c r="L1739" t="n">
        <v>0</v>
      </c>
      <c r="M1739" t="n">
        <v>0</v>
      </c>
      <c r="N1739" t="n">
        <v>0</v>
      </c>
      <c r="O1739" t="n">
        <v>0</v>
      </c>
      <c r="P1739" t="n">
        <v>0</v>
      </c>
      <c r="Q1739" t="n">
        <v>0</v>
      </c>
      <c r="R1739" s="2" t="inlineStr"/>
    </row>
    <row r="1740" ht="15" customHeight="1">
      <c r="A1740" t="inlineStr">
        <is>
          <t>A 30108-2024</t>
        </is>
      </c>
      <c r="B1740" s="1" t="n">
        <v>45487</v>
      </c>
      <c r="C1740" s="1" t="n">
        <v>45827</v>
      </c>
      <c r="D1740" t="inlineStr">
        <is>
          <t>STOCKHOLMS LÄN</t>
        </is>
      </c>
      <c r="E1740" t="inlineStr">
        <is>
          <t>NORRTÄLJE</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30033-2024</t>
        </is>
      </c>
      <c r="B1741" s="1" t="n">
        <v>45488</v>
      </c>
      <c r="C1741" s="1" t="n">
        <v>45827</v>
      </c>
      <c r="D1741" t="inlineStr">
        <is>
          <t>STOCKHOLMS LÄN</t>
        </is>
      </c>
      <c r="E1741" t="inlineStr">
        <is>
          <t>NORRTÄLJE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29994-2024</t>
        </is>
      </c>
      <c r="B1742" s="1" t="n">
        <v>45488</v>
      </c>
      <c r="C1742" s="1" t="n">
        <v>45827</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30096-2024</t>
        </is>
      </c>
      <c r="B1743" s="1" t="n">
        <v>45489</v>
      </c>
      <c r="C1743" s="1" t="n">
        <v>45827</v>
      </c>
      <c r="D1743" t="inlineStr">
        <is>
          <t>STOCKHOLMS LÄN</t>
        </is>
      </c>
      <c r="E1743" t="inlineStr">
        <is>
          <t>NORRTÄLJE</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30221-2024</t>
        </is>
      </c>
      <c r="B1744" s="1" t="n">
        <v>45490</v>
      </c>
      <c r="C1744" s="1" t="n">
        <v>45827</v>
      </c>
      <c r="D1744" t="inlineStr">
        <is>
          <t>STOCKHOLMS LÄN</t>
        </is>
      </c>
      <c r="E1744" t="inlineStr">
        <is>
          <t>NORRTÄLJE</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30268-2024</t>
        </is>
      </c>
      <c r="B1745" s="1" t="n">
        <v>45490</v>
      </c>
      <c r="C1745" s="1" t="n">
        <v>45827</v>
      </c>
      <c r="D1745" t="inlineStr">
        <is>
          <t>STOCKHOLMS LÄN</t>
        </is>
      </c>
      <c r="E1745" t="inlineStr">
        <is>
          <t>NORRTÄLJE</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30323-2024</t>
        </is>
      </c>
      <c r="B1746" s="1" t="n">
        <v>45490</v>
      </c>
      <c r="C1746" s="1" t="n">
        <v>45827</v>
      </c>
      <c r="D1746" t="inlineStr">
        <is>
          <t>STOCKHOLMS LÄN</t>
        </is>
      </c>
      <c r="E1746" t="inlineStr">
        <is>
          <t>NORRTÄLJE</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30396-2024</t>
        </is>
      </c>
      <c r="B1747" s="1" t="n">
        <v>45491</v>
      </c>
      <c r="C1747" s="1" t="n">
        <v>45827</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30553-2024</t>
        </is>
      </c>
      <c r="B1748" s="1" t="n">
        <v>45492</v>
      </c>
      <c r="C1748" s="1" t="n">
        <v>45827</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30666-2024</t>
        </is>
      </c>
      <c r="B1749" s="1" t="n">
        <v>45495</v>
      </c>
      <c r="C1749" s="1" t="n">
        <v>45827</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30963-2024</t>
        </is>
      </c>
      <c r="B1750" s="1" t="n">
        <v>45499</v>
      </c>
      <c r="C1750" s="1" t="n">
        <v>45827</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30995-2024</t>
        </is>
      </c>
      <c r="B1751" s="1" t="n">
        <v>45499</v>
      </c>
      <c r="C1751" s="1" t="n">
        <v>45827</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31027-2024</t>
        </is>
      </c>
      <c r="B1752" s="1" t="n">
        <v>45501</v>
      </c>
      <c r="C1752" s="1" t="n">
        <v>45827</v>
      </c>
      <c r="D1752" t="inlineStr">
        <is>
          <t>STOCKHOLMS LÄN</t>
        </is>
      </c>
      <c r="E1752" t="inlineStr">
        <is>
          <t>NORRTÄLJE</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31228-2024</t>
        </is>
      </c>
      <c r="B1753" s="1" t="n">
        <v>45503</v>
      </c>
      <c r="C1753" s="1" t="n">
        <v>45827</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31232-2024</t>
        </is>
      </c>
      <c r="B1754" s="1" t="n">
        <v>45503</v>
      </c>
      <c r="C1754" s="1" t="n">
        <v>45827</v>
      </c>
      <c r="D1754" t="inlineStr">
        <is>
          <t>STOCKHOLMS LÄN</t>
        </is>
      </c>
      <c r="E1754" t="inlineStr">
        <is>
          <t>NORRTÄLJE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31343-2024</t>
        </is>
      </c>
      <c r="B1755" s="1" t="n">
        <v>45504</v>
      </c>
      <c r="C1755" s="1" t="n">
        <v>45827</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31311-2024</t>
        </is>
      </c>
      <c r="B1756" s="1" t="n">
        <v>45504</v>
      </c>
      <c r="C1756" s="1" t="n">
        <v>45827</v>
      </c>
      <c r="D1756" t="inlineStr">
        <is>
          <t>STOCKHOLMS LÄN</t>
        </is>
      </c>
      <c r="E1756" t="inlineStr">
        <is>
          <t>NORRTÄLJE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31279-2024</t>
        </is>
      </c>
      <c r="B1757" s="1" t="n">
        <v>45504</v>
      </c>
      <c r="C1757" s="1" t="n">
        <v>45827</v>
      </c>
      <c r="D1757" t="inlineStr">
        <is>
          <t>STOCKHOLMS LÄN</t>
        </is>
      </c>
      <c r="E1757" t="inlineStr">
        <is>
          <t>NORRTÄLJE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32874-2024</t>
        </is>
      </c>
      <c r="B1758" s="1" t="n">
        <v>45516</v>
      </c>
      <c r="C1758" s="1" t="n">
        <v>45827</v>
      </c>
      <c r="D1758" t="inlineStr">
        <is>
          <t>STOCKHOLMS LÄN</t>
        </is>
      </c>
      <c r="E1758" t="inlineStr">
        <is>
          <t>NORRTÄLJE</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32706-2024</t>
        </is>
      </c>
      <c r="B1759" s="1" t="n">
        <v>45516</v>
      </c>
      <c r="C1759" s="1" t="n">
        <v>45827</v>
      </c>
      <c r="D1759" t="inlineStr">
        <is>
          <t>STOCKHOLMS LÄN</t>
        </is>
      </c>
      <c r="E1759" t="inlineStr">
        <is>
          <t>NORRTÄLJE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33173-2024</t>
        </is>
      </c>
      <c r="B1760" s="1" t="n">
        <v>45518</v>
      </c>
      <c r="C1760" s="1" t="n">
        <v>45827</v>
      </c>
      <c r="D1760" t="inlineStr">
        <is>
          <t>STOCKHOLMS LÄN</t>
        </is>
      </c>
      <c r="E1760" t="inlineStr">
        <is>
          <t>NORRTÄLJE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33226-2024</t>
        </is>
      </c>
      <c r="B1761" s="1" t="n">
        <v>45518</v>
      </c>
      <c r="C1761" s="1" t="n">
        <v>45827</v>
      </c>
      <c r="D1761" t="inlineStr">
        <is>
          <t>STOCKHOLMS LÄN</t>
        </is>
      </c>
      <c r="E1761" t="inlineStr">
        <is>
          <t>NORRTÄLJE</t>
        </is>
      </c>
      <c r="G1761" t="n">
        <v>13.8</v>
      </c>
      <c r="H1761" t="n">
        <v>0</v>
      </c>
      <c r="I1761" t="n">
        <v>0</v>
      </c>
      <c r="J1761" t="n">
        <v>0</v>
      </c>
      <c r="K1761" t="n">
        <v>0</v>
      </c>
      <c r="L1761" t="n">
        <v>0</v>
      </c>
      <c r="M1761" t="n">
        <v>0</v>
      </c>
      <c r="N1761" t="n">
        <v>0</v>
      </c>
      <c r="O1761" t="n">
        <v>0</v>
      </c>
      <c r="P1761" t="n">
        <v>0</v>
      </c>
      <c r="Q1761" t="n">
        <v>0</v>
      </c>
      <c r="R1761" s="2" t="inlineStr"/>
    </row>
    <row r="1762" ht="15" customHeight="1">
      <c r="A1762" t="inlineStr">
        <is>
          <t>A 33175-2024</t>
        </is>
      </c>
      <c r="B1762" s="1" t="n">
        <v>45518</v>
      </c>
      <c r="C1762" s="1" t="n">
        <v>45827</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33385-2024</t>
        </is>
      </c>
      <c r="B1763" s="1" t="n">
        <v>45519</v>
      </c>
      <c r="C1763" s="1" t="n">
        <v>45827</v>
      </c>
      <c r="D1763" t="inlineStr">
        <is>
          <t>STOCKHOLMS LÄN</t>
        </is>
      </c>
      <c r="E1763" t="inlineStr">
        <is>
          <t>NORRTÄLJE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33592-2024</t>
        </is>
      </c>
      <c r="B1764" s="1" t="n">
        <v>45520</v>
      </c>
      <c r="C1764" s="1" t="n">
        <v>45827</v>
      </c>
      <c r="D1764" t="inlineStr">
        <is>
          <t>STOCKHOLMS LÄN</t>
        </is>
      </c>
      <c r="E1764" t="inlineStr">
        <is>
          <t>NORRTÄLJE</t>
        </is>
      </c>
      <c r="F1764" t="inlineStr">
        <is>
          <t>Kyrkan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33878-2024</t>
        </is>
      </c>
      <c r="B1765" s="1" t="n">
        <v>45522</v>
      </c>
      <c r="C1765" s="1" t="n">
        <v>45827</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34295-2024</t>
        </is>
      </c>
      <c r="B1766" s="1" t="n">
        <v>45524</v>
      </c>
      <c r="C1766" s="1" t="n">
        <v>45827</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34444-2024</t>
        </is>
      </c>
      <c r="B1767" s="1" t="n">
        <v>45525</v>
      </c>
      <c r="C1767" s="1" t="n">
        <v>45827</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34547-2024</t>
        </is>
      </c>
      <c r="B1768" s="1" t="n">
        <v>45525</v>
      </c>
      <c r="C1768" s="1" t="n">
        <v>45827</v>
      </c>
      <c r="D1768" t="inlineStr">
        <is>
          <t>STOCKHOLMS LÄN</t>
        </is>
      </c>
      <c r="E1768" t="inlineStr">
        <is>
          <t>NORRTÄLJE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34583-2024</t>
        </is>
      </c>
      <c r="B1769" s="1" t="n">
        <v>45526</v>
      </c>
      <c r="C1769" s="1" t="n">
        <v>45827</v>
      </c>
      <c r="D1769" t="inlineStr">
        <is>
          <t>STOCKHOLMS LÄN</t>
        </is>
      </c>
      <c r="E1769" t="inlineStr">
        <is>
          <t>NORRTÄLJE</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35239-2024</t>
        </is>
      </c>
      <c r="B1770" s="1" t="n">
        <v>45530</v>
      </c>
      <c r="C1770" s="1" t="n">
        <v>45827</v>
      </c>
      <c r="D1770" t="inlineStr">
        <is>
          <t>STOCKHOLMS LÄN</t>
        </is>
      </c>
      <c r="E1770" t="inlineStr">
        <is>
          <t>NORRTÄLJE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35235-2024</t>
        </is>
      </c>
      <c r="B1771" s="1" t="n">
        <v>45530</v>
      </c>
      <c r="C1771" s="1" t="n">
        <v>45827</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35532-2024</t>
        </is>
      </c>
      <c r="B1772" s="1" t="n">
        <v>45531</v>
      </c>
      <c r="C1772" s="1" t="n">
        <v>45827</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35467-2024</t>
        </is>
      </c>
      <c r="B1773" s="1" t="n">
        <v>45531</v>
      </c>
      <c r="C1773" s="1" t="n">
        <v>45827</v>
      </c>
      <c r="D1773" t="inlineStr">
        <is>
          <t>STOCKHOLMS LÄN</t>
        </is>
      </c>
      <c r="E1773" t="inlineStr">
        <is>
          <t>NORRTÄLJE</t>
        </is>
      </c>
      <c r="F1773" t="inlineStr">
        <is>
          <t>Holmen skog AB</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35640-2024</t>
        </is>
      </c>
      <c r="B1774" s="1" t="n">
        <v>45531</v>
      </c>
      <c r="C1774" s="1" t="n">
        <v>45827</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35719-2024</t>
        </is>
      </c>
      <c r="B1775" s="1" t="n">
        <v>45532</v>
      </c>
      <c r="C1775" s="1" t="n">
        <v>45827</v>
      </c>
      <c r="D1775" t="inlineStr">
        <is>
          <t>STOCKHOLMS LÄN</t>
        </is>
      </c>
      <c r="E1775" t="inlineStr">
        <is>
          <t>NORRTÄLJE</t>
        </is>
      </c>
      <c r="F1775" t="inlineStr">
        <is>
          <t>Holmen skog AB</t>
        </is>
      </c>
      <c r="G1775" t="n">
        <v>15.2</v>
      </c>
      <c r="H1775" t="n">
        <v>0</v>
      </c>
      <c r="I1775" t="n">
        <v>0</v>
      </c>
      <c r="J1775" t="n">
        <v>0</v>
      </c>
      <c r="K1775" t="n">
        <v>0</v>
      </c>
      <c r="L1775" t="n">
        <v>0</v>
      </c>
      <c r="M1775" t="n">
        <v>0</v>
      </c>
      <c r="N1775" t="n">
        <v>0</v>
      </c>
      <c r="O1775" t="n">
        <v>0</v>
      </c>
      <c r="P1775" t="n">
        <v>0</v>
      </c>
      <c r="Q1775" t="n">
        <v>0</v>
      </c>
      <c r="R1775" s="2" t="inlineStr"/>
    </row>
    <row r="1776" ht="15" customHeight="1">
      <c r="A1776" t="inlineStr">
        <is>
          <t>A 35782-2024</t>
        </is>
      </c>
      <c r="B1776" s="1" t="n">
        <v>45532</v>
      </c>
      <c r="C1776" s="1" t="n">
        <v>45827</v>
      </c>
      <c r="D1776" t="inlineStr">
        <is>
          <t>STOCKHOLMS LÄN</t>
        </is>
      </c>
      <c r="E1776" t="inlineStr">
        <is>
          <t>NORRTÄLJE</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35647-2024</t>
        </is>
      </c>
      <c r="B1777" s="1" t="n">
        <v>45532</v>
      </c>
      <c r="C1777" s="1" t="n">
        <v>45827</v>
      </c>
      <c r="D1777" t="inlineStr">
        <is>
          <t>STOCKHOLMS LÄN</t>
        </is>
      </c>
      <c r="E1777" t="inlineStr">
        <is>
          <t>NORRTÄLJE</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35916-2024</t>
        </is>
      </c>
      <c r="B1778" s="1" t="n">
        <v>45533</v>
      </c>
      <c r="C1778" s="1" t="n">
        <v>45827</v>
      </c>
      <c r="D1778" t="inlineStr">
        <is>
          <t>STOCKHOLMS LÄN</t>
        </is>
      </c>
      <c r="E1778" t="inlineStr">
        <is>
          <t>NORRTÄLJE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36157-2024</t>
        </is>
      </c>
      <c r="B1779" s="1" t="n">
        <v>45534</v>
      </c>
      <c r="C1779" s="1" t="n">
        <v>45827</v>
      </c>
      <c r="D1779" t="inlineStr">
        <is>
          <t>STOCKHOLMS LÄN</t>
        </is>
      </c>
      <c r="E1779" t="inlineStr">
        <is>
          <t>NORRTÄLJE</t>
        </is>
      </c>
      <c r="F1779" t="inlineStr">
        <is>
          <t>Övriga Aktiebolag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36430-2024</t>
        </is>
      </c>
      <c r="B1780" s="1" t="n">
        <v>45536</v>
      </c>
      <c r="C1780" s="1" t="n">
        <v>45827</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36556-2024</t>
        </is>
      </c>
      <c r="B1781" s="1" t="n">
        <v>45537</v>
      </c>
      <c r="C1781" s="1" t="n">
        <v>45827</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36625-2024</t>
        </is>
      </c>
      <c r="B1782" s="1" t="n">
        <v>45537</v>
      </c>
      <c r="C1782" s="1" t="n">
        <v>45827</v>
      </c>
      <c r="D1782" t="inlineStr">
        <is>
          <t>STOCKHOLMS LÄN</t>
        </is>
      </c>
      <c r="E1782" t="inlineStr">
        <is>
          <t>NORRTÄLJE</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37273-2024</t>
        </is>
      </c>
      <c r="B1783" s="1" t="n">
        <v>45540</v>
      </c>
      <c r="C1783" s="1" t="n">
        <v>45827</v>
      </c>
      <c r="D1783" t="inlineStr">
        <is>
          <t>STOCKHOLMS LÄN</t>
        </is>
      </c>
      <c r="E1783" t="inlineStr">
        <is>
          <t>NORRTÄLJE</t>
        </is>
      </c>
      <c r="F1783" t="inlineStr">
        <is>
          <t>Sveaskog</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37663-2024</t>
        </is>
      </c>
      <c r="B1784" s="1" t="n">
        <v>45541</v>
      </c>
      <c r="C1784" s="1" t="n">
        <v>45827</v>
      </c>
      <c r="D1784" t="inlineStr">
        <is>
          <t>STOCKHOLMS LÄN</t>
        </is>
      </c>
      <c r="E1784" t="inlineStr">
        <is>
          <t>NORRTÄLJE</t>
        </is>
      </c>
      <c r="F1784" t="inlineStr">
        <is>
          <t>Holmen skog AB</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37684-2024</t>
        </is>
      </c>
      <c r="B1785" s="1" t="n">
        <v>45541</v>
      </c>
      <c r="C1785" s="1" t="n">
        <v>45827</v>
      </c>
      <c r="D1785" t="inlineStr">
        <is>
          <t>STOCKHOLMS LÄN</t>
        </is>
      </c>
      <c r="E1785" t="inlineStr">
        <is>
          <t>NORRTÄLJE</t>
        </is>
      </c>
      <c r="F1785" t="inlineStr">
        <is>
          <t>Holmen skog AB</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37980-2024</t>
        </is>
      </c>
      <c r="B1786" s="1" t="n">
        <v>45544</v>
      </c>
      <c r="C1786" s="1" t="n">
        <v>45827</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38073-2024</t>
        </is>
      </c>
      <c r="B1787" s="1" t="n">
        <v>45544</v>
      </c>
      <c r="C1787" s="1" t="n">
        <v>45827</v>
      </c>
      <c r="D1787" t="inlineStr">
        <is>
          <t>STOCKHOLMS LÄN</t>
        </is>
      </c>
      <c r="E1787" t="inlineStr">
        <is>
          <t>NORRTÄLJE</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38878-2024</t>
        </is>
      </c>
      <c r="B1788" s="1" t="n">
        <v>45547</v>
      </c>
      <c r="C1788" s="1" t="n">
        <v>45827</v>
      </c>
      <c r="D1788" t="inlineStr">
        <is>
          <t>STOCKHOLMS LÄN</t>
        </is>
      </c>
      <c r="E1788" t="inlineStr">
        <is>
          <t>NORRTÄLJE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38889-2024</t>
        </is>
      </c>
      <c r="B1789" s="1" t="n">
        <v>45547</v>
      </c>
      <c r="C1789" s="1" t="n">
        <v>45827</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39203-2024</t>
        </is>
      </c>
      <c r="B1790" s="1" t="n">
        <v>45548</v>
      </c>
      <c r="C1790" s="1" t="n">
        <v>45827</v>
      </c>
      <c r="D1790" t="inlineStr">
        <is>
          <t>STOCKHOLMS LÄN</t>
        </is>
      </c>
      <c r="E1790" t="inlineStr">
        <is>
          <t>NORRTÄLJE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39202-2024</t>
        </is>
      </c>
      <c r="B1791" s="1" t="n">
        <v>45548</v>
      </c>
      <c r="C1791" s="1" t="n">
        <v>45827</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39238-2024</t>
        </is>
      </c>
      <c r="B1792" s="1" t="n">
        <v>45549</v>
      </c>
      <c r="C1792" s="1" t="n">
        <v>45827</v>
      </c>
      <c r="D1792" t="inlineStr">
        <is>
          <t>STOCKHOLMS LÄN</t>
        </is>
      </c>
      <c r="E1792" t="inlineStr">
        <is>
          <t>NORRTÄLJE</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39237-2024</t>
        </is>
      </c>
      <c r="B1793" s="1" t="n">
        <v>45549</v>
      </c>
      <c r="C1793" s="1" t="n">
        <v>45827</v>
      </c>
      <c r="D1793" t="inlineStr">
        <is>
          <t>STOCKHOLMS LÄN</t>
        </is>
      </c>
      <c r="E1793" t="inlineStr">
        <is>
          <t>NORRTÄLJE</t>
        </is>
      </c>
      <c r="G1793" t="n">
        <v>13.3</v>
      </c>
      <c r="H1793" t="n">
        <v>0</v>
      </c>
      <c r="I1793" t="n">
        <v>0</v>
      </c>
      <c r="J1793" t="n">
        <v>0</v>
      </c>
      <c r="K1793" t="n">
        <v>0</v>
      </c>
      <c r="L1793" t="n">
        <v>0</v>
      </c>
      <c r="M1793" t="n">
        <v>0</v>
      </c>
      <c r="N1793" t="n">
        <v>0</v>
      </c>
      <c r="O1793" t="n">
        <v>0</v>
      </c>
      <c r="P1793" t="n">
        <v>0</v>
      </c>
      <c r="Q1793" t="n">
        <v>0</v>
      </c>
      <c r="R1793" s="2" t="inlineStr"/>
    </row>
    <row r="1794" ht="15" customHeight="1">
      <c r="A1794" t="inlineStr">
        <is>
          <t>A 39669-2024</t>
        </is>
      </c>
      <c r="B1794" s="1" t="n">
        <v>45552</v>
      </c>
      <c r="C1794" s="1" t="n">
        <v>45827</v>
      </c>
      <c r="D1794" t="inlineStr">
        <is>
          <t>STOCKHOLMS LÄN</t>
        </is>
      </c>
      <c r="E1794" t="inlineStr">
        <is>
          <t>NORRTÄLJE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39667-2024</t>
        </is>
      </c>
      <c r="B1795" s="1" t="n">
        <v>45552</v>
      </c>
      <c r="C1795" s="1" t="n">
        <v>45827</v>
      </c>
      <c r="D1795" t="inlineStr">
        <is>
          <t>STOCKHOLMS LÄN</t>
        </is>
      </c>
      <c r="E1795" t="inlineStr">
        <is>
          <t>NORRTÄLJE</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39913-2024</t>
        </is>
      </c>
      <c r="B1796" s="1" t="n">
        <v>45553</v>
      </c>
      <c r="C1796" s="1" t="n">
        <v>45827</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40175-2024</t>
        </is>
      </c>
      <c r="B1797" s="1" t="n">
        <v>45554</v>
      </c>
      <c r="C1797" s="1" t="n">
        <v>45827</v>
      </c>
      <c r="D1797" t="inlineStr">
        <is>
          <t>STOCKHOLMS LÄN</t>
        </is>
      </c>
      <c r="E1797" t="inlineStr">
        <is>
          <t>NORRTÄLJE</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40761-2024</t>
        </is>
      </c>
      <c r="B1798" s="1" t="n">
        <v>45558</v>
      </c>
      <c r="C1798" s="1" t="n">
        <v>45827</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41219-2024</t>
        </is>
      </c>
      <c r="B1799" s="1" t="n">
        <v>45559</v>
      </c>
      <c r="C1799" s="1" t="n">
        <v>45827</v>
      </c>
      <c r="D1799" t="inlineStr">
        <is>
          <t>STOCKHOLMS LÄN</t>
        </is>
      </c>
      <c r="E1799" t="inlineStr">
        <is>
          <t>NORRTÄLJE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41218-2024</t>
        </is>
      </c>
      <c r="B1800" s="1" t="n">
        <v>45559</v>
      </c>
      <c r="C1800" s="1" t="n">
        <v>45827</v>
      </c>
      <c r="D1800" t="inlineStr">
        <is>
          <t>STOCKHOLMS LÄN</t>
        </is>
      </c>
      <c r="E1800" t="inlineStr">
        <is>
          <t>NORRTÄLJE</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41243-2024</t>
        </is>
      </c>
      <c r="B1801" s="1" t="n">
        <v>45559</v>
      </c>
      <c r="C1801" s="1" t="n">
        <v>45827</v>
      </c>
      <c r="D1801" t="inlineStr">
        <is>
          <t>STOCKHOLMS LÄN</t>
        </is>
      </c>
      <c r="E1801" t="inlineStr">
        <is>
          <t>NORRTÄLJE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41253-2024</t>
        </is>
      </c>
      <c r="B1802" s="1" t="n">
        <v>45559</v>
      </c>
      <c r="C1802" s="1" t="n">
        <v>45827</v>
      </c>
      <c r="D1802" t="inlineStr">
        <is>
          <t>STOCKHOLMS LÄN</t>
        </is>
      </c>
      <c r="E1802" t="inlineStr">
        <is>
          <t>NORRTÄLJE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41310-2024</t>
        </is>
      </c>
      <c r="B1803" s="1" t="n">
        <v>45559</v>
      </c>
      <c r="C1803" s="1" t="n">
        <v>45827</v>
      </c>
      <c r="D1803" t="inlineStr">
        <is>
          <t>STOCKHOLMS LÄN</t>
        </is>
      </c>
      <c r="E1803" t="inlineStr">
        <is>
          <t>NORRTÄLJE</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41342-2024</t>
        </is>
      </c>
      <c r="B1804" s="1" t="n">
        <v>45559</v>
      </c>
      <c r="C1804" s="1" t="n">
        <v>45827</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41976-2024</t>
        </is>
      </c>
      <c r="B1805" s="1" t="n">
        <v>45561</v>
      </c>
      <c r="C1805" s="1" t="n">
        <v>45827</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44032-2024</t>
        </is>
      </c>
      <c r="B1806" s="1" t="n">
        <v>45572</v>
      </c>
      <c r="C1806" s="1" t="n">
        <v>45827</v>
      </c>
      <c r="D1806" t="inlineStr">
        <is>
          <t>STOCKHOLMS LÄN</t>
        </is>
      </c>
      <c r="E1806" t="inlineStr">
        <is>
          <t>NORRTÄLJE</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44776-2024</t>
        </is>
      </c>
      <c r="B1807" s="1" t="n">
        <v>45574</v>
      </c>
      <c r="C1807" s="1" t="n">
        <v>45827</v>
      </c>
      <c r="D1807" t="inlineStr">
        <is>
          <t>STOCKHOLMS LÄN</t>
        </is>
      </c>
      <c r="E1807" t="inlineStr">
        <is>
          <t>NORRTÄLJE</t>
        </is>
      </c>
      <c r="G1807" t="n">
        <v>12.6</v>
      </c>
      <c r="H1807" t="n">
        <v>0</v>
      </c>
      <c r="I1807" t="n">
        <v>0</v>
      </c>
      <c r="J1807" t="n">
        <v>0</v>
      </c>
      <c r="K1807" t="n">
        <v>0</v>
      </c>
      <c r="L1807" t="n">
        <v>0</v>
      </c>
      <c r="M1807" t="n">
        <v>0</v>
      </c>
      <c r="N1807" t="n">
        <v>0</v>
      </c>
      <c r="O1807" t="n">
        <v>0</v>
      </c>
      <c r="P1807" t="n">
        <v>0</v>
      </c>
      <c r="Q1807" t="n">
        <v>0</v>
      </c>
      <c r="R1807" s="2" t="inlineStr"/>
    </row>
    <row r="1808" ht="15" customHeight="1">
      <c r="A1808" t="inlineStr">
        <is>
          <t>A 44821-2024</t>
        </is>
      </c>
      <c r="B1808" s="1" t="n">
        <v>45574</v>
      </c>
      <c r="C1808" s="1" t="n">
        <v>45827</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45220-2024</t>
        </is>
      </c>
      <c r="B1809" s="1" t="n">
        <v>45575</v>
      </c>
      <c r="C1809" s="1" t="n">
        <v>45827</v>
      </c>
      <c r="D1809" t="inlineStr">
        <is>
          <t>STOCKHOLMS LÄN</t>
        </is>
      </c>
      <c r="E1809" t="inlineStr">
        <is>
          <t>NORRTÄLJE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45254-2024</t>
        </is>
      </c>
      <c r="B1810" s="1" t="n">
        <v>45576</v>
      </c>
      <c r="C1810" s="1" t="n">
        <v>45827</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45451-2024</t>
        </is>
      </c>
      <c r="B1811" s="1" t="n">
        <v>45576</v>
      </c>
      <c r="C1811" s="1" t="n">
        <v>45827</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45247-2024</t>
        </is>
      </c>
      <c r="B1812" s="1" t="n">
        <v>45576</v>
      </c>
      <c r="C1812" s="1" t="n">
        <v>45827</v>
      </c>
      <c r="D1812" t="inlineStr">
        <is>
          <t>STOCKHOLMS LÄN</t>
        </is>
      </c>
      <c r="E1812" t="inlineStr">
        <is>
          <t>NORRTÄLJE</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45739-2024</t>
        </is>
      </c>
      <c r="B1813" s="1" t="n">
        <v>45579</v>
      </c>
      <c r="C1813" s="1" t="n">
        <v>45827</v>
      </c>
      <c r="D1813" t="inlineStr">
        <is>
          <t>STOCKHOLMS LÄN</t>
        </is>
      </c>
      <c r="E1813" t="inlineStr">
        <is>
          <t>NORRTÄLJE</t>
        </is>
      </c>
      <c r="G1813" t="n">
        <v>21.9</v>
      </c>
      <c r="H1813" t="n">
        <v>0</v>
      </c>
      <c r="I1813" t="n">
        <v>0</v>
      </c>
      <c r="J1813" t="n">
        <v>0</v>
      </c>
      <c r="K1813" t="n">
        <v>0</v>
      </c>
      <c r="L1813" t="n">
        <v>0</v>
      </c>
      <c r="M1813" t="n">
        <v>0</v>
      </c>
      <c r="N1813" t="n">
        <v>0</v>
      </c>
      <c r="O1813" t="n">
        <v>0</v>
      </c>
      <c r="P1813" t="n">
        <v>0</v>
      </c>
      <c r="Q1813" t="n">
        <v>0</v>
      </c>
      <c r="R1813" s="2" t="inlineStr"/>
    </row>
    <row r="1814" ht="15" customHeight="1">
      <c r="A1814" t="inlineStr">
        <is>
          <t>A 45746-2024</t>
        </is>
      </c>
      <c r="B1814" s="1" t="n">
        <v>45579</v>
      </c>
      <c r="C1814" s="1" t="n">
        <v>45827</v>
      </c>
      <c r="D1814" t="inlineStr">
        <is>
          <t>STOCKHOLMS LÄN</t>
        </is>
      </c>
      <c r="E1814" t="inlineStr">
        <is>
          <t>NORRTÄLJE</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46073-2024</t>
        </is>
      </c>
      <c r="B1815" s="1" t="n">
        <v>45581</v>
      </c>
      <c r="C1815" s="1" t="n">
        <v>45827</v>
      </c>
      <c r="D1815" t="inlineStr">
        <is>
          <t>STOCKHOLMS LÄN</t>
        </is>
      </c>
      <c r="E1815" t="inlineStr">
        <is>
          <t>NORRTÄLJE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46326-2024</t>
        </is>
      </c>
      <c r="B1816" s="1" t="n">
        <v>45581</v>
      </c>
      <c r="C1816" s="1" t="n">
        <v>45827</v>
      </c>
      <c r="D1816" t="inlineStr">
        <is>
          <t>STOCKHOLMS LÄN</t>
        </is>
      </c>
      <c r="E1816" t="inlineStr">
        <is>
          <t>NORRTÄLJE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46071-2024</t>
        </is>
      </c>
      <c r="B1817" s="1" t="n">
        <v>45581</v>
      </c>
      <c r="C1817" s="1" t="n">
        <v>45827</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46333-2024</t>
        </is>
      </c>
      <c r="B1818" s="1" t="n">
        <v>45581</v>
      </c>
      <c r="C1818" s="1" t="n">
        <v>45827</v>
      </c>
      <c r="D1818" t="inlineStr">
        <is>
          <t>STOCKHOLMS LÄN</t>
        </is>
      </c>
      <c r="E1818" t="inlineStr">
        <is>
          <t>NORRTÄLJE</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46448-2024</t>
        </is>
      </c>
      <c r="B1819" s="1" t="n">
        <v>45582</v>
      </c>
      <c r="C1819" s="1" t="n">
        <v>45827</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46988-2024</t>
        </is>
      </c>
      <c r="B1820" s="1" t="n">
        <v>45586</v>
      </c>
      <c r="C1820" s="1" t="n">
        <v>45827</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47257-2024</t>
        </is>
      </c>
      <c r="B1821" s="1" t="n">
        <v>45586</v>
      </c>
      <c r="C1821" s="1" t="n">
        <v>45827</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47259-2024</t>
        </is>
      </c>
      <c r="B1822" s="1" t="n">
        <v>45586</v>
      </c>
      <c r="C1822" s="1" t="n">
        <v>45827</v>
      </c>
      <c r="D1822" t="inlineStr">
        <is>
          <t>STOCKHOLMS LÄN</t>
        </is>
      </c>
      <c r="E1822" t="inlineStr">
        <is>
          <t>NORRTÄLJE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47521-2024</t>
        </is>
      </c>
      <c r="B1823" s="1" t="n">
        <v>45587</v>
      </c>
      <c r="C1823" s="1" t="n">
        <v>45827</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47481-2024</t>
        </is>
      </c>
      <c r="B1824" s="1" t="n">
        <v>45587</v>
      </c>
      <c r="C1824" s="1" t="n">
        <v>45827</v>
      </c>
      <c r="D1824" t="inlineStr">
        <is>
          <t>STOCKHOLMS LÄN</t>
        </is>
      </c>
      <c r="E1824" t="inlineStr">
        <is>
          <t>NORRTÄLJE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48145-2024</t>
        </is>
      </c>
      <c r="B1825" s="1" t="n">
        <v>45589</v>
      </c>
      <c r="C1825" s="1" t="n">
        <v>45827</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48151-2024</t>
        </is>
      </c>
      <c r="B1826" s="1" t="n">
        <v>45589</v>
      </c>
      <c r="C1826" s="1" t="n">
        <v>45827</v>
      </c>
      <c r="D1826" t="inlineStr">
        <is>
          <t>STOCKHOLMS LÄN</t>
        </is>
      </c>
      <c r="E1826" t="inlineStr">
        <is>
          <t>NORRTÄLJE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48564-2024</t>
        </is>
      </c>
      <c r="B1827" s="1" t="n">
        <v>45593</v>
      </c>
      <c r="C1827" s="1" t="n">
        <v>45827</v>
      </c>
      <c r="D1827" t="inlineStr">
        <is>
          <t>STOCKHOLMS LÄN</t>
        </is>
      </c>
      <c r="E1827" t="inlineStr">
        <is>
          <t>NORRTÄLJE</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48548-2024</t>
        </is>
      </c>
      <c r="B1828" s="1" t="n">
        <v>45593</v>
      </c>
      <c r="C1828" s="1" t="n">
        <v>45827</v>
      </c>
      <c r="D1828" t="inlineStr">
        <is>
          <t>STOCKHOLMS LÄN</t>
        </is>
      </c>
      <c r="E1828" t="inlineStr">
        <is>
          <t>NORRTÄLJE</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48852-2024</t>
        </is>
      </c>
      <c r="B1829" s="1" t="n">
        <v>45593</v>
      </c>
      <c r="C1829" s="1" t="n">
        <v>45827</v>
      </c>
      <c r="D1829" t="inlineStr">
        <is>
          <t>STOCKHOLMS LÄN</t>
        </is>
      </c>
      <c r="E1829" t="inlineStr">
        <is>
          <t>NORRTÄLJE</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48850-2024</t>
        </is>
      </c>
      <c r="B1830" s="1" t="n">
        <v>45593</v>
      </c>
      <c r="C1830" s="1" t="n">
        <v>45827</v>
      </c>
      <c r="D1830" t="inlineStr">
        <is>
          <t>STOCKHOLMS LÄN</t>
        </is>
      </c>
      <c r="E1830" t="inlineStr">
        <is>
          <t>NORRTÄLJE</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48851-2024</t>
        </is>
      </c>
      <c r="B1831" s="1" t="n">
        <v>45593</v>
      </c>
      <c r="C1831" s="1" t="n">
        <v>45827</v>
      </c>
      <c r="D1831" t="inlineStr">
        <is>
          <t>STOCKHOLMS LÄN</t>
        </is>
      </c>
      <c r="E1831" t="inlineStr">
        <is>
          <t>NORRTÄLJE</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49949-2024</t>
        </is>
      </c>
      <c r="B1832" s="1" t="n">
        <v>45597</v>
      </c>
      <c r="C1832" s="1" t="n">
        <v>45827</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50113-2024</t>
        </is>
      </c>
      <c r="B1833" s="1" t="n">
        <v>45600</v>
      </c>
      <c r="C1833" s="1" t="n">
        <v>45827</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50355-2024</t>
        </is>
      </c>
      <c r="B1834" s="1" t="n">
        <v>45600</v>
      </c>
      <c r="C1834" s="1" t="n">
        <v>45827</v>
      </c>
      <c r="D1834" t="inlineStr">
        <is>
          <t>STOCKHOLMS LÄN</t>
        </is>
      </c>
      <c r="E1834" t="inlineStr">
        <is>
          <t>NORRTÄLJE</t>
        </is>
      </c>
      <c r="F1834" t="inlineStr">
        <is>
          <t>Kommuner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50154-2024</t>
        </is>
      </c>
      <c r="B1835" s="1" t="n">
        <v>45600</v>
      </c>
      <c r="C1835" s="1" t="n">
        <v>45827</v>
      </c>
      <c r="D1835" t="inlineStr">
        <is>
          <t>STOCKHOLMS LÄN</t>
        </is>
      </c>
      <c r="E1835" t="inlineStr">
        <is>
          <t>NORRTÄLJE</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50182-2024</t>
        </is>
      </c>
      <c r="B1836" s="1" t="n">
        <v>45600</v>
      </c>
      <c r="C1836" s="1" t="n">
        <v>45827</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50534-2024</t>
        </is>
      </c>
      <c r="B1837" s="1" t="n">
        <v>45601</v>
      </c>
      <c r="C1837" s="1" t="n">
        <v>45827</v>
      </c>
      <c r="D1837" t="inlineStr">
        <is>
          <t>STOCKHOLMS LÄN</t>
        </is>
      </c>
      <c r="E1837" t="inlineStr">
        <is>
          <t>NORRTÄLJE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52287-2024</t>
        </is>
      </c>
      <c r="B1838" s="1" t="n">
        <v>45608</v>
      </c>
      <c r="C1838" s="1" t="n">
        <v>45827</v>
      </c>
      <c r="D1838" t="inlineStr">
        <is>
          <t>STOCKHOLMS LÄN</t>
        </is>
      </c>
      <c r="E1838" t="inlineStr">
        <is>
          <t>NORRTÄLJE</t>
        </is>
      </c>
      <c r="F1838" t="inlineStr">
        <is>
          <t>Holmen skog AB</t>
        </is>
      </c>
      <c r="G1838" t="n">
        <v>16.1</v>
      </c>
      <c r="H1838" t="n">
        <v>0</v>
      </c>
      <c r="I1838" t="n">
        <v>0</v>
      </c>
      <c r="J1838" t="n">
        <v>0</v>
      </c>
      <c r="K1838" t="n">
        <v>0</v>
      </c>
      <c r="L1838" t="n">
        <v>0</v>
      </c>
      <c r="M1838" t="n">
        <v>0</v>
      </c>
      <c r="N1838" t="n">
        <v>0</v>
      </c>
      <c r="O1838" t="n">
        <v>0</v>
      </c>
      <c r="P1838" t="n">
        <v>0</v>
      </c>
      <c r="Q1838" t="n">
        <v>0</v>
      </c>
      <c r="R1838" s="2" t="inlineStr"/>
    </row>
    <row r="1839" ht="15" customHeight="1">
      <c r="A1839" t="inlineStr">
        <is>
          <t>A 52321-2024</t>
        </is>
      </c>
      <c r="B1839" s="1" t="n">
        <v>45608</v>
      </c>
      <c r="C1839" s="1" t="n">
        <v>45827</v>
      </c>
      <c r="D1839" t="inlineStr">
        <is>
          <t>STOCKHOLMS LÄN</t>
        </is>
      </c>
      <c r="E1839" t="inlineStr">
        <is>
          <t>NORRTÄLJE</t>
        </is>
      </c>
      <c r="G1839" t="n">
        <v>18.1</v>
      </c>
      <c r="H1839" t="n">
        <v>0</v>
      </c>
      <c r="I1839" t="n">
        <v>0</v>
      </c>
      <c r="J1839" t="n">
        <v>0</v>
      </c>
      <c r="K1839" t="n">
        <v>0</v>
      </c>
      <c r="L1839" t="n">
        <v>0</v>
      </c>
      <c r="M1839" t="n">
        <v>0</v>
      </c>
      <c r="N1839" t="n">
        <v>0</v>
      </c>
      <c r="O1839" t="n">
        <v>0</v>
      </c>
      <c r="P1839" t="n">
        <v>0</v>
      </c>
      <c r="Q1839" t="n">
        <v>0</v>
      </c>
      <c r="R1839" s="2" t="inlineStr"/>
    </row>
    <row r="1840" ht="15" customHeight="1">
      <c r="A1840" t="inlineStr">
        <is>
          <t>A 52407-2024</t>
        </is>
      </c>
      <c r="B1840" s="1" t="n">
        <v>45609</v>
      </c>
      <c r="C1840" s="1" t="n">
        <v>45827</v>
      </c>
      <c r="D1840" t="inlineStr">
        <is>
          <t>STOCKHOLMS LÄN</t>
        </is>
      </c>
      <c r="E1840" t="inlineStr">
        <is>
          <t>NORRTÄLJE</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52615-2024</t>
        </is>
      </c>
      <c r="B1841" s="1" t="n">
        <v>45609</v>
      </c>
      <c r="C1841" s="1" t="n">
        <v>45827</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52614-2024</t>
        </is>
      </c>
      <c r="B1842" s="1" t="n">
        <v>45609</v>
      </c>
      <c r="C1842" s="1" t="n">
        <v>45827</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52618-2024</t>
        </is>
      </c>
      <c r="B1843" s="1" t="n">
        <v>45609</v>
      </c>
      <c r="C1843" s="1" t="n">
        <v>45827</v>
      </c>
      <c r="D1843" t="inlineStr">
        <is>
          <t>STOCKHOLMS LÄN</t>
        </is>
      </c>
      <c r="E1843" t="inlineStr">
        <is>
          <t>NORRTÄLJE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52593-2024</t>
        </is>
      </c>
      <c r="B1844" s="1" t="n">
        <v>45609</v>
      </c>
      <c r="C1844" s="1" t="n">
        <v>45827</v>
      </c>
      <c r="D1844" t="inlineStr">
        <is>
          <t>STOCKHOLMS LÄN</t>
        </is>
      </c>
      <c r="E1844" t="inlineStr">
        <is>
          <t>NORRTÄLJE</t>
        </is>
      </c>
      <c r="F1844" t="inlineStr">
        <is>
          <t>Holmen skog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52617-2024</t>
        </is>
      </c>
      <c r="B1845" s="1" t="n">
        <v>45609</v>
      </c>
      <c r="C1845" s="1" t="n">
        <v>45827</v>
      </c>
      <c r="D1845" t="inlineStr">
        <is>
          <t>STOCKHOLMS LÄN</t>
        </is>
      </c>
      <c r="E1845" t="inlineStr">
        <is>
          <t>NORRTÄLJE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52715-2024</t>
        </is>
      </c>
      <c r="B1846" s="1" t="n">
        <v>45610</v>
      </c>
      <c r="C1846" s="1" t="n">
        <v>45827</v>
      </c>
      <c r="D1846" t="inlineStr">
        <is>
          <t>STOCKHOLMS LÄN</t>
        </is>
      </c>
      <c r="E1846" t="inlineStr">
        <is>
          <t>NORRTÄLJE</t>
        </is>
      </c>
      <c r="G1846" t="n">
        <v>11.1</v>
      </c>
      <c r="H1846" t="n">
        <v>0</v>
      </c>
      <c r="I1846" t="n">
        <v>0</v>
      </c>
      <c r="J1846" t="n">
        <v>0</v>
      </c>
      <c r="K1846" t="n">
        <v>0</v>
      </c>
      <c r="L1846" t="n">
        <v>0</v>
      </c>
      <c r="M1846" t="n">
        <v>0</v>
      </c>
      <c r="N1846" t="n">
        <v>0</v>
      </c>
      <c r="O1846" t="n">
        <v>0</v>
      </c>
      <c r="P1846" t="n">
        <v>0</v>
      </c>
      <c r="Q1846" t="n">
        <v>0</v>
      </c>
      <c r="R1846" s="2" t="inlineStr"/>
      <c r="U1846">
        <f>HYPERLINK("https://klasma.github.io/Logging_0188/knärot/A 52715-2024 karta knärot.png", "A 52715-2024")</f>
        <v/>
      </c>
      <c r="V1846">
        <f>HYPERLINK("https://klasma.github.io/Logging_0188/klagomål/A 52715-2024 FSC-klagomål.docx", "A 52715-2024")</f>
        <v/>
      </c>
      <c r="W1846">
        <f>HYPERLINK("https://klasma.github.io/Logging_0188/klagomålsmail/A 52715-2024 FSC-klagomål mail.docx", "A 52715-2024")</f>
        <v/>
      </c>
      <c r="X1846">
        <f>HYPERLINK("https://klasma.github.io/Logging_0188/tillsyn/A 52715-2024 tillsynsbegäran.docx", "A 52715-2024")</f>
        <v/>
      </c>
      <c r="Y1846">
        <f>HYPERLINK("https://klasma.github.io/Logging_0188/tillsynsmail/A 52715-2024 tillsynsbegäran mail.docx", "A 52715-2024")</f>
        <v/>
      </c>
    </row>
    <row r="1847" ht="15" customHeight="1">
      <c r="A1847" t="inlineStr">
        <is>
          <t>A 52743-2024</t>
        </is>
      </c>
      <c r="B1847" s="1" t="n">
        <v>45610</v>
      </c>
      <c r="C1847" s="1" t="n">
        <v>45827</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52686-2024</t>
        </is>
      </c>
      <c r="B1848" s="1" t="n">
        <v>45610</v>
      </c>
      <c r="C1848" s="1" t="n">
        <v>45827</v>
      </c>
      <c r="D1848" t="inlineStr">
        <is>
          <t>STOCKHOLMS LÄN</t>
        </is>
      </c>
      <c r="E1848" t="inlineStr">
        <is>
          <t>NORRTÄLJE</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53312-2024</t>
        </is>
      </c>
      <c r="B1849" s="1" t="n">
        <v>45614</v>
      </c>
      <c r="C1849" s="1" t="n">
        <v>45827</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53305-2024</t>
        </is>
      </c>
      <c r="B1850" s="1" t="n">
        <v>45614</v>
      </c>
      <c r="C1850" s="1" t="n">
        <v>45827</v>
      </c>
      <c r="D1850" t="inlineStr">
        <is>
          <t>STOCKHOLMS LÄN</t>
        </is>
      </c>
      <c r="E1850" t="inlineStr">
        <is>
          <t>NORRTÄLJE</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54113-2024</t>
        </is>
      </c>
      <c r="B1851" s="1" t="n">
        <v>45616</v>
      </c>
      <c r="C1851" s="1" t="n">
        <v>45827</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54315-2024</t>
        </is>
      </c>
      <c r="B1852" s="1" t="n">
        <v>45617</v>
      </c>
      <c r="C1852" s="1" t="n">
        <v>45827</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54558-2024</t>
        </is>
      </c>
      <c r="B1853" s="1" t="n">
        <v>45617</v>
      </c>
      <c r="C1853" s="1" t="n">
        <v>45827</v>
      </c>
      <c r="D1853" t="inlineStr">
        <is>
          <t>STOCKHOLMS LÄN</t>
        </is>
      </c>
      <c r="E1853" t="inlineStr">
        <is>
          <t>NORRTÄLJE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54496-2024</t>
        </is>
      </c>
      <c r="B1854" s="1" t="n">
        <v>45617</v>
      </c>
      <c r="C1854" s="1" t="n">
        <v>45827</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54504-2024</t>
        </is>
      </c>
      <c r="B1855" s="1" t="n">
        <v>45617</v>
      </c>
      <c r="C1855" s="1" t="n">
        <v>45827</v>
      </c>
      <c r="D1855" t="inlineStr">
        <is>
          <t>STOCKHOLMS LÄN</t>
        </is>
      </c>
      <c r="E1855" t="inlineStr">
        <is>
          <t>NORRTÄLJE</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55018-2024</t>
        </is>
      </c>
      <c r="B1856" s="1" t="n">
        <v>45621</v>
      </c>
      <c r="C1856" s="1" t="n">
        <v>45827</v>
      </c>
      <c r="D1856" t="inlineStr">
        <is>
          <t>STOCKHOLMS LÄN</t>
        </is>
      </c>
      <c r="E1856" t="inlineStr">
        <is>
          <t>NORRTÄLJE</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55010-2024</t>
        </is>
      </c>
      <c r="B1857" s="1" t="n">
        <v>45621</v>
      </c>
      <c r="C1857" s="1" t="n">
        <v>45827</v>
      </c>
      <c r="D1857" t="inlineStr">
        <is>
          <t>STOCKHOLMS LÄN</t>
        </is>
      </c>
      <c r="E1857" t="inlineStr">
        <is>
          <t>NORRTÄLJE</t>
        </is>
      </c>
      <c r="F1857" t="inlineStr">
        <is>
          <t>Sveaskog</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55287-2024</t>
        </is>
      </c>
      <c r="B1858" s="1" t="n">
        <v>45621</v>
      </c>
      <c r="C1858" s="1" t="n">
        <v>45827</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55012-2024</t>
        </is>
      </c>
      <c r="B1859" s="1" t="n">
        <v>45621</v>
      </c>
      <c r="C1859" s="1" t="n">
        <v>45827</v>
      </c>
      <c r="D1859" t="inlineStr">
        <is>
          <t>STOCKHOLMS LÄN</t>
        </is>
      </c>
      <c r="E1859" t="inlineStr">
        <is>
          <t>NORRTÄLJE</t>
        </is>
      </c>
      <c r="F1859" t="inlineStr">
        <is>
          <t>Sveaskog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55952-2024</t>
        </is>
      </c>
      <c r="B1860" s="1" t="n">
        <v>45623</v>
      </c>
      <c r="C1860" s="1" t="n">
        <v>45827</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56631-2024</t>
        </is>
      </c>
      <c r="B1861" s="1" t="n">
        <v>45625</v>
      </c>
      <c r="C1861" s="1" t="n">
        <v>45827</v>
      </c>
      <c r="D1861" t="inlineStr">
        <is>
          <t>STOCKHOLMS LÄN</t>
        </is>
      </c>
      <c r="E1861" t="inlineStr">
        <is>
          <t>NORRTÄLJE</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57155-2024</t>
        </is>
      </c>
      <c r="B1862" s="1" t="n">
        <v>45629</v>
      </c>
      <c r="C1862" s="1" t="n">
        <v>45827</v>
      </c>
      <c r="D1862" t="inlineStr">
        <is>
          <t>STOCKHOLMS LÄN</t>
        </is>
      </c>
      <c r="E1862" t="inlineStr">
        <is>
          <t>NORRTÄLJE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57353-2024</t>
        </is>
      </c>
      <c r="B1863" s="1" t="n">
        <v>45629</v>
      </c>
      <c r="C1863" s="1" t="n">
        <v>45827</v>
      </c>
      <c r="D1863" t="inlineStr">
        <is>
          <t>STOCKHOLMS LÄN</t>
        </is>
      </c>
      <c r="E1863" t="inlineStr">
        <is>
          <t>NORRTÄLJE</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57602-2024</t>
        </is>
      </c>
      <c r="B1864" s="1" t="n">
        <v>45630</v>
      </c>
      <c r="C1864" s="1" t="n">
        <v>45827</v>
      </c>
      <c r="D1864" t="inlineStr">
        <is>
          <t>STOCKHOLMS LÄN</t>
        </is>
      </c>
      <c r="E1864" t="inlineStr">
        <is>
          <t>NORRTÄLJE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58040-2024</t>
        </is>
      </c>
      <c r="B1865" s="1" t="n">
        <v>45631</v>
      </c>
      <c r="C1865" s="1" t="n">
        <v>45827</v>
      </c>
      <c r="D1865" t="inlineStr">
        <is>
          <t>STOCKHOLMS LÄN</t>
        </is>
      </c>
      <c r="E1865" t="inlineStr">
        <is>
          <t>NORRTÄLJE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58041-2024</t>
        </is>
      </c>
      <c r="B1866" s="1" t="n">
        <v>45631</v>
      </c>
      <c r="C1866" s="1" t="n">
        <v>45827</v>
      </c>
      <c r="D1866" t="inlineStr">
        <is>
          <t>STOCKHOLMS LÄN</t>
        </is>
      </c>
      <c r="E1866" t="inlineStr">
        <is>
          <t>NORRTÄLJE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58530-2024</t>
        </is>
      </c>
      <c r="B1867" s="1" t="n">
        <v>45635</v>
      </c>
      <c r="C1867" s="1" t="n">
        <v>45827</v>
      </c>
      <c r="D1867" t="inlineStr">
        <is>
          <t>STOCKHOLMS LÄN</t>
        </is>
      </c>
      <c r="E1867" t="inlineStr">
        <is>
          <t>NORRTÄLJE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58785-2024</t>
        </is>
      </c>
      <c r="B1868" s="1" t="n">
        <v>45635</v>
      </c>
      <c r="C1868" s="1" t="n">
        <v>45827</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58863-2024</t>
        </is>
      </c>
      <c r="B1869" s="1" t="n">
        <v>45636</v>
      </c>
      <c r="C1869" s="1" t="n">
        <v>45827</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58853-2024</t>
        </is>
      </c>
      <c r="B1870" s="1" t="n">
        <v>45636</v>
      </c>
      <c r="C1870" s="1" t="n">
        <v>45827</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59091-2024</t>
        </is>
      </c>
      <c r="B1871" s="1" t="n">
        <v>45637</v>
      </c>
      <c r="C1871" s="1" t="n">
        <v>45827</v>
      </c>
      <c r="D1871" t="inlineStr">
        <is>
          <t>STOCKHOLMS LÄN</t>
        </is>
      </c>
      <c r="E1871" t="inlineStr">
        <is>
          <t>NORRTÄLJE</t>
        </is>
      </c>
      <c r="F1871" t="inlineStr">
        <is>
          <t>Övriga Aktiebolag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59274-2024</t>
        </is>
      </c>
      <c r="B1872" s="1" t="n">
        <v>45637</v>
      </c>
      <c r="C1872" s="1" t="n">
        <v>45827</v>
      </c>
      <c r="D1872" t="inlineStr">
        <is>
          <t>STOCKHOLMS LÄN</t>
        </is>
      </c>
      <c r="E1872" t="inlineStr">
        <is>
          <t>NORRTÄLJE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59534-2024</t>
        </is>
      </c>
      <c r="B1873" s="1" t="n">
        <v>45638</v>
      </c>
      <c r="C1873" s="1" t="n">
        <v>45827</v>
      </c>
      <c r="D1873" t="inlineStr">
        <is>
          <t>STOCKHOLMS LÄN</t>
        </is>
      </c>
      <c r="E1873" t="inlineStr">
        <is>
          <t>NORRTÄLJE</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59535-2024</t>
        </is>
      </c>
      <c r="B1874" s="1" t="n">
        <v>45638</v>
      </c>
      <c r="C1874" s="1" t="n">
        <v>45827</v>
      </c>
      <c r="D1874" t="inlineStr">
        <is>
          <t>STOCKHOLMS LÄN</t>
        </is>
      </c>
      <c r="E1874" t="inlineStr">
        <is>
          <t>NORRTÄLJE</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59721-2024</t>
        </is>
      </c>
      <c r="B1875" s="1" t="n">
        <v>45639</v>
      </c>
      <c r="C1875" s="1" t="n">
        <v>45827</v>
      </c>
      <c r="D1875" t="inlineStr">
        <is>
          <t>STOCKHOLMS LÄN</t>
        </is>
      </c>
      <c r="E1875" t="inlineStr">
        <is>
          <t>NORRTÄLJE</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59712-2024</t>
        </is>
      </c>
      <c r="B1876" s="1" t="n">
        <v>45639</v>
      </c>
      <c r="C1876" s="1" t="n">
        <v>45827</v>
      </c>
      <c r="D1876" t="inlineStr">
        <is>
          <t>STOCKHOLMS LÄN</t>
        </is>
      </c>
      <c r="E1876" t="inlineStr">
        <is>
          <t>NORRTÄLJE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59876-2024</t>
        </is>
      </c>
      <c r="B1877" s="1" t="n">
        <v>45640</v>
      </c>
      <c r="C1877" s="1" t="n">
        <v>45827</v>
      </c>
      <c r="D1877" t="inlineStr">
        <is>
          <t>STOCKHOLMS LÄN</t>
        </is>
      </c>
      <c r="E1877" t="inlineStr">
        <is>
          <t>NORRTÄLJE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59875-2024</t>
        </is>
      </c>
      <c r="B1878" s="1" t="n">
        <v>45640</v>
      </c>
      <c r="C1878" s="1" t="n">
        <v>45827</v>
      </c>
      <c r="D1878" t="inlineStr">
        <is>
          <t>STOCKHOLMS LÄN</t>
        </is>
      </c>
      <c r="E1878" t="inlineStr">
        <is>
          <t>NORRTÄLJE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59873-2024</t>
        </is>
      </c>
      <c r="B1879" s="1" t="n">
        <v>45640</v>
      </c>
      <c r="C1879" s="1" t="n">
        <v>45827</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59877-2024</t>
        </is>
      </c>
      <c r="B1880" s="1" t="n">
        <v>45640</v>
      </c>
      <c r="C1880" s="1" t="n">
        <v>45827</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59874-2024</t>
        </is>
      </c>
      <c r="B1881" s="1" t="n">
        <v>45640</v>
      </c>
      <c r="C1881" s="1" t="n">
        <v>45827</v>
      </c>
      <c r="D1881" t="inlineStr">
        <is>
          <t>STOCKHOLMS LÄN</t>
        </is>
      </c>
      <c r="E1881" t="inlineStr">
        <is>
          <t>NORRTÄLJE</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59878-2024</t>
        </is>
      </c>
      <c r="B1882" s="1" t="n">
        <v>45640</v>
      </c>
      <c r="C1882" s="1" t="n">
        <v>45827</v>
      </c>
      <c r="D1882" t="inlineStr">
        <is>
          <t>STOCKHOLMS LÄN</t>
        </is>
      </c>
      <c r="E1882" t="inlineStr">
        <is>
          <t>NORRTÄLJE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60185-2024</t>
        </is>
      </c>
      <c r="B1883" s="1" t="n">
        <v>45642</v>
      </c>
      <c r="C1883" s="1" t="n">
        <v>45827</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60166-2024</t>
        </is>
      </c>
      <c r="B1884" s="1" t="n">
        <v>45642</v>
      </c>
      <c r="C1884" s="1" t="n">
        <v>45827</v>
      </c>
      <c r="D1884" t="inlineStr">
        <is>
          <t>STOCKHOLMS LÄN</t>
        </is>
      </c>
      <c r="E1884" t="inlineStr">
        <is>
          <t>NORRTÄLJE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60160-2024</t>
        </is>
      </c>
      <c r="B1885" s="1" t="n">
        <v>45642</v>
      </c>
      <c r="C1885" s="1" t="n">
        <v>45827</v>
      </c>
      <c r="D1885" t="inlineStr">
        <is>
          <t>STOCKHOLMS LÄN</t>
        </is>
      </c>
      <c r="E1885" t="inlineStr">
        <is>
          <t>NORRTÄLJE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60317-2024</t>
        </is>
      </c>
      <c r="B1886" s="1" t="n">
        <v>45643</v>
      </c>
      <c r="C1886" s="1" t="n">
        <v>45827</v>
      </c>
      <c r="D1886" t="inlineStr">
        <is>
          <t>STOCKHOLMS LÄN</t>
        </is>
      </c>
      <c r="E1886" t="inlineStr">
        <is>
          <t>NORRTÄLJE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60694-2024</t>
        </is>
      </c>
      <c r="B1887" s="1" t="n">
        <v>45644</v>
      </c>
      <c r="C1887" s="1" t="n">
        <v>45827</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60884-2024</t>
        </is>
      </c>
      <c r="B1888" s="1" t="n">
        <v>45644</v>
      </c>
      <c r="C1888" s="1" t="n">
        <v>45827</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61516-2024</t>
        </is>
      </c>
      <c r="B1889" s="1" t="n">
        <v>45646</v>
      </c>
      <c r="C1889" s="1" t="n">
        <v>45827</v>
      </c>
      <c r="D1889" t="inlineStr">
        <is>
          <t>STOCKHOLMS LÄN</t>
        </is>
      </c>
      <c r="E1889" t="inlineStr">
        <is>
          <t>NORRTÄLJE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62168-2024</t>
        </is>
      </c>
      <c r="B1890" s="1" t="n">
        <v>45657</v>
      </c>
      <c r="C1890" s="1" t="n">
        <v>45827</v>
      </c>
      <c r="D1890" t="inlineStr">
        <is>
          <t>STOCKHOLMS LÄN</t>
        </is>
      </c>
      <c r="E1890" t="inlineStr">
        <is>
          <t>NORRTÄLJE</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19-2025</t>
        </is>
      </c>
      <c r="B1891" s="1" t="n">
        <v>45658</v>
      </c>
      <c r="C1891" s="1" t="n">
        <v>45827</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22-2025</t>
        </is>
      </c>
      <c r="B1892" s="1" t="n">
        <v>45658</v>
      </c>
      <c r="C1892" s="1" t="n">
        <v>45827</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520-2025</t>
        </is>
      </c>
      <c r="B1893" s="1" t="n">
        <v>45664</v>
      </c>
      <c r="C1893" s="1" t="n">
        <v>45827</v>
      </c>
      <c r="D1893" t="inlineStr">
        <is>
          <t>STOCKHOLMS LÄN</t>
        </is>
      </c>
      <c r="E1893" t="inlineStr">
        <is>
          <t>NORRTÄLJE</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652-2025</t>
        </is>
      </c>
      <c r="B1894" s="1" t="n">
        <v>45664</v>
      </c>
      <c r="C1894" s="1" t="n">
        <v>45827</v>
      </c>
      <c r="D1894" t="inlineStr">
        <is>
          <t>STOCKHOLMS LÄN</t>
        </is>
      </c>
      <c r="E1894" t="inlineStr">
        <is>
          <t>NORRTÄLJE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827-2025</t>
        </is>
      </c>
      <c r="B1895" s="1" t="n">
        <v>45665</v>
      </c>
      <c r="C1895" s="1" t="n">
        <v>45827</v>
      </c>
      <c r="D1895" t="inlineStr">
        <is>
          <t>STOCKHOLMS LÄN</t>
        </is>
      </c>
      <c r="E1895" t="inlineStr">
        <is>
          <t>NORRTÄLJE</t>
        </is>
      </c>
      <c r="F1895" t="inlineStr">
        <is>
          <t>Övriga Aktiebolag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1283-2025</t>
        </is>
      </c>
      <c r="B1896" s="1" t="n">
        <v>45667</v>
      </c>
      <c r="C1896" s="1" t="n">
        <v>45827</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1360-2025</t>
        </is>
      </c>
      <c r="B1897" s="1" t="n">
        <v>45667</v>
      </c>
      <c r="C1897" s="1" t="n">
        <v>45827</v>
      </c>
      <c r="D1897" t="inlineStr">
        <is>
          <t>STOCKHOLMS LÄN</t>
        </is>
      </c>
      <c r="E1897" t="inlineStr">
        <is>
          <t>NORRTÄLJE</t>
        </is>
      </c>
      <c r="F1897" t="inlineStr">
        <is>
          <t>Kyrkan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1425-2025</t>
        </is>
      </c>
      <c r="B1898" s="1" t="n">
        <v>45668</v>
      </c>
      <c r="C1898" s="1" t="n">
        <v>45827</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1654-2025</t>
        </is>
      </c>
      <c r="B1899" s="1" t="n">
        <v>45670</v>
      </c>
      <c r="C1899" s="1" t="n">
        <v>45827</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1453-2025</t>
        </is>
      </c>
      <c r="B1900" s="1" t="n">
        <v>45670</v>
      </c>
      <c r="C1900" s="1" t="n">
        <v>45827</v>
      </c>
      <c r="D1900" t="inlineStr">
        <is>
          <t>STOCKHOLMS LÄN</t>
        </is>
      </c>
      <c r="E1900" t="inlineStr">
        <is>
          <t>NORRTÄLJE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1890-2025</t>
        </is>
      </c>
      <c r="B1901" s="1" t="n">
        <v>45671</v>
      </c>
      <c r="C1901" s="1" t="n">
        <v>45827</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2153-2025</t>
        </is>
      </c>
      <c r="B1902" s="1" t="n">
        <v>45672</v>
      </c>
      <c r="C1902" s="1" t="n">
        <v>45827</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2127-2025</t>
        </is>
      </c>
      <c r="B1903" s="1" t="n">
        <v>45672</v>
      </c>
      <c r="C1903" s="1" t="n">
        <v>45827</v>
      </c>
      <c r="D1903" t="inlineStr">
        <is>
          <t>STOCKHOLMS LÄN</t>
        </is>
      </c>
      <c r="E1903" t="inlineStr">
        <is>
          <t>NORRTÄLJE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2627-2025</t>
        </is>
      </c>
      <c r="B1904" s="1" t="n">
        <v>45675</v>
      </c>
      <c r="C1904" s="1" t="n">
        <v>45827</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3117-2025</t>
        </is>
      </c>
      <c r="B1905" s="1" t="n">
        <v>45678</v>
      </c>
      <c r="C1905" s="1" t="n">
        <v>45827</v>
      </c>
      <c r="D1905" t="inlineStr">
        <is>
          <t>STOCKHOLMS LÄN</t>
        </is>
      </c>
      <c r="E1905" t="inlineStr">
        <is>
          <t>NORRTÄLJE</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3273-2025</t>
        </is>
      </c>
      <c r="B1906" s="1" t="n">
        <v>45679</v>
      </c>
      <c r="C1906" s="1" t="n">
        <v>45827</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3283-2025</t>
        </is>
      </c>
      <c r="B1907" s="1" t="n">
        <v>45679</v>
      </c>
      <c r="C1907" s="1" t="n">
        <v>45827</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3512-2025</t>
        </is>
      </c>
      <c r="B1908" s="1" t="n">
        <v>45680</v>
      </c>
      <c r="C1908" s="1" t="n">
        <v>45827</v>
      </c>
      <c r="D1908" t="inlineStr">
        <is>
          <t>STOCKHOLMS LÄN</t>
        </is>
      </c>
      <c r="E1908" t="inlineStr">
        <is>
          <t>NORRTÄLJE</t>
        </is>
      </c>
      <c r="F1908" t="inlineStr">
        <is>
          <t>Naturvårdsverket</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3426-2025</t>
        </is>
      </c>
      <c r="B1909" s="1" t="n">
        <v>45680</v>
      </c>
      <c r="C1909" s="1" t="n">
        <v>45827</v>
      </c>
      <c r="D1909" t="inlineStr">
        <is>
          <t>STOCKHOLMS LÄN</t>
        </is>
      </c>
      <c r="E1909" t="inlineStr">
        <is>
          <t>NORRTÄLJE</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4183-2025</t>
        </is>
      </c>
      <c r="B1910" s="1" t="n">
        <v>45685</v>
      </c>
      <c r="C1910" s="1" t="n">
        <v>45827</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4195-2025</t>
        </is>
      </c>
      <c r="B1911" s="1" t="n">
        <v>45685</v>
      </c>
      <c r="C1911" s="1" t="n">
        <v>45827</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4148-2025</t>
        </is>
      </c>
      <c r="B1912" s="1" t="n">
        <v>45685</v>
      </c>
      <c r="C1912" s="1" t="n">
        <v>45827</v>
      </c>
      <c r="D1912" t="inlineStr">
        <is>
          <t>STOCKHOLMS LÄN</t>
        </is>
      </c>
      <c r="E1912" t="inlineStr">
        <is>
          <t>NORRTÄLJE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4164-2025</t>
        </is>
      </c>
      <c r="B1913" s="1" t="n">
        <v>45685</v>
      </c>
      <c r="C1913" s="1" t="n">
        <v>45827</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4415-2025</t>
        </is>
      </c>
      <c r="B1914" s="1" t="n">
        <v>45686</v>
      </c>
      <c r="C1914" s="1" t="n">
        <v>45827</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4498-2025</t>
        </is>
      </c>
      <c r="B1915" s="1" t="n">
        <v>45686</v>
      </c>
      <c r="C1915" s="1" t="n">
        <v>45827</v>
      </c>
      <c r="D1915" t="inlineStr">
        <is>
          <t>STOCKHOLMS LÄN</t>
        </is>
      </c>
      <c r="E1915" t="inlineStr">
        <is>
          <t>NORRTÄLJE</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4484-2025</t>
        </is>
      </c>
      <c r="B1916" s="1" t="n">
        <v>45686</v>
      </c>
      <c r="C1916" s="1" t="n">
        <v>45827</v>
      </c>
      <c r="D1916" t="inlineStr">
        <is>
          <t>STOCKHOLMS LÄN</t>
        </is>
      </c>
      <c r="E1916" t="inlineStr">
        <is>
          <t>NORRTÄLJE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4350-2025</t>
        </is>
      </c>
      <c r="B1917" s="1" t="n">
        <v>45686</v>
      </c>
      <c r="C1917" s="1" t="n">
        <v>45827</v>
      </c>
      <c r="D1917" t="inlineStr">
        <is>
          <t>STOCKHOLMS LÄN</t>
        </is>
      </c>
      <c r="E1917" t="inlineStr">
        <is>
          <t>NORRTÄLJE</t>
        </is>
      </c>
      <c r="F1917" t="inlineStr">
        <is>
          <t>Övriga Aktiebolag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4580-2025</t>
        </is>
      </c>
      <c r="B1918" s="1" t="n">
        <v>45687</v>
      </c>
      <c r="C1918" s="1" t="n">
        <v>45827</v>
      </c>
      <c r="D1918" t="inlineStr">
        <is>
          <t>STOCKHOLMS LÄN</t>
        </is>
      </c>
      <c r="E1918" t="inlineStr">
        <is>
          <t>NORRTÄLJE</t>
        </is>
      </c>
      <c r="F1918" t="inlineStr">
        <is>
          <t>Holmen skog AB</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4581-2025</t>
        </is>
      </c>
      <c r="B1919" s="1" t="n">
        <v>45687</v>
      </c>
      <c r="C1919" s="1" t="n">
        <v>45827</v>
      </c>
      <c r="D1919" t="inlineStr">
        <is>
          <t>STOCKHOLMS LÄN</t>
        </is>
      </c>
      <c r="E1919" t="inlineStr">
        <is>
          <t>NORRTÄLJE</t>
        </is>
      </c>
      <c r="F1919" t="inlineStr">
        <is>
          <t>Holmen skog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4715-2025</t>
        </is>
      </c>
      <c r="B1920" s="1" t="n">
        <v>45688</v>
      </c>
      <c r="C1920" s="1" t="n">
        <v>45827</v>
      </c>
      <c r="D1920" t="inlineStr">
        <is>
          <t>STOCKHOLMS LÄN</t>
        </is>
      </c>
      <c r="E1920" t="inlineStr">
        <is>
          <t>NORRTÄLJE</t>
        </is>
      </c>
      <c r="G1920" t="n">
        <v>1.4</v>
      </c>
      <c r="H1920" t="n">
        <v>0</v>
      </c>
      <c r="I1920" t="n">
        <v>0</v>
      </c>
      <c r="J1920" t="n">
        <v>0</v>
      </c>
      <c r="K1920" t="n">
        <v>0</v>
      </c>
      <c r="L1920" t="n">
        <v>0</v>
      </c>
      <c r="M1920" t="n">
        <v>0</v>
      </c>
      <c r="N1920" t="n">
        <v>0</v>
      </c>
      <c r="O1920" t="n">
        <v>0</v>
      </c>
      <c r="P1920" t="n">
        <v>0</v>
      </c>
      <c r="Q1920" t="n">
        <v>0</v>
      </c>
      <c r="R1920" s="2" t="inlineStr"/>
      <c r="U1920">
        <f>HYPERLINK("https://klasma.github.io/Logging_0188/knärot/A 4715-2025 karta knärot.png", "A 4715-2025")</f>
        <v/>
      </c>
      <c r="V1920">
        <f>HYPERLINK("https://klasma.github.io/Logging_0188/klagomål/A 4715-2025 FSC-klagomål.docx", "A 4715-2025")</f>
        <v/>
      </c>
      <c r="W1920">
        <f>HYPERLINK("https://klasma.github.io/Logging_0188/klagomålsmail/A 4715-2025 FSC-klagomål mail.docx", "A 4715-2025")</f>
        <v/>
      </c>
      <c r="X1920">
        <f>HYPERLINK("https://klasma.github.io/Logging_0188/tillsyn/A 4715-2025 tillsynsbegäran.docx", "A 4715-2025")</f>
        <v/>
      </c>
      <c r="Y1920">
        <f>HYPERLINK("https://klasma.github.io/Logging_0188/tillsynsmail/A 4715-2025 tillsynsbegäran mail.docx", "A 4715-2025")</f>
        <v/>
      </c>
    </row>
    <row r="1921" ht="15" customHeight="1">
      <c r="A1921" t="inlineStr">
        <is>
          <t>A 5027-2025</t>
        </is>
      </c>
      <c r="B1921" s="1" t="n">
        <v>45691</v>
      </c>
      <c r="C1921" s="1" t="n">
        <v>45827</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5389-2025</t>
        </is>
      </c>
      <c r="B1922" s="1" t="n">
        <v>45692</v>
      </c>
      <c r="C1922" s="1" t="n">
        <v>45827</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5665-2025</t>
        </is>
      </c>
      <c r="B1923" s="1" t="n">
        <v>45693</v>
      </c>
      <c r="C1923" s="1" t="n">
        <v>45827</v>
      </c>
      <c r="D1923" t="inlineStr">
        <is>
          <t>STOCKHOLMS LÄN</t>
        </is>
      </c>
      <c r="E1923" t="inlineStr">
        <is>
          <t>NORRTÄLJE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5804-2025</t>
        </is>
      </c>
      <c r="B1924" s="1" t="n">
        <v>45694</v>
      </c>
      <c r="C1924" s="1" t="n">
        <v>45827</v>
      </c>
      <c r="D1924" t="inlineStr">
        <is>
          <t>STOCKHOLMS LÄN</t>
        </is>
      </c>
      <c r="E1924" t="inlineStr">
        <is>
          <t>NORRTÄLJE</t>
        </is>
      </c>
      <c r="F1924" t="inlineStr">
        <is>
          <t>Holmen skog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6003-2025</t>
        </is>
      </c>
      <c r="B1925" s="1" t="n">
        <v>45695</v>
      </c>
      <c r="C1925" s="1" t="n">
        <v>45827</v>
      </c>
      <c r="D1925" t="inlineStr">
        <is>
          <t>STOCKHOLMS LÄN</t>
        </is>
      </c>
      <c r="E1925" t="inlineStr">
        <is>
          <t>NORRTÄLJE</t>
        </is>
      </c>
      <c r="F1925" t="inlineStr">
        <is>
          <t>Holmen skog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6413-2025</t>
        </is>
      </c>
      <c r="B1926" s="1" t="n">
        <v>45699</v>
      </c>
      <c r="C1926" s="1" t="n">
        <v>45827</v>
      </c>
      <c r="D1926" t="inlineStr">
        <is>
          <t>STOCKHOLMS LÄN</t>
        </is>
      </c>
      <c r="E1926" t="inlineStr">
        <is>
          <t>NORRTÄLJE</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6855-2025</t>
        </is>
      </c>
      <c r="B1927" s="1" t="n">
        <v>45700</v>
      </c>
      <c r="C1927" s="1" t="n">
        <v>45827</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6678-2025</t>
        </is>
      </c>
      <c r="B1928" s="1" t="n">
        <v>45700</v>
      </c>
      <c r="C1928" s="1" t="n">
        <v>45827</v>
      </c>
      <c r="D1928" t="inlineStr">
        <is>
          <t>STOCKHOLMS LÄN</t>
        </is>
      </c>
      <c r="E1928" t="inlineStr">
        <is>
          <t>NORRTÄLJE</t>
        </is>
      </c>
      <c r="F1928" t="inlineStr">
        <is>
          <t>Övriga Aktiebolag</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6919-2025</t>
        </is>
      </c>
      <c r="B1929" s="1" t="n">
        <v>45701</v>
      </c>
      <c r="C1929" s="1" t="n">
        <v>45827</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6996-2025</t>
        </is>
      </c>
      <c r="B1930" s="1" t="n">
        <v>45701</v>
      </c>
      <c r="C1930" s="1" t="n">
        <v>45827</v>
      </c>
      <c r="D1930" t="inlineStr">
        <is>
          <t>STOCKHOLMS LÄN</t>
        </is>
      </c>
      <c r="E1930" t="inlineStr">
        <is>
          <t>NORRTÄLJE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7603-2025</t>
        </is>
      </c>
      <c r="B1931" s="1" t="n">
        <v>45705</v>
      </c>
      <c r="C1931" s="1" t="n">
        <v>45827</v>
      </c>
      <c r="D1931" t="inlineStr">
        <is>
          <t>STOCKHOLMS LÄN</t>
        </is>
      </c>
      <c r="E1931" t="inlineStr">
        <is>
          <t>NORRTÄLJE</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7781-2025</t>
        </is>
      </c>
      <c r="B1932" s="1" t="n">
        <v>45706</v>
      </c>
      <c r="C1932" s="1" t="n">
        <v>45827</v>
      </c>
      <c r="D1932" t="inlineStr">
        <is>
          <t>STOCKHOLMS LÄN</t>
        </is>
      </c>
      <c r="E1932" t="inlineStr">
        <is>
          <t>NORRTÄLJE</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7806-2025</t>
        </is>
      </c>
      <c r="B1933" s="1" t="n">
        <v>45706</v>
      </c>
      <c r="C1933" s="1" t="n">
        <v>45827</v>
      </c>
      <c r="D1933" t="inlineStr">
        <is>
          <t>STOCKHOLMS LÄN</t>
        </is>
      </c>
      <c r="E1933" t="inlineStr">
        <is>
          <t>NORRTÄLJE</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7697-2025</t>
        </is>
      </c>
      <c r="B1934" s="1" t="n">
        <v>45706</v>
      </c>
      <c r="C1934" s="1" t="n">
        <v>45827</v>
      </c>
      <c r="D1934" t="inlineStr">
        <is>
          <t>STOCKHOLMS LÄN</t>
        </is>
      </c>
      <c r="E1934" t="inlineStr">
        <is>
          <t>NORRTÄLJE</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7784-2025</t>
        </is>
      </c>
      <c r="B1935" s="1" t="n">
        <v>45706</v>
      </c>
      <c r="C1935" s="1" t="n">
        <v>45827</v>
      </c>
      <c r="D1935" t="inlineStr">
        <is>
          <t>STOCKHOLMS LÄN</t>
        </is>
      </c>
      <c r="E1935" t="inlineStr">
        <is>
          <t>NORRTÄLJE</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7796-2025</t>
        </is>
      </c>
      <c r="B1936" s="1" t="n">
        <v>45706</v>
      </c>
      <c r="C1936" s="1" t="n">
        <v>45827</v>
      </c>
      <c r="D1936" t="inlineStr">
        <is>
          <t>STOCKHOLMS LÄN</t>
        </is>
      </c>
      <c r="E1936" t="inlineStr">
        <is>
          <t>NORRTÄLJE</t>
        </is>
      </c>
      <c r="F1936" t="inlineStr">
        <is>
          <t>Holmen skog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8071-2025</t>
        </is>
      </c>
      <c r="B1937" s="1" t="n">
        <v>45707</v>
      </c>
      <c r="C1937" s="1" t="n">
        <v>45827</v>
      </c>
      <c r="D1937" t="inlineStr">
        <is>
          <t>STOCKHOLMS LÄN</t>
        </is>
      </c>
      <c r="E1937" t="inlineStr">
        <is>
          <t>NORRTÄLJE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8134-2025</t>
        </is>
      </c>
      <c r="B1938" s="1" t="n">
        <v>45707</v>
      </c>
      <c r="C1938" s="1" t="n">
        <v>45827</v>
      </c>
      <c r="D1938" t="inlineStr">
        <is>
          <t>STOCKHOLMS LÄN</t>
        </is>
      </c>
      <c r="E1938" t="inlineStr">
        <is>
          <t>NORRTÄLJE</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8133-2025</t>
        </is>
      </c>
      <c r="B1939" s="1" t="n">
        <v>45707</v>
      </c>
      <c r="C1939" s="1" t="n">
        <v>45827</v>
      </c>
      <c r="D1939" t="inlineStr">
        <is>
          <t>STOCKHOLMS LÄN</t>
        </is>
      </c>
      <c r="E1939" t="inlineStr">
        <is>
          <t>NORRTÄLJE</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8132-2025</t>
        </is>
      </c>
      <c r="B1940" s="1" t="n">
        <v>45707</v>
      </c>
      <c r="C1940" s="1" t="n">
        <v>45827</v>
      </c>
      <c r="D1940" t="inlineStr">
        <is>
          <t>STOCKHOLMS LÄN</t>
        </is>
      </c>
      <c r="E1940" t="inlineStr">
        <is>
          <t>NORRTÄLJE</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8135-2025</t>
        </is>
      </c>
      <c r="B1941" s="1" t="n">
        <v>45707</v>
      </c>
      <c r="C1941" s="1" t="n">
        <v>45827</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8231-2025</t>
        </is>
      </c>
      <c r="B1942" s="1" t="n">
        <v>45708</v>
      </c>
      <c r="C1942" s="1" t="n">
        <v>45827</v>
      </c>
      <c r="D1942" t="inlineStr">
        <is>
          <t>STOCKHOLMS LÄN</t>
        </is>
      </c>
      <c r="E1942" t="inlineStr">
        <is>
          <t>NORRTÄLJE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8370-2025</t>
        </is>
      </c>
      <c r="B1943" s="1" t="n">
        <v>45708</v>
      </c>
      <c r="C1943" s="1" t="n">
        <v>45827</v>
      </c>
      <c r="D1943" t="inlineStr">
        <is>
          <t>STOCKHOLMS LÄN</t>
        </is>
      </c>
      <c r="E1943" t="inlineStr">
        <is>
          <t>NORRTÄLJE</t>
        </is>
      </c>
      <c r="F1943" t="inlineStr">
        <is>
          <t>Övriga Aktiebolag</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8315-2025</t>
        </is>
      </c>
      <c r="B1944" s="1" t="n">
        <v>45708</v>
      </c>
      <c r="C1944" s="1" t="n">
        <v>45827</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8419-2025</t>
        </is>
      </c>
      <c r="B1945" s="1" t="n">
        <v>45709</v>
      </c>
      <c r="C1945" s="1" t="n">
        <v>45827</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8547-2025</t>
        </is>
      </c>
      <c r="B1946" s="1" t="n">
        <v>45709</v>
      </c>
      <c r="C1946" s="1" t="n">
        <v>45827</v>
      </c>
      <c r="D1946" t="inlineStr">
        <is>
          <t>STOCKHOLMS LÄN</t>
        </is>
      </c>
      <c r="E1946" t="inlineStr">
        <is>
          <t>NORRTÄLJE</t>
        </is>
      </c>
      <c r="F1946" t="inlineStr">
        <is>
          <t>Övriga Aktiebolag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8414-2025</t>
        </is>
      </c>
      <c r="B1947" s="1" t="n">
        <v>45709</v>
      </c>
      <c r="C1947" s="1" t="n">
        <v>45827</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8587-2025</t>
        </is>
      </c>
      <c r="B1948" s="1" t="n">
        <v>45709</v>
      </c>
      <c r="C1948" s="1" t="n">
        <v>45827</v>
      </c>
      <c r="D1948" t="inlineStr">
        <is>
          <t>STOCKHOLMS LÄN</t>
        </is>
      </c>
      <c r="E1948" t="inlineStr">
        <is>
          <t>NORRTÄLJE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8792-2025</t>
        </is>
      </c>
      <c r="B1949" s="1" t="n">
        <v>45712</v>
      </c>
      <c r="C1949" s="1" t="n">
        <v>45827</v>
      </c>
      <c r="D1949" t="inlineStr">
        <is>
          <t>STOCKHOLMS LÄN</t>
        </is>
      </c>
      <c r="E1949" t="inlineStr">
        <is>
          <t>NORRTÄLJE</t>
        </is>
      </c>
      <c r="F1949" t="inlineStr">
        <is>
          <t>Övriga Aktiebolag</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8950-2025</t>
        </is>
      </c>
      <c r="B1950" s="1" t="n">
        <v>45713</v>
      </c>
      <c r="C1950" s="1" t="n">
        <v>45827</v>
      </c>
      <c r="D1950" t="inlineStr">
        <is>
          <t>STOCKHOLMS LÄN</t>
        </is>
      </c>
      <c r="E1950" t="inlineStr">
        <is>
          <t>NORRTÄLJE</t>
        </is>
      </c>
      <c r="F1950" t="inlineStr">
        <is>
          <t>Övriga Aktiebolag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8963-2025</t>
        </is>
      </c>
      <c r="B1951" s="1" t="n">
        <v>45713</v>
      </c>
      <c r="C1951" s="1" t="n">
        <v>45827</v>
      </c>
      <c r="D1951" t="inlineStr">
        <is>
          <t>STOCKHOLMS LÄN</t>
        </is>
      </c>
      <c r="E1951" t="inlineStr">
        <is>
          <t>NORRTÄLJE</t>
        </is>
      </c>
      <c r="F1951" t="inlineStr">
        <is>
          <t>Övriga Aktiebolag</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9130-2025</t>
        </is>
      </c>
      <c r="B1952" s="1" t="n">
        <v>45713</v>
      </c>
      <c r="C1952" s="1" t="n">
        <v>45827</v>
      </c>
      <c r="D1952" t="inlineStr">
        <is>
          <t>STOCKHOLMS LÄN</t>
        </is>
      </c>
      <c r="E1952" t="inlineStr">
        <is>
          <t>NORRTÄLJE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9520-2025</t>
        </is>
      </c>
      <c r="B1953" s="1" t="n">
        <v>45715</v>
      </c>
      <c r="C1953" s="1" t="n">
        <v>45827</v>
      </c>
      <c r="D1953" t="inlineStr">
        <is>
          <t>STOCKHOLMS LÄN</t>
        </is>
      </c>
      <c r="E1953" t="inlineStr">
        <is>
          <t>NORRTÄLJE</t>
        </is>
      </c>
      <c r="G1953" t="n">
        <v>23.2</v>
      </c>
      <c r="H1953" t="n">
        <v>0</v>
      </c>
      <c r="I1953" t="n">
        <v>0</v>
      </c>
      <c r="J1953" t="n">
        <v>0</v>
      </c>
      <c r="K1953" t="n">
        <v>0</v>
      </c>
      <c r="L1953" t="n">
        <v>0</v>
      </c>
      <c r="M1953" t="n">
        <v>0</v>
      </c>
      <c r="N1953" t="n">
        <v>0</v>
      </c>
      <c r="O1953" t="n">
        <v>0</v>
      </c>
      <c r="P1953" t="n">
        <v>0</v>
      </c>
      <c r="Q1953" t="n">
        <v>0</v>
      </c>
      <c r="R1953" s="2" t="inlineStr"/>
    </row>
    <row r="1954" ht="15" customHeight="1">
      <c r="A1954" t="inlineStr">
        <is>
          <t>A 9480-2025</t>
        </is>
      </c>
      <c r="B1954" s="1" t="n">
        <v>45715</v>
      </c>
      <c r="C1954" s="1" t="n">
        <v>45827</v>
      </c>
      <c r="D1954" t="inlineStr">
        <is>
          <t>STOCKHOLMS LÄN</t>
        </is>
      </c>
      <c r="E1954" t="inlineStr">
        <is>
          <t>NORRTÄLJE</t>
        </is>
      </c>
      <c r="F1954" t="inlineStr">
        <is>
          <t>Övriga Aktiebolag</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10642-2025</t>
        </is>
      </c>
      <c r="B1955" s="1" t="n">
        <v>45721</v>
      </c>
      <c r="C1955" s="1" t="n">
        <v>45827</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10557-2025</t>
        </is>
      </c>
      <c r="B1956" s="1" t="n">
        <v>45721</v>
      </c>
      <c r="C1956" s="1" t="n">
        <v>45827</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10678-2025</t>
        </is>
      </c>
      <c r="B1957" s="1" t="n">
        <v>45721</v>
      </c>
      <c r="C1957" s="1" t="n">
        <v>45827</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10511-2025</t>
        </is>
      </c>
      <c r="B1958" s="1" t="n">
        <v>45721</v>
      </c>
      <c r="C1958" s="1" t="n">
        <v>45827</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10676-2025</t>
        </is>
      </c>
      <c r="B1959" s="1" t="n">
        <v>45721</v>
      </c>
      <c r="C1959" s="1" t="n">
        <v>45827</v>
      </c>
      <c r="D1959" t="inlineStr">
        <is>
          <t>STOCKHOLMS LÄN</t>
        </is>
      </c>
      <c r="E1959" t="inlineStr">
        <is>
          <t>NORRTÄLJE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10653-2025</t>
        </is>
      </c>
      <c r="B1960" s="1" t="n">
        <v>45721</v>
      </c>
      <c r="C1960" s="1" t="n">
        <v>45827</v>
      </c>
      <c r="D1960" t="inlineStr">
        <is>
          <t>STOCKHOLMS LÄN</t>
        </is>
      </c>
      <c r="E1960" t="inlineStr">
        <is>
          <t>NORRTÄLJE</t>
        </is>
      </c>
      <c r="F1960" t="inlineStr">
        <is>
          <t>Sveaskog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10973-2025</t>
        </is>
      </c>
      <c r="B1961" s="1" t="n">
        <v>45723</v>
      </c>
      <c r="C1961" s="1" t="n">
        <v>45827</v>
      </c>
      <c r="D1961" t="inlineStr">
        <is>
          <t>STOCKHOLMS LÄN</t>
        </is>
      </c>
      <c r="E1961" t="inlineStr">
        <is>
          <t>NORRTÄLJE</t>
        </is>
      </c>
      <c r="F1961" t="inlineStr">
        <is>
          <t>Övriga Aktiebolag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11041-2025</t>
        </is>
      </c>
      <c r="B1962" s="1" t="n">
        <v>45723</v>
      </c>
      <c r="C1962" s="1" t="n">
        <v>45827</v>
      </c>
      <c r="D1962" t="inlineStr">
        <is>
          <t>STOCKHOLMS LÄN</t>
        </is>
      </c>
      <c r="E1962" t="inlineStr">
        <is>
          <t>NORRTÄLJE</t>
        </is>
      </c>
      <c r="F1962" t="inlineStr">
        <is>
          <t>Övriga Aktiebolag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11333-2025</t>
        </is>
      </c>
      <c r="B1963" s="1" t="n">
        <v>45726</v>
      </c>
      <c r="C1963" s="1" t="n">
        <v>45827</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11332-2025</t>
        </is>
      </c>
      <c r="B1964" s="1" t="n">
        <v>45726</v>
      </c>
      <c r="C1964" s="1" t="n">
        <v>45827</v>
      </c>
      <c r="D1964" t="inlineStr">
        <is>
          <t>STOCKHOLMS LÄN</t>
        </is>
      </c>
      <c r="E1964" t="inlineStr">
        <is>
          <t>NORRTÄLJE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11854-2025</t>
        </is>
      </c>
      <c r="B1965" s="1" t="n">
        <v>45728</v>
      </c>
      <c r="C1965" s="1" t="n">
        <v>45827</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11849-2025</t>
        </is>
      </c>
      <c r="B1966" s="1" t="n">
        <v>45728</v>
      </c>
      <c r="C1966" s="1" t="n">
        <v>45827</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12302-2025</t>
        </is>
      </c>
      <c r="B1967" s="1" t="n">
        <v>45729</v>
      </c>
      <c r="C1967" s="1" t="n">
        <v>45827</v>
      </c>
      <c r="D1967" t="inlineStr">
        <is>
          <t>STOCKHOLMS LÄN</t>
        </is>
      </c>
      <c r="E1967" t="inlineStr">
        <is>
          <t>NORRTÄLJE</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12208-2025</t>
        </is>
      </c>
      <c r="B1968" s="1" t="n">
        <v>45729</v>
      </c>
      <c r="C1968" s="1" t="n">
        <v>45827</v>
      </c>
      <c r="D1968" t="inlineStr">
        <is>
          <t>STOCKHOLMS LÄN</t>
        </is>
      </c>
      <c r="E1968" t="inlineStr">
        <is>
          <t>NORRTÄLJE</t>
        </is>
      </c>
      <c r="F1968" t="inlineStr">
        <is>
          <t>Övriga Aktiebolag</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12299-2025</t>
        </is>
      </c>
      <c r="B1969" s="1" t="n">
        <v>45729</v>
      </c>
      <c r="C1969" s="1" t="n">
        <v>45827</v>
      </c>
      <c r="D1969" t="inlineStr">
        <is>
          <t>STOCKHOLMS LÄN</t>
        </is>
      </c>
      <c r="E1969" t="inlineStr">
        <is>
          <t>NORRTÄLJE</t>
        </is>
      </c>
      <c r="F1969" t="inlineStr">
        <is>
          <t>Holmen skog AB</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12301-2025</t>
        </is>
      </c>
      <c r="B1970" s="1" t="n">
        <v>45729</v>
      </c>
      <c r="C1970" s="1" t="n">
        <v>45827</v>
      </c>
      <c r="D1970" t="inlineStr">
        <is>
          <t>STOCKHOLMS LÄN</t>
        </is>
      </c>
      <c r="E1970" t="inlineStr">
        <is>
          <t>NORRTÄLJE</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12303-2025</t>
        </is>
      </c>
      <c r="B1971" s="1" t="n">
        <v>45729</v>
      </c>
      <c r="C1971" s="1" t="n">
        <v>45827</v>
      </c>
      <c r="D1971" t="inlineStr">
        <is>
          <t>STOCKHOLMS LÄN</t>
        </is>
      </c>
      <c r="E1971" t="inlineStr">
        <is>
          <t>NORRTÄLJE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12247-2025</t>
        </is>
      </c>
      <c r="B1972" s="1" t="n">
        <v>45729</v>
      </c>
      <c r="C1972" s="1" t="n">
        <v>45827</v>
      </c>
      <c r="D1972" t="inlineStr">
        <is>
          <t>STOCKHOLMS LÄN</t>
        </is>
      </c>
      <c r="E1972" t="inlineStr">
        <is>
          <t>NORRTÄLJE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12251-2025</t>
        </is>
      </c>
      <c r="B1973" s="1" t="n">
        <v>45729</v>
      </c>
      <c r="C1973" s="1" t="n">
        <v>45827</v>
      </c>
      <c r="D1973" t="inlineStr">
        <is>
          <t>STOCKHOLMS LÄN</t>
        </is>
      </c>
      <c r="E1973" t="inlineStr">
        <is>
          <t>NORRTÄLJE</t>
        </is>
      </c>
      <c r="F1973" t="inlineStr">
        <is>
          <t>Holmen skog AB</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12535-2025</t>
        </is>
      </c>
      <c r="B1974" s="1" t="n">
        <v>45730</v>
      </c>
      <c r="C1974" s="1" t="n">
        <v>45827</v>
      </c>
      <c r="D1974" t="inlineStr">
        <is>
          <t>STOCKHOLMS LÄN</t>
        </is>
      </c>
      <c r="E1974" t="inlineStr">
        <is>
          <t>NORRTÄLJE</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12436-2025</t>
        </is>
      </c>
      <c r="B1975" s="1" t="n">
        <v>45730</v>
      </c>
      <c r="C1975" s="1" t="n">
        <v>45827</v>
      </c>
      <c r="D1975" t="inlineStr">
        <is>
          <t>STOCKHOLMS LÄN</t>
        </is>
      </c>
      <c r="E1975" t="inlineStr">
        <is>
          <t>NORRTÄLJE</t>
        </is>
      </c>
      <c r="F1975" t="inlineStr">
        <is>
          <t>Holmen skog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12527-2025</t>
        </is>
      </c>
      <c r="B1976" s="1" t="n">
        <v>45730</v>
      </c>
      <c r="C1976" s="1" t="n">
        <v>45827</v>
      </c>
      <c r="D1976" t="inlineStr">
        <is>
          <t>STOCKHOLMS LÄN</t>
        </is>
      </c>
      <c r="E1976" t="inlineStr">
        <is>
          <t>NORRTÄLJE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12529-2025</t>
        </is>
      </c>
      <c r="B1977" s="1" t="n">
        <v>45730</v>
      </c>
      <c r="C1977" s="1" t="n">
        <v>45827</v>
      </c>
      <c r="D1977" t="inlineStr">
        <is>
          <t>STOCKHOLMS LÄN</t>
        </is>
      </c>
      <c r="E1977" t="inlineStr">
        <is>
          <t>NORRTÄLJE</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12348-2025</t>
        </is>
      </c>
      <c r="B1978" s="1" t="n">
        <v>45730</v>
      </c>
      <c r="C1978" s="1" t="n">
        <v>45827</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12532-2025</t>
        </is>
      </c>
      <c r="B1979" s="1" t="n">
        <v>45730</v>
      </c>
      <c r="C1979" s="1" t="n">
        <v>45827</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12534-2025</t>
        </is>
      </c>
      <c r="B1980" s="1" t="n">
        <v>45730</v>
      </c>
      <c r="C1980" s="1" t="n">
        <v>45827</v>
      </c>
      <c r="D1980" t="inlineStr">
        <is>
          <t>STOCKHOLMS LÄN</t>
        </is>
      </c>
      <c r="E1980" t="inlineStr">
        <is>
          <t>NORRTÄLJE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12530-2025</t>
        </is>
      </c>
      <c r="B1981" s="1" t="n">
        <v>45730</v>
      </c>
      <c r="C1981" s="1" t="n">
        <v>45827</v>
      </c>
      <c r="D1981" t="inlineStr">
        <is>
          <t>STOCKHOLMS LÄN</t>
        </is>
      </c>
      <c r="E1981" t="inlineStr">
        <is>
          <t>NORRTÄLJE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12407-2025</t>
        </is>
      </c>
      <c r="B1982" s="1" t="n">
        <v>45730</v>
      </c>
      <c r="C1982" s="1" t="n">
        <v>45827</v>
      </c>
      <c r="D1982" t="inlineStr">
        <is>
          <t>STOCKHOLMS LÄN</t>
        </is>
      </c>
      <c r="E1982" t="inlineStr">
        <is>
          <t>NORRTÄLJE</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12876-2025</t>
        </is>
      </c>
      <c r="B1983" s="1" t="n">
        <v>45733</v>
      </c>
      <c r="C1983" s="1" t="n">
        <v>45827</v>
      </c>
      <c r="D1983" t="inlineStr">
        <is>
          <t>STOCKHOLMS LÄN</t>
        </is>
      </c>
      <c r="E1983" t="inlineStr">
        <is>
          <t>NORRTÄLJE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12908-2025</t>
        </is>
      </c>
      <c r="B1984" s="1" t="n">
        <v>45733</v>
      </c>
      <c r="C1984" s="1" t="n">
        <v>45827</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13172-2025</t>
        </is>
      </c>
      <c r="B1985" s="1" t="n">
        <v>45735</v>
      </c>
      <c r="C1985" s="1" t="n">
        <v>45827</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13331-2025</t>
        </is>
      </c>
      <c r="B1986" s="1" t="n">
        <v>45735</v>
      </c>
      <c r="C1986" s="1" t="n">
        <v>45827</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13260-2025</t>
        </is>
      </c>
      <c r="B1987" s="1" t="n">
        <v>45735</v>
      </c>
      <c r="C1987" s="1" t="n">
        <v>45827</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13288-2025</t>
        </is>
      </c>
      <c r="B1988" s="1" t="n">
        <v>45735</v>
      </c>
      <c r="C1988" s="1" t="n">
        <v>45827</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13171-2025</t>
        </is>
      </c>
      <c r="B1989" s="1" t="n">
        <v>45735</v>
      </c>
      <c r="C1989" s="1" t="n">
        <v>45827</v>
      </c>
      <c r="D1989" t="inlineStr">
        <is>
          <t>STOCKHOLMS LÄN</t>
        </is>
      </c>
      <c r="E1989" t="inlineStr">
        <is>
          <t>NORRTÄLJE</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13283-2025</t>
        </is>
      </c>
      <c r="B1990" s="1" t="n">
        <v>45735</v>
      </c>
      <c r="C1990" s="1" t="n">
        <v>45827</v>
      </c>
      <c r="D1990" t="inlineStr">
        <is>
          <t>STOCKHOLMS LÄN</t>
        </is>
      </c>
      <c r="E1990" t="inlineStr">
        <is>
          <t>NORRTÄLJE</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13247-2025</t>
        </is>
      </c>
      <c r="B1991" s="1" t="n">
        <v>45735</v>
      </c>
      <c r="C1991" s="1" t="n">
        <v>45827</v>
      </c>
      <c r="D1991" t="inlineStr">
        <is>
          <t>STOCKHOLMS LÄN</t>
        </is>
      </c>
      <c r="E1991" t="inlineStr">
        <is>
          <t>NORRTÄLJE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13314-2025</t>
        </is>
      </c>
      <c r="B1992" s="1" t="n">
        <v>45735</v>
      </c>
      <c r="C1992" s="1" t="n">
        <v>45827</v>
      </c>
      <c r="D1992" t="inlineStr">
        <is>
          <t>STOCKHOLMS LÄN</t>
        </is>
      </c>
      <c r="E1992" t="inlineStr">
        <is>
          <t>NORRTÄLJE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13268-2025</t>
        </is>
      </c>
      <c r="B1993" s="1" t="n">
        <v>45735</v>
      </c>
      <c r="C1993" s="1" t="n">
        <v>45827</v>
      </c>
      <c r="D1993" t="inlineStr">
        <is>
          <t>STOCKHOLMS LÄN</t>
        </is>
      </c>
      <c r="E1993" t="inlineStr">
        <is>
          <t>NORRTÄLJE</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13291-2025</t>
        </is>
      </c>
      <c r="B1994" s="1" t="n">
        <v>45735</v>
      </c>
      <c r="C1994" s="1" t="n">
        <v>45827</v>
      </c>
      <c r="D1994" t="inlineStr">
        <is>
          <t>STOCKHOLMS LÄN</t>
        </is>
      </c>
      <c r="E1994" t="inlineStr">
        <is>
          <t>NORRTÄLJE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13265-2025</t>
        </is>
      </c>
      <c r="B1995" s="1" t="n">
        <v>45735</v>
      </c>
      <c r="C1995" s="1" t="n">
        <v>45827</v>
      </c>
      <c r="D1995" t="inlineStr">
        <is>
          <t>STOCKHOLMS LÄN</t>
        </is>
      </c>
      <c r="E1995" t="inlineStr">
        <is>
          <t>NORRTÄLJE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13270-2025</t>
        </is>
      </c>
      <c r="B1996" s="1" t="n">
        <v>45735</v>
      </c>
      <c r="C1996" s="1" t="n">
        <v>45827</v>
      </c>
      <c r="D1996" t="inlineStr">
        <is>
          <t>STOCKHOLMS LÄN</t>
        </is>
      </c>
      <c r="E1996" t="inlineStr">
        <is>
          <t>NORRTÄLJE</t>
        </is>
      </c>
      <c r="G1996" t="n">
        <v>9.800000000000001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13279-2025</t>
        </is>
      </c>
      <c r="B1997" s="1" t="n">
        <v>45735</v>
      </c>
      <c r="C1997" s="1" t="n">
        <v>45827</v>
      </c>
      <c r="D1997" t="inlineStr">
        <is>
          <t>STOCKHOLMS LÄN</t>
        </is>
      </c>
      <c r="E1997" t="inlineStr">
        <is>
          <t>NORRTÄLJE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13578-2025</t>
        </is>
      </c>
      <c r="B1998" s="1" t="n">
        <v>45736</v>
      </c>
      <c r="C1998" s="1" t="n">
        <v>45827</v>
      </c>
      <c r="D1998" t="inlineStr">
        <is>
          <t>STOCKHOLMS LÄN</t>
        </is>
      </c>
      <c r="E1998" t="inlineStr">
        <is>
          <t>NORRTÄLJE</t>
        </is>
      </c>
      <c r="F1998" t="inlineStr">
        <is>
          <t>Övriga Aktiebolag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13767-2025</t>
        </is>
      </c>
      <c r="B1999" s="1" t="n">
        <v>45737</v>
      </c>
      <c r="C1999" s="1" t="n">
        <v>45827</v>
      </c>
      <c r="D1999" t="inlineStr">
        <is>
          <t>STOCKHOLMS LÄN</t>
        </is>
      </c>
      <c r="E1999" t="inlineStr">
        <is>
          <t>NORRTÄLJE</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14130-2025</t>
        </is>
      </c>
      <c r="B2000" s="1" t="n">
        <v>45740</v>
      </c>
      <c r="C2000" s="1" t="n">
        <v>45827</v>
      </c>
      <c r="D2000" t="inlineStr">
        <is>
          <t>STOCKHOLMS LÄN</t>
        </is>
      </c>
      <c r="E2000" t="inlineStr">
        <is>
          <t>NORRTÄLJE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14132-2025</t>
        </is>
      </c>
      <c r="B2001" s="1" t="n">
        <v>45740</v>
      </c>
      <c r="C2001" s="1" t="n">
        <v>45827</v>
      </c>
      <c r="D2001" t="inlineStr">
        <is>
          <t>STOCKHOLMS LÄN</t>
        </is>
      </c>
      <c r="E2001" t="inlineStr">
        <is>
          <t>NORRTÄLJE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14127-2025</t>
        </is>
      </c>
      <c r="B2002" s="1" t="n">
        <v>45740</v>
      </c>
      <c r="C2002" s="1" t="n">
        <v>45827</v>
      </c>
      <c r="D2002" t="inlineStr">
        <is>
          <t>STOCKHOLMS LÄN</t>
        </is>
      </c>
      <c r="E2002" t="inlineStr">
        <is>
          <t>NORRTÄLJE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14133-2025</t>
        </is>
      </c>
      <c r="B2003" s="1" t="n">
        <v>45740</v>
      </c>
      <c r="C2003" s="1" t="n">
        <v>45827</v>
      </c>
      <c r="D2003" t="inlineStr">
        <is>
          <t>STOCKHOLMS LÄN</t>
        </is>
      </c>
      <c r="E2003" t="inlineStr">
        <is>
          <t>NORRTÄLJE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14621-2025</t>
        </is>
      </c>
      <c r="B2004" s="1" t="n">
        <v>45742</v>
      </c>
      <c r="C2004" s="1" t="n">
        <v>45827</v>
      </c>
      <c r="D2004" t="inlineStr">
        <is>
          <t>STOCKHOLMS LÄN</t>
        </is>
      </c>
      <c r="E2004" t="inlineStr">
        <is>
          <t>NORRTÄLJE</t>
        </is>
      </c>
      <c r="F2004" t="inlineStr">
        <is>
          <t>Kyrkan</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14733-2025</t>
        </is>
      </c>
      <c r="B2005" s="1" t="n">
        <v>45742</v>
      </c>
      <c r="C2005" s="1" t="n">
        <v>45827</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14873-2025</t>
        </is>
      </c>
      <c r="B2006" s="1" t="n">
        <v>45743</v>
      </c>
      <c r="C2006" s="1" t="n">
        <v>45827</v>
      </c>
      <c r="D2006" t="inlineStr">
        <is>
          <t>STOCKHOLMS LÄN</t>
        </is>
      </c>
      <c r="E2006" t="inlineStr">
        <is>
          <t>NORRTÄLJE</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15328-2025</t>
        </is>
      </c>
      <c r="B2007" s="1" t="n">
        <v>45746</v>
      </c>
      <c r="C2007" s="1" t="n">
        <v>45827</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15559-2025</t>
        </is>
      </c>
      <c r="B2008" s="1" t="n">
        <v>45747</v>
      </c>
      <c r="C2008" s="1" t="n">
        <v>45827</v>
      </c>
      <c r="D2008" t="inlineStr">
        <is>
          <t>STOCKHOLMS LÄN</t>
        </is>
      </c>
      <c r="E2008" t="inlineStr">
        <is>
          <t>NORRTÄLJE</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15528-2025</t>
        </is>
      </c>
      <c r="B2009" s="1" t="n">
        <v>45747</v>
      </c>
      <c r="C2009" s="1" t="n">
        <v>45827</v>
      </c>
      <c r="D2009" t="inlineStr">
        <is>
          <t>STOCKHOLMS LÄN</t>
        </is>
      </c>
      <c r="E2009" t="inlineStr">
        <is>
          <t>NORRTÄLJE</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15534-2025</t>
        </is>
      </c>
      <c r="B2010" s="1" t="n">
        <v>45747</v>
      </c>
      <c r="C2010" s="1" t="n">
        <v>45827</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15527-2025</t>
        </is>
      </c>
      <c r="B2011" s="1" t="n">
        <v>45747</v>
      </c>
      <c r="C2011" s="1" t="n">
        <v>45827</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15560-2025</t>
        </is>
      </c>
      <c r="B2012" s="1" t="n">
        <v>45747</v>
      </c>
      <c r="C2012" s="1" t="n">
        <v>45827</v>
      </c>
      <c r="D2012" t="inlineStr">
        <is>
          <t>STOCKHOLMS LÄN</t>
        </is>
      </c>
      <c r="E2012" t="inlineStr">
        <is>
          <t>NORRTÄLJE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15733-2025</t>
        </is>
      </c>
      <c r="B2013" s="1" t="n">
        <v>45748</v>
      </c>
      <c r="C2013" s="1" t="n">
        <v>45827</v>
      </c>
      <c r="D2013" t="inlineStr">
        <is>
          <t>STOCKHOLMS LÄN</t>
        </is>
      </c>
      <c r="E2013" t="inlineStr">
        <is>
          <t>NORRTÄLJE</t>
        </is>
      </c>
      <c r="G2013" t="n">
        <v>13.3</v>
      </c>
      <c r="H2013" t="n">
        <v>0</v>
      </c>
      <c r="I2013" t="n">
        <v>0</v>
      </c>
      <c r="J2013" t="n">
        <v>0</v>
      </c>
      <c r="K2013" t="n">
        <v>0</v>
      </c>
      <c r="L2013" t="n">
        <v>0</v>
      </c>
      <c r="M2013" t="n">
        <v>0</v>
      </c>
      <c r="N2013" t="n">
        <v>0</v>
      </c>
      <c r="O2013" t="n">
        <v>0</v>
      </c>
      <c r="P2013" t="n">
        <v>0</v>
      </c>
      <c r="Q2013" t="n">
        <v>0</v>
      </c>
      <c r="R2013" s="2" t="inlineStr"/>
    </row>
    <row r="2014" ht="15" customHeight="1">
      <c r="A2014" t="inlineStr">
        <is>
          <t>A 15642-2025</t>
        </is>
      </c>
      <c r="B2014" s="1" t="n">
        <v>45748</v>
      </c>
      <c r="C2014" s="1" t="n">
        <v>45827</v>
      </c>
      <c r="D2014" t="inlineStr">
        <is>
          <t>STOCKHOLMS LÄN</t>
        </is>
      </c>
      <c r="E2014" t="inlineStr">
        <is>
          <t>NORRTÄLJE</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16869-2025</t>
        </is>
      </c>
      <c r="B2015" s="1" t="n">
        <v>45754</v>
      </c>
      <c r="C2015" s="1" t="n">
        <v>45827</v>
      </c>
      <c r="D2015" t="inlineStr">
        <is>
          <t>STOCKHOLMS LÄN</t>
        </is>
      </c>
      <c r="E2015" t="inlineStr">
        <is>
          <t>NORRTÄLJE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16913-2025</t>
        </is>
      </c>
      <c r="B2016" s="1" t="n">
        <v>45755</v>
      </c>
      <c r="C2016" s="1" t="n">
        <v>45827</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17407-2025</t>
        </is>
      </c>
      <c r="B2017" s="1" t="n">
        <v>45757</v>
      </c>
      <c r="C2017" s="1" t="n">
        <v>45827</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17574-2025</t>
        </is>
      </c>
      <c r="B2018" s="1" t="n">
        <v>45757</v>
      </c>
      <c r="C2018" s="1" t="n">
        <v>45827</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17545-2025</t>
        </is>
      </c>
      <c r="B2019" s="1" t="n">
        <v>45757</v>
      </c>
      <c r="C2019" s="1" t="n">
        <v>45827</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17551-2025</t>
        </is>
      </c>
      <c r="B2020" s="1" t="n">
        <v>45757</v>
      </c>
      <c r="C2020" s="1" t="n">
        <v>45827</v>
      </c>
      <c r="D2020" t="inlineStr">
        <is>
          <t>STOCKHOLMS LÄN</t>
        </is>
      </c>
      <c r="E2020" t="inlineStr">
        <is>
          <t>NORRTÄLJE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17556-2025</t>
        </is>
      </c>
      <c r="B2021" s="1" t="n">
        <v>45757</v>
      </c>
      <c r="C2021" s="1" t="n">
        <v>45827</v>
      </c>
      <c r="D2021" t="inlineStr">
        <is>
          <t>STOCKHOLMS LÄN</t>
        </is>
      </c>
      <c r="E2021" t="inlineStr">
        <is>
          <t>NORRTÄLJE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17956-2025</t>
        </is>
      </c>
      <c r="B2022" s="1" t="n">
        <v>45760</v>
      </c>
      <c r="C2022" s="1" t="n">
        <v>45827</v>
      </c>
      <c r="D2022" t="inlineStr">
        <is>
          <t>STOCKHOLMS LÄN</t>
        </is>
      </c>
      <c r="E2022" t="inlineStr">
        <is>
          <t>NORRTÄLJE</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18601-2025</t>
        </is>
      </c>
      <c r="B2023" s="1" t="n">
        <v>45763</v>
      </c>
      <c r="C2023" s="1" t="n">
        <v>45827</v>
      </c>
      <c r="D2023" t="inlineStr">
        <is>
          <t>STOCKHOLMS LÄN</t>
        </is>
      </c>
      <c r="E2023" t="inlineStr">
        <is>
          <t>NORRTÄLJE</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19025-2025</t>
        </is>
      </c>
      <c r="B2024" s="1" t="n">
        <v>45764</v>
      </c>
      <c r="C2024" s="1" t="n">
        <v>45827</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18970-2025</t>
        </is>
      </c>
      <c r="B2025" s="1" t="n">
        <v>45764</v>
      </c>
      <c r="C2025" s="1" t="n">
        <v>45827</v>
      </c>
      <c r="D2025" t="inlineStr">
        <is>
          <t>STOCKHOLMS LÄN</t>
        </is>
      </c>
      <c r="E2025" t="inlineStr">
        <is>
          <t>NORRTÄLJE</t>
        </is>
      </c>
      <c r="F2025" t="inlineStr">
        <is>
          <t>Holmen skog AB</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19131-2025</t>
        </is>
      </c>
      <c r="B2026" s="1" t="n">
        <v>45769</v>
      </c>
      <c r="C2026" s="1" t="n">
        <v>45827</v>
      </c>
      <c r="D2026" t="inlineStr">
        <is>
          <t>STOCKHOLMS LÄN</t>
        </is>
      </c>
      <c r="E2026" t="inlineStr">
        <is>
          <t>NORRTÄLJE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19450-2025</t>
        </is>
      </c>
      <c r="B2027" s="1" t="n">
        <v>45770</v>
      </c>
      <c r="C2027" s="1" t="n">
        <v>45827</v>
      </c>
      <c r="D2027" t="inlineStr">
        <is>
          <t>STOCKHOLMS LÄN</t>
        </is>
      </c>
      <c r="E2027" t="inlineStr">
        <is>
          <t>NORRTÄLJE</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19911-2025</t>
        </is>
      </c>
      <c r="B2028" s="1" t="n">
        <v>45771</v>
      </c>
      <c r="C2028" s="1" t="n">
        <v>45827</v>
      </c>
      <c r="D2028" t="inlineStr">
        <is>
          <t>STOCKHOLMS LÄN</t>
        </is>
      </c>
      <c r="E2028" t="inlineStr">
        <is>
          <t>NORRTÄLJE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20244-2025</t>
        </is>
      </c>
      <c r="B2029" s="1" t="n">
        <v>45772</v>
      </c>
      <c r="C2029" s="1" t="n">
        <v>45827</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20011-2025</t>
        </is>
      </c>
      <c r="B2030" s="1" t="n">
        <v>45772</v>
      </c>
      <c r="C2030" s="1" t="n">
        <v>45827</v>
      </c>
      <c r="D2030" t="inlineStr">
        <is>
          <t>STOCKHOLMS LÄN</t>
        </is>
      </c>
      <c r="E2030" t="inlineStr">
        <is>
          <t>NORRTÄLJE</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20013-2025</t>
        </is>
      </c>
      <c r="B2031" s="1" t="n">
        <v>45772</v>
      </c>
      <c r="C2031" s="1" t="n">
        <v>45827</v>
      </c>
      <c r="D2031" t="inlineStr">
        <is>
          <t>STOCKHOLMS LÄN</t>
        </is>
      </c>
      <c r="E2031" t="inlineStr">
        <is>
          <t>NORRTÄLJE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20014-2025</t>
        </is>
      </c>
      <c r="B2032" s="1" t="n">
        <v>45772</v>
      </c>
      <c r="C2032" s="1" t="n">
        <v>45827</v>
      </c>
      <c r="D2032" t="inlineStr">
        <is>
          <t>STOCKHOLMS LÄN</t>
        </is>
      </c>
      <c r="E2032" t="inlineStr">
        <is>
          <t>NORRTÄLJE</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20136-2025</t>
        </is>
      </c>
      <c r="B2033" s="1" t="n">
        <v>45772</v>
      </c>
      <c r="C2033" s="1" t="n">
        <v>45827</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20399-2025</t>
        </is>
      </c>
      <c r="B2034" s="1" t="n">
        <v>45775</v>
      </c>
      <c r="C2034" s="1" t="n">
        <v>45827</v>
      </c>
      <c r="D2034" t="inlineStr">
        <is>
          <t>STOCKHOLMS LÄN</t>
        </is>
      </c>
      <c r="E2034" t="inlineStr">
        <is>
          <t>NORRTÄLJE</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20366-2025</t>
        </is>
      </c>
      <c r="B2035" s="1" t="n">
        <v>45775</v>
      </c>
      <c r="C2035" s="1" t="n">
        <v>45827</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20370-2025</t>
        </is>
      </c>
      <c r="B2036" s="1" t="n">
        <v>45775</v>
      </c>
      <c r="C2036" s="1" t="n">
        <v>45827</v>
      </c>
      <c r="D2036" t="inlineStr">
        <is>
          <t>STOCKHOLMS LÄN</t>
        </is>
      </c>
      <c r="E2036" t="inlineStr">
        <is>
          <t>NORRTÄLJE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20692-2025</t>
        </is>
      </c>
      <c r="B2037" s="1" t="n">
        <v>45776</v>
      </c>
      <c r="C2037" s="1" t="n">
        <v>45827</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20699-2025</t>
        </is>
      </c>
      <c r="B2038" s="1" t="n">
        <v>45776</v>
      </c>
      <c r="C2038" s="1" t="n">
        <v>45827</v>
      </c>
      <c r="D2038" t="inlineStr">
        <is>
          <t>STOCKHOLMS LÄN</t>
        </is>
      </c>
      <c r="E2038" t="inlineStr">
        <is>
          <t>NORRTÄLJE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20790-2025</t>
        </is>
      </c>
      <c r="B2039" s="1" t="n">
        <v>45776</v>
      </c>
      <c r="C2039" s="1" t="n">
        <v>45827</v>
      </c>
      <c r="D2039" t="inlineStr">
        <is>
          <t>STOCKHOLMS LÄN</t>
        </is>
      </c>
      <c r="E2039" t="inlineStr">
        <is>
          <t>NORRTÄLJE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20698-2025</t>
        </is>
      </c>
      <c r="B2040" s="1" t="n">
        <v>45776</v>
      </c>
      <c r="C2040" s="1" t="n">
        <v>45827</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20697-2025</t>
        </is>
      </c>
      <c r="B2041" s="1" t="n">
        <v>45776</v>
      </c>
      <c r="C2041" s="1" t="n">
        <v>45827</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20779-2025</t>
        </is>
      </c>
      <c r="B2042" s="1" t="n">
        <v>45776</v>
      </c>
      <c r="C2042" s="1" t="n">
        <v>45827</v>
      </c>
      <c r="D2042" t="inlineStr">
        <is>
          <t>STOCKHOLMS LÄN</t>
        </is>
      </c>
      <c r="E2042" t="inlineStr">
        <is>
          <t>NORRTÄLJE</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21778-2025</t>
        </is>
      </c>
      <c r="B2043" s="1" t="n">
        <v>45783</v>
      </c>
      <c r="C2043" s="1" t="n">
        <v>45827</v>
      </c>
      <c r="D2043" t="inlineStr">
        <is>
          <t>STOCKHOLMS LÄN</t>
        </is>
      </c>
      <c r="E2043" t="inlineStr">
        <is>
          <t>NORRTÄLJE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21771-2025</t>
        </is>
      </c>
      <c r="B2044" s="1" t="n">
        <v>45783</v>
      </c>
      <c r="C2044" s="1" t="n">
        <v>45827</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21679-2025</t>
        </is>
      </c>
      <c r="B2045" s="1" t="n">
        <v>45783</v>
      </c>
      <c r="C2045" s="1" t="n">
        <v>45827</v>
      </c>
      <c r="D2045" t="inlineStr">
        <is>
          <t>STOCKHOLMS LÄN</t>
        </is>
      </c>
      <c r="E2045" t="inlineStr">
        <is>
          <t>NORRTÄLJE</t>
        </is>
      </c>
      <c r="G2045" t="n">
        <v>17.5</v>
      </c>
      <c r="H2045" t="n">
        <v>0</v>
      </c>
      <c r="I2045" t="n">
        <v>0</v>
      </c>
      <c r="J2045" t="n">
        <v>0</v>
      </c>
      <c r="K2045" t="n">
        <v>0</v>
      </c>
      <c r="L2045" t="n">
        <v>0</v>
      </c>
      <c r="M2045" t="n">
        <v>0</v>
      </c>
      <c r="N2045" t="n">
        <v>0</v>
      </c>
      <c r="O2045" t="n">
        <v>0</v>
      </c>
      <c r="P2045" t="n">
        <v>0</v>
      </c>
      <c r="Q2045" t="n">
        <v>0</v>
      </c>
      <c r="R2045" s="2" t="inlineStr"/>
    </row>
    <row r="2046" ht="15" customHeight="1">
      <c r="A2046" t="inlineStr">
        <is>
          <t>A 22202-2025</t>
        </is>
      </c>
      <c r="B2046" s="1" t="n">
        <v>45785</v>
      </c>
      <c r="C2046" s="1" t="n">
        <v>45827</v>
      </c>
      <c r="D2046" t="inlineStr">
        <is>
          <t>STOCKHOLMS LÄN</t>
        </is>
      </c>
      <c r="E2046" t="inlineStr">
        <is>
          <t>NORRTÄLJE</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22359-2025</t>
        </is>
      </c>
      <c r="B2047" s="1" t="n">
        <v>45786</v>
      </c>
      <c r="C2047" s="1" t="n">
        <v>45827</v>
      </c>
      <c r="D2047" t="inlineStr">
        <is>
          <t>STOCKHOLMS LÄN</t>
        </is>
      </c>
      <c r="E2047" t="inlineStr">
        <is>
          <t>NORRTÄLJE</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22416-2025</t>
        </is>
      </c>
      <c r="B2048" s="1" t="n">
        <v>45786</v>
      </c>
      <c r="C2048" s="1" t="n">
        <v>45827</v>
      </c>
      <c r="D2048" t="inlineStr">
        <is>
          <t>STOCKHOLMS LÄN</t>
        </is>
      </c>
      <c r="E2048" t="inlineStr">
        <is>
          <t>NORRTÄLJE</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23061-2025</t>
        </is>
      </c>
      <c r="B2049" s="1" t="n">
        <v>45790</v>
      </c>
      <c r="C2049" s="1" t="n">
        <v>45827</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24351-2025</t>
        </is>
      </c>
      <c r="B2050" s="1" t="n">
        <v>45797</v>
      </c>
      <c r="C2050" s="1" t="n">
        <v>45827</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24350-2025</t>
        </is>
      </c>
      <c r="B2051" s="1" t="n">
        <v>45797</v>
      </c>
      <c r="C2051" s="1" t="n">
        <v>45827</v>
      </c>
      <c r="D2051" t="inlineStr">
        <is>
          <t>STOCKHOLMS LÄN</t>
        </is>
      </c>
      <c r="E2051" t="inlineStr">
        <is>
          <t>NORRTÄLJE</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24638-2025</t>
        </is>
      </c>
      <c r="B2052" s="1" t="n">
        <v>45798</v>
      </c>
      <c r="C2052" s="1" t="n">
        <v>45827</v>
      </c>
      <c r="D2052" t="inlineStr">
        <is>
          <t>STOCKHOLMS LÄN</t>
        </is>
      </c>
      <c r="E2052" t="inlineStr">
        <is>
          <t>NORRTÄLJE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24683-2025</t>
        </is>
      </c>
      <c r="B2053" s="1" t="n">
        <v>45798</v>
      </c>
      <c r="C2053" s="1" t="n">
        <v>45827</v>
      </c>
      <c r="D2053" t="inlineStr">
        <is>
          <t>STOCKHOLMS LÄN</t>
        </is>
      </c>
      <c r="E2053" t="inlineStr">
        <is>
          <t>NORRTÄLJE</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24623-2025</t>
        </is>
      </c>
      <c r="B2054" s="1" t="n">
        <v>45798</v>
      </c>
      <c r="C2054" s="1" t="n">
        <v>45827</v>
      </c>
      <c r="D2054" t="inlineStr">
        <is>
          <t>STOCKHOLMS LÄN</t>
        </is>
      </c>
      <c r="E2054" t="inlineStr">
        <is>
          <t>NORRTÄLJE</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24687-2025</t>
        </is>
      </c>
      <c r="B2055" s="1" t="n">
        <v>45798</v>
      </c>
      <c r="C2055" s="1" t="n">
        <v>45827</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24690-2025</t>
        </is>
      </c>
      <c r="B2056" s="1" t="n">
        <v>45798</v>
      </c>
      <c r="C2056" s="1" t="n">
        <v>45827</v>
      </c>
      <c r="D2056" t="inlineStr">
        <is>
          <t>STOCKHOLMS LÄN</t>
        </is>
      </c>
      <c r="E2056" t="inlineStr">
        <is>
          <t>NORRTÄLJE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24835-2025</t>
        </is>
      </c>
      <c r="B2057" s="1" t="n">
        <v>45799</v>
      </c>
      <c r="C2057" s="1" t="n">
        <v>45827</v>
      </c>
      <c r="D2057" t="inlineStr">
        <is>
          <t>STOCKHOLMS LÄN</t>
        </is>
      </c>
      <c r="E2057" t="inlineStr">
        <is>
          <t>NORRTÄLJE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25702-2025</t>
        </is>
      </c>
      <c r="B2058" s="1" t="n">
        <v>45800</v>
      </c>
      <c r="C2058" s="1" t="n">
        <v>45827</v>
      </c>
      <c r="D2058" t="inlineStr">
        <is>
          <t>STOCKHOLMS LÄN</t>
        </is>
      </c>
      <c r="E2058" t="inlineStr">
        <is>
          <t>NORRTÄLJE</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25733-2025</t>
        </is>
      </c>
      <c r="B2059" s="1" t="n">
        <v>45800</v>
      </c>
      <c r="C2059" s="1" t="n">
        <v>45827</v>
      </c>
      <c r="D2059" t="inlineStr">
        <is>
          <t>STOCKHOLMS LÄN</t>
        </is>
      </c>
      <c r="E2059" t="inlineStr">
        <is>
          <t>NORRTÄLJE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45827</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25709-2025</t>
        </is>
      </c>
      <c r="B2061" s="1" t="n">
        <v>45800</v>
      </c>
      <c r="C2061" s="1" t="n">
        <v>45827</v>
      </c>
      <c r="D2061" t="inlineStr">
        <is>
          <t>STOCKHOLMS LÄN</t>
        </is>
      </c>
      <c r="E2061" t="inlineStr">
        <is>
          <t>NORRTÄLJE</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25721-2025</t>
        </is>
      </c>
      <c r="B2062" s="1" t="n">
        <v>45800</v>
      </c>
      <c r="C2062" s="1" t="n">
        <v>45827</v>
      </c>
      <c r="D2062" t="inlineStr">
        <is>
          <t>STOCKHOLMS LÄN</t>
        </is>
      </c>
      <c r="E2062" t="inlineStr">
        <is>
          <t>NORRTÄLJE</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25725-2025</t>
        </is>
      </c>
      <c r="B2063" s="1" t="n">
        <v>45800</v>
      </c>
      <c r="C2063" s="1" t="n">
        <v>45827</v>
      </c>
      <c r="D2063" t="inlineStr">
        <is>
          <t>STOCKHOLMS LÄN</t>
        </is>
      </c>
      <c r="E2063" t="inlineStr">
        <is>
          <t>NORRTÄLJE</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25571-2025</t>
        </is>
      </c>
      <c r="B2064" s="1" t="n">
        <v>45803</v>
      </c>
      <c r="C2064" s="1" t="n">
        <v>45827</v>
      </c>
      <c r="D2064" t="inlineStr">
        <is>
          <t>STOCKHOLMS LÄN</t>
        </is>
      </c>
      <c r="E2064" t="inlineStr">
        <is>
          <t>NORRTÄLJE</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45827</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45827</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26051-2025</t>
        </is>
      </c>
      <c r="B2067" s="1" t="n">
        <v>45804</v>
      </c>
      <c r="C2067" s="1" t="n">
        <v>45827</v>
      </c>
      <c r="D2067" t="inlineStr">
        <is>
          <t>STOCKHOLMS LÄN</t>
        </is>
      </c>
      <c r="E2067" t="inlineStr">
        <is>
          <t>NORRTÄLJE</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26702-2025</t>
        </is>
      </c>
      <c r="B2068" s="1" t="n">
        <v>45810</v>
      </c>
      <c r="C2068" s="1" t="n">
        <v>45827</v>
      </c>
      <c r="D2068" t="inlineStr">
        <is>
          <t>STOCKHOLMS LÄN</t>
        </is>
      </c>
      <c r="E2068" t="inlineStr">
        <is>
          <t>NORRTÄLJE</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26703-2025</t>
        </is>
      </c>
      <c r="B2069" s="1" t="n">
        <v>45810</v>
      </c>
      <c r="C2069" s="1" t="n">
        <v>45827</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26708-2025</t>
        </is>
      </c>
      <c r="B2070" s="1" t="n">
        <v>45810</v>
      </c>
      <c r="C2070" s="1" t="n">
        <v>45827</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26747-2025</t>
        </is>
      </c>
      <c r="B2071" s="1" t="n">
        <v>45810</v>
      </c>
      <c r="C2071" s="1" t="n">
        <v>45827</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26675-2025</t>
        </is>
      </c>
      <c r="B2072" s="1" t="n">
        <v>45810</v>
      </c>
      <c r="C2072" s="1" t="n">
        <v>45827</v>
      </c>
      <c r="D2072" t="inlineStr">
        <is>
          <t>STOCKHOLMS LÄN</t>
        </is>
      </c>
      <c r="E2072" t="inlineStr">
        <is>
          <t>NORRTÄLJE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27040-2025</t>
        </is>
      </c>
      <c r="B2073" s="1" t="n">
        <v>45811</v>
      </c>
      <c r="C2073" s="1" t="n">
        <v>45827</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27554-2025</t>
        </is>
      </c>
      <c r="B2074" s="1" t="n">
        <v>45813</v>
      </c>
      <c r="C2074" s="1" t="n">
        <v>45827</v>
      </c>
      <c r="D2074" t="inlineStr">
        <is>
          <t>STOCKHOLMS LÄN</t>
        </is>
      </c>
      <c r="E2074" t="inlineStr">
        <is>
          <t>NORRTÄLJE</t>
        </is>
      </c>
      <c r="F2074" t="inlineStr">
        <is>
          <t>Övriga Aktiebolag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27697-2025</t>
        </is>
      </c>
      <c r="B2075" s="1" t="n">
        <v>45813</v>
      </c>
      <c r="C2075" s="1" t="n">
        <v>45827</v>
      </c>
      <c r="D2075" t="inlineStr">
        <is>
          <t>STOCKHOLMS LÄN</t>
        </is>
      </c>
      <c r="E2075" t="inlineStr">
        <is>
          <t>NORRTÄLJE</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27677-2025</t>
        </is>
      </c>
      <c r="B2076" s="1" t="n">
        <v>45813</v>
      </c>
      <c r="C2076" s="1" t="n">
        <v>45827</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45827</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27803-2025</t>
        </is>
      </c>
      <c r="B2078" s="1" t="n">
        <v>45817</v>
      </c>
      <c r="C2078" s="1" t="n">
        <v>45827</v>
      </c>
      <c r="D2078" t="inlineStr">
        <is>
          <t>STOCKHOLMS LÄN</t>
        </is>
      </c>
      <c r="E2078" t="inlineStr">
        <is>
          <t>NORRTÄLJE</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27811-2025</t>
        </is>
      </c>
      <c r="B2079" s="1" t="n">
        <v>45817</v>
      </c>
      <c r="C2079" s="1" t="n">
        <v>45827</v>
      </c>
      <c r="D2079" t="inlineStr">
        <is>
          <t>STOCKHOLMS LÄN</t>
        </is>
      </c>
      <c r="E2079" t="inlineStr">
        <is>
          <t>NORRTÄLJE</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27818-2025</t>
        </is>
      </c>
      <c r="B2080" s="1" t="n">
        <v>45817</v>
      </c>
      <c r="C2080" s="1" t="n">
        <v>45827</v>
      </c>
      <c r="D2080" t="inlineStr">
        <is>
          <t>STOCKHOLMS LÄN</t>
        </is>
      </c>
      <c r="E2080" t="inlineStr">
        <is>
          <t>NORRTÄLJE</t>
        </is>
      </c>
      <c r="F2080" t="inlineStr">
        <is>
          <t>Sveaskog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27821-2025</t>
        </is>
      </c>
      <c r="B2081" s="1" t="n">
        <v>45817</v>
      </c>
      <c r="C2081" s="1" t="n">
        <v>45827</v>
      </c>
      <c r="D2081" t="inlineStr">
        <is>
          <t>STOCKHOLMS LÄN</t>
        </is>
      </c>
      <c r="E2081" t="inlineStr">
        <is>
          <t>NORRTÄLJE</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27806-2025</t>
        </is>
      </c>
      <c r="B2082" s="1" t="n">
        <v>45817</v>
      </c>
      <c r="C2082" s="1" t="n">
        <v>45827</v>
      </c>
      <c r="D2082" t="inlineStr">
        <is>
          <t>STOCKHOLMS LÄN</t>
        </is>
      </c>
      <c r="E2082" t="inlineStr">
        <is>
          <t>NORRTÄLJE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27810-2025</t>
        </is>
      </c>
      <c r="B2083" s="1" t="n">
        <v>45817</v>
      </c>
      <c r="C2083" s="1" t="n">
        <v>45827</v>
      </c>
      <c r="D2083" t="inlineStr">
        <is>
          <t>STOCKHOLMS LÄN</t>
        </is>
      </c>
      <c r="E2083" t="inlineStr">
        <is>
          <t>NORRTÄLJE</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27801-2025</t>
        </is>
      </c>
      <c r="B2084" s="1" t="n">
        <v>45817</v>
      </c>
      <c r="C2084" s="1" t="n">
        <v>45827</v>
      </c>
      <c r="D2084" t="inlineStr">
        <is>
          <t>STOCKHOLMS LÄN</t>
        </is>
      </c>
      <c r="E2084" t="inlineStr">
        <is>
          <t>NORRTÄLJE</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27802-2025</t>
        </is>
      </c>
      <c r="B2085" s="1" t="n">
        <v>45817</v>
      </c>
      <c r="C2085" s="1" t="n">
        <v>45827</v>
      </c>
      <c r="D2085" t="inlineStr">
        <is>
          <t>STOCKHOLMS LÄN</t>
        </is>
      </c>
      <c r="E2085" t="inlineStr">
        <is>
          <t>NORRTÄLJE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27813-2025</t>
        </is>
      </c>
      <c r="B2086" s="1" t="n">
        <v>45817</v>
      </c>
      <c r="C2086" s="1" t="n">
        <v>45827</v>
      </c>
      <c r="D2086" t="inlineStr">
        <is>
          <t>STOCKHOLMS LÄN</t>
        </is>
      </c>
      <c r="E2086" t="inlineStr">
        <is>
          <t>NORRTÄLJE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27808-2025</t>
        </is>
      </c>
      <c r="B2087" s="1" t="n">
        <v>45817</v>
      </c>
      <c r="C2087" s="1" t="n">
        <v>45827</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c r="A2088" t="inlineStr">
        <is>
          <t>A 29250-2025</t>
        </is>
      </c>
      <c r="B2088" s="1" t="n">
        <v>45824</v>
      </c>
      <c r="C2088" s="1" t="n">
        <v>45827</v>
      </c>
      <c r="D2088" t="inlineStr">
        <is>
          <t>STOCKHOLMS LÄN</t>
        </is>
      </c>
      <c r="E2088" t="inlineStr">
        <is>
          <t>NORRTÄLJE</t>
        </is>
      </c>
      <c r="F2088" t="inlineStr">
        <is>
          <t>Sveaskog</t>
        </is>
      </c>
      <c r="G2088" t="n">
        <v>6.4</v>
      </c>
      <c r="H2088" t="n">
        <v>0</v>
      </c>
      <c r="I2088" t="n">
        <v>0</v>
      </c>
      <c r="J2088" t="n">
        <v>0</v>
      </c>
      <c r="K2088" t="n">
        <v>0</v>
      </c>
      <c r="L2088" t="n">
        <v>0</v>
      </c>
      <c r="M2088" t="n">
        <v>0</v>
      </c>
      <c r="N2088" t="n">
        <v>0</v>
      </c>
      <c r="O2088" t="n">
        <v>0</v>
      </c>
      <c r="P2088" t="n">
        <v>0</v>
      </c>
      <c r="Q2088" t="n">
        <v>0</v>
      </c>
      <c r="R2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2025-06-19T19:15:41Z</dcterms:created>
  <dcterms:modified xmlns:dcterms="http://purl.org/dc/terms/" xmlns:xsi="http://www.w3.org/2001/XMLSchema-instance" xsi:type="dcterms:W3CDTF">2025-06-19T19:15:42Z</dcterms:modified>
</cp:coreProperties>
</file>