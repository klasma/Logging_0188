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45684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45684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45684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45684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45684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45684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45684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52797-2023</t>
        </is>
      </c>
      <c r="B10" s="1" t="n">
        <v>45226</v>
      </c>
      <c r="C10" s="1" t="n">
        <v>45684</v>
      </c>
      <c r="D10" t="inlineStr">
        <is>
          <t>STOCKHOLMS LÄN</t>
        </is>
      </c>
      <c r="E10" t="inlineStr">
        <is>
          <t>NORRTÄLJE</t>
        </is>
      </c>
      <c r="G10" t="n">
        <v>5.3</v>
      </c>
      <c r="H10" t="n">
        <v>4</v>
      </c>
      <c r="I10" t="n">
        <v>11</v>
      </c>
      <c r="J10" t="n">
        <v>6</v>
      </c>
      <c r="K10" t="n">
        <v>3</v>
      </c>
      <c r="L10" t="n">
        <v>0</v>
      </c>
      <c r="M10" t="n">
        <v>0</v>
      </c>
      <c r="N10" t="n">
        <v>0</v>
      </c>
      <c r="O10" t="n">
        <v>9</v>
      </c>
      <c r="P10" t="n">
        <v>3</v>
      </c>
      <c r="Q10" t="n">
        <v>22</v>
      </c>
      <c r="R10" s="2" t="inlineStr">
        <is>
          <t>Knärot
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0">
        <f>HYPERLINK("https://klasma.github.io/Logging_0188/artfynd/A 52797-2023 artfynd.xlsx", "A 52797-2023")</f>
        <v/>
      </c>
      <c r="T10">
        <f>HYPERLINK("https://klasma.github.io/Logging_0188/kartor/A 52797-2023 karta.png", "A 52797-2023")</f>
        <v/>
      </c>
      <c r="U10">
        <f>HYPERLINK("https://klasma.github.io/Logging_0188/knärot/A 52797-2023 karta knärot.png", "A 52797-2023")</f>
        <v/>
      </c>
      <c r="V10">
        <f>HYPERLINK("https://klasma.github.io/Logging_0188/klagomål/A 52797-2023 FSC-klagomål.docx", "A 52797-2023")</f>
        <v/>
      </c>
      <c r="W10">
        <f>HYPERLINK("https://klasma.github.io/Logging_0188/klagomålsmail/A 52797-2023 FSC-klagomål mail.docx", "A 52797-2023")</f>
        <v/>
      </c>
      <c r="X10">
        <f>HYPERLINK("https://klasma.github.io/Logging_0188/tillsyn/A 52797-2023 tillsynsbegäran.docx", "A 52797-2023")</f>
        <v/>
      </c>
      <c r="Y10">
        <f>HYPERLINK("https://klasma.github.io/Logging_0188/tillsynsmail/A 52797-2023 tillsynsbegäran mail.docx", "A 52797-2023")</f>
        <v/>
      </c>
      <c r="Z10">
        <f>HYPERLINK("https://klasma.github.io/Logging_0188/fåglar/A 52797-2023 prioriterade fågelarter.docx", "A 52797-2023")</f>
        <v/>
      </c>
    </row>
    <row r="11" ht="15" customHeight="1">
      <c r="A11" t="inlineStr">
        <is>
          <t>A 32254-2020</t>
        </is>
      </c>
      <c r="B11" s="1" t="n">
        <v>44015</v>
      </c>
      <c r="C11" s="1" t="n">
        <v>45684</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10646-2024</t>
        </is>
      </c>
      <c r="B12" s="1" t="n">
        <v>45367</v>
      </c>
      <c r="C12" s="1" t="n">
        <v>45684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45684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45684</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45684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45684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45684</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45684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45684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45684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45684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45684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45684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45684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45684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45684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45684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45684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45684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45684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45684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45684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45684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45684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45684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45684</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45684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45684</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45684</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45684</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45684</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45684</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45684</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45684</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45684</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45684</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45684</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45684</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45684</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45684</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45684</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45684</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45684</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45684</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45684</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45684</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45684</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45684</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45684</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45684</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45684</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45684</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45684</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45684</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45684</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45684</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45684</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45684</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45684</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45684</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45684</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45684</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45684</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45684</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45684</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45684</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45684</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45684</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45684</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45684</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45684</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45684</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45684</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45684</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45684</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45684</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45684</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45684</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45684</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45684</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45684</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45684</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45684</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45684</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45684</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45684</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45684</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45684</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45684</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45684</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45684</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45684</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45684</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45684</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45684</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45684</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45684</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45684</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45684</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45684</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45684</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45684</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45684</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45684</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45684</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45684</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45684</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45684</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45684</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45684</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45684</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45684</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45684</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45684</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45684</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45684</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45684</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45684</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45684</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45684</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45684</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45684</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45684</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45684</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45684</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45684</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45684</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45684</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45684</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45684</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45684</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45684</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45684</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45684</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45684</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45684</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45684</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45684</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45684</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45684</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45684</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45684</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45684</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45684</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45684</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45684</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45684</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45684</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45684</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45684</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45684</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45684</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45684</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45684</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45684</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45684</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45684</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45684</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45684</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45684</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45684</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45684</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45684</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45684</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45684</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45684</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45684</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45684</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45684</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45684</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45684</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45684</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45684</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45684</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45684</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45684</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45684</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45684</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45684</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45684</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45684</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45684</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45684</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45684</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45684</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45684</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45684</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45684</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45684</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17752-2019</t>
        </is>
      </c>
      <c r="B200" s="1" t="n">
        <v>43556</v>
      </c>
      <c r="C200" s="1" t="n">
        <v>45684</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45684</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45684</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45684</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45684</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45684</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45684</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45684</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45684</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45684</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45684</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45684</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45684</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45684</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45684</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45684</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45684</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45684</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45684</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45684</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45684</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45684</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45684</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45684</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45684</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45684</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45684</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45684</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45684</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45684</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45684</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45684</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45684</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45684</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45684</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45684</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45684</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45684</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45684</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45684</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45684</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45684</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45684</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45684</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45684</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45684</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45684</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45684</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45684</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45684</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45684</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45684</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45684</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45684</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45684</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45684</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45684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45684</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45684</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45684</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45684</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45684</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45684</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45684</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45684</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45684</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45684</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45684</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45684</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45684</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45684</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45684</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45684</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45684</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45684</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45684</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45684</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45684</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45684</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45684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45684</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45684</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45684</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45684</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45684</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45684</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45684</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45684</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45684</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45684</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45684</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45684</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45684</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45684</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45684</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45684</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45684</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45684</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45684</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45684</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45684</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45684</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45684</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45684</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45684</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45684</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45684</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45684</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45684</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45684</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45684</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45684</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45684</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45684</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45684</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45684</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45684</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45684</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45684</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45684</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45684</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45684</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45684</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45684</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45684</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45684</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45684</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45684</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45684</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45684</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45684</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45684</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45684</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45684</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45684</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45684</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45684</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45684</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45684</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45684</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45684</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45684</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45684</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45684</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45684</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45684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45684</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45684</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45684</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45684</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45684</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45684</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45684</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45684</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45684</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45684</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45684</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45684</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45684</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45684</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45684</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45684</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45684</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45684</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45684</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45684</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45684</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45684</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45684</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45684</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45684</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45684</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45684</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45684</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45684</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45684</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45684</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45684</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45684</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45684</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45684</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45684</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45684</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45684</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45684</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45684</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45684</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45684</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45684</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45684</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45684</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45684</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45684</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45684</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45684</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45684</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45684</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45684</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45684</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45684</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45684</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45684</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45684</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45684</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45684</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45684</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45684</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45684</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45684</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45684</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45684</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45684</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45684</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45684</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45684</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45684</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45684</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45684</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45684</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45684</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45684</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45684</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45684</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45684</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45684</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45684</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45684</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45684</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45684</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45684</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45684</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45684</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45684</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45684</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45684</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45684</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45684</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45684</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45684</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45684</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45684</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45684</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45684</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45684</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45684</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45684</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45684</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45684</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45684</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45684</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45684</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45684</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45684</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45684</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45684</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45684</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45684</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45684</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45684</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45684</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45684</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45684</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45684</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45684</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45684</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45684</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45684</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45684</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45684</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45684</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45684</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45684</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45684</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45684</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45684</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45684</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45684</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45684</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45684</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45684</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45684</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45684</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45684</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45684</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45684</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45684</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45684</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45684</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45684</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45684</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45684</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45684</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45684</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45684</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45684</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45684</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45684</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45684</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45684</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45684</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45684</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45684</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45684</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45684</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45684</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45684</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45684</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45684</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45684</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45684</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45684</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45684</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45684</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45684</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45684</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45684</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45684</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45684</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45684</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45684</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45684</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45684</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45684</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45684</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45684</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45684</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45684</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45684</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45684</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45684</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45684</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45684</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45684</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45684</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45684</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45684</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45684</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45684</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45684</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45684</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45684</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45684</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45684</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45684</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45684</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45684</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45684</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45684</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45684</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45684</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45684</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45684</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45684</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45684</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45684</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45684</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45684</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45684</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45684</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45684</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45684</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45684</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45684</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45684</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45684</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45684</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45684</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45684</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45684</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45684</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45684</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45684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45684</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45684</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45684</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45684</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45684</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45684</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45684</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45684</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45684</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45684</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45684</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45684</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45684</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45684</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45684</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45684</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45684</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45684</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45684</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45684</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45684</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45684</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45684</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45684</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45684</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45684</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45684</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45684</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45684</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45684</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45684</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45684</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45684</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45684</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45684</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45684</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45684</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45684</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45684</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45684</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45684</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45684</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45684</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45684</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45684</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45684</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45684</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45684</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45684</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45684</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45684</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45684</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45684</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45684</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45684</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45684</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45684</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45684</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45684</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45684</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45684</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45684</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45684</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45684</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45684</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45684</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45684</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45684</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45684</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45684</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45684</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45684</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45684</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45684</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45684</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45684</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45684</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45684</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45684</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45684</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45684</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45684</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45684</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45684</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45684</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45684</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45684</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45684</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45684</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45684</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45684</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45684</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45684</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45684</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45684</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45684</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45684</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45684</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45684</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45684</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45684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45684</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45684</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45684</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45684</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45684</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45684</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45684</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45684</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45684</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45684</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45684</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45684</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45684</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45684</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45684</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45684</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45684</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45684</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45684</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45684</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45684</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45684</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45684</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45684</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45684</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45684</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45684</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45684</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45684</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45684</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45684</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45684</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45684</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45684</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45684</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45684</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45684</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45684</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45684</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45684</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45684</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45684</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45684</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45684</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45684</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45684</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45684</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45684</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45684</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45684</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45684</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45684</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45684</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45684</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45684</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45684</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45684</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45684</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45684</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45684</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45684</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45684</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45684</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45684</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45684</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45684</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45684</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45684</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45684</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45684</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45684</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45684</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45684</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45684</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45684</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45684</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45684</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45684</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45684</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45684</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45684</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45684</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45684</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45684</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45684</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45684</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45684</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45684</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45684</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45684</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45684</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45684</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45684</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45684</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45684</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45684</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45684</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45684</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45684</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45684</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45684</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45684</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45684</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45684</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45684</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45684</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45684</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45684</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45684</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45684</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45684</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45684</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45684</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45684</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45684</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45684</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45684</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45684</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45684</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45684</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45684</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45684</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45684</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45684</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45684</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45684</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45684</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45684</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45684</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45684</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45684</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45684</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45684</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45684</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45684</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45684</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45684</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45684</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45684</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45684</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45684</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45684</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45684</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45684</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45684</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45684</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45684</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45684</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45684</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45684</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45684</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45684</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45684</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45684</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45684</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45684</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45684</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45684</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45684</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45684</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45684</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45684</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45684</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45684</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45684</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45684</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45684</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45684</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45684</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45684</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45684</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45684</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45684</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45684</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45684</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45684</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45684</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45684</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45684</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45684</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45684</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45684</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45684</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45684</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45684</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45684</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45684</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45684</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45684</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45684</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45684</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45684</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45684</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45684</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45684</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45684</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45684</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45684</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45684</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45684</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45684</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45684</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45684</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45684</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45684</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45684</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45684</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45684</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45684</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45684</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45684</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45684</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45684</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45684</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45684</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45684</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45684</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45684</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45684</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45684</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45684</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45684</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45684</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45684</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45684</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45684</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45684</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45684</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45684</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45684</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45684</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45684</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45684</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45684</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45684</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45684</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45684</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45684</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45684</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45684</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45684</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45684</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45684</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45684</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45684</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45684</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45684</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45684</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45684</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45684</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45684</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45684</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45684</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45684</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45684</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45684</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45684</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45684</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45684</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45684</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45684</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45684</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45684</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45684</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45684</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45684</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45684</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45684</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45684</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45684</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45684</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45684</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45684</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45684</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45684</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45684</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45684</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45684</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45684</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45684</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45684</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45684</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45684</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45684</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45684</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45684</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45684</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45684</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45684</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45684</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45684</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45684</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45684</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45684</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45684</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45684</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45684</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45684</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45684</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45684</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45684</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45684</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45684</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45684</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45684</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45684</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45684</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45684</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45684</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45684</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45684</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45684</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45684</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45684</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45684</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45684</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45684</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45684</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45684</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45684</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45684</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45684</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45684</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45684</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45684</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45684</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45684</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45684</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45684</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45684</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45684</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45684</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45684</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45684</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45684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45684</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45684</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45684</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45684</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45684</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45684</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45684</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45684</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45684</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45684</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45684</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45684</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45684</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45684</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45684</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45684</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45684</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45684</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45684</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45684</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45684</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45684</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45684</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45684</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45684</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45684</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45684</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45684</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45684</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45684</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45684</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45684</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45684</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45684</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45684</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45684</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45684</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45684</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45684</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45684</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45684</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45684</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45684</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45684</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45684</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45684</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45684</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45684</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45684</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45684</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45684</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45684</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45684</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45684</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45684</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45684</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45684</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45684</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45684</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45684</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45684</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45684</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45684</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45684</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45684</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45684</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45684</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45684</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45684</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45684</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45684</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45684</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45684</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45684</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45684</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45684</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45684</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45684</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45684</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45684</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45684</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45684</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45684</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45684</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45684</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45684</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45684</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45684</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45684</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45684</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45684</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45684</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45684</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45684</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45684</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45684</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45684</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45684</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45684</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45684</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45684</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45684</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45684</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45684</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45684</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45684</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45684</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45684</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45684</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45684</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45684</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45684</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45684</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45684</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45684</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45684</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45684</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45684</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45684</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45684</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45684</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45684</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45684</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45684</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45684</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45684</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45684</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45684</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45684</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45684</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45684</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45684</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45684</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45684</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45684</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45684</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45684</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45684</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45684</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45684</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45684</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45684</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45684</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45684</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45684</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45684</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45684</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45684</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45684</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45684</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45684</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45684</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45684</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45684</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45684</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45684</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45684</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45684</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45684</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45684</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45684</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45684</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45684</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45684</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45684</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45684</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45684</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45684</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45684</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45684</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45684</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45684</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45684</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45684</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45684</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45684</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45684</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45684</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45684</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45684</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45684</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45684</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45684</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45684</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45684</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45684</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45684</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45684</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45684</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45684</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45684</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45684</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45684</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45684</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45684</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45684</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45684</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45684</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45684</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45684</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45684</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45684</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45684</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45684</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45684</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45684</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45684</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45684</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45684</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45684</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45684</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45684</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45684</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45684</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45684</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45684</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45684</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45684</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45684</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45684</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45684</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45684</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45684</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45684</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45684</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45684</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45684</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45684</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45684</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45684</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45684</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45684</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45684</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45684</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45684</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45684</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45684</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45684</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45684</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45684</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45684</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45684</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45684</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45684</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45684</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45684</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45684</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45684</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45684</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45684</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45684</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45684</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45684</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45684</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45684</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45684</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45684</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45684</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45684</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45684</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45684</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45684</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45684</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45684</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45684</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45684</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45684</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45684</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45684</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45684</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45684</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45684</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45684</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45684</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45684</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45684</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45684</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45684</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45684</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45684</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45684</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45684</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45684</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45684</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45684</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45684</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45684</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45684</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45684</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45684</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45684</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45684</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45684</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45684</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45684</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45684</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45684</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45684</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45684</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45684</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45684</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45684</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45684</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39255-2023</t>
        </is>
      </c>
      <c r="B1311" s="1" t="n">
        <v>45166</v>
      </c>
      <c r="C1311" s="1" t="n">
        <v>45684</v>
      </c>
      <c r="D1311" t="inlineStr">
        <is>
          <t>STOCKHOLMS LÄN</t>
        </is>
      </c>
      <c r="E1311" t="inlineStr">
        <is>
          <t>NORRTÄLJE</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39879-2023</t>
        </is>
      </c>
      <c r="B1312" s="1" t="n">
        <v>45168</v>
      </c>
      <c r="C1312" s="1" t="n">
        <v>45684</v>
      </c>
      <c r="D1312" t="inlineStr">
        <is>
          <t>STOCKHOLMS LÄN</t>
        </is>
      </c>
      <c r="E1312" t="inlineStr">
        <is>
          <t>NORRTÄLJE</t>
        </is>
      </c>
      <c r="F1312" t="inlineStr">
        <is>
          <t>Holmen skog AB</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39905-2023</t>
        </is>
      </c>
      <c r="B1313" s="1" t="n">
        <v>45168</v>
      </c>
      <c r="C1313" s="1" t="n">
        <v>45684</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40139-2023</t>
        </is>
      </c>
      <c r="B1314" s="1" t="n">
        <v>45169</v>
      </c>
      <c r="C1314" s="1" t="n">
        <v>45684</v>
      </c>
      <c r="D1314" t="inlineStr">
        <is>
          <t>STOCKHOLMS LÄN</t>
        </is>
      </c>
      <c r="E1314" t="inlineStr">
        <is>
          <t>NORRTÄLJE</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40192-2023</t>
        </is>
      </c>
      <c r="B1315" s="1" t="n">
        <v>45169</v>
      </c>
      <c r="C1315" s="1" t="n">
        <v>45684</v>
      </c>
      <c r="D1315" t="inlineStr">
        <is>
          <t>STOCKHOLMS LÄN</t>
        </is>
      </c>
      <c r="E1315" t="inlineStr">
        <is>
          <t>NORRTÄLJE</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40161-2023</t>
        </is>
      </c>
      <c r="B1316" s="1" t="n">
        <v>45169</v>
      </c>
      <c r="C1316" s="1" t="n">
        <v>45684</v>
      </c>
      <c r="D1316" t="inlineStr">
        <is>
          <t>STOCKHOLMS LÄN</t>
        </is>
      </c>
      <c r="E1316" t="inlineStr">
        <is>
          <t>NORRTÄLJE</t>
        </is>
      </c>
      <c r="F1316" t="inlineStr">
        <is>
          <t>Kyrkan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40190-2023</t>
        </is>
      </c>
      <c r="B1317" s="1" t="n">
        <v>45169</v>
      </c>
      <c r="C1317" s="1" t="n">
        <v>45684</v>
      </c>
      <c r="D1317" t="inlineStr">
        <is>
          <t>STOCKHOLMS LÄN</t>
        </is>
      </c>
      <c r="E1317" t="inlineStr">
        <is>
          <t>NORRTÄLJE</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40379-2023</t>
        </is>
      </c>
      <c r="B1318" s="1" t="n">
        <v>45169</v>
      </c>
      <c r="C1318" s="1" t="n">
        <v>45684</v>
      </c>
      <c r="D1318" t="inlineStr">
        <is>
          <t>STOCKHOLMS LÄN</t>
        </is>
      </c>
      <c r="E1318" t="inlineStr">
        <is>
          <t>NORRTÄLJE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41172-2023</t>
        </is>
      </c>
      <c r="B1319" s="1" t="n">
        <v>45170</v>
      </c>
      <c r="C1319" s="1" t="n">
        <v>45684</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40995-2023</t>
        </is>
      </c>
      <c r="B1320" s="1" t="n">
        <v>45173</v>
      </c>
      <c r="C1320" s="1" t="n">
        <v>45684</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41335-2023</t>
        </is>
      </c>
      <c r="B1321" s="1" t="n">
        <v>45174</v>
      </c>
      <c r="C1321" s="1" t="n">
        <v>45684</v>
      </c>
      <c r="D1321" t="inlineStr">
        <is>
          <t>STOCKHOLMS LÄN</t>
        </is>
      </c>
      <c r="E1321" t="inlineStr">
        <is>
          <t>NORRTÄLJE</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41587-2023</t>
        </is>
      </c>
      <c r="B1322" s="1" t="n">
        <v>45175</v>
      </c>
      <c r="C1322" s="1" t="n">
        <v>45684</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41716-2023</t>
        </is>
      </c>
      <c r="B1323" s="1" t="n">
        <v>45176</v>
      </c>
      <c r="C1323" s="1" t="n">
        <v>45684</v>
      </c>
      <c r="D1323" t="inlineStr">
        <is>
          <t>STOCKHOLMS LÄN</t>
        </is>
      </c>
      <c r="E1323" t="inlineStr">
        <is>
          <t>NORRTÄLJE</t>
        </is>
      </c>
      <c r="F1323" t="inlineStr">
        <is>
          <t>Kyrkan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41715-2023</t>
        </is>
      </c>
      <c r="B1324" s="1" t="n">
        <v>45176</v>
      </c>
      <c r="C1324" s="1" t="n">
        <v>45684</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41880-2023</t>
        </is>
      </c>
      <c r="B1325" s="1" t="n">
        <v>45176</v>
      </c>
      <c r="C1325" s="1" t="n">
        <v>45684</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v>
      </c>
      <c r="C1326" s="1" t="n">
        <v>45684</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42075-2023</t>
        </is>
      </c>
      <c r="B1327" s="1" t="n">
        <v>45177</v>
      </c>
      <c r="C1327" s="1" t="n">
        <v>45684</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42199-2023</t>
        </is>
      </c>
      <c r="B1328" s="1" t="n">
        <v>45179</v>
      </c>
      <c r="C1328" s="1" t="n">
        <v>45684</v>
      </c>
      <c r="D1328" t="inlineStr">
        <is>
          <t>STOCKHOLMS LÄN</t>
        </is>
      </c>
      <c r="E1328" t="inlineStr">
        <is>
          <t>NORRTÄLJE</t>
        </is>
      </c>
      <c r="F1328" t="inlineStr">
        <is>
          <t>Sveaskog</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42200-2023</t>
        </is>
      </c>
      <c r="B1329" s="1" t="n">
        <v>45179</v>
      </c>
      <c r="C1329" s="1" t="n">
        <v>45684</v>
      </c>
      <c r="D1329" t="inlineStr">
        <is>
          <t>STOCKHOLMS LÄN</t>
        </is>
      </c>
      <c r="E1329" t="inlineStr">
        <is>
          <t>NORRTÄLJE</t>
        </is>
      </c>
      <c r="F1329" t="inlineStr">
        <is>
          <t>Sveaskog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42765-2023</t>
        </is>
      </c>
      <c r="B1330" s="1" t="n">
        <v>45181</v>
      </c>
      <c r="C1330" s="1" t="n">
        <v>45684</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42775-2023</t>
        </is>
      </c>
      <c r="B1331" s="1" t="n">
        <v>45181</v>
      </c>
      <c r="C1331" s="1" t="n">
        <v>45684</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42948-2023</t>
        </is>
      </c>
      <c r="B1332" s="1" t="n">
        <v>45182</v>
      </c>
      <c r="C1332" s="1" t="n">
        <v>45684</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42977-2023</t>
        </is>
      </c>
      <c r="B1333" s="1" t="n">
        <v>45182</v>
      </c>
      <c r="C1333" s="1" t="n">
        <v>45684</v>
      </c>
      <c r="D1333" t="inlineStr">
        <is>
          <t>STOCKHOLMS LÄN</t>
        </is>
      </c>
      <c r="E1333" t="inlineStr">
        <is>
          <t>NORRTÄLJE</t>
        </is>
      </c>
      <c r="F1333" t="inlineStr">
        <is>
          <t>Sveaskog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43140-2023</t>
        </is>
      </c>
      <c r="B1334" s="1" t="n">
        <v>45183</v>
      </c>
      <c r="C1334" s="1" t="n">
        <v>45684</v>
      </c>
      <c r="D1334" t="inlineStr">
        <is>
          <t>STOCKHOLMS LÄN</t>
        </is>
      </c>
      <c r="E1334" t="inlineStr">
        <is>
          <t>NORRTÄLJE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43207-2023</t>
        </is>
      </c>
      <c r="B1335" s="1" t="n">
        <v>45183</v>
      </c>
      <c r="C1335" s="1" t="n">
        <v>45684</v>
      </c>
      <c r="D1335" t="inlineStr">
        <is>
          <t>STOCKHOLMS LÄN</t>
        </is>
      </c>
      <c r="E1335" t="inlineStr">
        <is>
          <t>NORRTÄLJE</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43150-2023</t>
        </is>
      </c>
      <c r="B1336" s="1" t="n">
        <v>45183</v>
      </c>
      <c r="C1336" s="1" t="n">
        <v>45684</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43170-2023</t>
        </is>
      </c>
      <c r="B1337" s="1" t="n">
        <v>45183</v>
      </c>
      <c r="C1337" s="1" t="n">
        <v>45684</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43289-2023</t>
        </is>
      </c>
      <c r="B1338" s="1" t="n">
        <v>45183</v>
      </c>
      <c r="C1338" s="1" t="n">
        <v>45684</v>
      </c>
      <c r="D1338" t="inlineStr">
        <is>
          <t>STOCKHOLMS LÄN</t>
        </is>
      </c>
      <c r="E1338" t="inlineStr">
        <is>
          <t>NORRTÄLJE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43300-2023</t>
        </is>
      </c>
      <c r="B1339" s="1" t="n">
        <v>45183</v>
      </c>
      <c r="C1339" s="1" t="n">
        <v>45684</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43638-2023</t>
        </is>
      </c>
      <c r="B1340" s="1" t="n">
        <v>45186</v>
      </c>
      <c r="C1340" s="1" t="n">
        <v>45684</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43684-2023</t>
        </is>
      </c>
      <c r="B1341" s="1" t="n">
        <v>45187</v>
      </c>
      <c r="C1341" s="1" t="n">
        <v>45684</v>
      </c>
      <c r="D1341" t="inlineStr">
        <is>
          <t>STOCKHOLMS LÄN</t>
        </is>
      </c>
      <c r="E1341" t="inlineStr">
        <is>
          <t>NORRTÄLJE</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43836-2023</t>
        </is>
      </c>
      <c r="B1342" s="1" t="n">
        <v>45187</v>
      </c>
      <c r="C1342" s="1" t="n">
        <v>45684</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43710-2023</t>
        </is>
      </c>
      <c r="B1343" s="1" t="n">
        <v>45187</v>
      </c>
      <c r="C1343" s="1" t="n">
        <v>45684</v>
      </c>
      <c r="D1343" t="inlineStr">
        <is>
          <t>STOCKHOLMS LÄN</t>
        </is>
      </c>
      <c r="E1343" t="inlineStr">
        <is>
          <t>NORRTÄLJE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45684</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44885-2023</t>
        </is>
      </c>
      <c r="B1345" s="1" t="n">
        <v>45187</v>
      </c>
      <c r="C1345" s="1" t="n">
        <v>45684</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44075-2023</t>
        </is>
      </c>
      <c r="B1346" s="1" t="n">
        <v>45188</v>
      </c>
      <c r="C1346" s="1" t="n">
        <v>45684</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44154-2023</t>
        </is>
      </c>
      <c r="B1347" s="1" t="n">
        <v>45188</v>
      </c>
      <c r="C1347" s="1" t="n">
        <v>45684</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44571-2023</t>
        </is>
      </c>
      <c r="B1348" s="1" t="n">
        <v>45189</v>
      </c>
      <c r="C1348" s="1" t="n">
        <v>45684</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v>
      </c>
      <c r="C1349" s="1" t="n">
        <v>45684</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45173-2023</t>
        </is>
      </c>
      <c r="B1350" s="1" t="n">
        <v>45191</v>
      </c>
      <c r="C1350" s="1" t="n">
        <v>45684</v>
      </c>
      <c r="D1350" t="inlineStr">
        <is>
          <t>STOCKHOLMS LÄN</t>
        </is>
      </c>
      <c r="E1350" t="inlineStr">
        <is>
          <t>NORRTÄLJE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45174-2023</t>
        </is>
      </c>
      <c r="B1351" s="1" t="n">
        <v>45191</v>
      </c>
      <c r="C1351" s="1" t="n">
        <v>45684</v>
      </c>
      <c r="D1351" t="inlineStr">
        <is>
          <t>STOCKHOLMS LÄN</t>
        </is>
      </c>
      <c r="E1351" t="inlineStr">
        <is>
          <t>NORRTÄLJE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46161-2023</t>
        </is>
      </c>
      <c r="B1352" s="1" t="n">
        <v>45196</v>
      </c>
      <c r="C1352" s="1" t="n">
        <v>45684</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46155-2023</t>
        </is>
      </c>
      <c r="B1353" s="1" t="n">
        <v>45196</v>
      </c>
      <c r="C1353" s="1" t="n">
        <v>45684</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46621-2023</t>
        </is>
      </c>
      <c r="B1354" s="1" t="n">
        <v>45198</v>
      </c>
      <c r="C1354" s="1" t="n">
        <v>45684</v>
      </c>
      <c r="D1354" t="inlineStr">
        <is>
          <t>STOCKHOLMS LÄN</t>
        </is>
      </c>
      <c r="E1354" t="inlineStr">
        <is>
          <t>NORRTÄLJE</t>
        </is>
      </c>
      <c r="F1354" t="inlineStr">
        <is>
          <t>Holmen skog AB</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47419-2023</t>
        </is>
      </c>
      <c r="B1355" s="1" t="n">
        <v>45202</v>
      </c>
      <c r="C1355" s="1" t="n">
        <v>45684</v>
      </c>
      <c r="D1355" t="inlineStr">
        <is>
          <t>STOCKHOLMS LÄN</t>
        </is>
      </c>
      <c r="E1355" t="inlineStr">
        <is>
          <t>NORRTÄLJE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45684</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47325-2023</t>
        </is>
      </c>
      <c r="B1357" s="1" t="n">
        <v>45202</v>
      </c>
      <c r="C1357" s="1" t="n">
        <v>45684</v>
      </c>
      <c r="D1357" t="inlineStr">
        <is>
          <t>STOCKHOLMS LÄN</t>
        </is>
      </c>
      <c r="E1357" t="inlineStr">
        <is>
          <t>NORRTÄLJE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47433-2023</t>
        </is>
      </c>
      <c r="B1358" s="1" t="n">
        <v>45202</v>
      </c>
      <c r="C1358" s="1" t="n">
        <v>45684</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47388-2023</t>
        </is>
      </c>
      <c r="B1359" s="1" t="n">
        <v>45202</v>
      </c>
      <c r="C1359" s="1" t="n">
        <v>45684</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47430-2023</t>
        </is>
      </c>
      <c r="B1360" s="1" t="n">
        <v>45202</v>
      </c>
      <c r="C1360" s="1" t="n">
        <v>45684</v>
      </c>
      <c r="D1360" t="inlineStr">
        <is>
          <t>STOCKHOLMS LÄN</t>
        </is>
      </c>
      <c r="E1360" t="inlineStr">
        <is>
          <t>NORRTÄLJE</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49775-2023</t>
        </is>
      </c>
      <c r="B1361" s="1" t="n">
        <v>45202</v>
      </c>
      <c r="C1361" s="1" t="n">
        <v>45684</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48578-2023</t>
        </is>
      </c>
      <c r="B1362" s="1" t="n">
        <v>45202</v>
      </c>
      <c r="C1362" s="1" t="n">
        <v>45684</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49774-2023</t>
        </is>
      </c>
      <c r="B1363" s="1" t="n">
        <v>45202</v>
      </c>
      <c r="C1363" s="1" t="n">
        <v>45684</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47672-2023</t>
        </is>
      </c>
      <c r="B1364" s="1" t="n">
        <v>45203</v>
      </c>
      <c r="C1364" s="1" t="n">
        <v>45684</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47694-2023</t>
        </is>
      </c>
      <c r="B1365" s="1" t="n">
        <v>45203</v>
      </c>
      <c r="C1365" s="1" t="n">
        <v>45684</v>
      </c>
      <c r="D1365" t="inlineStr">
        <is>
          <t>STOCKHOLMS LÄN</t>
        </is>
      </c>
      <c r="E1365" t="inlineStr">
        <is>
          <t>NORRTÄLJE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47708-2023</t>
        </is>
      </c>
      <c r="B1366" s="1" t="n">
        <v>45203</v>
      </c>
      <c r="C1366" s="1" t="n">
        <v>45684</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v>
      </c>
      <c r="C1367" s="1" t="n">
        <v>45684</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47699-2023</t>
        </is>
      </c>
      <c r="B1368" s="1" t="n">
        <v>45203</v>
      </c>
      <c r="C1368" s="1" t="n">
        <v>45684</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47735-2023</t>
        </is>
      </c>
      <c r="B1369" s="1" t="n">
        <v>45203</v>
      </c>
      <c r="C1369" s="1" t="n">
        <v>45684</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48167-2023</t>
        </is>
      </c>
      <c r="B1370" s="1" t="n">
        <v>45205</v>
      </c>
      <c r="C1370" s="1" t="n">
        <v>45684</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48180-2023</t>
        </is>
      </c>
      <c r="B1371" s="1" t="n">
        <v>45205</v>
      </c>
      <c r="C1371" s="1" t="n">
        <v>45684</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48185-2023</t>
        </is>
      </c>
      <c r="B1372" s="1" t="n">
        <v>45205</v>
      </c>
      <c r="C1372" s="1" t="n">
        <v>45684</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48302-2023</t>
        </is>
      </c>
      <c r="B1373" s="1" t="n">
        <v>45205</v>
      </c>
      <c r="C1373" s="1" t="n">
        <v>45684</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48333-2023</t>
        </is>
      </c>
      <c r="B1374" s="1" t="n">
        <v>45205</v>
      </c>
      <c r="C1374" s="1" t="n">
        <v>45684</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48541-2023</t>
        </is>
      </c>
      <c r="B1375" s="1" t="n">
        <v>45208</v>
      </c>
      <c r="C1375" s="1" t="n">
        <v>45684</v>
      </c>
      <c r="D1375" t="inlineStr">
        <is>
          <t>STOCKHOLMS LÄN</t>
        </is>
      </c>
      <c r="E1375" t="inlineStr">
        <is>
          <t>NORRTÄLJE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48552-2023</t>
        </is>
      </c>
      <c r="B1376" s="1" t="n">
        <v>45208</v>
      </c>
      <c r="C1376" s="1" t="n">
        <v>45684</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48587-2023</t>
        </is>
      </c>
      <c r="B1377" s="1" t="n">
        <v>45208</v>
      </c>
      <c r="C1377" s="1" t="n">
        <v>45684</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48633-2023</t>
        </is>
      </c>
      <c r="B1378" s="1" t="n">
        <v>45208</v>
      </c>
      <c r="C1378" s="1" t="n">
        <v>45684</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48641-2023</t>
        </is>
      </c>
      <c r="B1379" s="1" t="n">
        <v>45208</v>
      </c>
      <c r="C1379" s="1" t="n">
        <v>45684</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48686-2023</t>
        </is>
      </c>
      <c r="B1380" s="1" t="n">
        <v>45208</v>
      </c>
      <c r="C1380" s="1" t="n">
        <v>45684</v>
      </c>
      <c r="D1380" t="inlineStr">
        <is>
          <t>STOCKHOLMS LÄN</t>
        </is>
      </c>
      <c r="E1380" t="inlineStr">
        <is>
          <t>NORRTÄLJE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48629-2023</t>
        </is>
      </c>
      <c r="B1381" s="1" t="n">
        <v>45208</v>
      </c>
      <c r="C1381" s="1" t="n">
        <v>45684</v>
      </c>
      <c r="D1381" t="inlineStr">
        <is>
          <t>STOCKHOLMS LÄN</t>
        </is>
      </c>
      <c r="E1381" t="inlineStr">
        <is>
          <t>NORRTÄLJE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48668-2023</t>
        </is>
      </c>
      <c r="B1382" s="1" t="n">
        <v>45208</v>
      </c>
      <c r="C1382" s="1" t="n">
        <v>45684</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48685-2023</t>
        </is>
      </c>
      <c r="B1383" s="1" t="n">
        <v>45208</v>
      </c>
      <c r="C1383" s="1" t="n">
        <v>45684</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48691-2023</t>
        </is>
      </c>
      <c r="B1384" s="1" t="n">
        <v>45208</v>
      </c>
      <c r="C1384" s="1" t="n">
        <v>45684</v>
      </c>
      <c r="D1384" t="inlineStr">
        <is>
          <t>STOCKHOLMS LÄN</t>
        </is>
      </c>
      <c r="E1384" t="inlineStr">
        <is>
          <t>NORRTÄLJE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48701-2023</t>
        </is>
      </c>
      <c r="B1385" s="1" t="n">
        <v>45208</v>
      </c>
      <c r="C1385" s="1" t="n">
        <v>45684</v>
      </c>
      <c r="D1385" t="inlineStr">
        <is>
          <t>STOCKHOLMS LÄN</t>
        </is>
      </c>
      <c r="E1385" t="inlineStr">
        <is>
          <t>NORRTÄLJE</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48716-2023</t>
        </is>
      </c>
      <c r="B1386" s="1" t="n">
        <v>45208</v>
      </c>
      <c r="C1386" s="1" t="n">
        <v>45684</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48709-2023</t>
        </is>
      </c>
      <c r="B1387" s="1" t="n">
        <v>45208</v>
      </c>
      <c r="C1387" s="1" t="n">
        <v>45684</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v>
      </c>
      <c r="C1388" s="1" t="n">
        <v>45684</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48726-2023</t>
        </is>
      </c>
      <c r="B1389" s="1" t="n">
        <v>45208</v>
      </c>
      <c r="C1389" s="1" t="n">
        <v>45684</v>
      </c>
      <c r="D1389" t="inlineStr">
        <is>
          <t>STOCKHOLMS LÄN</t>
        </is>
      </c>
      <c r="E1389" t="inlineStr">
        <is>
          <t>NORRTÄLJE</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49169-2023</t>
        </is>
      </c>
      <c r="B1390" s="1" t="n">
        <v>45210</v>
      </c>
      <c r="C1390" s="1" t="n">
        <v>45684</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49176-2023</t>
        </is>
      </c>
      <c r="B1391" s="1" t="n">
        <v>45210</v>
      </c>
      <c r="C1391" s="1" t="n">
        <v>45684</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49224-2023</t>
        </is>
      </c>
      <c r="B1392" s="1" t="n">
        <v>45210</v>
      </c>
      <c r="C1392" s="1" t="n">
        <v>45684</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49696-2023</t>
        </is>
      </c>
      <c r="B1393" s="1" t="n">
        <v>45212</v>
      </c>
      <c r="C1393" s="1" t="n">
        <v>45684</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49700-2023</t>
        </is>
      </c>
      <c r="B1394" s="1" t="n">
        <v>45212</v>
      </c>
      <c r="C1394" s="1" t="n">
        <v>45684</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49694-2023</t>
        </is>
      </c>
      <c r="B1395" s="1" t="n">
        <v>45212</v>
      </c>
      <c r="C1395" s="1" t="n">
        <v>45684</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50143-2023</t>
        </is>
      </c>
      <c r="B1396" s="1" t="n">
        <v>45215</v>
      </c>
      <c r="C1396" s="1" t="n">
        <v>45684</v>
      </c>
      <c r="D1396" t="inlineStr">
        <is>
          <t>STOCKHOLMS LÄN</t>
        </is>
      </c>
      <c r="E1396" t="inlineStr">
        <is>
          <t>NORRTÄLJE</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50107-2023</t>
        </is>
      </c>
      <c r="B1397" s="1" t="n">
        <v>45215</v>
      </c>
      <c r="C1397" s="1" t="n">
        <v>45684</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50033-2023</t>
        </is>
      </c>
      <c r="B1398" s="1" t="n">
        <v>45215</v>
      </c>
      <c r="C1398" s="1" t="n">
        <v>45684</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45684</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50150-2023</t>
        </is>
      </c>
      <c r="B1400" s="1" t="n">
        <v>45215</v>
      </c>
      <c r="C1400" s="1" t="n">
        <v>45684</v>
      </c>
      <c r="D1400" t="inlineStr">
        <is>
          <t>STOCKHOLMS LÄN</t>
        </is>
      </c>
      <c r="E1400" t="inlineStr">
        <is>
          <t>NORRTÄLJE</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50289-2023</t>
        </is>
      </c>
      <c r="B1401" s="1" t="n">
        <v>45216</v>
      </c>
      <c r="C1401" s="1" t="n">
        <v>45684</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50436-2023</t>
        </is>
      </c>
      <c r="B1402" s="1" t="n">
        <v>45216</v>
      </c>
      <c r="C1402" s="1" t="n">
        <v>45684</v>
      </c>
      <c r="D1402" t="inlineStr">
        <is>
          <t>STOCKHOLMS LÄN</t>
        </is>
      </c>
      <c r="E1402" t="inlineStr">
        <is>
          <t>NORRTÄLJE</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50690-2023</t>
        </is>
      </c>
      <c r="B1403" s="1" t="n">
        <v>45217</v>
      </c>
      <c r="C1403" s="1" t="n">
        <v>45684</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51049-2023</t>
        </is>
      </c>
      <c r="B1404" s="1" t="n">
        <v>45218</v>
      </c>
      <c r="C1404" s="1" t="n">
        <v>45684</v>
      </c>
      <c r="D1404" t="inlineStr">
        <is>
          <t>STOCKHOLMS LÄN</t>
        </is>
      </c>
      <c r="E1404" t="inlineStr">
        <is>
          <t>NORRTÄLJE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51063-2023</t>
        </is>
      </c>
      <c r="B1405" s="1" t="n">
        <v>45218</v>
      </c>
      <c r="C1405" s="1" t="n">
        <v>45684</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50880-2023</t>
        </is>
      </c>
      <c r="B1406" s="1" t="n">
        <v>45218</v>
      </c>
      <c r="C1406" s="1" t="n">
        <v>45684</v>
      </c>
      <c r="D1406" t="inlineStr">
        <is>
          <t>STOCKHOLMS LÄN</t>
        </is>
      </c>
      <c r="E1406" t="inlineStr">
        <is>
          <t>NORRTÄLJE</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51046-2023</t>
        </is>
      </c>
      <c r="B1407" s="1" t="n">
        <v>45218</v>
      </c>
      <c r="C1407" s="1" t="n">
        <v>45684</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51043-2023</t>
        </is>
      </c>
      <c r="B1408" s="1" t="n">
        <v>45218</v>
      </c>
      <c r="C1408" s="1" t="n">
        <v>45684</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51061-2023</t>
        </is>
      </c>
      <c r="B1409" s="1" t="n">
        <v>45218</v>
      </c>
      <c r="C1409" s="1" t="n">
        <v>45684</v>
      </c>
      <c r="D1409" t="inlineStr">
        <is>
          <t>STOCKHOLMS LÄN</t>
        </is>
      </c>
      <c r="E1409" t="inlineStr">
        <is>
          <t>NORRTÄLJE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51325-2023</t>
        </is>
      </c>
      <c r="B1410" s="1" t="n">
        <v>45219</v>
      </c>
      <c r="C1410" s="1" t="n">
        <v>45684</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51312-2023</t>
        </is>
      </c>
      <c r="B1411" s="1" t="n">
        <v>45219</v>
      </c>
      <c r="C1411" s="1" t="n">
        <v>45684</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51597-2023</t>
        </is>
      </c>
      <c r="B1412" s="1" t="n">
        <v>45222</v>
      </c>
      <c r="C1412" s="1" t="n">
        <v>45684</v>
      </c>
      <c r="D1412" t="inlineStr">
        <is>
          <t>STOCKHOLMS LÄN</t>
        </is>
      </c>
      <c r="E1412" t="inlineStr">
        <is>
          <t>NORRTÄLJE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51657-2023</t>
        </is>
      </c>
      <c r="B1413" s="1" t="n">
        <v>45222</v>
      </c>
      <c r="C1413" s="1" t="n">
        <v>45684</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51903-2023</t>
        </is>
      </c>
      <c r="B1414" s="1" t="n">
        <v>45223</v>
      </c>
      <c r="C1414" s="1" t="n">
        <v>45684</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52095-2023</t>
        </is>
      </c>
      <c r="B1415" s="1" t="n">
        <v>45223</v>
      </c>
      <c r="C1415" s="1" t="n">
        <v>45684</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51978-2023</t>
        </is>
      </c>
      <c r="B1416" s="1" t="n">
        <v>45223</v>
      </c>
      <c r="C1416" s="1" t="n">
        <v>45684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51997-2023</t>
        </is>
      </c>
      <c r="B1417" s="1" t="n">
        <v>45223</v>
      </c>
      <c r="C1417" s="1" t="n">
        <v>45684</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52001-2023</t>
        </is>
      </c>
      <c r="B1418" s="1" t="n">
        <v>45223</v>
      </c>
      <c r="C1418" s="1" t="n">
        <v>45684</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52096-2023</t>
        </is>
      </c>
      <c r="B1419" s="1" t="n">
        <v>45223</v>
      </c>
      <c r="C1419" s="1" t="n">
        <v>45684</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53362-2023</t>
        </is>
      </c>
      <c r="B1420" s="1" t="n">
        <v>45223</v>
      </c>
      <c r="C1420" s="1" t="n">
        <v>45684</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53372-2023</t>
        </is>
      </c>
      <c r="B1421" s="1" t="n">
        <v>45223</v>
      </c>
      <c r="C1421" s="1" t="n">
        <v>45684</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52221-2023</t>
        </is>
      </c>
      <c r="B1422" s="1" t="n">
        <v>45224</v>
      </c>
      <c r="C1422" s="1" t="n">
        <v>45684</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53561-2023</t>
        </is>
      </c>
      <c r="B1423" s="1" t="n">
        <v>45224</v>
      </c>
      <c r="C1423" s="1" t="n">
        <v>45684</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53556-2023</t>
        </is>
      </c>
      <c r="B1424" s="1" t="n">
        <v>45224</v>
      </c>
      <c r="C1424" s="1" t="n">
        <v>45684</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52570-2023</t>
        </is>
      </c>
      <c r="B1425" s="1" t="n">
        <v>45225</v>
      </c>
      <c r="C1425" s="1" t="n">
        <v>45684</v>
      </c>
      <c r="D1425" t="inlineStr">
        <is>
          <t>STOCKHOLMS LÄN</t>
        </is>
      </c>
      <c r="E1425" t="inlineStr">
        <is>
          <t>NORRTÄLJE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52619-2023</t>
        </is>
      </c>
      <c r="B1426" s="1" t="n">
        <v>45225</v>
      </c>
      <c r="C1426" s="1" t="n">
        <v>45684</v>
      </c>
      <c r="D1426" t="inlineStr">
        <is>
          <t>STOCKHOLMS LÄN</t>
        </is>
      </c>
      <c r="E1426" t="inlineStr">
        <is>
          <t>NORRTÄLJE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52875-2023</t>
        </is>
      </c>
      <c r="B1427" s="1" t="n">
        <v>45226</v>
      </c>
      <c r="C1427" s="1" t="n">
        <v>45684</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52899-2023</t>
        </is>
      </c>
      <c r="B1428" s="1" t="n">
        <v>45226</v>
      </c>
      <c r="C1428" s="1" t="n">
        <v>45684</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53563-2023</t>
        </is>
      </c>
      <c r="B1429" s="1" t="n">
        <v>45230</v>
      </c>
      <c r="C1429" s="1" t="n">
        <v>45684</v>
      </c>
      <c r="D1429" t="inlineStr">
        <is>
          <t>STOCKHOLMS LÄN</t>
        </is>
      </c>
      <c r="E1429" t="inlineStr">
        <is>
          <t>NORRTÄLJE</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53718-2023</t>
        </is>
      </c>
      <c r="B1430" s="1" t="n">
        <v>45230</v>
      </c>
      <c r="C1430" s="1" t="n">
        <v>45684</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53787-2023</t>
        </is>
      </c>
      <c r="B1431" s="1" t="n">
        <v>45231</v>
      </c>
      <c r="C1431" s="1" t="n">
        <v>45684</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53792-2023</t>
        </is>
      </c>
      <c r="B1432" s="1" t="n">
        <v>45231</v>
      </c>
      <c r="C1432" s="1" t="n">
        <v>45684</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55518-2023</t>
        </is>
      </c>
      <c r="B1433" s="1" t="n">
        <v>45231</v>
      </c>
      <c r="C1433" s="1" t="n">
        <v>45684</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55533-2023</t>
        </is>
      </c>
      <c r="B1434" s="1" t="n">
        <v>45231</v>
      </c>
      <c r="C1434" s="1" t="n">
        <v>45684</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54259-2023</t>
        </is>
      </c>
      <c r="B1435" s="1" t="n">
        <v>45232</v>
      </c>
      <c r="C1435" s="1" t="n">
        <v>45684</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54546-2023</t>
        </is>
      </c>
      <c r="B1436" s="1" t="n">
        <v>45233</v>
      </c>
      <c r="C1436" s="1" t="n">
        <v>45684</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54776-2023</t>
        </is>
      </c>
      <c r="B1437" s="1" t="n">
        <v>45236</v>
      </c>
      <c r="C1437" s="1" t="n">
        <v>45684</v>
      </c>
      <c r="D1437" t="inlineStr">
        <is>
          <t>STOCKHOLMS LÄN</t>
        </is>
      </c>
      <c r="E1437" t="inlineStr">
        <is>
          <t>NORRTÄLJE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55038-2023</t>
        </is>
      </c>
      <c r="B1438" s="1" t="n">
        <v>45237</v>
      </c>
      <c r="C1438" s="1" t="n">
        <v>45684</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55243-2023</t>
        </is>
      </c>
      <c r="B1439" s="1" t="n">
        <v>45237</v>
      </c>
      <c r="C1439" s="1" t="n">
        <v>45684</v>
      </c>
      <c r="D1439" t="inlineStr">
        <is>
          <t>STOCKHOLMS LÄN</t>
        </is>
      </c>
      <c r="E1439" t="inlineStr">
        <is>
          <t>NORRTÄLJE</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45684</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55755-2023</t>
        </is>
      </c>
      <c r="B1441" s="1" t="n">
        <v>45239</v>
      </c>
      <c r="C1441" s="1" t="n">
        <v>45684</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56428-2023</t>
        </is>
      </c>
      <c r="B1442" s="1" t="n">
        <v>45243</v>
      </c>
      <c r="C1442" s="1" t="n">
        <v>45684</v>
      </c>
      <c r="D1442" t="inlineStr">
        <is>
          <t>STOCKHOLMS LÄN</t>
        </is>
      </c>
      <c r="E1442" t="inlineStr">
        <is>
          <t>NORRTÄLJE</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56439-2023</t>
        </is>
      </c>
      <c r="B1443" s="1" t="n">
        <v>45243</v>
      </c>
      <c r="C1443" s="1" t="n">
        <v>45684</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56445-2023</t>
        </is>
      </c>
      <c r="B1444" s="1" t="n">
        <v>45243</v>
      </c>
      <c r="C1444" s="1" t="n">
        <v>45684</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56577-2023</t>
        </is>
      </c>
      <c r="B1445" s="1" t="n">
        <v>45243</v>
      </c>
      <c r="C1445" s="1" t="n">
        <v>45684</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56593-2023</t>
        </is>
      </c>
      <c r="B1446" s="1" t="n">
        <v>45243</v>
      </c>
      <c r="C1446" s="1" t="n">
        <v>45684</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56819-2023</t>
        </is>
      </c>
      <c r="B1447" s="1" t="n">
        <v>45244</v>
      </c>
      <c r="C1447" s="1" t="n">
        <v>45684</v>
      </c>
      <c r="D1447" t="inlineStr">
        <is>
          <t>STOCKHOLMS LÄN</t>
        </is>
      </c>
      <c r="E1447" t="inlineStr">
        <is>
          <t>NORRTÄLJE</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58261-2023</t>
        </is>
      </c>
      <c r="B1448" s="1" t="n">
        <v>45245</v>
      </c>
      <c r="C1448" s="1" t="n">
        <v>45684</v>
      </c>
      <c r="D1448" t="inlineStr">
        <is>
          <t>STOCKHOLMS LÄN</t>
        </is>
      </c>
      <c r="E1448" t="inlineStr">
        <is>
          <t>NORRTÄLJE</t>
        </is>
      </c>
      <c r="G1448" t="n">
        <v>53.5</v>
      </c>
      <c r="H1448" t="n">
        <v>0</v>
      </c>
      <c r="I1448" t="n">
        <v>0</v>
      </c>
      <c r="J1448" t="n">
        <v>0</v>
      </c>
      <c r="K1448" t="n">
        <v>0</v>
      </c>
      <c r="L1448" t="n">
        <v>0</v>
      </c>
      <c r="M1448" t="n">
        <v>0</v>
      </c>
      <c r="N1448" t="n">
        <v>0</v>
      </c>
      <c r="O1448" t="n">
        <v>0</v>
      </c>
      <c r="P1448" t="n">
        <v>0</v>
      </c>
      <c r="Q1448" t="n">
        <v>0</v>
      </c>
      <c r="R1448" s="2" t="inlineStr"/>
    </row>
    <row r="1449" ht="15" customHeight="1">
      <c r="A1449" t="inlineStr">
        <is>
          <t>A 58209-2023</t>
        </is>
      </c>
      <c r="B1449" s="1" t="n">
        <v>45245</v>
      </c>
      <c r="C1449" s="1" t="n">
        <v>45684</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58227-2023</t>
        </is>
      </c>
      <c r="B1450" s="1" t="n">
        <v>45245</v>
      </c>
      <c r="C1450" s="1" t="n">
        <v>45684</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58291-2023</t>
        </is>
      </c>
      <c r="B1451" s="1" t="n">
        <v>45245</v>
      </c>
      <c r="C1451" s="1" t="n">
        <v>45684</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58277-2023</t>
        </is>
      </c>
      <c r="B1452" s="1" t="n">
        <v>45245</v>
      </c>
      <c r="C1452" s="1" t="n">
        <v>45684</v>
      </c>
      <c r="D1452" t="inlineStr">
        <is>
          <t>STOCKHOLMS LÄN</t>
        </is>
      </c>
      <c r="E1452" t="inlineStr">
        <is>
          <t>NORRTÄLJE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58213-2023</t>
        </is>
      </c>
      <c r="B1453" s="1" t="n">
        <v>45245</v>
      </c>
      <c r="C1453" s="1" t="n">
        <v>45684</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58311-2023</t>
        </is>
      </c>
      <c r="B1454" s="1" t="n">
        <v>45245</v>
      </c>
      <c r="C1454" s="1" t="n">
        <v>45684</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58300-2023</t>
        </is>
      </c>
      <c r="B1455" s="1" t="n">
        <v>45245</v>
      </c>
      <c r="C1455" s="1" t="n">
        <v>45684</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58260-2023</t>
        </is>
      </c>
      <c r="B1456" s="1" t="n">
        <v>45245</v>
      </c>
      <c r="C1456" s="1" t="n">
        <v>45684</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58297-2023</t>
        </is>
      </c>
      <c r="B1457" s="1" t="n">
        <v>45245</v>
      </c>
      <c r="C1457" s="1" t="n">
        <v>45684</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58306-2023</t>
        </is>
      </c>
      <c r="B1458" s="1" t="n">
        <v>45245</v>
      </c>
      <c r="C1458" s="1" t="n">
        <v>45684</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58404-2023</t>
        </is>
      </c>
      <c r="B1459" s="1" t="n">
        <v>45245</v>
      </c>
      <c r="C1459" s="1" t="n">
        <v>45684</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58191-2023</t>
        </is>
      </c>
      <c r="B1460" s="1" t="n">
        <v>45250</v>
      </c>
      <c r="C1460" s="1" t="n">
        <v>45684</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58186-2023</t>
        </is>
      </c>
      <c r="B1461" s="1" t="n">
        <v>45250</v>
      </c>
      <c r="C1461" s="1" t="n">
        <v>45684</v>
      </c>
      <c r="D1461" t="inlineStr">
        <is>
          <t>STOCKHOLMS LÄN</t>
        </is>
      </c>
      <c r="E1461" t="inlineStr">
        <is>
          <t>NORRTÄLJE</t>
        </is>
      </c>
      <c r="F1461" t="inlineStr">
        <is>
          <t>Kyrkan</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58981-2023</t>
        </is>
      </c>
      <c r="B1462" s="1" t="n">
        <v>45250</v>
      </c>
      <c r="C1462" s="1" t="n">
        <v>45684</v>
      </c>
      <c r="D1462" t="inlineStr">
        <is>
          <t>STOCKHOLMS LÄN</t>
        </is>
      </c>
      <c r="E1462" t="inlineStr">
        <is>
          <t>NORRTÄLJE</t>
        </is>
      </c>
      <c r="F1462" t="inlineStr">
        <is>
          <t>Övriga statliga verk och myndigheter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58601-2023</t>
        </is>
      </c>
      <c r="B1463" s="1" t="n">
        <v>45251</v>
      </c>
      <c r="C1463" s="1" t="n">
        <v>45684</v>
      </c>
      <c r="D1463" t="inlineStr">
        <is>
          <t>STOCKHOLMS LÄN</t>
        </is>
      </c>
      <c r="E1463" t="inlineStr">
        <is>
          <t>NORRTÄLJE</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59310-2023</t>
        </is>
      </c>
      <c r="B1464" s="1" t="n">
        <v>45253</v>
      </c>
      <c r="C1464" s="1" t="n">
        <v>45684</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59326-2023</t>
        </is>
      </c>
      <c r="B1465" s="1" t="n">
        <v>45253</v>
      </c>
      <c r="C1465" s="1" t="n">
        <v>45684</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59212-2023</t>
        </is>
      </c>
      <c r="B1466" s="1" t="n">
        <v>45253</v>
      </c>
      <c r="C1466" s="1" t="n">
        <v>45684</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59276-2023</t>
        </is>
      </c>
      <c r="B1467" s="1" t="n">
        <v>45253</v>
      </c>
      <c r="C1467" s="1" t="n">
        <v>45684</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59468-2023</t>
        </is>
      </c>
      <c r="B1468" s="1" t="n">
        <v>45254</v>
      </c>
      <c r="C1468" s="1" t="n">
        <v>45684</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59499-2023</t>
        </is>
      </c>
      <c r="B1469" s="1" t="n">
        <v>45254</v>
      </c>
      <c r="C1469" s="1" t="n">
        <v>45684</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59504-2023</t>
        </is>
      </c>
      <c r="B1470" s="1" t="n">
        <v>45254</v>
      </c>
      <c r="C1470" s="1" t="n">
        <v>45684</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59676-2023</t>
        </is>
      </c>
      <c r="B1471" s="1" t="n">
        <v>45255</v>
      </c>
      <c r="C1471" s="1" t="n">
        <v>45684</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59904-2023</t>
        </is>
      </c>
      <c r="B1472" s="1" t="n">
        <v>45257</v>
      </c>
      <c r="C1472" s="1" t="n">
        <v>45684</v>
      </c>
      <c r="D1472" t="inlineStr">
        <is>
          <t>STOCKHOLMS LÄN</t>
        </is>
      </c>
      <c r="E1472" t="inlineStr">
        <is>
          <t>NORRTÄLJE</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59906-2023</t>
        </is>
      </c>
      <c r="B1473" s="1" t="n">
        <v>45257</v>
      </c>
      <c r="C1473" s="1" t="n">
        <v>45684</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59992-2023</t>
        </is>
      </c>
      <c r="B1474" s="1" t="n">
        <v>45257</v>
      </c>
      <c r="C1474" s="1" t="n">
        <v>45684</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60224-2023</t>
        </is>
      </c>
      <c r="B1475" s="1" t="n">
        <v>45257</v>
      </c>
      <c r="C1475" s="1" t="n">
        <v>45684</v>
      </c>
      <c r="D1475" t="inlineStr">
        <is>
          <t>STOCKHOLMS LÄN</t>
        </is>
      </c>
      <c r="E1475" t="inlineStr">
        <is>
          <t>NORRTÄLJE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60073-2023</t>
        </is>
      </c>
      <c r="B1476" s="1" t="n">
        <v>45258</v>
      </c>
      <c r="C1476" s="1" t="n">
        <v>45684</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60492-2023</t>
        </is>
      </c>
      <c r="B1477" s="1" t="n">
        <v>45259</v>
      </c>
      <c r="C1477" s="1" t="n">
        <v>45684</v>
      </c>
      <c r="D1477" t="inlineStr">
        <is>
          <t>STOCKHOLMS LÄN</t>
        </is>
      </c>
      <c r="E1477" t="inlineStr">
        <is>
          <t>NORRTÄLJE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60529-2023</t>
        </is>
      </c>
      <c r="B1478" s="1" t="n">
        <v>45259</v>
      </c>
      <c r="C1478" s="1" t="n">
        <v>45684</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60822-2023</t>
        </is>
      </c>
      <c r="B1479" s="1" t="n">
        <v>45259</v>
      </c>
      <c r="C1479" s="1" t="n">
        <v>45684</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60654-2023</t>
        </is>
      </c>
      <c r="B1480" s="1" t="n">
        <v>45260</v>
      </c>
      <c r="C1480" s="1" t="n">
        <v>45684</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60640-2023</t>
        </is>
      </c>
      <c r="B1481" s="1" t="n">
        <v>45260</v>
      </c>
      <c r="C1481" s="1" t="n">
        <v>45684</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60672-2023</t>
        </is>
      </c>
      <c r="B1482" s="1" t="n">
        <v>45260</v>
      </c>
      <c r="C1482" s="1" t="n">
        <v>45684</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60823-2023</t>
        </is>
      </c>
      <c r="B1483" s="1" t="n">
        <v>45260</v>
      </c>
      <c r="C1483" s="1" t="n">
        <v>45684</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60656-2023</t>
        </is>
      </c>
      <c r="B1484" s="1" t="n">
        <v>45260</v>
      </c>
      <c r="C1484" s="1" t="n">
        <v>45684</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60765-2023</t>
        </is>
      </c>
      <c r="B1485" s="1" t="n">
        <v>45260</v>
      </c>
      <c r="C1485" s="1" t="n">
        <v>45684</v>
      </c>
      <c r="D1485" t="inlineStr">
        <is>
          <t>STOCKHOLMS LÄN</t>
        </is>
      </c>
      <c r="E1485" t="inlineStr">
        <is>
          <t>NORRTÄLJE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61113-2023</t>
        </is>
      </c>
      <c r="B1486" s="1" t="n">
        <v>45261</v>
      </c>
      <c r="C1486" s="1" t="n">
        <v>45684</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62644-2023</t>
        </is>
      </c>
      <c r="B1487" s="1" t="n">
        <v>45271</v>
      </c>
      <c r="C1487" s="1" t="n">
        <v>45684</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62998-2023</t>
        </is>
      </c>
      <c r="B1488" s="1" t="n">
        <v>45272</v>
      </c>
      <c r="C1488" s="1" t="n">
        <v>45684</v>
      </c>
      <c r="D1488" t="inlineStr">
        <is>
          <t>STOCKHOLMS LÄN</t>
        </is>
      </c>
      <c r="E1488" t="inlineStr">
        <is>
          <t>NORRTÄLJE</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63015-2023</t>
        </is>
      </c>
      <c r="B1489" s="1" t="n">
        <v>45272</v>
      </c>
      <c r="C1489" s="1" t="n">
        <v>45684</v>
      </c>
      <c r="D1489" t="inlineStr">
        <is>
          <t>STOCKHOLMS LÄN</t>
        </is>
      </c>
      <c r="E1489" t="inlineStr">
        <is>
          <t>NORRTÄLJE</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62971-2023</t>
        </is>
      </c>
      <c r="B1490" s="1" t="n">
        <v>45272</v>
      </c>
      <c r="C1490" s="1" t="n">
        <v>45684</v>
      </c>
      <c r="D1490" t="inlineStr">
        <is>
          <t>STOCKHOLMS LÄN</t>
        </is>
      </c>
      <c r="E1490" t="inlineStr">
        <is>
          <t>NORRTÄLJE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63013-2023</t>
        </is>
      </c>
      <c r="B1491" s="1" t="n">
        <v>45272</v>
      </c>
      <c r="C1491" s="1" t="n">
        <v>45684</v>
      </c>
      <c r="D1491" t="inlineStr">
        <is>
          <t>STOCKHOLMS LÄN</t>
        </is>
      </c>
      <c r="E1491" t="inlineStr">
        <is>
          <t>NORRTÄLJE</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63161-2023</t>
        </is>
      </c>
      <c r="B1492" s="1" t="n">
        <v>45273</v>
      </c>
      <c r="C1492" s="1" t="n">
        <v>45684</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63655-2023</t>
        </is>
      </c>
      <c r="B1493" s="1" t="n">
        <v>45275</v>
      </c>
      <c r="C1493" s="1" t="n">
        <v>45684</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64902-2023</t>
        </is>
      </c>
      <c r="B1494" s="1" t="n">
        <v>45282</v>
      </c>
      <c r="C1494" s="1" t="n">
        <v>45684</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64899-2023</t>
        </is>
      </c>
      <c r="B1495" s="1" t="n">
        <v>45282</v>
      </c>
      <c r="C1495" s="1" t="n">
        <v>45684</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9-2024</t>
        </is>
      </c>
      <c r="B1496" s="1" t="n">
        <v>45293</v>
      </c>
      <c r="C1496" s="1" t="n">
        <v>45684</v>
      </c>
      <c r="D1496" t="inlineStr">
        <is>
          <t>STOCKHOLMS LÄN</t>
        </is>
      </c>
      <c r="E1496" t="inlineStr">
        <is>
          <t>NORRTÄLJE</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v>
      </c>
      <c r="C1497" s="1" t="n">
        <v>45684</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11-2024</t>
        </is>
      </c>
      <c r="B1498" s="1" t="n">
        <v>45293</v>
      </c>
      <c r="C1498" s="1" t="n">
        <v>45684</v>
      </c>
      <c r="D1498" t="inlineStr">
        <is>
          <t>STOCKHOLMS LÄN</t>
        </is>
      </c>
      <c r="E1498" t="inlineStr">
        <is>
          <t>NORRTÄLJE</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19-2024</t>
        </is>
      </c>
      <c r="B1499" s="1" t="n">
        <v>45293</v>
      </c>
      <c r="C1499" s="1" t="n">
        <v>45684</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329-2024</t>
        </is>
      </c>
      <c r="B1500" s="1" t="n">
        <v>45295</v>
      </c>
      <c r="C1500" s="1" t="n">
        <v>45684</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498-2024</t>
        </is>
      </c>
      <c r="B1501" s="1" t="n">
        <v>45299</v>
      </c>
      <c r="C1501" s="1" t="n">
        <v>45684</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577-2024</t>
        </is>
      </c>
      <c r="B1502" s="1" t="n">
        <v>45299</v>
      </c>
      <c r="C1502" s="1" t="n">
        <v>45684</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1372-2024</t>
        </is>
      </c>
      <c r="B1503" s="1" t="n">
        <v>45303</v>
      </c>
      <c r="C1503" s="1" t="n">
        <v>45684</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1996-2024</t>
        </is>
      </c>
      <c r="B1504" s="1" t="n">
        <v>45308</v>
      </c>
      <c r="C1504" s="1" t="n">
        <v>45684</v>
      </c>
      <c r="D1504" t="inlineStr">
        <is>
          <t>STOCKHOLMS LÄN</t>
        </is>
      </c>
      <c r="E1504" t="inlineStr">
        <is>
          <t>NORRTÄLJE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2287-2024</t>
        </is>
      </c>
      <c r="B1505" s="1" t="n">
        <v>45310</v>
      </c>
      <c r="C1505" s="1" t="n">
        <v>45684</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2281-2024</t>
        </is>
      </c>
      <c r="B1506" s="1" t="n">
        <v>45310</v>
      </c>
      <c r="C1506" s="1" t="n">
        <v>45684</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2613-2024</t>
        </is>
      </c>
      <c r="B1507" s="1" t="n">
        <v>45313</v>
      </c>
      <c r="C1507" s="1" t="n">
        <v>45684</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2611-2024</t>
        </is>
      </c>
      <c r="B1508" s="1" t="n">
        <v>45313</v>
      </c>
      <c r="C1508" s="1" t="n">
        <v>45684</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3084-2024</t>
        </is>
      </c>
      <c r="B1509" s="1" t="n">
        <v>45316</v>
      </c>
      <c r="C1509" s="1" t="n">
        <v>45684</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3152-2024</t>
        </is>
      </c>
      <c r="B1510" s="1" t="n">
        <v>45316</v>
      </c>
      <c r="C1510" s="1" t="n">
        <v>45684</v>
      </c>
      <c r="D1510" t="inlineStr">
        <is>
          <t>STOCKHOLMS LÄN</t>
        </is>
      </c>
      <c r="E1510" t="inlineStr">
        <is>
          <t>NORRTÄLJE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3381-2024</t>
        </is>
      </c>
      <c r="B1511" s="1" t="n">
        <v>45317</v>
      </c>
      <c r="C1511" s="1" t="n">
        <v>45684</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3942-2024</t>
        </is>
      </c>
      <c r="B1512" s="1" t="n">
        <v>45322</v>
      </c>
      <c r="C1512" s="1" t="n">
        <v>45684</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3966-2024</t>
        </is>
      </c>
      <c r="B1513" s="1" t="n">
        <v>45322</v>
      </c>
      <c r="C1513" s="1" t="n">
        <v>45684</v>
      </c>
      <c r="D1513" t="inlineStr">
        <is>
          <t>STOCKHOLMS LÄN</t>
        </is>
      </c>
      <c r="E1513" t="inlineStr">
        <is>
          <t>NORRTÄLJE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4051-2024</t>
        </is>
      </c>
      <c r="B1514" s="1" t="n">
        <v>45323</v>
      </c>
      <c r="C1514" s="1" t="n">
        <v>45684</v>
      </c>
      <c r="D1514" t="inlineStr">
        <is>
          <t>STOCKHOLMS LÄN</t>
        </is>
      </c>
      <c r="E1514" t="inlineStr">
        <is>
          <t>NORRTÄLJE</t>
        </is>
      </c>
      <c r="F1514" t="inlineStr">
        <is>
          <t>Kyrkan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4542-2024</t>
        </is>
      </c>
      <c r="B1515" s="1" t="n">
        <v>45327</v>
      </c>
      <c r="C1515" s="1" t="n">
        <v>45684</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4658-2024</t>
        </is>
      </c>
      <c r="B1516" s="1" t="n">
        <v>45328</v>
      </c>
      <c r="C1516" s="1" t="n">
        <v>45684</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4730-2024</t>
        </is>
      </c>
      <c r="B1517" s="1" t="n">
        <v>45328</v>
      </c>
      <c r="C1517" s="1" t="n">
        <v>45684</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5158-2024</t>
        </is>
      </c>
      <c r="B1518" s="1" t="n">
        <v>45330</v>
      </c>
      <c r="C1518" s="1" t="n">
        <v>45684</v>
      </c>
      <c r="D1518" t="inlineStr">
        <is>
          <t>STOCKHOLMS LÄN</t>
        </is>
      </c>
      <c r="E1518" t="inlineStr">
        <is>
          <t>NORRTÄLJE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5670-2024</t>
        </is>
      </c>
      <c r="B1519" s="1" t="n">
        <v>45334</v>
      </c>
      <c r="C1519" s="1" t="n">
        <v>45684</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5664-2024</t>
        </is>
      </c>
      <c r="B1520" s="1" t="n">
        <v>45334</v>
      </c>
      <c r="C1520" s="1" t="n">
        <v>45684</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5683-2024</t>
        </is>
      </c>
      <c r="B1521" s="1" t="n">
        <v>45334</v>
      </c>
      <c r="C1521" s="1" t="n">
        <v>45684</v>
      </c>
      <c r="D1521" t="inlineStr">
        <is>
          <t>STOCKHOLMS LÄN</t>
        </is>
      </c>
      <c r="E1521" t="inlineStr">
        <is>
          <t>NORRTÄLJE</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5625-2024</t>
        </is>
      </c>
      <c r="B1522" s="1" t="n">
        <v>45334</v>
      </c>
      <c r="C1522" s="1" t="n">
        <v>45684</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5862-2024</t>
        </is>
      </c>
      <c r="B1523" s="1" t="n">
        <v>45335</v>
      </c>
      <c r="C1523" s="1" t="n">
        <v>45684</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5831-2024</t>
        </is>
      </c>
      <c r="B1524" s="1" t="n">
        <v>45335</v>
      </c>
      <c r="C1524" s="1" t="n">
        <v>45684</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5894-2024</t>
        </is>
      </c>
      <c r="B1525" s="1" t="n">
        <v>45335</v>
      </c>
      <c r="C1525" s="1" t="n">
        <v>45684</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6401-2024</t>
        </is>
      </c>
      <c r="B1526" s="1" t="n">
        <v>45338</v>
      </c>
      <c r="C1526" s="1" t="n">
        <v>45684</v>
      </c>
      <c r="D1526" t="inlineStr">
        <is>
          <t>STOCKHOLMS LÄN</t>
        </is>
      </c>
      <c r="E1526" t="inlineStr">
        <is>
          <t>NORRTÄLJE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6537-2024</t>
        </is>
      </c>
      <c r="B1527" s="1" t="n">
        <v>45341</v>
      </c>
      <c r="C1527" s="1" t="n">
        <v>45684</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7009-2024</t>
        </is>
      </c>
      <c r="B1528" s="1" t="n">
        <v>45343</v>
      </c>
      <c r="C1528" s="1" t="n">
        <v>45684</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7186-2024</t>
        </is>
      </c>
      <c r="B1529" s="1" t="n">
        <v>45344</v>
      </c>
      <c r="C1529" s="1" t="n">
        <v>45684</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7408-2024</t>
        </is>
      </c>
      <c r="B1530" s="1" t="n">
        <v>45345</v>
      </c>
      <c r="C1530" s="1" t="n">
        <v>45684</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7573-2024</t>
        </is>
      </c>
      <c r="B1531" s="1" t="n">
        <v>45345</v>
      </c>
      <c r="C1531" s="1" t="n">
        <v>45684</v>
      </c>
      <c r="D1531" t="inlineStr">
        <is>
          <t>STOCKHOLMS LÄN</t>
        </is>
      </c>
      <c r="E1531" t="inlineStr">
        <is>
          <t>NORRTÄLJE</t>
        </is>
      </c>
      <c r="F1531" t="inlineStr">
        <is>
          <t>Övriga Aktiebolag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7425-2024</t>
        </is>
      </c>
      <c r="B1532" s="1" t="n">
        <v>45345</v>
      </c>
      <c r="C1532" s="1" t="n">
        <v>45684</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7413-2024</t>
        </is>
      </c>
      <c r="B1533" s="1" t="n">
        <v>45345</v>
      </c>
      <c r="C1533" s="1" t="n">
        <v>45684</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7385-2024</t>
        </is>
      </c>
      <c r="B1534" s="1" t="n">
        <v>45345</v>
      </c>
      <c r="C1534" s="1" t="n">
        <v>45684</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7329-2024</t>
        </is>
      </c>
      <c r="B1535" s="1" t="n">
        <v>45345</v>
      </c>
      <c r="C1535" s="1" t="n">
        <v>45684</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7483-2024</t>
        </is>
      </c>
      <c r="B1536" s="1" t="n">
        <v>45346</v>
      </c>
      <c r="C1536" s="1" t="n">
        <v>45684</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7571-2024</t>
        </is>
      </c>
      <c r="B1537" s="1" t="n">
        <v>45348</v>
      </c>
      <c r="C1537" s="1" t="n">
        <v>45684</v>
      </c>
      <c r="D1537" t="inlineStr">
        <is>
          <t>STOCKHOLMS LÄN</t>
        </is>
      </c>
      <c r="E1537" t="inlineStr">
        <is>
          <t>NORRTÄLJE</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8270-2024</t>
        </is>
      </c>
      <c r="B1538" s="1" t="n">
        <v>45352</v>
      </c>
      <c r="C1538" s="1" t="n">
        <v>45684</v>
      </c>
      <c r="D1538" t="inlineStr">
        <is>
          <t>STOCKHOLMS LÄN</t>
        </is>
      </c>
      <c r="E1538" t="inlineStr">
        <is>
          <t>NORRTÄLJE</t>
        </is>
      </c>
      <c r="F1538" t="inlineStr">
        <is>
          <t>Kyrkan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8399-2024</t>
        </is>
      </c>
      <c r="B1539" s="1" t="n">
        <v>45352</v>
      </c>
      <c r="C1539" s="1" t="n">
        <v>45684</v>
      </c>
      <c r="D1539" t="inlineStr">
        <is>
          <t>STOCKHOLMS LÄN</t>
        </is>
      </c>
      <c r="E1539" t="inlineStr">
        <is>
          <t>NORRTÄLJE</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8365-2024</t>
        </is>
      </c>
      <c r="B1540" s="1" t="n">
        <v>45352</v>
      </c>
      <c r="C1540" s="1" t="n">
        <v>45684</v>
      </c>
      <c r="D1540" t="inlineStr">
        <is>
          <t>STOCKHOLMS LÄN</t>
        </is>
      </c>
      <c r="E1540" t="inlineStr">
        <is>
          <t>NORRTÄLJE</t>
        </is>
      </c>
      <c r="F1540" t="inlineStr">
        <is>
          <t>Naturvårdsverket</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8400-2024</t>
        </is>
      </c>
      <c r="B1541" s="1" t="n">
        <v>45352</v>
      </c>
      <c r="C1541" s="1" t="n">
        <v>45684</v>
      </c>
      <c r="D1541" t="inlineStr">
        <is>
          <t>STOCKHOLMS LÄN</t>
        </is>
      </c>
      <c r="E1541" t="inlineStr">
        <is>
          <t>NORRTÄLJE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8401-2024</t>
        </is>
      </c>
      <c r="B1542" s="1" t="n">
        <v>45352</v>
      </c>
      <c r="C1542" s="1" t="n">
        <v>45684</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8739-2024</t>
        </is>
      </c>
      <c r="B1543" s="1" t="n">
        <v>45356</v>
      </c>
      <c r="C1543" s="1" t="n">
        <v>45684</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8736-2024</t>
        </is>
      </c>
      <c r="B1544" s="1" t="n">
        <v>45356</v>
      </c>
      <c r="C1544" s="1" t="n">
        <v>45684</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9246-2024</t>
        </is>
      </c>
      <c r="B1545" s="1" t="n">
        <v>45357</v>
      </c>
      <c r="C1545" s="1" t="n">
        <v>45684</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9300-2024</t>
        </is>
      </c>
      <c r="B1546" s="1" t="n">
        <v>45358</v>
      </c>
      <c r="C1546" s="1" t="n">
        <v>45684</v>
      </c>
      <c r="D1546" t="inlineStr">
        <is>
          <t>STOCKHOLMS LÄN</t>
        </is>
      </c>
      <c r="E1546" t="inlineStr">
        <is>
          <t>NORRTÄLJE</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9297-2024</t>
        </is>
      </c>
      <c r="B1547" s="1" t="n">
        <v>45358</v>
      </c>
      <c r="C1547" s="1" t="n">
        <v>45684</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9301-2024</t>
        </is>
      </c>
      <c r="B1548" s="1" t="n">
        <v>45358</v>
      </c>
      <c r="C1548" s="1" t="n">
        <v>45684</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9305-2024</t>
        </is>
      </c>
      <c r="B1549" s="1" t="n">
        <v>45358</v>
      </c>
      <c r="C1549" s="1" t="n">
        <v>45684</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9765-2024</t>
        </is>
      </c>
      <c r="B1550" s="1" t="n">
        <v>45362</v>
      </c>
      <c r="C1550" s="1" t="n">
        <v>45684</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9959-2024</t>
        </is>
      </c>
      <c r="B1551" s="1" t="n">
        <v>45363</v>
      </c>
      <c r="C1551" s="1" t="n">
        <v>45684</v>
      </c>
      <c r="D1551" t="inlineStr">
        <is>
          <t>STOCKHOLMS LÄN</t>
        </is>
      </c>
      <c r="E1551" t="inlineStr">
        <is>
          <t>NORRTÄLJE</t>
        </is>
      </c>
      <c r="F1551" t="inlineStr">
        <is>
          <t>Naturvårdsverket</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10258-2024</t>
        </is>
      </c>
      <c r="B1552" s="1" t="n">
        <v>45365</v>
      </c>
      <c r="C1552" s="1" t="n">
        <v>45684</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10279-2024</t>
        </is>
      </c>
      <c r="B1553" s="1" t="n">
        <v>45365</v>
      </c>
      <c r="C1553" s="1" t="n">
        <v>45684</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10643-2024</t>
        </is>
      </c>
      <c r="B1554" s="1" t="n">
        <v>45367</v>
      </c>
      <c r="C1554" s="1" t="n">
        <v>45684</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10840-2024</t>
        </is>
      </c>
      <c r="B1555" s="1" t="n">
        <v>45369</v>
      </c>
      <c r="C1555" s="1" t="n">
        <v>45684</v>
      </c>
      <c r="D1555" t="inlineStr">
        <is>
          <t>STOCKHOLMS LÄN</t>
        </is>
      </c>
      <c r="E1555" t="inlineStr">
        <is>
          <t>NORRTÄLJE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10810-2024</t>
        </is>
      </c>
      <c r="B1556" s="1" t="n">
        <v>45369</v>
      </c>
      <c r="C1556" s="1" t="n">
        <v>45684</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10930-2024</t>
        </is>
      </c>
      <c r="B1557" s="1" t="n">
        <v>45370</v>
      </c>
      <c r="C1557" s="1" t="n">
        <v>45684</v>
      </c>
      <c r="D1557" t="inlineStr">
        <is>
          <t>STOCKHOLMS LÄN</t>
        </is>
      </c>
      <c r="E1557" t="inlineStr">
        <is>
          <t>NORRTÄLJE</t>
        </is>
      </c>
      <c r="G1557" t="n">
        <v>8.699999999999999</v>
      </c>
      <c r="H1557" t="n">
        <v>0</v>
      </c>
      <c r="I1557" t="n">
        <v>0</v>
      </c>
      <c r="J1557" t="n">
        <v>0</v>
      </c>
      <c r="K1557" t="n">
        <v>0</v>
      </c>
      <c r="L1557" t="n">
        <v>0</v>
      </c>
      <c r="M1557" t="n">
        <v>0</v>
      </c>
      <c r="N1557" t="n">
        <v>0</v>
      </c>
      <c r="O1557" t="n">
        <v>0</v>
      </c>
      <c r="P1557" t="n">
        <v>0</v>
      </c>
      <c r="Q1557" t="n">
        <v>0</v>
      </c>
      <c r="R1557" s="2" t="inlineStr"/>
      <c r="U1557">
        <f>HYPERLINK("https://klasma.github.io/Logging_0188/knärot/A 10930-2024 karta knärot.png", "A 10930-2024")</f>
        <v/>
      </c>
      <c r="V1557">
        <f>HYPERLINK("https://klasma.github.io/Logging_0188/klagomål/A 10930-2024 FSC-klagomål.docx", "A 10930-2024")</f>
        <v/>
      </c>
      <c r="W1557">
        <f>HYPERLINK("https://klasma.github.io/Logging_0188/klagomålsmail/A 10930-2024 FSC-klagomål mail.docx", "A 10930-2024")</f>
        <v/>
      </c>
      <c r="X1557">
        <f>HYPERLINK("https://klasma.github.io/Logging_0188/tillsyn/A 10930-2024 tillsynsbegäran.docx", "A 10930-2024")</f>
        <v/>
      </c>
      <c r="Y1557">
        <f>HYPERLINK("https://klasma.github.io/Logging_0188/tillsynsmail/A 10930-2024 tillsynsbegäran mail.docx", "A 10930-2024")</f>
        <v/>
      </c>
    </row>
    <row r="1558" ht="15" customHeight="1">
      <c r="A1558" t="inlineStr">
        <is>
          <t>A 11062-2024</t>
        </is>
      </c>
      <c r="B1558" s="1" t="n">
        <v>45370</v>
      </c>
      <c r="C1558" s="1" t="n">
        <v>45684</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10968-2024</t>
        </is>
      </c>
      <c r="B1559" s="1" t="n">
        <v>45370</v>
      </c>
      <c r="C1559" s="1" t="n">
        <v>45684</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11902-2024</t>
        </is>
      </c>
      <c r="B1560" s="1" t="n">
        <v>45376</v>
      </c>
      <c r="C1560" s="1" t="n">
        <v>45684</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11926-2024</t>
        </is>
      </c>
      <c r="B1561" s="1" t="n">
        <v>45376</v>
      </c>
      <c r="C1561" s="1" t="n">
        <v>45684</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11896-2024</t>
        </is>
      </c>
      <c r="B1562" s="1" t="n">
        <v>45376</v>
      </c>
      <c r="C1562" s="1" t="n">
        <v>45684</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11900-2024</t>
        </is>
      </c>
      <c r="B1563" s="1" t="n">
        <v>45376</v>
      </c>
      <c r="C1563" s="1" t="n">
        <v>45684</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11924-2024</t>
        </is>
      </c>
      <c r="B1564" s="1" t="n">
        <v>45376</v>
      </c>
      <c r="C1564" s="1" t="n">
        <v>45684</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11893-2024</t>
        </is>
      </c>
      <c r="B1565" s="1" t="n">
        <v>45376</v>
      </c>
      <c r="C1565" s="1" t="n">
        <v>45684</v>
      </c>
      <c r="D1565" t="inlineStr">
        <is>
          <t>STOCKHOLMS LÄN</t>
        </is>
      </c>
      <c r="E1565" t="inlineStr">
        <is>
          <t>NORRTÄLJE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11901-2024</t>
        </is>
      </c>
      <c r="B1566" s="1" t="n">
        <v>45376</v>
      </c>
      <c r="C1566" s="1" t="n">
        <v>45684</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11929-2024</t>
        </is>
      </c>
      <c r="B1567" s="1" t="n">
        <v>45376</v>
      </c>
      <c r="C1567" s="1" t="n">
        <v>45684</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11996-2024</t>
        </is>
      </c>
      <c r="B1568" s="1" t="n">
        <v>45376</v>
      </c>
      <c r="C1568" s="1" t="n">
        <v>45684</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11997-2024</t>
        </is>
      </c>
      <c r="B1569" s="1" t="n">
        <v>45377</v>
      </c>
      <c r="C1569" s="1" t="n">
        <v>45684</v>
      </c>
      <c r="D1569" t="inlineStr">
        <is>
          <t>STOCKHOLMS LÄN</t>
        </is>
      </c>
      <c r="E1569" t="inlineStr">
        <is>
          <t>NORRTÄLJE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12135-2024</t>
        </is>
      </c>
      <c r="B1570" s="1" t="n">
        <v>45377</v>
      </c>
      <c r="C1570" s="1" t="n">
        <v>45684</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12022-2024</t>
        </is>
      </c>
      <c r="B1571" s="1" t="n">
        <v>45377</v>
      </c>
      <c r="C1571" s="1" t="n">
        <v>45684</v>
      </c>
      <c r="D1571" t="inlineStr">
        <is>
          <t>STOCKHOLMS LÄN</t>
        </is>
      </c>
      <c r="E1571" t="inlineStr">
        <is>
          <t>NORRTÄLJE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12323-2024</t>
        </is>
      </c>
      <c r="B1572" s="1" t="n">
        <v>45378</v>
      </c>
      <c r="C1572" s="1" t="n">
        <v>45684</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12470-2024</t>
        </is>
      </c>
      <c r="B1573" s="1" t="n">
        <v>45379</v>
      </c>
      <c r="C1573" s="1" t="n">
        <v>45684</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12560-2024</t>
        </is>
      </c>
      <c r="B1574" s="1" t="n">
        <v>45379</v>
      </c>
      <c r="C1574" s="1" t="n">
        <v>45684</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12629-2024</t>
        </is>
      </c>
      <c r="B1575" s="1" t="n">
        <v>45383</v>
      </c>
      <c r="C1575" s="1" t="n">
        <v>45684</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12896-2024</t>
        </is>
      </c>
      <c r="B1576" s="1" t="n">
        <v>45385</v>
      </c>
      <c r="C1576" s="1" t="n">
        <v>45684</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12904-2024</t>
        </is>
      </c>
      <c r="B1577" s="1" t="n">
        <v>45385</v>
      </c>
      <c r="C1577" s="1" t="n">
        <v>45684</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12901-2024</t>
        </is>
      </c>
      <c r="B1578" s="1" t="n">
        <v>45385</v>
      </c>
      <c r="C1578" s="1" t="n">
        <v>45684</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12890-2024</t>
        </is>
      </c>
      <c r="B1579" s="1" t="n">
        <v>45385</v>
      </c>
      <c r="C1579" s="1" t="n">
        <v>45684</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12902-2024</t>
        </is>
      </c>
      <c r="B1580" s="1" t="n">
        <v>45385</v>
      </c>
      <c r="C1580" s="1" t="n">
        <v>45684</v>
      </c>
      <c r="D1580" t="inlineStr">
        <is>
          <t>STOCKHOLMS LÄN</t>
        </is>
      </c>
      <c r="E1580" t="inlineStr">
        <is>
          <t>NORRTÄLJE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13115-2024</t>
        </is>
      </c>
      <c r="B1581" s="1" t="n">
        <v>45385</v>
      </c>
      <c r="C1581" s="1" t="n">
        <v>45684</v>
      </c>
      <c r="D1581" t="inlineStr">
        <is>
          <t>STOCKHOLMS LÄN</t>
        </is>
      </c>
      <c r="E1581" t="inlineStr">
        <is>
          <t>NORRTÄLJE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v>
      </c>
      <c r="C1582" s="1" t="n">
        <v>45684</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13241-2024</t>
        </is>
      </c>
      <c r="B1583" s="1" t="n">
        <v>45386</v>
      </c>
      <c r="C1583" s="1" t="n">
        <v>45684</v>
      </c>
      <c r="D1583" t="inlineStr">
        <is>
          <t>STOCKHOLMS LÄN</t>
        </is>
      </c>
      <c r="E1583" t="inlineStr">
        <is>
          <t>NORRTÄLJE</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13391-2024</t>
        </is>
      </c>
      <c r="B1584" s="1" t="n">
        <v>45387</v>
      </c>
      <c r="C1584" s="1" t="n">
        <v>45684</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v>
      </c>
      <c r="C1585" s="1" t="n">
        <v>45684</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14530-2024</t>
        </is>
      </c>
      <c r="B1586" s="1" t="n">
        <v>45394</v>
      </c>
      <c r="C1586" s="1" t="n">
        <v>45684</v>
      </c>
      <c r="D1586" t="inlineStr">
        <is>
          <t>STOCKHOLMS LÄN</t>
        </is>
      </c>
      <c r="E1586" t="inlineStr">
        <is>
          <t>NORRTÄLJE</t>
        </is>
      </c>
      <c r="F1586" t="inlineStr">
        <is>
          <t>Kyrkan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v>
      </c>
      <c r="C1587" s="1" t="n">
        <v>45684</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14559-2024</t>
        </is>
      </c>
      <c r="B1588" s="1" t="n">
        <v>45394</v>
      </c>
      <c r="C1588" s="1" t="n">
        <v>45684</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14751-2024</t>
        </is>
      </c>
      <c r="B1589" s="1" t="n">
        <v>45397</v>
      </c>
      <c r="C1589" s="1" t="n">
        <v>45684</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14762-2024</t>
        </is>
      </c>
      <c r="B1590" s="1" t="n">
        <v>45397</v>
      </c>
      <c r="C1590" s="1" t="n">
        <v>45684</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15347-2024</t>
        </is>
      </c>
      <c r="B1591" s="1" t="n">
        <v>45400</v>
      </c>
      <c r="C1591" s="1" t="n">
        <v>45684</v>
      </c>
      <c r="D1591" t="inlineStr">
        <is>
          <t>STOCKHOLMS LÄN</t>
        </is>
      </c>
      <c r="E1591" t="inlineStr">
        <is>
          <t>NORRTÄLJE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15317-2024</t>
        </is>
      </c>
      <c r="B1592" s="1" t="n">
        <v>45400</v>
      </c>
      <c r="C1592" s="1" t="n">
        <v>45684</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15429-2024</t>
        </is>
      </c>
      <c r="B1593" s="1" t="n">
        <v>45401</v>
      </c>
      <c r="C1593" s="1" t="n">
        <v>45684</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v>
      </c>
      <c r="C1594" s="1" t="n">
        <v>45684</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15470-2024</t>
        </is>
      </c>
      <c r="B1595" s="1" t="n">
        <v>45401</v>
      </c>
      <c r="C1595" s="1" t="n">
        <v>45684</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15428-2024</t>
        </is>
      </c>
      <c r="B1596" s="1" t="n">
        <v>45401</v>
      </c>
      <c r="C1596" s="1" t="n">
        <v>45684</v>
      </c>
      <c r="D1596" t="inlineStr">
        <is>
          <t>STOCKHOLMS LÄN</t>
        </is>
      </c>
      <c r="E1596" t="inlineStr">
        <is>
          <t>NORRTÄLJE</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15415-2024</t>
        </is>
      </c>
      <c r="B1597" s="1" t="n">
        <v>45401</v>
      </c>
      <c r="C1597" s="1" t="n">
        <v>45684</v>
      </c>
      <c r="D1597" t="inlineStr">
        <is>
          <t>STOCKHOLMS LÄN</t>
        </is>
      </c>
      <c r="E1597" t="inlineStr">
        <is>
          <t>NORRTÄLJE</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15956-2024</t>
        </is>
      </c>
      <c r="B1598" s="1" t="n">
        <v>45405</v>
      </c>
      <c r="C1598" s="1" t="n">
        <v>45684</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15978-2024</t>
        </is>
      </c>
      <c r="B1599" s="1" t="n">
        <v>45405</v>
      </c>
      <c r="C1599" s="1" t="n">
        <v>45684</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16072-2024</t>
        </is>
      </c>
      <c r="B1600" s="1" t="n">
        <v>45406</v>
      </c>
      <c r="C1600" s="1" t="n">
        <v>45684</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16071-2024</t>
        </is>
      </c>
      <c r="B1601" s="1" t="n">
        <v>45406</v>
      </c>
      <c r="C1601" s="1" t="n">
        <v>45684</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16075-2024</t>
        </is>
      </c>
      <c r="B1602" s="1" t="n">
        <v>45406</v>
      </c>
      <c r="C1602" s="1" t="n">
        <v>45684</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16620-2024</t>
        </is>
      </c>
      <c r="B1603" s="1" t="n">
        <v>45408</v>
      </c>
      <c r="C1603" s="1" t="n">
        <v>45684</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16852-2024</t>
        </is>
      </c>
      <c r="B1604" s="1" t="n">
        <v>45411</v>
      </c>
      <c r="C1604" s="1" t="n">
        <v>45684</v>
      </c>
      <c r="D1604" t="inlineStr">
        <is>
          <t>STOCKHOLMS LÄN</t>
        </is>
      </c>
      <c r="E1604" t="inlineStr">
        <is>
          <t>NORRTÄLJE</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17013-2024</t>
        </is>
      </c>
      <c r="B1605" s="1" t="n">
        <v>45412</v>
      </c>
      <c r="C1605" s="1" t="n">
        <v>45684</v>
      </c>
      <c r="D1605" t="inlineStr">
        <is>
          <t>STOCKHOLMS LÄN</t>
        </is>
      </c>
      <c r="E1605" t="inlineStr">
        <is>
          <t>NORRTÄLJE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17039-2024</t>
        </is>
      </c>
      <c r="B1606" s="1" t="n">
        <v>45412</v>
      </c>
      <c r="C1606" s="1" t="n">
        <v>45684</v>
      </c>
      <c r="D1606" t="inlineStr">
        <is>
          <t>STOCKHOLMS LÄN</t>
        </is>
      </c>
      <c r="E1606" t="inlineStr">
        <is>
          <t>NORRTÄLJE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17348-2024</t>
        </is>
      </c>
      <c r="B1607" s="1" t="n">
        <v>45414</v>
      </c>
      <c r="C1607" s="1" t="n">
        <v>45684</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17304-2024</t>
        </is>
      </c>
      <c r="B1608" s="1" t="n">
        <v>45414</v>
      </c>
      <c r="C1608" s="1" t="n">
        <v>45684</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17354-2024</t>
        </is>
      </c>
      <c r="B1609" s="1" t="n">
        <v>45414</v>
      </c>
      <c r="C1609" s="1" t="n">
        <v>45684</v>
      </c>
      <c r="D1609" t="inlineStr">
        <is>
          <t>STOCKHOLMS LÄN</t>
        </is>
      </c>
      <c r="E1609" t="inlineStr">
        <is>
          <t>NORRTÄLJE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17385-2024</t>
        </is>
      </c>
      <c r="B1610" s="1" t="n">
        <v>45414</v>
      </c>
      <c r="C1610" s="1" t="n">
        <v>45684</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17382-2024</t>
        </is>
      </c>
      <c r="B1611" s="1" t="n">
        <v>45414</v>
      </c>
      <c r="C1611" s="1" t="n">
        <v>45684</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17397-2024</t>
        </is>
      </c>
      <c r="B1612" s="1" t="n">
        <v>45414</v>
      </c>
      <c r="C1612" s="1" t="n">
        <v>45684</v>
      </c>
      <c r="D1612" t="inlineStr">
        <is>
          <t>STOCKHOLMS LÄN</t>
        </is>
      </c>
      <c r="E1612" t="inlineStr">
        <is>
          <t>NORRTÄLJE</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17554-2024</t>
        </is>
      </c>
      <c r="B1613" s="1" t="n">
        <v>45415</v>
      </c>
      <c r="C1613" s="1" t="n">
        <v>45684</v>
      </c>
      <c r="D1613" t="inlineStr">
        <is>
          <t>STOCKHOLMS LÄN</t>
        </is>
      </c>
      <c r="E1613" t="inlineStr">
        <is>
          <t>NORRTÄLJE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17775-2024</t>
        </is>
      </c>
      <c r="B1614" s="1" t="n">
        <v>45418</v>
      </c>
      <c r="C1614" s="1" t="n">
        <v>45684</v>
      </c>
      <c r="D1614" t="inlineStr">
        <is>
          <t>STOCKHOLMS LÄN</t>
        </is>
      </c>
      <c r="E1614" t="inlineStr">
        <is>
          <t>NORRTÄLJE</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17785-2024</t>
        </is>
      </c>
      <c r="B1615" s="1" t="n">
        <v>45418</v>
      </c>
      <c r="C1615" s="1" t="n">
        <v>45684</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17843-2024</t>
        </is>
      </c>
      <c r="B1616" s="1" t="n">
        <v>45418</v>
      </c>
      <c r="C1616" s="1" t="n">
        <v>45684</v>
      </c>
      <c r="D1616" t="inlineStr">
        <is>
          <t>STOCKHOLMS LÄN</t>
        </is>
      </c>
      <c r="E1616" t="inlineStr">
        <is>
          <t>NORRTÄLJE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18331-2024</t>
        </is>
      </c>
      <c r="B1617" s="1" t="n">
        <v>45422</v>
      </c>
      <c r="C1617" s="1" t="n">
        <v>45684</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18285-2024</t>
        </is>
      </c>
      <c r="B1618" s="1" t="n">
        <v>45422</v>
      </c>
      <c r="C1618" s="1" t="n">
        <v>45684</v>
      </c>
      <c r="D1618" t="inlineStr">
        <is>
          <t>STOCKHOLMS LÄN</t>
        </is>
      </c>
      <c r="E1618" t="inlineStr">
        <is>
          <t>NORRTÄLJE</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18287-2024</t>
        </is>
      </c>
      <c r="B1619" s="1" t="n">
        <v>45422</v>
      </c>
      <c r="C1619" s="1" t="n">
        <v>45684</v>
      </c>
      <c r="D1619" t="inlineStr">
        <is>
          <t>STOCKHOLMS LÄN</t>
        </is>
      </c>
      <c r="E1619" t="inlineStr">
        <is>
          <t>NORRTÄLJE</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19058-2024</t>
        </is>
      </c>
      <c r="B1620" s="1" t="n">
        <v>45427</v>
      </c>
      <c r="C1620" s="1" t="n">
        <v>45684</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19057-2024</t>
        </is>
      </c>
      <c r="B1621" s="1" t="n">
        <v>45427</v>
      </c>
      <c r="C1621" s="1" t="n">
        <v>45684</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19150-2024</t>
        </is>
      </c>
      <c r="B1622" s="1" t="n">
        <v>45428</v>
      </c>
      <c r="C1622" s="1" t="n">
        <v>45684</v>
      </c>
      <c r="D1622" t="inlineStr">
        <is>
          <t>STOCKHOLMS LÄN</t>
        </is>
      </c>
      <c r="E1622" t="inlineStr">
        <is>
          <t>NORRTÄLJE</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19915-2024</t>
        </is>
      </c>
      <c r="B1623" s="1" t="n">
        <v>45433</v>
      </c>
      <c r="C1623" s="1" t="n">
        <v>45684</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19919-2024</t>
        </is>
      </c>
      <c r="B1624" s="1" t="n">
        <v>45433</v>
      </c>
      <c r="C1624" s="1" t="n">
        <v>45684</v>
      </c>
      <c r="D1624" t="inlineStr">
        <is>
          <t>STOCKHOLMS LÄN</t>
        </is>
      </c>
      <c r="E1624" t="inlineStr">
        <is>
          <t>NORRTÄLJE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20336-2024</t>
        </is>
      </c>
      <c r="B1625" s="1" t="n">
        <v>45435</v>
      </c>
      <c r="C1625" s="1" t="n">
        <v>45684</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20345-2024</t>
        </is>
      </c>
      <c r="B1626" s="1" t="n">
        <v>45435</v>
      </c>
      <c r="C1626" s="1" t="n">
        <v>45684</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20343-2024</t>
        </is>
      </c>
      <c r="B1627" s="1" t="n">
        <v>45435</v>
      </c>
      <c r="C1627" s="1" t="n">
        <v>45684</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20393-2024</t>
        </is>
      </c>
      <c r="B1628" s="1" t="n">
        <v>45435</v>
      </c>
      <c r="C1628" s="1" t="n">
        <v>45684</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20445-2024</t>
        </is>
      </c>
      <c r="B1629" s="1" t="n">
        <v>45435</v>
      </c>
      <c r="C1629" s="1" t="n">
        <v>45684</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20428-2024</t>
        </is>
      </c>
      <c r="B1630" s="1" t="n">
        <v>45435</v>
      </c>
      <c r="C1630" s="1" t="n">
        <v>45684</v>
      </c>
      <c r="D1630" t="inlineStr">
        <is>
          <t>STOCKHOLMS LÄN</t>
        </is>
      </c>
      <c r="E1630" t="inlineStr">
        <is>
          <t>NORRTÄLJE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20460-2024</t>
        </is>
      </c>
      <c r="B1631" s="1" t="n">
        <v>45435</v>
      </c>
      <c r="C1631" s="1" t="n">
        <v>45684</v>
      </c>
      <c r="D1631" t="inlineStr">
        <is>
          <t>STOCKHOLMS LÄN</t>
        </is>
      </c>
      <c r="E1631" t="inlineStr">
        <is>
          <t>NORRTÄLJE</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20464-2024</t>
        </is>
      </c>
      <c r="B1632" s="1" t="n">
        <v>45435</v>
      </c>
      <c r="C1632" s="1" t="n">
        <v>45684</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20431-2024</t>
        </is>
      </c>
      <c r="B1633" s="1" t="n">
        <v>45435</v>
      </c>
      <c r="C1633" s="1" t="n">
        <v>45684</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20680-2024</t>
        </is>
      </c>
      <c r="B1634" s="1" t="n">
        <v>45436</v>
      </c>
      <c r="C1634" s="1" t="n">
        <v>45684</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20698-2024</t>
        </is>
      </c>
      <c r="B1635" s="1" t="n">
        <v>45436</v>
      </c>
      <c r="C1635" s="1" t="n">
        <v>45684</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20730-2024</t>
        </is>
      </c>
      <c r="B1636" s="1" t="n">
        <v>45436</v>
      </c>
      <c r="C1636" s="1" t="n">
        <v>45684</v>
      </c>
      <c r="D1636" t="inlineStr">
        <is>
          <t>STOCKHOLMS LÄN</t>
        </is>
      </c>
      <c r="E1636" t="inlineStr">
        <is>
          <t>NORRTÄLJE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20825-2024</t>
        </is>
      </c>
      <c r="B1637" s="1" t="n">
        <v>45439</v>
      </c>
      <c r="C1637" s="1" t="n">
        <v>45684</v>
      </c>
      <c r="D1637" t="inlineStr">
        <is>
          <t>STOCKHOLMS LÄN</t>
        </is>
      </c>
      <c r="E1637" t="inlineStr">
        <is>
          <t>NORRTÄLJE</t>
        </is>
      </c>
      <c r="F1637" t="inlineStr">
        <is>
          <t>Holmen skog AB</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20836-2024</t>
        </is>
      </c>
      <c r="B1638" s="1" t="n">
        <v>45439</v>
      </c>
      <c r="C1638" s="1" t="n">
        <v>45684</v>
      </c>
      <c r="D1638" t="inlineStr">
        <is>
          <t>STOCKHOLMS LÄN</t>
        </is>
      </c>
      <c r="E1638" t="inlineStr">
        <is>
          <t>NORRTÄLJE</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21066-2024</t>
        </is>
      </c>
      <c r="B1639" s="1" t="n">
        <v>45439</v>
      </c>
      <c r="C1639" s="1" t="n">
        <v>45684</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21729-2024</t>
        </is>
      </c>
      <c r="B1640" s="1" t="n">
        <v>45442</v>
      </c>
      <c r="C1640" s="1" t="n">
        <v>45684</v>
      </c>
      <c r="D1640" t="inlineStr">
        <is>
          <t>STOCKHOLMS LÄN</t>
        </is>
      </c>
      <c r="E1640" t="inlineStr">
        <is>
          <t>NORRTÄLJE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21696-2024</t>
        </is>
      </c>
      <c r="B1641" s="1" t="n">
        <v>45442</v>
      </c>
      <c r="C1641" s="1" t="n">
        <v>45684</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22008-2024</t>
        </is>
      </c>
      <c r="B1642" s="1" t="n">
        <v>45443</v>
      </c>
      <c r="C1642" s="1" t="n">
        <v>45684</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22232-2024</t>
        </is>
      </c>
      <c r="B1643" s="1" t="n">
        <v>45446</v>
      </c>
      <c r="C1643" s="1" t="n">
        <v>45684</v>
      </c>
      <c r="D1643" t="inlineStr">
        <is>
          <t>STOCKHOLMS LÄN</t>
        </is>
      </c>
      <c r="E1643" t="inlineStr">
        <is>
          <t>NORRTÄLJE</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22190-2024</t>
        </is>
      </c>
      <c r="B1644" s="1" t="n">
        <v>45446</v>
      </c>
      <c r="C1644" s="1" t="n">
        <v>45684</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22231-2024</t>
        </is>
      </c>
      <c r="B1645" s="1" t="n">
        <v>45446</v>
      </c>
      <c r="C1645" s="1" t="n">
        <v>45684</v>
      </c>
      <c r="D1645" t="inlineStr">
        <is>
          <t>STOCKHOLMS LÄN</t>
        </is>
      </c>
      <c r="E1645" t="inlineStr">
        <is>
          <t>NORRTÄLJE</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22833-2024</t>
        </is>
      </c>
      <c r="B1646" s="1" t="n">
        <v>45448</v>
      </c>
      <c r="C1646" s="1" t="n">
        <v>45684</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23018-2024</t>
        </is>
      </c>
      <c r="B1647" s="1" t="n">
        <v>45450</v>
      </c>
      <c r="C1647" s="1" t="n">
        <v>45684</v>
      </c>
      <c r="D1647" t="inlineStr">
        <is>
          <t>STOCKHOLMS LÄN</t>
        </is>
      </c>
      <c r="E1647" t="inlineStr">
        <is>
          <t>NORRTÄLJE</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23149-2024</t>
        </is>
      </c>
      <c r="B1648" s="1" t="n">
        <v>45450</v>
      </c>
      <c r="C1648" s="1" t="n">
        <v>45684</v>
      </c>
      <c r="D1648" t="inlineStr">
        <is>
          <t>STOCKHOLMS LÄN</t>
        </is>
      </c>
      <c r="E1648" t="inlineStr">
        <is>
          <t>NORRTÄLJE</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23150-2024</t>
        </is>
      </c>
      <c r="B1649" s="1" t="n">
        <v>45450</v>
      </c>
      <c r="C1649" s="1" t="n">
        <v>45684</v>
      </c>
      <c r="D1649" t="inlineStr">
        <is>
          <t>STOCKHOLMS LÄN</t>
        </is>
      </c>
      <c r="E1649" t="inlineStr">
        <is>
          <t>NORRTÄLJE</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23151-2024</t>
        </is>
      </c>
      <c r="B1650" s="1" t="n">
        <v>45450</v>
      </c>
      <c r="C1650" s="1" t="n">
        <v>45684</v>
      </c>
      <c r="D1650" t="inlineStr">
        <is>
          <t>STOCKHOLMS LÄN</t>
        </is>
      </c>
      <c r="E1650" t="inlineStr">
        <is>
          <t>NORRTÄLJE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23307-2024</t>
        </is>
      </c>
      <c r="B1651" s="1" t="n">
        <v>45453</v>
      </c>
      <c r="C1651" s="1" t="n">
        <v>45684</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23683-2024</t>
        </is>
      </c>
      <c r="B1652" s="1" t="n">
        <v>45454</v>
      </c>
      <c r="C1652" s="1" t="n">
        <v>45684</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23692-2024</t>
        </is>
      </c>
      <c r="B1653" s="1" t="n">
        <v>45454</v>
      </c>
      <c r="C1653" s="1" t="n">
        <v>45684</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23572-2024</t>
        </is>
      </c>
      <c r="B1654" s="1" t="n">
        <v>45454</v>
      </c>
      <c r="C1654" s="1" t="n">
        <v>45684</v>
      </c>
      <c r="D1654" t="inlineStr">
        <is>
          <t>STOCKHOLMS LÄN</t>
        </is>
      </c>
      <c r="E1654" t="inlineStr">
        <is>
          <t>NORRTÄLJE</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23749-2024</t>
        </is>
      </c>
      <c r="B1655" s="1" t="n">
        <v>45455</v>
      </c>
      <c r="C1655" s="1" t="n">
        <v>45684</v>
      </c>
      <c r="D1655" t="inlineStr">
        <is>
          <t>STOCKHOLMS LÄN</t>
        </is>
      </c>
      <c r="E1655" t="inlineStr">
        <is>
          <t>NORRTÄLJE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23755-2024</t>
        </is>
      </c>
      <c r="B1656" s="1" t="n">
        <v>45455</v>
      </c>
      <c r="C1656" s="1" t="n">
        <v>45684</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23998-2024</t>
        </is>
      </c>
      <c r="B1657" s="1" t="n">
        <v>45456</v>
      </c>
      <c r="C1657" s="1" t="n">
        <v>45684</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24027-2024</t>
        </is>
      </c>
      <c r="B1658" s="1" t="n">
        <v>45456</v>
      </c>
      <c r="C1658" s="1" t="n">
        <v>45684</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24024-2024</t>
        </is>
      </c>
      <c r="B1659" s="1" t="n">
        <v>45456</v>
      </c>
      <c r="C1659" s="1" t="n">
        <v>45684</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23991-2024</t>
        </is>
      </c>
      <c r="B1660" s="1" t="n">
        <v>45456</v>
      </c>
      <c r="C1660" s="1" t="n">
        <v>45684</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24021-2024</t>
        </is>
      </c>
      <c r="B1661" s="1" t="n">
        <v>45456</v>
      </c>
      <c r="C1661" s="1" t="n">
        <v>45684</v>
      </c>
      <c r="D1661" t="inlineStr">
        <is>
          <t>STOCKHOLMS LÄN</t>
        </is>
      </c>
      <c r="E1661" t="inlineStr">
        <is>
          <t>NORRTÄLJE</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24022-2024</t>
        </is>
      </c>
      <c r="B1662" s="1" t="n">
        <v>45456</v>
      </c>
      <c r="C1662" s="1" t="n">
        <v>45684</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24245-2024</t>
        </is>
      </c>
      <c r="B1663" s="1" t="n">
        <v>45457</v>
      </c>
      <c r="C1663" s="1" t="n">
        <v>45684</v>
      </c>
      <c r="D1663" t="inlineStr">
        <is>
          <t>STOCKHOLMS LÄN</t>
        </is>
      </c>
      <c r="E1663" t="inlineStr">
        <is>
          <t>NORRTÄLJE</t>
        </is>
      </c>
      <c r="F1663" t="inlineStr">
        <is>
          <t>Holmen skog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24357-2024</t>
        </is>
      </c>
      <c r="B1664" s="1" t="n">
        <v>45457</v>
      </c>
      <c r="C1664" s="1" t="n">
        <v>45684</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24731-2024</t>
        </is>
      </c>
      <c r="B1665" s="1" t="n">
        <v>45460</v>
      </c>
      <c r="C1665" s="1" t="n">
        <v>45684</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24575-2024</t>
        </is>
      </c>
      <c r="B1666" s="1" t="n">
        <v>45460</v>
      </c>
      <c r="C1666" s="1" t="n">
        <v>45684</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24563-2024</t>
        </is>
      </c>
      <c r="B1667" s="1" t="n">
        <v>45460</v>
      </c>
      <c r="C1667" s="1" t="n">
        <v>45684</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24610-2024</t>
        </is>
      </c>
      <c r="B1668" s="1" t="n">
        <v>45460</v>
      </c>
      <c r="C1668" s="1" t="n">
        <v>45684</v>
      </c>
      <c r="D1668" t="inlineStr">
        <is>
          <t>STOCKHOLMS LÄN</t>
        </is>
      </c>
      <c r="E1668" t="inlineStr">
        <is>
          <t>NORRTÄLJE</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24730-2024</t>
        </is>
      </c>
      <c r="B1669" s="1" t="n">
        <v>45460</v>
      </c>
      <c r="C1669" s="1" t="n">
        <v>45684</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25301-2024</t>
        </is>
      </c>
      <c r="B1670" s="1" t="n">
        <v>45462</v>
      </c>
      <c r="C1670" s="1" t="n">
        <v>45684</v>
      </c>
      <c r="D1670" t="inlineStr">
        <is>
          <t>STOCKHOLMS LÄN</t>
        </is>
      </c>
      <c r="E1670" t="inlineStr">
        <is>
          <t>NORRTÄLJE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25055-2024</t>
        </is>
      </c>
      <c r="B1671" s="1" t="n">
        <v>45462</v>
      </c>
      <c r="C1671" s="1" t="n">
        <v>45684</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25565-2024</t>
        </is>
      </c>
      <c r="B1672" s="1" t="n">
        <v>45463</v>
      </c>
      <c r="C1672" s="1" t="n">
        <v>45684</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v>
      </c>
      <c r="C1673" s="1" t="n">
        <v>45684</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25817-2024</t>
        </is>
      </c>
      <c r="B1674" s="1" t="n">
        <v>45467</v>
      </c>
      <c r="C1674" s="1" t="n">
        <v>45684</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26116-2024</t>
        </is>
      </c>
      <c r="B1675" s="1" t="n">
        <v>45468</v>
      </c>
      <c r="C1675" s="1" t="n">
        <v>45684</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26115-2024</t>
        </is>
      </c>
      <c r="B1676" s="1" t="n">
        <v>45468</v>
      </c>
      <c r="C1676" s="1" t="n">
        <v>45684</v>
      </c>
      <c r="D1676" t="inlineStr">
        <is>
          <t>STOCKHOLMS LÄN</t>
        </is>
      </c>
      <c r="E1676" t="inlineStr">
        <is>
          <t>NORRTÄLJE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26067-2024</t>
        </is>
      </c>
      <c r="B1677" s="1" t="n">
        <v>45468</v>
      </c>
      <c r="C1677" s="1" t="n">
        <v>45684</v>
      </c>
      <c r="D1677" t="inlineStr">
        <is>
          <t>STOCKHOLMS LÄN</t>
        </is>
      </c>
      <c r="E1677" t="inlineStr">
        <is>
          <t>NORRTÄLJE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26117-2024</t>
        </is>
      </c>
      <c r="B1678" s="1" t="n">
        <v>45468</v>
      </c>
      <c r="C1678" s="1" t="n">
        <v>45684</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26113-2024</t>
        </is>
      </c>
      <c r="B1679" s="1" t="n">
        <v>45468</v>
      </c>
      <c r="C1679" s="1" t="n">
        <v>45684</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26090-2024</t>
        </is>
      </c>
      <c r="B1680" s="1" t="n">
        <v>45468</v>
      </c>
      <c r="C1680" s="1" t="n">
        <v>45684</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26355-2024</t>
        </is>
      </c>
      <c r="B1681" s="1" t="n">
        <v>45469</v>
      </c>
      <c r="C1681" s="1" t="n">
        <v>45684</v>
      </c>
      <c r="D1681" t="inlineStr">
        <is>
          <t>STOCKHOLMS LÄN</t>
        </is>
      </c>
      <c r="E1681" t="inlineStr">
        <is>
          <t>NORRTÄLJE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26359-2024</t>
        </is>
      </c>
      <c r="B1682" s="1" t="n">
        <v>45469</v>
      </c>
      <c r="C1682" s="1" t="n">
        <v>45684</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26365-2024</t>
        </is>
      </c>
      <c r="B1683" s="1" t="n">
        <v>45469</v>
      </c>
      <c r="C1683" s="1" t="n">
        <v>45684</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26526-2024</t>
        </is>
      </c>
      <c r="B1684" s="1" t="n">
        <v>45469</v>
      </c>
      <c r="C1684" s="1" t="n">
        <v>45684</v>
      </c>
      <c r="D1684" t="inlineStr">
        <is>
          <t>STOCKHOLMS LÄN</t>
        </is>
      </c>
      <c r="E1684" t="inlineStr">
        <is>
          <t>NORRTÄLJE</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26407-2024</t>
        </is>
      </c>
      <c r="B1685" s="1" t="n">
        <v>45469</v>
      </c>
      <c r="C1685" s="1" t="n">
        <v>45684</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26600-2024</t>
        </is>
      </c>
      <c r="B1686" s="1" t="n">
        <v>45469</v>
      </c>
      <c r="C1686" s="1" t="n">
        <v>45684</v>
      </c>
      <c r="D1686" t="inlineStr">
        <is>
          <t>STOCKHOLMS LÄN</t>
        </is>
      </c>
      <c r="E1686" t="inlineStr">
        <is>
          <t>NORRTÄLJE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26612-2024</t>
        </is>
      </c>
      <c r="B1687" s="1" t="n">
        <v>45469</v>
      </c>
      <c r="C1687" s="1" t="n">
        <v>45684</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26644-2024</t>
        </is>
      </c>
      <c r="B1688" s="1" t="n">
        <v>45469</v>
      </c>
      <c r="C1688" s="1" t="n">
        <v>45684</v>
      </c>
      <c r="D1688" t="inlineStr">
        <is>
          <t>STOCKHOLMS LÄN</t>
        </is>
      </c>
      <c r="E1688" t="inlineStr">
        <is>
          <t>NORRTÄLJE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45684</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26698-2024</t>
        </is>
      </c>
      <c r="B1690" s="1" t="n">
        <v>45470</v>
      </c>
      <c r="C1690" s="1" t="n">
        <v>45684</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27059-2024</t>
        </is>
      </c>
      <c r="B1691" s="1" t="n">
        <v>45471</v>
      </c>
      <c r="C1691" s="1" t="n">
        <v>45684</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27248-2024</t>
        </is>
      </c>
      <c r="B1692" s="1" t="n">
        <v>45471</v>
      </c>
      <c r="C1692" s="1" t="n">
        <v>45684</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27381-2024</t>
        </is>
      </c>
      <c r="B1693" s="1" t="n">
        <v>45474</v>
      </c>
      <c r="C1693" s="1" t="n">
        <v>45684</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27831-2024</t>
        </is>
      </c>
      <c r="B1694" s="1" t="n">
        <v>45475</v>
      </c>
      <c r="C1694" s="1" t="n">
        <v>45684</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28190-2024</t>
        </is>
      </c>
      <c r="B1695" s="1" t="n">
        <v>45477</v>
      </c>
      <c r="C1695" s="1" t="n">
        <v>45684</v>
      </c>
      <c r="D1695" t="inlineStr">
        <is>
          <t>STOCKHOLMS LÄN</t>
        </is>
      </c>
      <c r="E1695" t="inlineStr">
        <is>
          <t>NORRTÄLJE</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28245-2024</t>
        </is>
      </c>
      <c r="B1696" s="1" t="n">
        <v>45477</v>
      </c>
      <c r="C1696" s="1" t="n">
        <v>45684</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28200-2024</t>
        </is>
      </c>
      <c r="B1697" s="1" t="n">
        <v>45477</v>
      </c>
      <c r="C1697" s="1" t="n">
        <v>45684</v>
      </c>
      <c r="D1697" t="inlineStr">
        <is>
          <t>STOCKHOLMS LÄN</t>
        </is>
      </c>
      <c r="E1697" t="inlineStr">
        <is>
          <t>NORRTÄLJE</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28603-2024</t>
        </is>
      </c>
      <c r="B1698" s="1" t="n">
        <v>45478</v>
      </c>
      <c r="C1698" s="1" t="n">
        <v>45684</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28764-2024</t>
        </is>
      </c>
      <c r="B1699" s="1" t="n">
        <v>45478</v>
      </c>
      <c r="C1699" s="1" t="n">
        <v>45684</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29210-2024</t>
        </is>
      </c>
      <c r="B1700" s="1" t="n">
        <v>45482</v>
      </c>
      <c r="C1700" s="1" t="n">
        <v>45684</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29176-2024</t>
        </is>
      </c>
      <c r="B1701" s="1" t="n">
        <v>45482</v>
      </c>
      <c r="C1701" s="1" t="n">
        <v>45684</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v>
      </c>
      <c r="C1702" s="1" t="n">
        <v>45684</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29419-2024</t>
        </is>
      </c>
      <c r="B1703" s="1" t="n">
        <v>45483</v>
      </c>
      <c r="C1703" s="1" t="n">
        <v>45684</v>
      </c>
      <c r="D1703" t="inlineStr">
        <is>
          <t>STOCKHOLMS LÄN</t>
        </is>
      </c>
      <c r="E1703" t="inlineStr">
        <is>
          <t>NORRTÄLJE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29504-2024</t>
        </is>
      </c>
      <c r="B1704" s="1" t="n">
        <v>45484</v>
      </c>
      <c r="C1704" s="1" t="n">
        <v>45684</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29589-2024</t>
        </is>
      </c>
      <c r="B1705" s="1" t="n">
        <v>45484</v>
      </c>
      <c r="C1705" s="1" t="n">
        <v>45684</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29583-2024</t>
        </is>
      </c>
      <c r="B1706" s="1" t="n">
        <v>45484</v>
      </c>
      <c r="C1706" s="1" t="n">
        <v>45684</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29578-2024</t>
        </is>
      </c>
      <c r="B1707" s="1" t="n">
        <v>45484</v>
      </c>
      <c r="C1707" s="1" t="n">
        <v>45684</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29505-2024</t>
        </is>
      </c>
      <c r="B1708" s="1" t="n">
        <v>45484</v>
      </c>
      <c r="C1708" s="1" t="n">
        <v>45684</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29972-2024</t>
        </is>
      </c>
      <c r="B1709" s="1" t="n">
        <v>45485</v>
      </c>
      <c r="C1709" s="1" t="n">
        <v>45684</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v>
      </c>
      <c r="C1710" s="1" t="n">
        <v>45684</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30108-2024</t>
        </is>
      </c>
      <c r="B1711" s="1" t="n">
        <v>45487</v>
      </c>
      <c r="C1711" s="1" t="n">
        <v>45684</v>
      </c>
      <c r="D1711" t="inlineStr">
        <is>
          <t>STOCKHOLMS LÄN</t>
        </is>
      </c>
      <c r="E1711" t="inlineStr">
        <is>
          <t>NORRTÄLJE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30033-2024</t>
        </is>
      </c>
      <c r="B1712" s="1" t="n">
        <v>45488</v>
      </c>
      <c r="C1712" s="1" t="n">
        <v>45684</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29994-2024</t>
        </is>
      </c>
      <c r="B1713" s="1" t="n">
        <v>45488</v>
      </c>
      <c r="C1713" s="1" t="n">
        <v>45684</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30096-2024</t>
        </is>
      </c>
      <c r="B1714" s="1" t="n">
        <v>45489</v>
      </c>
      <c r="C1714" s="1" t="n">
        <v>45684</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30221-2024</t>
        </is>
      </c>
      <c r="B1715" s="1" t="n">
        <v>45490</v>
      </c>
      <c r="C1715" s="1" t="n">
        <v>45684</v>
      </c>
      <c r="D1715" t="inlineStr">
        <is>
          <t>STOCKHOLMS LÄN</t>
        </is>
      </c>
      <c r="E1715" t="inlineStr">
        <is>
          <t>NORRTÄLJE</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30268-2024</t>
        </is>
      </c>
      <c r="B1716" s="1" t="n">
        <v>45490</v>
      </c>
      <c r="C1716" s="1" t="n">
        <v>45684</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30323-2024</t>
        </is>
      </c>
      <c r="B1717" s="1" t="n">
        <v>45490</v>
      </c>
      <c r="C1717" s="1" t="n">
        <v>45684</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30396-2024</t>
        </is>
      </c>
      <c r="B1718" s="1" t="n">
        <v>45491</v>
      </c>
      <c r="C1718" s="1" t="n">
        <v>45684</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30553-2024</t>
        </is>
      </c>
      <c r="B1719" s="1" t="n">
        <v>45492</v>
      </c>
      <c r="C1719" s="1" t="n">
        <v>45684</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30666-2024</t>
        </is>
      </c>
      <c r="B1720" s="1" t="n">
        <v>45495</v>
      </c>
      <c r="C1720" s="1" t="n">
        <v>45684</v>
      </c>
      <c r="D1720" t="inlineStr">
        <is>
          <t>STOCKHOLMS LÄN</t>
        </is>
      </c>
      <c r="E1720" t="inlineStr">
        <is>
          <t>NORRTÄLJE</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30963-2024</t>
        </is>
      </c>
      <c r="B1721" s="1" t="n">
        <v>45499</v>
      </c>
      <c r="C1721" s="1" t="n">
        <v>45684</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30995-2024</t>
        </is>
      </c>
      <c r="B1722" s="1" t="n">
        <v>45499</v>
      </c>
      <c r="C1722" s="1" t="n">
        <v>45684</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31027-2024</t>
        </is>
      </c>
      <c r="B1723" s="1" t="n">
        <v>45501</v>
      </c>
      <c r="C1723" s="1" t="n">
        <v>45684</v>
      </c>
      <c r="D1723" t="inlineStr">
        <is>
          <t>STOCKHOLMS LÄN</t>
        </is>
      </c>
      <c r="E1723" t="inlineStr">
        <is>
          <t>NORRTÄLJE</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31228-2024</t>
        </is>
      </c>
      <c r="B1724" s="1" t="n">
        <v>45503</v>
      </c>
      <c r="C1724" s="1" t="n">
        <v>45684</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31232-2024</t>
        </is>
      </c>
      <c r="B1725" s="1" t="n">
        <v>45503</v>
      </c>
      <c r="C1725" s="1" t="n">
        <v>45684</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31343-2024</t>
        </is>
      </c>
      <c r="B1726" s="1" t="n">
        <v>45504</v>
      </c>
      <c r="C1726" s="1" t="n">
        <v>45684</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31311-2024</t>
        </is>
      </c>
      <c r="B1727" s="1" t="n">
        <v>45504</v>
      </c>
      <c r="C1727" s="1" t="n">
        <v>45684</v>
      </c>
      <c r="D1727" t="inlineStr">
        <is>
          <t>STOCKHOLMS LÄN</t>
        </is>
      </c>
      <c r="E1727" t="inlineStr">
        <is>
          <t>NORRTÄLJE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31279-2024</t>
        </is>
      </c>
      <c r="B1728" s="1" t="n">
        <v>45504</v>
      </c>
      <c r="C1728" s="1" t="n">
        <v>45684</v>
      </c>
      <c r="D1728" t="inlineStr">
        <is>
          <t>STOCKHOLMS LÄN</t>
        </is>
      </c>
      <c r="E1728" t="inlineStr">
        <is>
          <t>NORRTÄLJE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32874-2024</t>
        </is>
      </c>
      <c r="B1729" s="1" t="n">
        <v>45516</v>
      </c>
      <c r="C1729" s="1" t="n">
        <v>45684</v>
      </c>
      <c r="D1729" t="inlineStr">
        <is>
          <t>STOCKHOLMS LÄN</t>
        </is>
      </c>
      <c r="E1729" t="inlineStr">
        <is>
          <t>NORRTÄLJE</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32706-2024</t>
        </is>
      </c>
      <c r="B1730" s="1" t="n">
        <v>45516</v>
      </c>
      <c r="C1730" s="1" t="n">
        <v>45684</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33173-2024</t>
        </is>
      </c>
      <c r="B1731" s="1" t="n">
        <v>45518</v>
      </c>
      <c r="C1731" s="1" t="n">
        <v>45684</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33226-2024</t>
        </is>
      </c>
      <c r="B1732" s="1" t="n">
        <v>45518</v>
      </c>
      <c r="C1732" s="1" t="n">
        <v>45684</v>
      </c>
      <c r="D1732" t="inlineStr">
        <is>
          <t>STOCKHOLMS LÄN</t>
        </is>
      </c>
      <c r="E1732" t="inlineStr">
        <is>
          <t>NORRTÄLJE</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33175-2024</t>
        </is>
      </c>
      <c r="B1733" s="1" t="n">
        <v>45518</v>
      </c>
      <c r="C1733" s="1" t="n">
        <v>45684</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33385-2024</t>
        </is>
      </c>
      <c r="B1734" s="1" t="n">
        <v>45519</v>
      </c>
      <c r="C1734" s="1" t="n">
        <v>45684</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33592-2024</t>
        </is>
      </c>
      <c r="B1735" s="1" t="n">
        <v>45520</v>
      </c>
      <c r="C1735" s="1" t="n">
        <v>45684</v>
      </c>
      <c r="D1735" t="inlineStr">
        <is>
          <t>STOCKHOLMS LÄN</t>
        </is>
      </c>
      <c r="E1735" t="inlineStr">
        <is>
          <t>NORRTÄLJE</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33878-2024</t>
        </is>
      </c>
      <c r="B1736" s="1" t="n">
        <v>45522</v>
      </c>
      <c r="C1736" s="1" t="n">
        <v>45684</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34295-2024</t>
        </is>
      </c>
      <c r="B1737" s="1" t="n">
        <v>45524</v>
      </c>
      <c r="C1737" s="1" t="n">
        <v>45684</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34444-2024</t>
        </is>
      </c>
      <c r="B1738" s="1" t="n">
        <v>45525</v>
      </c>
      <c r="C1738" s="1" t="n">
        <v>45684</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34547-2024</t>
        </is>
      </c>
      <c r="B1739" s="1" t="n">
        <v>45525</v>
      </c>
      <c r="C1739" s="1" t="n">
        <v>45684</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34583-2024</t>
        </is>
      </c>
      <c r="B1740" s="1" t="n">
        <v>45526</v>
      </c>
      <c r="C1740" s="1" t="n">
        <v>45684</v>
      </c>
      <c r="D1740" t="inlineStr">
        <is>
          <t>STOCKHOLMS LÄN</t>
        </is>
      </c>
      <c r="E1740" t="inlineStr">
        <is>
          <t>NORRTÄLJE</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35239-2024</t>
        </is>
      </c>
      <c r="B1741" s="1" t="n">
        <v>45530</v>
      </c>
      <c r="C1741" s="1" t="n">
        <v>45684</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35235-2024</t>
        </is>
      </c>
      <c r="B1742" s="1" t="n">
        <v>45530</v>
      </c>
      <c r="C1742" s="1" t="n">
        <v>45684</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35532-2024</t>
        </is>
      </c>
      <c r="B1743" s="1" t="n">
        <v>45531</v>
      </c>
      <c r="C1743" s="1" t="n">
        <v>45684</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35467-2024</t>
        </is>
      </c>
      <c r="B1744" s="1" t="n">
        <v>45531</v>
      </c>
      <c r="C1744" s="1" t="n">
        <v>45684</v>
      </c>
      <c r="D1744" t="inlineStr">
        <is>
          <t>STOCKHOLMS LÄN</t>
        </is>
      </c>
      <c r="E1744" t="inlineStr">
        <is>
          <t>NORRTÄLJE</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35640-2024</t>
        </is>
      </c>
      <c r="B1745" s="1" t="n">
        <v>45531</v>
      </c>
      <c r="C1745" s="1" t="n">
        <v>45684</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35719-2024</t>
        </is>
      </c>
      <c r="B1746" s="1" t="n">
        <v>45532</v>
      </c>
      <c r="C1746" s="1" t="n">
        <v>45684</v>
      </c>
      <c r="D1746" t="inlineStr">
        <is>
          <t>STOCKHOLMS LÄN</t>
        </is>
      </c>
      <c r="E1746" t="inlineStr">
        <is>
          <t>NORRTÄLJE</t>
        </is>
      </c>
      <c r="F1746" t="inlineStr">
        <is>
          <t>Holmen skog AB</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35782-2024</t>
        </is>
      </c>
      <c r="B1747" s="1" t="n">
        <v>45532</v>
      </c>
      <c r="C1747" s="1" t="n">
        <v>45684</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35647-2024</t>
        </is>
      </c>
      <c r="B1748" s="1" t="n">
        <v>45532</v>
      </c>
      <c r="C1748" s="1" t="n">
        <v>45684</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35916-2024</t>
        </is>
      </c>
      <c r="B1749" s="1" t="n">
        <v>45533</v>
      </c>
      <c r="C1749" s="1" t="n">
        <v>45684</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36157-2024</t>
        </is>
      </c>
      <c r="B1750" s="1" t="n">
        <v>45534</v>
      </c>
      <c r="C1750" s="1" t="n">
        <v>45684</v>
      </c>
      <c r="D1750" t="inlineStr">
        <is>
          <t>STOCKHOLMS LÄN</t>
        </is>
      </c>
      <c r="E1750" t="inlineStr">
        <is>
          <t>NORRTÄLJE</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36430-2024</t>
        </is>
      </c>
      <c r="B1751" s="1" t="n">
        <v>45536</v>
      </c>
      <c r="C1751" s="1" t="n">
        <v>45684</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36556-2024</t>
        </is>
      </c>
      <c r="B1752" s="1" t="n">
        <v>45537</v>
      </c>
      <c r="C1752" s="1" t="n">
        <v>45684</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36625-2024</t>
        </is>
      </c>
      <c r="B1753" s="1" t="n">
        <v>45537</v>
      </c>
      <c r="C1753" s="1" t="n">
        <v>45684</v>
      </c>
      <c r="D1753" t="inlineStr">
        <is>
          <t>STOCKHOLMS LÄN</t>
        </is>
      </c>
      <c r="E1753" t="inlineStr">
        <is>
          <t>NORRTÄLJE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37273-2024</t>
        </is>
      </c>
      <c r="B1754" s="1" t="n">
        <v>45540</v>
      </c>
      <c r="C1754" s="1" t="n">
        <v>45684</v>
      </c>
      <c r="D1754" t="inlineStr">
        <is>
          <t>STOCKHOLMS LÄN</t>
        </is>
      </c>
      <c r="E1754" t="inlineStr">
        <is>
          <t>NORRTÄLJE</t>
        </is>
      </c>
      <c r="F1754" t="inlineStr">
        <is>
          <t>Sveaskog</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37663-2024</t>
        </is>
      </c>
      <c r="B1755" s="1" t="n">
        <v>45541</v>
      </c>
      <c r="C1755" s="1" t="n">
        <v>45684</v>
      </c>
      <c r="D1755" t="inlineStr">
        <is>
          <t>STOCKHOLMS LÄN</t>
        </is>
      </c>
      <c r="E1755" t="inlineStr">
        <is>
          <t>NORRTÄLJE</t>
        </is>
      </c>
      <c r="F1755" t="inlineStr">
        <is>
          <t>Holmen skog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37684-2024</t>
        </is>
      </c>
      <c r="B1756" s="1" t="n">
        <v>45541</v>
      </c>
      <c r="C1756" s="1" t="n">
        <v>45684</v>
      </c>
      <c r="D1756" t="inlineStr">
        <is>
          <t>STOCKHOLMS LÄN</t>
        </is>
      </c>
      <c r="E1756" t="inlineStr">
        <is>
          <t>NORRTÄLJE</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37980-2024</t>
        </is>
      </c>
      <c r="B1757" s="1" t="n">
        <v>45544</v>
      </c>
      <c r="C1757" s="1" t="n">
        <v>45684</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38073-2024</t>
        </is>
      </c>
      <c r="B1758" s="1" t="n">
        <v>45544</v>
      </c>
      <c r="C1758" s="1" t="n">
        <v>45684</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38878-2024</t>
        </is>
      </c>
      <c r="B1759" s="1" t="n">
        <v>45547</v>
      </c>
      <c r="C1759" s="1" t="n">
        <v>45684</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38889-2024</t>
        </is>
      </c>
      <c r="B1760" s="1" t="n">
        <v>45547</v>
      </c>
      <c r="C1760" s="1" t="n">
        <v>45684</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39203-2024</t>
        </is>
      </c>
      <c r="B1761" s="1" t="n">
        <v>45548</v>
      </c>
      <c r="C1761" s="1" t="n">
        <v>45684</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39202-2024</t>
        </is>
      </c>
      <c r="B1762" s="1" t="n">
        <v>45548</v>
      </c>
      <c r="C1762" s="1" t="n">
        <v>45684</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39238-2024</t>
        </is>
      </c>
      <c r="B1763" s="1" t="n">
        <v>45549</v>
      </c>
      <c r="C1763" s="1" t="n">
        <v>45684</v>
      </c>
      <c r="D1763" t="inlineStr">
        <is>
          <t>STOCKHOLMS LÄN</t>
        </is>
      </c>
      <c r="E1763" t="inlineStr">
        <is>
          <t>NORRTÄLJE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39237-2024</t>
        </is>
      </c>
      <c r="B1764" s="1" t="n">
        <v>45549</v>
      </c>
      <c r="C1764" s="1" t="n">
        <v>45684</v>
      </c>
      <c r="D1764" t="inlineStr">
        <is>
          <t>STOCKHOLMS LÄN</t>
        </is>
      </c>
      <c r="E1764" t="inlineStr">
        <is>
          <t>NORRTÄLJE</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39669-2024</t>
        </is>
      </c>
      <c r="B1765" s="1" t="n">
        <v>45552</v>
      </c>
      <c r="C1765" s="1" t="n">
        <v>45684</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39667-2024</t>
        </is>
      </c>
      <c r="B1766" s="1" t="n">
        <v>45552</v>
      </c>
      <c r="C1766" s="1" t="n">
        <v>45684</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39913-2024</t>
        </is>
      </c>
      <c r="B1767" s="1" t="n">
        <v>45553</v>
      </c>
      <c r="C1767" s="1" t="n">
        <v>45684</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40175-2024</t>
        </is>
      </c>
      <c r="B1768" s="1" t="n">
        <v>45554</v>
      </c>
      <c r="C1768" s="1" t="n">
        <v>45684</v>
      </c>
      <c r="D1768" t="inlineStr">
        <is>
          <t>STOCKHOLMS LÄN</t>
        </is>
      </c>
      <c r="E1768" t="inlineStr">
        <is>
          <t>NORRTÄLJE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40761-2024</t>
        </is>
      </c>
      <c r="B1769" s="1" t="n">
        <v>45558</v>
      </c>
      <c r="C1769" s="1" t="n">
        <v>45684</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41219-2024</t>
        </is>
      </c>
      <c r="B1770" s="1" t="n">
        <v>45559</v>
      </c>
      <c r="C1770" s="1" t="n">
        <v>45684</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41218-2024</t>
        </is>
      </c>
      <c r="B1771" s="1" t="n">
        <v>45559</v>
      </c>
      <c r="C1771" s="1" t="n">
        <v>45684</v>
      </c>
      <c r="D1771" t="inlineStr">
        <is>
          <t>STOCKHOLMS LÄN</t>
        </is>
      </c>
      <c r="E1771" t="inlineStr">
        <is>
          <t>NORRTÄLJE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41243-2024</t>
        </is>
      </c>
      <c r="B1772" s="1" t="n">
        <v>45559</v>
      </c>
      <c r="C1772" s="1" t="n">
        <v>45684</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41253-2024</t>
        </is>
      </c>
      <c r="B1773" s="1" t="n">
        <v>45559</v>
      </c>
      <c r="C1773" s="1" t="n">
        <v>45684</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41310-2024</t>
        </is>
      </c>
      <c r="B1774" s="1" t="n">
        <v>45559</v>
      </c>
      <c r="C1774" s="1" t="n">
        <v>45684</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41342-2024</t>
        </is>
      </c>
      <c r="B1775" s="1" t="n">
        <v>45559</v>
      </c>
      <c r="C1775" s="1" t="n">
        <v>45684</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41976-2024</t>
        </is>
      </c>
      <c r="B1776" s="1" t="n">
        <v>45561</v>
      </c>
      <c r="C1776" s="1" t="n">
        <v>45684</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44032-2024</t>
        </is>
      </c>
      <c r="B1777" s="1" t="n">
        <v>45572</v>
      </c>
      <c r="C1777" s="1" t="n">
        <v>45684</v>
      </c>
      <c r="D1777" t="inlineStr">
        <is>
          <t>STOCKHOLMS LÄN</t>
        </is>
      </c>
      <c r="E1777" t="inlineStr">
        <is>
          <t>NORRTÄLJE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44776-2024</t>
        </is>
      </c>
      <c r="B1778" s="1" t="n">
        <v>45574</v>
      </c>
      <c r="C1778" s="1" t="n">
        <v>45684</v>
      </c>
      <c r="D1778" t="inlineStr">
        <is>
          <t>STOCKHOLMS LÄN</t>
        </is>
      </c>
      <c r="E1778" t="inlineStr">
        <is>
          <t>NORRTÄLJE</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44821-2024</t>
        </is>
      </c>
      <c r="B1779" s="1" t="n">
        <v>45574</v>
      </c>
      <c r="C1779" s="1" t="n">
        <v>45684</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45220-2024</t>
        </is>
      </c>
      <c r="B1780" s="1" t="n">
        <v>45575</v>
      </c>
      <c r="C1780" s="1" t="n">
        <v>45684</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45254-2024</t>
        </is>
      </c>
      <c r="B1781" s="1" t="n">
        <v>45576</v>
      </c>
      <c r="C1781" s="1" t="n">
        <v>45684</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45684</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45247-2024</t>
        </is>
      </c>
      <c r="B1783" s="1" t="n">
        <v>45576</v>
      </c>
      <c r="C1783" s="1" t="n">
        <v>45684</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45739-2024</t>
        </is>
      </c>
      <c r="B1784" s="1" t="n">
        <v>45579</v>
      </c>
      <c r="C1784" s="1" t="n">
        <v>45684</v>
      </c>
      <c r="D1784" t="inlineStr">
        <is>
          <t>STOCKHOLMS LÄN</t>
        </is>
      </c>
      <c r="E1784" t="inlineStr">
        <is>
          <t>NORRTÄLJE</t>
        </is>
      </c>
      <c r="G1784" t="n">
        <v>21.9</v>
      </c>
      <c r="H1784" t="n">
        <v>0</v>
      </c>
      <c r="I1784" t="n">
        <v>0</v>
      </c>
      <c r="J1784" t="n">
        <v>0</v>
      </c>
      <c r="K1784" t="n">
        <v>0</v>
      </c>
      <c r="L1784" t="n">
        <v>0</v>
      </c>
      <c r="M1784" t="n">
        <v>0</v>
      </c>
      <c r="N1784" t="n">
        <v>0</v>
      </c>
      <c r="O1784" t="n">
        <v>0</v>
      </c>
      <c r="P1784" t="n">
        <v>0</v>
      </c>
      <c r="Q1784" t="n">
        <v>0</v>
      </c>
      <c r="R1784" s="2" t="inlineStr"/>
    </row>
    <row r="1785" ht="15" customHeight="1">
      <c r="A1785" t="inlineStr">
        <is>
          <t>A 45746-2024</t>
        </is>
      </c>
      <c r="B1785" s="1" t="n">
        <v>45579</v>
      </c>
      <c r="C1785" s="1" t="n">
        <v>45684</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46073-2024</t>
        </is>
      </c>
      <c r="B1786" s="1" t="n">
        <v>45581</v>
      </c>
      <c r="C1786" s="1" t="n">
        <v>45684</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46326-2024</t>
        </is>
      </c>
      <c r="B1787" s="1" t="n">
        <v>45581</v>
      </c>
      <c r="C1787" s="1" t="n">
        <v>45684</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46071-2024</t>
        </is>
      </c>
      <c r="B1788" s="1" t="n">
        <v>45581</v>
      </c>
      <c r="C1788" s="1" t="n">
        <v>45684</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46333-2024</t>
        </is>
      </c>
      <c r="B1789" s="1" t="n">
        <v>45581</v>
      </c>
      <c r="C1789" s="1" t="n">
        <v>45684</v>
      </c>
      <c r="D1789" t="inlineStr">
        <is>
          <t>STOCKHOLMS LÄN</t>
        </is>
      </c>
      <c r="E1789" t="inlineStr">
        <is>
          <t>NORRTÄLJE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46448-2024</t>
        </is>
      </c>
      <c r="B1790" s="1" t="n">
        <v>45582</v>
      </c>
      <c r="C1790" s="1" t="n">
        <v>45684</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46988-2024</t>
        </is>
      </c>
      <c r="B1791" s="1" t="n">
        <v>45586</v>
      </c>
      <c r="C1791" s="1" t="n">
        <v>45684</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47257-2024</t>
        </is>
      </c>
      <c r="B1792" s="1" t="n">
        <v>45586</v>
      </c>
      <c r="C1792" s="1" t="n">
        <v>45684</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47259-2024</t>
        </is>
      </c>
      <c r="B1793" s="1" t="n">
        <v>45586</v>
      </c>
      <c r="C1793" s="1" t="n">
        <v>45684</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47521-2024</t>
        </is>
      </c>
      <c r="B1794" s="1" t="n">
        <v>45587</v>
      </c>
      <c r="C1794" s="1" t="n">
        <v>45684</v>
      </c>
      <c r="D1794" t="inlineStr">
        <is>
          <t>STOCKHOLMS LÄN</t>
        </is>
      </c>
      <c r="E1794" t="inlineStr">
        <is>
          <t>NORRTÄLJE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47481-2024</t>
        </is>
      </c>
      <c r="B1795" s="1" t="n">
        <v>45587</v>
      </c>
      <c r="C1795" s="1" t="n">
        <v>45684</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48145-2024</t>
        </is>
      </c>
      <c r="B1796" s="1" t="n">
        <v>45589</v>
      </c>
      <c r="C1796" s="1" t="n">
        <v>45684</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v>
      </c>
      <c r="C1797" s="1" t="n">
        <v>45684</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48564-2024</t>
        </is>
      </c>
      <c r="B1798" s="1" t="n">
        <v>45593</v>
      </c>
      <c r="C1798" s="1" t="n">
        <v>45684</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48548-2024</t>
        </is>
      </c>
      <c r="B1799" s="1" t="n">
        <v>45593</v>
      </c>
      <c r="C1799" s="1" t="n">
        <v>45684</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48852-2024</t>
        </is>
      </c>
      <c r="B1800" s="1" t="n">
        <v>45593</v>
      </c>
      <c r="C1800" s="1" t="n">
        <v>45684</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48850-2024</t>
        </is>
      </c>
      <c r="B1801" s="1" t="n">
        <v>45593</v>
      </c>
      <c r="C1801" s="1" t="n">
        <v>45684</v>
      </c>
      <c r="D1801" t="inlineStr">
        <is>
          <t>STOCKHOLMS LÄN</t>
        </is>
      </c>
      <c r="E1801" t="inlineStr">
        <is>
          <t>NORRTÄLJE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48851-2024</t>
        </is>
      </c>
      <c r="B1802" s="1" t="n">
        <v>45593</v>
      </c>
      <c r="C1802" s="1" t="n">
        <v>45684</v>
      </c>
      <c r="D1802" t="inlineStr">
        <is>
          <t>STOCKHOLMS LÄN</t>
        </is>
      </c>
      <c r="E1802" t="inlineStr">
        <is>
          <t>NORRTÄLJE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49949-2024</t>
        </is>
      </c>
      <c r="B1803" s="1" t="n">
        <v>45597</v>
      </c>
      <c r="C1803" s="1" t="n">
        <v>45684</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50113-2024</t>
        </is>
      </c>
      <c r="B1804" s="1" t="n">
        <v>45600</v>
      </c>
      <c r="C1804" s="1" t="n">
        <v>45684</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50355-2024</t>
        </is>
      </c>
      <c r="B1805" s="1" t="n">
        <v>45600</v>
      </c>
      <c r="C1805" s="1" t="n">
        <v>45684</v>
      </c>
      <c r="D1805" t="inlineStr">
        <is>
          <t>STOCKHOLMS LÄN</t>
        </is>
      </c>
      <c r="E1805" t="inlineStr">
        <is>
          <t>NORRTÄLJE</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v>
      </c>
      <c r="C1806" s="1" t="n">
        <v>45684</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50182-2024</t>
        </is>
      </c>
      <c r="B1807" s="1" t="n">
        <v>45600</v>
      </c>
      <c r="C1807" s="1" t="n">
        <v>45684</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50534-2024</t>
        </is>
      </c>
      <c r="B1808" s="1" t="n">
        <v>45601</v>
      </c>
      <c r="C1808" s="1" t="n">
        <v>45684</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52287-2024</t>
        </is>
      </c>
      <c r="B1809" s="1" t="n">
        <v>45608</v>
      </c>
      <c r="C1809" s="1" t="n">
        <v>45684</v>
      </c>
      <c r="D1809" t="inlineStr">
        <is>
          <t>STOCKHOLMS LÄN</t>
        </is>
      </c>
      <c r="E1809" t="inlineStr">
        <is>
          <t>NORRTÄLJE</t>
        </is>
      </c>
      <c r="F1809" t="inlineStr">
        <is>
          <t>Holmen skog AB</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52321-2024</t>
        </is>
      </c>
      <c r="B1810" s="1" t="n">
        <v>45608</v>
      </c>
      <c r="C1810" s="1" t="n">
        <v>45684</v>
      </c>
      <c r="D1810" t="inlineStr">
        <is>
          <t>STOCKHOLMS LÄN</t>
        </is>
      </c>
      <c r="E1810" t="inlineStr">
        <is>
          <t>NORRTÄLJE</t>
        </is>
      </c>
      <c r="G1810" t="n">
        <v>18.1</v>
      </c>
      <c r="H1810" t="n">
        <v>0</v>
      </c>
      <c r="I1810" t="n">
        <v>0</v>
      </c>
      <c r="J1810" t="n">
        <v>0</v>
      </c>
      <c r="K1810" t="n">
        <v>0</v>
      </c>
      <c r="L1810" t="n">
        <v>0</v>
      </c>
      <c r="M1810" t="n">
        <v>0</v>
      </c>
      <c r="N1810" t="n">
        <v>0</v>
      </c>
      <c r="O1810" t="n">
        <v>0</v>
      </c>
      <c r="P1810" t="n">
        <v>0</v>
      </c>
      <c r="Q1810" t="n">
        <v>0</v>
      </c>
      <c r="R1810" s="2" t="inlineStr"/>
    </row>
    <row r="1811" ht="15" customHeight="1">
      <c r="A1811" t="inlineStr">
        <is>
          <t>A 52407-2024</t>
        </is>
      </c>
      <c r="B1811" s="1" t="n">
        <v>45609</v>
      </c>
      <c r="C1811" s="1" t="n">
        <v>45684</v>
      </c>
      <c r="D1811" t="inlineStr">
        <is>
          <t>STOCKHOLMS LÄN</t>
        </is>
      </c>
      <c r="E1811" t="inlineStr">
        <is>
          <t>NORRTÄLJE</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45684</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52614-2024</t>
        </is>
      </c>
      <c r="B1813" s="1" t="n">
        <v>45609</v>
      </c>
      <c r="C1813" s="1" t="n">
        <v>45684</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52618-2024</t>
        </is>
      </c>
      <c r="B1814" s="1" t="n">
        <v>45609</v>
      </c>
      <c r="C1814" s="1" t="n">
        <v>45684</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52593-2024</t>
        </is>
      </c>
      <c r="B1815" s="1" t="n">
        <v>45609</v>
      </c>
      <c r="C1815" s="1" t="n">
        <v>45684</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52617-2024</t>
        </is>
      </c>
      <c r="B1816" s="1" t="n">
        <v>45609</v>
      </c>
      <c r="C1816" s="1" t="n">
        <v>45684</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52715-2024</t>
        </is>
      </c>
      <c r="B1817" s="1" t="n">
        <v>45610</v>
      </c>
      <c r="C1817" s="1" t="n">
        <v>45684</v>
      </c>
      <c r="D1817" t="inlineStr">
        <is>
          <t>STOCKHOLMS LÄN</t>
        </is>
      </c>
      <c r="E1817" t="inlineStr">
        <is>
          <t>NORRTÄLJE</t>
        </is>
      </c>
      <c r="G1817" t="n">
        <v>11.1</v>
      </c>
      <c r="H1817" t="n">
        <v>0</v>
      </c>
      <c r="I1817" t="n">
        <v>0</v>
      </c>
      <c r="J1817" t="n">
        <v>0</v>
      </c>
      <c r="K1817" t="n">
        <v>0</v>
      </c>
      <c r="L1817" t="n">
        <v>0</v>
      </c>
      <c r="M1817" t="n">
        <v>0</v>
      </c>
      <c r="N1817" t="n">
        <v>0</v>
      </c>
      <c r="O1817" t="n">
        <v>0</v>
      </c>
      <c r="P1817" t="n">
        <v>0</v>
      </c>
      <c r="Q1817" t="n">
        <v>0</v>
      </c>
      <c r="R1817" s="2" t="inlineStr"/>
      <c r="U1817">
        <f>HYPERLINK("https://klasma.github.io/Logging_0188/knärot/A 52715-2024 karta knärot.png", "A 52715-2024")</f>
        <v/>
      </c>
      <c r="V1817">
        <f>HYPERLINK("https://klasma.github.io/Logging_0188/klagomål/A 52715-2024 FSC-klagomål.docx", "A 52715-2024")</f>
        <v/>
      </c>
      <c r="W1817">
        <f>HYPERLINK("https://klasma.github.io/Logging_0188/klagomålsmail/A 52715-2024 FSC-klagomål mail.docx", "A 52715-2024")</f>
        <v/>
      </c>
      <c r="X1817">
        <f>HYPERLINK("https://klasma.github.io/Logging_0188/tillsyn/A 52715-2024 tillsynsbegäran.docx", "A 52715-2024")</f>
        <v/>
      </c>
      <c r="Y1817">
        <f>HYPERLINK("https://klasma.github.io/Logging_0188/tillsynsmail/A 52715-2024 tillsynsbegäran mail.docx", "A 52715-2024")</f>
        <v/>
      </c>
    </row>
    <row r="1818" ht="15" customHeight="1">
      <c r="A1818" t="inlineStr">
        <is>
          <t>A 52743-2024</t>
        </is>
      </c>
      <c r="B1818" s="1" t="n">
        <v>45610</v>
      </c>
      <c r="C1818" s="1" t="n">
        <v>45684</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52686-2024</t>
        </is>
      </c>
      <c r="B1819" s="1" t="n">
        <v>45610</v>
      </c>
      <c r="C1819" s="1" t="n">
        <v>45684</v>
      </c>
      <c r="D1819" t="inlineStr">
        <is>
          <t>STOCKHOLMS LÄN</t>
        </is>
      </c>
      <c r="E1819" t="inlineStr">
        <is>
          <t>NORRTÄLJE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53312-2024</t>
        </is>
      </c>
      <c r="B1820" s="1" t="n">
        <v>45614</v>
      </c>
      <c r="C1820" s="1" t="n">
        <v>45684</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53305-2024</t>
        </is>
      </c>
      <c r="B1821" s="1" t="n">
        <v>45614</v>
      </c>
      <c r="C1821" s="1" t="n">
        <v>45684</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54113-2024</t>
        </is>
      </c>
      <c r="B1822" s="1" t="n">
        <v>45616</v>
      </c>
      <c r="C1822" s="1" t="n">
        <v>45684</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45684</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45684</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54496-2024</t>
        </is>
      </c>
      <c r="B1825" s="1" t="n">
        <v>45617</v>
      </c>
      <c r="C1825" s="1" t="n">
        <v>45684</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54504-2024</t>
        </is>
      </c>
      <c r="B1826" s="1" t="n">
        <v>45617</v>
      </c>
      <c r="C1826" s="1" t="n">
        <v>45684</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45684</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55010-2024</t>
        </is>
      </c>
      <c r="B1828" s="1" t="n">
        <v>45621</v>
      </c>
      <c r="C1828" s="1" t="n">
        <v>45684</v>
      </c>
      <c r="D1828" t="inlineStr">
        <is>
          <t>STOCKHOLMS LÄN</t>
        </is>
      </c>
      <c r="E1828" t="inlineStr">
        <is>
          <t>NORRTÄLJE</t>
        </is>
      </c>
      <c r="F1828" t="inlineStr">
        <is>
          <t>Sveaskog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45684</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55012-2024</t>
        </is>
      </c>
      <c r="B1830" s="1" t="n">
        <v>45621</v>
      </c>
      <c r="C1830" s="1" t="n">
        <v>45684</v>
      </c>
      <c r="D1830" t="inlineStr">
        <is>
          <t>STOCKHOLMS LÄN</t>
        </is>
      </c>
      <c r="E1830" t="inlineStr">
        <is>
          <t>NORRTÄLJE</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55952-2024</t>
        </is>
      </c>
      <c r="B1831" s="1" t="n">
        <v>45623</v>
      </c>
      <c r="C1831" s="1" t="n">
        <v>45684</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56631-2024</t>
        </is>
      </c>
      <c r="B1832" s="1" t="n">
        <v>45625</v>
      </c>
      <c r="C1832" s="1" t="n">
        <v>45684</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45684</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57353-2024</t>
        </is>
      </c>
      <c r="B1834" s="1" t="n">
        <v>45629</v>
      </c>
      <c r="C1834" s="1" t="n">
        <v>45684</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57602-2024</t>
        </is>
      </c>
      <c r="B1835" s="1" t="n">
        <v>45630</v>
      </c>
      <c r="C1835" s="1" t="n">
        <v>45684</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45684</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58041-2024</t>
        </is>
      </c>
      <c r="B1837" s="1" t="n">
        <v>45631</v>
      </c>
      <c r="C1837" s="1" t="n">
        <v>45684</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58530-2024</t>
        </is>
      </c>
      <c r="B1838" s="1" t="n">
        <v>45635</v>
      </c>
      <c r="C1838" s="1" t="n">
        <v>45684</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58785-2024</t>
        </is>
      </c>
      <c r="B1839" s="1" t="n">
        <v>45635</v>
      </c>
      <c r="C1839" s="1" t="n">
        <v>45684</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45684</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58853-2024</t>
        </is>
      </c>
      <c r="B1841" s="1" t="n">
        <v>45636</v>
      </c>
      <c r="C1841" s="1" t="n">
        <v>45684</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45684</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59274-2024</t>
        </is>
      </c>
      <c r="B1843" s="1" t="n">
        <v>45637</v>
      </c>
      <c r="C1843" s="1" t="n">
        <v>45684</v>
      </c>
      <c r="D1843" t="inlineStr">
        <is>
          <t>STOCKHOLMS LÄN</t>
        </is>
      </c>
      <c r="E1843" t="inlineStr">
        <is>
          <t>NORRTÄLJE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45684</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59535-2024</t>
        </is>
      </c>
      <c r="B1845" s="1" t="n">
        <v>45638</v>
      </c>
      <c r="C1845" s="1" t="n">
        <v>45684</v>
      </c>
      <c r="D1845" t="inlineStr">
        <is>
          <t>STOCKHOLMS LÄN</t>
        </is>
      </c>
      <c r="E1845" t="inlineStr">
        <is>
          <t>NORRTÄLJE</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45684</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v>
      </c>
      <c r="C1847" s="1" t="n">
        <v>45684</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45684</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45684</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45684</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45684</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59874-2024</t>
        </is>
      </c>
      <c r="B1852" s="1" t="n">
        <v>45640</v>
      </c>
      <c r="C1852" s="1" t="n">
        <v>45684</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59878-2024</t>
        </is>
      </c>
      <c r="B1853" s="1" t="n">
        <v>45640</v>
      </c>
      <c r="C1853" s="1" t="n">
        <v>45684</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45684</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60166-2024</t>
        </is>
      </c>
      <c r="B1855" s="1" t="n">
        <v>45642</v>
      </c>
      <c r="C1855" s="1" t="n">
        <v>45684</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60160-2024</t>
        </is>
      </c>
      <c r="B1856" s="1" t="n">
        <v>45642</v>
      </c>
      <c r="C1856" s="1" t="n">
        <v>45684</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60317-2024</t>
        </is>
      </c>
      <c r="B1857" s="1" t="n">
        <v>45643</v>
      </c>
      <c r="C1857" s="1" t="n">
        <v>45684</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45684</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60884-2024</t>
        </is>
      </c>
      <c r="B1859" s="1" t="n">
        <v>45644</v>
      </c>
      <c r="C1859" s="1" t="n">
        <v>45684</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45684</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62129-2024</t>
        </is>
      </c>
      <c r="B1861" s="1" t="n">
        <v>45646</v>
      </c>
      <c r="C1861" s="1" t="n">
        <v>45684</v>
      </c>
      <c r="D1861" t="inlineStr">
        <is>
          <t>STOCKHOLMS LÄN</t>
        </is>
      </c>
      <c r="E1861" t="inlineStr">
        <is>
          <t>NORRTÄLJE</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62168-2024</t>
        </is>
      </c>
      <c r="B1862" s="1" t="n">
        <v>45657</v>
      </c>
      <c r="C1862" s="1" t="n">
        <v>45684</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19-2025</t>
        </is>
      </c>
      <c r="B1863" s="1" t="n">
        <v>45658</v>
      </c>
      <c r="C1863" s="1" t="n">
        <v>45684</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22-2025</t>
        </is>
      </c>
      <c r="B1864" s="1" t="n">
        <v>45658</v>
      </c>
      <c r="C1864" s="1" t="n">
        <v>45684</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45684</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520-2025</t>
        </is>
      </c>
      <c r="B1866" s="1" t="n">
        <v>45664</v>
      </c>
      <c r="C1866" s="1" t="n">
        <v>45684</v>
      </c>
      <c r="D1866" t="inlineStr">
        <is>
          <t>STOCKHOLMS LÄN</t>
        </is>
      </c>
      <c r="E1866" t="inlineStr">
        <is>
          <t>NORRTÄLJE</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827-2025</t>
        </is>
      </c>
      <c r="B1867" s="1" t="n">
        <v>45665</v>
      </c>
      <c r="C1867" s="1" t="n">
        <v>45684</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824-2025</t>
        </is>
      </c>
      <c r="B1868" s="1" t="n">
        <v>45665</v>
      </c>
      <c r="C1868" s="1" t="n">
        <v>45684</v>
      </c>
      <c r="D1868" t="inlineStr">
        <is>
          <t>STOCKHOLMS LÄN</t>
        </is>
      </c>
      <c r="E1868" t="inlineStr">
        <is>
          <t>NORRTÄLJE</t>
        </is>
      </c>
      <c r="F1868" t="inlineStr">
        <is>
          <t>Övriga Aktiebolag</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45684</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1360-2025</t>
        </is>
      </c>
      <c r="B1870" s="1" t="n">
        <v>45667</v>
      </c>
      <c r="C1870" s="1" t="n">
        <v>45684</v>
      </c>
      <c r="D1870" t="inlineStr">
        <is>
          <t>STOCKHOLMS LÄN</t>
        </is>
      </c>
      <c r="E1870" t="inlineStr">
        <is>
          <t>NORRTÄLJE</t>
        </is>
      </c>
      <c r="F1870" t="inlineStr">
        <is>
          <t>Kyrkan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v>
      </c>
      <c r="C1871" s="1" t="n">
        <v>45684</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1453-2025</t>
        </is>
      </c>
      <c r="B1872" s="1" t="n">
        <v>45670</v>
      </c>
      <c r="C1872" s="1" t="n">
        <v>45684</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1654-2025</t>
        </is>
      </c>
      <c r="B1873" s="1" t="n">
        <v>45670</v>
      </c>
      <c r="C1873" s="1" t="n">
        <v>45684</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1890-2025</t>
        </is>
      </c>
      <c r="B1874" s="1" t="n">
        <v>45671</v>
      </c>
      <c r="C1874" s="1" t="n">
        <v>45684</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2127-2025</t>
        </is>
      </c>
      <c r="B1875" s="1" t="n">
        <v>45672</v>
      </c>
      <c r="C1875" s="1" t="n">
        <v>45684</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2153-2025</t>
        </is>
      </c>
      <c r="B1876" s="1" t="n">
        <v>45672</v>
      </c>
      <c r="C1876" s="1" t="n">
        <v>45684</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2627-2025</t>
        </is>
      </c>
      <c r="B1877" s="1" t="n">
        <v>45675</v>
      </c>
      <c r="C1877" s="1" t="n">
        <v>45684</v>
      </c>
      <c r="D1877" t="inlineStr">
        <is>
          <t>STOCKHOLMS LÄN</t>
        </is>
      </c>
      <c r="E1877" t="inlineStr">
        <is>
          <t>NORRTÄLJE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3117-2025</t>
        </is>
      </c>
      <c r="B1878" s="1" t="n">
        <v>45678</v>
      </c>
      <c r="C1878" s="1" t="n">
        <v>45684</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3273-2025</t>
        </is>
      </c>
      <c r="B1879" s="1" t="n">
        <v>45679</v>
      </c>
      <c r="C1879" s="1" t="n">
        <v>45684</v>
      </c>
      <c r="D1879" t="inlineStr">
        <is>
          <t>STOCKHOLMS LÄN</t>
        </is>
      </c>
      <c r="E1879" t="inlineStr">
        <is>
          <t>NORRTÄLJE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3283-2025</t>
        </is>
      </c>
      <c r="B1880" s="1" t="n">
        <v>45679</v>
      </c>
      <c r="C1880" s="1" t="n">
        <v>45684</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3426-2025</t>
        </is>
      </c>
      <c r="B1881" s="1" t="n">
        <v>45680</v>
      </c>
      <c r="C1881" s="1" t="n">
        <v>45684</v>
      </c>
      <c r="D1881" t="inlineStr">
        <is>
          <t>STOCKHOLMS LÄN</t>
        </is>
      </c>
      <c r="E1881" t="inlineStr">
        <is>
          <t>NORRTÄLJE</t>
        </is>
      </c>
      <c r="G1881" t="n">
        <v>3.2</v>
      </c>
      <c r="H1881" t="n">
        <v>0</v>
      </c>
      <c r="I1881" t="n">
        <v>0</v>
      </c>
      <c r="J1881" t="n">
        <v>0</v>
      </c>
      <c r="K1881" t="n">
        <v>0</v>
      </c>
      <c r="L1881" t="n">
        <v>0</v>
      </c>
      <c r="M1881" t="n">
        <v>0</v>
      </c>
      <c r="N1881" t="n">
        <v>0</v>
      </c>
      <c r="O1881" t="n">
        <v>0</v>
      </c>
      <c r="P1881" t="n">
        <v>0</v>
      </c>
      <c r="Q1881" t="n">
        <v>0</v>
      </c>
      <c r="R1881" s="2" t="inlineStr"/>
    </row>
    <row r="1882">
      <c r="A1882" t="inlineStr">
        <is>
          <t>A 3512-2025</t>
        </is>
      </c>
      <c r="B1882" s="1" t="n">
        <v>45680</v>
      </c>
      <c r="C1882" s="1" t="n">
        <v>45684</v>
      </c>
      <c r="D1882" t="inlineStr">
        <is>
          <t>STOCKHOLMS LÄN</t>
        </is>
      </c>
      <c r="E1882" t="inlineStr">
        <is>
          <t>NORRTÄLJE</t>
        </is>
      </c>
      <c r="F1882" t="inlineStr">
        <is>
          <t>Naturvårdsverket</t>
        </is>
      </c>
      <c r="G1882" t="n">
        <v>1</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2025-01-27T16:25:52Z</dcterms:created>
  <dcterms:modified xmlns:dcterms="http://purl.org/dc/terms/" xmlns:xsi="http://www.w3.org/2001/XMLSchema-instance" xsi:type="dcterms:W3CDTF">2025-01-27T16:25:54Z</dcterms:modified>
</cp:coreProperties>
</file>