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46012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46012</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46012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46012</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46012</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46012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46012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46012</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46012</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46012</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46012</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46012</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46012</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46012</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46012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46012</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46012</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46012</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46012</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46012</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46012</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46012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46012</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46012</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46012</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25732-2025</t>
        </is>
      </c>
      <c r="B29" s="1" t="n">
        <v>45800</v>
      </c>
      <c r="C29" s="1" t="n">
        <v>46012</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59582-2024</t>
        </is>
      </c>
      <c r="B30" s="1" t="n">
        <v>45638</v>
      </c>
      <c r="C30" s="1" t="n">
        <v>46012</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46012</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46012</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46012</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46012</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46012</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46012</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46012</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46012</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46012</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15804-2025</t>
        </is>
      </c>
      <c r="B40" s="1" t="n">
        <v>45748.6521875</v>
      </c>
      <c r="C40" s="1" t="n">
        <v>46012</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46012</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46012</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46012</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46012</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46012</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25687-2025</t>
        </is>
      </c>
      <c r="B46" s="1" t="n">
        <v>45800</v>
      </c>
      <c r="C46" s="1" t="n">
        <v>46012</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41276-2025</t>
        </is>
      </c>
      <c r="B47" s="1" t="n">
        <v>45898.62723379629</v>
      </c>
      <c r="C47" s="1" t="n">
        <v>46012</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46012</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47212-2025</t>
        </is>
      </c>
      <c r="B49" s="1" t="n">
        <v>45930</v>
      </c>
      <c r="C49" s="1" t="n">
        <v>46012</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34521-2025</t>
        </is>
      </c>
      <c r="B50" s="1" t="n">
        <v>45847.47052083333</v>
      </c>
      <c r="C50" s="1" t="n">
        <v>46012</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72305-2021</t>
        </is>
      </c>
      <c r="B51" s="1" t="n">
        <v>44545</v>
      </c>
      <c r="C51" s="1" t="n">
        <v>46012</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24052-2021</t>
        </is>
      </c>
      <c r="B52" s="1" t="n">
        <v>44336</v>
      </c>
      <c r="C52" s="1" t="n">
        <v>46012</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46012</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46012</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46012</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46012</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46012</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46012</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54110-2024</t>
        </is>
      </c>
      <c r="B59" s="1" t="n">
        <v>45616.54866898148</v>
      </c>
      <c r="C59" s="1" t="n">
        <v>46012</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46012</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29185-2025</t>
        </is>
      </c>
      <c r="B61" s="1" t="n">
        <v>45821</v>
      </c>
      <c r="C61" s="1" t="n">
        <v>46012</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46012</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20185-2022</t>
        </is>
      </c>
      <c r="B63" s="1" t="n">
        <v>44698</v>
      </c>
      <c r="C63" s="1" t="n">
        <v>46012</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34524-2025</t>
        </is>
      </c>
      <c r="B64" s="1" t="n">
        <v>45847.47685185185</v>
      </c>
      <c r="C64" s="1" t="n">
        <v>46012</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52726-2025</t>
        </is>
      </c>
      <c r="B65" s="1" t="n">
        <v>45957.34722222222</v>
      </c>
      <c r="C65" s="1" t="n">
        <v>46012</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53065-2024</t>
        </is>
      </c>
      <c r="B66" s="1" t="n">
        <v>45611.47233796296</v>
      </c>
      <c r="C66" s="1" t="n">
        <v>46012</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46012</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46012</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52133-2022</t>
        </is>
      </c>
      <c r="B69" s="1" t="n">
        <v>44868</v>
      </c>
      <c r="C69" s="1" t="n">
        <v>46012</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46012</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4634-2021</t>
        </is>
      </c>
      <c r="B71" s="1" t="n">
        <v>44224</v>
      </c>
      <c r="C71" s="1" t="n">
        <v>46012</v>
      </c>
      <c r="D71" t="inlineStr">
        <is>
          <t>STOCKHOLMS LÄN</t>
        </is>
      </c>
      <c r="E71" t="inlineStr">
        <is>
          <t>NORRTÄLJE</t>
        </is>
      </c>
      <c r="G71" t="n">
        <v>3.7</v>
      </c>
      <c r="H71" t="n">
        <v>2</v>
      </c>
      <c r="I71" t="n">
        <v>1</v>
      </c>
      <c r="J71" t="n">
        <v>0</v>
      </c>
      <c r="K71" t="n">
        <v>0</v>
      </c>
      <c r="L71" t="n">
        <v>0</v>
      </c>
      <c r="M71" t="n">
        <v>0</v>
      </c>
      <c r="N71" t="n">
        <v>0</v>
      </c>
      <c r="O71" t="n">
        <v>0</v>
      </c>
      <c r="P71" t="n">
        <v>0</v>
      </c>
      <c r="Q71" t="n">
        <v>2</v>
      </c>
      <c r="R71" s="2" t="inlineStr">
        <is>
          <t>Grön sköldmossa
Tjäder</t>
        </is>
      </c>
      <c r="S71">
        <f>HYPERLINK("https://klasma.github.io/Logging_0188/artfynd/A 4634-2021 artfynd.xlsx", "A 4634-2021")</f>
        <v/>
      </c>
      <c r="T71">
        <f>HYPERLINK("https://klasma.github.io/Logging_0188/kartor/A 4634-2021 karta.png", "A 4634-2021")</f>
        <v/>
      </c>
      <c r="V71">
        <f>HYPERLINK("https://klasma.github.io/Logging_0188/klagomål/A 4634-2021 FSC-klagomål.docx", "A 4634-2021")</f>
        <v/>
      </c>
      <c r="W71">
        <f>HYPERLINK("https://klasma.github.io/Logging_0188/klagomålsmail/A 4634-2021 FSC-klagomål mail.docx", "A 4634-2021")</f>
        <v/>
      </c>
      <c r="X71">
        <f>HYPERLINK("https://klasma.github.io/Logging_0188/tillsyn/A 4634-2021 tillsynsbegäran.docx", "A 4634-2021")</f>
        <v/>
      </c>
      <c r="Y71">
        <f>HYPERLINK("https://klasma.github.io/Logging_0188/tillsynsmail/A 4634-2021 tillsynsbegäran mail.docx", "A 4634-2021")</f>
        <v/>
      </c>
      <c r="Z71">
        <f>HYPERLINK("https://klasma.github.io/Logging_0188/fåglar/A 4634-2021 prioriterade fågelarter.docx", "A 4634-2021")</f>
        <v/>
      </c>
    </row>
    <row r="72" ht="15" customHeight="1">
      <c r="A72" t="inlineStr">
        <is>
          <t>A 58676-2021</t>
        </is>
      </c>
      <c r="B72" s="1" t="n">
        <v>44489</v>
      </c>
      <c r="C72" s="1" t="n">
        <v>46012</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46012</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46012</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46012</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46012</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46012</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22190-2024</t>
        </is>
      </c>
      <c r="B78" s="1" t="n">
        <v>45446.35888888889</v>
      </c>
      <c r="C78" s="1" t="n">
        <v>46012</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50697-2025</t>
        </is>
      </c>
      <c r="B79" s="1" t="n">
        <v>45945.90854166666</v>
      </c>
      <c r="C79" s="1" t="n">
        <v>46012</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53608-2025</t>
        </is>
      </c>
      <c r="B80" s="1" t="n">
        <v>45960</v>
      </c>
      <c r="C80" s="1" t="n">
        <v>46012</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52360-2024</t>
        </is>
      </c>
      <c r="B81" s="1" t="n">
        <v>45609.37094907407</v>
      </c>
      <c r="C81" s="1" t="n">
        <v>46012</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52825-2023</t>
        </is>
      </c>
      <c r="B82" s="1" t="n">
        <v>45226</v>
      </c>
      <c r="C82" s="1" t="n">
        <v>46012</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52124-2022</t>
        </is>
      </c>
      <c r="B83" s="1" t="n">
        <v>44868</v>
      </c>
      <c r="C83" s="1" t="n">
        <v>46012</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51980-2022</t>
        </is>
      </c>
      <c r="B84" s="1" t="n">
        <v>44872</v>
      </c>
      <c r="C84" s="1" t="n">
        <v>46012</v>
      </c>
      <c r="D84" t="inlineStr">
        <is>
          <t>STOCKHOLMS LÄN</t>
        </is>
      </c>
      <c r="E84" t="inlineStr">
        <is>
          <t>NORRTÄLJE</t>
        </is>
      </c>
      <c r="G84" t="n">
        <v>7.9</v>
      </c>
      <c r="H84" t="n">
        <v>1</v>
      </c>
      <c r="I84" t="n">
        <v>2</v>
      </c>
      <c r="J84" t="n">
        <v>0</v>
      </c>
      <c r="K84" t="n">
        <v>0</v>
      </c>
      <c r="L84" t="n">
        <v>0</v>
      </c>
      <c r="M84" t="n">
        <v>0</v>
      </c>
      <c r="N84" t="n">
        <v>0</v>
      </c>
      <c r="O84" t="n">
        <v>0</v>
      </c>
      <c r="P84" t="n">
        <v>0</v>
      </c>
      <c r="Q84" t="n">
        <v>2</v>
      </c>
      <c r="R84" s="2" t="inlineStr">
        <is>
          <t>Rödgul trumpetsvamp
Skogsknipprot</t>
        </is>
      </c>
      <c r="S84">
        <f>HYPERLINK("https://klasma.github.io/Logging_0188/artfynd/A 51980-2022 artfynd.xlsx", "A 51980-2022")</f>
        <v/>
      </c>
      <c r="T84">
        <f>HYPERLINK("https://klasma.github.io/Logging_0188/kartor/A 51980-2022 karta.png", "A 51980-2022")</f>
        <v/>
      </c>
      <c r="V84">
        <f>HYPERLINK("https://klasma.github.io/Logging_0188/klagomål/A 51980-2022 FSC-klagomål.docx", "A 51980-2022")</f>
        <v/>
      </c>
      <c r="W84">
        <f>HYPERLINK("https://klasma.github.io/Logging_0188/klagomålsmail/A 51980-2022 FSC-klagomål mail.docx", "A 51980-2022")</f>
        <v/>
      </c>
      <c r="X84">
        <f>HYPERLINK("https://klasma.github.io/Logging_0188/tillsyn/A 51980-2022 tillsynsbegäran.docx", "A 51980-2022")</f>
        <v/>
      </c>
      <c r="Y84">
        <f>HYPERLINK("https://klasma.github.io/Logging_0188/tillsynsmail/A 51980-2022 tillsynsbegäran mail.docx", "A 51980-2022")</f>
        <v/>
      </c>
    </row>
    <row r="85" ht="15" customHeight="1">
      <c r="A85" t="inlineStr">
        <is>
          <t>A 1547-2022</t>
        </is>
      </c>
      <c r="B85" s="1" t="n">
        <v>44573</v>
      </c>
      <c r="C85" s="1" t="n">
        <v>46012</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46012</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30138-2021</t>
        </is>
      </c>
      <c r="B87" s="1" t="n">
        <v>44363</v>
      </c>
      <c r="C87" s="1" t="n">
        <v>46012</v>
      </c>
      <c r="D87" t="inlineStr">
        <is>
          <t>STOCKHOLMS LÄN</t>
        </is>
      </c>
      <c r="E87" t="inlineStr">
        <is>
          <t>NORRTÄLJE</t>
        </is>
      </c>
      <c r="G87" t="n">
        <v>4.5</v>
      </c>
      <c r="H87" t="n">
        <v>0</v>
      </c>
      <c r="I87" t="n">
        <v>1</v>
      </c>
      <c r="J87" t="n">
        <v>0</v>
      </c>
      <c r="K87" t="n">
        <v>0</v>
      </c>
      <c r="L87" t="n">
        <v>0</v>
      </c>
      <c r="M87" t="n">
        <v>0</v>
      </c>
      <c r="N87" t="n">
        <v>0</v>
      </c>
      <c r="O87" t="n">
        <v>0</v>
      </c>
      <c r="P87" t="n">
        <v>0</v>
      </c>
      <c r="Q87" t="n">
        <v>1</v>
      </c>
      <c r="R87" s="2" t="inlineStr">
        <is>
          <t>Vårärt</t>
        </is>
      </c>
      <c r="S87">
        <f>HYPERLINK("https://klasma.github.io/Logging_0188/artfynd/A 30138-2021 artfynd.xlsx", "A 30138-2021")</f>
        <v/>
      </c>
      <c r="T87">
        <f>HYPERLINK("https://klasma.github.io/Logging_0188/kartor/A 30138-2021 karta.png", "A 30138-2021")</f>
        <v/>
      </c>
      <c r="V87">
        <f>HYPERLINK("https://klasma.github.io/Logging_0188/klagomål/A 30138-2021 FSC-klagomål.docx", "A 30138-2021")</f>
        <v/>
      </c>
      <c r="W87">
        <f>HYPERLINK("https://klasma.github.io/Logging_0188/klagomålsmail/A 30138-2021 FSC-klagomål mail.docx", "A 30138-2021")</f>
        <v/>
      </c>
      <c r="X87">
        <f>HYPERLINK("https://klasma.github.io/Logging_0188/tillsyn/A 30138-2021 tillsynsbegäran.docx", "A 30138-2021")</f>
        <v/>
      </c>
      <c r="Y87">
        <f>HYPERLINK("https://klasma.github.io/Logging_0188/tillsynsmail/A 30138-2021 tillsynsbegäran mail.docx", "A 30138-2021")</f>
        <v/>
      </c>
    </row>
    <row r="88" ht="15" customHeight="1">
      <c r="A88" t="inlineStr">
        <is>
          <t>A 17629-2022</t>
        </is>
      </c>
      <c r="B88" s="1" t="n">
        <v>44680</v>
      </c>
      <c r="C88" s="1" t="n">
        <v>46012</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33477-2022</t>
        </is>
      </c>
      <c r="B89" s="1" t="n">
        <v>44788.70217592592</v>
      </c>
      <c r="C89" s="1" t="n">
        <v>46012</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32111-2022</t>
        </is>
      </c>
      <c r="B90" s="1" t="n">
        <v>44778.92797453704</v>
      </c>
      <c r="C90" s="1" t="n">
        <v>46012</v>
      </c>
      <c r="D90" t="inlineStr">
        <is>
          <t>STOCKHOLMS LÄN</t>
        </is>
      </c>
      <c r="E90" t="inlineStr">
        <is>
          <t>NORRTÄLJE</t>
        </is>
      </c>
      <c r="G90" t="n">
        <v>3.1</v>
      </c>
      <c r="H90" t="n">
        <v>0</v>
      </c>
      <c r="I90" t="n">
        <v>0</v>
      </c>
      <c r="J90" t="n">
        <v>1</v>
      </c>
      <c r="K90" t="n">
        <v>0</v>
      </c>
      <c r="L90" t="n">
        <v>0</v>
      </c>
      <c r="M90" t="n">
        <v>0</v>
      </c>
      <c r="N90" t="n">
        <v>0</v>
      </c>
      <c r="O90" t="n">
        <v>1</v>
      </c>
      <c r="P90" t="n">
        <v>0</v>
      </c>
      <c r="Q90" t="n">
        <v>1</v>
      </c>
      <c r="R90" s="2" t="inlineStr">
        <is>
          <t>Orange taggsvamp</t>
        </is>
      </c>
      <c r="S90">
        <f>HYPERLINK("https://klasma.github.io/Logging_0188/artfynd/A 32111-2022 artfynd.xlsx", "A 32111-2022")</f>
        <v/>
      </c>
      <c r="T90">
        <f>HYPERLINK("https://klasma.github.io/Logging_0188/kartor/A 32111-2022 karta.png", "A 32111-2022")</f>
        <v/>
      </c>
      <c r="V90">
        <f>HYPERLINK("https://klasma.github.io/Logging_0188/klagomål/A 32111-2022 FSC-klagomål.docx", "A 32111-2022")</f>
        <v/>
      </c>
      <c r="W90">
        <f>HYPERLINK("https://klasma.github.io/Logging_0188/klagomålsmail/A 32111-2022 FSC-klagomål mail.docx", "A 32111-2022")</f>
        <v/>
      </c>
      <c r="X90">
        <f>HYPERLINK("https://klasma.github.io/Logging_0188/tillsyn/A 32111-2022 tillsynsbegäran.docx", "A 32111-2022")</f>
        <v/>
      </c>
      <c r="Y90">
        <f>HYPERLINK("https://klasma.github.io/Logging_0188/tillsynsmail/A 32111-2022 tillsynsbegäran mail.docx", "A 32111-2022")</f>
        <v/>
      </c>
    </row>
    <row r="91" ht="15" customHeight="1">
      <c r="A91" t="inlineStr">
        <is>
          <t>A 47898-2022</t>
        </is>
      </c>
      <c r="B91" s="1" t="n">
        <v>44855</v>
      </c>
      <c r="C91" s="1" t="n">
        <v>46012</v>
      </c>
      <c r="D91" t="inlineStr">
        <is>
          <t>STOCKHOLMS LÄN</t>
        </is>
      </c>
      <c r="E91" t="inlineStr">
        <is>
          <t>NORRTÄLJE</t>
        </is>
      </c>
      <c r="G91" t="n">
        <v>6.7</v>
      </c>
      <c r="H91" t="n">
        <v>1</v>
      </c>
      <c r="I91" t="n">
        <v>1</v>
      </c>
      <c r="J91" t="n">
        <v>0</v>
      </c>
      <c r="K91" t="n">
        <v>0</v>
      </c>
      <c r="L91" t="n">
        <v>0</v>
      </c>
      <c r="M91" t="n">
        <v>0</v>
      </c>
      <c r="N91" t="n">
        <v>0</v>
      </c>
      <c r="O91" t="n">
        <v>0</v>
      </c>
      <c r="P91" t="n">
        <v>0</v>
      </c>
      <c r="Q91" t="n">
        <v>1</v>
      </c>
      <c r="R91" s="2" t="inlineStr">
        <is>
          <t>Guckusko</t>
        </is>
      </c>
      <c r="S91">
        <f>HYPERLINK("https://klasma.github.io/Logging_0188/artfynd/A 47898-2022 artfynd.xlsx", "A 47898-2022")</f>
        <v/>
      </c>
      <c r="T91">
        <f>HYPERLINK("https://klasma.github.io/Logging_0188/kartor/A 47898-2022 karta.png", "A 47898-2022")</f>
        <v/>
      </c>
      <c r="V91">
        <f>HYPERLINK("https://klasma.github.io/Logging_0188/klagomål/A 47898-2022 FSC-klagomål.docx", "A 47898-2022")</f>
        <v/>
      </c>
      <c r="W91">
        <f>HYPERLINK("https://klasma.github.io/Logging_0188/klagomålsmail/A 47898-2022 FSC-klagomål mail.docx", "A 47898-2022")</f>
        <v/>
      </c>
      <c r="X91">
        <f>HYPERLINK("https://klasma.github.io/Logging_0188/tillsyn/A 47898-2022 tillsynsbegäran.docx", "A 47898-2022")</f>
        <v/>
      </c>
      <c r="Y91">
        <f>HYPERLINK("https://klasma.github.io/Logging_0188/tillsynsmail/A 47898-2022 tillsynsbegäran mail.docx", "A 47898-2022")</f>
        <v/>
      </c>
    </row>
    <row r="92" ht="15" customHeight="1">
      <c r="A92" t="inlineStr">
        <is>
          <t>A 4595-2023</t>
        </is>
      </c>
      <c r="B92" s="1" t="n">
        <v>44956</v>
      </c>
      <c r="C92" s="1" t="n">
        <v>46012</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25709-2025</t>
        </is>
      </c>
      <c r="B93" s="1" t="n">
        <v>45800</v>
      </c>
      <c r="C93" s="1" t="n">
        <v>46012</v>
      </c>
      <c r="D93" t="inlineStr">
        <is>
          <t>STOCKHOLMS LÄN</t>
        </is>
      </c>
      <c r="E93" t="inlineStr">
        <is>
          <t>NORRTÄLJE</t>
        </is>
      </c>
      <c r="G93" t="n">
        <v>4.6</v>
      </c>
      <c r="H93" t="n">
        <v>0</v>
      </c>
      <c r="I93" t="n">
        <v>0</v>
      </c>
      <c r="J93" t="n">
        <v>1</v>
      </c>
      <c r="K93" t="n">
        <v>0</v>
      </c>
      <c r="L93" t="n">
        <v>0</v>
      </c>
      <c r="M93" t="n">
        <v>0</v>
      </c>
      <c r="N93" t="n">
        <v>0</v>
      </c>
      <c r="O93" t="n">
        <v>1</v>
      </c>
      <c r="P93" t="n">
        <v>0</v>
      </c>
      <c r="Q93" t="n">
        <v>1</v>
      </c>
      <c r="R93" s="2" t="inlineStr">
        <is>
          <t>Ullticka</t>
        </is>
      </c>
      <c r="S93">
        <f>HYPERLINK("https://klasma.github.io/Logging_0188/artfynd/A 25709-2025 artfynd.xlsx", "A 25709-2025")</f>
        <v/>
      </c>
      <c r="T93">
        <f>HYPERLINK("https://klasma.github.io/Logging_0188/kartor/A 25709-2025 karta.png", "A 25709-2025")</f>
        <v/>
      </c>
      <c r="V93">
        <f>HYPERLINK("https://klasma.github.io/Logging_0188/klagomål/A 25709-2025 FSC-klagomål.docx", "A 25709-2025")</f>
        <v/>
      </c>
      <c r="W93">
        <f>HYPERLINK("https://klasma.github.io/Logging_0188/klagomålsmail/A 25709-2025 FSC-klagomål mail.docx", "A 25709-2025")</f>
        <v/>
      </c>
      <c r="X93">
        <f>HYPERLINK("https://klasma.github.io/Logging_0188/tillsyn/A 25709-2025 tillsynsbegäran.docx", "A 25709-2025")</f>
        <v/>
      </c>
      <c r="Y93">
        <f>HYPERLINK("https://klasma.github.io/Logging_0188/tillsynsmail/A 25709-2025 tillsynsbegäran mail.docx", "A 25709-2025")</f>
        <v/>
      </c>
    </row>
    <row r="94" ht="15" customHeight="1">
      <c r="A94" t="inlineStr">
        <is>
          <t>A 25725-2025</t>
        </is>
      </c>
      <c r="B94" s="1" t="n">
        <v>45800</v>
      </c>
      <c r="C94" s="1" t="n">
        <v>46012</v>
      </c>
      <c r="D94" t="inlineStr">
        <is>
          <t>STOCKHOLMS LÄN</t>
        </is>
      </c>
      <c r="E94" t="inlineStr">
        <is>
          <t>NORRTÄLJE</t>
        </is>
      </c>
      <c r="G94" t="n">
        <v>5.2</v>
      </c>
      <c r="H94" t="n">
        <v>0</v>
      </c>
      <c r="I94" t="n">
        <v>0</v>
      </c>
      <c r="J94" t="n">
        <v>1</v>
      </c>
      <c r="K94" t="n">
        <v>0</v>
      </c>
      <c r="L94" t="n">
        <v>0</v>
      </c>
      <c r="M94" t="n">
        <v>0</v>
      </c>
      <c r="N94" t="n">
        <v>0</v>
      </c>
      <c r="O94" t="n">
        <v>1</v>
      </c>
      <c r="P94" t="n">
        <v>0</v>
      </c>
      <c r="Q94" t="n">
        <v>1</v>
      </c>
      <c r="R94" s="2" t="inlineStr">
        <is>
          <t>Tallticka</t>
        </is>
      </c>
      <c r="S94">
        <f>HYPERLINK("https://klasma.github.io/Logging_0188/artfynd/A 25725-2025 artfynd.xlsx", "A 25725-2025")</f>
        <v/>
      </c>
      <c r="T94">
        <f>HYPERLINK("https://klasma.github.io/Logging_0188/kartor/A 25725-2025 karta.png", "A 25725-2025")</f>
        <v/>
      </c>
      <c r="V94">
        <f>HYPERLINK("https://klasma.github.io/Logging_0188/klagomål/A 25725-2025 FSC-klagomål.docx", "A 25725-2025")</f>
        <v/>
      </c>
      <c r="W94">
        <f>HYPERLINK("https://klasma.github.io/Logging_0188/klagomålsmail/A 25725-2025 FSC-klagomål mail.docx", "A 25725-2025")</f>
        <v/>
      </c>
      <c r="X94">
        <f>HYPERLINK("https://klasma.github.io/Logging_0188/tillsyn/A 25725-2025 tillsynsbegäran.docx", "A 25725-2025")</f>
        <v/>
      </c>
      <c r="Y94">
        <f>HYPERLINK("https://klasma.github.io/Logging_0188/tillsynsmail/A 25725-2025 tillsynsbegäran mail.docx", "A 25725-2025")</f>
        <v/>
      </c>
    </row>
    <row r="95" ht="15" customHeight="1">
      <c r="A95" t="inlineStr">
        <is>
          <t>A 35649-2023</t>
        </is>
      </c>
      <c r="B95" s="1" t="n">
        <v>45146</v>
      </c>
      <c r="C95" s="1" t="n">
        <v>46012</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35764-2024</t>
        </is>
      </c>
      <c r="B96" s="1" t="n">
        <v>45532</v>
      </c>
      <c r="C96" s="1" t="n">
        <v>46012</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25669-2025</t>
        </is>
      </c>
      <c r="B97" s="1" t="n">
        <v>45803.62766203703</v>
      </c>
      <c r="C97" s="1" t="n">
        <v>46012</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4860-2022</t>
        </is>
      </c>
      <c r="B98" s="1" t="n">
        <v>44592</v>
      </c>
      <c r="C98" s="1" t="n">
        <v>46012</v>
      </c>
      <c r="D98" t="inlineStr">
        <is>
          <t>STOCKHOLMS LÄN</t>
        </is>
      </c>
      <c r="E98" t="inlineStr">
        <is>
          <t>NORRTÄLJE</t>
        </is>
      </c>
      <c r="G98" t="n">
        <v>22.3</v>
      </c>
      <c r="H98" t="n">
        <v>0</v>
      </c>
      <c r="I98" t="n">
        <v>0</v>
      </c>
      <c r="J98" t="n">
        <v>1</v>
      </c>
      <c r="K98" t="n">
        <v>0</v>
      </c>
      <c r="L98" t="n">
        <v>0</v>
      </c>
      <c r="M98" t="n">
        <v>0</v>
      </c>
      <c r="N98" t="n">
        <v>0</v>
      </c>
      <c r="O98" t="n">
        <v>1</v>
      </c>
      <c r="P98" t="n">
        <v>0</v>
      </c>
      <c r="Q98" t="n">
        <v>1</v>
      </c>
      <c r="R98" s="2" t="inlineStr">
        <is>
          <t>Igelkott</t>
        </is>
      </c>
      <c r="S98">
        <f>HYPERLINK("https://klasma.github.io/Logging_0188/artfynd/A 4860-2022 artfynd.xlsx", "A 4860-2022")</f>
        <v/>
      </c>
      <c r="T98">
        <f>HYPERLINK("https://klasma.github.io/Logging_0188/kartor/A 4860-2022 karta.png", "A 4860-2022")</f>
        <v/>
      </c>
      <c r="V98">
        <f>HYPERLINK("https://klasma.github.io/Logging_0188/klagomål/A 4860-2022 FSC-klagomål.docx", "A 4860-2022")</f>
        <v/>
      </c>
      <c r="W98">
        <f>HYPERLINK("https://klasma.github.io/Logging_0188/klagomålsmail/A 4860-2022 FSC-klagomål mail.docx", "A 4860-2022")</f>
        <v/>
      </c>
      <c r="X98">
        <f>HYPERLINK("https://klasma.github.io/Logging_0188/tillsyn/A 4860-2022 tillsynsbegäran.docx", "A 4860-2022")</f>
        <v/>
      </c>
      <c r="Y98">
        <f>HYPERLINK("https://klasma.github.io/Logging_0188/tillsynsmail/A 4860-2022 tillsynsbegäran mail.docx", "A 4860-2022")</f>
        <v/>
      </c>
    </row>
    <row r="99" ht="15" customHeight="1">
      <c r="A99" t="inlineStr">
        <is>
          <t>A 40861-2025</t>
        </is>
      </c>
      <c r="B99" s="1" t="n">
        <v>45897.56356481482</v>
      </c>
      <c r="C99" s="1" t="n">
        <v>46012</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13271-2025</t>
        </is>
      </c>
      <c r="B100" s="1" t="n">
        <v>45735.54510416667</v>
      </c>
      <c r="C100" s="1" t="n">
        <v>46012</v>
      </c>
      <c r="D100" t="inlineStr">
        <is>
          <t>STOCKHOLMS LÄN</t>
        </is>
      </c>
      <c r="E100" t="inlineStr">
        <is>
          <t>NORRTÄLJE</t>
        </is>
      </c>
      <c r="G100" t="n">
        <v>7.2</v>
      </c>
      <c r="H100" t="n">
        <v>1</v>
      </c>
      <c r="I100" t="n">
        <v>0</v>
      </c>
      <c r="J100" t="n">
        <v>0</v>
      </c>
      <c r="K100" t="n">
        <v>0</v>
      </c>
      <c r="L100" t="n">
        <v>1</v>
      </c>
      <c r="M100" t="n">
        <v>0</v>
      </c>
      <c r="N100" t="n">
        <v>0</v>
      </c>
      <c r="O100" t="n">
        <v>1</v>
      </c>
      <c r="P100" t="n">
        <v>1</v>
      </c>
      <c r="Q100" t="n">
        <v>1</v>
      </c>
      <c r="R100" s="2" t="inlineStr">
        <is>
          <t>Asknätfjäril</t>
        </is>
      </c>
      <c r="S100">
        <f>HYPERLINK("https://klasma.github.io/Logging_0188/artfynd/A 13271-2025 artfynd.xlsx", "A 13271-2025")</f>
        <v/>
      </c>
      <c r="T100">
        <f>HYPERLINK("https://klasma.github.io/Logging_0188/kartor/A 13271-2025 karta.png", "A 13271-2025")</f>
        <v/>
      </c>
      <c r="V100">
        <f>HYPERLINK("https://klasma.github.io/Logging_0188/klagomål/A 13271-2025 FSC-klagomål.docx", "A 13271-2025")</f>
        <v/>
      </c>
      <c r="W100">
        <f>HYPERLINK("https://klasma.github.io/Logging_0188/klagomålsmail/A 13271-2025 FSC-klagomål mail.docx", "A 13271-2025")</f>
        <v/>
      </c>
      <c r="X100">
        <f>HYPERLINK("https://klasma.github.io/Logging_0188/tillsyn/A 13271-2025 tillsynsbegäran.docx", "A 13271-2025")</f>
        <v/>
      </c>
      <c r="Y100">
        <f>HYPERLINK("https://klasma.github.io/Logging_0188/tillsynsmail/A 13271-2025 tillsynsbegäran mail.docx", "A 13271-2025")</f>
        <v/>
      </c>
    </row>
    <row r="101" ht="15" customHeight="1">
      <c r="A101" t="inlineStr">
        <is>
          <t>A 6381-2023</t>
        </is>
      </c>
      <c r="B101" s="1" t="n">
        <v>44965</v>
      </c>
      <c r="C101" s="1" t="n">
        <v>46012</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13291-2025</t>
        </is>
      </c>
      <c r="B102" s="1" t="n">
        <v>45735</v>
      </c>
      <c r="C102" s="1" t="n">
        <v>46012</v>
      </c>
      <c r="D102" t="inlineStr">
        <is>
          <t>STOCKHOLMS LÄN</t>
        </is>
      </c>
      <c r="E102" t="inlineStr">
        <is>
          <t>NORRTÄLJE</t>
        </is>
      </c>
      <c r="G102" t="n">
        <v>3.8</v>
      </c>
      <c r="H102" t="n">
        <v>1</v>
      </c>
      <c r="I102" t="n">
        <v>0</v>
      </c>
      <c r="J102" t="n">
        <v>0</v>
      </c>
      <c r="K102" t="n">
        <v>0</v>
      </c>
      <c r="L102" t="n">
        <v>0</v>
      </c>
      <c r="M102" t="n">
        <v>0</v>
      </c>
      <c r="N102" t="n">
        <v>0</v>
      </c>
      <c r="O102" t="n">
        <v>0</v>
      </c>
      <c r="P102" t="n">
        <v>0</v>
      </c>
      <c r="Q102" t="n">
        <v>1</v>
      </c>
      <c r="R102" s="2" t="inlineStr">
        <is>
          <t>Blåsippa</t>
        </is>
      </c>
      <c r="S102">
        <f>HYPERLINK("https://klasma.github.io/Logging_0188/artfynd/A 13291-2025 artfynd.xlsx", "A 13291-2025")</f>
        <v/>
      </c>
      <c r="T102">
        <f>HYPERLINK("https://klasma.github.io/Logging_0188/kartor/A 13291-2025 karta.png", "A 13291-2025")</f>
        <v/>
      </c>
      <c r="V102">
        <f>HYPERLINK("https://klasma.github.io/Logging_0188/klagomål/A 13291-2025 FSC-klagomål.docx", "A 13291-2025")</f>
        <v/>
      </c>
      <c r="W102">
        <f>HYPERLINK("https://klasma.github.io/Logging_0188/klagomålsmail/A 13291-2025 FSC-klagomål mail.docx", "A 13291-2025")</f>
        <v/>
      </c>
      <c r="X102">
        <f>HYPERLINK("https://klasma.github.io/Logging_0188/tillsyn/A 13291-2025 tillsynsbegäran.docx", "A 13291-2025")</f>
        <v/>
      </c>
      <c r="Y102">
        <f>HYPERLINK("https://klasma.github.io/Logging_0188/tillsynsmail/A 13291-2025 tillsynsbegäran mail.docx", "A 13291-2025")</f>
        <v/>
      </c>
    </row>
    <row r="103" ht="15" customHeight="1">
      <c r="A103" t="inlineStr">
        <is>
          <t>A 42313-2025</t>
        </is>
      </c>
      <c r="B103" s="1" t="n">
        <v>45904.6575</v>
      </c>
      <c r="C103" s="1" t="n">
        <v>46012</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29946-2025</t>
        </is>
      </c>
      <c r="B104" s="1" t="n">
        <v>45826.46392361111</v>
      </c>
      <c r="C104" s="1" t="n">
        <v>46012</v>
      </c>
      <c r="D104" t="inlineStr">
        <is>
          <t>STOCKHOLMS LÄN</t>
        </is>
      </c>
      <c r="E104" t="inlineStr">
        <is>
          <t>NORRTÄLJE</t>
        </is>
      </c>
      <c r="F104" t="inlineStr">
        <is>
          <t>Holmen skog AB</t>
        </is>
      </c>
      <c r="G104" t="n">
        <v>3.6</v>
      </c>
      <c r="H104" t="n">
        <v>1</v>
      </c>
      <c r="I104" t="n">
        <v>0</v>
      </c>
      <c r="J104" t="n">
        <v>0</v>
      </c>
      <c r="K104" t="n">
        <v>0</v>
      </c>
      <c r="L104" t="n">
        <v>1</v>
      </c>
      <c r="M104" t="n">
        <v>0</v>
      </c>
      <c r="N104" t="n">
        <v>0</v>
      </c>
      <c r="O104" t="n">
        <v>1</v>
      </c>
      <c r="P104" t="n">
        <v>1</v>
      </c>
      <c r="Q104" t="n">
        <v>1</v>
      </c>
      <c r="R104" s="2" t="inlineStr">
        <is>
          <t>Asknätfjäril</t>
        </is>
      </c>
      <c r="S104">
        <f>HYPERLINK("https://klasma.github.io/Logging_0188/artfynd/A 29946-2025 artfynd.xlsx", "A 29946-2025")</f>
        <v/>
      </c>
      <c r="T104">
        <f>HYPERLINK("https://klasma.github.io/Logging_0188/kartor/A 29946-2025 karta.png", "A 29946-2025")</f>
        <v/>
      </c>
      <c r="V104">
        <f>HYPERLINK("https://klasma.github.io/Logging_0188/klagomål/A 29946-2025 FSC-klagomål.docx", "A 29946-2025")</f>
        <v/>
      </c>
      <c r="W104">
        <f>HYPERLINK("https://klasma.github.io/Logging_0188/klagomålsmail/A 29946-2025 FSC-klagomål mail.docx", "A 29946-2025")</f>
        <v/>
      </c>
      <c r="X104">
        <f>HYPERLINK("https://klasma.github.io/Logging_0188/tillsyn/A 29946-2025 tillsynsbegäran.docx", "A 29946-2025")</f>
        <v/>
      </c>
      <c r="Y104">
        <f>HYPERLINK("https://klasma.github.io/Logging_0188/tillsynsmail/A 29946-2025 tillsynsbegäran mail.docx", "A 29946-2025")</f>
        <v/>
      </c>
    </row>
    <row r="105" ht="15" customHeight="1">
      <c r="A105" t="inlineStr">
        <is>
          <t>A 33548-2025</t>
        </is>
      </c>
      <c r="B105" s="1" t="n">
        <v>45841.5721875</v>
      </c>
      <c r="C105" s="1" t="n">
        <v>46012</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33546-2025</t>
        </is>
      </c>
      <c r="B106" s="1" t="n">
        <v>45841.56996527778</v>
      </c>
      <c r="C106" s="1" t="n">
        <v>46012</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58888-2021</t>
        </is>
      </c>
      <c r="B107" s="1" t="n">
        <v>44489</v>
      </c>
      <c r="C107" s="1" t="n">
        <v>46012</v>
      </c>
      <c r="D107" t="inlineStr">
        <is>
          <t>STOCKHOLMS LÄN</t>
        </is>
      </c>
      <c r="E107" t="inlineStr">
        <is>
          <t>NORRTÄLJE</t>
        </is>
      </c>
      <c r="F107" t="inlineStr">
        <is>
          <t>Holmen skog AB</t>
        </is>
      </c>
      <c r="G107" t="n">
        <v>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58888-2021 artfynd.xlsx", "A 58888-2021")</f>
        <v/>
      </c>
      <c r="T107">
        <f>HYPERLINK("https://klasma.github.io/Logging_0188/kartor/A 58888-2021 karta.png", "A 58888-2021")</f>
        <v/>
      </c>
      <c r="V107">
        <f>HYPERLINK("https://klasma.github.io/Logging_0188/klagomål/A 58888-2021 FSC-klagomål.docx", "A 58888-2021")</f>
        <v/>
      </c>
      <c r="W107">
        <f>HYPERLINK("https://klasma.github.io/Logging_0188/klagomålsmail/A 58888-2021 FSC-klagomål mail.docx", "A 58888-2021")</f>
        <v/>
      </c>
      <c r="X107">
        <f>HYPERLINK("https://klasma.github.io/Logging_0188/tillsyn/A 58888-2021 tillsynsbegäran.docx", "A 58888-2021")</f>
        <v/>
      </c>
      <c r="Y107">
        <f>HYPERLINK("https://klasma.github.io/Logging_0188/tillsynsmail/A 58888-2021 tillsynsbegäran mail.docx", "A 58888-2021")</f>
        <v/>
      </c>
    </row>
    <row r="108" ht="15" customHeight="1">
      <c r="A108" t="inlineStr">
        <is>
          <t>A 39158-2025</t>
        </is>
      </c>
      <c r="B108" s="1" t="n">
        <v>45888</v>
      </c>
      <c r="C108" s="1" t="n">
        <v>46012</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8371-2025</t>
        </is>
      </c>
      <c r="B109" s="1" t="n">
        <v>45708</v>
      </c>
      <c r="C109" s="1" t="n">
        <v>46012</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21744-2023</t>
        </is>
      </c>
      <c r="B110" s="1" t="n">
        <v>45065</v>
      </c>
      <c r="C110" s="1" t="n">
        <v>46012</v>
      </c>
      <c r="D110" t="inlineStr">
        <is>
          <t>STOCKHOLMS LÄN</t>
        </is>
      </c>
      <c r="E110" t="inlineStr">
        <is>
          <t>NORRTÄLJE</t>
        </is>
      </c>
      <c r="F110" t="inlineStr">
        <is>
          <t>Holmen skog AB</t>
        </is>
      </c>
      <c r="G110" t="n">
        <v>4.2</v>
      </c>
      <c r="H110" t="n">
        <v>0</v>
      </c>
      <c r="I110" t="n">
        <v>1</v>
      </c>
      <c r="J110" t="n">
        <v>0</v>
      </c>
      <c r="K110" t="n">
        <v>0</v>
      </c>
      <c r="L110" t="n">
        <v>0</v>
      </c>
      <c r="M110" t="n">
        <v>0</v>
      </c>
      <c r="N110" t="n">
        <v>0</v>
      </c>
      <c r="O110" t="n">
        <v>0</v>
      </c>
      <c r="P110" t="n">
        <v>0</v>
      </c>
      <c r="Q110" t="n">
        <v>1</v>
      </c>
      <c r="R110" s="2" t="inlineStr">
        <is>
          <t>Korallblylav</t>
        </is>
      </c>
      <c r="S110">
        <f>HYPERLINK("https://klasma.github.io/Logging_0188/artfynd/A 21744-2023 artfynd.xlsx", "A 21744-2023")</f>
        <v/>
      </c>
      <c r="T110">
        <f>HYPERLINK("https://klasma.github.io/Logging_0188/kartor/A 21744-2023 karta.png", "A 21744-2023")</f>
        <v/>
      </c>
      <c r="V110">
        <f>HYPERLINK("https://klasma.github.io/Logging_0188/klagomål/A 21744-2023 FSC-klagomål.docx", "A 21744-2023")</f>
        <v/>
      </c>
      <c r="W110">
        <f>HYPERLINK("https://klasma.github.io/Logging_0188/klagomålsmail/A 21744-2023 FSC-klagomål mail.docx", "A 21744-2023")</f>
        <v/>
      </c>
      <c r="X110">
        <f>HYPERLINK("https://klasma.github.io/Logging_0188/tillsyn/A 21744-2023 tillsynsbegäran.docx", "A 21744-2023")</f>
        <v/>
      </c>
      <c r="Y110">
        <f>HYPERLINK("https://klasma.github.io/Logging_0188/tillsynsmail/A 21744-2023 tillsynsbegäran mail.docx", "A 21744-2023")</f>
        <v/>
      </c>
    </row>
    <row r="111" ht="15" customHeight="1">
      <c r="A111" t="inlineStr">
        <is>
          <t>A 17952-2022</t>
        </is>
      </c>
      <c r="B111" s="1" t="n">
        <v>44683</v>
      </c>
      <c r="C111" s="1" t="n">
        <v>46012</v>
      </c>
      <c r="D111" t="inlineStr">
        <is>
          <t>STOCKHOLMS LÄN</t>
        </is>
      </c>
      <c r="E111" t="inlineStr">
        <is>
          <t>NORRTÄLJE</t>
        </is>
      </c>
      <c r="G111" t="n">
        <v>51.1</v>
      </c>
      <c r="H111" t="n">
        <v>0</v>
      </c>
      <c r="I111" t="n">
        <v>0</v>
      </c>
      <c r="J111" t="n">
        <v>0</v>
      </c>
      <c r="K111" t="n">
        <v>1</v>
      </c>
      <c r="L111" t="n">
        <v>0</v>
      </c>
      <c r="M111" t="n">
        <v>0</v>
      </c>
      <c r="N111" t="n">
        <v>0</v>
      </c>
      <c r="O111" t="n">
        <v>1</v>
      </c>
      <c r="P111" t="n">
        <v>1</v>
      </c>
      <c r="Q111" t="n">
        <v>1</v>
      </c>
      <c r="R111" s="2" t="inlineStr">
        <is>
          <t>Kattunvisslare</t>
        </is>
      </c>
      <c r="S111">
        <f>HYPERLINK("https://klasma.github.io/Logging_0188/artfynd/A 17952-2022 artfynd.xlsx", "A 17952-2022")</f>
        <v/>
      </c>
      <c r="T111">
        <f>HYPERLINK("https://klasma.github.io/Logging_0188/kartor/A 17952-2022 karta.png", "A 17952-2022")</f>
        <v/>
      </c>
      <c r="V111">
        <f>HYPERLINK("https://klasma.github.io/Logging_0188/klagomål/A 17952-2022 FSC-klagomål.docx", "A 17952-2022")</f>
        <v/>
      </c>
      <c r="W111">
        <f>HYPERLINK("https://klasma.github.io/Logging_0188/klagomålsmail/A 17952-2022 FSC-klagomål mail.docx", "A 17952-2022")</f>
        <v/>
      </c>
      <c r="X111">
        <f>HYPERLINK("https://klasma.github.io/Logging_0188/tillsyn/A 17952-2022 tillsynsbegäran.docx", "A 17952-2022")</f>
        <v/>
      </c>
      <c r="Y111">
        <f>HYPERLINK("https://klasma.github.io/Logging_0188/tillsynsmail/A 17952-2022 tillsynsbegäran mail.docx", "A 17952-2022")</f>
        <v/>
      </c>
    </row>
    <row r="112" ht="15" customHeight="1">
      <c r="A112" t="inlineStr">
        <is>
          <t>A 23146-2024</t>
        </is>
      </c>
      <c r="B112" s="1" t="n">
        <v>45450.63958333333</v>
      </c>
      <c r="C112" s="1" t="n">
        <v>46012</v>
      </c>
      <c r="D112" t="inlineStr">
        <is>
          <t>STOCKHOLMS LÄN</t>
        </is>
      </c>
      <c r="E112" t="inlineStr">
        <is>
          <t>NORRTÄLJE</t>
        </is>
      </c>
      <c r="F112" t="inlineStr">
        <is>
          <t>Kommuner</t>
        </is>
      </c>
      <c r="G112" t="n">
        <v>6</v>
      </c>
      <c r="H112" t="n">
        <v>0</v>
      </c>
      <c r="I112" t="n">
        <v>0</v>
      </c>
      <c r="J112" t="n">
        <v>1</v>
      </c>
      <c r="K112" t="n">
        <v>0</v>
      </c>
      <c r="L112" t="n">
        <v>0</v>
      </c>
      <c r="M112" t="n">
        <v>0</v>
      </c>
      <c r="N112" t="n">
        <v>0</v>
      </c>
      <c r="O112" t="n">
        <v>1</v>
      </c>
      <c r="P112" t="n">
        <v>0</v>
      </c>
      <c r="Q112" t="n">
        <v>1</v>
      </c>
      <c r="R112" s="2" t="inlineStr">
        <is>
          <t>Motaggsvamp</t>
        </is>
      </c>
      <c r="S112">
        <f>HYPERLINK("https://klasma.github.io/Logging_0188/artfynd/A 23146-2024 artfynd.xlsx", "A 23146-2024")</f>
        <v/>
      </c>
      <c r="T112">
        <f>HYPERLINK("https://klasma.github.io/Logging_0188/kartor/A 23146-2024 karta.png", "A 23146-2024")</f>
        <v/>
      </c>
      <c r="V112">
        <f>HYPERLINK("https://klasma.github.io/Logging_0188/klagomål/A 23146-2024 FSC-klagomål.docx", "A 23146-2024")</f>
        <v/>
      </c>
      <c r="W112">
        <f>HYPERLINK("https://klasma.github.io/Logging_0188/klagomålsmail/A 23146-2024 FSC-klagomål mail.docx", "A 23146-2024")</f>
        <v/>
      </c>
      <c r="X112">
        <f>HYPERLINK("https://klasma.github.io/Logging_0188/tillsyn/A 23146-2024 tillsynsbegäran.docx", "A 23146-2024")</f>
        <v/>
      </c>
      <c r="Y112">
        <f>HYPERLINK("https://klasma.github.io/Logging_0188/tillsynsmail/A 23146-2024 tillsynsbegäran mail.docx", "A 23146-2024")</f>
        <v/>
      </c>
    </row>
    <row r="113" ht="15" customHeight="1">
      <c r="A113" t="inlineStr">
        <is>
          <t>A 59682-2025</t>
        </is>
      </c>
      <c r="B113" s="1" t="n">
        <v>45992.47116898148</v>
      </c>
      <c r="C113" s="1" t="n">
        <v>46012</v>
      </c>
      <c r="D113" t="inlineStr">
        <is>
          <t>STOCKHOLMS LÄN</t>
        </is>
      </c>
      <c r="E113" t="inlineStr">
        <is>
          <t>NORRTÄLJE</t>
        </is>
      </c>
      <c r="G113" t="n">
        <v>1.6</v>
      </c>
      <c r="H113" t="n">
        <v>0</v>
      </c>
      <c r="I113" t="n">
        <v>1</v>
      </c>
      <c r="J113" t="n">
        <v>0</v>
      </c>
      <c r="K113" t="n">
        <v>0</v>
      </c>
      <c r="L113" t="n">
        <v>0</v>
      </c>
      <c r="M113" t="n">
        <v>0</v>
      </c>
      <c r="N113" t="n">
        <v>0</v>
      </c>
      <c r="O113" t="n">
        <v>0</v>
      </c>
      <c r="P113" t="n">
        <v>0</v>
      </c>
      <c r="Q113" t="n">
        <v>1</v>
      </c>
      <c r="R113" s="2" t="inlineStr">
        <is>
          <t>Grönpyrola</t>
        </is>
      </c>
      <c r="S113">
        <f>HYPERLINK("https://klasma.github.io/Logging_0188/artfynd/A 59682-2025 artfynd.xlsx", "A 59682-2025")</f>
        <v/>
      </c>
      <c r="T113">
        <f>HYPERLINK("https://klasma.github.io/Logging_0188/kartor/A 59682-2025 karta.png", "A 59682-2025")</f>
        <v/>
      </c>
      <c r="V113">
        <f>HYPERLINK("https://klasma.github.io/Logging_0188/klagomål/A 59682-2025 FSC-klagomål.docx", "A 59682-2025")</f>
        <v/>
      </c>
      <c r="W113">
        <f>HYPERLINK("https://klasma.github.io/Logging_0188/klagomålsmail/A 59682-2025 FSC-klagomål mail.docx", "A 59682-2025")</f>
        <v/>
      </c>
      <c r="X113">
        <f>HYPERLINK("https://klasma.github.io/Logging_0188/tillsyn/A 59682-2025 tillsynsbegäran.docx", "A 59682-2025")</f>
        <v/>
      </c>
      <c r="Y113">
        <f>HYPERLINK("https://klasma.github.io/Logging_0188/tillsynsmail/A 59682-2025 tillsynsbegäran mail.docx", "A 59682-2025")</f>
        <v/>
      </c>
    </row>
    <row r="114" ht="15" customHeight="1">
      <c r="A114" t="inlineStr">
        <is>
          <t>A 27538-2024</t>
        </is>
      </c>
      <c r="B114" s="1" t="n">
        <v>45474</v>
      </c>
      <c r="C114" s="1" t="n">
        <v>46012</v>
      </c>
      <c r="D114" t="inlineStr">
        <is>
          <t>STOCKHOLMS LÄN</t>
        </is>
      </c>
      <c r="E114" t="inlineStr">
        <is>
          <t>NORRTÄLJE</t>
        </is>
      </c>
      <c r="G114" t="n">
        <v>1.5</v>
      </c>
      <c r="H114" t="n">
        <v>1</v>
      </c>
      <c r="I114" t="n">
        <v>1</v>
      </c>
      <c r="J114" t="n">
        <v>0</v>
      </c>
      <c r="K114" t="n">
        <v>0</v>
      </c>
      <c r="L114" t="n">
        <v>0</v>
      </c>
      <c r="M114" t="n">
        <v>0</v>
      </c>
      <c r="N114" t="n">
        <v>0</v>
      </c>
      <c r="O114" t="n">
        <v>0</v>
      </c>
      <c r="P114" t="n">
        <v>0</v>
      </c>
      <c r="Q114" t="n">
        <v>1</v>
      </c>
      <c r="R114" s="2" t="inlineStr">
        <is>
          <t>Skogsknipprot</t>
        </is>
      </c>
      <c r="S114">
        <f>HYPERLINK("https://klasma.github.io/Logging_0188/artfynd/A 27538-2024 artfynd.xlsx", "A 27538-2024")</f>
        <v/>
      </c>
      <c r="T114">
        <f>HYPERLINK("https://klasma.github.io/Logging_0188/kartor/A 27538-2024 karta.png", "A 27538-2024")</f>
        <v/>
      </c>
      <c r="V114">
        <f>HYPERLINK("https://klasma.github.io/Logging_0188/klagomål/A 27538-2024 FSC-klagomål.docx", "A 27538-2024")</f>
        <v/>
      </c>
      <c r="W114">
        <f>HYPERLINK("https://klasma.github.io/Logging_0188/klagomålsmail/A 27538-2024 FSC-klagomål mail.docx", "A 27538-2024")</f>
        <v/>
      </c>
      <c r="X114">
        <f>HYPERLINK("https://klasma.github.io/Logging_0188/tillsyn/A 27538-2024 tillsynsbegäran.docx", "A 27538-2024")</f>
        <v/>
      </c>
      <c r="Y114">
        <f>HYPERLINK("https://klasma.github.io/Logging_0188/tillsynsmail/A 27538-2024 tillsynsbegäran mail.docx", "A 27538-2024")</f>
        <v/>
      </c>
    </row>
    <row r="115" ht="15" customHeight="1">
      <c r="A115" t="inlineStr">
        <is>
          <t>A 4385-2023</t>
        </is>
      </c>
      <c r="B115" s="1" t="n">
        <v>44955.71322916666</v>
      </c>
      <c r="C115" s="1" t="n">
        <v>46012</v>
      </c>
      <c r="D115" t="inlineStr">
        <is>
          <t>STOCKHOLMS LÄN</t>
        </is>
      </c>
      <c r="E115" t="inlineStr">
        <is>
          <t>NORRTÄLJE</t>
        </is>
      </c>
      <c r="G115" t="n">
        <v>7.8</v>
      </c>
      <c r="H115" t="n">
        <v>1</v>
      </c>
      <c r="I115" t="n">
        <v>1</v>
      </c>
      <c r="J115" t="n">
        <v>0</v>
      </c>
      <c r="K115" t="n">
        <v>0</v>
      </c>
      <c r="L115" t="n">
        <v>0</v>
      </c>
      <c r="M115" t="n">
        <v>0</v>
      </c>
      <c r="N115" t="n">
        <v>0</v>
      </c>
      <c r="O115" t="n">
        <v>0</v>
      </c>
      <c r="P115" t="n">
        <v>0</v>
      </c>
      <c r="Q115" t="n">
        <v>1</v>
      </c>
      <c r="R115" s="2" t="inlineStr">
        <is>
          <t>Skogsknipprot</t>
        </is>
      </c>
      <c r="S115">
        <f>HYPERLINK("https://klasma.github.io/Logging_0188/artfynd/A 4385-2023 artfynd.xlsx", "A 4385-2023")</f>
        <v/>
      </c>
      <c r="T115">
        <f>HYPERLINK("https://klasma.github.io/Logging_0188/kartor/A 4385-2023 karta.png", "A 4385-2023")</f>
        <v/>
      </c>
      <c r="V115">
        <f>HYPERLINK("https://klasma.github.io/Logging_0188/klagomål/A 4385-2023 FSC-klagomål.docx", "A 4385-2023")</f>
        <v/>
      </c>
      <c r="W115">
        <f>HYPERLINK("https://klasma.github.io/Logging_0188/klagomålsmail/A 4385-2023 FSC-klagomål mail.docx", "A 4385-2023")</f>
        <v/>
      </c>
      <c r="X115">
        <f>HYPERLINK("https://klasma.github.io/Logging_0188/tillsyn/A 4385-2023 tillsynsbegäran.docx", "A 4385-2023")</f>
        <v/>
      </c>
      <c r="Y115">
        <f>HYPERLINK("https://klasma.github.io/Logging_0188/tillsynsmail/A 4385-2023 tillsynsbegäran mail.docx", "A 4385-2023")</f>
        <v/>
      </c>
    </row>
    <row r="116" ht="15" customHeight="1">
      <c r="A116" t="inlineStr">
        <is>
          <t>A 24330-2023</t>
        </is>
      </c>
      <c r="B116" s="1" t="n">
        <v>45081</v>
      </c>
      <c r="C116" s="1" t="n">
        <v>46012</v>
      </c>
      <c r="D116" t="inlineStr">
        <is>
          <t>STOCKHOLMS LÄN</t>
        </is>
      </c>
      <c r="E116" t="inlineStr">
        <is>
          <t>NORRTÄLJE</t>
        </is>
      </c>
      <c r="G116" t="n">
        <v>5</v>
      </c>
      <c r="H116" t="n">
        <v>1</v>
      </c>
      <c r="I116" t="n">
        <v>0</v>
      </c>
      <c r="J116" t="n">
        <v>1</v>
      </c>
      <c r="K116" t="n">
        <v>0</v>
      </c>
      <c r="L116" t="n">
        <v>0</v>
      </c>
      <c r="M116" t="n">
        <v>0</v>
      </c>
      <c r="N116" t="n">
        <v>0</v>
      </c>
      <c r="O116" t="n">
        <v>1</v>
      </c>
      <c r="P116" t="n">
        <v>0</v>
      </c>
      <c r="Q116" t="n">
        <v>1</v>
      </c>
      <c r="R116" s="2" t="inlineStr">
        <is>
          <t>Mindre hackspett</t>
        </is>
      </c>
      <c r="S116">
        <f>HYPERLINK("https://klasma.github.io/Logging_0188/artfynd/A 24330-2023 artfynd.xlsx", "A 24330-2023")</f>
        <v/>
      </c>
      <c r="T116">
        <f>HYPERLINK("https://klasma.github.io/Logging_0188/kartor/A 24330-2023 karta.png", "A 24330-2023")</f>
        <v/>
      </c>
      <c r="V116">
        <f>HYPERLINK("https://klasma.github.io/Logging_0188/klagomål/A 24330-2023 FSC-klagomål.docx", "A 24330-2023")</f>
        <v/>
      </c>
      <c r="W116">
        <f>HYPERLINK("https://klasma.github.io/Logging_0188/klagomålsmail/A 24330-2023 FSC-klagomål mail.docx", "A 24330-2023")</f>
        <v/>
      </c>
      <c r="X116">
        <f>HYPERLINK("https://klasma.github.io/Logging_0188/tillsyn/A 24330-2023 tillsynsbegäran.docx", "A 24330-2023")</f>
        <v/>
      </c>
      <c r="Y116">
        <f>HYPERLINK("https://klasma.github.io/Logging_0188/tillsynsmail/A 24330-2023 tillsynsbegäran mail.docx", "A 24330-2023")</f>
        <v/>
      </c>
      <c r="Z116">
        <f>HYPERLINK("https://klasma.github.io/Logging_0188/fåglar/A 24330-2023 prioriterade fågelarter.docx", "A 24330-2023")</f>
        <v/>
      </c>
    </row>
    <row r="117" ht="15" customHeight="1">
      <c r="A117" t="inlineStr">
        <is>
          <t>A 24535-2023</t>
        </is>
      </c>
      <c r="B117" s="1" t="n">
        <v>45082</v>
      </c>
      <c r="C117" s="1" t="n">
        <v>46012</v>
      </c>
      <c r="D117" t="inlineStr">
        <is>
          <t>STOCKHOLMS LÄN</t>
        </is>
      </c>
      <c r="E117" t="inlineStr">
        <is>
          <t>NORRTÄLJE</t>
        </is>
      </c>
      <c r="F117" t="inlineStr">
        <is>
          <t>Kommuner</t>
        </is>
      </c>
      <c r="G117" t="n">
        <v>2</v>
      </c>
      <c r="H117" t="n">
        <v>1</v>
      </c>
      <c r="I117" t="n">
        <v>0</v>
      </c>
      <c r="J117" t="n">
        <v>0</v>
      </c>
      <c r="K117" t="n">
        <v>0</v>
      </c>
      <c r="L117" t="n">
        <v>0</v>
      </c>
      <c r="M117" t="n">
        <v>0</v>
      </c>
      <c r="N117" t="n">
        <v>0</v>
      </c>
      <c r="O117" t="n">
        <v>0</v>
      </c>
      <c r="P117" t="n">
        <v>0</v>
      </c>
      <c r="Q117" t="n">
        <v>1</v>
      </c>
      <c r="R117" s="2" t="inlineStr">
        <is>
          <t>Blåsippa</t>
        </is>
      </c>
      <c r="S117">
        <f>HYPERLINK("https://klasma.github.io/Logging_0188/artfynd/A 24535-2023 artfynd.xlsx", "A 24535-2023")</f>
        <v/>
      </c>
      <c r="T117">
        <f>HYPERLINK("https://klasma.github.io/Logging_0188/kartor/A 24535-2023 karta.png", "A 24535-2023")</f>
        <v/>
      </c>
      <c r="V117">
        <f>HYPERLINK("https://klasma.github.io/Logging_0188/klagomål/A 24535-2023 FSC-klagomål.docx", "A 24535-2023")</f>
        <v/>
      </c>
      <c r="W117">
        <f>HYPERLINK("https://klasma.github.io/Logging_0188/klagomålsmail/A 24535-2023 FSC-klagomål mail.docx", "A 24535-2023")</f>
        <v/>
      </c>
      <c r="X117">
        <f>HYPERLINK("https://klasma.github.io/Logging_0188/tillsyn/A 24535-2023 tillsynsbegäran.docx", "A 24535-2023")</f>
        <v/>
      </c>
      <c r="Y117">
        <f>HYPERLINK("https://klasma.github.io/Logging_0188/tillsynsmail/A 24535-2023 tillsynsbegäran mail.docx", "A 24535-2023")</f>
        <v/>
      </c>
    </row>
    <row r="118" ht="15" customHeight="1">
      <c r="A118" t="inlineStr">
        <is>
          <t>A 52775-2025</t>
        </is>
      </c>
      <c r="B118" s="1" t="n">
        <v>45957.41608796296</v>
      </c>
      <c r="C118" s="1" t="n">
        <v>46012</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53716-2025</t>
        </is>
      </c>
      <c r="B119" s="1" t="n">
        <v>45960.61782407408</v>
      </c>
      <c r="C119" s="1" t="n">
        <v>46012</v>
      </c>
      <c r="D119" t="inlineStr">
        <is>
          <t>STOCKHOLMS LÄN</t>
        </is>
      </c>
      <c r="E119" t="inlineStr">
        <is>
          <t>NORRTÄLJE</t>
        </is>
      </c>
      <c r="G119" t="n">
        <v>3.4</v>
      </c>
      <c r="H119" t="n">
        <v>0</v>
      </c>
      <c r="I119" t="n">
        <v>0</v>
      </c>
      <c r="J119" t="n">
        <v>0</v>
      </c>
      <c r="K119" t="n">
        <v>0</v>
      </c>
      <c r="L119" t="n">
        <v>1</v>
      </c>
      <c r="M119" t="n">
        <v>0</v>
      </c>
      <c r="N119" t="n">
        <v>0</v>
      </c>
      <c r="O119" t="n">
        <v>1</v>
      </c>
      <c r="P119" t="n">
        <v>1</v>
      </c>
      <c r="Q119" t="n">
        <v>1</v>
      </c>
      <c r="R119" s="2" t="inlineStr">
        <is>
          <t>Fältgentiana</t>
        </is>
      </c>
      <c r="S119">
        <f>HYPERLINK("https://klasma.github.io/Logging_0188/artfynd/A 53716-2025 artfynd.xlsx", "A 53716-2025")</f>
        <v/>
      </c>
      <c r="T119">
        <f>HYPERLINK("https://klasma.github.io/Logging_0188/kartor/A 53716-2025 karta.png", "A 53716-2025")</f>
        <v/>
      </c>
      <c r="V119">
        <f>HYPERLINK("https://klasma.github.io/Logging_0188/klagomål/A 53716-2025 FSC-klagomål.docx", "A 53716-2025")</f>
        <v/>
      </c>
      <c r="W119">
        <f>HYPERLINK("https://klasma.github.io/Logging_0188/klagomålsmail/A 53716-2025 FSC-klagomål mail.docx", "A 53716-2025")</f>
        <v/>
      </c>
      <c r="X119">
        <f>HYPERLINK("https://klasma.github.io/Logging_0188/tillsyn/A 53716-2025 tillsynsbegäran.docx", "A 53716-2025")</f>
        <v/>
      </c>
      <c r="Y119">
        <f>HYPERLINK("https://klasma.github.io/Logging_0188/tillsynsmail/A 53716-2025 tillsynsbegäran mail.docx", "A 53716-2025")</f>
        <v/>
      </c>
    </row>
    <row r="120" ht="15" customHeight="1">
      <c r="A120" t="inlineStr">
        <is>
          <t>A 26635-2023</t>
        </is>
      </c>
      <c r="B120" s="1" t="n">
        <v>45092</v>
      </c>
      <c r="C120" s="1" t="n">
        <v>46012</v>
      </c>
      <c r="D120" t="inlineStr">
        <is>
          <t>STOCKHOLMS LÄN</t>
        </is>
      </c>
      <c r="E120" t="inlineStr">
        <is>
          <t>NORRTÄLJE</t>
        </is>
      </c>
      <c r="G120" t="n">
        <v>3.1</v>
      </c>
      <c r="H120" t="n">
        <v>1</v>
      </c>
      <c r="I120" t="n">
        <v>0</v>
      </c>
      <c r="J120" t="n">
        <v>0</v>
      </c>
      <c r="K120" t="n">
        <v>0</v>
      </c>
      <c r="L120" t="n">
        <v>0</v>
      </c>
      <c r="M120" t="n">
        <v>0</v>
      </c>
      <c r="N120" t="n">
        <v>0</v>
      </c>
      <c r="O120" t="n">
        <v>0</v>
      </c>
      <c r="P120" t="n">
        <v>0</v>
      </c>
      <c r="Q120" t="n">
        <v>1</v>
      </c>
      <c r="R120" s="2" t="inlineStr">
        <is>
          <t>Fläcknycklar</t>
        </is>
      </c>
      <c r="S120">
        <f>HYPERLINK("https://klasma.github.io/Logging_0188/artfynd/A 26635-2023 artfynd.xlsx", "A 26635-2023")</f>
        <v/>
      </c>
      <c r="T120">
        <f>HYPERLINK("https://klasma.github.io/Logging_0188/kartor/A 26635-2023 karta.png", "A 26635-2023")</f>
        <v/>
      </c>
      <c r="V120">
        <f>HYPERLINK("https://klasma.github.io/Logging_0188/klagomål/A 26635-2023 FSC-klagomål.docx", "A 26635-2023")</f>
        <v/>
      </c>
      <c r="W120">
        <f>HYPERLINK("https://klasma.github.io/Logging_0188/klagomålsmail/A 26635-2023 FSC-klagomål mail.docx", "A 26635-2023")</f>
        <v/>
      </c>
      <c r="X120">
        <f>HYPERLINK("https://klasma.github.io/Logging_0188/tillsyn/A 26635-2023 tillsynsbegäran.docx", "A 26635-2023")</f>
        <v/>
      </c>
      <c r="Y120">
        <f>HYPERLINK("https://klasma.github.io/Logging_0188/tillsynsmail/A 26635-2023 tillsynsbegäran mail.docx", "A 26635-2023")</f>
        <v/>
      </c>
    </row>
    <row r="121" ht="15" customHeight="1">
      <c r="A121" t="inlineStr">
        <is>
          <t>A 19829-2022</t>
        </is>
      </c>
      <c r="B121" s="1" t="n">
        <v>44695.43527777777</v>
      </c>
      <c r="C121" s="1" t="n">
        <v>46012</v>
      </c>
      <c r="D121" t="inlineStr">
        <is>
          <t>STOCKHOLMS LÄN</t>
        </is>
      </c>
      <c r="E121" t="inlineStr">
        <is>
          <t>NORRTÄLJE</t>
        </is>
      </c>
      <c r="G121" t="n">
        <v>2</v>
      </c>
      <c r="H121" t="n">
        <v>1</v>
      </c>
      <c r="I121" t="n">
        <v>1</v>
      </c>
      <c r="J121" t="n">
        <v>0</v>
      </c>
      <c r="K121" t="n">
        <v>0</v>
      </c>
      <c r="L121" t="n">
        <v>0</v>
      </c>
      <c r="M121" t="n">
        <v>0</v>
      </c>
      <c r="N121" t="n">
        <v>0</v>
      </c>
      <c r="O121" t="n">
        <v>0</v>
      </c>
      <c r="P121" t="n">
        <v>0</v>
      </c>
      <c r="Q121" t="n">
        <v>1</v>
      </c>
      <c r="R121" s="2" t="inlineStr">
        <is>
          <t>Guckusko</t>
        </is>
      </c>
      <c r="S121">
        <f>HYPERLINK("https://klasma.github.io/Logging_0188/artfynd/A 19829-2022 artfynd.xlsx", "A 19829-2022")</f>
        <v/>
      </c>
      <c r="T121">
        <f>HYPERLINK("https://klasma.github.io/Logging_0188/kartor/A 19829-2022 karta.png", "A 19829-2022")</f>
        <v/>
      </c>
      <c r="V121">
        <f>HYPERLINK("https://klasma.github.io/Logging_0188/klagomål/A 19829-2022 FSC-klagomål.docx", "A 19829-2022")</f>
        <v/>
      </c>
      <c r="W121">
        <f>HYPERLINK("https://klasma.github.io/Logging_0188/klagomålsmail/A 19829-2022 FSC-klagomål mail.docx", "A 19829-2022")</f>
        <v/>
      </c>
      <c r="X121">
        <f>HYPERLINK("https://klasma.github.io/Logging_0188/tillsyn/A 19829-2022 tillsynsbegäran.docx", "A 19829-2022")</f>
        <v/>
      </c>
      <c r="Y121">
        <f>HYPERLINK("https://klasma.github.io/Logging_0188/tillsynsmail/A 19829-2022 tillsynsbegäran mail.docx", "A 19829-2022")</f>
        <v/>
      </c>
    </row>
    <row r="122" ht="15" customHeight="1">
      <c r="A122" t="inlineStr">
        <is>
          <t>A 16870-2025</t>
        </is>
      </c>
      <c r="B122" s="1" t="n">
        <v>45754</v>
      </c>
      <c r="C122" s="1" t="n">
        <v>46012</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62715-2025</t>
        </is>
      </c>
      <c r="B123" s="1" t="n">
        <v>46008.52034722222</v>
      </c>
      <c r="C123" s="1" t="n">
        <v>46012</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35691-2023</t>
        </is>
      </c>
      <c r="B124" s="1" t="n">
        <v>45147.65222222222</v>
      </c>
      <c r="C124" s="1" t="n">
        <v>46012</v>
      </c>
      <c r="D124" t="inlineStr">
        <is>
          <t>STOCKHOLMS LÄN</t>
        </is>
      </c>
      <c r="E124" t="inlineStr">
        <is>
          <t>NORRTÄLJE</t>
        </is>
      </c>
      <c r="G124" t="n">
        <v>2.3</v>
      </c>
      <c r="H124" t="n">
        <v>1</v>
      </c>
      <c r="I124" t="n">
        <v>0</v>
      </c>
      <c r="J124" t="n">
        <v>0</v>
      </c>
      <c r="K124" t="n">
        <v>0</v>
      </c>
      <c r="L124" t="n">
        <v>0</v>
      </c>
      <c r="M124" t="n">
        <v>0</v>
      </c>
      <c r="N124" t="n">
        <v>0</v>
      </c>
      <c r="O124" t="n">
        <v>0</v>
      </c>
      <c r="P124" t="n">
        <v>0</v>
      </c>
      <c r="Q124" t="n">
        <v>1</v>
      </c>
      <c r="R124" s="2" t="inlineStr">
        <is>
          <t>Kungsfågel</t>
        </is>
      </c>
      <c r="S124">
        <f>HYPERLINK("https://klasma.github.io/Logging_0188/artfynd/A 35691-2023 artfynd.xlsx", "A 35691-2023")</f>
        <v/>
      </c>
      <c r="T124">
        <f>HYPERLINK("https://klasma.github.io/Logging_0188/kartor/A 35691-2023 karta.png", "A 35691-2023")</f>
        <v/>
      </c>
      <c r="V124">
        <f>HYPERLINK("https://klasma.github.io/Logging_0188/klagomål/A 35691-2023 FSC-klagomål.docx", "A 35691-2023")</f>
        <v/>
      </c>
      <c r="W124">
        <f>HYPERLINK("https://klasma.github.io/Logging_0188/klagomålsmail/A 35691-2023 FSC-klagomål mail.docx", "A 35691-2023")</f>
        <v/>
      </c>
      <c r="X124">
        <f>HYPERLINK("https://klasma.github.io/Logging_0188/tillsyn/A 35691-2023 tillsynsbegäran.docx", "A 35691-2023")</f>
        <v/>
      </c>
      <c r="Y124">
        <f>HYPERLINK("https://klasma.github.io/Logging_0188/tillsynsmail/A 35691-2023 tillsynsbegäran mail.docx", "A 35691-2023")</f>
        <v/>
      </c>
      <c r="Z124">
        <f>HYPERLINK("https://klasma.github.io/Logging_0188/fåglar/A 35691-2023 prioriterade fågelarter.docx", "A 35691-2023")</f>
        <v/>
      </c>
    </row>
    <row r="125" ht="15" customHeight="1">
      <c r="A125" t="inlineStr">
        <is>
          <t>A 35693-2023</t>
        </is>
      </c>
      <c r="B125" s="1" t="n">
        <v>45147.65311342593</v>
      </c>
      <c r="C125" s="1" t="n">
        <v>46012</v>
      </c>
      <c r="D125" t="inlineStr">
        <is>
          <t>STOCKHOLMS LÄN</t>
        </is>
      </c>
      <c r="E125" t="inlineStr">
        <is>
          <t>NORRTÄLJE</t>
        </is>
      </c>
      <c r="G125" t="n">
        <v>2.2</v>
      </c>
      <c r="H125" t="n">
        <v>0</v>
      </c>
      <c r="I125" t="n">
        <v>0</v>
      </c>
      <c r="J125" t="n">
        <v>1</v>
      </c>
      <c r="K125" t="n">
        <v>0</v>
      </c>
      <c r="L125" t="n">
        <v>0</v>
      </c>
      <c r="M125" t="n">
        <v>0</v>
      </c>
      <c r="N125" t="n">
        <v>0</v>
      </c>
      <c r="O125" t="n">
        <v>1</v>
      </c>
      <c r="P125" t="n">
        <v>0</v>
      </c>
      <c r="Q125" t="n">
        <v>1</v>
      </c>
      <c r="R125" s="2" t="inlineStr">
        <is>
          <t>Motaggsvamp</t>
        </is>
      </c>
      <c r="S125">
        <f>HYPERLINK("https://klasma.github.io/Logging_0188/artfynd/A 35693-2023 artfynd.xlsx", "A 35693-2023")</f>
        <v/>
      </c>
      <c r="T125">
        <f>HYPERLINK("https://klasma.github.io/Logging_0188/kartor/A 35693-2023 karta.png", "A 35693-2023")</f>
        <v/>
      </c>
      <c r="V125">
        <f>HYPERLINK("https://klasma.github.io/Logging_0188/klagomål/A 35693-2023 FSC-klagomål.docx", "A 35693-2023")</f>
        <v/>
      </c>
      <c r="W125">
        <f>HYPERLINK("https://klasma.github.io/Logging_0188/klagomålsmail/A 35693-2023 FSC-klagomål mail.docx", "A 35693-2023")</f>
        <v/>
      </c>
      <c r="X125">
        <f>HYPERLINK("https://klasma.github.io/Logging_0188/tillsyn/A 35693-2023 tillsynsbegäran.docx", "A 35693-2023")</f>
        <v/>
      </c>
      <c r="Y125">
        <f>HYPERLINK("https://klasma.github.io/Logging_0188/tillsynsmail/A 35693-2023 tillsynsbegäran mail.docx", "A 35693-2023")</f>
        <v/>
      </c>
    </row>
    <row r="126" ht="15" customHeight="1">
      <c r="A126" t="inlineStr">
        <is>
          <t>A 63292-2025</t>
        </is>
      </c>
      <c r="B126" s="1" t="n">
        <v>46010.59232638889</v>
      </c>
      <c r="C126" s="1" t="n">
        <v>46012</v>
      </c>
      <c r="D126" t="inlineStr">
        <is>
          <t>STOCKHOLMS LÄN</t>
        </is>
      </c>
      <c r="E126" t="inlineStr">
        <is>
          <t>NORRTÄLJE</t>
        </is>
      </c>
      <c r="G126" t="n">
        <v>11.1</v>
      </c>
      <c r="H126" t="n">
        <v>1</v>
      </c>
      <c r="I126" t="n">
        <v>1</v>
      </c>
      <c r="J126" t="n">
        <v>0</v>
      </c>
      <c r="K126" t="n">
        <v>0</v>
      </c>
      <c r="L126" t="n">
        <v>0</v>
      </c>
      <c r="M126" t="n">
        <v>0</v>
      </c>
      <c r="N126" t="n">
        <v>0</v>
      </c>
      <c r="O126" t="n">
        <v>0</v>
      </c>
      <c r="P126" t="n">
        <v>0</v>
      </c>
      <c r="Q126" t="n">
        <v>1</v>
      </c>
      <c r="R126" s="2" t="inlineStr">
        <is>
          <t>Nästrot</t>
        </is>
      </c>
      <c r="S126">
        <f>HYPERLINK("https://klasma.github.io/Logging_0188/artfynd/A 63292-2025 artfynd.xlsx", "A 63292-2025")</f>
        <v/>
      </c>
      <c r="T126">
        <f>HYPERLINK("https://klasma.github.io/Logging_0188/kartor/A 63292-2025 karta.png", "A 63292-2025")</f>
        <v/>
      </c>
      <c r="V126">
        <f>HYPERLINK("https://klasma.github.io/Logging_0188/klagomål/A 63292-2025 FSC-klagomål.docx", "A 63292-2025")</f>
        <v/>
      </c>
      <c r="W126">
        <f>HYPERLINK("https://klasma.github.io/Logging_0188/klagomålsmail/A 63292-2025 FSC-klagomål mail.docx", "A 63292-2025")</f>
        <v/>
      </c>
      <c r="X126">
        <f>HYPERLINK("https://klasma.github.io/Logging_0188/tillsyn/A 63292-2025 tillsynsbegäran.docx", "A 63292-2025")</f>
        <v/>
      </c>
      <c r="Y126">
        <f>HYPERLINK("https://klasma.github.io/Logging_0188/tillsynsmail/A 63292-2025 tillsynsbegäran mail.docx", "A 63292-2025")</f>
        <v/>
      </c>
    </row>
    <row r="127" ht="15" customHeight="1">
      <c r="A127" t="inlineStr">
        <is>
          <t>A 4532-2025</t>
        </is>
      </c>
      <c r="B127" s="1" t="n">
        <v>45687.34177083334</v>
      </c>
      <c r="C127" s="1" t="n">
        <v>46012</v>
      </c>
      <c r="D127" t="inlineStr">
        <is>
          <t>STOCKHOLMS LÄN</t>
        </is>
      </c>
      <c r="E127" t="inlineStr">
        <is>
          <t>NORRTÄLJE</t>
        </is>
      </c>
      <c r="F127" t="inlineStr">
        <is>
          <t>Holmen skog AB</t>
        </is>
      </c>
      <c r="G127" t="n">
        <v>6.4</v>
      </c>
      <c r="H127" t="n">
        <v>1</v>
      </c>
      <c r="I127" t="n">
        <v>0</v>
      </c>
      <c r="J127" t="n">
        <v>0</v>
      </c>
      <c r="K127" t="n">
        <v>0</v>
      </c>
      <c r="L127" t="n">
        <v>1</v>
      </c>
      <c r="M127" t="n">
        <v>0</v>
      </c>
      <c r="N127" t="n">
        <v>0</v>
      </c>
      <c r="O127" t="n">
        <v>1</v>
      </c>
      <c r="P127" t="n">
        <v>1</v>
      </c>
      <c r="Q127" t="n">
        <v>1</v>
      </c>
      <c r="R127" s="2" t="inlineStr">
        <is>
          <t>Asknätfjäril</t>
        </is>
      </c>
      <c r="S127">
        <f>HYPERLINK("https://klasma.github.io/Logging_0188/artfynd/A 4532-2025 artfynd.xlsx", "A 4532-2025")</f>
        <v/>
      </c>
      <c r="T127">
        <f>HYPERLINK("https://klasma.github.io/Logging_0188/kartor/A 4532-2025 karta.png", "A 4532-2025")</f>
        <v/>
      </c>
      <c r="V127">
        <f>HYPERLINK("https://klasma.github.io/Logging_0188/klagomål/A 4532-2025 FSC-klagomål.docx", "A 4532-2025")</f>
        <v/>
      </c>
      <c r="W127">
        <f>HYPERLINK("https://klasma.github.io/Logging_0188/klagomålsmail/A 4532-2025 FSC-klagomål mail.docx", "A 4532-2025")</f>
        <v/>
      </c>
      <c r="X127">
        <f>HYPERLINK("https://klasma.github.io/Logging_0188/tillsyn/A 4532-2025 tillsynsbegäran.docx", "A 4532-2025")</f>
        <v/>
      </c>
      <c r="Y127">
        <f>HYPERLINK("https://klasma.github.io/Logging_0188/tillsynsmail/A 4532-2025 tillsynsbegäran mail.docx", "A 4532-2025")</f>
        <v/>
      </c>
    </row>
    <row r="128" ht="15" customHeight="1">
      <c r="A128" t="inlineStr">
        <is>
          <t>A 14365-2025</t>
        </is>
      </c>
      <c r="B128" s="1" t="n">
        <v>45741.38688657407</v>
      </c>
      <c r="C128" s="1" t="n">
        <v>46012</v>
      </c>
      <c r="D128" t="inlineStr">
        <is>
          <t>STOCKHOLMS LÄN</t>
        </is>
      </c>
      <c r="E128" t="inlineStr">
        <is>
          <t>NORRTÄLJE</t>
        </is>
      </c>
      <c r="G128" t="n">
        <v>2.4</v>
      </c>
      <c r="H128" t="n">
        <v>0</v>
      </c>
      <c r="I128" t="n">
        <v>0</v>
      </c>
      <c r="J128" t="n">
        <v>1</v>
      </c>
      <c r="K128" t="n">
        <v>0</v>
      </c>
      <c r="L128" t="n">
        <v>0</v>
      </c>
      <c r="M128" t="n">
        <v>0</v>
      </c>
      <c r="N128" t="n">
        <v>0</v>
      </c>
      <c r="O128" t="n">
        <v>1</v>
      </c>
      <c r="P128" t="n">
        <v>0</v>
      </c>
      <c r="Q128" t="n">
        <v>1</v>
      </c>
      <c r="R128" s="2" t="inlineStr">
        <is>
          <t>Granticka</t>
        </is>
      </c>
      <c r="S128">
        <f>HYPERLINK("https://klasma.github.io/Logging_0188/artfynd/A 14365-2025 artfynd.xlsx", "A 14365-2025")</f>
        <v/>
      </c>
      <c r="T128">
        <f>HYPERLINK("https://klasma.github.io/Logging_0188/kartor/A 14365-2025 karta.png", "A 14365-2025")</f>
        <v/>
      </c>
      <c r="V128">
        <f>HYPERLINK("https://klasma.github.io/Logging_0188/klagomål/A 14365-2025 FSC-klagomål.docx", "A 14365-2025")</f>
        <v/>
      </c>
      <c r="W128">
        <f>HYPERLINK("https://klasma.github.io/Logging_0188/klagomålsmail/A 14365-2025 FSC-klagomål mail.docx", "A 14365-2025")</f>
        <v/>
      </c>
      <c r="X128">
        <f>HYPERLINK("https://klasma.github.io/Logging_0188/tillsyn/A 14365-2025 tillsynsbegäran.docx", "A 14365-2025")</f>
        <v/>
      </c>
      <c r="Y128">
        <f>HYPERLINK("https://klasma.github.io/Logging_0188/tillsynsmail/A 14365-2025 tillsynsbegäran mail.docx", "A 14365-2025")</f>
        <v/>
      </c>
    </row>
    <row r="129" ht="15" customHeight="1">
      <c r="A129" t="inlineStr">
        <is>
          <t>A 21150-2022</t>
        </is>
      </c>
      <c r="B129" s="1" t="n">
        <v>44704</v>
      </c>
      <c r="C129" s="1" t="n">
        <v>46012</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1162-2021</t>
        </is>
      </c>
      <c r="B130" s="1" t="n">
        <v>44207</v>
      </c>
      <c r="C130" s="1" t="n">
        <v>46012</v>
      </c>
      <c r="D130" t="inlineStr">
        <is>
          <t>STOCKHOLMS LÄN</t>
        </is>
      </c>
      <c r="E130" t="inlineStr">
        <is>
          <t>NORRTÄLJE</t>
        </is>
      </c>
      <c r="G130" t="n">
        <v>2.2</v>
      </c>
      <c r="H130" t="n">
        <v>1</v>
      </c>
      <c r="I130" t="n">
        <v>0</v>
      </c>
      <c r="J130" t="n">
        <v>0</v>
      </c>
      <c r="K130" t="n">
        <v>1</v>
      </c>
      <c r="L130" t="n">
        <v>0</v>
      </c>
      <c r="M130" t="n">
        <v>0</v>
      </c>
      <c r="N130" t="n">
        <v>0</v>
      </c>
      <c r="O130" t="n">
        <v>1</v>
      </c>
      <c r="P130" t="n">
        <v>1</v>
      </c>
      <c r="Q130" t="n">
        <v>1</v>
      </c>
      <c r="R130" s="2" t="inlineStr">
        <is>
          <t>Hällebräcka</t>
        </is>
      </c>
      <c r="S130">
        <f>HYPERLINK("https://klasma.github.io/Logging_0188/artfynd/A 1162-2021 artfynd.xlsx", "A 1162-2021")</f>
        <v/>
      </c>
      <c r="T130">
        <f>HYPERLINK("https://klasma.github.io/Logging_0188/kartor/A 1162-2021 karta.png", "A 1162-2021")</f>
        <v/>
      </c>
      <c r="V130">
        <f>HYPERLINK("https://klasma.github.io/Logging_0188/klagomål/A 1162-2021 FSC-klagomål.docx", "A 1162-2021")</f>
        <v/>
      </c>
      <c r="W130">
        <f>HYPERLINK("https://klasma.github.io/Logging_0188/klagomålsmail/A 1162-2021 FSC-klagomål mail.docx", "A 1162-2021")</f>
        <v/>
      </c>
      <c r="X130">
        <f>HYPERLINK("https://klasma.github.io/Logging_0188/tillsyn/A 1162-2021 tillsynsbegäran.docx", "A 1162-2021")</f>
        <v/>
      </c>
      <c r="Y130">
        <f>HYPERLINK("https://klasma.github.io/Logging_0188/tillsynsmail/A 1162-2021 tillsynsbegäran mail.docx", "A 1162-2021")</f>
        <v/>
      </c>
    </row>
    <row r="131" ht="15" customHeight="1">
      <c r="A131" t="inlineStr">
        <is>
          <t>A 26120-2024</t>
        </is>
      </c>
      <c r="B131" s="1" t="n">
        <v>45468.45995370371</v>
      </c>
      <c r="C131" s="1" t="n">
        <v>46012</v>
      </c>
      <c r="D131" t="inlineStr">
        <is>
          <t>STOCKHOLMS LÄN</t>
        </is>
      </c>
      <c r="E131" t="inlineStr">
        <is>
          <t>NORRTÄLJE</t>
        </is>
      </c>
      <c r="G131" t="n">
        <v>1.8</v>
      </c>
      <c r="H131" t="n">
        <v>0</v>
      </c>
      <c r="I131" t="n">
        <v>0</v>
      </c>
      <c r="J131" t="n">
        <v>1</v>
      </c>
      <c r="K131" t="n">
        <v>0</v>
      </c>
      <c r="L131" t="n">
        <v>0</v>
      </c>
      <c r="M131" t="n">
        <v>0</v>
      </c>
      <c r="N131" t="n">
        <v>0</v>
      </c>
      <c r="O131" t="n">
        <v>1</v>
      </c>
      <c r="P131" t="n">
        <v>0</v>
      </c>
      <c r="Q131" t="n">
        <v>1</v>
      </c>
      <c r="R131" s="2" t="inlineStr">
        <is>
          <t>Majviva</t>
        </is>
      </c>
      <c r="S131">
        <f>HYPERLINK("https://klasma.github.io/Logging_0188/artfynd/A 26120-2024 artfynd.xlsx", "A 26120-2024")</f>
        <v/>
      </c>
      <c r="T131">
        <f>HYPERLINK("https://klasma.github.io/Logging_0188/kartor/A 26120-2024 karta.png", "A 26120-2024")</f>
        <v/>
      </c>
      <c r="V131">
        <f>HYPERLINK("https://klasma.github.io/Logging_0188/klagomål/A 26120-2024 FSC-klagomål.docx", "A 26120-2024")</f>
        <v/>
      </c>
      <c r="W131">
        <f>HYPERLINK("https://klasma.github.io/Logging_0188/klagomålsmail/A 26120-2024 FSC-klagomål mail.docx", "A 26120-2024")</f>
        <v/>
      </c>
      <c r="X131">
        <f>HYPERLINK("https://klasma.github.io/Logging_0188/tillsyn/A 26120-2024 tillsynsbegäran.docx", "A 26120-2024")</f>
        <v/>
      </c>
      <c r="Y131">
        <f>HYPERLINK("https://klasma.github.io/Logging_0188/tillsynsmail/A 26120-2024 tillsynsbegäran mail.docx", "A 26120-2024")</f>
        <v/>
      </c>
    </row>
    <row r="132" ht="15" customHeight="1">
      <c r="A132" t="inlineStr">
        <is>
          <t>A 11429-2023</t>
        </is>
      </c>
      <c r="B132" s="1" t="n">
        <v>44993</v>
      </c>
      <c r="C132" s="1" t="n">
        <v>46012</v>
      </c>
      <c r="D132" t="inlineStr">
        <is>
          <t>STOCKHOLMS LÄN</t>
        </is>
      </c>
      <c r="E132" t="inlineStr">
        <is>
          <t>NORRTÄLJE</t>
        </is>
      </c>
      <c r="G132" t="n">
        <v>2</v>
      </c>
      <c r="H132" t="n">
        <v>0</v>
      </c>
      <c r="I132" t="n">
        <v>0</v>
      </c>
      <c r="J132" t="n">
        <v>1</v>
      </c>
      <c r="K132" t="n">
        <v>0</v>
      </c>
      <c r="L132" t="n">
        <v>0</v>
      </c>
      <c r="M132" t="n">
        <v>0</v>
      </c>
      <c r="N132" t="n">
        <v>0</v>
      </c>
      <c r="O132" t="n">
        <v>1</v>
      </c>
      <c r="P132" t="n">
        <v>0</v>
      </c>
      <c r="Q132" t="n">
        <v>1</v>
      </c>
      <c r="R132" s="2" t="inlineStr">
        <is>
          <t>Skogsklocka</t>
        </is>
      </c>
      <c r="S132">
        <f>HYPERLINK("https://klasma.github.io/Logging_0188/artfynd/A 11429-2023 artfynd.xlsx", "A 11429-2023")</f>
        <v/>
      </c>
      <c r="T132">
        <f>HYPERLINK("https://klasma.github.io/Logging_0188/kartor/A 11429-2023 karta.png", "A 11429-2023")</f>
        <v/>
      </c>
      <c r="V132">
        <f>HYPERLINK("https://klasma.github.io/Logging_0188/klagomål/A 11429-2023 FSC-klagomål.docx", "A 11429-2023")</f>
        <v/>
      </c>
      <c r="W132">
        <f>HYPERLINK("https://klasma.github.io/Logging_0188/klagomålsmail/A 11429-2023 FSC-klagomål mail.docx", "A 11429-2023")</f>
        <v/>
      </c>
      <c r="X132">
        <f>HYPERLINK("https://klasma.github.io/Logging_0188/tillsyn/A 11429-2023 tillsynsbegäran.docx", "A 11429-2023")</f>
        <v/>
      </c>
      <c r="Y132">
        <f>HYPERLINK("https://klasma.github.io/Logging_0188/tillsynsmail/A 11429-2023 tillsynsbegäran mail.docx", "A 11429-2023")</f>
        <v/>
      </c>
    </row>
    <row r="133" ht="15" customHeight="1">
      <c r="A133" t="inlineStr">
        <is>
          <t>A 50854-2022</t>
        </is>
      </c>
      <c r="B133" s="1" t="n">
        <v>44863</v>
      </c>
      <c r="C133" s="1" t="n">
        <v>46012</v>
      </c>
      <c r="D133" t="inlineStr">
        <is>
          <t>STOCKHOLMS LÄN</t>
        </is>
      </c>
      <c r="E133" t="inlineStr">
        <is>
          <t>NORRTÄLJE</t>
        </is>
      </c>
      <c r="G133" t="n">
        <v>2.9</v>
      </c>
      <c r="H133" t="n">
        <v>0</v>
      </c>
      <c r="I133" t="n">
        <v>1</v>
      </c>
      <c r="J133" t="n">
        <v>0</v>
      </c>
      <c r="K133" t="n">
        <v>0</v>
      </c>
      <c r="L133" t="n">
        <v>0</v>
      </c>
      <c r="M133" t="n">
        <v>0</v>
      </c>
      <c r="N133" t="n">
        <v>0</v>
      </c>
      <c r="O133" t="n">
        <v>0</v>
      </c>
      <c r="P133" t="n">
        <v>0</v>
      </c>
      <c r="Q133" t="n">
        <v>1</v>
      </c>
      <c r="R133" s="2" t="inlineStr">
        <is>
          <t>Tibast</t>
        </is>
      </c>
      <c r="S133">
        <f>HYPERLINK("https://klasma.github.io/Logging_0188/artfynd/A 50854-2022 artfynd.xlsx", "A 50854-2022")</f>
        <v/>
      </c>
      <c r="T133">
        <f>HYPERLINK("https://klasma.github.io/Logging_0188/kartor/A 50854-2022 karta.png", "A 50854-2022")</f>
        <v/>
      </c>
      <c r="V133">
        <f>HYPERLINK("https://klasma.github.io/Logging_0188/klagomål/A 50854-2022 FSC-klagomål.docx", "A 50854-2022")</f>
        <v/>
      </c>
      <c r="W133">
        <f>HYPERLINK("https://klasma.github.io/Logging_0188/klagomålsmail/A 50854-2022 FSC-klagomål mail.docx", "A 50854-2022")</f>
        <v/>
      </c>
      <c r="X133">
        <f>HYPERLINK("https://klasma.github.io/Logging_0188/tillsyn/A 50854-2022 tillsynsbegäran.docx", "A 50854-2022")</f>
        <v/>
      </c>
      <c r="Y133">
        <f>HYPERLINK("https://klasma.github.io/Logging_0188/tillsynsmail/A 50854-2022 tillsynsbegäran mail.docx", "A 50854-2022")</f>
        <v/>
      </c>
    </row>
    <row r="134" ht="15" customHeight="1">
      <c r="A134" t="inlineStr">
        <is>
          <t>A 64456-2023</t>
        </is>
      </c>
      <c r="B134" s="1" t="n">
        <v>45280</v>
      </c>
      <c r="C134" s="1" t="n">
        <v>46012</v>
      </c>
      <c r="D134" t="inlineStr">
        <is>
          <t>STOCKHOLMS LÄN</t>
        </is>
      </c>
      <c r="E134" t="inlineStr">
        <is>
          <t>NORRTÄLJE</t>
        </is>
      </c>
      <c r="G134" t="n">
        <v>2.5</v>
      </c>
      <c r="H134" t="n">
        <v>0</v>
      </c>
      <c r="I134" t="n">
        <v>1</v>
      </c>
      <c r="J134" t="n">
        <v>0</v>
      </c>
      <c r="K134" t="n">
        <v>0</v>
      </c>
      <c r="L134" t="n">
        <v>0</v>
      </c>
      <c r="M134" t="n">
        <v>0</v>
      </c>
      <c r="N134" t="n">
        <v>0</v>
      </c>
      <c r="O134" t="n">
        <v>0</v>
      </c>
      <c r="P134" t="n">
        <v>0</v>
      </c>
      <c r="Q134" t="n">
        <v>1</v>
      </c>
      <c r="R134" s="2" t="inlineStr">
        <is>
          <t>Rödgul trumpetsvamp</t>
        </is>
      </c>
      <c r="S134">
        <f>HYPERLINK("https://klasma.github.io/Logging_0188/artfynd/A 64456-2023 artfynd.xlsx", "A 64456-2023")</f>
        <v/>
      </c>
      <c r="T134">
        <f>HYPERLINK("https://klasma.github.io/Logging_0188/kartor/A 64456-2023 karta.png", "A 64456-2023")</f>
        <v/>
      </c>
      <c r="V134">
        <f>HYPERLINK("https://klasma.github.io/Logging_0188/klagomål/A 64456-2023 FSC-klagomål.docx", "A 64456-2023")</f>
        <v/>
      </c>
      <c r="W134">
        <f>HYPERLINK("https://klasma.github.io/Logging_0188/klagomålsmail/A 64456-2023 FSC-klagomål mail.docx", "A 64456-2023")</f>
        <v/>
      </c>
      <c r="X134">
        <f>HYPERLINK("https://klasma.github.io/Logging_0188/tillsyn/A 64456-2023 tillsynsbegäran.docx", "A 64456-2023")</f>
        <v/>
      </c>
      <c r="Y134">
        <f>HYPERLINK("https://klasma.github.io/Logging_0188/tillsynsmail/A 64456-2023 tillsynsbegäran mail.docx", "A 64456-2023")</f>
        <v/>
      </c>
    </row>
    <row r="135" ht="15" customHeight="1">
      <c r="A135" t="inlineStr">
        <is>
          <t>A 52611-2024</t>
        </is>
      </c>
      <c r="B135" s="1" t="n">
        <v>45609.83747685186</v>
      </c>
      <c r="C135" s="1" t="n">
        <v>46012</v>
      </c>
      <c r="D135" t="inlineStr">
        <is>
          <t>STOCKHOLMS LÄN</t>
        </is>
      </c>
      <c r="E135" t="inlineStr">
        <is>
          <t>NORRTÄLJE</t>
        </is>
      </c>
      <c r="G135" t="n">
        <v>10.6</v>
      </c>
      <c r="H135" t="n">
        <v>1</v>
      </c>
      <c r="I135" t="n">
        <v>0</v>
      </c>
      <c r="J135" t="n">
        <v>0</v>
      </c>
      <c r="K135" t="n">
        <v>0</v>
      </c>
      <c r="L135" t="n">
        <v>0</v>
      </c>
      <c r="M135" t="n">
        <v>0</v>
      </c>
      <c r="N135" t="n">
        <v>0</v>
      </c>
      <c r="O135" t="n">
        <v>0</v>
      </c>
      <c r="P135" t="n">
        <v>0</v>
      </c>
      <c r="Q135" t="n">
        <v>1</v>
      </c>
      <c r="R135" s="2" t="inlineStr">
        <is>
          <t>Blåsippa</t>
        </is>
      </c>
      <c r="S135">
        <f>HYPERLINK("https://klasma.github.io/Logging_0188/artfynd/A 52611-2024 artfynd.xlsx", "A 52611-2024")</f>
        <v/>
      </c>
      <c r="T135">
        <f>HYPERLINK("https://klasma.github.io/Logging_0188/kartor/A 52611-2024 karta.png", "A 52611-2024")</f>
        <v/>
      </c>
      <c r="V135">
        <f>HYPERLINK("https://klasma.github.io/Logging_0188/klagomål/A 52611-2024 FSC-klagomål.docx", "A 52611-2024")</f>
        <v/>
      </c>
      <c r="W135">
        <f>HYPERLINK("https://klasma.github.io/Logging_0188/klagomålsmail/A 52611-2024 FSC-klagomål mail.docx", "A 52611-2024")</f>
        <v/>
      </c>
      <c r="X135">
        <f>HYPERLINK("https://klasma.github.io/Logging_0188/tillsyn/A 52611-2024 tillsynsbegäran.docx", "A 52611-2024")</f>
        <v/>
      </c>
      <c r="Y135">
        <f>HYPERLINK("https://klasma.github.io/Logging_0188/tillsynsmail/A 52611-2024 tillsynsbegäran mail.docx", "A 52611-2024")</f>
        <v/>
      </c>
    </row>
    <row r="136" ht="15" customHeight="1">
      <c r="A136" t="inlineStr">
        <is>
          <t>A 52508-2023</t>
        </is>
      </c>
      <c r="B136" s="1" t="n">
        <v>45225</v>
      </c>
      <c r="C136" s="1" t="n">
        <v>46012</v>
      </c>
      <c r="D136" t="inlineStr">
        <is>
          <t>STOCKHOLMS LÄN</t>
        </is>
      </c>
      <c r="E136" t="inlineStr">
        <is>
          <t>NORRTÄLJE</t>
        </is>
      </c>
      <c r="G136" t="n">
        <v>19.7</v>
      </c>
      <c r="H136" t="n">
        <v>1</v>
      </c>
      <c r="I136" t="n">
        <v>0</v>
      </c>
      <c r="J136" t="n">
        <v>0</v>
      </c>
      <c r="K136" t="n">
        <v>1</v>
      </c>
      <c r="L136" t="n">
        <v>0</v>
      </c>
      <c r="M136" t="n">
        <v>0</v>
      </c>
      <c r="N136" t="n">
        <v>0</v>
      </c>
      <c r="O136" t="n">
        <v>1</v>
      </c>
      <c r="P136" t="n">
        <v>1</v>
      </c>
      <c r="Q136" t="n">
        <v>1</v>
      </c>
      <c r="R136" s="2" t="inlineStr">
        <is>
          <t>Svärta</t>
        </is>
      </c>
      <c r="S136">
        <f>HYPERLINK("https://klasma.github.io/Logging_0188/artfynd/A 52508-2023 artfynd.xlsx", "A 52508-2023")</f>
        <v/>
      </c>
      <c r="T136">
        <f>HYPERLINK("https://klasma.github.io/Logging_0188/kartor/A 52508-2023 karta.png", "A 52508-2023")</f>
        <v/>
      </c>
      <c r="V136">
        <f>HYPERLINK("https://klasma.github.io/Logging_0188/klagomål/A 52508-2023 FSC-klagomål.docx", "A 52508-2023")</f>
        <v/>
      </c>
      <c r="W136">
        <f>HYPERLINK("https://klasma.github.io/Logging_0188/klagomålsmail/A 52508-2023 FSC-klagomål mail.docx", "A 52508-2023")</f>
        <v/>
      </c>
      <c r="X136">
        <f>HYPERLINK("https://klasma.github.io/Logging_0188/tillsyn/A 52508-2023 tillsynsbegäran.docx", "A 52508-2023")</f>
        <v/>
      </c>
      <c r="Y136">
        <f>HYPERLINK("https://klasma.github.io/Logging_0188/tillsynsmail/A 52508-2023 tillsynsbegäran mail.docx", "A 52508-2023")</f>
        <v/>
      </c>
    </row>
    <row r="137" ht="15" customHeight="1">
      <c r="A137" t="inlineStr">
        <is>
          <t>A 48131-2023</t>
        </is>
      </c>
      <c r="B137" s="1" t="n">
        <v>45205</v>
      </c>
      <c r="C137" s="1" t="n">
        <v>46012</v>
      </c>
      <c r="D137" t="inlineStr">
        <is>
          <t>STOCKHOLMS LÄN</t>
        </is>
      </c>
      <c r="E137" t="inlineStr">
        <is>
          <t>NORRTÄLJE</t>
        </is>
      </c>
      <c r="G137" t="n">
        <v>2.3</v>
      </c>
      <c r="H137" t="n">
        <v>0</v>
      </c>
      <c r="I137" t="n">
        <v>0</v>
      </c>
      <c r="J137" t="n">
        <v>1</v>
      </c>
      <c r="K137" t="n">
        <v>0</v>
      </c>
      <c r="L137" t="n">
        <v>0</v>
      </c>
      <c r="M137" t="n">
        <v>0</v>
      </c>
      <c r="N137" t="n">
        <v>0</v>
      </c>
      <c r="O137" t="n">
        <v>1</v>
      </c>
      <c r="P137" t="n">
        <v>0</v>
      </c>
      <c r="Q137" t="n">
        <v>1</v>
      </c>
      <c r="R137" s="2" t="inlineStr">
        <is>
          <t>Slåtterfibbla</t>
        </is>
      </c>
      <c r="S137">
        <f>HYPERLINK("https://klasma.github.io/Logging_0188/artfynd/A 48131-2023 artfynd.xlsx", "A 48131-2023")</f>
        <v/>
      </c>
      <c r="T137">
        <f>HYPERLINK("https://klasma.github.io/Logging_0188/kartor/A 48131-2023 karta.png", "A 48131-2023")</f>
        <v/>
      </c>
      <c r="V137">
        <f>HYPERLINK("https://klasma.github.io/Logging_0188/klagomål/A 48131-2023 FSC-klagomål.docx", "A 48131-2023")</f>
        <v/>
      </c>
      <c r="W137">
        <f>HYPERLINK("https://klasma.github.io/Logging_0188/klagomålsmail/A 48131-2023 FSC-klagomål mail.docx", "A 48131-2023")</f>
        <v/>
      </c>
      <c r="X137">
        <f>HYPERLINK("https://klasma.github.io/Logging_0188/tillsyn/A 48131-2023 tillsynsbegäran.docx", "A 48131-2023")</f>
        <v/>
      </c>
      <c r="Y137">
        <f>HYPERLINK("https://klasma.github.io/Logging_0188/tillsynsmail/A 48131-2023 tillsynsbegäran mail.docx", "A 48131-2023")</f>
        <v/>
      </c>
    </row>
    <row r="138" ht="15" customHeight="1">
      <c r="A138" t="inlineStr">
        <is>
          <t>A 27827-2022</t>
        </is>
      </c>
      <c r="B138" s="1" t="n">
        <v>44743.59504629629</v>
      </c>
      <c r="C138" s="1" t="n">
        <v>46012</v>
      </c>
      <c r="D138" t="inlineStr">
        <is>
          <t>STOCKHOLMS LÄN</t>
        </is>
      </c>
      <c r="E138" t="inlineStr">
        <is>
          <t>NORRTÄLJE</t>
        </is>
      </c>
      <c r="F138" t="inlineStr">
        <is>
          <t>Holmen skog AB</t>
        </is>
      </c>
      <c r="G138" t="n">
        <v>4.7</v>
      </c>
      <c r="H138" t="n">
        <v>1</v>
      </c>
      <c r="I138" t="n">
        <v>0</v>
      </c>
      <c r="J138" t="n">
        <v>1</v>
      </c>
      <c r="K138" t="n">
        <v>0</v>
      </c>
      <c r="L138" t="n">
        <v>0</v>
      </c>
      <c r="M138" t="n">
        <v>0</v>
      </c>
      <c r="N138" t="n">
        <v>0</v>
      </c>
      <c r="O138" t="n">
        <v>1</v>
      </c>
      <c r="P138" t="n">
        <v>0</v>
      </c>
      <c r="Q138" t="n">
        <v>1</v>
      </c>
      <c r="R138" s="2" t="inlineStr">
        <is>
          <t>Nordfladdermus</t>
        </is>
      </c>
      <c r="S138">
        <f>HYPERLINK("https://klasma.github.io/Logging_0188/artfynd/A 27827-2022 artfynd.xlsx", "A 27827-2022")</f>
        <v/>
      </c>
      <c r="T138">
        <f>HYPERLINK("https://klasma.github.io/Logging_0188/kartor/A 27827-2022 karta.png", "A 27827-2022")</f>
        <v/>
      </c>
      <c r="V138">
        <f>HYPERLINK("https://klasma.github.io/Logging_0188/klagomål/A 27827-2022 FSC-klagomål.docx", "A 27827-2022")</f>
        <v/>
      </c>
      <c r="W138">
        <f>HYPERLINK("https://klasma.github.io/Logging_0188/klagomålsmail/A 27827-2022 FSC-klagomål mail.docx", "A 27827-2022")</f>
        <v/>
      </c>
      <c r="X138">
        <f>HYPERLINK("https://klasma.github.io/Logging_0188/tillsyn/A 27827-2022 tillsynsbegäran.docx", "A 27827-2022")</f>
        <v/>
      </c>
      <c r="Y138">
        <f>HYPERLINK("https://klasma.github.io/Logging_0188/tillsynsmail/A 27827-2022 tillsynsbegäran mail.docx", "A 27827-2022")</f>
        <v/>
      </c>
    </row>
    <row r="139" ht="15" customHeight="1">
      <c r="A139" t="inlineStr">
        <is>
          <t>A 9955-2022</t>
        </is>
      </c>
      <c r="B139" s="1" t="n">
        <v>44620</v>
      </c>
      <c r="C139" s="1" t="n">
        <v>46012</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23905-2025</t>
        </is>
      </c>
      <c r="B140" s="1" t="n">
        <v>45794.63298611111</v>
      </c>
      <c r="C140" s="1" t="n">
        <v>46012</v>
      </c>
      <c r="D140" t="inlineStr">
        <is>
          <t>STOCKHOLMS LÄN</t>
        </is>
      </c>
      <c r="E140" t="inlineStr">
        <is>
          <t>NORRTÄLJE</t>
        </is>
      </c>
      <c r="G140" t="n">
        <v>8.4</v>
      </c>
      <c r="H140" t="n">
        <v>1</v>
      </c>
      <c r="I140" t="n">
        <v>0</v>
      </c>
      <c r="J140" t="n">
        <v>0</v>
      </c>
      <c r="K140" t="n">
        <v>0</v>
      </c>
      <c r="L140" t="n">
        <v>0</v>
      </c>
      <c r="M140" t="n">
        <v>0</v>
      </c>
      <c r="N140" t="n">
        <v>0</v>
      </c>
      <c r="O140" t="n">
        <v>0</v>
      </c>
      <c r="P140" t="n">
        <v>0</v>
      </c>
      <c r="Q140" t="n">
        <v>1</v>
      </c>
      <c r="R140" s="2" t="inlineStr">
        <is>
          <t>Blåsippa</t>
        </is>
      </c>
      <c r="S140">
        <f>HYPERLINK("https://klasma.github.io/Logging_0188/artfynd/A 23905-2025 artfynd.xlsx", "A 23905-2025")</f>
        <v/>
      </c>
      <c r="T140">
        <f>HYPERLINK("https://klasma.github.io/Logging_0188/kartor/A 23905-2025 karta.png", "A 23905-2025")</f>
        <v/>
      </c>
      <c r="V140">
        <f>HYPERLINK("https://klasma.github.io/Logging_0188/klagomål/A 23905-2025 FSC-klagomål.docx", "A 23905-2025")</f>
        <v/>
      </c>
      <c r="W140">
        <f>HYPERLINK("https://klasma.github.io/Logging_0188/klagomålsmail/A 23905-2025 FSC-klagomål mail.docx", "A 23905-2025")</f>
        <v/>
      </c>
      <c r="X140">
        <f>HYPERLINK("https://klasma.github.io/Logging_0188/tillsyn/A 23905-2025 tillsynsbegäran.docx", "A 23905-2025")</f>
        <v/>
      </c>
      <c r="Y140">
        <f>HYPERLINK("https://klasma.github.io/Logging_0188/tillsynsmail/A 23905-2025 tillsynsbegäran mail.docx", "A 23905-2025")</f>
        <v/>
      </c>
    </row>
    <row r="141" ht="15" customHeight="1">
      <c r="A141" t="inlineStr">
        <is>
          <t>A 1970-2021</t>
        </is>
      </c>
      <c r="B141" s="1" t="n">
        <v>44210</v>
      </c>
      <c r="C141" s="1" t="n">
        <v>46012</v>
      </c>
      <c r="D141" t="inlineStr">
        <is>
          <t>STOCKHOLMS LÄN</t>
        </is>
      </c>
      <c r="E141" t="inlineStr">
        <is>
          <t>NORRTÄLJE</t>
        </is>
      </c>
      <c r="G141" t="n">
        <v>3.1</v>
      </c>
      <c r="H141" t="n">
        <v>0</v>
      </c>
      <c r="I141" t="n">
        <v>0</v>
      </c>
      <c r="J141" t="n">
        <v>0</v>
      </c>
      <c r="K141" t="n">
        <v>0</v>
      </c>
      <c r="L141" t="n">
        <v>0</v>
      </c>
      <c r="M141" t="n">
        <v>0</v>
      </c>
      <c r="N141" t="n">
        <v>0</v>
      </c>
      <c r="O141" t="n">
        <v>0</v>
      </c>
      <c r="P141" t="n">
        <v>0</v>
      </c>
      <c r="Q141" t="n">
        <v>0</v>
      </c>
      <c r="R141" s="2" t="inlineStr"/>
    </row>
    <row r="142" ht="15" customHeight="1">
      <c r="A142" t="inlineStr">
        <is>
          <t>A 1637-2021</t>
        </is>
      </c>
      <c r="B142" s="1" t="n">
        <v>44209</v>
      </c>
      <c r="C142" s="1" t="n">
        <v>46012</v>
      </c>
      <c r="D142" t="inlineStr">
        <is>
          <t>STOCKHOLMS LÄN</t>
        </is>
      </c>
      <c r="E142" t="inlineStr">
        <is>
          <t>NORRTÄLJE</t>
        </is>
      </c>
      <c r="G142" t="n">
        <v>1.6</v>
      </c>
      <c r="H142" t="n">
        <v>0</v>
      </c>
      <c r="I142" t="n">
        <v>0</v>
      </c>
      <c r="J142" t="n">
        <v>0</v>
      </c>
      <c r="K142" t="n">
        <v>0</v>
      </c>
      <c r="L142" t="n">
        <v>0</v>
      </c>
      <c r="M142" t="n">
        <v>0</v>
      </c>
      <c r="N142" t="n">
        <v>0</v>
      </c>
      <c r="O142" t="n">
        <v>0</v>
      </c>
      <c r="P142" t="n">
        <v>0</v>
      </c>
      <c r="Q142" t="n">
        <v>0</v>
      </c>
      <c r="R142" s="2" t="inlineStr"/>
    </row>
    <row r="143" ht="15" customHeight="1">
      <c r="A143" t="inlineStr">
        <is>
          <t>A 18580-2021</t>
        </is>
      </c>
      <c r="B143" s="1" t="n">
        <v>44306</v>
      </c>
      <c r="C143" s="1" t="n">
        <v>46012</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46012</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46012</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46012</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46012</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46012</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46012</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46012</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46012</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46012</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46012</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46012</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73855-2021</t>
        </is>
      </c>
      <c r="B155" s="1" t="n">
        <v>44552</v>
      </c>
      <c r="C155" s="1" t="n">
        <v>46012</v>
      </c>
      <c r="D155" t="inlineStr">
        <is>
          <t>STOCKHOLMS LÄN</t>
        </is>
      </c>
      <c r="E155" t="inlineStr">
        <is>
          <t>NORRTÄLJE</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74468-2021</t>
        </is>
      </c>
      <c r="B156" s="1" t="n">
        <v>44560</v>
      </c>
      <c r="C156" s="1" t="n">
        <v>46012</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46012</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46012</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46012</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46012</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23096-2021</t>
        </is>
      </c>
      <c r="B161" s="1" t="n">
        <v>44330</v>
      </c>
      <c r="C161" s="1" t="n">
        <v>46012</v>
      </c>
      <c r="D161" t="inlineStr">
        <is>
          <t>STOCKHOLMS LÄN</t>
        </is>
      </c>
      <c r="E161" t="inlineStr">
        <is>
          <t>NORRTÄLJE</t>
        </is>
      </c>
      <c r="G161" t="n">
        <v>0.3</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46012</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46012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46012</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46012</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46012</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46012</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46012</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46012</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46012</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46012</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46012</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8338-2021</t>
        </is>
      </c>
      <c r="B173" s="1" t="n">
        <v>44244</v>
      </c>
      <c r="C173" s="1" t="n">
        <v>46012</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46012</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46012</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46012</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46012</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46012</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46012</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46012</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46012</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2447-2021</t>
        </is>
      </c>
      <c r="B182" s="1" t="n">
        <v>44214</v>
      </c>
      <c r="C182" s="1" t="n">
        <v>46012</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18609-2021</t>
        </is>
      </c>
      <c r="B183" s="1" t="n">
        <v>44306</v>
      </c>
      <c r="C183" s="1" t="n">
        <v>46012</v>
      </c>
      <c r="D183" t="inlineStr">
        <is>
          <t>STOCKHOLMS LÄN</t>
        </is>
      </c>
      <c r="E183" t="inlineStr">
        <is>
          <t>NORRTÄLJE</t>
        </is>
      </c>
      <c r="G183" t="n">
        <v>9.5</v>
      </c>
      <c r="H183" t="n">
        <v>0</v>
      </c>
      <c r="I183" t="n">
        <v>0</v>
      </c>
      <c r="J183" t="n">
        <v>0</v>
      </c>
      <c r="K183" t="n">
        <v>0</v>
      </c>
      <c r="L183" t="n">
        <v>0</v>
      </c>
      <c r="M183" t="n">
        <v>0</v>
      </c>
      <c r="N183" t="n">
        <v>0</v>
      </c>
      <c r="O183" t="n">
        <v>0</v>
      </c>
      <c r="P183" t="n">
        <v>0</v>
      </c>
      <c r="Q183" t="n">
        <v>0</v>
      </c>
      <c r="R183" s="2" t="inlineStr"/>
    </row>
    <row r="184" ht="15" customHeight="1">
      <c r="A184" t="inlineStr">
        <is>
          <t>A 24534-2022</t>
        </is>
      </c>
      <c r="B184" s="1" t="n">
        <v>44727</v>
      </c>
      <c r="C184" s="1" t="n">
        <v>46012</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71876-2021</t>
        </is>
      </c>
      <c r="B185" s="1" t="n">
        <v>44543</v>
      </c>
      <c r="C185" s="1" t="n">
        <v>46012</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71878-2021</t>
        </is>
      </c>
      <c r="B186" s="1" t="n">
        <v>44543</v>
      </c>
      <c r="C186" s="1" t="n">
        <v>46012</v>
      </c>
      <c r="D186" t="inlineStr">
        <is>
          <t>STOCKHOLMS LÄN</t>
        </is>
      </c>
      <c r="E186" t="inlineStr">
        <is>
          <t>NORRTÄLJE</t>
        </is>
      </c>
      <c r="G186" t="n">
        <v>1.2</v>
      </c>
      <c r="H186" t="n">
        <v>0</v>
      </c>
      <c r="I186" t="n">
        <v>0</v>
      </c>
      <c r="J186" t="n">
        <v>0</v>
      </c>
      <c r="K186" t="n">
        <v>0</v>
      </c>
      <c r="L186" t="n">
        <v>0</v>
      </c>
      <c r="M186" t="n">
        <v>0</v>
      </c>
      <c r="N186" t="n">
        <v>0</v>
      </c>
      <c r="O186" t="n">
        <v>0</v>
      </c>
      <c r="P186" t="n">
        <v>0</v>
      </c>
      <c r="Q186" t="n">
        <v>0</v>
      </c>
      <c r="R186" s="2" t="inlineStr"/>
    </row>
    <row r="187" ht="15" customHeight="1">
      <c r="A187" t="inlineStr">
        <is>
          <t>A 45539-2022</t>
        </is>
      </c>
      <c r="B187" s="1" t="n">
        <v>44845.47585648148</v>
      </c>
      <c r="C187" s="1" t="n">
        <v>46012</v>
      </c>
      <c r="D187" t="inlineStr">
        <is>
          <t>STOCKHOLMS LÄN</t>
        </is>
      </c>
      <c r="E187" t="inlineStr">
        <is>
          <t>NORRTÄLJE</t>
        </is>
      </c>
      <c r="G187" t="n">
        <v>0.3</v>
      </c>
      <c r="H187" t="n">
        <v>0</v>
      </c>
      <c r="I187" t="n">
        <v>0</v>
      </c>
      <c r="J187" t="n">
        <v>0</v>
      </c>
      <c r="K187" t="n">
        <v>0</v>
      </c>
      <c r="L187" t="n">
        <v>0</v>
      </c>
      <c r="M187" t="n">
        <v>0</v>
      </c>
      <c r="N187" t="n">
        <v>0</v>
      </c>
      <c r="O187" t="n">
        <v>0</v>
      </c>
      <c r="P187" t="n">
        <v>0</v>
      </c>
      <c r="Q187" t="n">
        <v>0</v>
      </c>
      <c r="R187" s="2" t="inlineStr"/>
    </row>
    <row r="188" ht="15" customHeight="1">
      <c r="A188" t="inlineStr">
        <is>
          <t>A 60186-2021</t>
        </is>
      </c>
      <c r="B188" s="1" t="n">
        <v>44495</v>
      </c>
      <c r="C188" s="1" t="n">
        <v>46012</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28959-2022</t>
        </is>
      </c>
      <c r="B189" s="1" t="n">
        <v>44749.61980324074</v>
      </c>
      <c r="C189" s="1" t="n">
        <v>46012</v>
      </c>
      <c r="D189" t="inlineStr">
        <is>
          <t>STOCKHOLMS LÄN</t>
        </is>
      </c>
      <c r="E189" t="inlineStr">
        <is>
          <t>NORRTÄLJE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54340-2022</t>
        </is>
      </c>
      <c r="B190" s="1" t="n">
        <v>44882.44732638889</v>
      </c>
      <c r="C190" s="1" t="n">
        <v>46012</v>
      </c>
      <c r="D190" t="inlineStr">
        <is>
          <t>STOCKHOLMS LÄN</t>
        </is>
      </c>
      <c r="E190" t="inlineStr">
        <is>
          <t>NORRTÄLJE</t>
        </is>
      </c>
      <c r="G190" t="n">
        <v>6.7</v>
      </c>
      <c r="H190" t="n">
        <v>0</v>
      </c>
      <c r="I190" t="n">
        <v>0</v>
      </c>
      <c r="J190" t="n">
        <v>0</v>
      </c>
      <c r="K190" t="n">
        <v>0</v>
      </c>
      <c r="L190" t="n">
        <v>0</v>
      </c>
      <c r="M190" t="n">
        <v>0</v>
      </c>
      <c r="N190" t="n">
        <v>0</v>
      </c>
      <c r="O190" t="n">
        <v>0</v>
      </c>
      <c r="P190" t="n">
        <v>0</v>
      </c>
      <c r="Q190" t="n">
        <v>0</v>
      </c>
      <c r="R190" s="2" t="inlineStr"/>
    </row>
    <row r="191" ht="15" customHeight="1">
      <c r="A191" t="inlineStr">
        <is>
          <t>A 54355-2022</t>
        </is>
      </c>
      <c r="B191" s="1" t="n">
        <v>44882</v>
      </c>
      <c r="C191" s="1" t="n">
        <v>46012</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72308-2021</t>
        </is>
      </c>
      <c r="B192" s="1" t="n">
        <v>44545.4189699074</v>
      </c>
      <c r="C192" s="1" t="n">
        <v>46012</v>
      </c>
      <c r="D192" t="inlineStr">
        <is>
          <t>STOCKHOLMS LÄN</t>
        </is>
      </c>
      <c r="E192" t="inlineStr">
        <is>
          <t>NORRTÄLJE</t>
        </is>
      </c>
      <c r="G192" t="n">
        <v>1.1</v>
      </c>
      <c r="H192" t="n">
        <v>0</v>
      </c>
      <c r="I192" t="n">
        <v>0</v>
      </c>
      <c r="J192" t="n">
        <v>0</v>
      </c>
      <c r="K192" t="n">
        <v>0</v>
      </c>
      <c r="L192" t="n">
        <v>0</v>
      </c>
      <c r="M192" t="n">
        <v>0</v>
      </c>
      <c r="N192" t="n">
        <v>0</v>
      </c>
      <c r="O192" t="n">
        <v>0</v>
      </c>
      <c r="P192" t="n">
        <v>0</v>
      </c>
      <c r="Q192" t="n">
        <v>0</v>
      </c>
      <c r="R192" s="2" t="inlineStr"/>
    </row>
    <row r="193" ht="15" customHeight="1">
      <c r="A193" t="inlineStr">
        <is>
          <t>A 20073-2021</t>
        </is>
      </c>
      <c r="B193" s="1" t="n">
        <v>44314</v>
      </c>
      <c r="C193" s="1" t="n">
        <v>46012</v>
      </c>
      <c r="D193" t="inlineStr">
        <is>
          <t>STOCKHOLMS LÄN</t>
        </is>
      </c>
      <c r="E193" t="inlineStr">
        <is>
          <t>NORRTÄLJE</t>
        </is>
      </c>
      <c r="G193" t="n">
        <v>4.6</v>
      </c>
      <c r="H193" t="n">
        <v>0</v>
      </c>
      <c r="I193" t="n">
        <v>0</v>
      </c>
      <c r="J193" t="n">
        <v>0</v>
      </c>
      <c r="K193" t="n">
        <v>0</v>
      </c>
      <c r="L193" t="n">
        <v>0</v>
      </c>
      <c r="M193" t="n">
        <v>0</v>
      </c>
      <c r="N193" t="n">
        <v>0</v>
      </c>
      <c r="O193" t="n">
        <v>0</v>
      </c>
      <c r="P193" t="n">
        <v>0</v>
      </c>
      <c r="Q193" t="n">
        <v>0</v>
      </c>
      <c r="R193" s="2" t="inlineStr"/>
    </row>
    <row r="194" ht="15" customHeight="1">
      <c r="A194" t="inlineStr">
        <is>
          <t>A 14381-2021</t>
        </is>
      </c>
      <c r="B194" s="1" t="n">
        <v>44279</v>
      </c>
      <c r="C194" s="1" t="n">
        <v>46012</v>
      </c>
      <c r="D194" t="inlineStr">
        <is>
          <t>STOCKHOLMS LÄN</t>
        </is>
      </c>
      <c r="E194" t="inlineStr">
        <is>
          <t>NORRTÄLJE</t>
        </is>
      </c>
      <c r="G194" t="n">
        <v>0.9</v>
      </c>
      <c r="H194" t="n">
        <v>0</v>
      </c>
      <c r="I194" t="n">
        <v>0</v>
      </c>
      <c r="J194" t="n">
        <v>0</v>
      </c>
      <c r="K194" t="n">
        <v>0</v>
      </c>
      <c r="L194" t="n">
        <v>0</v>
      </c>
      <c r="M194" t="n">
        <v>0</v>
      </c>
      <c r="N194" t="n">
        <v>0</v>
      </c>
      <c r="O194" t="n">
        <v>0</v>
      </c>
      <c r="P194" t="n">
        <v>0</v>
      </c>
      <c r="Q194" t="n">
        <v>0</v>
      </c>
      <c r="R194" s="2" t="inlineStr"/>
    </row>
    <row r="195" ht="15" customHeight="1">
      <c r="A195" t="inlineStr">
        <is>
          <t>A 17703-2021</t>
        </is>
      </c>
      <c r="B195" s="1" t="n">
        <v>44300</v>
      </c>
      <c r="C195" s="1" t="n">
        <v>46012</v>
      </c>
      <c r="D195" t="inlineStr">
        <is>
          <t>STOCKHOLMS LÄN</t>
        </is>
      </c>
      <c r="E195" t="inlineStr">
        <is>
          <t>NORRTÄLJE</t>
        </is>
      </c>
      <c r="F195" t="inlineStr">
        <is>
          <t>Holmen skog AB</t>
        </is>
      </c>
      <c r="G195" t="n">
        <v>1.1</v>
      </c>
      <c r="H195" t="n">
        <v>0</v>
      </c>
      <c r="I195" t="n">
        <v>0</v>
      </c>
      <c r="J195" t="n">
        <v>0</v>
      </c>
      <c r="K195" t="n">
        <v>0</v>
      </c>
      <c r="L195" t="n">
        <v>0</v>
      </c>
      <c r="M195" t="n">
        <v>0</v>
      </c>
      <c r="N195" t="n">
        <v>0</v>
      </c>
      <c r="O195" t="n">
        <v>0</v>
      </c>
      <c r="P195" t="n">
        <v>0</v>
      </c>
      <c r="Q195" t="n">
        <v>0</v>
      </c>
      <c r="R195" s="2" t="inlineStr"/>
    </row>
    <row r="196" ht="15" customHeight="1">
      <c r="A196" t="inlineStr">
        <is>
          <t>A 23770-2022</t>
        </is>
      </c>
      <c r="B196" s="1" t="n">
        <v>44722</v>
      </c>
      <c r="C196" s="1" t="n">
        <v>46012</v>
      </c>
      <c r="D196" t="inlineStr">
        <is>
          <t>STOCKHOLMS LÄN</t>
        </is>
      </c>
      <c r="E196" t="inlineStr">
        <is>
          <t>NORRTÄLJE</t>
        </is>
      </c>
      <c r="G196" t="n">
        <v>1.6</v>
      </c>
      <c r="H196" t="n">
        <v>0</v>
      </c>
      <c r="I196" t="n">
        <v>0</v>
      </c>
      <c r="J196" t="n">
        <v>0</v>
      </c>
      <c r="K196" t="n">
        <v>0</v>
      </c>
      <c r="L196" t="n">
        <v>0</v>
      </c>
      <c r="M196" t="n">
        <v>0</v>
      </c>
      <c r="N196" t="n">
        <v>0</v>
      </c>
      <c r="O196" t="n">
        <v>0</v>
      </c>
      <c r="P196" t="n">
        <v>0</v>
      </c>
      <c r="Q196" t="n">
        <v>0</v>
      </c>
      <c r="R196" s="2" t="inlineStr"/>
    </row>
    <row r="197" ht="15" customHeight="1">
      <c r="A197" t="inlineStr">
        <is>
          <t>A 27538-2022</t>
        </is>
      </c>
      <c r="B197" s="1" t="n">
        <v>44742</v>
      </c>
      <c r="C197" s="1" t="n">
        <v>46012</v>
      </c>
      <c r="D197" t="inlineStr">
        <is>
          <t>STOCKHOLMS LÄN</t>
        </is>
      </c>
      <c r="E197" t="inlineStr">
        <is>
          <t>NORRTÄLJE</t>
        </is>
      </c>
      <c r="G197" t="n">
        <v>2.2</v>
      </c>
      <c r="H197" t="n">
        <v>0</v>
      </c>
      <c r="I197" t="n">
        <v>0</v>
      </c>
      <c r="J197" t="n">
        <v>0</v>
      </c>
      <c r="K197" t="n">
        <v>0</v>
      </c>
      <c r="L197" t="n">
        <v>0</v>
      </c>
      <c r="M197" t="n">
        <v>0</v>
      </c>
      <c r="N197" t="n">
        <v>0</v>
      </c>
      <c r="O197" t="n">
        <v>0</v>
      </c>
      <c r="P197" t="n">
        <v>0</v>
      </c>
      <c r="Q197" t="n">
        <v>0</v>
      </c>
      <c r="R197" s="2" t="inlineStr"/>
    </row>
    <row r="198" ht="15" customHeight="1">
      <c r="A198" t="inlineStr">
        <is>
          <t>A 36975-2022</t>
        </is>
      </c>
      <c r="B198" s="1" t="n">
        <v>44806.34577546296</v>
      </c>
      <c r="C198" s="1" t="n">
        <v>46012</v>
      </c>
      <c r="D198" t="inlineStr">
        <is>
          <t>STOCKHOLMS LÄN</t>
        </is>
      </c>
      <c r="E198" t="inlineStr">
        <is>
          <t>NORRTÄLJE</t>
        </is>
      </c>
      <c r="G198" t="n">
        <v>4.7</v>
      </c>
      <c r="H198" t="n">
        <v>0</v>
      </c>
      <c r="I198" t="n">
        <v>0</v>
      </c>
      <c r="J198" t="n">
        <v>0</v>
      </c>
      <c r="K198" t="n">
        <v>0</v>
      </c>
      <c r="L198" t="n">
        <v>0</v>
      </c>
      <c r="M198" t="n">
        <v>0</v>
      </c>
      <c r="N198" t="n">
        <v>0</v>
      </c>
      <c r="O198" t="n">
        <v>0</v>
      </c>
      <c r="P198" t="n">
        <v>0</v>
      </c>
      <c r="Q198" t="n">
        <v>0</v>
      </c>
      <c r="R198" s="2" t="inlineStr"/>
    </row>
    <row r="199" ht="15" customHeight="1">
      <c r="A199" t="inlineStr">
        <is>
          <t>A 16668-2021</t>
        </is>
      </c>
      <c r="B199" s="1" t="n">
        <v>44294</v>
      </c>
      <c r="C199" s="1" t="n">
        <v>46012</v>
      </c>
      <c r="D199" t="inlineStr">
        <is>
          <t>STOCKHOLMS LÄN</t>
        </is>
      </c>
      <c r="E199" t="inlineStr">
        <is>
          <t>NORRTÄLJE</t>
        </is>
      </c>
      <c r="G199" t="n">
        <v>1.7</v>
      </c>
      <c r="H199" t="n">
        <v>0</v>
      </c>
      <c r="I199" t="n">
        <v>0</v>
      </c>
      <c r="J199" t="n">
        <v>0</v>
      </c>
      <c r="K199" t="n">
        <v>0</v>
      </c>
      <c r="L199" t="n">
        <v>0</v>
      </c>
      <c r="M199" t="n">
        <v>0</v>
      </c>
      <c r="N199" t="n">
        <v>0</v>
      </c>
      <c r="O199" t="n">
        <v>0</v>
      </c>
      <c r="P199" t="n">
        <v>0</v>
      </c>
      <c r="Q199" t="n">
        <v>0</v>
      </c>
      <c r="R199" s="2" t="inlineStr"/>
    </row>
    <row r="200" ht="15" customHeight="1">
      <c r="A200" t="inlineStr">
        <is>
          <t>A 29868-2022</t>
        </is>
      </c>
      <c r="B200" s="1" t="n">
        <v>44756.40881944444</v>
      </c>
      <c r="C200" s="1" t="n">
        <v>46012</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23122-2021</t>
        </is>
      </c>
      <c r="B201" s="1" t="n">
        <v>44330</v>
      </c>
      <c r="C201" s="1" t="n">
        <v>46012</v>
      </c>
      <c r="D201" t="inlineStr">
        <is>
          <t>STOCKHOLMS LÄN</t>
        </is>
      </c>
      <c r="E201" t="inlineStr">
        <is>
          <t>NORRTÄLJE</t>
        </is>
      </c>
      <c r="G201" t="n">
        <v>0.4</v>
      </c>
      <c r="H201" t="n">
        <v>0</v>
      </c>
      <c r="I201" t="n">
        <v>0</v>
      </c>
      <c r="J201" t="n">
        <v>0</v>
      </c>
      <c r="K201" t="n">
        <v>0</v>
      </c>
      <c r="L201" t="n">
        <v>0</v>
      </c>
      <c r="M201" t="n">
        <v>0</v>
      </c>
      <c r="N201" t="n">
        <v>0</v>
      </c>
      <c r="O201" t="n">
        <v>0</v>
      </c>
      <c r="P201" t="n">
        <v>0</v>
      </c>
      <c r="Q201" t="n">
        <v>0</v>
      </c>
      <c r="R201" s="2" t="inlineStr"/>
    </row>
    <row r="202" ht="15" customHeight="1">
      <c r="A202" t="inlineStr">
        <is>
          <t>A 23123-2021</t>
        </is>
      </c>
      <c r="B202" s="1" t="n">
        <v>44330</v>
      </c>
      <c r="C202" s="1" t="n">
        <v>46012</v>
      </c>
      <c r="D202" t="inlineStr">
        <is>
          <t>STOCKHOLMS LÄN</t>
        </is>
      </c>
      <c r="E202" t="inlineStr">
        <is>
          <t>NORRTÄLJE</t>
        </is>
      </c>
      <c r="G202" t="n">
        <v>0.4</v>
      </c>
      <c r="H202" t="n">
        <v>0</v>
      </c>
      <c r="I202" t="n">
        <v>0</v>
      </c>
      <c r="J202" t="n">
        <v>0</v>
      </c>
      <c r="K202" t="n">
        <v>0</v>
      </c>
      <c r="L202" t="n">
        <v>0</v>
      </c>
      <c r="M202" t="n">
        <v>0</v>
      </c>
      <c r="N202" t="n">
        <v>0</v>
      </c>
      <c r="O202" t="n">
        <v>0</v>
      </c>
      <c r="P202" t="n">
        <v>0</v>
      </c>
      <c r="Q202" t="n">
        <v>0</v>
      </c>
      <c r="R202" s="2" t="inlineStr"/>
    </row>
    <row r="203" ht="15" customHeight="1">
      <c r="A203" t="inlineStr">
        <is>
          <t>A 64599-2021</t>
        </is>
      </c>
      <c r="B203" s="1" t="n">
        <v>44511.69885416667</v>
      </c>
      <c r="C203" s="1" t="n">
        <v>46012</v>
      </c>
      <c r="D203" t="inlineStr">
        <is>
          <t>STOCKHOLMS LÄN</t>
        </is>
      </c>
      <c r="E203" t="inlineStr">
        <is>
          <t>NORRTÄLJE</t>
        </is>
      </c>
      <c r="G203" t="n">
        <v>1.1</v>
      </c>
      <c r="H203" t="n">
        <v>0</v>
      </c>
      <c r="I203" t="n">
        <v>0</v>
      </c>
      <c r="J203" t="n">
        <v>0</v>
      </c>
      <c r="K203" t="n">
        <v>0</v>
      </c>
      <c r="L203" t="n">
        <v>0</v>
      </c>
      <c r="M203" t="n">
        <v>0</v>
      </c>
      <c r="N203" t="n">
        <v>0</v>
      </c>
      <c r="O203" t="n">
        <v>0</v>
      </c>
      <c r="P203" t="n">
        <v>0</v>
      </c>
      <c r="Q203" t="n">
        <v>0</v>
      </c>
      <c r="R203" s="2" t="inlineStr"/>
    </row>
    <row r="204" ht="15" customHeight="1">
      <c r="A204" t="inlineStr">
        <is>
          <t>A 64212-2021</t>
        </is>
      </c>
      <c r="B204" s="1" t="n">
        <v>44510</v>
      </c>
      <c r="C204" s="1" t="n">
        <v>46012</v>
      </c>
      <c r="D204" t="inlineStr">
        <is>
          <t>STOCKHOLMS LÄN</t>
        </is>
      </c>
      <c r="E204" t="inlineStr">
        <is>
          <t>NORRTÄLJE</t>
        </is>
      </c>
      <c r="G204" t="n">
        <v>28.7</v>
      </c>
      <c r="H204" t="n">
        <v>0</v>
      </c>
      <c r="I204" t="n">
        <v>0</v>
      </c>
      <c r="J204" t="n">
        <v>0</v>
      </c>
      <c r="K204" t="n">
        <v>0</v>
      </c>
      <c r="L204" t="n">
        <v>0</v>
      </c>
      <c r="M204" t="n">
        <v>0</v>
      </c>
      <c r="N204" t="n">
        <v>0</v>
      </c>
      <c r="O204" t="n">
        <v>0</v>
      </c>
      <c r="P204" t="n">
        <v>0</v>
      </c>
      <c r="Q204" t="n">
        <v>0</v>
      </c>
      <c r="R204" s="2" t="inlineStr"/>
    </row>
    <row r="205" ht="15" customHeight="1">
      <c r="A205" t="inlineStr">
        <is>
          <t>A 47349-2021</t>
        </is>
      </c>
      <c r="B205" s="1" t="n">
        <v>44447</v>
      </c>
      <c r="C205" s="1" t="n">
        <v>46012</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36565-2021</t>
        </is>
      </c>
      <c r="B206" s="1" t="n">
        <v>44391.5580787037</v>
      </c>
      <c r="C206" s="1" t="n">
        <v>46012</v>
      </c>
      <c r="D206" t="inlineStr">
        <is>
          <t>STOCKHOLMS LÄN</t>
        </is>
      </c>
      <c r="E206" t="inlineStr">
        <is>
          <t>NORRTÄLJE</t>
        </is>
      </c>
      <c r="G206" t="n">
        <v>1.8</v>
      </c>
      <c r="H206" t="n">
        <v>0</v>
      </c>
      <c r="I206" t="n">
        <v>0</v>
      </c>
      <c r="J206" t="n">
        <v>0</v>
      </c>
      <c r="K206" t="n">
        <v>0</v>
      </c>
      <c r="L206" t="n">
        <v>0</v>
      </c>
      <c r="M206" t="n">
        <v>0</v>
      </c>
      <c r="N206" t="n">
        <v>0</v>
      </c>
      <c r="O206" t="n">
        <v>0</v>
      </c>
      <c r="P206" t="n">
        <v>0</v>
      </c>
      <c r="Q206" t="n">
        <v>0</v>
      </c>
      <c r="R206" s="2" t="inlineStr"/>
    </row>
    <row r="207" ht="15" customHeight="1">
      <c r="A207" t="inlineStr">
        <is>
          <t>A 50970-2022</t>
        </is>
      </c>
      <c r="B207" s="1" t="n">
        <v>44867</v>
      </c>
      <c r="C207" s="1" t="n">
        <v>46012</v>
      </c>
      <c r="D207" t="inlineStr">
        <is>
          <t>STOCKHOLMS LÄN</t>
        </is>
      </c>
      <c r="E207" t="inlineStr">
        <is>
          <t>NORRTÄLJE</t>
        </is>
      </c>
      <c r="G207" t="n">
        <v>9</v>
      </c>
      <c r="H207" t="n">
        <v>0</v>
      </c>
      <c r="I207" t="n">
        <v>0</v>
      </c>
      <c r="J207" t="n">
        <v>0</v>
      </c>
      <c r="K207" t="n">
        <v>0</v>
      </c>
      <c r="L207" t="n">
        <v>0</v>
      </c>
      <c r="M207" t="n">
        <v>0</v>
      </c>
      <c r="N207" t="n">
        <v>0</v>
      </c>
      <c r="O207" t="n">
        <v>0</v>
      </c>
      <c r="P207" t="n">
        <v>0</v>
      </c>
      <c r="Q207" t="n">
        <v>0</v>
      </c>
      <c r="R207" s="2" t="inlineStr"/>
    </row>
    <row r="208" ht="15" customHeight="1">
      <c r="A208" t="inlineStr">
        <is>
          <t>A 44274-2021</t>
        </is>
      </c>
      <c r="B208" s="1" t="n">
        <v>44435</v>
      </c>
      <c r="C208" s="1" t="n">
        <v>46012</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49113-2021</t>
        </is>
      </c>
      <c r="B209" s="1" t="n">
        <v>44453</v>
      </c>
      <c r="C209" s="1" t="n">
        <v>46012</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64628-2021</t>
        </is>
      </c>
      <c r="B210" s="1" t="n">
        <v>44511</v>
      </c>
      <c r="C210" s="1" t="n">
        <v>46012</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60209-2021</t>
        </is>
      </c>
      <c r="B211" s="1" t="n">
        <v>44495</v>
      </c>
      <c r="C211" s="1" t="n">
        <v>46012</v>
      </c>
      <c r="D211" t="inlineStr">
        <is>
          <t>STOCKHOLMS LÄN</t>
        </is>
      </c>
      <c r="E211" t="inlineStr">
        <is>
          <t>NORRTÄLJE</t>
        </is>
      </c>
      <c r="G211" t="n">
        <v>4.3</v>
      </c>
      <c r="H211" t="n">
        <v>0</v>
      </c>
      <c r="I211" t="n">
        <v>0</v>
      </c>
      <c r="J211" t="n">
        <v>0</v>
      </c>
      <c r="K211" t="n">
        <v>0</v>
      </c>
      <c r="L211" t="n">
        <v>0</v>
      </c>
      <c r="M211" t="n">
        <v>0</v>
      </c>
      <c r="N211" t="n">
        <v>0</v>
      </c>
      <c r="O211" t="n">
        <v>0</v>
      </c>
      <c r="P211" t="n">
        <v>0</v>
      </c>
      <c r="Q211" t="n">
        <v>0</v>
      </c>
      <c r="R211" s="2" t="inlineStr"/>
    </row>
    <row r="212" ht="15" customHeight="1">
      <c r="A212" t="inlineStr">
        <is>
          <t>A 17803-2022</t>
        </is>
      </c>
      <c r="B212" s="1" t="n">
        <v>44683</v>
      </c>
      <c r="C212" s="1" t="n">
        <v>46012</v>
      </c>
      <c r="D212" t="inlineStr">
        <is>
          <t>STOCKHOLMS LÄN</t>
        </is>
      </c>
      <c r="E212" t="inlineStr">
        <is>
          <t>NORRTÄLJE</t>
        </is>
      </c>
      <c r="G212" t="n">
        <v>1.4</v>
      </c>
      <c r="H212" t="n">
        <v>0</v>
      </c>
      <c r="I212" t="n">
        <v>0</v>
      </c>
      <c r="J212" t="n">
        <v>0</v>
      </c>
      <c r="K212" t="n">
        <v>0</v>
      </c>
      <c r="L212" t="n">
        <v>0</v>
      </c>
      <c r="M212" t="n">
        <v>0</v>
      </c>
      <c r="N212" t="n">
        <v>0</v>
      </c>
      <c r="O212" t="n">
        <v>0</v>
      </c>
      <c r="P212" t="n">
        <v>0</v>
      </c>
      <c r="Q212" t="n">
        <v>0</v>
      </c>
      <c r="R212" s="2" t="inlineStr"/>
    </row>
    <row r="213" ht="15" customHeight="1">
      <c r="A213" t="inlineStr">
        <is>
          <t>A 348-2021</t>
        </is>
      </c>
      <c r="B213" s="1" t="n">
        <v>44201</v>
      </c>
      <c r="C213" s="1" t="n">
        <v>46012</v>
      </c>
      <c r="D213" t="inlineStr">
        <is>
          <t>STOCKHOLMS LÄN</t>
        </is>
      </c>
      <c r="E213" t="inlineStr">
        <is>
          <t>NORRTÄLJE</t>
        </is>
      </c>
      <c r="G213" t="n">
        <v>0.1</v>
      </c>
      <c r="H213" t="n">
        <v>0</v>
      </c>
      <c r="I213" t="n">
        <v>0</v>
      </c>
      <c r="J213" t="n">
        <v>0</v>
      </c>
      <c r="K213" t="n">
        <v>0</v>
      </c>
      <c r="L213" t="n">
        <v>0</v>
      </c>
      <c r="M213" t="n">
        <v>0</v>
      </c>
      <c r="N213" t="n">
        <v>0</v>
      </c>
      <c r="O213" t="n">
        <v>0</v>
      </c>
      <c r="P213" t="n">
        <v>0</v>
      </c>
      <c r="Q213" t="n">
        <v>0</v>
      </c>
      <c r="R213" s="2" t="inlineStr"/>
    </row>
    <row r="214" ht="15" customHeight="1">
      <c r="A214" t="inlineStr">
        <is>
          <t>A 367-2021</t>
        </is>
      </c>
      <c r="B214" s="1" t="n">
        <v>44201</v>
      </c>
      <c r="C214" s="1" t="n">
        <v>46012</v>
      </c>
      <c r="D214" t="inlineStr">
        <is>
          <t>STOCKHOLMS LÄN</t>
        </is>
      </c>
      <c r="E214" t="inlineStr">
        <is>
          <t>NORRTÄLJE</t>
        </is>
      </c>
      <c r="G214" t="n">
        <v>0.1</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46012</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46012</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65611-2021</t>
        </is>
      </c>
      <c r="B217" s="1" t="n">
        <v>44516.5275462963</v>
      </c>
      <c r="C217" s="1" t="n">
        <v>46012</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60813-2021</t>
        </is>
      </c>
      <c r="B218" s="1" t="n">
        <v>44496</v>
      </c>
      <c r="C218" s="1" t="n">
        <v>46012</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46012</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46012</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34431-2021</t>
        </is>
      </c>
      <c r="B221" s="1" t="n">
        <v>44380</v>
      </c>
      <c r="C221" s="1" t="n">
        <v>46012</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5351-2022</t>
        </is>
      </c>
      <c r="B222" s="1" t="n">
        <v>44594.75950231482</v>
      </c>
      <c r="C222" s="1" t="n">
        <v>46012</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30129-2021</t>
        </is>
      </c>
      <c r="B223" s="1" t="n">
        <v>44363.5784375</v>
      </c>
      <c r="C223" s="1" t="n">
        <v>46012</v>
      </c>
      <c r="D223" t="inlineStr">
        <is>
          <t>STOCKHOLMS LÄN</t>
        </is>
      </c>
      <c r="E223" t="inlineStr">
        <is>
          <t>NORRTÄLJE</t>
        </is>
      </c>
      <c r="G223" t="n">
        <v>0.4</v>
      </c>
      <c r="H223" t="n">
        <v>0</v>
      </c>
      <c r="I223" t="n">
        <v>0</v>
      </c>
      <c r="J223" t="n">
        <v>0</v>
      </c>
      <c r="K223" t="n">
        <v>0</v>
      </c>
      <c r="L223" t="n">
        <v>0</v>
      </c>
      <c r="M223" t="n">
        <v>0</v>
      </c>
      <c r="N223" t="n">
        <v>0</v>
      </c>
      <c r="O223" t="n">
        <v>0</v>
      </c>
      <c r="P223" t="n">
        <v>0</v>
      </c>
      <c r="Q223" t="n">
        <v>0</v>
      </c>
      <c r="R223" s="2" t="inlineStr"/>
    </row>
    <row r="224" ht="15" customHeight="1">
      <c r="A224" t="inlineStr">
        <is>
          <t>A 22316-2022</t>
        </is>
      </c>
      <c r="B224" s="1" t="n">
        <v>44712.83118055556</v>
      </c>
      <c r="C224" s="1" t="n">
        <v>46012</v>
      </c>
      <c r="D224" t="inlineStr">
        <is>
          <t>STOCKHOLMS LÄN</t>
        </is>
      </c>
      <c r="E224" t="inlineStr">
        <is>
          <t>NORRTÄLJE</t>
        </is>
      </c>
      <c r="G224" t="n">
        <v>6.3</v>
      </c>
      <c r="H224" t="n">
        <v>0</v>
      </c>
      <c r="I224" t="n">
        <v>0</v>
      </c>
      <c r="J224" t="n">
        <v>0</v>
      </c>
      <c r="K224" t="n">
        <v>0</v>
      </c>
      <c r="L224" t="n">
        <v>0</v>
      </c>
      <c r="M224" t="n">
        <v>0</v>
      </c>
      <c r="N224" t="n">
        <v>0</v>
      </c>
      <c r="O224" t="n">
        <v>0</v>
      </c>
      <c r="P224" t="n">
        <v>0</v>
      </c>
      <c r="Q224" t="n">
        <v>0</v>
      </c>
      <c r="R224" s="2" t="inlineStr"/>
    </row>
    <row r="225" ht="15" customHeight="1">
      <c r="A225" t="inlineStr">
        <is>
          <t>A 31092-2022</t>
        </is>
      </c>
      <c r="B225" s="1" t="n">
        <v>44769.62320601852</v>
      </c>
      <c r="C225" s="1" t="n">
        <v>46012</v>
      </c>
      <c r="D225" t="inlineStr">
        <is>
          <t>STOCKHOLMS LÄN</t>
        </is>
      </c>
      <c r="E225" t="inlineStr">
        <is>
          <t>NORRTÄLJE</t>
        </is>
      </c>
      <c r="G225" t="n">
        <v>1.6</v>
      </c>
      <c r="H225" t="n">
        <v>0</v>
      </c>
      <c r="I225" t="n">
        <v>0</v>
      </c>
      <c r="J225" t="n">
        <v>0</v>
      </c>
      <c r="K225" t="n">
        <v>0</v>
      </c>
      <c r="L225" t="n">
        <v>0</v>
      </c>
      <c r="M225" t="n">
        <v>0</v>
      </c>
      <c r="N225" t="n">
        <v>0</v>
      </c>
      <c r="O225" t="n">
        <v>0</v>
      </c>
      <c r="P225" t="n">
        <v>0</v>
      </c>
      <c r="Q225" t="n">
        <v>0</v>
      </c>
      <c r="R225" s="2" t="inlineStr"/>
    </row>
    <row r="226" ht="15" customHeight="1">
      <c r="A226" t="inlineStr">
        <is>
          <t>A 9467-2021</t>
        </is>
      </c>
      <c r="B226" s="1" t="n">
        <v>44251.43971064815</v>
      </c>
      <c r="C226" s="1" t="n">
        <v>46012</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71871-2021</t>
        </is>
      </c>
      <c r="B227" s="1" t="n">
        <v>44543</v>
      </c>
      <c r="C227" s="1" t="n">
        <v>46012</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71873-2021</t>
        </is>
      </c>
      <c r="B228" s="1" t="n">
        <v>44543</v>
      </c>
      <c r="C228" s="1" t="n">
        <v>46012</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72355-2021</t>
        </is>
      </c>
      <c r="B229" s="1" t="n">
        <v>44545</v>
      </c>
      <c r="C229" s="1" t="n">
        <v>46012</v>
      </c>
      <c r="D229" t="inlineStr">
        <is>
          <t>STOCKHOLMS LÄN</t>
        </is>
      </c>
      <c r="E229" t="inlineStr">
        <is>
          <t>NORRTÄLJE</t>
        </is>
      </c>
      <c r="G229" t="n">
        <v>3.6</v>
      </c>
      <c r="H229" t="n">
        <v>0</v>
      </c>
      <c r="I229" t="n">
        <v>0</v>
      </c>
      <c r="J229" t="n">
        <v>0</v>
      </c>
      <c r="K229" t="n">
        <v>0</v>
      </c>
      <c r="L229" t="n">
        <v>0</v>
      </c>
      <c r="M229" t="n">
        <v>0</v>
      </c>
      <c r="N229" t="n">
        <v>0</v>
      </c>
      <c r="O229" t="n">
        <v>0</v>
      </c>
      <c r="P229" t="n">
        <v>0</v>
      </c>
      <c r="Q229" t="n">
        <v>0</v>
      </c>
      <c r="R229" s="2" t="inlineStr"/>
    </row>
    <row r="230" ht="15" customHeight="1">
      <c r="A230" t="inlineStr">
        <is>
          <t>A 72357-2021</t>
        </is>
      </c>
      <c r="B230" s="1" t="n">
        <v>44545</v>
      </c>
      <c r="C230" s="1" t="n">
        <v>46012</v>
      </c>
      <c r="D230" t="inlineStr">
        <is>
          <t>STOCKHOLMS LÄN</t>
        </is>
      </c>
      <c r="E230" t="inlineStr">
        <is>
          <t>NORRTÄLJE</t>
        </is>
      </c>
      <c r="G230" t="n">
        <v>5.1</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46012</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46012</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53884-2022</t>
        </is>
      </c>
      <c r="B233" s="1" t="n">
        <v>44880.68423611111</v>
      </c>
      <c r="C233" s="1" t="n">
        <v>46012</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12357-2022</t>
        </is>
      </c>
      <c r="B234" s="1" t="n">
        <v>44637</v>
      </c>
      <c r="C234" s="1" t="n">
        <v>46012</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26335-2022</t>
        </is>
      </c>
      <c r="B235" s="1" t="n">
        <v>44735</v>
      </c>
      <c r="C235" s="1" t="n">
        <v>46012</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30624-2022</t>
        </is>
      </c>
      <c r="B236" s="1" t="n">
        <v>44763.4182175926</v>
      </c>
      <c r="C236" s="1" t="n">
        <v>46012</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52449-2021</t>
        </is>
      </c>
      <c r="B237" s="1" t="n">
        <v>44466.37496527778</v>
      </c>
      <c r="C237" s="1" t="n">
        <v>46012</v>
      </c>
      <c r="D237" t="inlineStr">
        <is>
          <t>STOCKHOLMS LÄN</t>
        </is>
      </c>
      <c r="E237" t="inlineStr">
        <is>
          <t>NORRTÄLJE</t>
        </is>
      </c>
      <c r="F237" t="inlineStr">
        <is>
          <t>Holmen skog AB</t>
        </is>
      </c>
      <c r="G237" t="n">
        <v>1.8</v>
      </c>
      <c r="H237" t="n">
        <v>0</v>
      </c>
      <c r="I237" t="n">
        <v>0</v>
      </c>
      <c r="J237" t="n">
        <v>0</v>
      </c>
      <c r="K237" t="n">
        <v>0</v>
      </c>
      <c r="L237" t="n">
        <v>0</v>
      </c>
      <c r="M237" t="n">
        <v>0</v>
      </c>
      <c r="N237" t="n">
        <v>0</v>
      </c>
      <c r="O237" t="n">
        <v>0</v>
      </c>
      <c r="P237" t="n">
        <v>0</v>
      </c>
      <c r="Q237" t="n">
        <v>0</v>
      </c>
      <c r="R237" s="2" t="inlineStr"/>
    </row>
    <row r="238" ht="15" customHeight="1">
      <c r="A238" t="inlineStr">
        <is>
          <t>A 33046-2021</t>
        </is>
      </c>
      <c r="B238" s="1" t="n">
        <v>44376</v>
      </c>
      <c r="C238" s="1" t="n">
        <v>46012</v>
      </c>
      <c r="D238" t="inlineStr">
        <is>
          <t>STOCKHOLMS LÄN</t>
        </is>
      </c>
      <c r="E238" t="inlineStr">
        <is>
          <t>NORRTÄLJE</t>
        </is>
      </c>
      <c r="G238" t="n">
        <v>2.1</v>
      </c>
      <c r="H238" t="n">
        <v>0</v>
      </c>
      <c r="I238" t="n">
        <v>0</v>
      </c>
      <c r="J238" t="n">
        <v>0</v>
      </c>
      <c r="K238" t="n">
        <v>0</v>
      </c>
      <c r="L238" t="n">
        <v>0</v>
      </c>
      <c r="M238" t="n">
        <v>0</v>
      </c>
      <c r="N238" t="n">
        <v>0</v>
      </c>
      <c r="O238" t="n">
        <v>0</v>
      </c>
      <c r="P238" t="n">
        <v>0</v>
      </c>
      <c r="Q238" t="n">
        <v>0</v>
      </c>
      <c r="R238" s="2" t="inlineStr"/>
    </row>
    <row r="239" ht="15" customHeight="1">
      <c r="A239" t="inlineStr">
        <is>
          <t>A 26328-2022</t>
        </is>
      </c>
      <c r="B239" s="1" t="n">
        <v>44735</v>
      </c>
      <c r="C239" s="1" t="n">
        <v>46012</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15441-2021</t>
        </is>
      </c>
      <c r="B240" s="1" t="n">
        <v>44284</v>
      </c>
      <c r="C240" s="1" t="n">
        <v>46012</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67598-2021</t>
        </is>
      </c>
      <c r="B241" s="1" t="n">
        <v>44524</v>
      </c>
      <c r="C241" s="1" t="n">
        <v>46012</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34520-2021</t>
        </is>
      </c>
      <c r="B242" s="1" t="n">
        <v>44379</v>
      </c>
      <c r="C242" s="1" t="n">
        <v>46012</v>
      </c>
      <c r="D242" t="inlineStr">
        <is>
          <t>STOCKHOLMS LÄN</t>
        </is>
      </c>
      <c r="E242" t="inlineStr">
        <is>
          <t>NORRTÄLJE</t>
        </is>
      </c>
      <c r="G242" t="n">
        <v>1.7</v>
      </c>
      <c r="H242" t="n">
        <v>0</v>
      </c>
      <c r="I242" t="n">
        <v>0</v>
      </c>
      <c r="J242" t="n">
        <v>0</v>
      </c>
      <c r="K242" t="n">
        <v>0</v>
      </c>
      <c r="L242" t="n">
        <v>0</v>
      </c>
      <c r="M242" t="n">
        <v>0</v>
      </c>
      <c r="N242" t="n">
        <v>0</v>
      </c>
      <c r="O242" t="n">
        <v>0</v>
      </c>
      <c r="P242" t="n">
        <v>0</v>
      </c>
      <c r="Q242" t="n">
        <v>0</v>
      </c>
      <c r="R242" s="2" t="inlineStr"/>
    </row>
    <row r="243" ht="15" customHeight="1">
      <c r="A243" t="inlineStr">
        <is>
          <t>A 1968-2022</t>
        </is>
      </c>
      <c r="B243" s="1" t="n">
        <v>44575.52831018518</v>
      </c>
      <c r="C243" s="1" t="n">
        <v>46012</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1229-2022</t>
        </is>
      </c>
      <c r="B244" s="1" t="n">
        <v>44572</v>
      </c>
      <c r="C244" s="1" t="n">
        <v>46012</v>
      </c>
      <c r="D244" t="inlineStr">
        <is>
          <t>STOCKHOLMS LÄN</t>
        </is>
      </c>
      <c r="E244" t="inlineStr">
        <is>
          <t>NORRTÄLJE</t>
        </is>
      </c>
      <c r="G244" t="n">
        <v>11.5</v>
      </c>
      <c r="H244" t="n">
        <v>0</v>
      </c>
      <c r="I244" t="n">
        <v>0</v>
      </c>
      <c r="J244" t="n">
        <v>0</v>
      </c>
      <c r="K244" t="n">
        <v>0</v>
      </c>
      <c r="L244" t="n">
        <v>0</v>
      </c>
      <c r="M244" t="n">
        <v>0</v>
      </c>
      <c r="N244" t="n">
        <v>0</v>
      </c>
      <c r="O244" t="n">
        <v>0</v>
      </c>
      <c r="P244" t="n">
        <v>0</v>
      </c>
      <c r="Q244" t="n">
        <v>0</v>
      </c>
      <c r="R244" s="2" t="inlineStr"/>
    </row>
    <row r="245" ht="15" customHeight="1">
      <c r="A245" t="inlineStr">
        <is>
          <t>A 14051-2022</t>
        </is>
      </c>
      <c r="B245" s="1" t="n">
        <v>44650.92714120371</v>
      </c>
      <c r="C245" s="1" t="n">
        <v>46012</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24167-2022</t>
        </is>
      </c>
      <c r="B246" s="1" t="n">
        <v>44725.49491898148</v>
      </c>
      <c r="C246" s="1" t="n">
        <v>46012</v>
      </c>
      <c r="D246" t="inlineStr">
        <is>
          <t>STOCKHOLMS LÄN</t>
        </is>
      </c>
      <c r="E246" t="inlineStr">
        <is>
          <t>NORRTÄLJE</t>
        </is>
      </c>
      <c r="G246" t="n">
        <v>3.4</v>
      </c>
      <c r="H246" t="n">
        <v>0</v>
      </c>
      <c r="I246" t="n">
        <v>0</v>
      </c>
      <c r="J246" t="n">
        <v>0</v>
      </c>
      <c r="K246" t="n">
        <v>0</v>
      </c>
      <c r="L246" t="n">
        <v>0</v>
      </c>
      <c r="M246" t="n">
        <v>0</v>
      </c>
      <c r="N246" t="n">
        <v>0</v>
      </c>
      <c r="O246" t="n">
        <v>0</v>
      </c>
      <c r="P246" t="n">
        <v>0</v>
      </c>
      <c r="Q246" t="n">
        <v>0</v>
      </c>
      <c r="R246" s="2" t="inlineStr"/>
    </row>
    <row r="247" ht="15" customHeight="1">
      <c r="A247" t="inlineStr">
        <is>
          <t>A 42396-2021</t>
        </is>
      </c>
      <c r="B247" s="1" t="n">
        <v>44427</v>
      </c>
      <c r="C247" s="1" t="n">
        <v>46012</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2732-2022</t>
        </is>
      </c>
      <c r="B248" s="1" t="n">
        <v>44580</v>
      </c>
      <c r="C248" s="1" t="n">
        <v>46012</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31924-2022</t>
        </is>
      </c>
      <c r="B249" s="1" t="n">
        <v>44777</v>
      </c>
      <c r="C249" s="1" t="n">
        <v>46012</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16119-2022</t>
        </is>
      </c>
      <c r="B250" s="1" t="n">
        <v>44665.66407407408</v>
      </c>
      <c r="C250" s="1" t="n">
        <v>46012</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46012</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46012</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46012</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28042-2022</t>
        </is>
      </c>
      <c r="B254" s="1" t="n">
        <v>44744</v>
      </c>
      <c r="C254" s="1" t="n">
        <v>46012</v>
      </c>
      <c r="D254" t="inlineStr">
        <is>
          <t>STOCKHOLMS LÄN</t>
        </is>
      </c>
      <c r="E254" t="inlineStr">
        <is>
          <t>NORRTÄLJE</t>
        </is>
      </c>
      <c r="G254" t="n">
        <v>0.2</v>
      </c>
      <c r="H254" t="n">
        <v>0</v>
      </c>
      <c r="I254" t="n">
        <v>0</v>
      </c>
      <c r="J254" t="n">
        <v>0</v>
      </c>
      <c r="K254" t="n">
        <v>0</v>
      </c>
      <c r="L254" t="n">
        <v>0</v>
      </c>
      <c r="M254" t="n">
        <v>0</v>
      </c>
      <c r="N254" t="n">
        <v>0</v>
      </c>
      <c r="O254" t="n">
        <v>0</v>
      </c>
      <c r="P254" t="n">
        <v>0</v>
      </c>
      <c r="Q254" t="n">
        <v>0</v>
      </c>
      <c r="R254" s="2" t="inlineStr"/>
    </row>
    <row r="255" ht="15" customHeight="1">
      <c r="A255" t="inlineStr">
        <is>
          <t>A 41398-2022</t>
        </is>
      </c>
      <c r="B255" s="1" t="n">
        <v>44826</v>
      </c>
      <c r="C255" s="1" t="n">
        <v>46012</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22369-2021</t>
        </is>
      </c>
      <c r="B256" s="1" t="n">
        <v>44326</v>
      </c>
      <c r="C256" s="1" t="n">
        <v>46012</v>
      </c>
      <c r="D256" t="inlineStr">
        <is>
          <t>STOCKHOLMS LÄN</t>
        </is>
      </c>
      <c r="E256" t="inlineStr">
        <is>
          <t>NORRTÄLJE</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19398-2021</t>
        </is>
      </c>
      <c r="B257" s="1" t="n">
        <v>44309</v>
      </c>
      <c r="C257" s="1" t="n">
        <v>46012</v>
      </c>
      <c r="D257" t="inlineStr">
        <is>
          <t>STOCKHOLMS LÄN</t>
        </is>
      </c>
      <c r="E257" t="inlineStr">
        <is>
          <t>NORRTÄLJE</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12779-2021</t>
        </is>
      </c>
      <c r="B258" s="1" t="n">
        <v>44270</v>
      </c>
      <c r="C258" s="1" t="n">
        <v>46012</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12782-2021</t>
        </is>
      </c>
      <c r="B259" s="1" t="n">
        <v>44270</v>
      </c>
      <c r="C259" s="1" t="n">
        <v>46012</v>
      </c>
      <c r="D259" t="inlineStr">
        <is>
          <t>STOCKHOLMS LÄN</t>
        </is>
      </c>
      <c r="E259" t="inlineStr">
        <is>
          <t>NORRTÄLJE</t>
        </is>
      </c>
      <c r="G259" t="n">
        <v>3.8</v>
      </c>
      <c r="H259" t="n">
        <v>0</v>
      </c>
      <c r="I259" t="n">
        <v>0</v>
      </c>
      <c r="J259" t="n">
        <v>0</v>
      </c>
      <c r="K259" t="n">
        <v>0</v>
      </c>
      <c r="L259" t="n">
        <v>0</v>
      </c>
      <c r="M259" t="n">
        <v>0</v>
      </c>
      <c r="N259" t="n">
        <v>0</v>
      </c>
      <c r="O259" t="n">
        <v>0</v>
      </c>
      <c r="P259" t="n">
        <v>0</v>
      </c>
      <c r="Q259" t="n">
        <v>0</v>
      </c>
      <c r="R259" s="2" t="inlineStr"/>
    </row>
    <row r="260" ht="15" customHeight="1">
      <c r="A260" t="inlineStr">
        <is>
          <t>A 45541-2022</t>
        </is>
      </c>
      <c r="B260" s="1" t="n">
        <v>44845.47672453704</v>
      </c>
      <c r="C260" s="1" t="n">
        <v>46012</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68273-2021</t>
        </is>
      </c>
      <c r="B261" s="1" t="n">
        <v>44526</v>
      </c>
      <c r="C261" s="1" t="n">
        <v>46012</v>
      </c>
      <c r="D261" t="inlineStr">
        <is>
          <t>STOCKHOLMS LÄN</t>
        </is>
      </c>
      <c r="E261" t="inlineStr">
        <is>
          <t>NORRTÄLJE</t>
        </is>
      </c>
      <c r="G261" t="n">
        <v>5.3</v>
      </c>
      <c r="H261" t="n">
        <v>0</v>
      </c>
      <c r="I261" t="n">
        <v>0</v>
      </c>
      <c r="J261" t="n">
        <v>0</v>
      </c>
      <c r="K261" t="n">
        <v>0</v>
      </c>
      <c r="L261" t="n">
        <v>0</v>
      </c>
      <c r="M261" t="n">
        <v>0</v>
      </c>
      <c r="N261" t="n">
        <v>0</v>
      </c>
      <c r="O261" t="n">
        <v>0</v>
      </c>
      <c r="P261" t="n">
        <v>0</v>
      </c>
      <c r="Q261" t="n">
        <v>0</v>
      </c>
      <c r="R261" s="2" t="inlineStr"/>
    </row>
    <row r="262" ht="15" customHeight="1">
      <c r="A262" t="inlineStr">
        <is>
          <t>A 5562-2021</t>
        </is>
      </c>
      <c r="B262" s="1" t="n">
        <v>44230</v>
      </c>
      <c r="C262" s="1" t="n">
        <v>46012</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5566-2021</t>
        </is>
      </c>
      <c r="B263" s="1" t="n">
        <v>44230</v>
      </c>
      <c r="C263" s="1" t="n">
        <v>46012</v>
      </c>
      <c r="D263" t="inlineStr">
        <is>
          <t>STOCKHOLMS LÄN</t>
        </is>
      </c>
      <c r="E263" t="inlineStr">
        <is>
          <t>NORRTÄLJE</t>
        </is>
      </c>
      <c r="G263" t="n">
        <v>3.1</v>
      </c>
      <c r="H263" t="n">
        <v>0</v>
      </c>
      <c r="I263" t="n">
        <v>0</v>
      </c>
      <c r="J263" t="n">
        <v>0</v>
      </c>
      <c r="K263" t="n">
        <v>0</v>
      </c>
      <c r="L263" t="n">
        <v>0</v>
      </c>
      <c r="M263" t="n">
        <v>0</v>
      </c>
      <c r="N263" t="n">
        <v>0</v>
      </c>
      <c r="O263" t="n">
        <v>0</v>
      </c>
      <c r="P263" t="n">
        <v>0</v>
      </c>
      <c r="Q263" t="n">
        <v>0</v>
      </c>
      <c r="R263" s="2" t="inlineStr"/>
    </row>
    <row r="264" ht="15" customHeight="1">
      <c r="A264" t="inlineStr">
        <is>
          <t>A 52139-2022</t>
        </is>
      </c>
      <c r="B264" s="1" t="n">
        <v>44868</v>
      </c>
      <c r="C264" s="1" t="n">
        <v>46012</v>
      </c>
      <c r="D264" t="inlineStr">
        <is>
          <t>STOCKHOLMS LÄN</t>
        </is>
      </c>
      <c r="E264" t="inlineStr">
        <is>
          <t>NORRTÄLJE</t>
        </is>
      </c>
      <c r="G264" t="n">
        <v>3.2</v>
      </c>
      <c r="H264" t="n">
        <v>0</v>
      </c>
      <c r="I264" t="n">
        <v>0</v>
      </c>
      <c r="J264" t="n">
        <v>0</v>
      </c>
      <c r="K264" t="n">
        <v>0</v>
      </c>
      <c r="L264" t="n">
        <v>0</v>
      </c>
      <c r="M264" t="n">
        <v>0</v>
      </c>
      <c r="N264" t="n">
        <v>0</v>
      </c>
      <c r="O264" t="n">
        <v>0</v>
      </c>
      <c r="P264" t="n">
        <v>0</v>
      </c>
      <c r="Q264" t="n">
        <v>0</v>
      </c>
      <c r="R264" s="2" t="inlineStr"/>
      <c r="U264">
        <f>HYPERLINK("https://klasma.github.io/Logging_0188/knärot/A 52139-2022 karta knärot.png", "A 52139-2022")</f>
        <v/>
      </c>
      <c r="V264">
        <f>HYPERLINK("https://klasma.github.io/Logging_0188/klagomål/A 52139-2022 FSC-klagomål.docx", "A 52139-2022")</f>
        <v/>
      </c>
      <c r="W264">
        <f>HYPERLINK("https://klasma.github.io/Logging_0188/klagomålsmail/A 52139-2022 FSC-klagomål mail.docx", "A 52139-2022")</f>
        <v/>
      </c>
      <c r="X264">
        <f>HYPERLINK("https://klasma.github.io/Logging_0188/tillsyn/A 52139-2022 tillsynsbegäran.docx", "A 52139-2022")</f>
        <v/>
      </c>
      <c r="Y264">
        <f>HYPERLINK("https://klasma.github.io/Logging_0188/tillsynsmail/A 52139-2022 tillsynsbegäran mail.docx", "A 52139-2022")</f>
        <v/>
      </c>
    </row>
    <row r="265" ht="15" customHeight="1">
      <c r="A265" t="inlineStr">
        <is>
          <t>A 9446-2021</t>
        </is>
      </c>
      <c r="B265" s="1" t="n">
        <v>44251</v>
      </c>
      <c r="C265" s="1" t="n">
        <v>46012</v>
      </c>
      <c r="D265" t="inlineStr">
        <is>
          <t>STOCKHOLMS LÄN</t>
        </is>
      </c>
      <c r="E265" t="inlineStr">
        <is>
          <t>NORRTÄLJE</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17673-2021</t>
        </is>
      </c>
      <c r="B266" s="1" t="n">
        <v>44300</v>
      </c>
      <c r="C266" s="1" t="n">
        <v>46012</v>
      </c>
      <c r="D266" t="inlineStr">
        <is>
          <t>STOCKHOLMS LÄN</t>
        </is>
      </c>
      <c r="E266" t="inlineStr">
        <is>
          <t>NORRTÄLJE</t>
        </is>
      </c>
      <c r="G266" t="n">
        <v>1.1</v>
      </c>
      <c r="H266" t="n">
        <v>0</v>
      </c>
      <c r="I266" t="n">
        <v>0</v>
      </c>
      <c r="J266" t="n">
        <v>0</v>
      </c>
      <c r="K266" t="n">
        <v>0</v>
      </c>
      <c r="L266" t="n">
        <v>0</v>
      </c>
      <c r="M266" t="n">
        <v>0</v>
      </c>
      <c r="N266" t="n">
        <v>0</v>
      </c>
      <c r="O266" t="n">
        <v>0</v>
      </c>
      <c r="P266" t="n">
        <v>0</v>
      </c>
      <c r="Q266" t="n">
        <v>0</v>
      </c>
      <c r="R266" s="2" t="inlineStr"/>
      <c r="T266">
        <f>HYPERLINK("https://klasma.github.io/Logging_0188/kartor/A 17673-2021 karta.png", "A 17673-2021")</f>
        <v/>
      </c>
      <c r="V266">
        <f>HYPERLINK("https://klasma.github.io/Logging_0188/klagomål/A 17673-2021 FSC-klagomål.docx", "A 17673-2021")</f>
        <v/>
      </c>
      <c r="W266">
        <f>HYPERLINK("https://klasma.github.io/Logging_0188/klagomålsmail/A 17673-2021 FSC-klagomål mail.docx", "A 17673-2021")</f>
        <v/>
      </c>
      <c r="X266">
        <f>HYPERLINK("https://klasma.github.io/Logging_0188/tillsyn/A 17673-2021 tillsynsbegäran.docx", "A 17673-2021")</f>
        <v/>
      </c>
      <c r="Y266">
        <f>HYPERLINK("https://klasma.github.io/Logging_0188/tillsynsmail/A 17673-2021 tillsynsbegäran mail.docx", "A 17673-2021")</f>
        <v/>
      </c>
      <c r="Z266">
        <f>HYPERLINK("https://klasma.github.io/Logging_0188/fåglar/A 17673-2021 prioriterade fågelarter.docx", "A 17673-2021")</f>
        <v/>
      </c>
    </row>
    <row r="267" ht="15" customHeight="1">
      <c r="A267" t="inlineStr">
        <is>
          <t>A 27217-2021</t>
        </is>
      </c>
      <c r="B267" s="1" t="n">
        <v>44350</v>
      </c>
      <c r="C267" s="1" t="n">
        <v>46012</v>
      </c>
      <c r="D267" t="inlineStr">
        <is>
          <t>STOCKHOLMS LÄN</t>
        </is>
      </c>
      <c r="E267" t="inlineStr">
        <is>
          <t>NORRTÄLJE</t>
        </is>
      </c>
      <c r="G267" t="n">
        <v>5.5</v>
      </c>
      <c r="H267" t="n">
        <v>0</v>
      </c>
      <c r="I267" t="n">
        <v>0</v>
      </c>
      <c r="J267" t="n">
        <v>0</v>
      </c>
      <c r="K267" t="n">
        <v>0</v>
      </c>
      <c r="L267" t="n">
        <v>0</v>
      </c>
      <c r="M267" t="n">
        <v>0</v>
      </c>
      <c r="N267" t="n">
        <v>0</v>
      </c>
      <c r="O267" t="n">
        <v>0</v>
      </c>
      <c r="P267" t="n">
        <v>0</v>
      </c>
      <c r="Q267" t="n">
        <v>0</v>
      </c>
      <c r="R267" s="2" t="inlineStr"/>
    </row>
    <row r="268" ht="15" customHeight="1">
      <c r="A268" t="inlineStr">
        <is>
          <t>A 62030-2021</t>
        </is>
      </c>
      <c r="B268" s="1" t="n">
        <v>44502</v>
      </c>
      <c r="C268" s="1" t="n">
        <v>46012</v>
      </c>
      <c r="D268" t="inlineStr">
        <is>
          <t>STOCKHOLMS LÄN</t>
        </is>
      </c>
      <c r="E268" t="inlineStr">
        <is>
          <t>NORRTÄLJE</t>
        </is>
      </c>
      <c r="G268" t="n">
        <v>4.7</v>
      </c>
      <c r="H268" t="n">
        <v>0</v>
      </c>
      <c r="I268" t="n">
        <v>0</v>
      </c>
      <c r="J268" t="n">
        <v>0</v>
      </c>
      <c r="K268" t="n">
        <v>0</v>
      </c>
      <c r="L268" t="n">
        <v>0</v>
      </c>
      <c r="M268" t="n">
        <v>0</v>
      </c>
      <c r="N268" t="n">
        <v>0</v>
      </c>
      <c r="O268" t="n">
        <v>0</v>
      </c>
      <c r="P268" t="n">
        <v>0</v>
      </c>
      <c r="Q268" t="n">
        <v>0</v>
      </c>
      <c r="R268" s="2" t="inlineStr"/>
    </row>
    <row r="269" ht="15" customHeight="1">
      <c r="A269" t="inlineStr">
        <is>
          <t>A 12875-2022</t>
        </is>
      </c>
      <c r="B269" s="1" t="n">
        <v>44642.55565972222</v>
      </c>
      <c r="C269" s="1" t="n">
        <v>46012</v>
      </c>
      <c r="D269" t="inlineStr">
        <is>
          <t>STOCKHOLMS LÄN</t>
        </is>
      </c>
      <c r="E269" t="inlineStr">
        <is>
          <t>NORRTÄLJE</t>
        </is>
      </c>
      <c r="G269" t="n">
        <v>1.6</v>
      </c>
      <c r="H269" t="n">
        <v>0</v>
      </c>
      <c r="I269" t="n">
        <v>0</v>
      </c>
      <c r="J269" t="n">
        <v>0</v>
      </c>
      <c r="K269" t="n">
        <v>0</v>
      </c>
      <c r="L269" t="n">
        <v>0</v>
      </c>
      <c r="M269" t="n">
        <v>0</v>
      </c>
      <c r="N269" t="n">
        <v>0</v>
      </c>
      <c r="O269" t="n">
        <v>0</v>
      </c>
      <c r="P269" t="n">
        <v>0</v>
      </c>
      <c r="Q269" t="n">
        <v>0</v>
      </c>
      <c r="R269" s="2" t="inlineStr"/>
    </row>
    <row r="270" ht="15" customHeight="1">
      <c r="A270" t="inlineStr">
        <is>
          <t>A 23453-2021</t>
        </is>
      </c>
      <c r="B270" s="1" t="n">
        <v>44333</v>
      </c>
      <c r="C270" s="1" t="n">
        <v>46012</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46012</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12355-2022</t>
        </is>
      </c>
      <c r="B272" s="1" t="n">
        <v>44637</v>
      </c>
      <c r="C272" s="1" t="n">
        <v>46012</v>
      </c>
      <c r="D272" t="inlineStr">
        <is>
          <t>STOCKHOLMS LÄN</t>
        </is>
      </c>
      <c r="E272" t="inlineStr">
        <is>
          <t>NORRTÄLJE</t>
        </is>
      </c>
      <c r="G272" t="n">
        <v>10.4</v>
      </c>
      <c r="H272" t="n">
        <v>0</v>
      </c>
      <c r="I272" t="n">
        <v>0</v>
      </c>
      <c r="J272" t="n">
        <v>0</v>
      </c>
      <c r="K272" t="n">
        <v>0</v>
      </c>
      <c r="L272" t="n">
        <v>0</v>
      </c>
      <c r="M272" t="n">
        <v>0</v>
      </c>
      <c r="N272" t="n">
        <v>0</v>
      </c>
      <c r="O272" t="n">
        <v>0</v>
      </c>
      <c r="P272" t="n">
        <v>0</v>
      </c>
      <c r="Q272" t="n">
        <v>0</v>
      </c>
      <c r="R272" s="2" t="inlineStr"/>
    </row>
    <row r="273" ht="15" customHeight="1">
      <c r="A273" t="inlineStr">
        <is>
          <t>A 7565-2022</t>
        </is>
      </c>
      <c r="B273" s="1" t="n">
        <v>44607</v>
      </c>
      <c r="C273" s="1" t="n">
        <v>46012</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41822-2021</t>
        </is>
      </c>
      <c r="B274" s="1" t="n">
        <v>44425</v>
      </c>
      <c r="C274" s="1" t="n">
        <v>46012</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41823-2021</t>
        </is>
      </c>
      <c r="B275" s="1" t="n">
        <v>44425</v>
      </c>
      <c r="C275" s="1" t="n">
        <v>46012</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20295-2022</t>
        </is>
      </c>
      <c r="B276" s="1" t="n">
        <v>44698</v>
      </c>
      <c r="C276" s="1" t="n">
        <v>46012</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37415-2021</t>
        </is>
      </c>
      <c r="B277" s="1" t="n">
        <v>44397</v>
      </c>
      <c r="C277" s="1" t="n">
        <v>46012</v>
      </c>
      <c r="D277" t="inlineStr">
        <is>
          <t>STOCKHOLMS LÄN</t>
        </is>
      </c>
      <c r="E277" t="inlineStr">
        <is>
          <t>NORRTÄLJE</t>
        </is>
      </c>
      <c r="F277" t="inlineStr">
        <is>
          <t>Övriga Aktiebolag</t>
        </is>
      </c>
      <c r="G277" t="n">
        <v>3</v>
      </c>
      <c r="H277" t="n">
        <v>0</v>
      </c>
      <c r="I277" t="n">
        <v>0</v>
      </c>
      <c r="J277" t="n">
        <v>0</v>
      </c>
      <c r="K277" t="n">
        <v>0</v>
      </c>
      <c r="L277" t="n">
        <v>0</v>
      </c>
      <c r="M277" t="n">
        <v>0</v>
      </c>
      <c r="N277" t="n">
        <v>0</v>
      </c>
      <c r="O277" t="n">
        <v>0</v>
      </c>
      <c r="P277" t="n">
        <v>0</v>
      </c>
      <c r="Q277" t="n">
        <v>0</v>
      </c>
      <c r="R277" s="2" t="inlineStr"/>
    </row>
    <row r="278" ht="15" customHeight="1">
      <c r="A278" t="inlineStr">
        <is>
          <t>A 8160-2022</t>
        </is>
      </c>
      <c r="B278" s="1" t="n">
        <v>44609</v>
      </c>
      <c r="C278" s="1" t="n">
        <v>46012</v>
      </c>
      <c r="D278" t="inlineStr">
        <is>
          <t>STOCKHOLMS LÄN</t>
        </is>
      </c>
      <c r="E278" t="inlineStr">
        <is>
          <t>NORRTÄLJE</t>
        </is>
      </c>
      <c r="G278" t="n">
        <v>3.9</v>
      </c>
      <c r="H278" t="n">
        <v>0</v>
      </c>
      <c r="I278" t="n">
        <v>0</v>
      </c>
      <c r="J278" t="n">
        <v>0</v>
      </c>
      <c r="K278" t="n">
        <v>0</v>
      </c>
      <c r="L278" t="n">
        <v>0</v>
      </c>
      <c r="M278" t="n">
        <v>0</v>
      </c>
      <c r="N278" t="n">
        <v>0</v>
      </c>
      <c r="O278" t="n">
        <v>0</v>
      </c>
      <c r="P278" t="n">
        <v>0</v>
      </c>
      <c r="Q278" t="n">
        <v>0</v>
      </c>
      <c r="R278" s="2" t="inlineStr"/>
    </row>
    <row r="279" ht="15" customHeight="1">
      <c r="A279" t="inlineStr">
        <is>
          <t>A 30286-2022</t>
        </is>
      </c>
      <c r="B279" s="1" t="n">
        <v>44760</v>
      </c>
      <c r="C279" s="1" t="n">
        <v>46012</v>
      </c>
      <c r="D279" t="inlineStr">
        <is>
          <t>STOCKHOLMS LÄN</t>
        </is>
      </c>
      <c r="E279" t="inlineStr">
        <is>
          <t>NORRTÄLJE</t>
        </is>
      </c>
      <c r="G279" t="n">
        <v>0.3</v>
      </c>
      <c r="H279" t="n">
        <v>0</v>
      </c>
      <c r="I279" t="n">
        <v>0</v>
      </c>
      <c r="J279" t="n">
        <v>0</v>
      </c>
      <c r="K279" t="n">
        <v>0</v>
      </c>
      <c r="L279" t="n">
        <v>0</v>
      </c>
      <c r="M279" t="n">
        <v>0</v>
      </c>
      <c r="N279" t="n">
        <v>0</v>
      </c>
      <c r="O279" t="n">
        <v>0</v>
      </c>
      <c r="P279" t="n">
        <v>0</v>
      </c>
      <c r="Q279" t="n">
        <v>0</v>
      </c>
      <c r="R279" s="2" t="inlineStr"/>
    </row>
    <row r="280" ht="15" customHeight="1">
      <c r="A280" t="inlineStr">
        <is>
          <t>A 39319-2022</t>
        </is>
      </c>
      <c r="B280" s="1" t="n">
        <v>44817.70516203704</v>
      </c>
      <c r="C280" s="1" t="n">
        <v>46012</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56219-2021</t>
        </is>
      </c>
      <c r="B281" s="1" t="n">
        <v>44477</v>
      </c>
      <c r="C281" s="1" t="n">
        <v>46012</v>
      </c>
      <c r="D281" t="inlineStr">
        <is>
          <t>STOCKHOLMS LÄN</t>
        </is>
      </c>
      <c r="E281" t="inlineStr">
        <is>
          <t>NORRTÄLJE</t>
        </is>
      </c>
      <c r="F281" t="inlineStr">
        <is>
          <t>Kommuner</t>
        </is>
      </c>
      <c r="G281" t="n">
        <v>2.3</v>
      </c>
      <c r="H281" t="n">
        <v>0</v>
      </c>
      <c r="I281" t="n">
        <v>0</v>
      </c>
      <c r="J281" t="n">
        <v>0</v>
      </c>
      <c r="K281" t="n">
        <v>0</v>
      </c>
      <c r="L281" t="n">
        <v>0</v>
      </c>
      <c r="M281" t="n">
        <v>0</v>
      </c>
      <c r="N281" t="n">
        <v>0</v>
      </c>
      <c r="O281" t="n">
        <v>0</v>
      </c>
      <c r="P281" t="n">
        <v>0</v>
      </c>
      <c r="Q281" t="n">
        <v>0</v>
      </c>
      <c r="R281" s="2" t="inlineStr"/>
    </row>
    <row r="282" ht="15" customHeight="1">
      <c r="A282" t="inlineStr">
        <is>
          <t>A 15226-2022</t>
        </is>
      </c>
      <c r="B282" s="1" t="n">
        <v>44658</v>
      </c>
      <c r="C282" s="1" t="n">
        <v>46012</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3300-2022</t>
        </is>
      </c>
      <c r="B283" s="1" t="n">
        <v>44584.91538194445</v>
      </c>
      <c r="C283" s="1" t="n">
        <v>46012</v>
      </c>
      <c r="D283" t="inlineStr">
        <is>
          <t>STOCKHOLMS LÄN</t>
        </is>
      </c>
      <c r="E283" t="inlineStr">
        <is>
          <t>NORRTÄLJE</t>
        </is>
      </c>
      <c r="G283" t="n">
        <v>0.4</v>
      </c>
      <c r="H283" t="n">
        <v>0</v>
      </c>
      <c r="I283" t="n">
        <v>0</v>
      </c>
      <c r="J283" t="n">
        <v>0</v>
      </c>
      <c r="K283" t="n">
        <v>0</v>
      </c>
      <c r="L283" t="n">
        <v>0</v>
      </c>
      <c r="M283" t="n">
        <v>0</v>
      </c>
      <c r="N283" t="n">
        <v>0</v>
      </c>
      <c r="O283" t="n">
        <v>0</v>
      </c>
      <c r="P283" t="n">
        <v>0</v>
      </c>
      <c r="Q283" t="n">
        <v>0</v>
      </c>
      <c r="R283" s="2" t="inlineStr"/>
    </row>
    <row r="284" ht="15" customHeight="1">
      <c r="A284" t="inlineStr">
        <is>
          <t>A 17388-2022</t>
        </is>
      </c>
      <c r="B284" s="1" t="n">
        <v>44678</v>
      </c>
      <c r="C284" s="1" t="n">
        <v>46012</v>
      </c>
      <c r="D284" t="inlineStr">
        <is>
          <t>STOCKHOLMS LÄN</t>
        </is>
      </c>
      <c r="E284" t="inlineStr">
        <is>
          <t>NORRTÄLJE</t>
        </is>
      </c>
      <c r="G284" t="n">
        <v>2.4</v>
      </c>
      <c r="H284" t="n">
        <v>0</v>
      </c>
      <c r="I284" t="n">
        <v>0</v>
      </c>
      <c r="J284" t="n">
        <v>0</v>
      </c>
      <c r="K284" t="n">
        <v>0</v>
      </c>
      <c r="L284" t="n">
        <v>0</v>
      </c>
      <c r="M284" t="n">
        <v>0</v>
      </c>
      <c r="N284" t="n">
        <v>0</v>
      </c>
      <c r="O284" t="n">
        <v>0</v>
      </c>
      <c r="P284" t="n">
        <v>0</v>
      </c>
      <c r="Q284" t="n">
        <v>0</v>
      </c>
      <c r="R284" s="2" t="inlineStr"/>
    </row>
    <row r="285" ht="15" customHeight="1">
      <c r="A285" t="inlineStr">
        <is>
          <t>A 17771-2022</t>
        </is>
      </c>
      <c r="B285" s="1" t="n">
        <v>44682.75924768519</v>
      </c>
      <c r="C285" s="1" t="n">
        <v>46012</v>
      </c>
      <c r="D285" t="inlineStr">
        <is>
          <t>STOCKHOLMS LÄN</t>
        </is>
      </c>
      <c r="E285" t="inlineStr">
        <is>
          <t>NORRTÄLJE</t>
        </is>
      </c>
      <c r="G285" t="n">
        <v>13.3</v>
      </c>
      <c r="H285" t="n">
        <v>0</v>
      </c>
      <c r="I285" t="n">
        <v>0</v>
      </c>
      <c r="J285" t="n">
        <v>0</v>
      </c>
      <c r="K285" t="n">
        <v>0</v>
      </c>
      <c r="L285" t="n">
        <v>0</v>
      </c>
      <c r="M285" t="n">
        <v>0</v>
      </c>
      <c r="N285" t="n">
        <v>0</v>
      </c>
      <c r="O285" t="n">
        <v>0</v>
      </c>
      <c r="P285" t="n">
        <v>0</v>
      </c>
      <c r="Q285" t="n">
        <v>0</v>
      </c>
      <c r="R285" s="2" t="inlineStr"/>
    </row>
    <row r="286" ht="15" customHeight="1">
      <c r="A286" t="inlineStr">
        <is>
          <t>A 17773-2022</t>
        </is>
      </c>
      <c r="B286" s="1" t="n">
        <v>44682.77616898148</v>
      </c>
      <c r="C286" s="1" t="n">
        <v>46012</v>
      </c>
      <c r="D286" t="inlineStr">
        <is>
          <t>STOCKHOLMS LÄN</t>
        </is>
      </c>
      <c r="E286" t="inlineStr">
        <is>
          <t>NORRTÄLJE</t>
        </is>
      </c>
      <c r="G286" t="n">
        <v>10.8</v>
      </c>
      <c r="H286" t="n">
        <v>0</v>
      </c>
      <c r="I286" t="n">
        <v>0</v>
      </c>
      <c r="J286" t="n">
        <v>0</v>
      </c>
      <c r="K286" t="n">
        <v>0</v>
      </c>
      <c r="L286" t="n">
        <v>0</v>
      </c>
      <c r="M286" t="n">
        <v>0</v>
      </c>
      <c r="N286" t="n">
        <v>0</v>
      </c>
      <c r="O286" t="n">
        <v>0</v>
      </c>
      <c r="P286" t="n">
        <v>0</v>
      </c>
      <c r="Q286" t="n">
        <v>0</v>
      </c>
      <c r="R286" s="2" t="inlineStr"/>
    </row>
    <row r="287" ht="15" customHeight="1">
      <c r="A287" t="inlineStr">
        <is>
          <t>A 10521-2022</t>
        </is>
      </c>
      <c r="B287" s="1" t="n">
        <v>44623</v>
      </c>
      <c r="C287" s="1" t="n">
        <v>46012</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70170-2021</t>
        </is>
      </c>
      <c r="B288" s="1" t="n">
        <v>44533</v>
      </c>
      <c r="C288" s="1" t="n">
        <v>46012</v>
      </c>
      <c r="D288" t="inlineStr">
        <is>
          <t>STOCKHOLMS LÄN</t>
        </is>
      </c>
      <c r="E288" t="inlineStr">
        <is>
          <t>NORRTÄLJE</t>
        </is>
      </c>
      <c r="G288" t="n">
        <v>2.7</v>
      </c>
      <c r="H288" t="n">
        <v>0</v>
      </c>
      <c r="I288" t="n">
        <v>0</v>
      </c>
      <c r="J288" t="n">
        <v>0</v>
      </c>
      <c r="K288" t="n">
        <v>0</v>
      </c>
      <c r="L288" t="n">
        <v>0</v>
      </c>
      <c r="M288" t="n">
        <v>0</v>
      </c>
      <c r="N288" t="n">
        <v>0</v>
      </c>
      <c r="O288" t="n">
        <v>0</v>
      </c>
      <c r="P288" t="n">
        <v>0</v>
      </c>
      <c r="Q288" t="n">
        <v>0</v>
      </c>
      <c r="R288" s="2" t="inlineStr"/>
    </row>
    <row r="289" ht="15" customHeight="1">
      <c r="A289" t="inlineStr">
        <is>
          <t>A 16117-2022</t>
        </is>
      </c>
      <c r="B289" s="1" t="n">
        <v>44665.65474537037</v>
      </c>
      <c r="C289" s="1" t="n">
        <v>46012</v>
      </c>
      <c r="D289" t="inlineStr">
        <is>
          <t>STOCKHOLMS LÄN</t>
        </is>
      </c>
      <c r="E289" t="inlineStr">
        <is>
          <t>NORRTÄLJE</t>
        </is>
      </c>
      <c r="G289" t="n">
        <v>8.1</v>
      </c>
      <c r="H289" t="n">
        <v>0</v>
      </c>
      <c r="I289" t="n">
        <v>0</v>
      </c>
      <c r="J289" t="n">
        <v>0</v>
      </c>
      <c r="K289" t="n">
        <v>0</v>
      </c>
      <c r="L289" t="n">
        <v>0</v>
      </c>
      <c r="M289" t="n">
        <v>0</v>
      </c>
      <c r="N289" t="n">
        <v>0</v>
      </c>
      <c r="O289" t="n">
        <v>0</v>
      </c>
      <c r="P289" t="n">
        <v>0</v>
      </c>
      <c r="Q289" t="n">
        <v>0</v>
      </c>
      <c r="R289" s="2" t="inlineStr"/>
    </row>
    <row r="290" ht="15" customHeight="1">
      <c r="A290" t="inlineStr">
        <is>
          <t>A 16132-2022</t>
        </is>
      </c>
      <c r="B290" s="1" t="n">
        <v>44665.78351851852</v>
      </c>
      <c r="C290" s="1" t="n">
        <v>46012</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25463-2021</t>
        </is>
      </c>
      <c r="B291" s="1" t="n">
        <v>44342</v>
      </c>
      <c r="C291" s="1" t="n">
        <v>46012</v>
      </c>
      <c r="D291" t="inlineStr">
        <is>
          <t>STOCKHOLMS LÄN</t>
        </is>
      </c>
      <c r="E291" t="inlineStr">
        <is>
          <t>NORRTÄLJE</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21102-2022</t>
        </is>
      </c>
      <c r="B292" s="1" t="n">
        <v>44704</v>
      </c>
      <c r="C292" s="1" t="n">
        <v>46012</v>
      </c>
      <c r="D292" t="inlineStr">
        <is>
          <t>STOCKHOLMS LÄN</t>
        </is>
      </c>
      <c r="E292" t="inlineStr">
        <is>
          <t>NORRTÄLJE</t>
        </is>
      </c>
      <c r="G292" t="n">
        <v>0.2</v>
      </c>
      <c r="H292" t="n">
        <v>0</v>
      </c>
      <c r="I292" t="n">
        <v>0</v>
      </c>
      <c r="J292" t="n">
        <v>0</v>
      </c>
      <c r="K292" t="n">
        <v>0</v>
      </c>
      <c r="L292" t="n">
        <v>0</v>
      </c>
      <c r="M292" t="n">
        <v>0</v>
      </c>
      <c r="N292" t="n">
        <v>0</v>
      </c>
      <c r="O292" t="n">
        <v>0</v>
      </c>
      <c r="P292" t="n">
        <v>0</v>
      </c>
      <c r="Q292" t="n">
        <v>0</v>
      </c>
      <c r="R292" s="2" t="inlineStr"/>
    </row>
    <row r="293" ht="15" customHeight="1">
      <c r="A293" t="inlineStr">
        <is>
          <t>A 24101-2022</t>
        </is>
      </c>
      <c r="B293" s="1" t="n">
        <v>44725</v>
      </c>
      <c r="C293" s="1" t="n">
        <v>46012</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71880-2021</t>
        </is>
      </c>
      <c r="B294" s="1" t="n">
        <v>44543</v>
      </c>
      <c r="C294" s="1" t="n">
        <v>46012</v>
      </c>
      <c r="D294" t="inlineStr">
        <is>
          <t>STOCKHOLMS LÄN</t>
        </is>
      </c>
      <c r="E294" t="inlineStr">
        <is>
          <t>NORRTÄLJE</t>
        </is>
      </c>
      <c r="G294" t="n">
        <v>2</v>
      </c>
      <c r="H294" t="n">
        <v>0</v>
      </c>
      <c r="I294" t="n">
        <v>0</v>
      </c>
      <c r="J294" t="n">
        <v>0</v>
      </c>
      <c r="K294" t="n">
        <v>0</v>
      </c>
      <c r="L294" t="n">
        <v>0</v>
      </c>
      <c r="M294" t="n">
        <v>0</v>
      </c>
      <c r="N294" t="n">
        <v>0</v>
      </c>
      <c r="O294" t="n">
        <v>0</v>
      </c>
      <c r="P294" t="n">
        <v>0</v>
      </c>
      <c r="Q294" t="n">
        <v>0</v>
      </c>
      <c r="R294" s="2" t="inlineStr"/>
    </row>
    <row r="295" ht="15" customHeight="1">
      <c r="A295" t="inlineStr">
        <is>
          <t>A 17772-2022</t>
        </is>
      </c>
      <c r="B295" s="1" t="n">
        <v>44682.76528935185</v>
      </c>
      <c r="C295" s="1" t="n">
        <v>46012</v>
      </c>
      <c r="D295" t="inlineStr">
        <is>
          <t>STOCKHOLMS LÄN</t>
        </is>
      </c>
      <c r="E295" t="inlineStr">
        <is>
          <t>NORRTÄLJE</t>
        </is>
      </c>
      <c r="G295" t="n">
        <v>4</v>
      </c>
      <c r="H295" t="n">
        <v>0</v>
      </c>
      <c r="I295" t="n">
        <v>0</v>
      </c>
      <c r="J295" t="n">
        <v>0</v>
      </c>
      <c r="K295" t="n">
        <v>0</v>
      </c>
      <c r="L295" t="n">
        <v>0</v>
      </c>
      <c r="M295" t="n">
        <v>0</v>
      </c>
      <c r="N295" t="n">
        <v>0</v>
      </c>
      <c r="O295" t="n">
        <v>0</v>
      </c>
      <c r="P295" t="n">
        <v>0</v>
      </c>
      <c r="Q295" t="n">
        <v>0</v>
      </c>
      <c r="R295" s="2" t="inlineStr"/>
    </row>
    <row r="296" ht="15" customHeight="1">
      <c r="A296" t="inlineStr">
        <is>
          <t>A 38721-2022</t>
        </is>
      </c>
      <c r="B296" s="1" t="n">
        <v>44815</v>
      </c>
      <c r="C296" s="1" t="n">
        <v>46012</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60184-2021</t>
        </is>
      </c>
      <c r="B297" s="1" t="n">
        <v>44495</v>
      </c>
      <c r="C297" s="1" t="n">
        <v>46012</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67285-2021</t>
        </is>
      </c>
      <c r="B298" s="1" t="n">
        <v>44523.61635416667</v>
      </c>
      <c r="C298" s="1" t="n">
        <v>46012</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12348-2025</t>
        </is>
      </c>
      <c r="B299" s="1" t="n">
        <v>45730.35026620371</v>
      </c>
      <c r="C299" s="1" t="n">
        <v>46012</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55012-2024</t>
        </is>
      </c>
      <c r="B300" s="1" t="n">
        <v>45621.34813657407</v>
      </c>
      <c r="C300" s="1" t="n">
        <v>46012</v>
      </c>
      <c r="D300" t="inlineStr">
        <is>
          <t>STOCKHOLMS LÄN</t>
        </is>
      </c>
      <c r="E300" t="inlineStr">
        <is>
          <t>NORRTÄLJE</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12111-2021</t>
        </is>
      </c>
      <c r="B301" s="1" t="n">
        <v>44266</v>
      </c>
      <c r="C301" s="1" t="n">
        <v>46012</v>
      </c>
      <c r="D301" t="inlineStr">
        <is>
          <t>STOCKHOLMS LÄN</t>
        </is>
      </c>
      <c r="E301" t="inlineStr">
        <is>
          <t>NORRTÄLJE</t>
        </is>
      </c>
      <c r="G301" t="n">
        <v>5.5</v>
      </c>
      <c r="H301" t="n">
        <v>0</v>
      </c>
      <c r="I301" t="n">
        <v>0</v>
      </c>
      <c r="J301" t="n">
        <v>0</v>
      </c>
      <c r="K301" t="n">
        <v>0</v>
      </c>
      <c r="L301" t="n">
        <v>0</v>
      </c>
      <c r="M301" t="n">
        <v>0</v>
      </c>
      <c r="N301" t="n">
        <v>0</v>
      </c>
      <c r="O301" t="n">
        <v>0</v>
      </c>
      <c r="P301" t="n">
        <v>0</v>
      </c>
      <c r="Q301" t="n">
        <v>0</v>
      </c>
      <c r="R301" s="2" t="inlineStr"/>
    </row>
    <row r="302" ht="15" customHeight="1">
      <c r="A302" t="inlineStr">
        <is>
          <t>A 33053-2021</t>
        </is>
      </c>
      <c r="B302" s="1" t="n">
        <v>44376</v>
      </c>
      <c r="C302" s="1" t="n">
        <v>46012</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13148-2021</t>
        </is>
      </c>
      <c r="B303" s="1" t="n">
        <v>44272</v>
      </c>
      <c r="C303" s="1" t="n">
        <v>46012</v>
      </c>
      <c r="D303" t="inlineStr">
        <is>
          <t>STOCKHOLMS LÄN</t>
        </is>
      </c>
      <c r="E303" t="inlineStr">
        <is>
          <t>NORRTÄLJE</t>
        </is>
      </c>
      <c r="G303" t="n">
        <v>12.4</v>
      </c>
      <c r="H303" t="n">
        <v>0</v>
      </c>
      <c r="I303" t="n">
        <v>0</v>
      </c>
      <c r="J303" t="n">
        <v>0</v>
      </c>
      <c r="K303" t="n">
        <v>0</v>
      </c>
      <c r="L303" t="n">
        <v>0</v>
      </c>
      <c r="M303" t="n">
        <v>0</v>
      </c>
      <c r="N303" t="n">
        <v>0</v>
      </c>
      <c r="O303" t="n">
        <v>0</v>
      </c>
      <c r="P303" t="n">
        <v>0</v>
      </c>
      <c r="Q303" t="n">
        <v>0</v>
      </c>
      <c r="R303" s="2" t="inlineStr"/>
    </row>
    <row r="304" ht="15" customHeight="1">
      <c r="A304" t="inlineStr">
        <is>
          <t>A 27715-2022</t>
        </is>
      </c>
      <c r="B304" s="1" t="n">
        <v>44743.47407407407</v>
      </c>
      <c r="C304" s="1" t="n">
        <v>46012</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20013-2025</t>
        </is>
      </c>
      <c r="B305" s="1" t="n">
        <v>45772.30436342592</v>
      </c>
      <c r="C305" s="1" t="n">
        <v>46012</v>
      </c>
      <c r="D305" t="inlineStr">
        <is>
          <t>STOCKHOLMS LÄN</t>
        </is>
      </c>
      <c r="E305" t="inlineStr">
        <is>
          <t>NORRTÄLJE</t>
        </is>
      </c>
      <c r="G305" t="n">
        <v>2.3</v>
      </c>
      <c r="H305" t="n">
        <v>0</v>
      </c>
      <c r="I305" t="n">
        <v>0</v>
      </c>
      <c r="J305" t="n">
        <v>0</v>
      </c>
      <c r="K305" t="n">
        <v>0</v>
      </c>
      <c r="L305" t="n">
        <v>0</v>
      </c>
      <c r="M305" t="n">
        <v>0</v>
      </c>
      <c r="N305" t="n">
        <v>0</v>
      </c>
      <c r="O305" t="n">
        <v>0</v>
      </c>
      <c r="P305" t="n">
        <v>0</v>
      </c>
      <c r="Q305" t="n">
        <v>0</v>
      </c>
      <c r="R305" s="2" t="inlineStr"/>
    </row>
    <row r="306" ht="15" customHeight="1">
      <c r="A306" t="inlineStr">
        <is>
          <t>A 5611-2022</t>
        </is>
      </c>
      <c r="B306" s="1" t="n">
        <v>44595</v>
      </c>
      <c r="C306" s="1" t="n">
        <v>46012</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32055-2021</t>
        </is>
      </c>
      <c r="B307" s="1" t="n">
        <v>44370.72197916666</v>
      </c>
      <c r="C307" s="1" t="n">
        <v>46012</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23271-2023</t>
        </is>
      </c>
      <c r="B308" s="1" t="n">
        <v>45075.91362268518</v>
      </c>
      <c r="C308" s="1" t="n">
        <v>46012</v>
      </c>
      <c r="D308" t="inlineStr">
        <is>
          <t>STOCKHOLMS LÄN</t>
        </is>
      </c>
      <c r="E308" t="inlineStr">
        <is>
          <t>NORRTÄLJE</t>
        </is>
      </c>
      <c r="G308" t="n">
        <v>5.1</v>
      </c>
      <c r="H308" t="n">
        <v>0</v>
      </c>
      <c r="I308" t="n">
        <v>0</v>
      </c>
      <c r="J308" t="n">
        <v>0</v>
      </c>
      <c r="K308" t="n">
        <v>0</v>
      </c>
      <c r="L308" t="n">
        <v>0</v>
      </c>
      <c r="M308" t="n">
        <v>0</v>
      </c>
      <c r="N308" t="n">
        <v>0</v>
      </c>
      <c r="O308" t="n">
        <v>0</v>
      </c>
      <c r="P308" t="n">
        <v>0</v>
      </c>
      <c r="Q308" t="n">
        <v>0</v>
      </c>
      <c r="R308" s="2" t="inlineStr"/>
    </row>
    <row r="309" ht="15" customHeight="1">
      <c r="A309" t="inlineStr">
        <is>
          <t>A 23273-2023</t>
        </is>
      </c>
      <c r="B309" s="1" t="n">
        <v>45075.91971064815</v>
      </c>
      <c r="C309" s="1" t="n">
        <v>46012</v>
      </c>
      <c r="D309" t="inlineStr">
        <is>
          <t>STOCKHOLMS LÄN</t>
        </is>
      </c>
      <c r="E309" t="inlineStr">
        <is>
          <t>NORRTÄLJE</t>
        </is>
      </c>
      <c r="G309" t="n">
        <v>7.5</v>
      </c>
      <c r="H309" t="n">
        <v>0</v>
      </c>
      <c r="I309" t="n">
        <v>0</v>
      </c>
      <c r="J309" t="n">
        <v>0</v>
      </c>
      <c r="K309" t="n">
        <v>0</v>
      </c>
      <c r="L309" t="n">
        <v>0</v>
      </c>
      <c r="M309" t="n">
        <v>0</v>
      </c>
      <c r="N309" t="n">
        <v>0</v>
      </c>
      <c r="O309" t="n">
        <v>0</v>
      </c>
      <c r="P309" t="n">
        <v>0</v>
      </c>
      <c r="Q309" t="n">
        <v>0</v>
      </c>
      <c r="R309" s="2" t="inlineStr"/>
    </row>
    <row r="310" ht="15" customHeight="1">
      <c r="A310" t="inlineStr">
        <is>
          <t>A 30802-2022</t>
        </is>
      </c>
      <c r="B310" s="1" t="n">
        <v>44764</v>
      </c>
      <c r="C310" s="1" t="n">
        <v>46012</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19706-2023</t>
        </is>
      </c>
      <c r="B311" s="1" t="n">
        <v>45051.455</v>
      </c>
      <c r="C311" s="1" t="n">
        <v>46012</v>
      </c>
      <c r="D311" t="inlineStr">
        <is>
          <t>STOCKHOLMS LÄN</t>
        </is>
      </c>
      <c r="E311" t="inlineStr">
        <is>
          <t>NORRTÄLJE</t>
        </is>
      </c>
      <c r="G311" t="n">
        <v>0.2</v>
      </c>
      <c r="H311" t="n">
        <v>0</v>
      </c>
      <c r="I311" t="n">
        <v>0</v>
      </c>
      <c r="J311" t="n">
        <v>0</v>
      </c>
      <c r="K311" t="n">
        <v>0</v>
      </c>
      <c r="L311" t="n">
        <v>0</v>
      </c>
      <c r="M311" t="n">
        <v>0</v>
      </c>
      <c r="N311" t="n">
        <v>0</v>
      </c>
      <c r="O311" t="n">
        <v>0</v>
      </c>
      <c r="P311" t="n">
        <v>0</v>
      </c>
      <c r="Q311" t="n">
        <v>0</v>
      </c>
      <c r="R311" s="2" t="inlineStr"/>
    </row>
    <row r="312" ht="15" customHeight="1">
      <c r="A312" t="inlineStr">
        <is>
          <t>A 63161-2023</t>
        </is>
      </c>
      <c r="B312" s="1" t="n">
        <v>45273</v>
      </c>
      <c r="C312" s="1" t="n">
        <v>46012</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16008-2025</t>
        </is>
      </c>
      <c r="B313" s="1" t="n">
        <v>45749</v>
      </c>
      <c r="C313" s="1" t="n">
        <v>46012</v>
      </c>
      <c r="D313" t="inlineStr">
        <is>
          <t>STOCKHOLMS LÄN</t>
        </is>
      </c>
      <c r="E313" t="inlineStr">
        <is>
          <t>NORRTÄLJE</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9765-2024</t>
        </is>
      </c>
      <c r="B314" s="1" t="n">
        <v>45362.62811342593</v>
      </c>
      <c r="C314" s="1" t="n">
        <v>46012</v>
      </c>
      <c r="D314" t="inlineStr">
        <is>
          <t>STOCKHOLMS LÄN</t>
        </is>
      </c>
      <c r="E314" t="inlineStr">
        <is>
          <t>NORRTÄLJE</t>
        </is>
      </c>
      <c r="G314" t="n">
        <v>1.4</v>
      </c>
      <c r="H314" t="n">
        <v>0</v>
      </c>
      <c r="I314" t="n">
        <v>0</v>
      </c>
      <c r="J314" t="n">
        <v>0</v>
      </c>
      <c r="K314" t="n">
        <v>0</v>
      </c>
      <c r="L314" t="n">
        <v>0</v>
      </c>
      <c r="M314" t="n">
        <v>0</v>
      </c>
      <c r="N314" t="n">
        <v>0</v>
      </c>
      <c r="O314" t="n">
        <v>0</v>
      </c>
      <c r="P314" t="n">
        <v>0</v>
      </c>
      <c r="Q314" t="n">
        <v>0</v>
      </c>
      <c r="R314" s="2" t="inlineStr"/>
    </row>
    <row r="315" ht="15" customHeight="1">
      <c r="A315" t="inlineStr">
        <is>
          <t>A 40425-2021</t>
        </is>
      </c>
      <c r="B315" s="1" t="n">
        <v>44419</v>
      </c>
      <c r="C315" s="1" t="n">
        <v>46012</v>
      </c>
      <c r="D315" t="inlineStr">
        <is>
          <t>STOCKHOLMS LÄN</t>
        </is>
      </c>
      <c r="E315" t="inlineStr">
        <is>
          <t>NORRTÄLJE</t>
        </is>
      </c>
      <c r="G315" t="n">
        <v>5</v>
      </c>
      <c r="H315" t="n">
        <v>0</v>
      </c>
      <c r="I315" t="n">
        <v>0</v>
      </c>
      <c r="J315" t="n">
        <v>0</v>
      </c>
      <c r="K315" t="n">
        <v>0</v>
      </c>
      <c r="L315" t="n">
        <v>0</v>
      </c>
      <c r="M315" t="n">
        <v>0</v>
      </c>
      <c r="N315" t="n">
        <v>0</v>
      </c>
      <c r="O315" t="n">
        <v>0</v>
      </c>
      <c r="P315" t="n">
        <v>0</v>
      </c>
      <c r="Q315" t="n">
        <v>0</v>
      </c>
      <c r="R315" s="2" t="inlineStr"/>
    </row>
    <row r="316" ht="15" customHeight="1">
      <c r="A316" t="inlineStr">
        <is>
          <t>A 20014-2025</t>
        </is>
      </c>
      <c r="B316" s="1" t="n">
        <v>45772.3078125</v>
      </c>
      <c r="C316" s="1" t="n">
        <v>46012</v>
      </c>
      <c r="D316" t="inlineStr">
        <is>
          <t>STOCKHOLMS LÄN</t>
        </is>
      </c>
      <c r="E316" t="inlineStr">
        <is>
          <t>NORRTÄLJE</t>
        </is>
      </c>
      <c r="G316" t="n">
        <v>4.4</v>
      </c>
      <c r="H316" t="n">
        <v>0</v>
      </c>
      <c r="I316" t="n">
        <v>0</v>
      </c>
      <c r="J316" t="n">
        <v>0</v>
      </c>
      <c r="K316" t="n">
        <v>0</v>
      </c>
      <c r="L316" t="n">
        <v>0</v>
      </c>
      <c r="M316" t="n">
        <v>0</v>
      </c>
      <c r="N316" t="n">
        <v>0</v>
      </c>
      <c r="O316" t="n">
        <v>0</v>
      </c>
      <c r="P316" t="n">
        <v>0</v>
      </c>
      <c r="Q316" t="n">
        <v>0</v>
      </c>
      <c r="R316" s="2" t="inlineStr"/>
    </row>
    <row r="317" ht="15" customHeight="1">
      <c r="A317" t="inlineStr">
        <is>
          <t>A 56631-2024</t>
        </is>
      </c>
      <c r="B317" s="1" t="n">
        <v>45625</v>
      </c>
      <c r="C317" s="1" t="n">
        <v>46012</v>
      </c>
      <c r="D317" t="inlineStr">
        <is>
          <t>STOCKHOLMS LÄN</t>
        </is>
      </c>
      <c r="E317" t="inlineStr">
        <is>
          <t>NORRTÄLJE</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48587-2023</t>
        </is>
      </c>
      <c r="B318" s="1" t="n">
        <v>45208</v>
      </c>
      <c r="C318" s="1" t="n">
        <v>46012</v>
      </c>
      <c r="D318" t="inlineStr">
        <is>
          <t>STOCKHOLMS LÄN</t>
        </is>
      </c>
      <c r="E318" t="inlineStr">
        <is>
          <t>NORRTÄLJE</t>
        </is>
      </c>
      <c r="G318" t="n">
        <v>7</v>
      </c>
      <c r="H318" t="n">
        <v>0</v>
      </c>
      <c r="I318" t="n">
        <v>0</v>
      </c>
      <c r="J318" t="n">
        <v>0</v>
      </c>
      <c r="K318" t="n">
        <v>0</v>
      </c>
      <c r="L318" t="n">
        <v>0</v>
      </c>
      <c r="M318" t="n">
        <v>0</v>
      </c>
      <c r="N318" t="n">
        <v>0</v>
      </c>
      <c r="O318" t="n">
        <v>0</v>
      </c>
      <c r="P318" t="n">
        <v>0</v>
      </c>
      <c r="Q318" t="n">
        <v>0</v>
      </c>
      <c r="R318" s="2" t="inlineStr"/>
    </row>
    <row r="319" ht="15" customHeight="1">
      <c r="A319" t="inlineStr">
        <is>
          <t>A 42955-2022</t>
        </is>
      </c>
      <c r="B319" s="1" t="n">
        <v>44833.40876157407</v>
      </c>
      <c r="C319" s="1" t="n">
        <v>46012</v>
      </c>
      <c r="D319" t="inlineStr">
        <is>
          <t>STOCKHOLMS LÄN</t>
        </is>
      </c>
      <c r="E319" t="inlineStr">
        <is>
          <t>NORRTÄLJE</t>
        </is>
      </c>
      <c r="G319" t="n">
        <v>13.1</v>
      </c>
      <c r="H319" t="n">
        <v>0</v>
      </c>
      <c r="I319" t="n">
        <v>0</v>
      </c>
      <c r="J319" t="n">
        <v>0</v>
      </c>
      <c r="K319" t="n">
        <v>0</v>
      </c>
      <c r="L319" t="n">
        <v>0</v>
      </c>
      <c r="M319" t="n">
        <v>0</v>
      </c>
      <c r="N319" t="n">
        <v>0</v>
      </c>
      <c r="O319" t="n">
        <v>0</v>
      </c>
      <c r="P319" t="n">
        <v>0</v>
      </c>
      <c r="Q319" t="n">
        <v>0</v>
      </c>
      <c r="R319" s="2" t="inlineStr"/>
    </row>
    <row r="320" ht="15" customHeight="1">
      <c r="A320" t="inlineStr">
        <is>
          <t>A 53600-2022</t>
        </is>
      </c>
      <c r="B320" s="1" t="n">
        <v>44879.70518518519</v>
      </c>
      <c r="C320" s="1" t="n">
        <v>46012</v>
      </c>
      <c r="D320" t="inlineStr">
        <is>
          <t>STOCKHOLMS LÄN</t>
        </is>
      </c>
      <c r="E320" t="inlineStr">
        <is>
          <t>NORRTÄLJE</t>
        </is>
      </c>
      <c r="G320" t="n">
        <v>4.3</v>
      </c>
      <c r="H320" t="n">
        <v>0</v>
      </c>
      <c r="I320" t="n">
        <v>0</v>
      </c>
      <c r="J320" t="n">
        <v>0</v>
      </c>
      <c r="K320" t="n">
        <v>0</v>
      </c>
      <c r="L320" t="n">
        <v>0</v>
      </c>
      <c r="M320" t="n">
        <v>0</v>
      </c>
      <c r="N320" t="n">
        <v>0</v>
      </c>
      <c r="O320" t="n">
        <v>0</v>
      </c>
      <c r="P320" t="n">
        <v>0</v>
      </c>
      <c r="Q320" t="n">
        <v>0</v>
      </c>
      <c r="R320" s="2" t="inlineStr"/>
    </row>
    <row r="321" ht="15" customHeight="1">
      <c r="A321" t="inlineStr">
        <is>
          <t>A 20136-2025</t>
        </is>
      </c>
      <c r="B321" s="1" t="n">
        <v>45772.51127314815</v>
      </c>
      <c r="C321" s="1" t="n">
        <v>46012</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15978-2024</t>
        </is>
      </c>
      <c r="B322" s="1" t="n">
        <v>45405.57927083333</v>
      </c>
      <c r="C322" s="1" t="n">
        <v>46012</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20473-2021</t>
        </is>
      </c>
      <c r="B323" s="1" t="n">
        <v>44315</v>
      </c>
      <c r="C323" s="1" t="n">
        <v>46012</v>
      </c>
      <c r="D323" t="inlineStr">
        <is>
          <t>STOCKHOLMS LÄN</t>
        </is>
      </c>
      <c r="E323" t="inlineStr">
        <is>
          <t>NORRTÄLJE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7603-2025</t>
        </is>
      </c>
      <c r="B324" s="1" t="n">
        <v>45705.66126157407</v>
      </c>
      <c r="C324" s="1" t="n">
        <v>46012</v>
      </c>
      <c r="D324" t="inlineStr">
        <is>
          <t>STOCKHOLMS LÄN</t>
        </is>
      </c>
      <c r="E324" t="inlineStr">
        <is>
          <t>NORRTÄLJE</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51046-2023</t>
        </is>
      </c>
      <c r="B325" s="1" t="n">
        <v>45218</v>
      </c>
      <c r="C325" s="1" t="n">
        <v>46012</v>
      </c>
      <c r="D325" t="inlineStr">
        <is>
          <t>STOCKHOLMS LÄN</t>
        </is>
      </c>
      <c r="E325" t="inlineStr">
        <is>
          <t>NORRTÄLJE</t>
        </is>
      </c>
      <c r="G325" t="n">
        <v>2.5</v>
      </c>
      <c r="H325" t="n">
        <v>0</v>
      </c>
      <c r="I325" t="n">
        <v>0</v>
      </c>
      <c r="J325" t="n">
        <v>0</v>
      </c>
      <c r="K325" t="n">
        <v>0</v>
      </c>
      <c r="L325" t="n">
        <v>0</v>
      </c>
      <c r="M325" t="n">
        <v>0</v>
      </c>
      <c r="N325" t="n">
        <v>0</v>
      </c>
      <c r="O325" t="n">
        <v>0</v>
      </c>
      <c r="P325" t="n">
        <v>0</v>
      </c>
      <c r="Q325" t="n">
        <v>0</v>
      </c>
      <c r="R325" s="2" t="inlineStr"/>
    </row>
    <row r="326" ht="15" customHeight="1">
      <c r="A326" t="inlineStr">
        <is>
          <t>A 8736-2024</t>
        </is>
      </c>
      <c r="B326" s="1" t="n">
        <v>45356.4722800926</v>
      </c>
      <c r="C326" s="1" t="n">
        <v>46012</v>
      </c>
      <c r="D326" t="inlineStr">
        <is>
          <t>STOCKHOLMS LÄN</t>
        </is>
      </c>
      <c r="E326" t="inlineStr">
        <is>
          <t>NORRTÄLJE</t>
        </is>
      </c>
      <c r="G326" t="n">
        <v>8.9</v>
      </c>
      <c r="H326" t="n">
        <v>0</v>
      </c>
      <c r="I326" t="n">
        <v>0</v>
      </c>
      <c r="J326" t="n">
        <v>0</v>
      </c>
      <c r="K326" t="n">
        <v>0</v>
      </c>
      <c r="L326" t="n">
        <v>0</v>
      </c>
      <c r="M326" t="n">
        <v>0</v>
      </c>
      <c r="N326" t="n">
        <v>0</v>
      </c>
      <c r="O326" t="n">
        <v>0</v>
      </c>
      <c r="P326" t="n">
        <v>0</v>
      </c>
      <c r="Q326" t="n">
        <v>0</v>
      </c>
      <c r="R326" s="2" t="inlineStr"/>
    </row>
    <row r="327" ht="15" customHeight="1">
      <c r="A327" t="inlineStr">
        <is>
          <t>A 5158-2024</t>
        </is>
      </c>
      <c r="B327" s="1" t="n">
        <v>45330.50098379629</v>
      </c>
      <c r="C327" s="1" t="n">
        <v>46012</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15552-2021</t>
        </is>
      </c>
      <c r="B328" s="1" t="n">
        <v>44285</v>
      </c>
      <c r="C328" s="1" t="n">
        <v>46012</v>
      </c>
      <c r="D328" t="inlineStr">
        <is>
          <t>STOCKHOLMS LÄN</t>
        </is>
      </c>
      <c r="E328" t="inlineStr">
        <is>
          <t>NORRTÄLJE</t>
        </is>
      </c>
      <c r="G328" t="n">
        <v>10</v>
      </c>
      <c r="H328" t="n">
        <v>0</v>
      </c>
      <c r="I328" t="n">
        <v>0</v>
      </c>
      <c r="J328" t="n">
        <v>0</v>
      </c>
      <c r="K328" t="n">
        <v>0</v>
      </c>
      <c r="L328" t="n">
        <v>0</v>
      </c>
      <c r="M328" t="n">
        <v>0</v>
      </c>
      <c r="N328" t="n">
        <v>0</v>
      </c>
      <c r="O328" t="n">
        <v>0</v>
      </c>
      <c r="P328" t="n">
        <v>0</v>
      </c>
      <c r="Q328" t="n">
        <v>0</v>
      </c>
      <c r="R328" s="2" t="inlineStr"/>
    </row>
    <row r="329" ht="15" customHeight="1">
      <c r="A329" t="inlineStr">
        <is>
          <t>A 14762-2024</t>
        </is>
      </c>
      <c r="B329" s="1" t="n">
        <v>45397</v>
      </c>
      <c r="C329" s="1" t="n">
        <v>46012</v>
      </c>
      <c r="D329" t="inlineStr">
        <is>
          <t>STOCKHOLMS LÄN</t>
        </is>
      </c>
      <c r="E329" t="inlineStr">
        <is>
          <t>NORRTÄLJE</t>
        </is>
      </c>
      <c r="G329" t="n">
        <v>11</v>
      </c>
      <c r="H329" t="n">
        <v>0</v>
      </c>
      <c r="I329" t="n">
        <v>0</v>
      </c>
      <c r="J329" t="n">
        <v>0</v>
      </c>
      <c r="K329" t="n">
        <v>0</v>
      </c>
      <c r="L329" t="n">
        <v>0</v>
      </c>
      <c r="M329" t="n">
        <v>0</v>
      </c>
      <c r="N329" t="n">
        <v>0</v>
      </c>
      <c r="O329" t="n">
        <v>0</v>
      </c>
      <c r="P329" t="n">
        <v>0</v>
      </c>
      <c r="Q329" t="n">
        <v>0</v>
      </c>
      <c r="R329" s="2" t="inlineStr"/>
    </row>
    <row r="330" ht="15" customHeight="1">
      <c r="A330" t="inlineStr">
        <is>
          <t>A 47694-2023</t>
        </is>
      </c>
      <c r="B330" s="1" t="n">
        <v>45203.63303240741</v>
      </c>
      <c r="C330" s="1" t="n">
        <v>46012</v>
      </c>
      <c r="D330" t="inlineStr">
        <is>
          <t>STOCKHOLMS LÄN</t>
        </is>
      </c>
      <c r="E330" t="inlineStr">
        <is>
          <t>NORRTÄLJE</t>
        </is>
      </c>
      <c r="G330" t="n">
        <v>5.2</v>
      </c>
      <c r="H330" t="n">
        <v>0</v>
      </c>
      <c r="I330" t="n">
        <v>0</v>
      </c>
      <c r="J330" t="n">
        <v>0</v>
      </c>
      <c r="K330" t="n">
        <v>0</v>
      </c>
      <c r="L330" t="n">
        <v>0</v>
      </c>
      <c r="M330" t="n">
        <v>0</v>
      </c>
      <c r="N330" t="n">
        <v>0</v>
      </c>
      <c r="O330" t="n">
        <v>0</v>
      </c>
      <c r="P330" t="n">
        <v>0</v>
      </c>
      <c r="Q330" t="n">
        <v>0</v>
      </c>
      <c r="R330" s="2" t="inlineStr"/>
    </row>
    <row r="331" ht="15" customHeight="1">
      <c r="A331" t="inlineStr">
        <is>
          <t>A 45255-2022</t>
        </is>
      </c>
      <c r="B331" s="1" t="n">
        <v>44840</v>
      </c>
      <c r="C331" s="1" t="n">
        <v>46012</v>
      </c>
      <c r="D331" t="inlineStr">
        <is>
          <t>STOCKHOLMS LÄN</t>
        </is>
      </c>
      <c r="E331" t="inlineStr">
        <is>
          <t>NORRTÄLJE</t>
        </is>
      </c>
      <c r="G331" t="n">
        <v>4.1</v>
      </c>
      <c r="H331" t="n">
        <v>0</v>
      </c>
      <c r="I331" t="n">
        <v>0</v>
      </c>
      <c r="J331" t="n">
        <v>0</v>
      </c>
      <c r="K331" t="n">
        <v>0</v>
      </c>
      <c r="L331" t="n">
        <v>0</v>
      </c>
      <c r="M331" t="n">
        <v>0</v>
      </c>
      <c r="N331" t="n">
        <v>0</v>
      </c>
      <c r="O331" t="n">
        <v>0</v>
      </c>
      <c r="P331" t="n">
        <v>0</v>
      </c>
      <c r="Q331" t="n">
        <v>0</v>
      </c>
      <c r="R331" s="2" t="inlineStr"/>
    </row>
    <row r="332" ht="15" customHeight="1">
      <c r="A332" t="inlineStr">
        <is>
          <t>A 19915-2024</t>
        </is>
      </c>
      <c r="B332" s="1" t="n">
        <v>45433.58431712963</v>
      </c>
      <c r="C332" s="1" t="n">
        <v>46012</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12629-2024</t>
        </is>
      </c>
      <c r="B333" s="1" t="n">
        <v>45383</v>
      </c>
      <c r="C333" s="1" t="n">
        <v>46012</v>
      </c>
      <c r="D333" t="inlineStr">
        <is>
          <t>STOCKHOLMS LÄN</t>
        </is>
      </c>
      <c r="E333" t="inlineStr">
        <is>
          <t>NORRTÄLJE</t>
        </is>
      </c>
      <c r="G333" t="n">
        <v>2.6</v>
      </c>
      <c r="H333" t="n">
        <v>0</v>
      </c>
      <c r="I333" t="n">
        <v>0</v>
      </c>
      <c r="J333" t="n">
        <v>0</v>
      </c>
      <c r="K333" t="n">
        <v>0</v>
      </c>
      <c r="L333" t="n">
        <v>0</v>
      </c>
      <c r="M333" t="n">
        <v>0</v>
      </c>
      <c r="N333" t="n">
        <v>0</v>
      </c>
      <c r="O333" t="n">
        <v>0</v>
      </c>
      <c r="P333" t="n">
        <v>0</v>
      </c>
      <c r="Q333" t="n">
        <v>0</v>
      </c>
      <c r="R333" s="2" t="inlineStr"/>
    </row>
    <row r="334" ht="15" customHeight="1">
      <c r="A334" t="inlineStr">
        <is>
          <t>A 20428-2024</t>
        </is>
      </c>
      <c r="B334" s="1" t="n">
        <v>45435</v>
      </c>
      <c r="C334" s="1" t="n">
        <v>46012</v>
      </c>
      <c r="D334" t="inlineStr">
        <is>
          <t>STOCKHOLMS LÄN</t>
        </is>
      </c>
      <c r="E334" t="inlineStr">
        <is>
          <t>NORRTÄLJE</t>
        </is>
      </c>
      <c r="G334" t="n">
        <v>3.7</v>
      </c>
      <c r="H334" t="n">
        <v>0</v>
      </c>
      <c r="I334" t="n">
        <v>0</v>
      </c>
      <c r="J334" t="n">
        <v>0</v>
      </c>
      <c r="K334" t="n">
        <v>0</v>
      </c>
      <c r="L334" t="n">
        <v>0</v>
      </c>
      <c r="M334" t="n">
        <v>0</v>
      </c>
      <c r="N334" t="n">
        <v>0</v>
      </c>
      <c r="O334" t="n">
        <v>0</v>
      </c>
      <c r="P334" t="n">
        <v>0</v>
      </c>
      <c r="Q334" t="n">
        <v>0</v>
      </c>
      <c r="R334" s="2" t="inlineStr"/>
    </row>
    <row r="335" ht="15" customHeight="1">
      <c r="A335" t="inlineStr">
        <is>
          <t>A 57037-2022</t>
        </is>
      </c>
      <c r="B335" s="1" t="n">
        <v>44895</v>
      </c>
      <c r="C335" s="1" t="n">
        <v>46012</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23149-2024</t>
        </is>
      </c>
      <c r="B336" s="1" t="n">
        <v>45450.64208333333</v>
      </c>
      <c r="C336" s="1" t="n">
        <v>46012</v>
      </c>
      <c r="D336" t="inlineStr">
        <is>
          <t>STOCKHOLMS LÄN</t>
        </is>
      </c>
      <c r="E336" t="inlineStr">
        <is>
          <t>NORRTÄLJE</t>
        </is>
      </c>
      <c r="F336" t="inlineStr">
        <is>
          <t>Kommuner</t>
        </is>
      </c>
      <c r="G336" t="n">
        <v>1.3</v>
      </c>
      <c r="H336" t="n">
        <v>0</v>
      </c>
      <c r="I336" t="n">
        <v>0</v>
      </c>
      <c r="J336" t="n">
        <v>0</v>
      </c>
      <c r="K336" t="n">
        <v>0</v>
      </c>
      <c r="L336" t="n">
        <v>0</v>
      </c>
      <c r="M336" t="n">
        <v>0</v>
      </c>
      <c r="N336" t="n">
        <v>0</v>
      </c>
      <c r="O336" t="n">
        <v>0</v>
      </c>
      <c r="P336" t="n">
        <v>0</v>
      </c>
      <c r="Q336" t="n">
        <v>0</v>
      </c>
      <c r="R336" s="2" t="inlineStr"/>
    </row>
    <row r="337" ht="15" customHeight="1">
      <c r="A337" t="inlineStr">
        <is>
          <t>A 23151-2024</t>
        </is>
      </c>
      <c r="B337" s="1" t="n">
        <v>45450</v>
      </c>
      <c r="C337" s="1" t="n">
        <v>46012</v>
      </c>
      <c r="D337" t="inlineStr">
        <is>
          <t>STOCKHOLMS LÄN</t>
        </is>
      </c>
      <c r="E337" t="inlineStr">
        <is>
          <t>NORRTÄLJE</t>
        </is>
      </c>
      <c r="F337" t="inlineStr">
        <is>
          <t>Kommuner</t>
        </is>
      </c>
      <c r="G337" t="n">
        <v>1.2</v>
      </c>
      <c r="H337" t="n">
        <v>0</v>
      </c>
      <c r="I337" t="n">
        <v>0</v>
      </c>
      <c r="J337" t="n">
        <v>0</v>
      </c>
      <c r="K337" t="n">
        <v>0</v>
      </c>
      <c r="L337" t="n">
        <v>0</v>
      </c>
      <c r="M337" t="n">
        <v>0</v>
      </c>
      <c r="N337" t="n">
        <v>0</v>
      </c>
      <c r="O337" t="n">
        <v>0</v>
      </c>
      <c r="P337" t="n">
        <v>0</v>
      </c>
      <c r="Q337" t="n">
        <v>0</v>
      </c>
      <c r="R337" s="2" t="inlineStr"/>
    </row>
    <row r="338" ht="15" customHeight="1">
      <c r="A338" t="inlineStr">
        <is>
          <t>A 40656-2022</t>
        </is>
      </c>
      <c r="B338" s="1" t="n">
        <v>44824.36069444445</v>
      </c>
      <c r="C338" s="1" t="n">
        <v>46012</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13051-2021</t>
        </is>
      </c>
      <c r="B339" s="1" t="n">
        <v>44272</v>
      </c>
      <c r="C339" s="1" t="n">
        <v>46012</v>
      </c>
      <c r="D339" t="inlineStr">
        <is>
          <t>STOCKHOLMS LÄN</t>
        </is>
      </c>
      <c r="E339" t="inlineStr">
        <is>
          <t>NORRTÄLJE</t>
        </is>
      </c>
      <c r="G339" t="n">
        <v>9.1</v>
      </c>
      <c r="H339" t="n">
        <v>0</v>
      </c>
      <c r="I339" t="n">
        <v>0</v>
      </c>
      <c r="J339" t="n">
        <v>0</v>
      </c>
      <c r="K339" t="n">
        <v>0</v>
      </c>
      <c r="L339" t="n">
        <v>0</v>
      </c>
      <c r="M339" t="n">
        <v>0</v>
      </c>
      <c r="N339" t="n">
        <v>0</v>
      </c>
      <c r="O339" t="n">
        <v>0</v>
      </c>
      <c r="P339" t="n">
        <v>0</v>
      </c>
      <c r="Q339" t="n">
        <v>0</v>
      </c>
      <c r="R339" s="2" t="inlineStr"/>
    </row>
    <row r="340" ht="15" customHeight="1">
      <c r="A340" t="inlineStr">
        <is>
          <t>A 55755-2023</t>
        </is>
      </c>
      <c r="B340" s="1" t="n">
        <v>45239</v>
      </c>
      <c r="C340" s="1" t="n">
        <v>46012</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40761-2024</t>
        </is>
      </c>
      <c r="B341" s="1" t="n">
        <v>45558.46283564815</v>
      </c>
      <c r="C341" s="1" t="n">
        <v>46012</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16913-2025</t>
        </is>
      </c>
      <c r="B342" s="1" t="n">
        <v>45755.36583333334</v>
      </c>
      <c r="C342" s="1" t="n">
        <v>46012</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45549-2022</t>
        </is>
      </c>
      <c r="B343" s="1" t="n">
        <v>44845.48064814815</v>
      </c>
      <c r="C343" s="1" t="n">
        <v>46012</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23692-2024</t>
        </is>
      </c>
      <c r="B344" s="1" t="n">
        <v>45454.65774305556</v>
      </c>
      <c r="C344" s="1" t="n">
        <v>46012</v>
      </c>
      <c r="D344" t="inlineStr">
        <is>
          <t>STOCKHOLMS LÄN</t>
        </is>
      </c>
      <c r="E344" t="inlineStr">
        <is>
          <t>NORRTÄLJE</t>
        </is>
      </c>
      <c r="G344" t="n">
        <v>3.7</v>
      </c>
      <c r="H344" t="n">
        <v>0</v>
      </c>
      <c r="I344" t="n">
        <v>0</v>
      </c>
      <c r="J344" t="n">
        <v>0</v>
      </c>
      <c r="K344" t="n">
        <v>0</v>
      </c>
      <c r="L344" t="n">
        <v>0</v>
      </c>
      <c r="M344" t="n">
        <v>0</v>
      </c>
      <c r="N344" t="n">
        <v>0</v>
      </c>
      <c r="O344" t="n">
        <v>0</v>
      </c>
      <c r="P344" t="n">
        <v>0</v>
      </c>
      <c r="Q344" t="n">
        <v>0</v>
      </c>
      <c r="R344" s="2" t="inlineStr"/>
    </row>
    <row r="345" ht="15" customHeight="1">
      <c r="A345" t="inlineStr">
        <is>
          <t>A 51978-2023</t>
        </is>
      </c>
      <c r="B345" s="1" t="n">
        <v>45223</v>
      </c>
      <c r="C345" s="1" t="n">
        <v>46012</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47431-2023</t>
        </is>
      </c>
      <c r="B346" s="1" t="n">
        <v>45202</v>
      </c>
      <c r="C346" s="1" t="n">
        <v>46012</v>
      </c>
      <c r="D346" t="inlineStr">
        <is>
          <t>STOCKHOLMS LÄN</t>
        </is>
      </c>
      <c r="E346" t="inlineStr">
        <is>
          <t>NORRTÄLJE</t>
        </is>
      </c>
      <c r="F346" t="inlineStr">
        <is>
          <t>Naturvårdsverket</t>
        </is>
      </c>
      <c r="G346" t="n">
        <v>1.2</v>
      </c>
      <c r="H346" t="n">
        <v>0</v>
      </c>
      <c r="I346" t="n">
        <v>0</v>
      </c>
      <c r="J346" t="n">
        <v>0</v>
      </c>
      <c r="K346" t="n">
        <v>0</v>
      </c>
      <c r="L346" t="n">
        <v>0</v>
      </c>
      <c r="M346" t="n">
        <v>0</v>
      </c>
      <c r="N346" t="n">
        <v>0</v>
      </c>
      <c r="O346" t="n">
        <v>0</v>
      </c>
      <c r="P346" t="n">
        <v>0</v>
      </c>
      <c r="Q346" t="n">
        <v>0</v>
      </c>
      <c r="R346" s="2" t="inlineStr"/>
    </row>
    <row r="347" ht="15" customHeight="1">
      <c r="A347" t="inlineStr">
        <is>
          <t>A 23262-2023</t>
        </is>
      </c>
      <c r="B347" s="1" t="n">
        <v>45075.90270833333</v>
      </c>
      <c r="C347" s="1" t="n">
        <v>46012</v>
      </c>
      <c r="D347" t="inlineStr">
        <is>
          <t>STOCKHOLMS LÄN</t>
        </is>
      </c>
      <c r="E347" t="inlineStr">
        <is>
          <t>NORRTÄLJE</t>
        </is>
      </c>
      <c r="F347" t="inlineStr">
        <is>
          <t>Kommuner</t>
        </is>
      </c>
      <c r="G347" t="n">
        <v>1.9</v>
      </c>
      <c r="H347" t="n">
        <v>0</v>
      </c>
      <c r="I347" t="n">
        <v>0</v>
      </c>
      <c r="J347" t="n">
        <v>0</v>
      </c>
      <c r="K347" t="n">
        <v>0</v>
      </c>
      <c r="L347" t="n">
        <v>0</v>
      </c>
      <c r="M347" t="n">
        <v>0</v>
      </c>
      <c r="N347" t="n">
        <v>0</v>
      </c>
      <c r="O347" t="n">
        <v>0</v>
      </c>
      <c r="P347" t="n">
        <v>0</v>
      </c>
      <c r="Q347" t="n">
        <v>0</v>
      </c>
      <c r="R347" s="2" t="inlineStr"/>
    </row>
    <row r="348" ht="15" customHeight="1">
      <c r="A348" t="inlineStr">
        <is>
          <t>A 23268-2023</t>
        </is>
      </c>
      <c r="B348" s="1" t="n">
        <v>45075.91042824074</v>
      </c>
      <c r="C348" s="1" t="n">
        <v>46012</v>
      </c>
      <c r="D348" t="inlineStr">
        <is>
          <t>STOCKHOLMS LÄN</t>
        </is>
      </c>
      <c r="E348" t="inlineStr">
        <is>
          <t>NORRTÄLJE</t>
        </is>
      </c>
      <c r="G348" t="n">
        <v>3.3</v>
      </c>
      <c r="H348" t="n">
        <v>0</v>
      </c>
      <c r="I348" t="n">
        <v>0</v>
      </c>
      <c r="J348" t="n">
        <v>0</v>
      </c>
      <c r="K348" t="n">
        <v>0</v>
      </c>
      <c r="L348" t="n">
        <v>0</v>
      </c>
      <c r="M348" t="n">
        <v>0</v>
      </c>
      <c r="N348" t="n">
        <v>0</v>
      </c>
      <c r="O348" t="n">
        <v>0</v>
      </c>
      <c r="P348" t="n">
        <v>0</v>
      </c>
      <c r="Q348" t="n">
        <v>0</v>
      </c>
      <c r="R348" s="2" t="inlineStr"/>
    </row>
    <row r="349" ht="15" customHeight="1">
      <c r="A349" t="inlineStr">
        <is>
          <t>A 23270-2023</t>
        </is>
      </c>
      <c r="B349" s="1" t="n">
        <v>45075.91265046296</v>
      </c>
      <c r="C349" s="1" t="n">
        <v>46012</v>
      </c>
      <c r="D349" t="inlineStr">
        <is>
          <t>STOCKHOLMS LÄN</t>
        </is>
      </c>
      <c r="E349" t="inlineStr">
        <is>
          <t>NORRTÄLJE</t>
        </is>
      </c>
      <c r="G349" t="n">
        <v>12.3</v>
      </c>
      <c r="H349" t="n">
        <v>0</v>
      </c>
      <c r="I349" t="n">
        <v>0</v>
      </c>
      <c r="J349" t="n">
        <v>0</v>
      </c>
      <c r="K349" t="n">
        <v>0</v>
      </c>
      <c r="L349" t="n">
        <v>0</v>
      </c>
      <c r="M349" t="n">
        <v>0</v>
      </c>
      <c r="N349" t="n">
        <v>0</v>
      </c>
      <c r="O349" t="n">
        <v>0</v>
      </c>
      <c r="P349" t="n">
        <v>0</v>
      </c>
      <c r="Q349" t="n">
        <v>0</v>
      </c>
      <c r="R349" s="2" t="inlineStr"/>
    </row>
    <row r="350" ht="15" customHeight="1">
      <c r="A350" t="inlineStr">
        <is>
          <t>A 23274-2023</t>
        </is>
      </c>
      <c r="B350" s="1" t="n">
        <v>45075.92153935185</v>
      </c>
      <c r="C350" s="1" t="n">
        <v>46012</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60224-2023</t>
        </is>
      </c>
      <c r="B351" s="1" t="n">
        <v>45257</v>
      </c>
      <c r="C351" s="1" t="n">
        <v>46012</v>
      </c>
      <c r="D351" t="inlineStr">
        <is>
          <t>STOCKHOLMS LÄN</t>
        </is>
      </c>
      <c r="E351" t="inlineStr">
        <is>
          <t>NORRTÄLJE</t>
        </is>
      </c>
      <c r="G351" t="n">
        <v>8.1</v>
      </c>
      <c r="H351" t="n">
        <v>0</v>
      </c>
      <c r="I351" t="n">
        <v>0</v>
      </c>
      <c r="J351" t="n">
        <v>0</v>
      </c>
      <c r="K351" t="n">
        <v>0</v>
      </c>
      <c r="L351" t="n">
        <v>0</v>
      </c>
      <c r="M351" t="n">
        <v>0</v>
      </c>
      <c r="N351" t="n">
        <v>0</v>
      </c>
      <c r="O351" t="n">
        <v>0</v>
      </c>
      <c r="P351" t="n">
        <v>0</v>
      </c>
      <c r="Q351" t="n">
        <v>0</v>
      </c>
      <c r="R351" s="2" t="inlineStr"/>
    </row>
    <row r="352" ht="15" customHeight="1">
      <c r="A352" t="inlineStr">
        <is>
          <t>A 50569-2022</t>
        </is>
      </c>
      <c r="B352" s="1" t="n">
        <v>44866.63775462963</v>
      </c>
      <c r="C352" s="1" t="n">
        <v>46012</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37550-2022</t>
        </is>
      </c>
      <c r="B353" s="1" t="n">
        <v>44809</v>
      </c>
      <c r="C353" s="1" t="n">
        <v>46012</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5732-2023</t>
        </is>
      </c>
      <c r="B354" s="1" t="n">
        <v>44962</v>
      </c>
      <c r="C354" s="1" t="n">
        <v>46012</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25609-2023</t>
        </is>
      </c>
      <c r="B355" s="1" t="n">
        <v>45089</v>
      </c>
      <c r="C355" s="1" t="n">
        <v>46012</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29684-2021</t>
        </is>
      </c>
      <c r="B356" s="1" t="n">
        <v>44362.37172453704</v>
      </c>
      <c r="C356" s="1" t="n">
        <v>46012</v>
      </c>
      <c r="D356" t="inlineStr">
        <is>
          <t>STOCKHOLMS LÄN</t>
        </is>
      </c>
      <c r="E356" t="inlineStr">
        <is>
          <t>NORRTÄLJE</t>
        </is>
      </c>
      <c r="F356" t="inlineStr">
        <is>
          <t>Holmen skog AB</t>
        </is>
      </c>
      <c r="G356" t="n">
        <v>1.5</v>
      </c>
      <c r="H356" t="n">
        <v>0</v>
      </c>
      <c r="I356" t="n">
        <v>0</v>
      </c>
      <c r="J356" t="n">
        <v>0</v>
      </c>
      <c r="K356" t="n">
        <v>0</v>
      </c>
      <c r="L356" t="n">
        <v>0</v>
      </c>
      <c r="M356" t="n">
        <v>0</v>
      </c>
      <c r="N356" t="n">
        <v>0</v>
      </c>
      <c r="O356" t="n">
        <v>0</v>
      </c>
      <c r="P356" t="n">
        <v>0</v>
      </c>
      <c r="Q356" t="n">
        <v>0</v>
      </c>
      <c r="R356" s="2" t="inlineStr"/>
    </row>
    <row r="357" ht="15" customHeight="1">
      <c r="A357" t="inlineStr">
        <is>
          <t>A 17785-2024</t>
        </is>
      </c>
      <c r="B357" s="1" t="n">
        <v>45418.6968287037</v>
      </c>
      <c r="C357" s="1" t="n">
        <v>46012</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33569-2023</t>
        </is>
      </c>
      <c r="B358" s="1" t="n">
        <v>45131.666875</v>
      </c>
      <c r="C358" s="1" t="n">
        <v>46012</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21386-2023</t>
        </is>
      </c>
      <c r="B359" s="1" t="n">
        <v>45063.35880787037</v>
      </c>
      <c r="C359" s="1" t="n">
        <v>46012</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32071-2023</t>
        </is>
      </c>
      <c r="B360" s="1" t="n">
        <v>45119.57728009259</v>
      </c>
      <c r="C360" s="1" t="n">
        <v>46012</v>
      </c>
      <c r="D360" t="inlineStr">
        <is>
          <t>STOCKHOLMS LÄN</t>
        </is>
      </c>
      <c r="E360" t="inlineStr">
        <is>
          <t>NORRTÄLJE</t>
        </is>
      </c>
      <c r="G360" t="n">
        <v>6.5</v>
      </c>
      <c r="H360" t="n">
        <v>0</v>
      </c>
      <c r="I360" t="n">
        <v>0</v>
      </c>
      <c r="J360" t="n">
        <v>0</v>
      </c>
      <c r="K360" t="n">
        <v>0</v>
      </c>
      <c r="L360" t="n">
        <v>0</v>
      </c>
      <c r="M360" t="n">
        <v>0</v>
      </c>
      <c r="N360" t="n">
        <v>0</v>
      </c>
      <c r="O360" t="n">
        <v>0</v>
      </c>
      <c r="P360" t="n">
        <v>0</v>
      </c>
      <c r="Q360" t="n">
        <v>0</v>
      </c>
      <c r="R360" s="2" t="inlineStr"/>
    </row>
    <row r="361" ht="15" customHeight="1">
      <c r="A361" t="inlineStr">
        <is>
          <t>A 4593-2023</t>
        </is>
      </c>
      <c r="B361" s="1" t="n">
        <v>44956</v>
      </c>
      <c r="C361" s="1" t="n">
        <v>46012</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25681-2024</t>
        </is>
      </c>
      <c r="B362" s="1" t="n">
        <v>45463.80486111111</v>
      </c>
      <c r="C362" s="1" t="n">
        <v>46012</v>
      </c>
      <c r="D362" t="inlineStr">
        <is>
          <t>STOCKHOLMS LÄN</t>
        </is>
      </c>
      <c r="E362" t="inlineStr">
        <is>
          <t>NORRTÄLJE</t>
        </is>
      </c>
      <c r="G362" t="n">
        <v>2.7</v>
      </c>
      <c r="H362" t="n">
        <v>0</v>
      </c>
      <c r="I362" t="n">
        <v>0</v>
      </c>
      <c r="J362" t="n">
        <v>0</v>
      </c>
      <c r="K362" t="n">
        <v>0</v>
      </c>
      <c r="L362" t="n">
        <v>0</v>
      </c>
      <c r="M362" t="n">
        <v>0</v>
      </c>
      <c r="N362" t="n">
        <v>0</v>
      </c>
      <c r="O362" t="n">
        <v>0</v>
      </c>
      <c r="P362" t="n">
        <v>0</v>
      </c>
      <c r="Q362" t="n">
        <v>0</v>
      </c>
      <c r="R362" s="2" t="inlineStr"/>
    </row>
    <row r="363" ht="15" customHeight="1">
      <c r="A363" t="inlineStr">
        <is>
          <t>A 26115-2024</t>
        </is>
      </c>
      <c r="B363" s="1" t="n">
        <v>45468.45628472222</v>
      </c>
      <c r="C363" s="1" t="n">
        <v>46012</v>
      </c>
      <c r="D363" t="inlineStr">
        <is>
          <t>STOCKHOLMS LÄN</t>
        </is>
      </c>
      <c r="E363" t="inlineStr">
        <is>
          <t>NORRTÄLJE</t>
        </is>
      </c>
      <c r="G363" t="n">
        <v>0.3</v>
      </c>
      <c r="H363" t="n">
        <v>0</v>
      </c>
      <c r="I363" t="n">
        <v>0</v>
      </c>
      <c r="J363" t="n">
        <v>0</v>
      </c>
      <c r="K363" t="n">
        <v>0</v>
      </c>
      <c r="L363" t="n">
        <v>0</v>
      </c>
      <c r="M363" t="n">
        <v>0</v>
      </c>
      <c r="N363" t="n">
        <v>0</v>
      </c>
      <c r="O363" t="n">
        <v>0</v>
      </c>
      <c r="P363" t="n">
        <v>0</v>
      </c>
      <c r="Q363" t="n">
        <v>0</v>
      </c>
      <c r="R363" s="2" t="inlineStr"/>
    </row>
    <row r="364" ht="15" customHeight="1">
      <c r="A364" t="inlineStr">
        <is>
          <t>A 54396-2021</t>
        </is>
      </c>
      <c r="B364" s="1" t="n">
        <v>44472</v>
      </c>
      <c r="C364" s="1" t="n">
        <v>46012</v>
      </c>
      <c r="D364" t="inlineStr">
        <is>
          <t>STOCKHOLMS LÄN</t>
        </is>
      </c>
      <c r="E364" t="inlineStr">
        <is>
          <t>NORRTÄLJE</t>
        </is>
      </c>
      <c r="G364" t="n">
        <v>2.6</v>
      </c>
      <c r="H364" t="n">
        <v>0</v>
      </c>
      <c r="I364" t="n">
        <v>0</v>
      </c>
      <c r="J364" t="n">
        <v>0</v>
      </c>
      <c r="K364" t="n">
        <v>0</v>
      </c>
      <c r="L364" t="n">
        <v>0</v>
      </c>
      <c r="M364" t="n">
        <v>0</v>
      </c>
      <c r="N364" t="n">
        <v>0</v>
      </c>
      <c r="O364" t="n">
        <v>0</v>
      </c>
      <c r="P364" t="n">
        <v>0</v>
      </c>
      <c r="Q364" t="n">
        <v>0</v>
      </c>
      <c r="R364" s="2" t="inlineStr"/>
    </row>
    <row r="365" ht="15" customHeight="1">
      <c r="A365" t="inlineStr">
        <is>
          <t>A 24245-2024</t>
        </is>
      </c>
      <c r="B365" s="1" t="n">
        <v>45457</v>
      </c>
      <c r="C365" s="1" t="n">
        <v>46012</v>
      </c>
      <c r="D365" t="inlineStr">
        <is>
          <t>STOCKHOLMS LÄN</t>
        </is>
      </c>
      <c r="E365" t="inlineStr">
        <is>
          <t>NORRTÄLJE</t>
        </is>
      </c>
      <c r="F365" t="inlineStr">
        <is>
          <t>Holmen skog AB</t>
        </is>
      </c>
      <c r="G365" t="n">
        <v>3.4</v>
      </c>
      <c r="H365" t="n">
        <v>0</v>
      </c>
      <c r="I365" t="n">
        <v>0</v>
      </c>
      <c r="J365" t="n">
        <v>0</v>
      </c>
      <c r="K365" t="n">
        <v>0</v>
      </c>
      <c r="L365" t="n">
        <v>0</v>
      </c>
      <c r="M365" t="n">
        <v>0</v>
      </c>
      <c r="N365" t="n">
        <v>0</v>
      </c>
      <c r="O365" t="n">
        <v>0</v>
      </c>
      <c r="P365" t="n">
        <v>0</v>
      </c>
      <c r="Q365" t="n">
        <v>0</v>
      </c>
      <c r="R365" s="2" t="inlineStr"/>
    </row>
    <row r="366" ht="15" customHeight="1">
      <c r="A366" t="inlineStr">
        <is>
          <t>A 12901-2024</t>
        </is>
      </c>
      <c r="B366" s="1" t="n">
        <v>45385.37922453704</v>
      </c>
      <c r="C366" s="1" t="n">
        <v>46012</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12301-2025</t>
        </is>
      </c>
      <c r="B367" s="1" t="n">
        <v>45729.7271875</v>
      </c>
      <c r="C367" s="1" t="n">
        <v>46012</v>
      </c>
      <c r="D367" t="inlineStr">
        <is>
          <t>STOCKHOLMS LÄN</t>
        </is>
      </c>
      <c r="E367" t="inlineStr">
        <is>
          <t>NORRTÄLJE</t>
        </is>
      </c>
      <c r="G367" t="n">
        <v>3.2</v>
      </c>
      <c r="H367" t="n">
        <v>0</v>
      </c>
      <c r="I367" t="n">
        <v>0</v>
      </c>
      <c r="J367" t="n">
        <v>0</v>
      </c>
      <c r="K367" t="n">
        <v>0</v>
      </c>
      <c r="L367" t="n">
        <v>0</v>
      </c>
      <c r="M367" t="n">
        <v>0</v>
      </c>
      <c r="N367" t="n">
        <v>0</v>
      </c>
      <c r="O367" t="n">
        <v>0</v>
      </c>
      <c r="P367" t="n">
        <v>0</v>
      </c>
      <c r="Q367" t="n">
        <v>0</v>
      </c>
      <c r="R367" s="2" t="inlineStr"/>
    </row>
    <row r="368" ht="15" customHeight="1">
      <c r="A368" t="inlineStr">
        <is>
          <t>A 22833-2024</t>
        </is>
      </c>
      <c r="B368" s="1" t="n">
        <v>45448.56746527777</v>
      </c>
      <c r="C368" s="1" t="n">
        <v>46012</v>
      </c>
      <c r="D368" t="inlineStr">
        <is>
          <t>STOCKHOLMS LÄN</t>
        </is>
      </c>
      <c r="E368" t="inlineStr">
        <is>
          <t>NORRTÄLJE</t>
        </is>
      </c>
      <c r="G368" t="n">
        <v>0.8</v>
      </c>
      <c r="H368" t="n">
        <v>0</v>
      </c>
      <c r="I368" t="n">
        <v>0</v>
      </c>
      <c r="J368" t="n">
        <v>0</v>
      </c>
      <c r="K368" t="n">
        <v>0</v>
      </c>
      <c r="L368" t="n">
        <v>0</v>
      </c>
      <c r="M368" t="n">
        <v>0</v>
      </c>
      <c r="N368" t="n">
        <v>0</v>
      </c>
      <c r="O368" t="n">
        <v>0</v>
      </c>
      <c r="P368" t="n">
        <v>0</v>
      </c>
      <c r="Q368" t="n">
        <v>0</v>
      </c>
      <c r="R368" s="2" t="inlineStr"/>
    </row>
    <row r="369" ht="15" customHeight="1">
      <c r="A369" t="inlineStr">
        <is>
          <t>A 8950-2025</t>
        </is>
      </c>
      <c r="B369" s="1" t="n">
        <v>45713</v>
      </c>
      <c r="C369" s="1" t="n">
        <v>46012</v>
      </c>
      <c r="D369" t="inlineStr">
        <is>
          <t>STOCKHOLMS LÄN</t>
        </is>
      </c>
      <c r="E369" t="inlineStr">
        <is>
          <t>NORRTÄLJE</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54273-2021</t>
        </is>
      </c>
      <c r="B370" s="1" t="n">
        <v>44470.72987268519</v>
      </c>
      <c r="C370" s="1" t="n">
        <v>46012</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43212-2022</t>
        </is>
      </c>
      <c r="B371" s="1" t="n">
        <v>44834.38636574074</v>
      </c>
      <c r="C371" s="1" t="n">
        <v>46012</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20730-2024</t>
        </is>
      </c>
      <c r="B372" s="1" t="n">
        <v>45436</v>
      </c>
      <c r="C372" s="1" t="n">
        <v>46012</v>
      </c>
      <c r="D372" t="inlineStr">
        <is>
          <t>STOCKHOLMS LÄN</t>
        </is>
      </c>
      <c r="E372" t="inlineStr">
        <is>
          <t>NORRTÄLJE</t>
        </is>
      </c>
      <c r="G372" t="n">
        <v>7.3</v>
      </c>
      <c r="H372" t="n">
        <v>0</v>
      </c>
      <c r="I372" t="n">
        <v>0</v>
      </c>
      <c r="J372" t="n">
        <v>0</v>
      </c>
      <c r="K372" t="n">
        <v>0</v>
      </c>
      <c r="L372" t="n">
        <v>0</v>
      </c>
      <c r="M372" t="n">
        <v>0</v>
      </c>
      <c r="N372" t="n">
        <v>0</v>
      </c>
      <c r="O372" t="n">
        <v>0</v>
      </c>
      <c r="P372" t="n">
        <v>0</v>
      </c>
      <c r="Q372" t="n">
        <v>0</v>
      </c>
      <c r="R372" s="2" t="inlineStr"/>
    </row>
    <row r="373" ht="15" customHeight="1">
      <c r="A373" t="inlineStr">
        <is>
          <t>A 33175-2024</t>
        </is>
      </c>
      <c r="B373" s="1" t="n">
        <v>45518</v>
      </c>
      <c r="C373" s="1" t="n">
        <v>46012</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13283-2025</t>
        </is>
      </c>
      <c r="B374" s="1" t="n">
        <v>45735</v>
      </c>
      <c r="C374" s="1" t="n">
        <v>46012</v>
      </c>
      <c r="D374" t="inlineStr">
        <is>
          <t>STOCKHOLMS LÄN</t>
        </is>
      </c>
      <c r="E374" t="inlineStr">
        <is>
          <t>NORRTÄLJE</t>
        </is>
      </c>
      <c r="G374" t="n">
        <v>4.9</v>
      </c>
      <c r="H374" t="n">
        <v>0</v>
      </c>
      <c r="I374" t="n">
        <v>0</v>
      </c>
      <c r="J374" t="n">
        <v>0</v>
      </c>
      <c r="K374" t="n">
        <v>0</v>
      </c>
      <c r="L374" t="n">
        <v>0</v>
      </c>
      <c r="M374" t="n">
        <v>0</v>
      </c>
      <c r="N374" t="n">
        <v>0</v>
      </c>
      <c r="O374" t="n">
        <v>0</v>
      </c>
      <c r="P374" t="n">
        <v>0</v>
      </c>
      <c r="Q374" t="n">
        <v>0</v>
      </c>
      <c r="R374" s="2" t="inlineStr"/>
    </row>
    <row r="375" ht="15" customHeight="1">
      <c r="A375" t="inlineStr">
        <is>
          <t>A 27831-2024</t>
        </is>
      </c>
      <c r="B375" s="1" t="n">
        <v>45475.61896990741</v>
      </c>
      <c r="C375" s="1" t="n">
        <v>46012</v>
      </c>
      <c r="D375" t="inlineStr">
        <is>
          <t>STOCKHOLMS LÄN</t>
        </is>
      </c>
      <c r="E375" t="inlineStr">
        <is>
          <t>NORRTÄLJE</t>
        </is>
      </c>
      <c r="G375" t="n">
        <v>3.8</v>
      </c>
      <c r="H375" t="n">
        <v>0</v>
      </c>
      <c r="I375" t="n">
        <v>0</v>
      </c>
      <c r="J375" t="n">
        <v>0</v>
      </c>
      <c r="K375" t="n">
        <v>0</v>
      </c>
      <c r="L375" t="n">
        <v>0</v>
      </c>
      <c r="M375" t="n">
        <v>0</v>
      </c>
      <c r="N375" t="n">
        <v>0</v>
      </c>
      <c r="O375" t="n">
        <v>0</v>
      </c>
      <c r="P375" t="n">
        <v>0</v>
      </c>
      <c r="Q375" t="n">
        <v>0</v>
      </c>
      <c r="R375" s="2" t="inlineStr"/>
    </row>
    <row r="376" ht="15" customHeight="1">
      <c r="A376" t="inlineStr">
        <is>
          <t>A 34295-2024</t>
        </is>
      </c>
      <c r="B376" s="1" t="n">
        <v>45524</v>
      </c>
      <c r="C376" s="1" t="n">
        <v>46012</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21803-2022</t>
        </is>
      </c>
      <c r="B377" s="1" t="n">
        <v>44708.67822916667</v>
      </c>
      <c r="C377" s="1" t="n">
        <v>46012</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6537-2024</t>
        </is>
      </c>
      <c r="B378" s="1" t="n">
        <v>45341.39853009259</v>
      </c>
      <c r="C378" s="1" t="n">
        <v>46012</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24687-2025</t>
        </is>
      </c>
      <c r="B379" s="1" t="n">
        <v>45798.66767361111</v>
      </c>
      <c r="C379" s="1" t="n">
        <v>46012</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22816-2021</t>
        </is>
      </c>
      <c r="B380" s="1" t="n">
        <v>44325</v>
      </c>
      <c r="C380" s="1" t="n">
        <v>46012</v>
      </c>
      <c r="D380" t="inlineStr">
        <is>
          <t>STOCKHOLMS LÄN</t>
        </is>
      </c>
      <c r="E380" t="inlineStr">
        <is>
          <t>NORRTÄLJE</t>
        </is>
      </c>
      <c r="G380" t="n">
        <v>4.5</v>
      </c>
      <c r="H380" t="n">
        <v>0</v>
      </c>
      <c r="I380" t="n">
        <v>0</v>
      </c>
      <c r="J380" t="n">
        <v>0</v>
      </c>
      <c r="K380" t="n">
        <v>0</v>
      </c>
      <c r="L380" t="n">
        <v>0</v>
      </c>
      <c r="M380" t="n">
        <v>0</v>
      </c>
      <c r="N380" t="n">
        <v>0</v>
      </c>
      <c r="O380" t="n">
        <v>0</v>
      </c>
      <c r="P380" t="n">
        <v>0</v>
      </c>
      <c r="Q380" t="n">
        <v>0</v>
      </c>
      <c r="R380" s="2" t="inlineStr"/>
    </row>
    <row r="381" ht="15" customHeight="1">
      <c r="A381" t="inlineStr">
        <is>
          <t>A 52260-2022</t>
        </is>
      </c>
      <c r="B381" s="1" t="n">
        <v>44869</v>
      </c>
      <c r="C381" s="1" t="n">
        <v>46012</v>
      </c>
      <c r="D381" t="inlineStr">
        <is>
          <t>STOCKHOLMS LÄN</t>
        </is>
      </c>
      <c r="E381" t="inlineStr">
        <is>
          <t>NORRTÄLJE</t>
        </is>
      </c>
      <c r="G381" t="n">
        <v>3.1</v>
      </c>
      <c r="H381" t="n">
        <v>0</v>
      </c>
      <c r="I381" t="n">
        <v>0</v>
      </c>
      <c r="J381" t="n">
        <v>0</v>
      </c>
      <c r="K381" t="n">
        <v>0</v>
      </c>
      <c r="L381" t="n">
        <v>0</v>
      </c>
      <c r="M381" t="n">
        <v>0</v>
      </c>
      <c r="N381" t="n">
        <v>0</v>
      </c>
      <c r="O381" t="n">
        <v>0</v>
      </c>
      <c r="P381" t="n">
        <v>0</v>
      </c>
      <c r="Q381" t="n">
        <v>0</v>
      </c>
      <c r="R381" s="2" t="inlineStr"/>
    </row>
    <row r="382" ht="15" customHeight="1">
      <c r="A382" t="inlineStr">
        <is>
          <t>A 65499-2021</t>
        </is>
      </c>
      <c r="B382" s="1" t="n">
        <v>44516</v>
      </c>
      <c r="C382" s="1" t="n">
        <v>46012</v>
      </c>
      <c r="D382" t="inlineStr">
        <is>
          <t>STOCKHOLMS LÄN</t>
        </is>
      </c>
      <c r="E382" t="inlineStr">
        <is>
          <t>NORRTÄLJE</t>
        </is>
      </c>
      <c r="F382" t="inlineStr">
        <is>
          <t>Kommuner</t>
        </is>
      </c>
      <c r="G382" t="n">
        <v>5.2</v>
      </c>
      <c r="H382" t="n">
        <v>0</v>
      </c>
      <c r="I382" t="n">
        <v>0</v>
      </c>
      <c r="J382" t="n">
        <v>0</v>
      </c>
      <c r="K382" t="n">
        <v>0</v>
      </c>
      <c r="L382" t="n">
        <v>0</v>
      </c>
      <c r="M382" t="n">
        <v>0</v>
      </c>
      <c r="N382" t="n">
        <v>0</v>
      </c>
      <c r="O382" t="n">
        <v>0</v>
      </c>
      <c r="P382" t="n">
        <v>0</v>
      </c>
      <c r="Q382" t="n">
        <v>0</v>
      </c>
      <c r="R382" s="2" t="inlineStr"/>
    </row>
    <row r="383" ht="15" customHeight="1">
      <c r="A383" t="inlineStr">
        <is>
          <t>A 24690-2025</t>
        </is>
      </c>
      <c r="B383" s="1" t="n">
        <v>45798.67082175926</v>
      </c>
      <c r="C383" s="1" t="n">
        <v>46012</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24638-2025</t>
        </is>
      </c>
      <c r="B384" s="1" t="n">
        <v>45798</v>
      </c>
      <c r="C384" s="1" t="n">
        <v>46012</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24351-2025</t>
        </is>
      </c>
      <c r="B385" s="1" t="n">
        <v>45797.58399305555</v>
      </c>
      <c r="C385" s="1" t="n">
        <v>46012</v>
      </c>
      <c r="D385" t="inlineStr">
        <is>
          <t>STOCKHOLMS LÄN</t>
        </is>
      </c>
      <c r="E385" t="inlineStr">
        <is>
          <t>NORRTÄLJE</t>
        </is>
      </c>
      <c r="G385" t="n">
        <v>1.5</v>
      </c>
      <c r="H385" t="n">
        <v>0</v>
      </c>
      <c r="I385" t="n">
        <v>0</v>
      </c>
      <c r="J385" t="n">
        <v>0</v>
      </c>
      <c r="K385" t="n">
        <v>0</v>
      </c>
      <c r="L385" t="n">
        <v>0</v>
      </c>
      <c r="M385" t="n">
        <v>0</v>
      </c>
      <c r="N385" t="n">
        <v>0</v>
      </c>
      <c r="O385" t="n">
        <v>0</v>
      </c>
      <c r="P385" t="n">
        <v>0</v>
      </c>
      <c r="Q385" t="n">
        <v>0</v>
      </c>
      <c r="R385" s="2" t="inlineStr"/>
    </row>
    <row r="386" ht="15" customHeight="1">
      <c r="A386" t="inlineStr">
        <is>
          <t>A 55058-2021</t>
        </is>
      </c>
      <c r="B386" s="1" t="n">
        <v>44474.62141203704</v>
      </c>
      <c r="C386" s="1" t="n">
        <v>46012</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40192-2023</t>
        </is>
      </c>
      <c r="B387" s="1" t="n">
        <v>45169</v>
      </c>
      <c r="C387" s="1" t="n">
        <v>46012</v>
      </c>
      <c r="D387" t="inlineStr">
        <is>
          <t>STOCKHOLMS LÄN</t>
        </is>
      </c>
      <c r="E387" t="inlineStr">
        <is>
          <t>NORRTÄLJE</t>
        </is>
      </c>
      <c r="F387" t="inlineStr">
        <is>
          <t>Kyrkan</t>
        </is>
      </c>
      <c r="G387" t="n">
        <v>0.7</v>
      </c>
      <c r="H387" t="n">
        <v>0</v>
      </c>
      <c r="I387" t="n">
        <v>0</v>
      </c>
      <c r="J387" t="n">
        <v>0</v>
      </c>
      <c r="K387" t="n">
        <v>0</v>
      </c>
      <c r="L387" t="n">
        <v>0</v>
      </c>
      <c r="M387" t="n">
        <v>0</v>
      </c>
      <c r="N387" t="n">
        <v>0</v>
      </c>
      <c r="O387" t="n">
        <v>0</v>
      </c>
      <c r="P387" t="n">
        <v>0</v>
      </c>
      <c r="Q387" t="n">
        <v>0</v>
      </c>
      <c r="R387" s="2" t="inlineStr"/>
    </row>
    <row r="388" ht="15" customHeight="1">
      <c r="A388" t="inlineStr">
        <is>
          <t>A 4035-2023</t>
        </is>
      </c>
      <c r="B388" s="1" t="n">
        <v>44952.57989583333</v>
      </c>
      <c r="C388" s="1" t="n">
        <v>46012</v>
      </c>
      <c r="D388" t="inlineStr">
        <is>
          <t>STOCKHOLMS LÄN</t>
        </is>
      </c>
      <c r="E388" t="inlineStr">
        <is>
          <t>NORRTÄLJE</t>
        </is>
      </c>
      <c r="F388" t="inlineStr">
        <is>
          <t>Holmen skog AB</t>
        </is>
      </c>
      <c r="G388" t="n">
        <v>1.5</v>
      </c>
      <c r="H388" t="n">
        <v>0</v>
      </c>
      <c r="I388" t="n">
        <v>0</v>
      </c>
      <c r="J388" t="n">
        <v>0</v>
      </c>
      <c r="K388" t="n">
        <v>0</v>
      </c>
      <c r="L388" t="n">
        <v>0</v>
      </c>
      <c r="M388" t="n">
        <v>0</v>
      </c>
      <c r="N388" t="n">
        <v>0</v>
      </c>
      <c r="O388" t="n">
        <v>0</v>
      </c>
      <c r="P388" t="n">
        <v>0</v>
      </c>
      <c r="Q388" t="n">
        <v>0</v>
      </c>
      <c r="R388" s="2" t="inlineStr"/>
    </row>
    <row r="389" ht="15" customHeight="1">
      <c r="A389" t="inlineStr">
        <is>
          <t>A 26644-2024</t>
        </is>
      </c>
      <c r="B389" s="1" t="n">
        <v>45469</v>
      </c>
      <c r="C389" s="1" t="n">
        <v>46012</v>
      </c>
      <c r="D389" t="inlineStr">
        <is>
          <t>STOCKHOLMS LÄN</t>
        </is>
      </c>
      <c r="E389" t="inlineStr">
        <is>
          <t>NORRTÄLJE</t>
        </is>
      </c>
      <c r="G389" t="n">
        <v>4.3</v>
      </c>
      <c r="H389" t="n">
        <v>0</v>
      </c>
      <c r="I389" t="n">
        <v>0</v>
      </c>
      <c r="J389" t="n">
        <v>0</v>
      </c>
      <c r="K389" t="n">
        <v>0</v>
      </c>
      <c r="L389" t="n">
        <v>0</v>
      </c>
      <c r="M389" t="n">
        <v>0</v>
      </c>
      <c r="N389" t="n">
        <v>0</v>
      </c>
      <c r="O389" t="n">
        <v>0</v>
      </c>
      <c r="P389" t="n">
        <v>0</v>
      </c>
      <c r="Q389" t="n">
        <v>0</v>
      </c>
      <c r="R389" s="2" t="inlineStr"/>
    </row>
    <row r="390" ht="15" customHeight="1">
      <c r="A390" t="inlineStr">
        <is>
          <t>A 26668-2024</t>
        </is>
      </c>
      <c r="B390" s="1" t="n">
        <v>45469</v>
      </c>
      <c r="C390" s="1" t="n">
        <v>46012</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28603-2024</t>
        </is>
      </c>
      <c r="B391" s="1" t="n">
        <v>45478.42887731481</v>
      </c>
      <c r="C391" s="1" t="n">
        <v>46012</v>
      </c>
      <c r="D391" t="inlineStr">
        <is>
          <t>STOCKHOLMS LÄN</t>
        </is>
      </c>
      <c r="E391" t="inlineStr">
        <is>
          <t>NORRTÄLJE</t>
        </is>
      </c>
      <c r="G391" t="n">
        <v>5.6</v>
      </c>
      <c r="H391" t="n">
        <v>0</v>
      </c>
      <c r="I391" t="n">
        <v>0</v>
      </c>
      <c r="J391" t="n">
        <v>0</v>
      </c>
      <c r="K391" t="n">
        <v>0</v>
      </c>
      <c r="L391" t="n">
        <v>0</v>
      </c>
      <c r="M391" t="n">
        <v>0</v>
      </c>
      <c r="N391" t="n">
        <v>0</v>
      </c>
      <c r="O391" t="n">
        <v>0</v>
      </c>
      <c r="P391" t="n">
        <v>0</v>
      </c>
      <c r="Q391" t="n">
        <v>0</v>
      </c>
      <c r="R391" s="2" t="inlineStr"/>
    </row>
    <row r="392" ht="15" customHeight="1">
      <c r="A392" t="inlineStr">
        <is>
          <t>A 25702-2025</t>
        </is>
      </c>
      <c r="B392" s="1" t="n">
        <v>45800</v>
      </c>
      <c r="C392" s="1" t="n">
        <v>46012</v>
      </c>
      <c r="D392" t="inlineStr">
        <is>
          <t>STOCKHOLMS LÄN</t>
        </is>
      </c>
      <c r="E392" t="inlineStr">
        <is>
          <t>NORRTÄLJE</t>
        </is>
      </c>
      <c r="G392" t="n">
        <v>5.3</v>
      </c>
      <c r="H392" t="n">
        <v>0</v>
      </c>
      <c r="I392" t="n">
        <v>0</v>
      </c>
      <c r="J392" t="n">
        <v>0</v>
      </c>
      <c r="K392" t="n">
        <v>0</v>
      </c>
      <c r="L392" t="n">
        <v>0</v>
      </c>
      <c r="M392" t="n">
        <v>0</v>
      </c>
      <c r="N392" t="n">
        <v>0</v>
      </c>
      <c r="O392" t="n">
        <v>0</v>
      </c>
      <c r="P392" t="n">
        <v>0</v>
      </c>
      <c r="Q392" t="n">
        <v>0</v>
      </c>
      <c r="R392" s="2" t="inlineStr"/>
    </row>
    <row r="393" ht="15" customHeight="1">
      <c r="A393" t="inlineStr">
        <is>
          <t>A 25721-2025</t>
        </is>
      </c>
      <c r="B393" s="1" t="n">
        <v>45800</v>
      </c>
      <c r="C393" s="1" t="n">
        <v>46012</v>
      </c>
      <c r="D393" t="inlineStr">
        <is>
          <t>STOCKHOLMS LÄN</t>
        </is>
      </c>
      <c r="E393" t="inlineStr">
        <is>
          <t>NORRTÄLJE</t>
        </is>
      </c>
      <c r="G393" t="n">
        <v>6</v>
      </c>
      <c r="H393" t="n">
        <v>0</v>
      </c>
      <c r="I393" t="n">
        <v>0</v>
      </c>
      <c r="J393" t="n">
        <v>0</v>
      </c>
      <c r="K393" t="n">
        <v>0</v>
      </c>
      <c r="L393" t="n">
        <v>0</v>
      </c>
      <c r="M393" t="n">
        <v>0</v>
      </c>
      <c r="N393" t="n">
        <v>0</v>
      </c>
      <c r="O393" t="n">
        <v>0</v>
      </c>
      <c r="P393" t="n">
        <v>0</v>
      </c>
      <c r="Q393" t="n">
        <v>0</v>
      </c>
      <c r="R393" s="2" t="inlineStr"/>
    </row>
    <row r="394" ht="15" customHeight="1">
      <c r="A394" t="inlineStr">
        <is>
          <t>A 39149-2025</t>
        </is>
      </c>
      <c r="B394" s="1" t="n">
        <v>45888.60714120371</v>
      </c>
      <c r="C394" s="1" t="n">
        <v>46012</v>
      </c>
      <c r="D394" t="inlineStr">
        <is>
          <t>STOCKHOLMS LÄN</t>
        </is>
      </c>
      <c r="E394" t="inlineStr">
        <is>
          <t>NORRTÄLJE</t>
        </is>
      </c>
      <c r="G394" t="n">
        <v>3.5</v>
      </c>
      <c r="H394" t="n">
        <v>0</v>
      </c>
      <c r="I394" t="n">
        <v>0</v>
      </c>
      <c r="J394" t="n">
        <v>0</v>
      </c>
      <c r="K394" t="n">
        <v>0</v>
      </c>
      <c r="L394" t="n">
        <v>0</v>
      </c>
      <c r="M394" t="n">
        <v>0</v>
      </c>
      <c r="N394" t="n">
        <v>0</v>
      </c>
      <c r="O394" t="n">
        <v>0</v>
      </c>
      <c r="P394" t="n">
        <v>0</v>
      </c>
      <c r="Q394" t="n">
        <v>0</v>
      </c>
      <c r="R394" s="2" t="inlineStr"/>
    </row>
    <row r="395" ht="15" customHeight="1">
      <c r="A395" t="inlineStr">
        <is>
          <t>A 38720-2025</t>
        </is>
      </c>
      <c r="B395" s="1" t="n">
        <v>45886</v>
      </c>
      <c r="C395" s="1" t="n">
        <v>46012</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37085-2021</t>
        </is>
      </c>
      <c r="B396" s="1" t="n">
        <v>44395</v>
      </c>
      <c r="C396" s="1" t="n">
        <v>46012</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25733-2025</t>
        </is>
      </c>
      <c r="B397" s="1" t="n">
        <v>45800</v>
      </c>
      <c r="C397" s="1" t="n">
        <v>46012</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25571-2025</t>
        </is>
      </c>
      <c r="B398" s="1" t="n">
        <v>45803.4675</v>
      </c>
      <c r="C398" s="1" t="n">
        <v>46012</v>
      </c>
      <c r="D398" t="inlineStr">
        <is>
          <t>STOCKHOLMS LÄN</t>
        </is>
      </c>
      <c r="E398" t="inlineStr">
        <is>
          <t>NORRTÄLJE</t>
        </is>
      </c>
      <c r="G398" t="n">
        <v>5.4</v>
      </c>
      <c r="H398" t="n">
        <v>0</v>
      </c>
      <c r="I398" t="n">
        <v>0</v>
      </c>
      <c r="J398" t="n">
        <v>0</v>
      </c>
      <c r="K398" t="n">
        <v>0</v>
      </c>
      <c r="L398" t="n">
        <v>0</v>
      </c>
      <c r="M398" t="n">
        <v>0</v>
      </c>
      <c r="N398" t="n">
        <v>0</v>
      </c>
      <c r="O398" t="n">
        <v>0</v>
      </c>
      <c r="P398" t="n">
        <v>0</v>
      </c>
      <c r="Q398" t="n">
        <v>0</v>
      </c>
      <c r="R398" s="2" t="inlineStr"/>
    </row>
    <row r="399" ht="15" customHeight="1">
      <c r="A399" t="inlineStr">
        <is>
          <t>A 39152-2025</t>
        </is>
      </c>
      <c r="B399" s="1" t="n">
        <v>45888</v>
      </c>
      <c r="C399" s="1" t="n">
        <v>46012</v>
      </c>
      <c r="D399" t="inlineStr">
        <is>
          <t>STOCKHOLMS LÄN</t>
        </is>
      </c>
      <c r="E399" t="inlineStr">
        <is>
          <t>NORRTÄLJE</t>
        </is>
      </c>
      <c r="G399" t="n">
        <v>4.6</v>
      </c>
      <c r="H399" t="n">
        <v>0</v>
      </c>
      <c r="I399" t="n">
        <v>0</v>
      </c>
      <c r="J399" t="n">
        <v>0</v>
      </c>
      <c r="K399" t="n">
        <v>0</v>
      </c>
      <c r="L399" t="n">
        <v>0</v>
      </c>
      <c r="M399" t="n">
        <v>0</v>
      </c>
      <c r="N399" t="n">
        <v>0</v>
      </c>
      <c r="O399" t="n">
        <v>0</v>
      </c>
      <c r="P399" t="n">
        <v>0</v>
      </c>
      <c r="Q399" t="n">
        <v>0</v>
      </c>
      <c r="R399" s="2" t="inlineStr"/>
    </row>
    <row r="400" ht="15" customHeight="1">
      <c r="A400" t="inlineStr">
        <is>
          <t>A 53561-2023</t>
        </is>
      </c>
      <c r="B400" s="1" t="n">
        <v>45224</v>
      </c>
      <c r="C400" s="1" t="n">
        <v>46012</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46988-2024</t>
        </is>
      </c>
      <c r="B401" s="1" t="n">
        <v>45586</v>
      </c>
      <c r="C401" s="1" t="n">
        <v>46012</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25712-2025</t>
        </is>
      </c>
      <c r="B402" s="1" t="n">
        <v>45803.69228009259</v>
      </c>
      <c r="C402" s="1" t="n">
        <v>46012</v>
      </c>
      <c r="D402" t="inlineStr">
        <is>
          <t>STOCKHOLMS LÄN</t>
        </is>
      </c>
      <c r="E402" t="inlineStr">
        <is>
          <t>NORRTÄLJE</t>
        </is>
      </c>
      <c r="G402" t="n">
        <v>0.6</v>
      </c>
      <c r="H402" t="n">
        <v>0</v>
      </c>
      <c r="I402" t="n">
        <v>0</v>
      </c>
      <c r="J402" t="n">
        <v>0</v>
      </c>
      <c r="K402" t="n">
        <v>0</v>
      </c>
      <c r="L402" t="n">
        <v>0</v>
      </c>
      <c r="M402" t="n">
        <v>0</v>
      </c>
      <c r="N402" t="n">
        <v>0</v>
      </c>
      <c r="O402" t="n">
        <v>0</v>
      </c>
      <c r="P402" t="n">
        <v>0</v>
      </c>
      <c r="Q402" t="n">
        <v>0</v>
      </c>
      <c r="R402" s="2" t="inlineStr"/>
    </row>
    <row r="403" ht="15" customHeight="1">
      <c r="A403" t="inlineStr">
        <is>
          <t>A 41218-2024</t>
        </is>
      </c>
      <c r="B403" s="1" t="n">
        <v>45559.54706018518</v>
      </c>
      <c r="C403" s="1" t="n">
        <v>46012</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26051-2025</t>
        </is>
      </c>
      <c r="B404" s="1" t="n">
        <v>45804.74479166666</v>
      </c>
      <c r="C404" s="1" t="n">
        <v>46012</v>
      </c>
      <c r="D404" t="inlineStr">
        <is>
          <t>STOCKHOLMS LÄN</t>
        </is>
      </c>
      <c r="E404" t="inlineStr">
        <is>
          <t>NORRTÄLJE</t>
        </is>
      </c>
      <c r="G404" t="n">
        <v>3.2</v>
      </c>
      <c r="H404" t="n">
        <v>0</v>
      </c>
      <c r="I404" t="n">
        <v>0</v>
      </c>
      <c r="J404" t="n">
        <v>0</v>
      </c>
      <c r="K404" t="n">
        <v>0</v>
      </c>
      <c r="L404" t="n">
        <v>0</v>
      </c>
      <c r="M404" t="n">
        <v>0</v>
      </c>
      <c r="N404" t="n">
        <v>0</v>
      </c>
      <c r="O404" t="n">
        <v>0</v>
      </c>
      <c r="P404" t="n">
        <v>0</v>
      </c>
      <c r="Q404" t="n">
        <v>0</v>
      </c>
      <c r="R404" s="2" t="inlineStr"/>
    </row>
    <row r="405" ht="15" customHeight="1">
      <c r="A405" t="inlineStr">
        <is>
          <t>A 71552-2021</t>
        </is>
      </c>
      <c r="B405" s="1" t="n">
        <v>44540</v>
      </c>
      <c r="C405" s="1" t="n">
        <v>46012</v>
      </c>
      <c r="D405" t="inlineStr">
        <is>
          <t>STOCKHOLMS LÄN</t>
        </is>
      </c>
      <c r="E405" t="inlineStr">
        <is>
          <t>NORRTÄLJE</t>
        </is>
      </c>
      <c r="G405" t="n">
        <v>1.1</v>
      </c>
      <c r="H405" t="n">
        <v>0</v>
      </c>
      <c r="I405" t="n">
        <v>0</v>
      </c>
      <c r="J405" t="n">
        <v>0</v>
      </c>
      <c r="K405" t="n">
        <v>0</v>
      </c>
      <c r="L405" t="n">
        <v>0</v>
      </c>
      <c r="M405" t="n">
        <v>0</v>
      </c>
      <c r="N405" t="n">
        <v>0</v>
      </c>
      <c r="O405" t="n">
        <v>0</v>
      </c>
      <c r="P405" t="n">
        <v>0</v>
      </c>
      <c r="Q405" t="n">
        <v>0</v>
      </c>
      <c r="R405" s="2" t="inlineStr"/>
    </row>
    <row r="406" ht="15" customHeight="1">
      <c r="A406" t="inlineStr">
        <is>
          <t>A 39238-2024</t>
        </is>
      </c>
      <c r="B406" s="1" t="n">
        <v>45549</v>
      </c>
      <c r="C406" s="1" t="n">
        <v>46012</v>
      </c>
      <c r="D406" t="inlineStr">
        <is>
          <t>STOCKHOLMS LÄN</t>
        </is>
      </c>
      <c r="E406" t="inlineStr">
        <is>
          <t>NORRTÄLJE</t>
        </is>
      </c>
      <c r="G406" t="n">
        <v>3.6</v>
      </c>
      <c r="H406" t="n">
        <v>0</v>
      </c>
      <c r="I406" t="n">
        <v>0</v>
      </c>
      <c r="J406" t="n">
        <v>0</v>
      </c>
      <c r="K406" t="n">
        <v>0</v>
      </c>
      <c r="L406" t="n">
        <v>0</v>
      </c>
      <c r="M406" t="n">
        <v>0</v>
      </c>
      <c r="N406" t="n">
        <v>0</v>
      </c>
      <c r="O406" t="n">
        <v>0</v>
      </c>
      <c r="P406" t="n">
        <v>0</v>
      </c>
      <c r="Q406" t="n">
        <v>0</v>
      </c>
      <c r="R406" s="2" t="inlineStr"/>
    </row>
    <row r="407" ht="15" customHeight="1">
      <c r="A407" t="inlineStr">
        <is>
          <t>A 38449-2022</t>
        </is>
      </c>
      <c r="B407" s="1" t="n">
        <v>44813</v>
      </c>
      <c r="C407" s="1" t="n">
        <v>46012</v>
      </c>
      <c r="D407" t="inlineStr">
        <is>
          <t>STOCKHOLMS LÄN</t>
        </is>
      </c>
      <c r="E407" t="inlineStr">
        <is>
          <t>NORRTÄLJE</t>
        </is>
      </c>
      <c r="G407" t="n">
        <v>4.2</v>
      </c>
      <c r="H407" t="n">
        <v>0</v>
      </c>
      <c r="I407" t="n">
        <v>0</v>
      </c>
      <c r="J407" t="n">
        <v>0</v>
      </c>
      <c r="K407" t="n">
        <v>0</v>
      </c>
      <c r="L407" t="n">
        <v>0</v>
      </c>
      <c r="M407" t="n">
        <v>0</v>
      </c>
      <c r="N407" t="n">
        <v>0</v>
      </c>
      <c r="O407" t="n">
        <v>0</v>
      </c>
      <c r="P407" t="n">
        <v>0</v>
      </c>
      <c r="Q407" t="n">
        <v>0</v>
      </c>
      <c r="R407" s="2" t="inlineStr"/>
    </row>
    <row r="408" ht="15" customHeight="1">
      <c r="A408" t="inlineStr">
        <is>
          <t>A 25697-2025</t>
        </is>
      </c>
      <c r="B408" s="1" t="n">
        <v>45803.66587962963</v>
      </c>
      <c r="C408" s="1" t="n">
        <v>46012</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17382-2024</t>
        </is>
      </c>
      <c r="B409" s="1" t="n">
        <v>45414.65855324074</v>
      </c>
      <c r="C409" s="1" t="n">
        <v>46012</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25557-2023</t>
        </is>
      </c>
      <c r="B410" s="1" t="n">
        <v>45089</v>
      </c>
      <c r="C410" s="1" t="n">
        <v>46012</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47259-2024</t>
        </is>
      </c>
      <c r="B411" s="1" t="n">
        <v>45586</v>
      </c>
      <c r="C411" s="1" t="n">
        <v>46012</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9914-2023</t>
        </is>
      </c>
      <c r="B412" s="1" t="n">
        <v>44985</v>
      </c>
      <c r="C412" s="1" t="n">
        <v>46012</v>
      </c>
      <c r="D412" t="inlineStr">
        <is>
          <t>STOCKHOLMS LÄN</t>
        </is>
      </c>
      <c r="E412" t="inlineStr">
        <is>
          <t>NORRTÄLJE</t>
        </is>
      </c>
      <c r="G412" t="n">
        <v>4.2</v>
      </c>
      <c r="H412" t="n">
        <v>0</v>
      </c>
      <c r="I412" t="n">
        <v>0</v>
      </c>
      <c r="J412" t="n">
        <v>0</v>
      </c>
      <c r="K412" t="n">
        <v>0</v>
      </c>
      <c r="L412" t="n">
        <v>0</v>
      </c>
      <c r="M412" t="n">
        <v>0</v>
      </c>
      <c r="N412" t="n">
        <v>0</v>
      </c>
      <c r="O412" t="n">
        <v>0</v>
      </c>
      <c r="P412" t="n">
        <v>0</v>
      </c>
      <c r="Q412" t="n">
        <v>0</v>
      </c>
      <c r="R412" s="2" t="inlineStr"/>
    </row>
    <row r="413" ht="15" customHeight="1">
      <c r="A413" t="inlineStr">
        <is>
          <t>A 60525-2022</t>
        </is>
      </c>
      <c r="B413" s="1" t="n">
        <v>44904</v>
      </c>
      <c r="C413" s="1" t="n">
        <v>46012</v>
      </c>
      <c r="D413" t="inlineStr">
        <is>
          <t>STOCKHOLMS LÄN</t>
        </is>
      </c>
      <c r="E413" t="inlineStr">
        <is>
          <t>NORRTÄLJE</t>
        </is>
      </c>
      <c r="G413" t="n">
        <v>13.4</v>
      </c>
      <c r="H413" t="n">
        <v>0</v>
      </c>
      <c r="I413" t="n">
        <v>0</v>
      </c>
      <c r="J413" t="n">
        <v>0</v>
      </c>
      <c r="K413" t="n">
        <v>0</v>
      </c>
      <c r="L413" t="n">
        <v>0</v>
      </c>
      <c r="M413" t="n">
        <v>0</v>
      </c>
      <c r="N413" t="n">
        <v>0</v>
      </c>
      <c r="O413" t="n">
        <v>0</v>
      </c>
      <c r="P413" t="n">
        <v>0</v>
      </c>
      <c r="Q413" t="n">
        <v>0</v>
      </c>
      <c r="R413" s="2" t="inlineStr"/>
    </row>
    <row r="414" ht="15" customHeight="1">
      <c r="A414" t="inlineStr">
        <is>
          <t>A 34478-2025</t>
        </is>
      </c>
      <c r="B414" s="1" t="n">
        <v>45847.37414351852</v>
      </c>
      <c r="C414" s="1" t="n">
        <v>46012</v>
      </c>
      <c r="D414" t="inlineStr">
        <is>
          <t>STOCKHOLMS LÄN</t>
        </is>
      </c>
      <c r="E414" t="inlineStr">
        <is>
          <t>NORRTÄLJE</t>
        </is>
      </c>
      <c r="F414" t="inlineStr">
        <is>
          <t>Övriga Aktiebolag</t>
        </is>
      </c>
      <c r="G414" t="n">
        <v>10.8</v>
      </c>
      <c r="H414" t="n">
        <v>0</v>
      </c>
      <c r="I414" t="n">
        <v>0</v>
      </c>
      <c r="J414" t="n">
        <v>0</v>
      </c>
      <c r="K414" t="n">
        <v>0</v>
      </c>
      <c r="L414" t="n">
        <v>0</v>
      </c>
      <c r="M414" t="n">
        <v>0</v>
      </c>
      <c r="N414" t="n">
        <v>0</v>
      </c>
      <c r="O414" t="n">
        <v>0</v>
      </c>
      <c r="P414" t="n">
        <v>0</v>
      </c>
      <c r="Q414" t="n">
        <v>0</v>
      </c>
      <c r="R414" s="2" t="inlineStr"/>
    </row>
    <row r="415" ht="15" customHeight="1">
      <c r="A415" t="inlineStr">
        <is>
          <t>A 39692-2025</t>
        </is>
      </c>
      <c r="B415" s="1" t="n">
        <v>45890.68083333333</v>
      </c>
      <c r="C415" s="1" t="n">
        <v>46012</v>
      </c>
      <c r="D415" t="inlineStr">
        <is>
          <t>STOCKHOLMS LÄN</t>
        </is>
      </c>
      <c r="E415" t="inlineStr">
        <is>
          <t>NORRTÄLJE</t>
        </is>
      </c>
      <c r="G415" t="n">
        <v>10.5</v>
      </c>
      <c r="H415" t="n">
        <v>0</v>
      </c>
      <c r="I415" t="n">
        <v>0</v>
      </c>
      <c r="J415" t="n">
        <v>0</v>
      </c>
      <c r="K415" t="n">
        <v>0</v>
      </c>
      <c r="L415" t="n">
        <v>0</v>
      </c>
      <c r="M415" t="n">
        <v>0</v>
      </c>
      <c r="N415" t="n">
        <v>0</v>
      </c>
      <c r="O415" t="n">
        <v>0</v>
      </c>
      <c r="P415" t="n">
        <v>0</v>
      </c>
      <c r="Q415" t="n">
        <v>0</v>
      </c>
      <c r="R415" s="2" t="inlineStr"/>
    </row>
    <row r="416" ht="15" customHeight="1">
      <c r="A416" t="inlineStr">
        <is>
          <t>A 58302-2022</t>
        </is>
      </c>
      <c r="B416" s="1" t="n">
        <v>44901</v>
      </c>
      <c r="C416" s="1" t="n">
        <v>46012</v>
      </c>
      <c r="D416" t="inlineStr">
        <is>
          <t>STOCKHOLMS LÄN</t>
        </is>
      </c>
      <c r="E416" t="inlineStr">
        <is>
          <t>NORRTÄLJE</t>
        </is>
      </c>
      <c r="G416" t="n">
        <v>3.9</v>
      </c>
      <c r="H416" t="n">
        <v>0</v>
      </c>
      <c r="I416" t="n">
        <v>0</v>
      </c>
      <c r="J416" t="n">
        <v>0</v>
      </c>
      <c r="K416" t="n">
        <v>0</v>
      </c>
      <c r="L416" t="n">
        <v>0</v>
      </c>
      <c r="M416" t="n">
        <v>0</v>
      </c>
      <c r="N416" t="n">
        <v>0</v>
      </c>
      <c r="O416" t="n">
        <v>0</v>
      </c>
      <c r="P416" t="n">
        <v>0</v>
      </c>
      <c r="Q416" t="n">
        <v>0</v>
      </c>
      <c r="R416" s="2" t="inlineStr"/>
    </row>
    <row r="417" ht="15" customHeight="1">
      <c r="A417" t="inlineStr">
        <is>
          <t>A 27677-2025</t>
        </is>
      </c>
      <c r="B417" s="1" t="n">
        <v>45813.63650462963</v>
      </c>
      <c r="C417" s="1" t="n">
        <v>46012</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26675-2025</t>
        </is>
      </c>
      <c r="B418" s="1" t="n">
        <v>45810.42393518519</v>
      </c>
      <c r="C418" s="1" t="n">
        <v>46012</v>
      </c>
      <c r="D418" t="inlineStr">
        <is>
          <t>STOCKHOLMS LÄN</t>
        </is>
      </c>
      <c r="E418" t="inlineStr">
        <is>
          <t>NORRTÄLJE</t>
        </is>
      </c>
      <c r="G418" t="n">
        <v>2.7</v>
      </c>
      <c r="H418" t="n">
        <v>0</v>
      </c>
      <c r="I418" t="n">
        <v>0</v>
      </c>
      <c r="J418" t="n">
        <v>0</v>
      </c>
      <c r="K418" t="n">
        <v>0</v>
      </c>
      <c r="L418" t="n">
        <v>0</v>
      </c>
      <c r="M418" t="n">
        <v>0</v>
      </c>
      <c r="N418" t="n">
        <v>0</v>
      </c>
      <c r="O418" t="n">
        <v>0</v>
      </c>
      <c r="P418" t="n">
        <v>0</v>
      </c>
      <c r="Q418" t="n">
        <v>0</v>
      </c>
      <c r="R418" s="2" t="inlineStr"/>
    </row>
    <row r="419" ht="15" customHeight="1">
      <c r="A419" t="inlineStr">
        <is>
          <t>A 23269-2023</t>
        </is>
      </c>
      <c r="B419" s="1" t="n">
        <v>45075.91148148148</v>
      </c>
      <c r="C419" s="1" t="n">
        <v>46012</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23061-2025</t>
        </is>
      </c>
      <c r="B420" s="1" t="n">
        <v>45790.81410879629</v>
      </c>
      <c r="C420" s="1" t="n">
        <v>46012</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40230-2025</t>
        </is>
      </c>
      <c r="B421" s="1" t="n">
        <v>45894.71101851852</v>
      </c>
      <c r="C421" s="1" t="n">
        <v>46012</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23060-2023</t>
        </is>
      </c>
      <c r="B422" s="1" t="n">
        <v>45075</v>
      </c>
      <c r="C422" s="1" t="n">
        <v>46012</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26747-2025</t>
        </is>
      </c>
      <c r="B423" s="1" t="n">
        <v>45810.5333912037</v>
      </c>
      <c r="C423" s="1" t="n">
        <v>46012</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40228-2025</t>
        </is>
      </c>
      <c r="B424" s="1" t="n">
        <v>45894.70854166667</v>
      </c>
      <c r="C424" s="1" t="n">
        <v>46012</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35636-2025</t>
        </is>
      </c>
      <c r="B425" s="1" t="n">
        <v>45859</v>
      </c>
      <c r="C425" s="1" t="n">
        <v>46012</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40172-2025</t>
        </is>
      </c>
      <c r="B426" s="1" t="n">
        <v>45894.6353125</v>
      </c>
      <c r="C426" s="1" t="n">
        <v>46012</v>
      </c>
      <c r="D426" t="inlineStr">
        <is>
          <t>STOCKHOLMS LÄN</t>
        </is>
      </c>
      <c r="E426" t="inlineStr">
        <is>
          <t>NORRTÄLJE</t>
        </is>
      </c>
      <c r="G426" t="n">
        <v>6</v>
      </c>
      <c r="H426" t="n">
        <v>0</v>
      </c>
      <c r="I426" t="n">
        <v>0</v>
      </c>
      <c r="J426" t="n">
        <v>0</v>
      </c>
      <c r="K426" t="n">
        <v>0</v>
      </c>
      <c r="L426" t="n">
        <v>0</v>
      </c>
      <c r="M426" t="n">
        <v>0</v>
      </c>
      <c r="N426" t="n">
        <v>0</v>
      </c>
      <c r="O426" t="n">
        <v>0</v>
      </c>
      <c r="P426" t="n">
        <v>0</v>
      </c>
      <c r="Q426" t="n">
        <v>0</v>
      </c>
      <c r="R426" s="2" t="inlineStr"/>
    </row>
    <row r="427" ht="15" customHeight="1">
      <c r="A427" t="inlineStr">
        <is>
          <t>A 40033-2025</t>
        </is>
      </c>
      <c r="B427" s="1" t="n">
        <v>45893</v>
      </c>
      <c r="C427" s="1" t="n">
        <v>46012</v>
      </c>
      <c r="D427" t="inlineStr">
        <is>
          <t>STOCKHOLMS LÄN</t>
        </is>
      </c>
      <c r="E427" t="inlineStr">
        <is>
          <t>NORRTÄLJE</t>
        </is>
      </c>
      <c r="G427" t="n">
        <v>1.7</v>
      </c>
      <c r="H427" t="n">
        <v>0</v>
      </c>
      <c r="I427" t="n">
        <v>0</v>
      </c>
      <c r="J427" t="n">
        <v>0</v>
      </c>
      <c r="K427" t="n">
        <v>0</v>
      </c>
      <c r="L427" t="n">
        <v>0</v>
      </c>
      <c r="M427" t="n">
        <v>0</v>
      </c>
      <c r="N427" t="n">
        <v>0</v>
      </c>
      <c r="O427" t="n">
        <v>0</v>
      </c>
      <c r="P427" t="n">
        <v>0</v>
      </c>
      <c r="Q427" t="n">
        <v>0</v>
      </c>
      <c r="R427" s="2" t="inlineStr"/>
    </row>
    <row r="428" ht="15" customHeight="1">
      <c r="A428" t="inlineStr">
        <is>
          <t>A 26702-2025</t>
        </is>
      </c>
      <c r="B428" s="1" t="n">
        <v>45810.45236111111</v>
      </c>
      <c r="C428" s="1" t="n">
        <v>46012</v>
      </c>
      <c r="D428" t="inlineStr">
        <is>
          <t>STOCKHOLMS LÄN</t>
        </is>
      </c>
      <c r="E428" t="inlineStr">
        <is>
          <t>NORRTÄLJE</t>
        </is>
      </c>
      <c r="G428" t="n">
        <v>7.3</v>
      </c>
      <c r="H428" t="n">
        <v>0</v>
      </c>
      <c r="I428" t="n">
        <v>0</v>
      </c>
      <c r="J428" t="n">
        <v>0</v>
      </c>
      <c r="K428" t="n">
        <v>0</v>
      </c>
      <c r="L428" t="n">
        <v>0</v>
      </c>
      <c r="M428" t="n">
        <v>0</v>
      </c>
      <c r="N428" t="n">
        <v>0</v>
      </c>
      <c r="O428" t="n">
        <v>0</v>
      </c>
      <c r="P428" t="n">
        <v>0</v>
      </c>
      <c r="Q428" t="n">
        <v>0</v>
      </c>
      <c r="R428" s="2" t="inlineStr"/>
    </row>
    <row r="429" ht="15" customHeight="1">
      <c r="A429" t="inlineStr">
        <is>
          <t>A 40217-2025</t>
        </is>
      </c>
      <c r="B429" s="1" t="n">
        <v>45894.68864583333</v>
      </c>
      <c r="C429" s="1" t="n">
        <v>46012</v>
      </c>
      <c r="D429" t="inlineStr">
        <is>
          <t>STOCKHOLMS LÄN</t>
        </is>
      </c>
      <c r="E429" t="inlineStr">
        <is>
          <t>NORRTÄLJE</t>
        </is>
      </c>
      <c r="G429" t="n">
        <v>0.8</v>
      </c>
      <c r="H429" t="n">
        <v>0</v>
      </c>
      <c r="I429" t="n">
        <v>0</v>
      </c>
      <c r="J429" t="n">
        <v>0</v>
      </c>
      <c r="K429" t="n">
        <v>0</v>
      </c>
      <c r="L429" t="n">
        <v>0</v>
      </c>
      <c r="M429" t="n">
        <v>0</v>
      </c>
      <c r="N429" t="n">
        <v>0</v>
      </c>
      <c r="O429" t="n">
        <v>0</v>
      </c>
      <c r="P429" t="n">
        <v>0</v>
      </c>
      <c r="Q429" t="n">
        <v>0</v>
      </c>
      <c r="R429" s="2" t="inlineStr"/>
    </row>
    <row r="430" ht="15" customHeight="1">
      <c r="A430" t="inlineStr">
        <is>
          <t>A 35639-2025</t>
        </is>
      </c>
      <c r="B430" s="1" t="n">
        <v>45859</v>
      </c>
      <c r="C430" s="1" t="n">
        <v>46012</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52743-2024</t>
        </is>
      </c>
      <c r="B431" s="1" t="n">
        <v>45610.47414351852</v>
      </c>
      <c r="C431" s="1" t="n">
        <v>46012</v>
      </c>
      <c r="D431" t="inlineStr">
        <is>
          <t>STOCKHOLMS LÄN</t>
        </is>
      </c>
      <c r="E431" t="inlineStr">
        <is>
          <t>NORRTÄLJE</t>
        </is>
      </c>
      <c r="G431" t="n">
        <v>1.5</v>
      </c>
      <c r="H431" t="n">
        <v>0</v>
      </c>
      <c r="I431" t="n">
        <v>0</v>
      </c>
      <c r="J431" t="n">
        <v>0</v>
      </c>
      <c r="K431" t="n">
        <v>0</v>
      </c>
      <c r="L431" t="n">
        <v>0</v>
      </c>
      <c r="M431" t="n">
        <v>0</v>
      </c>
      <c r="N431" t="n">
        <v>0</v>
      </c>
      <c r="O431" t="n">
        <v>0</v>
      </c>
      <c r="P431" t="n">
        <v>0</v>
      </c>
      <c r="Q431" t="n">
        <v>0</v>
      </c>
      <c r="R431" s="2" t="inlineStr"/>
    </row>
    <row r="432" ht="15" customHeight="1">
      <c r="A432" t="inlineStr">
        <is>
          <t>A 40032-2025</t>
        </is>
      </c>
      <c r="B432" s="1" t="n">
        <v>45893</v>
      </c>
      <c r="C432" s="1" t="n">
        <v>46012</v>
      </c>
      <c r="D432" t="inlineStr">
        <is>
          <t>STOCKHOLMS LÄN</t>
        </is>
      </c>
      <c r="E432" t="inlineStr">
        <is>
          <t>NORRTÄLJE</t>
        </is>
      </c>
      <c r="G432" t="n">
        <v>2.6</v>
      </c>
      <c r="H432" t="n">
        <v>0</v>
      </c>
      <c r="I432" t="n">
        <v>0</v>
      </c>
      <c r="J432" t="n">
        <v>0</v>
      </c>
      <c r="K432" t="n">
        <v>0</v>
      </c>
      <c r="L432" t="n">
        <v>0</v>
      </c>
      <c r="M432" t="n">
        <v>0</v>
      </c>
      <c r="N432" t="n">
        <v>0</v>
      </c>
      <c r="O432" t="n">
        <v>0</v>
      </c>
      <c r="P432" t="n">
        <v>0</v>
      </c>
      <c r="Q432" t="n">
        <v>0</v>
      </c>
      <c r="R432" s="2" t="inlineStr"/>
    </row>
    <row r="433" ht="15" customHeight="1">
      <c r="A433" t="inlineStr">
        <is>
          <t>A 40097-2025</t>
        </is>
      </c>
      <c r="B433" s="1" t="n">
        <v>45894.48322916667</v>
      </c>
      <c r="C433" s="1" t="n">
        <v>46012</v>
      </c>
      <c r="D433" t="inlineStr">
        <is>
          <t>STOCKHOLMS LÄN</t>
        </is>
      </c>
      <c r="E433" t="inlineStr">
        <is>
          <t>NORRTÄLJE</t>
        </is>
      </c>
      <c r="G433" t="n">
        <v>3</v>
      </c>
      <c r="H433" t="n">
        <v>0</v>
      </c>
      <c r="I433" t="n">
        <v>0</v>
      </c>
      <c r="J433" t="n">
        <v>0</v>
      </c>
      <c r="K433" t="n">
        <v>0</v>
      </c>
      <c r="L433" t="n">
        <v>0</v>
      </c>
      <c r="M433" t="n">
        <v>0</v>
      </c>
      <c r="N433" t="n">
        <v>0</v>
      </c>
      <c r="O433" t="n">
        <v>0</v>
      </c>
      <c r="P433" t="n">
        <v>0</v>
      </c>
      <c r="Q433" t="n">
        <v>0</v>
      </c>
      <c r="R433" s="2" t="inlineStr"/>
    </row>
    <row r="434" ht="15" customHeight="1">
      <c r="A434" t="inlineStr">
        <is>
          <t>A 26708-2025</t>
        </is>
      </c>
      <c r="B434" s="1" t="n">
        <v>45810.45633101852</v>
      </c>
      <c r="C434" s="1" t="n">
        <v>46012</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11499-2023</t>
        </is>
      </c>
      <c r="B435" s="1" t="n">
        <v>44993.66707175926</v>
      </c>
      <c r="C435" s="1" t="n">
        <v>46012</v>
      </c>
      <c r="D435" t="inlineStr">
        <is>
          <t>STOCKHOLMS LÄN</t>
        </is>
      </c>
      <c r="E435" t="inlineStr">
        <is>
          <t>NORRTÄLJE</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27040-2025</t>
        </is>
      </c>
      <c r="B436" s="1" t="n">
        <v>45811.60451388889</v>
      </c>
      <c r="C436" s="1" t="n">
        <v>46012</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64600-2021</t>
        </is>
      </c>
      <c r="B437" s="1" t="n">
        <v>44511.70518518519</v>
      </c>
      <c r="C437" s="1" t="n">
        <v>46012</v>
      </c>
      <c r="D437" t="inlineStr">
        <is>
          <t>STOCKHOLMS LÄN</t>
        </is>
      </c>
      <c r="E437" t="inlineStr">
        <is>
          <t>NORRTÄLJE</t>
        </is>
      </c>
      <c r="G437" t="n">
        <v>6.2</v>
      </c>
      <c r="H437" t="n">
        <v>0</v>
      </c>
      <c r="I437" t="n">
        <v>0</v>
      </c>
      <c r="J437" t="n">
        <v>0</v>
      </c>
      <c r="K437" t="n">
        <v>0</v>
      </c>
      <c r="L437" t="n">
        <v>0</v>
      </c>
      <c r="M437" t="n">
        <v>0</v>
      </c>
      <c r="N437" t="n">
        <v>0</v>
      </c>
      <c r="O437" t="n">
        <v>0</v>
      </c>
      <c r="P437" t="n">
        <v>0</v>
      </c>
      <c r="Q437" t="n">
        <v>0</v>
      </c>
      <c r="R437" s="2" t="inlineStr"/>
    </row>
    <row r="438" ht="15" customHeight="1">
      <c r="A438" t="inlineStr">
        <is>
          <t>A 35640-2024</t>
        </is>
      </c>
      <c r="B438" s="1" t="n">
        <v>45531</v>
      </c>
      <c r="C438" s="1" t="n">
        <v>46012</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40529-2025</t>
        </is>
      </c>
      <c r="B439" s="1" t="n">
        <v>45896.38466435186</v>
      </c>
      <c r="C439" s="1" t="n">
        <v>46012</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8586-2023</t>
        </is>
      </c>
      <c r="B440" s="1" t="n">
        <v>44977</v>
      </c>
      <c r="C440" s="1" t="n">
        <v>46012</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40292-2025</t>
        </is>
      </c>
      <c r="B441" s="1" t="n">
        <v>45895.3867824074</v>
      </c>
      <c r="C441" s="1" t="n">
        <v>46012</v>
      </c>
      <c r="D441" t="inlineStr">
        <is>
          <t>STOCKHOLMS LÄN</t>
        </is>
      </c>
      <c r="E441" t="inlineStr">
        <is>
          <t>NORRTÄLJE</t>
        </is>
      </c>
      <c r="G441" t="n">
        <v>3.5</v>
      </c>
      <c r="H441" t="n">
        <v>0</v>
      </c>
      <c r="I441" t="n">
        <v>0</v>
      </c>
      <c r="J441" t="n">
        <v>0</v>
      </c>
      <c r="K441" t="n">
        <v>0</v>
      </c>
      <c r="L441" t="n">
        <v>0</v>
      </c>
      <c r="M441" t="n">
        <v>0</v>
      </c>
      <c r="N441" t="n">
        <v>0</v>
      </c>
      <c r="O441" t="n">
        <v>0</v>
      </c>
      <c r="P441" t="n">
        <v>0</v>
      </c>
      <c r="Q441" t="n">
        <v>0</v>
      </c>
      <c r="R441" s="2" t="inlineStr"/>
    </row>
    <row r="442" ht="15" customHeight="1">
      <c r="A442" t="inlineStr">
        <is>
          <t>A 67990-2021</t>
        </is>
      </c>
      <c r="B442" s="1" t="n">
        <v>44525</v>
      </c>
      <c r="C442" s="1" t="n">
        <v>46012</v>
      </c>
      <c r="D442" t="inlineStr">
        <is>
          <t>STOCKHOLMS LÄN</t>
        </is>
      </c>
      <c r="E442" t="inlineStr">
        <is>
          <t>NORRTÄLJE</t>
        </is>
      </c>
      <c r="F442" t="inlineStr">
        <is>
          <t>Sveaskog</t>
        </is>
      </c>
      <c r="G442" t="n">
        <v>7.8</v>
      </c>
      <c r="H442" t="n">
        <v>0</v>
      </c>
      <c r="I442" t="n">
        <v>0</v>
      </c>
      <c r="J442" t="n">
        <v>0</v>
      </c>
      <c r="K442" t="n">
        <v>0</v>
      </c>
      <c r="L442" t="n">
        <v>0</v>
      </c>
      <c r="M442" t="n">
        <v>0</v>
      </c>
      <c r="N442" t="n">
        <v>0</v>
      </c>
      <c r="O442" t="n">
        <v>0</v>
      </c>
      <c r="P442" t="n">
        <v>0</v>
      </c>
      <c r="Q442" t="n">
        <v>0</v>
      </c>
      <c r="R442" s="2" t="inlineStr"/>
    </row>
    <row r="443" ht="15" customHeight="1">
      <c r="A443" t="inlineStr">
        <is>
          <t>A 40294-2025</t>
        </is>
      </c>
      <c r="B443" s="1" t="n">
        <v>45895.38778935185</v>
      </c>
      <c r="C443" s="1" t="n">
        <v>46012</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41275-2025</t>
        </is>
      </c>
      <c r="B444" s="1" t="n">
        <v>45898.62625</v>
      </c>
      <c r="C444" s="1" t="n">
        <v>46012</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40837-2025</t>
        </is>
      </c>
      <c r="B445" s="1" t="n">
        <v>45897.51328703704</v>
      </c>
      <c r="C445" s="1" t="n">
        <v>46012</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41030-2025</t>
        </is>
      </c>
      <c r="B446" s="1" t="n">
        <v>45898.37636574074</v>
      </c>
      <c r="C446" s="1" t="n">
        <v>46012</v>
      </c>
      <c r="D446" t="inlineStr">
        <is>
          <t>STOCKHOLMS LÄN</t>
        </is>
      </c>
      <c r="E446" t="inlineStr">
        <is>
          <t>NORRTÄLJE</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41158-2025</t>
        </is>
      </c>
      <c r="B447" s="1" t="n">
        <v>45898.5315625</v>
      </c>
      <c r="C447" s="1" t="n">
        <v>46012</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41301-2025</t>
        </is>
      </c>
      <c r="B448" s="1" t="n">
        <v>45898.68826388889</v>
      </c>
      <c r="C448" s="1" t="n">
        <v>46012</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41106-2025</t>
        </is>
      </c>
      <c r="B449" s="1" t="n">
        <v>45898.45636574074</v>
      </c>
      <c r="C449" s="1" t="n">
        <v>46012</v>
      </c>
      <c r="D449" t="inlineStr">
        <is>
          <t>STOCKHOLMS LÄN</t>
        </is>
      </c>
      <c r="E449" t="inlineStr">
        <is>
          <t>NORRTÄLJE</t>
        </is>
      </c>
      <c r="G449" t="n">
        <v>2.6</v>
      </c>
      <c r="H449" t="n">
        <v>0</v>
      </c>
      <c r="I449" t="n">
        <v>0</v>
      </c>
      <c r="J449" t="n">
        <v>0</v>
      </c>
      <c r="K449" t="n">
        <v>0</v>
      </c>
      <c r="L449" t="n">
        <v>0</v>
      </c>
      <c r="M449" t="n">
        <v>0</v>
      </c>
      <c r="N449" t="n">
        <v>0</v>
      </c>
      <c r="O449" t="n">
        <v>0</v>
      </c>
      <c r="P449" t="n">
        <v>0</v>
      </c>
      <c r="Q449" t="n">
        <v>0</v>
      </c>
      <c r="R449" s="2" t="inlineStr"/>
    </row>
    <row r="450" ht="15" customHeight="1">
      <c r="A450" t="inlineStr">
        <is>
          <t>A 41174-2025</t>
        </is>
      </c>
      <c r="B450" s="1" t="n">
        <v>45898.54921296296</v>
      </c>
      <c r="C450" s="1" t="n">
        <v>46012</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21696-2024</t>
        </is>
      </c>
      <c r="B451" s="1" t="n">
        <v>45442.45686342593</v>
      </c>
      <c r="C451" s="1" t="n">
        <v>46012</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37136-2023</t>
        </is>
      </c>
      <c r="B452" s="1" t="n">
        <v>45155</v>
      </c>
      <c r="C452" s="1" t="n">
        <v>46012</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27697-2025</t>
        </is>
      </c>
      <c r="B453" s="1" t="n">
        <v>45813.66961805556</v>
      </c>
      <c r="C453" s="1" t="n">
        <v>46012</v>
      </c>
      <c r="D453" t="inlineStr">
        <is>
          <t>STOCKHOLMS LÄN</t>
        </is>
      </c>
      <c r="E453" t="inlineStr">
        <is>
          <t>NORRTÄLJE</t>
        </is>
      </c>
      <c r="G453" t="n">
        <v>6.2</v>
      </c>
      <c r="H453" t="n">
        <v>0</v>
      </c>
      <c r="I453" t="n">
        <v>0</v>
      </c>
      <c r="J453" t="n">
        <v>0</v>
      </c>
      <c r="K453" t="n">
        <v>0</v>
      </c>
      <c r="L453" t="n">
        <v>0</v>
      </c>
      <c r="M453" t="n">
        <v>0</v>
      </c>
      <c r="N453" t="n">
        <v>0</v>
      </c>
      <c r="O453" t="n">
        <v>0</v>
      </c>
      <c r="P453" t="n">
        <v>0</v>
      </c>
      <c r="Q453" t="n">
        <v>0</v>
      </c>
      <c r="R453" s="2" t="inlineStr"/>
    </row>
    <row r="454" ht="15" customHeight="1">
      <c r="A454" t="inlineStr">
        <is>
          <t>A 41110-2025</t>
        </is>
      </c>
      <c r="B454" s="1" t="n">
        <v>45898.45976851852</v>
      </c>
      <c r="C454" s="1" t="n">
        <v>46012</v>
      </c>
      <c r="D454" t="inlineStr">
        <is>
          <t>STOCKHOLMS LÄN</t>
        </is>
      </c>
      <c r="E454" t="inlineStr">
        <is>
          <t>NORRTÄLJE</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27700-2025</t>
        </is>
      </c>
      <c r="B455" s="1" t="n">
        <v>45813.6799537037</v>
      </c>
      <c r="C455" s="1" t="n">
        <v>46012</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41259-2025</t>
        </is>
      </c>
      <c r="B456" s="1" t="n">
        <v>45898.61054398148</v>
      </c>
      <c r="C456" s="1" t="n">
        <v>46012</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27554-2025</t>
        </is>
      </c>
      <c r="B457" s="1" t="n">
        <v>45813.4709375</v>
      </c>
      <c r="C457" s="1" t="n">
        <v>46012</v>
      </c>
      <c r="D457" t="inlineStr">
        <is>
          <t>STOCKHOLMS LÄN</t>
        </is>
      </c>
      <c r="E457" t="inlineStr">
        <is>
          <t>NORRTÄLJE</t>
        </is>
      </c>
      <c r="F457" t="inlineStr">
        <is>
          <t>Övriga Aktiebolag</t>
        </is>
      </c>
      <c r="G457" t="n">
        <v>2.5</v>
      </c>
      <c r="H457" t="n">
        <v>0</v>
      </c>
      <c r="I457" t="n">
        <v>0</v>
      </c>
      <c r="J457" t="n">
        <v>0</v>
      </c>
      <c r="K457" t="n">
        <v>0</v>
      </c>
      <c r="L457" t="n">
        <v>0</v>
      </c>
      <c r="M457" t="n">
        <v>0</v>
      </c>
      <c r="N457" t="n">
        <v>0</v>
      </c>
      <c r="O457" t="n">
        <v>0</v>
      </c>
      <c r="P457" t="n">
        <v>0</v>
      </c>
      <c r="Q457" t="n">
        <v>0</v>
      </c>
      <c r="R457" s="2" t="inlineStr"/>
    </row>
    <row r="458" ht="15" customHeight="1">
      <c r="A458" t="inlineStr">
        <is>
          <t>A 41053-2025</t>
        </is>
      </c>
      <c r="B458" s="1" t="n">
        <v>45898.40480324074</v>
      </c>
      <c r="C458" s="1" t="n">
        <v>46012</v>
      </c>
      <c r="D458" t="inlineStr">
        <is>
          <t>STOCKHOLMS LÄN</t>
        </is>
      </c>
      <c r="E458" t="inlineStr">
        <is>
          <t>NORRTÄLJE</t>
        </is>
      </c>
      <c r="F458" t="inlineStr">
        <is>
          <t>Holmen skog AB</t>
        </is>
      </c>
      <c r="G458" t="n">
        <v>2.5</v>
      </c>
      <c r="H458" t="n">
        <v>0</v>
      </c>
      <c r="I458" t="n">
        <v>0</v>
      </c>
      <c r="J458" t="n">
        <v>0</v>
      </c>
      <c r="K458" t="n">
        <v>0</v>
      </c>
      <c r="L458" t="n">
        <v>0</v>
      </c>
      <c r="M458" t="n">
        <v>0</v>
      </c>
      <c r="N458" t="n">
        <v>0</v>
      </c>
      <c r="O458" t="n">
        <v>0</v>
      </c>
      <c r="P458" t="n">
        <v>0</v>
      </c>
      <c r="Q458" t="n">
        <v>0</v>
      </c>
      <c r="R458" s="2" t="inlineStr"/>
    </row>
    <row r="459" ht="15" customHeight="1">
      <c r="A459" t="inlineStr">
        <is>
          <t>A 40829-2025</t>
        </is>
      </c>
      <c r="B459" s="1" t="n">
        <v>45897.50802083333</v>
      </c>
      <c r="C459" s="1" t="n">
        <v>46012</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40831-2025</t>
        </is>
      </c>
      <c r="B460" s="1" t="n">
        <v>45897.51077546296</v>
      </c>
      <c r="C460" s="1" t="n">
        <v>46012</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1740-2023</t>
        </is>
      </c>
      <c r="B461" s="1" t="n">
        <v>44938</v>
      </c>
      <c r="C461" s="1" t="n">
        <v>46012</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11901-2024</t>
        </is>
      </c>
      <c r="B462" s="1" t="n">
        <v>45376.55638888889</v>
      </c>
      <c r="C462" s="1" t="n">
        <v>46012</v>
      </c>
      <c r="D462" t="inlineStr">
        <is>
          <t>STOCKHOLMS LÄN</t>
        </is>
      </c>
      <c r="E462" t="inlineStr">
        <is>
          <t>NORRTÄLJE</t>
        </is>
      </c>
      <c r="F462" t="inlineStr">
        <is>
          <t>Holmen skog AB</t>
        </is>
      </c>
      <c r="G462" t="n">
        <v>3.5</v>
      </c>
      <c r="H462" t="n">
        <v>0</v>
      </c>
      <c r="I462" t="n">
        <v>0</v>
      </c>
      <c r="J462" t="n">
        <v>0</v>
      </c>
      <c r="K462" t="n">
        <v>0</v>
      </c>
      <c r="L462" t="n">
        <v>0</v>
      </c>
      <c r="M462" t="n">
        <v>0</v>
      </c>
      <c r="N462" t="n">
        <v>0</v>
      </c>
      <c r="O462" t="n">
        <v>0</v>
      </c>
      <c r="P462" t="n">
        <v>0</v>
      </c>
      <c r="Q462" t="n">
        <v>0</v>
      </c>
      <c r="R462" s="2" t="inlineStr"/>
    </row>
    <row r="463" ht="15" customHeight="1">
      <c r="A463" t="inlineStr">
        <is>
          <t>A 41272-2025</t>
        </is>
      </c>
      <c r="B463" s="1" t="n">
        <v>45898.62373842593</v>
      </c>
      <c r="C463" s="1" t="n">
        <v>46012</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41036-2025</t>
        </is>
      </c>
      <c r="B464" s="1" t="n">
        <v>45898.38552083333</v>
      </c>
      <c r="C464" s="1" t="n">
        <v>46012</v>
      </c>
      <c r="D464" t="inlineStr">
        <is>
          <t>STOCKHOLMS LÄN</t>
        </is>
      </c>
      <c r="E464" t="inlineStr">
        <is>
          <t>NORRTÄLJE</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27802-2025</t>
        </is>
      </c>
      <c r="B465" s="1" t="n">
        <v>45817.2565625</v>
      </c>
      <c r="C465" s="1" t="n">
        <v>46012</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27806-2025</t>
        </is>
      </c>
      <c r="B466" s="1" t="n">
        <v>45817.30329861111</v>
      </c>
      <c r="C466" s="1" t="n">
        <v>46012</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27808-2025</t>
        </is>
      </c>
      <c r="B467" s="1" t="n">
        <v>45817.31085648148</v>
      </c>
      <c r="C467" s="1" t="n">
        <v>46012</v>
      </c>
      <c r="D467" t="inlineStr">
        <is>
          <t>STOCKHOLMS LÄN</t>
        </is>
      </c>
      <c r="E467" t="inlineStr">
        <is>
          <t>NORRTÄLJE</t>
        </is>
      </c>
      <c r="G467" t="n">
        <v>1.8</v>
      </c>
      <c r="H467" t="n">
        <v>0</v>
      </c>
      <c r="I467" t="n">
        <v>0</v>
      </c>
      <c r="J467" t="n">
        <v>0</v>
      </c>
      <c r="K467" t="n">
        <v>0</v>
      </c>
      <c r="L467" t="n">
        <v>0</v>
      </c>
      <c r="M467" t="n">
        <v>0</v>
      </c>
      <c r="N467" t="n">
        <v>0</v>
      </c>
      <c r="O467" t="n">
        <v>0</v>
      </c>
      <c r="P467" t="n">
        <v>0</v>
      </c>
      <c r="Q467" t="n">
        <v>0</v>
      </c>
      <c r="R467" s="2" t="inlineStr"/>
    </row>
    <row r="468" ht="15" customHeight="1">
      <c r="A468" t="inlineStr">
        <is>
          <t>A 27810-2025</t>
        </is>
      </c>
      <c r="B468" s="1" t="n">
        <v>45817.31708333334</v>
      </c>
      <c r="C468" s="1" t="n">
        <v>46012</v>
      </c>
      <c r="D468" t="inlineStr">
        <is>
          <t>STOCKHOLMS LÄN</t>
        </is>
      </c>
      <c r="E468" t="inlineStr">
        <is>
          <t>NORRTÄLJE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27811-2025</t>
        </is>
      </c>
      <c r="B469" s="1" t="n">
        <v>45817.31986111111</v>
      </c>
      <c r="C469" s="1" t="n">
        <v>46012</v>
      </c>
      <c r="D469" t="inlineStr">
        <is>
          <t>STOCKHOLMS LÄN</t>
        </is>
      </c>
      <c r="E469" t="inlineStr">
        <is>
          <t>NORRTÄLJE</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27818-2025</t>
        </is>
      </c>
      <c r="B470" s="1" t="n">
        <v>45817.33503472222</v>
      </c>
      <c r="C470" s="1" t="n">
        <v>46012</v>
      </c>
      <c r="D470" t="inlineStr">
        <is>
          <t>STOCKHOLMS LÄN</t>
        </is>
      </c>
      <c r="E470" t="inlineStr">
        <is>
          <t>NORRTÄLJE</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19058-2024</t>
        </is>
      </c>
      <c r="B471" s="1" t="n">
        <v>45427.89121527778</v>
      </c>
      <c r="C471" s="1" t="n">
        <v>46012</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15528-2025</t>
        </is>
      </c>
      <c r="B472" s="1" t="n">
        <v>45747.63471064815</v>
      </c>
      <c r="C472" s="1" t="n">
        <v>46012</v>
      </c>
      <c r="D472" t="inlineStr">
        <is>
          <t>STOCKHOLMS LÄN</t>
        </is>
      </c>
      <c r="E472" t="inlineStr">
        <is>
          <t>NORRTÄLJE</t>
        </is>
      </c>
      <c r="G472" t="n">
        <v>10</v>
      </c>
      <c r="H472" t="n">
        <v>0</v>
      </c>
      <c r="I472" t="n">
        <v>0</v>
      </c>
      <c r="J472" t="n">
        <v>0</v>
      </c>
      <c r="K472" t="n">
        <v>0</v>
      </c>
      <c r="L472" t="n">
        <v>0</v>
      </c>
      <c r="M472" t="n">
        <v>0</v>
      </c>
      <c r="N472" t="n">
        <v>0</v>
      </c>
      <c r="O472" t="n">
        <v>0</v>
      </c>
      <c r="P472" t="n">
        <v>0</v>
      </c>
      <c r="Q472" t="n">
        <v>0</v>
      </c>
      <c r="R472" s="2" t="inlineStr"/>
    </row>
    <row r="473" ht="15" customHeight="1">
      <c r="A473" t="inlineStr">
        <is>
          <t>A 27803-2025</t>
        </is>
      </c>
      <c r="B473" s="1" t="n">
        <v>45817.291875</v>
      </c>
      <c r="C473" s="1" t="n">
        <v>46012</v>
      </c>
      <c r="D473" t="inlineStr">
        <is>
          <t>STOCKHOLMS LÄN</t>
        </is>
      </c>
      <c r="E473" t="inlineStr">
        <is>
          <t>NORRTÄLJE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27813-2025</t>
        </is>
      </c>
      <c r="B474" s="1" t="n">
        <v>45817.32538194444</v>
      </c>
      <c r="C474" s="1" t="n">
        <v>46012</v>
      </c>
      <c r="D474" t="inlineStr">
        <is>
          <t>STOCKHOLMS LÄN</t>
        </is>
      </c>
      <c r="E474" t="inlineStr">
        <is>
          <t>NORRTÄLJE</t>
        </is>
      </c>
      <c r="G474" t="n">
        <v>1.6</v>
      </c>
      <c r="H474" t="n">
        <v>0</v>
      </c>
      <c r="I474" t="n">
        <v>0</v>
      </c>
      <c r="J474" t="n">
        <v>0</v>
      </c>
      <c r="K474" t="n">
        <v>0</v>
      </c>
      <c r="L474" t="n">
        <v>0</v>
      </c>
      <c r="M474" t="n">
        <v>0</v>
      </c>
      <c r="N474" t="n">
        <v>0</v>
      </c>
      <c r="O474" t="n">
        <v>0</v>
      </c>
      <c r="P474" t="n">
        <v>0</v>
      </c>
      <c r="Q474" t="n">
        <v>0</v>
      </c>
      <c r="R474" s="2" t="inlineStr"/>
    </row>
    <row r="475" ht="15" customHeight="1">
      <c r="A475" t="inlineStr">
        <is>
          <t>A 27801-2025</t>
        </is>
      </c>
      <c r="B475" s="1" t="n">
        <v>45817.25471064815</v>
      </c>
      <c r="C475" s="1" t="n">
        <v>46012</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19057-2024</t>
        </is>
      </c>
      <c r="B476" s="1" t="n">
        <v>45427.88731481481</v>
      </c>
      <c r="C476" s="1" t="n">
        <v>46012</v>
      </c>
      <c r="D476" t="inlineStr">
        <is>
          <t>STOCKHOLMS LÄN</t>
        </is>
      </c>
      <c r="E476" t="inlineStr">
        <is>
          <t>NORRTÄLJE</t>
        </is>
      </c>
      <c r="G476" t="n">
        <v>3</v>
      </c>
      <c r="H476" t="n">
        <v>0</v>
      </c>
      <c r="I476" t="n">
        <v>0</v>
      </c>
      <c r="J476" t="n">
        <v>0</v>
      </c>
      <c r="K476" t="n">
        <v>0</v>
      </c>
      <c r="L476" t="n">
        <v>0</v>
      </c>
      <c r="M476" t="n">
        <v>0</v>
      </c>
      <c r="N476" t="n">
        <v>0</v>
      </c>
      <c r="O476" t="n">
        <v>0</v>
      </c>
      <c r="P476" t="n">
        <v>0</v>
      </c>
      <c r="Q476" t="n">
        <v>0</v>
      </c>
      <c r="R476" s="2" t="inlineStr"/>
    </row>
    <row r="477" ht="15" customHeight="1">
      <c r="A477" t="inlineStr">
        <is>
          <t>A 27821-2025</t>
        </is>
      </c>
      <c r="B477" s="1" t="n">
        <v>45817.34083333334</v>
      </c>
      <c r="C477" s="1" t="n">
        <v>46012</v>
      </c>
      <c r="D477" t="inlineStr">
        <is>
          <t>STOCKHOLMS LÄN</t>
        </is>
      </c>
      <c r="E477" t="inlineStr">
        <is>
          <t>NORRTÄLJE</t>
        </is>
      </c>
      <c r="G477" t="n">
        <v>3.2</v>
      </c>
      <c r="H477" t="n">
        <v>0</v>
      </c>
      <c r="I477" t="n">
        <v>0</v>
      </c>
      <c r="J477" t="n">
        <v>0</v>
      </c>
      <c r="K477" t="n">
        <v>0</v>
      </c>
      <c r="L477" t="n">
        <v>0</v>
      </c>
      <c r="M477" t="n">
        <v>0</v>
      </c>
      <c r="N477" t="n">
        <v>0</v>
      </c>
      <c r="O477" t="n">
        <v>0</v>
      </c>
      <c r="P477" t="n">
        <v>0</v>
      </c>
      <c r="Q477" t="n">
        <v>0</v>
      </c>
      <c r="R477" s="2" t="inlineStr"/>
    </row>
    <row r="478" ht="15" customHeight="1">
      <c r="A478" t="inlineStr">
        <is>
          <t>A 15733-2025</t>
        </is>
      </c>
      <c r="B478" s="1" t="n">
        <v>45748</v>
      </c>
      <c r="C478" s="1" t="n">
        <v>46012</v>
      </c>
      <c r="D478" t="inlineStr">
        <is>
          <t>STOCKHOLMS LÄN</t>
        </is>
      </c>
      <c r="E478" t="inlineStr">
        <is>
          <t>NORRTÄLJE</t>
        </is>
      </c>
      <c r="G478" t="n">
        <v>13.3</v>
      </c>
      <c r="H478" t="n">
        <v>0</v>
      </c>
      <c r="I478" t="n">
        <v>0</v>
      </c>
      <c r="J478" t="n">
        <v>0</v>
      </c>
      <c r="K478" t="n">
        <v>0</v>
      </c>
      <c r="L478" t="n">
        <v>0</v>
      </c>
      <c r="M478" t="n">
        <v>0</v>
      </c>
      <c r="N478" t="n">
        <v>0</v>
      </c>
      <c r="O478" t="n">
        <v>0</v>
      </c>
      <c r="P478" t="n">
        <v>0</v>
      </c>
      <c r="Q478" t="n">
        <v>0</v>
      </c>
      <c r="R478" s="2" t="inlineStr"/>
    </row>
    <row r="479" ht="15" customHeight="1">
      <c r="A479" t="inlineStr">
        <is>
          <t>A 5423-2023</t>
        </is>
      </c>
      <c r="B479" s="1" t="n">
        <v>44959.74533564815</v>
      </c>
      <c r="C479" s="1" t="n">
        <v>46012</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58492-2022</t>
        </is>
      </c>
      <c r="B480" s="1" t="n">
        <v>44902</v>
      </c>
      <c r="C480" s="1" t="n">
        <v>46012</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10511-2025</t>
        </is>
      </c>
      <c r="B481" s="1" t="n">
        <v>45721.40780092592</v>
      </c>
      <c r="C481" s="1" t="n">
        <v>46012</v>
      </c>
      <c r="D481" t="inlineStr">
        <is>
          <t>STOCKHOLMS LÄN</t>
        </is>
      </c>
      <c r="E481" t="inlineStr">
        <is>
          <t>NORRTÄLJE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42038-2025</t>
        </is>
      </c>
      <c r="B482" s="1" t="n">
        <v>45903.61431712963</v>
      </c>
      <c r="C482" s="1" t="n">
        <v>46012</v>
      </c>
      <c r="D482" t="inlineStr">
        <is>
          <t>STOCKHOLMS LÄN</t>
        </is>
      </c>
      <c r="E482" t="inlineStr">
        <is>
          <t>NORRTÄLJE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44075-2023</t>
        </is>
      </c>
      <c r="B483" s="1" t="n">
        <v>45188.41637731482</v>
      </c>
      <c r="C483" s="1" t="n">
        <v>46012</v>
      </c>
      <c r="D483" t="inlineStr">
        <is>
          <t>STOCKHOLMS LÄN</t>
        </is>
      </c>
      <c r="E483" t="inlineStr">
        <is>
          <t>NORRTÄLJE</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41964-2025</t>
        </is>
      </c>
      <c r="B484" s="1" t="n">
        <v>45903.47270833333</v>
      </c>
      <c r="C484" s="1" t="n">
        <v>46012</v>
      </c>
      <c r="D484" t="inlineStr">
        <is>
          <t>STOCKHOLMS LÄN</t>
        </is>
      </c>
      <c r="E484" t="inlineStr">
        <is>
          <t>NORRTÄLJE</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4581-2025</t>
        </is>
      </c>
      <c r="B485" s="1" t="n">
        <v>45687</v>
      </c>
      <c r="C485" s="1" t="n">
        <v>46012</v>
      </c>
      <c r="D485" t="inlineStr">
        <is>
          <t>STOCKHOLMS LÄN</t>
        </is>
      </c>
      <c r="E485" t="inlineStr">
        <is>
          <t>NORRTÄLJE</t>
        </is>
      </c>
      <c r="F485" t="inlineStr">
        <is>
          <t>Holmen skog AB</t>
        </is>
      </c>
      <c r="G485" t="n">
        <v>2.8</v>
      </c>
      <c r="H485" t="n">
        <v>0</v>
      </c>
      <c r="I485" t="n">
        <v>0</v>
      </c>
      <c r="J485" t="n">
        <v>0</v>
      </c>
      <c r="K485" t="n">
        <v>0</v>
      </c>
      <c r="L485" t="n">
        <v>0</v>
      </c>
      <c r="M485" t="n">
        <v>0</v>
      </c>
      <c r="N485" t="n">
        <v>0</v>
      </c>
      <c r="O485" t="n">
        <v>0</v>
      </c>
      <c r="P485" t="n">
        <v>0</v>
      </c>
      <c r="Q485" t="n">
        <v>0</v>
      </c>
      <c r="R485" s="2" t="inlineStr"/>
    </row>
    <row r="486" ht="15" customHeight="1">
      <c r="A486" t="inlineStr">
        <is>
          <t>A 41966-2025</t>
        </is>
      </c>
      <c r="B486" s="1" t="n">
        <v>45903.47456018518</v>
      </c>
      <c r="C486" s="1" t="n">
        <v>46012</v>
      </c>
      <c r="D486" t="inlineStr">
        <is>
          <t>STOCKHOLMS LÄN</t>
        </is>
      </c>
      <c r="E486" t="inlineStr">
        <is>
          <t>NORRTÄLJE</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29250-2025</t>
        </is>
      </c>
      <c r="B487" s="1" t="n">
        <v>45824.37275462963</v>
      </c>
      <c r="C487" s="1" t="n">
        <v>46012</v>
      </c>
      <c r="D487" t="inlineStr">
        <is>
          <t>STOCKHOLMS LÄN</t>
        </is>
      </c>
      <c r="E487" t="inlineStr">
        <is>
          <t>NORRTÄLJE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36157-2024</t>
        </is>
      </c>
      <c r="B488" s="1" t="n">
        <v>45534.38240740741</v>
      </c>
      <c r="C488" s="1" t="n">
        <v>46012</v>
      </c>
      <c r="D488" t="inlineStr">
        <is>
          <t>STOCKHOLMS LÄN</t>
        </is>
      </c>
      <c r="E488" t="inlineStr">
        <is>
          <t>NORRTÄLJE</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62398-2022</t>
        </is>
      </c>
      <c r="B489" s="1" t="n">
        <v>44923.90159722222</v>
      </c>
      <c r="C489" s="1" t="n">
        <v>46012</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30699-2025</t>
        </is>
      </c>
      <c r="B490" s="1" t="n">
        <v>45831.54618055555</v>
      </c>
      <c r="C490" s="1" t="n">
        <v>46012</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17039-2024</t>
        </is>
      </c>
      <c r="B491" s="1" t="n">
        <v>45412.4104050926</v>
      </c>
      <c r="C491" s="1" t="n">
        <v>46012</v>
      </c>
      <c r="D491" t="inlineStr">
        <is>
          <t>STOCKHOLMS LÄN</t>
        </is>
      </c>
      <c r="E491" t="inlineStr">
        <is>
          <t>NORRTÄLJE</t>
        </is>
      </c>
      <c r="G491" t="n">
        <v>5.9</v>
      </c>
      <c r="H491" t="n">
        <v>0</v>
      </c>
      <c r="I491" t="n">
        <v>0</v>
      </c>
      <c r="J491" t="n">
        <v>0</v>
      </c>
      <c r="K491" t="n">
        <v>0</v>
      </c>
      <c r="L491" t="n">
        <v>0</v>
      </c>
      <c r="M491" t="n">
        <v>0</v>
      </c>
      <c r="N491" t="n">
        <v>0</v>
      </c>
      <c r="O491" t="n">
        <v>0</v>
      </c>
      <c r="P491" t="n">
        <v>0</v>
      </c>
      <c r="Q491" t="n">
        <v>0</v>
      </c>
      <c r="R491" s="2" t="inlineStr"/>
    </row>
    <row r="492" ht="15" customHeight="1">
      <c r="A492" t="inlineStr">
        <is>
          <t>A 3509-2022</t>
        </is>
      </c>
      <c r="B492" s="1" t="n">
        <v>44585</v>
      </c>
      <c r="C492" s="1" t="n">
        <v>46012</v>
      </c>
      <c r="D492" t="inlineStr">
        <is>
          <t>STOCKHOLMS LÄN</t>
        </is>
      </c>
      <c r="E492" t="inlineStr">
        <is>
          <t>NORRTÄLJE</t>
        </is>
      </c>
      <c r="F492" t="inlineStr">
        <is>
          <t>Kommuner</t>
        </is>
      </c>
      <c r="G492" t="n">
        <v>0.8</v>
      </c>
      <c r="H492" t="n">
        <v>0</v>
      </c>
      <c r="I492" t="n">
        <v>0</v>
      </c>
      <c r="J492" t="n">
        <v>0</v>
      </c>
      <c r="K492" t="n">
        <v>0</v>
      </c>
      <c r="L492" t="n">
        <v>0</v>
      </c>
      <c r="M492" t="n">
        <v>0</v>
      </c>
      <c r="N492" t="n">
        <v>0</v>
      </c>
      <c r="O492" t="n">
        <v>0</v>
      </c>
      <c r="P492" t="n">
        <v>0</v>
      </c>
      <c r="Q492" t="n">
        <v>0</v>
      </c>
      <c r="R492" s="2" t="inlineStr"/>
    </row>
    <row r="493" ht="15" customHeight="1">
      <c r="A493" t="inlineStr">
        <is>
          <t>A 7697-2025</t>
        </is>
      </c>
      <c r="B493" s="1" t="n">
        <v>45706.40086805556</v>
      </c>
      <c r="C493" s="1" t="n">
        <v>46012</v>
      </c>
      <c r="D493" t="inlineStr">
        <is>
          <t>STOCKHOLMS LÄN</t>
        </is>
      </c>
      <c r="E493" t="inlineStr">
        <is>
          <t>NORRTÄLJE</t>
        </is>
      </c>
      <c r="F493" t="inlineStr">
        <is>
          <t>Holmen skog AB</t>
        </is>
      </c>
      <c r="G493" t="n">
        <v>1.8</v>
      </c>
      <c r="H493" t="n">
        <v>0</v>
      </c>
      <c r="I493" t="n">
        <v>0</v>
      </c>
      <c r="J493" t="n">
        <v>0</v>
      </c>
      <c r="K493" t="n">
        <v>0</v>
      </c>
      <c r="L493" t="n">
        <v>0</v>
      </c>
      <c r="M493" t="n">
        <v>0</v>
      </c>
      <c r="N493" t="n">
        <v>0</v>
      </c>
      <c r="O493" t="n">
        <v>0</v>
      </c>
      <c r="P493" t="n">
        <v>0</v>
      </c>
      <c r="Q493" t="n">
        <v>0</v>
      </c>
      <c r="R493" s="2" t="inlineStr"/>
    </row>
    <row r="494" ht="15" customHeight="1">
      <c r="A494" t="inlineStr">
        <is>
          <t>A 42856-2025</t>
        </is>
      </c>
      <c r="B494" s="1" t="n">
        <v>45908</v>
      </c>
      <c r="C494" s="1" t="n">
        <v>46012</v>
      </c>
      <c r="D494" t="inlineStr">
        <is>
          <t>STOCKHOLMS LÄN</t>
        </is>
      </c>
      <c r="E494" t="inlineStr">
        <is>
          <t>NORRTÄLJE</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20011-2025</t>
        </is>
      </c>
      <c r="B495" s="1" t="n">
        <v>45772.29622685185</v>
      </c>
      <c r="C495" s="1" t="n">
        <v>46012</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39669-2024</t>
        </is>
      </c>
      <c r="B496" s="1" t="n">
        <v>45552.52827546297</v>
      </c>
      <c r="C496" s="1" t="n">
        <v>46012</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2982-2023</t>
        </is>
      </c>
      <c r="B497" s="1" t="n">
        <v>44945.67409722223</v>
      </c>
      <c r="C497" s="1" t="n">
        <v>46012</v>
      </c>
      <c r="D497" t="inlineStr">
        <is>
          <t>STOCKHOLMS LÄN</t>
        </is>
      </c>
      <c r="E497" t="inlineStr">
        <is>
          <t>NORRTÄLJE</t>
        </is>
      </c>
      <c r="G497" t="n">
        <v>3.3</v>
      </c>
      <c r="H497" t="n">
        <v>0</v>
      </c>
      <c r="I497" t="n">
        <v>0</v>
      </c>
      <c r="J497" t="n">
        <v>0</v>
      </c>
      <c r="K497" t="n">
        <v>0</v>
      </c>
      <c r="L497" t="n">
        <v>0</v>
      </c>
      <c r="M497" t="n">
        <v>0</v>
      </c>
      <c r="N497" t="n">
        <v>0</v>
      </c>
      <c r="O497" t="n">
        <v>0</v>
      </c>
      <c r="P497" t="n">
        <v>0</v>
      </c>
      <c r="Q497" t="n">
        <v>0</v>
      </c>
      <c r="R497" s="2" t="inlineStr"/>
    </row>
    <row r="498" ht="15" customHeight="1">
      <c r="A498" t="inlineStr">
        <is>
          <t>A 1448-2023</t>
        </is>
      </c>
      <c r="B498" s="1" t="n">
        <v>44937</v>
      </c>
      <c r="C498" s="1" t="n">
        <v>46012</v>
      </c>
      <c r="D498" t="inlineStr">
        <is>
          <t>STOCKHOLMS LÄN</t>
        </is>
      </c>
      <c r="E498" t="inlineStr">
        <is>
          <t>NORRTÄLJE</t>
        </is>
      </c>
      <c r="G498" t="n">
        <v>1.9</v>
      </c>
      <c r="H498" t="n">
        <v>0</v>
      </c>
      <c r="I498" t="n">
        <v>0</v>
      </c>
      <c r="J498" t="n">
        <v>0</v>
      </c>
      <c r="K498" t="n">
        <v>0</v>
      </c>
      <c r="L498" t="n">
        <v>0</v>
      </c>
      <c r="M498" t="n">
        <v>0</v>
      </c>
      <c r="N498" t="n">
        <v>0</v>
      </c>
      <c r="O498" t="n">
        <v>0</v>
      </c>
      <c r="P498" t="n">
        <v>0</v>
      </c>
      <c r="Q498" t="n">
        <v>0</v>
      </c>
      <c r="R498" s="2" t="inlineStr"/>
    </row>
    <row r="499" ht="15" customHeight="1">
      <c r="A499" t="inlineStr">
        <is>
          <t>A 35127-2023</t>
        </is>
      </c>
      <c r="B499" s="1" t="n">
        <v>45145.51</v>
      </c>
      <c r="C499" s="1" t="n">
        <v>46012</v>
      </c>
      <c r="D499" t="inlineStr">
        <is>
          <t>STOCKHOLMS LÄN</t>
        </is>
      </c>
      <c r="E499" t="inlineStr">
        <is>
          <t>NORRTÄLJE</t>
        </is>
      </c>
      <c r="G499" t="n">
        <v>4.7</v>
      </c>
      <c r="H499" t="n">
        <v>0</v>
      </c>
      <c r="I499" t="n">
        <v>0</v>
      </c>
      <c r="J499" t="n">
        <v>0</v>
      </c>
      <c r="K499" t="n">
        <v>0</v>
      </c>
      <c r="L499" t="n">
        <v>0</v>
      </c>
      <c r="M499" t="n">
        <v>0</v>
      </c>
      <c r="N499" t="n">
        <v>0</v>
      </c>
      <c r="O499" t="n">
        <v>0</v>
      </c>
      <c r="P499" t="n">
        <v>0</v>
      </c>
      <c r="Q499" t="n">
        <v>0</v>
      </c>
      <c r="R499" s="2" t="inlineStr"/>
    </row>
    <row r="500" ht="15" customHeight="1">
      <c r="A500" t="inlineStr">
        <is>
          <t>A 50136-2023</t>
        </is>
      </c>
      <c r="B500" s="1" t="n">
        <v>45215</v>
      </c>
      <c r="C500" s="1" t="n">
        <v>46012</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11229-2022</t>
        </is>
      </c>
      <c r="B501" s="1" t="n">
        <v>44629</v>
      </c>
      <c r="C501" s="1" t="n">
        <v>46012</v>
      </c>
      <c r="D501" t="inlineStr">
        <is>
          <t>STOCKHOLMS LÄN</t>
        </is>
      </c>
      <c r="E501" t="inlineStr">
        <is>
          <t>NORRTÄLJE</t>
        </is>
      </c>
      <c r="F501" t="inlineStr">
        <is>
          <t>Övriga Aktiebolag</t>
        </is>
      </c>
      <c r="G501" t="n">
        <v>4.1</v>
      </c>
      <c r="H501" t="n">
        <v>0</v>
      </c>
      <c r="I501" t="n">
        <v>0</v>
      </c>
      <c r="J501" t="n">
        <v>0</v>
      </c>
      <c r="K501" t="n">
        <v>0</v>
      </c>
      <c r="L501" t="n">
        <v>0</v>
      </c>
      <c r="M501" t="n">
        <v>0</v>
      </c>
      <c r="N501" t="n">
        <v>0</v>
      </c>
      <c r="O501" t="n">
        <v>0</v>
      </c>
      <c r="P501" t="n">
        <v>0</v>
      </c>
      <c r="Q501" t="n">
        <v>0</v>
      </c>
      <c r="R501" s="2" t="inlineStr"/>
    </row>
    <row r="502" ht="15" customHeight="1">
      <c r="A502" t="inlineStr">
        <is>
          <t>A 9654-2022</t>
        </is>
      </c>
      <c r="B502" s="1" t="n">
        <v>44617</v>
      </c>
      <c r="C502" s="1" t="n">
        <v>46012</v>
      </c>
      <c r="D502" t="inlineStr">
        <is>
          <t>STOCKHOLMS LÄN</t>
        </is>
      </c>
      <c r="E502" t="inlineStr">
        <is>
          <t>NORRTÄLJE</t>
        </is>
      </c>
      <c r="G502" t="n">
        <v>6.4</v>
      </c>
      <c r="H502" t="n">
        <v>0</v>
      </c>
      <c r="I502" t="n">
        <v>0</v>
      </c>
      <c r="J502" t="n">
        <v>0</v>
      </c>
      <c r="K502" t="n">
        <v>0</v>
      </c>
      <c r="L502" t="n">
        <v>0</v>
      </c>
      <c r="M502" t="n">
        <v>0</v>
      </c>
      <c r="N502" t="n">
        <v>0</v>
      </c>
      <c r="O502" t="n">
        <v>0</v>
      </c>
      <c r="P502" t="n">
        <v>0</v>
      </c>
      <c r="Q502" t="n">
        <v>0</v>
      </c>
      <c r="R502" s="2" t="inlineStr"/>
    </row>
    <row r="503" ht="15" customHeight="1">
      <c r="A503" t="inlineStr">
        <is>
          <t>A 5389-2025</t>
        </is>
      </c>
      <c r="B503" s="1" t="n">
        <v>45692</v>
      </c>
      <c r="C503" s="1" t="n">
        <v>46012</v>
      </c>
      <c r="D503" t="inlineStr">
        <is>
          <t>STOCKHOLMS LÄN</t>
        </is>
      </c>
      <c r="E503" t="inlineStr">
        <is>
          <t>NORRTÄLJE</t>
        </is>
      </c>
      <c r="G503" t="n">
        <v>0.8</v>
      </c>
      <c r="H503" t="n">
        <v>0</v>
      </c>
      <c r="I503" t="n">
        <v>0</v>
      </c>
      <c r="J503" t="n">
        <v>0</v>
      </c>
      <c r="K503" t="n">
        <v>0</v>
      </c>
      <c r="L503" t="n">
        <v>0</v>
      </c>
      <c r="M503" t="n">
        <v>0</v>
      </c>
      <c r="N503" t="n">
        <v>0</v>
      </c>
      <c r="O503" t="n">
        <v>0</v>
      </c>
      <c r="P503" t="n">
        <v>0</v>
      </c>
      <c r="Q503" t="n">
        <v>0</v>
      </c>
      <c r="R503" s="2" t="inlineStr"/>
    </row>
    <row r="504" ht="15" customHeight="1">
      <c r="A504" t="inlineStr">
        <is>
          <t>A 30668-2025</t>
        </is>
      </c>
      <c r="B504" s="1" t="n">
        <v>45831.51659722222</v>
      </c>
      <c r="C504" s="1" t="n">
        <v>46012</v>
      </c>
      <c r="D504" t="inlineStr">
        <is>
          <t>STOCKHOLMS LÄN</t>
        </is>
      </c>
      <c r="E504" t="inlineStr">
        <is>
          <t>NORRTÄLJE</t>
        </is>
      </c>
      <c r="G504" t="n">
        <v>4.9</v>
      </c>
      <c r="H504" t="n">
        <v>0</v>
      </c>
      <c r="I504" t="n">
        <v>0</v>
      </c>
      <c r="J504" t="n">
        <v>0</v>
      </c>
      <c r="K504" t="n">
        <v>0</v>
      </c>
      <c r="L504" t="n">
        <v>0</v>
      </c>
      <c r="M504" t="n">
        <v>0</v>
      </c>
      <c r="N504" t="n">
        <v>0</v>
      </c>
      <c r="O504" t="n">
        <v>0</v>
      </c>
      <c r="P504" t="n">
        <v>0</v>
      </c>
      <c r="Q504" t="n">
        <v>0</v>
      </c>
      <c r="R504" s="2" t="inlineStr"/>
    </row>
    <row r="505" ht="15" customHeight="1">
      <c r="A505" t="inlineStr">
        <is>
          <t>A 24835-2025</t>
        </is>
      </c>
      <c r="B505" s="1" t="n">
        <v>45799</v>
      </c>
      <c r="C505" s="1" t="n">
        <v>46012</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37147-2023</t>
        </is>
      </c>
      <c r="B506" s="1" t="n">
        <v>45155</v>
      </c>
      <c r="C506" s="1" t="n">
        <v>46012</v>
      </c>
      <c r="D506" t="inlineStr">
        <is>
          <t>STOCKHOLMS LÄN</t>
        </is>
      </c>
      <c r="E506" t="inlineStr">
        <is>
          <t>NORRTÄLJE</t>
        </is>
      </c>
      <c r="G506" t="n">
        <v>8</v>
      </c>
      <c r="H506" t="n">
        <v>0</v>
      </c>
      <c r="I506" t="n">
        <v>0</v>
      </c>
      <c r="J506" t="n">
        <v>0</v>
      </c>
      <c r="K506" t="n">
        <v>0</v>
      </c>
      <c r="L506" t="n">
        <v>0</v>
      </c>
      <c r="M506" t="n">
        <v>0</v>
      </c>
      <c r="N506" t="n">
        <v>0</v>
      </c>
      <c r="O506" t="n">
        <v>0</v>
      </c>
      <c r="P506" t="n">
        <v>0</v>
      </c>
      <c r="Q506" t="n">
        <v>0</v>
      </c>
      <c r="R506" s="2" t="inlineStr"/>
    </row>
    <row r="507" ht="15" customHeight="1">
      <c r="A507" t="inlineStr">
        <is>
          <t>A 59499-2023</t>
        </is>
      </c>
      <c r="B507" s="1" t="n">
        <v>45254</v>
      </c>
      <c r="C507" s="1" t="n">
        <v>46012</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43169-2025</t>
        </is>
      </c>
      <c r="B508" s="1" t="n">
        <v>45910</v>
      </c>
      <c r="C508" s="1" t="n">
        <v>46012</v>
      </c>
      <c r="D508" t="inlineStr">
        <is>
          <t>STOCKHOLMS LÄN</t>
        </is>
      </c>
      <c r="E508" t="inlineStr">
        <is>
          <t>NORRTÄLJE</t>
        </is>
      </c>
      <c r="G508" t="n">
        <v>6.9</v>
      </c>
      <c r="H508" t="n">
        <v>0</v>
      </c>
      <c r="I508" t="n">
        <v>0</v>
      </c>
      <c r="J508" t="n">
        <v>0</v>
      </c>
      <c r="K508" t="n">
        <v>0</v>
      </c>
      <c r="L508" t="n">
        <v>0</v>
      </c>
      <c r="M508" t="n">
        <v>0</v>
      </c>
      <c r="N508" t="n">
        <v>0</v>
      </c>
      <c r="O508" t="n">
        <v>0</v>
      </c>
      <c r="P508" t="n">
        <v>0</v>
      </c>
      <c r="Q508" t="n">
        <v>0</v>
      </c>
      <c r="R508" s="2" t="inlineStr"/>
    </row>
    <row r="509" ht="15" customHeight="1">
      <c r="A509" t="inlineStr">
        <is>
          <t>A 60654-2023</t>
        </is>
      </c>
      <c r="B509" s="1" t="n">
        <v>45260.43225694444</v>
      </c>
      <c r="C509" s="1" t="n">
        <v>46012</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60656-2023</t>
        </is>
      </c>
      <c r="B510" s="1" t="n">
        <v>45260.4333449074</v>
      </c>
      <c r="C510" s="1" t="n">
        <v>46012</v>
      </c>
      <c r="D510" t="inlineStr">
        <is>
          <t>STOCKHOLMS LÄN</t>
        </is>
      </c>
      <c r="E510" t="inlineStr">
        <is>
          <t>NORRTÄLJE</t>
        </is>
      </c>
      <c r="G510" t="n">
        <v>4.8</v>
      </c>
      <c r="H510" t="n">
        <v>0</v>
      </c>
      <c r="I510" t="n">
        <v>0</v>
      </c>
      <c r="J510" t="n">
        <v>0</v>
      </c>
      <c r="K510" t="n">
        <v>0</v>
      </c>
      <c r="L510" t="n">
        <v>0</v>
      </c>
      <c r="M510" t="n">
        <v>0</v>
      </c>
      <c r="N510" t="n">
        <v>0</v>
      </c>
      <c r="O510" t="n">
        <v>0</v>
      </c>
      <c r="P510" t="n">
        <v>0</v>
      </c>
      <c r="Q510" t="n">
        <v>0</v>
      </c>
      <c r="R510" s="2" t="inlineStr"/>
    </row>
    <row r="511" ht="15" customHeight="1">
      <c r="A511" t="inlineStr">
        <is>
          <t>A 43269-2025</t>
        </is>
      </c>
      <c r="B511" s="1" t="n">
        <v>45910.5819212963</v>
      </c>
      <c r="C511" s="1" t="n">
        <v>46012</v>
      </c>
      <c r="D511" t="inlineStr">
        <is>
          <t>STOCKHOLMS LÄN</t>
        </is>
      </c>
      <c r="E511" t="inlineStr">
        <is>
          <t>NORRTÄLJE</t>
        </is>
      </c>
      <c r="G511" t="n">
        <v>3.7</v>
      </c>
      <c r="H511" t="n">
        <v>0</v>
      </c>
      <c r="I511" t="n">
        <v>0</v>
      </c>
      <c r="J511" t="n">
        <v>0</v>
      </c>
      <c r="K511" t="n">
        <v>0</v>
      </c>
      <c r="L511" t="n">
        <v>0</v>
      </c>
      <c r="M511" t="n">
        <v>0</v>
      </c>
      <c r="N511" t="n">
        <v>0</v>
      </c>
      <c r="O511" t="n">
        <v>0</v>
      </c>
      <c r="P511" t="n">
        <v>0</v>
      </c>
      <c r="Q511" t="n">
        <v>0</v>
      </c>
      <c r="R511" s="2" t="inlineStr"/>
    </row>
    <row r="512" ht="15" customHeight="1">
      <c r="A512" t="inlineStr">
        <is>
          <t>A 22697-2022</t>
        </is>
      </c>
      <c r="B512" s="1" t="n">
        <v>44714.56040509259</v>
      </c>
      <c r="C512" s="1" t="n">
        <v>46012</v>
      </c>
      <c r="D512" t="inlineStr">
        <is>
          <t>STOCKHOLMS LÄN</t>
        </is>
      </c>
      <c r="E512" t="inlineStr">
        <is>
          <t>NORRTÄLJE</t>
        </is>
      </c>
      <c r="G512" t="n">
        <v>5.6</v>
      </c>
      <c r="H512" t="n">
        <v>0</v>
      </c>
      <c r="I512" t="n">
        <v>0</v>
      </c>
      <c r="J512" t="n">
        <v>0</v>
      </c>
      <c r="K512" t="n">
        <v>0</v>
      </c>
      <c r="L512" t="n">
        <v>0</v>
      </c>
      <c r="M512" t="n">
        <v>0</v>
      </c>
      <c r="N512" t="n">
        <v>0</v>
      </c>
      <c r="O512" t="n">
        <v>0</v>
      </c>
      <c r="P512" t="n">
        <v>0</v>
      </c>
      <c r="Q512" t="n">
        <v>0</v>
      </c>
      <c r="R512" s="2" t="inlineStr"/>
    </row>
    <row r="513" ht="15" customHeight="1">
      <c r="A513" t="inlineStr">
        <is>
          <t>A 30639-2025</t>
        </is>
      </c>
      <c r="B513" s="1" t="n">
        <v>45831.4844212963</v>
      </c>
      <c r="C513" s="1" t="n">
        <v>46012</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31170-2025</t>
        </is>
      </c>
      <c r="B514" s="1" t="n">
        <v>45832.66385416667</v>
      </c>
      <c r="C514" s="1" t="n">
        <v>46012</v>
      </c>
      <c r="D514" t="inlineStr">
        <is>
          <t>STOCKHOLMS LÄN</t>
        </is>
      </c>
      <c r="E514" t="inlineStr">
        <is>
          <t>NORRTÄLJE</t>
        </is>
      </c>
      <c r="G514" t="n">
        <v>2.7</v>
      </c>
      <c r="H514" t="n">
        <v>0</v>
      </c>
      <c r="I514" t="n">
        <v>0</v>
      </c>
      <c r="J514" t="n">
        <v>0</v>
      </c>
      <c r="K514" t="n">
        <v>0</v>
      </c>
      <c r="L514" t="n">
        <v>0</v>
      </c>
      <c r="M514" t="n">
        <v>0</v>
      </c>
      <c r="N514" t="n">
        <v>0</v>
      </c>
      <c r="O514" t="n">
        <v>0</v>
      </c>
      <c r="P514" t="n">
        <v>0</v>
      </c>
      <c r="Q514" t="n">
        <v>0</v>
      </c>
      <c r="R514" s="2" t="inlineStr"/>
    </row>
    <row r="515" ht="15" customHeight="1">
      <c r="A515" t="inlineStr">
        <is>
          <t>A 30719-2025</t>
        </is>
      </c>
      <c r="B515" s="1" t="n">
        <v>45831</v>
      </c>
      <c r="C515" s="1" t="n">
        <v>46012</v>
      </c>
      <c r="D515" t="inlineStr">
        <is>
          <t>STOCKHOLMS LÄN</t>
        </is>
      </c>
      <c r="E515" t="inlineStr">
        <is>
          <t>NORRTÄLJE</t>
        </is>
      </c>
      <c r="G515" t="n">
        <v>0.5</v>
      </c>
      <c r="H515" t="n">
        <v>0</v>
      </c>
      <c r="I515" t="n">
        <v>0</v>
      </c>
      <c r="J515" t="n">
        <v>0</v>
      </c>
      <c r="K515" t="n">
        <v>0</v>
      </c>
      <c r="L515" t="n">
        <v>0</v>
      </c>
      <c r="M515" t="n">
        <v>0</v>
      </c>
      <c r="N515" t="n">
        <v>0</v>
      </c>
      <c r="O515" t="n">
        <v>0</v>
      </c>
      <c r="P515" t="n">
        <v>0</v>
      </c>
      <c r="Q515" t="n">
        <v>0</v>
      </c>
      <c r="R515" s="2" t="inlineStr"/>
    </row>
    <row r="516" ht="15" customHeight="1">
      <c r="A516" t="inlineStr">
        <is>
          <t>A 48180-2023</t>
        </is>
      </c>
      <c r="B516" s="1" t="n">
        <v>45205</v>
      </c>
      <c r="C516" s="1" t="n">
        <v>46012</v>
      </c>
      <c r="D516" t="inlineStr">
        <is>
          <t>STOCKHOLMS LÄN</t>
        </is>
      </c>
      <c r="E516" t="inlineStr">
        <is>
          <t>NORRTÄLJE</t>
        </is>
      </c>
      <c r="G516" t="n">
        <v>1.5</v>
      </c>
      <c r="H516" t="n">
        <v>0</v>
      </c>
      <c r="I516" t="n">
        <v>0</v>
      </c>
      <c r="J516" t="n">
        <v>0</v>
      </c>
      <c r="K516" t="n">
        <v>0</v>
      </c>
      <c r="L516" t="n">
        <v>0</v>
      </c>
      <c r="M516" t="n">
        <v>0</v>
      </c>
      <c r="N516" t="n">
        <v>0</v>
      </c>
      <c r="O516" t="n">
        <v>0</v>
      </c>
      <c r="P516" t="n">
        <v>0</v>
      </c>
      <c r="Q516" t="n">
        <v>0</v>
      </c>
      <c r="R516" s="2" t="inlineStr"/>
    </row>
    <row r="517" ht="15" customHeight="1">
      <c r="A517" t="inlineStr">
        <is>
          <t>A 44343-2025</t>
        </is>
      </c>
      <c r="B517" s="1" t="n">
        <v>45916.43378472222</v>
      </c>
      <c r="C517" s="1" t="n">
        <v>46012</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57353-2024</t>
        </is>
      </c>
      <c r="B518" s="1" t="n">
        <v>45629.65143518519</v>
      </c>
      <c r="C518" s="1" t="n">
        <v>46012</v>
      </c>
      <c r="D518" t="inlineStr">
        <is>
          <t>STOCKHOLMS LÄN</t>
        </is>
      </c>
      <c r="E518" t="inlineStr">
        <is>
          <t>NORRTÄLJE</t>
        </is>
      </c>
      <c r="F518" t="inlineStr">
        <is>
          <t>Holmen skog AB</t>
        </is>
      </c>
      <c r="G518" t="n">
        <v>0.9</v>
      </c>
      <c r="H518" t="n">
        <v>0</v>
      </c>
      <c r="I518" t="n">
        <v>0</v>
      </c>
      <c r="J518" t="n">
        <v>0</v>
      </c>
      <c r="K518" t="n">
        <v>0</v>
      </c>
      <c r="L518" t="n">
        <v>0</v>
      </c>
      <c r="M518" t="n">
        <v>0</v>
      </c>
      <c r="N518" t="n">
        <v>0</v>
      </c>
      <c r="O518" t="n">
        <v>0</v>
      </c>
      <c r="P518" t="n">
        <v>0</v>
      </c>
      <c r="Q518" t="n">
        <v>0</v>
      </c>
      <c r="R518" s="2" t="inlineStr"/>
    </row>
    <row r="519" ht="15" customHeight="1">
      <c r="A519" t="inlineStr">
        <is>
          <t>A 43916-2025</t>
        </is>
      </c>
      <c r="B519" s="1" t="n">
        <v>45914.78884259259</v>
      </c>
      <c r="C519" s="1" t="n">
        <v>46012</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44311-2025</t>
        </is>
      </c>
      <c r="B520" s="1" t="n">
        <v>45916.38394675926</v>
      </c>
      <c r="C520" s="1" t="n">
        <v>46012</v>
      </c>
      <c r="D520" t="inlineStr">
        <is>
          <t>STOCKHOLMS LÄN</t>
        </is>
      </c>
      <c r="E520" t="inlineStr">
        <is>
          <t>NORRTÄLJE</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31874-2025</t>
        </is>
      </c>
      <c r="B521" s="1" t="n">
        <v>45834</v>
      </c>
      <c r="C521" s="1" t="n">
        <v>46012</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44349-2025</t>
        </is>
      </c>
      <c r="B522" s="1" t="n">
        <v>45916.43929398148</v>
      </c>
      <c r="C522" s="1" t="n">
        <v>46012</v>
      </c>
      <c r="D522" t="inlineStr">
        <is>
          <t>STOCKHOLMS LÄN</t>
        </is>
      </c>
      <c r="E522" t="inlineStr">
        <is>
          <t>NORRTÄLJE</t>
        </is>
      </c>
      <c r="G522" t="n">
        <v>3.5</v>
      </c>
      <c r="H522" t="n">
        <v>0</v>
      </c>
      <c r="I522" t="n">
        <v>0</v>
      </c>
      <c r="J522" t="n">
        <v>0</v>
      </c>
      <c r="K522" t="n">
        <v>0</v>
      </c>
      <c r="L522" t="n">
        <v>0</v>
      </c>
      <c r="M522" t="n">
        <v>0</v>
      </c>
      <c r="N522" t="n">
        <v>0</v>
      </c>
      <c r="O522" t="n">
        <v>0</v>
      </c>
      <c r="P522" t="n">
        <v>0</v>
      </c>
      <c r="Q522" t="n">
        <v>0</v>
      </c>
      <c r="R522" s="2" t="inlineStr"/>
    </row>
    <row r="523" ht="15" customHeight="1">
      <c r="A523" t="inlineStr">
        <is>
          <t>A 55696-2022</t>
        </is>
      </c>
      <c r="B523" s="1" t="n">
        <v>44888</v>
      </c>
      <c r="C523" s="1" t="n">
        <v>46012</v>
      </c>
      <c r="D523" t="inlineStr">
        <is>
          <t>STOCKHOLMS LÄN</t>
        </is>
      </c>
      <c r="E523" t="inlineStr">
        <is>
          <t>NORRTÄLJE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31868-2025</t>
        </is>
      </c>
      <c r="B524" s="1" t="n">
        <v>45834.6447337963</v>
      </c>
      <c r="C524" s="1" t="n">
        <v>46012</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50907-2022</t>
        </is>
      </c>
      <c r="B525" s="1" t="n">
        <v>44867.62090277778</v>
      </c>
      <c r="C525" s="1" t="n">
        <v>46012</v>
      </c>
      <c r="D525" t="inlineStr">
        <is>
          <t>STOCKHOLMS LÄN</t>
        </is>
      </c>
      <c r="E525" t="inlineStr">
        <is>
          <t>NORRTÄLJE</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6919-2025</t>
        </is>
      </c>
      <c r="B526" s="1" t="n">
        <v>45701.44372685185</v>
      </c>
      <c r="C526" s="1" t="n">
        <v>46012</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6413-2025</t>
        </is>
      </c>
      <c r="B527" s="1" t="n">
        <v>45699.46283564815</v>
      </c>
      <c r="C527" s="1" t="n">
        <v>46012</v>
      </c>
      <c r="D527" t="inlineStr">
        <is>
          <t>STOCKHOLMS LÄN</t>
        </is>
      </c>
      <c r="E527" t="inlineStr">
        <is>
          <t>NORRTÄLJE</t>
        </is>
      </c>
      <c r="G527" t="n">
        <v>3.6</v>
      </c>
      <c r="H527" t="n">
        <v>0</v>
      </c>
      <c r="I527" t="n">
        <v>0</v>
      </c>
      <c r="J527" t="n">
        <v>0</v>
      </c>
      <c r="K527" t="n">
        <v>0</v>
      </c>
      <c r="L527" t="n">
        <v>0</v>
      </c>
      <c r="M527" t="n">
        <v>0</v>
      </c>
      <c r="N527" t="n">
        <v>0</v>
      </c>
      <c r="O527" t="n">
        <v>0</v>
      </c>
      <c r="P527" t="n">
        <v>0</v>
      </c>
      <c r="Q527" t="n">
        <v>0</v>
      </c>
      <c r="R527" s="2" t="inlineStr"/>
    </row>
    <row r="528" ht="15" customHeight="1">
      <c r="A528" t="inlineStr">
        <is>
          <t>A 53362-2023</t>
        </is>
      </c>
      <c r="B528" s="1" t="n">
        <v>45223</v>
      </c>
      <c r="C528" s="1" t="n">
        <v>46012</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44354-2025</t>
        </is>
      </c>
      <c r="B529" s="1" t="n">
        <v>45916.44655092592</v>
      </c>
      <c r="C529" s="1" t="n">
        <v>46012</v>
      </c>
      <c r="D529" t="inlineStr">
        <is>
          <t>STOCKHOLMS LÄN</t>
        </is>
      </c>
      <c r="E529" t="inlineStr">
        <is>
          <t>NORRTÄLJE</t>
        </is>
      </c>
      <c r="G529" t="n">
        <v>2.3</v>
      </c>
      <c r="H529" t="n">
        <v>0</v>
      </c>
      <c r="I529" t="n">
        <v>0</v>
      </c>
      <c r="J529" t="n">
        <v>0</v>
      </c>
      <c r="K529" t="n">
        <v>0</v>
      </c>
      <c r="L529" t="n">
        <v>0</v>
      </c>
      <c r="M529" t="n">
        <v>0</v>
      </c>
      <c r="N529" t="n">
        <v>0</v>
      </c>
      <c r="O529" t="n">
        <v>0</v>
      </c>
      <c r="P529" t="n">
        <v>0</v>
      </c>
      <c r="Q529" t="n">
        <v>0</v>
      </c>
      <c r="R529" s="2" t="inlineStr"/>
    </row>
    <row r="530" ht="15" customHeight="1">
      <c r="A530" t="inlineStr">
        <is>
          <t>A 31880-2025</t>
        </is>
      </c>
      <c r="B530" s="1" t="n">
        <v>45834.65538194445</v>
      </c>
      <c r="C530" s="1" t="n">
        <v>46012</v>
      </c>
      <c r="D530" t="inlineStr">
        <is>
          <t>STOCKHOLMS LÄN</t>
        </is>
      </c>
      <c r="E530" t="inlineStr">
        <is>
          <t>NORRTÄLJE</t>
        </is>
      </c>
      <c r="G530" t="n">
        <v>1.4</v>
      </c>
      <c r="H530" t="n">
        <v>0</v>
      </c>
      <c r="I530" t="n">
        <v>0</v>
      </c>
      <c r="J530" t="n">
        <v>0</v>
      </c>
      <c r="K530" t="n">
        <v>0</v>
      </c>
      <c r="L530" t="n">
        <v>0</v>
      </c>
      <c r="M530" t="n">
        <v>0</v>
      </c>
      <c r="N530" t="n">
        <v>0</v>
      </c>
      <c r="O530" t="n">
        <v>0</v>
      </c>
      <c r="P530" t="n">
        <v>0</v>
      </c>
      <c r="Q530" t="n">
        <v>0</v>
      </c>
      <c r="R530" s="2" t="inlineStr"/>
    </row>
    <row r="531" ht="15" customHeight="1">
      <c r="A531" t="inlineStr">
        <is>
          <t>A 44333-2025</t>
        </is>
      </c>
      <c r="B531" s="1" t="n">
        <v>45916.42293981482</v>
      </c>
      <c r="C531" s="1" t="n">
        <v>46012</v>
      </c>
      <c r="D531" t="inlineStr">
        <is>
          <t>STOCKHOLMS LÄN</t>
        </is>
      </c>
      <c r="E531" t="inlineStr">
        <is>
          <t>NORRTÄLJE</t>
        </is>
      </c>
      <c r="G531" t="n">
        <v>1.5</v>
      </c>
      <c r="H531" t="n">
        <v>0</v>
      </c>
      <c r="I531" t="n">
        <v>0</v>
      </c>
      <c r="J531" t="n">
        <v>0</v>
      </c>
      <c r="K531" t="n">
        <v>0</v>
      </c>
      <c r="L531" t="n">
        <v>0</v>
      </c>
      <c r="M531" t="n">
        <v>0</v>
      </c>
      <c r="N531" t="n">
        <v>0</v>
      </c>
      <c r="O531" t="n">
        <v>0</v>
      </c>
      <c r="P531" t="n">
        <v>0</v>
      </c>
      <c r="Q531" t="n">
        <v>0</v>
      </c>
      <c r="R531" s="2" t="inlineStr"/>
    </row>
    <row r="532" ht="15" customHeight="1">
      <c r="A532" t="inlineStr">
        <is>
          <t>A 32283-2025</t>
        </is>
      </c>
      <c r="B532" s="1" t="n">
        <v>45835.68076388889</v>
      </c>
      <c r="C532" s="1" t="n">
        <v>46012</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44306-2025</t>
        </is>
      </c>
      <c r="B533" s="1" t="n">
        <v>45916.37736111111</v>
      </c>
      <c r="C533" s="1" t="n">
        <v>46012</v>
      </c>
      <c r="D533" t="inlineStr">
        <is>
          <t>STOCKHOLMS LÄN</t>
        </is>
      </c>
      <c r="E533" t="inlineStr">
        <is>
          <t>NORRTÄLJE</t>
        </is>
      </c>
      <c r="G533" t="n">
        <v>2.8</v>
      </c>
      <c r="H533" t="n">
        <v>0</v>
      </c>
      <c r="I533" t="n">
        <v>0</v>
      </c>
      <c r="J533" t="n">
        <v>0</v>
      </c>
      <c r="K533" t="n">
        <v>0</v>
      </c>
      <c r="L533" t="n">
        <v>0</v>
      </c>
      <c r="M533" t="n">
        <v>0</v>
      </c>
      <c r="N533" t="n">
        <v>0</v>
      </c>
      <c r="O533" t="n">
        <v>0</v>
      </c>
      <c r="P533" t="n">
        <v>0</v>
      </c>
      <c r="Q533" t="n">
        <v>0</v>
      </c>
      <c r="R533" s="2" t="inlineStr"/>
    </row>
    <row r="534" ht="15" customHeight="1">
      <c r="A534" t="inlineStr">
        <is>
          <t>A 8433-2022</t>
        </is>
      </c>
      <c r="B534" s="1" t="n">
        <v>44611</v>
      </c>
      <c r="C534" s="1" t="n">
        <v>46012</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32122-2025</t>
        </is>
      </c>
      <c r="B535" s="1" t="n">
        <v>45835.4928125</v>
      </c>
      <c r="C535" s="1" t="n">
        <v>46012</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10215-2023</t>
        </is>
      </c>
      <c r="B536" s="1" t="n">
        <v>44986.5887962963</v>
      </c>
      <c r="C536" s="1" t="n">
        <v>46012</v>
      </c>
      <c r="D536" t="inlineStr">
        <is>
          <t>STOCKHOLMS LÄN</t>
        </is>
      </c>
      <c r="E536" t="inlineStr">
        <is>
          <t>NORRTÄLJE</t>
        </is>
      </c>
      <c r="G536" t="n">
        <v>6.5</v>
      </c>
      <c r="H536" t="n">
        <v>0</v>
      </c>
      <c r="I536" t="n">
        <v>0</v>
      </c>
      <c r="J536" t="n">
        <v>0</v>
      </c>
      <c r="K536" t="n">
        <v>0</v>
      </c>
      <c r="L536" t="n">
        <v>0</v>
      </c>
      <c r="M536" t="n">
        <v>0</v>
      </c>
      <c r="N536" t="n">
        <v>0</v>
      </c>
      <c r="O536" t="n">
        <v>0</v>
      </c>
      <c r="P536" t="n">
        <v>0</v>
      </c>
      <c r="Q536" t="n">
        <v>0</v>
      </c>
      <c r="R536" s="2" t="inlineStr"/>
    </row>
    <row r="537" ht="15" customHeight="1">
      <c r="A537" t="inlineStr">
        <is>
          <t>A 32094-2025</t>
        </is>
      </c>
      <c r="B537" s="1" t="n">
        <v>45835.46034722222</v>
      </c>
      <c r="C537" s="1" t="n">
        <v>46012</v>
      </c>
      <c r="D537" t="inlineStr">
        <is>
          <t>STOCKHOLMS LÄN</t>
        </is>
      </c>
      <c r="E537" t="inlineStr">
        <is>
          <t>NORRTÄLJE</t>
        </is>
      </c>
      <c r="F537" t="inlineStr">
        <is>
          <t>Holmen skog AB</t>
        </is>
      </c>
      <c r="G537" t="n">
        <v>2.9</v>
      </c>
      <c r="H537" t="n">
        <v>0</v>
      </c>
      <c r="I537" t="n">
        <v>0</v>
      </c>
      <c r="J537" t="n">
        <v>0</v>
      </c>
      <c r="K537" t="n">
        <v>0</v>
      </c>
      <c r="L537" t="n">
        <v>0</v>
      </c>
      <c r="M537" t="n">
        <v>0</v>
      </c>
      <c r="N537" t="n">
        <v>0</v>
      </c>
      <c r="O537" t="n">
        <v>0</v>
      </c>
      <c r="P537" t="n">
        <v>0</v>
      </c>
      <c r="Q537" t="n">
        <v>0</v>
      </c>
      <c r="R537" s="2" t="inlineStr"/>
    </row>
    <row r="538" ht="15" customHeight="1">
      <c r="A538" t="inlineStr">
        <is>
          <t>A 44937-2025</t>
        </is>
      </c>
      <c r="B538" s="1" t="n">
        <v>45918</v>
      </c>
      <c r="C538" s="1" t="n">
        <v>46012</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32016-2025</t>
        </is>
      </c>
      <c r="B539" s="1" t="n">
        <v>45835</v>
      </c>
      <c r="C539" s="1" t="n">
        <v>46012</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32396-2025</t>
        </is>
      </c>
      <c r="B540" s="1" t="n">
        <v>45837</v>
      </c>
      <c r="C540" s="1" t="n">
        <v>46012</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32397-2025</t>
        </is>
      </c>
      <c r="B541" s="1" t="n">
        <v>45837.94081018519</v>
      </c>
      <c r="C541" s="1" t="n">
        <v>46012</v>
      </c>
      <c r="D541" t="inlineStr">
        <is>
          <t>STOCKHOLMS LÄN</t>
        </is>
      </c>
      <c r="E541" t="inlineStr">
        <is>
          <t>NORRTÄLJE</t>
        </is>
      </c>
      <c r="G541" t="n">
        <v>5.9</v>
      </c>
      <c r="H541" t="n">
        <v>0</v>
      </c>
      <c r="I541" t="n">
        <v>0</v>
      </c>
      <c r="J541" t="n">
        <v>0</v>
      </c>
      <c r="K541" t="n">
        <v>0</v>
      </c>
      <c r="L541" t="n">
        <v>0</v>
      </c>
      <c r="M541" t="n">
        <v>0</v>
      </c>
      <c r="N541" t="n">
        <v>0</v>
      </c>
      <c r="O541" t="n">
        <v>0</v>
      </c>
      <c r="P541" t="n">
        <v>0</v>
      </c>
      <c r="Q541" t="n">
        <v>0</v>
      </c>
      <c r="R541" s="2" t="inlineStr"/>
    </row>
    <row r="542" ht="15" customHeight="1">
      <c r="A542" t="inlineStr">
        <is>
          <t>A 32480-2025</t>
        </is>
      </c>
      <c r="B542" s="1" t="n">
        <v>45838.43261574074</v>
      </c>
      <c r="C542" s="1" t="n">
        <v>46012</v>
      </c>
      <c r="D542" t="inlineStr">
        <is>
          <t>STOCKHOLMS LÄN</t>
        </is>
      </c>
      <c r="E542" t="inlineStr">
        <is>
          <t>NORRTÄLJE</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14127-2025</t>
        </is>
      </c>
      <c r="B543" s="1" t="n">
        <v>45740.47055555556</v>
      </c>
      <c r="C543" s="1" t="n">
        <v>46012</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32395-2025</t>
        </is>
      </c>
      <c r="B544" s="1" t="n">
        <v>45837.93730324074</v>
      </c>
      <c r="C544" s="1" t="n">
        <v>46012</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22359-2025</t>
        </is>
      </c>
      <c r="B545" s="1" t="n">
        <v>45786</v>
      </c>
      <c r="C545" s="1" t="n">
        <v>46012</v>
      </c>
      <c r="D545" t="inlineStr">
        <is>
          <t>STOCKHOLMS LÄN</t>
        </is>
      </c>
      <c r="E545" t="inlineStr">
        <is>
          <t>NORRTÄLJE</t>
        </is>
      </c>
      <c r="G545" t="n">
        <v>5</v>
      </c>
      <c r="H545" t="n">
        <v>0</v>
      </c>
      <c r="I545" t="n">
        <v>0</v>
      </c>
      <c r="J545" t="n">
        <v>0</v>
      </c>
      <c r="K545" t="n">
        <v>0</v>
      </c>
      <c r="L545" t="n">
        <v>0</v>
      </c>
      <c r="M545" t="n">
        <v>0</v>
      </c>
      <c r="N545" t="n">
        <v>0</v>
      </c>
      <c r="O545" t="n">
        <v>0</v>
      </c>
      <c r="P545" t="n">
        <v>0</v>
      </c>
      <c r="Q545" t="n">
        <v>0</v>
      </c>
      <c r="R545" s="2" t="inlineStr"/>
    </row>
    <row r="546" ht="15" customHeight="1">
      <c r="A546" t="inlineStr">
        <is>
          <t>A 31559-2022</t>
        </is>
      </c>
      <c r="B546" s="1" t="n">
        <v>44775</v>
      </c>
      <c r="C546" s="1" t="n">
        <v>46012</v>
      </c>
      <c r="D546" t="inlineStr">
        <is>
          <t>STOCKHOLMS LÄN</t>
        </is>
      </c>
      <c r="E546" t="inlineStr">
        <is>
          <t>NORRTÄLJE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33211-2025</t>
        </is>
      </c>
      <c r="B547" s="1" t="n">
        <v>45840.62755787037</v>
      </c>
      <c r="C547" s="1" t="n">
        <v>46012</v>
      </c>
      <c r="D547" t="inlineStr">
        <is>
          <t>STOCKHOLMS LÄN</t>
        </is>
      </c>
      <c r="E547" t="inlineStr">
        <is>
          <t>NORRTÄLJE</t>
        </is>
      </c>
      <c r="G547" t="n">
        <v>5.1</v>
      </c>
      <c r="H547" t="n">
        <v>0</v>
      </c>
      <c r="I547" t="n">
        <v>0</v>
      </c>
      <c r="J547" t="n">
        <v>0</v>
      </c>
      <c r="K547" t="n">
        <v>0</v>
      </c>
      <c r="L547" t="n">
        <v>0</v>
      </c>
      <c r="M547" t="n">
        <v>0</v>
      </c>
      <c r="N547" t="n">
        <v>0</v>
      </c>
      <c r="O547" t="n">
        <v>0</v>
      </c>
      <c r="P547" t="n">
        <v>0</v>
      </c>
      <c r="Q547" t="n">
        <v>0</v>
      </c>
      <c r="R547" s="2" t="inlineStr"/>
    </row>
    <row r="548" ht="15" customHeight="1">
      <c r="A548" t="inlineStr">
        <is>
          <t>A 52001-2023</t>
        </is>
      </c>
      <c r="B548" s="1" t="n">
        <v>45223</v>
      </c>
      <c r="C548" s="1" t="n">
        <v>46012</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32903-2025</t>
        </is>
      </c>
      <c r="B549" s="1" t="n">
        <v>45839.62398148148</v>
      </c>
      <c r="C549" s="1" t="n">
        <v>46012</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33265-2025</t>
        </is>
      </c>
      <c r="B550" s="1" t="n">
        <v>45840.67829861111</v>
      </c>
      <c r="C550" s="1" t="n">
        <v>46012</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32872-2025</t>
        </is>
      </c>
      <c r="B551" s="1" t="n">
        <v>45839</v>
      </c>
      <c r="C551" s="1" t="n">
        <v>46012</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33702-2025</t>
        </is>
      </c>
      <c r="B552" s="1" t="n">
        <v>45841.74596064815</v>
      </c>
      <c r="C552" s="1" t="n">
        <v>46012</v>
      </c>
      <c r="D552" t="inlineStr">
        <is>
          <t>STOCKHOLMS LÄN</t>
        </is>
      </c>
      <c r="E552" t="inlineStr">
        <is>
          <t>NORRTÄLJE</t>
        </is>
      </c>
      <c r="G552" t="n">
        <v>0.5</v>
      </c>
      <c r="H552" t="n">
        <v>0</v>
      </c>
      <c r="I552" t="n">
        <v>0</v>
      </c>
      <c r="J552" t="n">
        <v>0</v>
      </c>
      <c r="K552" t="n">
        <v>0</v>
      </c>
      <c r="L552" t="n">
        <v>0</v>
      </c>
      <c r="M552" t="n">
        <v>0</v>
      </c>
      <c r="N552" t="n">
        <v>0</v>
      </c>
      <c r="O552" t="n">
        <v>0</v>
      </c>
      <c r="P552" t="n">
        <v>0</v>
      </c>
      <c r="Q552" t="n">
        <v>0</v>
      </c>
      <c r="R552" s="2" t="inlineStr"/>
    </row>
    <row r="553" ht="15" customHeight="1">
      <c r="A553" t="inlineStr">
        <is>
          <t>A 33336-2025</t>
        </is>
      </c>
      <c r="B553" s="1" t="n">
        <v>45841.35611111111</v>
      </c>
      <c r="C553" s="1" t="n">
        <v>46012</v>
      </c>
      <c r="D553" t="inlineStr">
        <is>
          <t>STOCKHOLMS LÄN</t>
        </is>
      </c>
      <c r="E553" t="inlineStr">
        <is>
          <t>NORRTÄLJE</t>
        </is>
      </c>
      <c r="G553" t="n">
        <v>2.4</v>
      </c>
      <c r="H553" t="n">
        <v>0</v>
      </c>
      <c r="I553" t="n">
        <v>0</v>
      </c>
      <c r="J553" t="n">
        <v>0</v>
      </c>
      <c r="K553" t="n">
        <v>0</v>
      </c>
      <c r="L553" t="n">
        <v>0</v>
      </c>
      <c r="M553" t="n">
        <v>0</v>
      </c>
      <c r="N553" t="n">
        <v>0</v>
      </c>
      <c r="O553" t="n">
        <v>0</v>
      </c>
      <c r="P553" t="n">
        <v>0</v>
      </c>
      <c r="Q553" t="n">
        <v>0</v>
      </c>
      <c r="R553" s="2" t="inlineStr"/>
    </row>
    <row r="554" ht="15" customHeight="1">
      <c r="A554" t="inlineStr">
        <is>
          <t>A 22456-2023</t>
        </is>
      </c>
      <c r="B554" s="1" t="n">
        <v>45070</v>
      </c>
      <c r="C554" s="1" t="n">
        <v>46012</v>
      </c>
      <c r="D554" t="inlineStr">
        <is>
          <t>STOCKHOLMS LÄN</t>
        </is>
      </c>
      <c r="E554" t="inlineStr">
        <is>
          <t>NORRTÄLJE</t>
        </is>
      </c>
      <c r="G554" t="n">
        <v>3.1</v>
      </c>
      <c r="H554" t="n">
        <v>0</v>
      </c>
      <c r="I554" t="n">
        <v>0</v>
      </c>
      <c r="J554" t="n">
        <v>0</v>
      </c>
      <c r="K554" t="n">
        <v>0</v>
      </c>
      <c r="L554" t="n">
        <v>0</v>
      </c>
      <c r="M554" t="n">
        <v>0</v>
      </c>
      <c r="N554" t="n">
        <v>0</v>
      </c>
      <c r="O554" t="n">
        <v>0</v>
      </c>
      <c r="P554" t="n">
        <v>0</v>
      </c>
      <c r="Q554" t="n">
        <v>0</v>
      </c>
      <c r="R554" s="2" t="inlineStr"/>
    </row>
    <row r="555" ht="15" customHeight="1">
      <c r="A555" t="inlineStr">
        <is>
          <t>A 45697-2025</t>
        </is>
      </c>
      <c r="B555" s="1" t="n">
        <v>45923.39877314815</v>
      </c>
      <c r="C555" s="1" t="n">
        <v>46012</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33552-2025</t>
        </is>
      </c>
      <c r="B556" s="1" t="n">
        <v>45841.5737962963</v>
      </c>
      <c r="C556" s="1" t="n">
        <v>46012</v>
      </c>
      <c r="D556" t="inlineStr">
        <is>
          <t>STOCKHOLMS LÄN</t>
        </is>
      </c>
      <c r="E556" t="inlineStr">
        <is>
          <t>NORRTÄLJE</t>
        </is>
      </c>
      <c r="G556" t="n">
        <v>8.9</v>
      </c>
      <c r="H556" t="n">
        <v>0</v>
      </c>
      <c r="I556" t="n">
        <v>0</v>
      </c>
      <c r="J556" t="n">
        <v>0</v>
      </c>
      <c r="K556" t="n">
        <v>0</v>
      </c>
      <c r="L556" t="n">
        <v>0</v>
      </c>
      <c r="M556" t="n">
        <v>0</v>
      </c>
      <c r="N556" t="n">
        <v>0</v>
      </c>
      <c r="O556" t="n">
        <v>0</v>
      </c>
      <c r="P556" t="n">
        <v>0</v>
      </c>
      <c r="Q556" t="n">
        <v>0</v>
      </c>
      <c r="R556" s="2" t="inlineStr"/>
    </row>
    <row r="557" ht="15" customHeight="1">
      <c r="A557" t="inlineStr">
        <is>
          <t>A 19580-2022</t>
        </is>
      </c>
      <c r="B557" s="1" t="n">
        <v>44693</v>
      </c>
      <c r="C557" s="1" t="n">
        <v>46012</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33824-2025</t>
        </is>
      </c>
      <c r="B558" s="1" t="n">
        <v>45842.46885416667</v>
      </c>
      <c r="C558" s="1" t="n">
        <v>46012</v>
      </c>
      <c r="D558" t="inlineStr">
        <is>
          <t>STOCKHOLMS LÄN</t>
        </is>
      </c>
      <c r="E558" t="inlineStr">
        <is>
          <t>NORRTÄLJE</t>
        </is>
      </c>
      <c r="G558" t="n">
        <v>1.9</v>
      </c>
      <c r="H558" t="n">
        <v>0</v>
      </c>
      <c r="I558" t="n">
        <v>0</v>
      </c>
      <c r="J558" t="n">
        <v>0</v>
      </c>
      <c r="K558" t="n">
        <v>0</v>
      </c>
      <c r="L558" t="n">
        <v>0</v>
      </c>
      <c r="M558" t="n">
        <v>0</v>
      </c>
      <c r="N558" t="n">
        <v>0</v>
      </c>
      <c r="O558" t="n">
        <v>0</v>
      </c>
      <c r="P558" t="n">
        <v>0</v>
      </c>
      <c r="Q558" t="n">
        <v>0</v>
      </c>
      <c r="R558" s="2" t="inlineStr"/>
    </row>
    <row r="559" ht="15" customHeight="1">
      <c r="A559" t="inlineStr">
        <is>
          <t>A 35256-2025</t>
        </is>
      </c>
      <c r="B559" s="1" t="n">
        <v>45853</v>
      </c>
      <c r="C559" s="1" t="n">
        <v>46012</v>
      </c>
      <c r="D559" t="inlineStr">
        <is>
          <t>STOCKHOLMS LÄN</t>
        </is>
      </c>
      <c r="E559" t="inlineStr">
        <is>
          <t>NORRTÄLJE</t>
        </is>
      </c>
      <c r="G559" t="n">
        <v>6.4</v>
      </c>
      <c r="H559" t="n">
        <v>0</v>
      </c>
      <c r="I559" t="n">
        <v>0</v>
      </c>
      <c r="J559" t="n">
        <v>0</v>
      </c>
      <c r="K559" t="n">
        <v>0</v>
      </c>
      <c r="L559" t="n">
        <v>0</v>
      </c>
      <c r="M559" t="n">
        <v>0</v>
      </c>
      <c r="N559" t="n">
        <v>0</v>
      </c>
      <c r="O559" t="n">
        <v>0</v>
      </c>
      <c r="P559" t="n">
        <v>0</v>
      </c>
      <c r="Q559" t="n">
        <v>0</v>
      </c>
      <c r="R559" s="2" t="inlineStr"/>
    </row>
    <row r="560" ht="15" customHeight="1">
      <c r="A560" t="inlineStr">
        <is>
          <t>A 5823-2023</t>
        </is>
      </c>
      <c r="B560" s="1" t="n">
        <v>44963</v>
      </c>
      <c r="C560" s="1" t="n">
        <v>46012</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30731-2023</t>
        </is>
      </c>
      <c r="B561" s="1" t="n">
        <v>45112</v>
      </c>
      <c r="C561" s="1" t="n">
        <v>46012</v>
      </c>
      <c r="D561" t="inlineStr">
        <is>
          <t>STOCKHOLMS LÄN</t>
        </is>
      </c>
      <c r="E561" t="inlineStr">
        <is>
          <t>NORRTÄLJE</t>
        </is>
      </c>
      <c r="G561" t="n">
        <v>1.6</v>
      </c>
      <c r="H561" t="n">
        <v>0</v>
      </c>
      <c r="I561" t="n">
        <v>0</v>
      </c>
      <c r="J561" t="n">
        <v>0</v>
      </c>
      <c r="K561" t="n">
        <v>0</v>
      </c>
      <c r="L561" t="n">
        <v>0</v>
      </c>
      <c r="M561" t="n">
        <v>0</v>
      </c>
      <c r="N561" t="n">
        <v>0</v>
      </c>
      <c r="O561" t="n">
        <v>0</v>
      </c>
      <c r="P561" t="n">
        <v>0</v>
      </c>
      <c r="Q561" t="n">
        <v>0</v>
      </c>
      <c r="R561" s="2" t="inlineStr"/>
    </row>
    <row r="562" ht="15" customHeight="1">
      <c r="A562" t="inlineStr">
        <is>
          <t>A 11988-2021</t>
        </is>
      </c>
      <c r="B562" s="1" t="n">
        <v>44266</v>
      </c>
      <c r="C562" s="1" t="n">
        <v>46012</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12132-2021</t>
        </is>
      </c>
      <c r="B563" s="1" t="n">
        <v>44266</v>
      </c>
      <c r="C563" s="1" t="n">
        <v>46012</v>
      </c>
      <c r="D563" t="inlineStr">
        <is>
          <t>STOCKHOLMS LÄN</t>
        </is>
      </c>
      <c r="E563" t="inlineStr">
        <is>
          <t>NORRTÄLJE</t>
        </is>
      </c>
      <c r="G563" t="n">
        <v>4</v>
      </c>
      <c r="H563" t="n">
        <v>0</v>
      </c>
      <c r="I563" t="n">
        <v>0</v>
      </c>
      <c r="J563" t="n">
        <v>0</v>
      </c>
      <c r="K563" t="n">
        <v>0</v>
      </c>
      <c r="L563" t="n">
        <v>0</v>
      </c>
      <c r="M563" t="n">
        <v>0</v>
      </c>
      <c r="N563" t="n">
        <v>0</v>
      </c>
      <c r="O563" t="n">
        <v>0</v>
      </c>
      <c r="P563" t="n">
        <v>0</v>
      </c>
      <c r="Q563" t="n">
        <v>0</v>
      </c>
      <c r="R563" s="2" t="inlineStr"/>
    </row>
    <row r="564" ht="15" customHeight="1">
      <c r="A564" t="inlineStr">
        <is>
          <t>A 46073-2024</t>
        </is>
      </c>
      <c r="B564" s="1" t="n">
        <v>45581</v>
      </c>
      <c r="C564" s="1" t="n">
        <v>46012</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36689-2023</t>
        </is>
      </c>
      <c r="B565" s="1" t="n">
        <v>45152</v>
      </c>
      <c r="C565" s="1" t="n">
        <v>46012</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51653-2022</t>
        </is>
      </c>
      <c r="B566" s="1" t="n">
        <v>44867</v>
      </c>
      <c r="C566" s="1" t="n">
        <v>46012</v>
      </c>
      <c r="D566" t="inlineStr">
        <is>
          <t>STOCKHOLMS LÄN</t>
        </is>
      </c>
      <c r="E566" t="inlineStr">
        <is>
          <t>NORRTÄLJE</t>
        </is>
      </c>
      <c r="G566" t="n">
        <v>6.6</v>
      </c>
      <c r="H566" t="n">
        <v>0</v>
      </c>
      <c r="I566" t="n">
        <v>0</v>
      </c>
      <c r="J566" t="n">
        <v>0</v>
      </c>
      <c r="K566" t="n">
        <v>0</v>
      </c>
      <c r="L566" t="n">
        <v>0</v>
      </c>
      <c r="M566" t="n">
        <v>0</v>
      </c>
      <c r="N566" t="n">
        <v>0</v>
      </c>
      <c r="O566" t="n">
        <v>0</v>
      </c>
      <c r="P566" t="n">
        <v>0</v>
      </c>
      <c r="Q566" t="n">
        <v>0</v>
      </c>
      <c r="R566" s="2" t="inlineStr"/>
    </row>
    <row r="567" ht="15" customHeight="1">
      <c r="A567" t="inlineStr">
        <is>
          <t>A 34139-2025</t>
        </is>
      </c>
      <c r="B567" s="1" t="n">
        <v>45845</v>
      </c>
      <c r="C567" s="1" t="n">
        <v>46012</v>
      </c>
      <c r="D567" t="inlineStr">
        <is>
          <t>STOCKHOLMS LÄN</t>
        </is>
      </c>
      <c r="E567" t="inlineStr">
        <is>
          <t>NORRTÄLJE</t>
        </is>
      </c>
      <c r="G567" t="n">
        <v>5.5</v>
      </c>
      <c r="H567" t="n">
        <v>0</v>
      </c>
      <c r="I567" t="n">
        <v>0</v>
      </c>
      <c r="J567" t="n">
        <v>0</v>
      </c>
      <c r="K567" t="n">
        <v>0</v>
      </c>
      <c r="L567" t="n">
        <v>0</v>
      </c>
      <c r="M567" t="n">
        <v>0</v>
      </c>
      <c r="N567" t="n">
        <v>0</v>
      </c>
      <c r="O567" t="n">
        <v>0</v>
      </c>
      <c r="P567" t="n">
        <v>0</v>
      </c>
      <c r="Q567" t="n">
        <v>0</v>
      </c>
      <c r="R567" s="2" t="inlineStr"/>
    </row>
    <row r="568" ht="15" customHeight="1">
      <c r="A568" t="inlineStr">
        <is>
          <t>A 34006-2025</t>
        </is>
      </c>
      <c r="B568" s="1" t="n">
        <v>45844.62609953704</v>
      </c>
      <c r="C568" s="1" t="n">
        <v>46012</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46415-2025</t>
        </is>
      </c>
      <c r="B569" s="1" t="n">
        <v>45925.58636574074</v>
      </c>
      <c r="C569" s="1" t="n">
        <v>46012</v>
      </c>
      <c r="D569" t="inlineStr">
        <is>
          <t>STOCKHOLMS LÄN</t>
        </is>
      </c>
      <c r="E569" t="inlineStr">
        <is>
          <t>NORRTÄLJE</t>
        </is>
      </c>
      <c r="G569" t="n">
        <v>3.8</v>
      </c>
      <c r="H569" t="n">
        <v>0</v>
      </c>
      <c r="I569" t="n">
        <v>0</v>
      </c>
      <c r="J569" t="n">
        <v>0</v>
      </c>
      <c r="K569" t="n">
        <v>0</v>
      </c>
      <c r="L569" t="n">
        <v>0</v>
      </c>
      <c r="M569" t="n">
        <v>0</v>
      </c>
      <c r="N569" t="n">
        <v>0</v>
      </c>
      <c r="O569" t="n">
        <v>0</v>
      </c>
      <c r="P569" t="n">
        <v>0</v>
      </c>
      <c r="Q569" t="n">
        <v>0</v>
      </c>
      <c r="R569" s="2" t="inlineStr"/>
    </row>
    <row r="570" ht="15" customHeight="1">
      <c r="A570" t="inlineStr">
        <is>
          <t>A 32103-2022</t>
        </is>
      </c>
      <c r="B570" s="1" t="n">
        <v>44778</v>
      </c>
      <c r="C570" s="1" t="n">
        <v>46012</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55952-2024</t>
        </is>
      </c>
      <c r="B571" s="1" t="n">
        <v>45623.62563657408</v>
      </c>
      <c r="C571" s="1" t="n">
        <v>46012</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23070-2023</t>
        </is>
      </c>
      <c r="B572" s="1" t="n">
        <v>45075</v>
      </c>
      <c r="C572" s="1" t="n">
        <v>46012</v>
      </c>
      <c r="D572" t="inlineStr">
        <is>
          <t>STOCKHOLMS LÄN</t>
        </is>
      </c>
      <c r="E572" t="inlineStr">
        <is>
          <t>NORRTÄLJE</t>
        </is>
      </c>
      <c r="G572" t="n">
        <v>1.5</v>
      </c>
      <c r="H572" t="n">
        <v>0</v>
      </c>
      <c r="I572" t="n">
        <v>0</v>
      </c>
      <c r="J572" t="n">
        <v>0</v>
      </c>
      <c r="K572" t="n">
        <v>0</v>
      </c>
      <c r="L572" t="n">
        <v>0</v>
      </c>
      <c r="M572" t="n">
        <v>0</v>
      </c>
      <c r="N572" t="n">
        <v>0</v>
      </c>
      <c r="O572" t="n">
        <v>0</v>
      </c>
      <c r="P572" t="n">
        <v>0</v>
      </c>
      <c r="Q572" t="n">
        <v>0</v>
      </c>
      <c r="R572" s="2" t="inlineStr"/>
    </row>
    <row r="573" ht="15" customHeight="1">
      <c r="A573" t="inlineStr">
        <is>
          <t>A 34010-2025</t>
        </is>
      </c>
      <c r="B573" s="1" t="n">
        <v>45844.91234953704</v>
      </c>
      <c r="C573" s="1" t="n">
        <v>46012</v>
      </c>
      <c r="D573" t="inlineStr">
        <is>
          <t>STOCKHOLMS LÄN</t>
        </is>
      </c>
      <c r="E573" t="inlineStr">
        <is>
          <t>NORRTÄLJE</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8792-2025</t>
        </is>
      </c>
      <c r="B574" s="1" t="n">
        <v>45712</v>
      </c>
      <c r="C574" s="1" t="n">
        <v>46012</v>
      </c>
      <c r="D574" t="inlineStr">
        <is>
          <t>STOCKHOLMS LÄN</t>
        </is>
      </c>
      <c r="E574" t="inlineStr">
        <is>
          <t>NORRTÄLJE</t>
        </is>
      </c>
      <c r="F574" t="inlineStr">
        <is>
          <t>Övriga Aktiebolag</t>
        </is>
      </c>
      <c r="G574" t="n">
        <v>6.6</v>
      </c>
      <c r="H574" t="n">
        <v>0</v>
      </c>
      <c r="I574" t="n">
        <v>0</v>
      </c>
      <c r="J574" t="n">
        <v>0</v>
      </c>
      <c r="K574" t="n">
        <v>0</v>
      </c>
      <c r="L574" t="n">
        <v>0</v>
      </c>
      <c r="M574" t="n">
        <v>0</v>
      </c>
      <c r="N574" t="n">
        <v>0</v>
      </c>
      <c r="O574" t="n">
        <v>0</v>
      </c>
      <c r="P574" t="n">
        <v>0</v>
      </c>
      <c r="Q574" t="n">
        <v>0</v>
      </c>
      <c r="R574" s="2" t="inlineStr"/>
    </row>
    <row r="575" ht="15" customHeight="1">
      <c r="A575" t="inlineStr">
        <is>
          <t>A 39610-2025</t>
        </is>
      </c>
      <c r="B575" s="1" t="n">
        <v>45890.56001157407</v>
      </c>
      <c r="C575" s="1" t="n">
        <v>46012</v>
      </c>
      <c r="D575" t="inlineStr">
        <is>
          <t>STOCKHOLMS LÄN</t>
        </is>
      </c>
      <c r="E575" t="inlineStr">
        <is>
          <t>NORRTÄLJE</t>
        </is>
      </c>
      <c r="G575" t="n">
        <v>28.6</v>
      </c>
      <c r="H575" t="n">
        <v>0</v>
      </c>
      <c r="I575" t="n">
        <v>0</v>
      </c>
      <c r="J575" t="n">
        <v>0</v>
      </c>
      <c r="K575" t="n">
        <v>0</v>
      </c>
      <c r="L575" t="n">
        <v>0</v>
      </c>
      <c r="M575" t="n">
        <v>0</v>
      </c>
      <c r="N575" t="n">
        <v>0</v>
      </c>
      <c r="O575" t="n">
        <v>0</v>
      </c>
      <c r="P575" t="n">
        <v>0</v>
      </c>
      <c r="Q575" t="n">
        <v>0</v>
      </c>
      <c r="R575" s="2" t="inlineStr"/>
    </row>
    <row r="576" ht="15" customHeight="1">
      <c r="A576" t="inlineStr">
        <is>
          <t>A 7571-2024</t>
        </is>
      </c>
      <c r="B576" s="1" t="n">
        <v>45348.46300925926</v>
      </c>
      <c r="C576" s="1" t="n">
        <v>46012</v>
      </c>
      <c r="D576" t="inlineStr">
        <is>
          <t>STOCKHOLMS LÄN</t>
        </is>
      </c>
      <c r="E576" t="inlineStr">
        <is>
          <t>NORRTÄLJE</t>
        </is>
      </c>
      <c r="F576" t="inlineStr">
        <is>
          <t>Holmen skog AB</t>
        </is>
      </c>
      <c r="G576" t="n">
        <v>1.8</v>
      </c>
      <c r="H576" t="n">
        <v>0</v>
      </c>
      <c r="I576" t="n">
        <v>0</v>
      </c>
      <c r="J576" t="n">
        <v>0</v>
      </c>
      <c r="K576" t="n">
        <v>0</v>
      </c>
      <c r="L576" t="n">
        <v>0</v>
      </c>
      <c r="M576" t="n">
        <v>0</v>
      </c>
      <c r="N576" t="n">
        <v>0</v>
      </c>
      <c r="O576" t="n">
        <v>0</v>
      </c>
      <c r="P576" t="n">
        <v>0</v>
      </c>
      <c r="Q576" t="n">
        <v>0</v>
      </c>
      <c r="R576" s="2" t="inlineStr"/>
    </row>
    <row r="577" ht="15" customHeight="1">
      <c r="A577" t="inlineStr">
        <is>
          <t>A 36269-2022</t>
        </is>
      </c>
      <c r="B577" s="1" t="n">
        <v>44803</v>
      </c>
      <c r="C577" s="1" t="n">
        <v>46012</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5665-2025</t>
        </is>
      </c>
      <c r="B578" s="1" t="n">
        <v>45693</v>
      </c>
      <c r="C578" s="1" t="n">
        <v>46012</v>
      </c>
      <c r="D578" t="inlineStr">
        <is>
          <t>STOCKHOLMS LÄN</t>
        </is>
      </c>
      <c r="E578" t="inlineStr">
        <is>
          <t>NORRTÄLJE</t>
        </is>
      </c>
      <c r="G578" t="n">
        <v>4</v>
      </c>
      <c r="H578" t="n">
        <v>0</v>
      </c>
      <c r="I578" t="n">
        <v>0</v>
      </c>
      <c r="J578" t="n">
        <v>0</v>
      </c>
      <c r="K578" t="n">
        <v>0</v>
      </c>
      <c r="L578" t="n">
        <v>0</v>
      </c>
      <c r="M578" t="n">
        <v>0</v>
      </c>
      <c r="N578" t="n">
        <v>0</v>
      </c>
      <c r="O578" t="n">
        <v>0</v>
      </c>
      <c r="P578" t="n">
        <v>0</v>
      </c>
      <c r="Q578" t="n">
        <v>0</v>
      </c>
      <c r="R578" s="2" t="inlineStr"/>
    </row>
    <row r="579" ht="15" customHeight="1">
      <c r="A579" t="inlineStr">
        <is>
          <t>A 12407-2025</t>
        </is>
      </c>
      <c r="B579" s="1" t="n">
        <v>45730.42851851852</v>
      </c>
      <c r="C579" s="1" t="n">
        <v>46012</v>
      </c>
      <c r="D579" t="inlineStr">
        <is>
          <t>STOCKHOLMS LÄN</t>
        </is>
      </c>
      <c r="E579" t="inlineStr">
        <is>
          <t>NORRTÄLJE</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55599-2025</t>
        </is>
      </c>
      <c r="B580" s="1" t="n">
        <v>45971.76810185185</v>
      </c>
      <c r="C580" s="1" t="n">
        <v>46012</v>
      </c>
      <c r="D580" t="inlineStr">
        <is>
          <t>STOCKHOLMS LÄN</t>
        </is>
      </c>
      <c r="E580" t="inlineStr">
        <is>
          <t>NORRTÄLJE</t>
        </is>
      </c>
      <c r="F580" t="inlineStr">
        <is>
          <t>Holmen skog AB</t>
        </is>
      </c>
      <c r="G580" t="n">
        <v>6.4</v>
      </c>
      <c r="H580" t="n">
        <v>0</v>
      </c>
      <c r="I580" t="n">
        <v>0</v>
      </c>
      <c r="J580" t="n">
        <v>0</v>
      </c>
      <c r="K580" t="n">
        <v>0</v>
      </c>
      <c r="L580" t="n">
        <v>0</v>
      </c>
      <c r="M580" t="n">
        <v>0</v>
      </c>
      <c r="N580" t="n">
        <v>0</v>
      </c>
      <c r="O580" t="n">
        <v>0</v>
      </c>
      <c r="P580" t="n">
        <v>0</v>
      </c>
      <c r="Q580" t="n">
        <v>0</v>
      </c>
      <c r="R580" s="2" t="inlineStr"/>
    </row>
    <row r="581" ht="15" customHeight="1">
      <c r="A581" t="inlineStr">
        <is>
          <t>A 26636-2023</t>
        </is>
      </c>
      <c r="B581" s="1" t="n">
        <v>45092</v>
      </c>
      <c r="C581" s="1" t="n">
        <v>46012</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26637-2023</t>
        </is>
      </c>
      <c r="B582" s="1" t="n">
        <v>45092</v>
      </c>
      <c r="C582" s="1" t="n">
        <v>46012</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23266-2023</t>
        </is>
      </c>
      <c r="B583" s="1" t="n">
        <v>45075.90817129629</v>
      </c>
      <c r="C583" s="1" t="n">
        <v>46012</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35110-2025</t>
        </is>
      </c>
      <c r="B584" s="1" t="n">
        <v>45852.58030092593</v>
      </c>
      <c r="C584" s="1" t="n">
        <v>46012</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47460-2025</t>
        </is>
      </c>
      <c r="B585" s="1" t="n">
        <v>45930.66012731481</v>
      </c>
      <c r="C585" s="1" t="n">
        <v>46012</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35161-2022</t>
        </is>
      </c>
      <c r="B586" s="1" t="n">
        <v>44797</v>
      </c>
      <c r="C586" s="1" t="n">
        <v>46012</v>
      </c>
      <c r="D586" t="inlineStr">
        <is>
          <t>STOCKHOLMS LÄN</t>
        </is>
      </c>
      <c r="E586" t="inlineStr">
        <is>
          <t>NORRTÄLJE</t>
        </is>
      </c>
      <c r="G586" t="n">
        <v>6</v>
      </c>
      <c r="H586" t="n">
        <v>0</v>
      </c>
      <c r="I586" t="n">
        <v>0</v>
      </c>
      <c r="J586" t="n">
        <v>0</v>
      </c>
      <c r="K586" t="n">
        <v>0</v>
      </c>
      <c r="L586" t="n">
        <v>0</v>
      </c>
      <c r="M586" t="n">
        <v>0</v>
      </c>
      <c r="N586" t="n">
        <v>0</v>
      </c>
      <c r="O586" t="n">
        <v>0</v>
      </c>
      <c r="P586" t="n">
        <v>0</v>
      </c>
      <c r="Q586" t="n">
        <v>0</v>
      </c>
      <c r="R586" s="2" t="inlineStr"/>
    </row>
    <row r="587" ht="15" customHeight="1">
      <c r="A587" t="inlineStr">
        <is>
          <t>A 46900-2025</t>
        </is>
      </c>
      <c r="B587" s="1" t="n">
        <v>45929.38712962963</v>
      </c>
      <c r="C587" s="1" t="n">
        <v>46012</v>
      </c>
      <c r="D587" t="inlineStr">
        <is>
          <t>STOCKHOLMS LÄN</t>
        </is>
      </c>
      <c r="E587" t="inlineStr">
        <is>
          <t>NORRTÄLJE</t>
        </is>
      </c>
      <c r="F587" t="inlineStr">
        <is>
          <t>Holmen skog AB</t>
        </is>
      </c>
      <c r="G587" t="n">
        <v>6.2</v>
      </c>
      <c r="H587" t="n">
        <v>0</v>
      </c>
      <c r="I587" t="n">
        <v>0</v>
      </c>
      <c r="J587" t="n">
        <v>0</v>
      </c>
      <c r="K587" t="n">
        <v>0</v>
      </c>
      <c r="L587" t="n">
        <v>0</v>
      </c>
      <c r="M587" t="n">
        <v>0</v>
      </c>
      <c r="N587" t="n">
        <v>0</v>
      </c>
      <c r="O587" t="n">
        <v>0</v>
      </c>
      <c r="P587" t="n">
        <v>0</v>
      </c>
      <c r="Q587" t="n">
        <v>0</v>
      </c>
      <c r="R587" s="2" t="inlineStr"/>
    </row>
    <row r="588" ht="15" customHeight="1">
      <c r="A588" t="inlineStr">
        <is>
          <t>A 35254-2025</t>
        </is>
      </c>
      <c r="B588" s="1" t="n">
        <v>45853</v>
      </c>
      <c r="C588" s="1" t="n">
        <v>46012</v>
      </c>
      <c r="D588" t="inlineStr">
        <is>
          <t>STOCKHOLMS LÄN</t>
        </is>
      </c>
      <c r="E588" t="inlineStr">
        <is>
          <t>NORRTÄLJE</t>
        </is>
      </c>
      <c r="G588" t="n">
        <v>6.5</v>
      </c>
      <c r="H588" t="n">
        <v>0</v>
      </c>
      <c r="I588" t="n">
        <v>0</v>
      </c>
      <c r="J588" t="n">
        <v>0</v>
      </c>
      <c r="K588" t="n">
        <v>0</v>
      </c>
      <c r="L588" t="n">
        <v>0</v>
      </c>
      <c r="M588" t="n">
        <v>0</v>
      </c>
      <c r="N588" t="n">
        <v>0</v>
      </c>
      <c r="O588" t="n">
        <v>0</v>
      </c>
      <c r="P588" t="n">
        <v>0</v>
      </c>
      <c r="Q588" t="n">
        <v>0</v>
      </c>
      <c r="R588" s="2" t="inlineStr"/>
    </row>
    <row r="589" ht="15" customHeight="1">
      <c r="A589" t="inlineStr">
        <is>
          <t>A 56114-2025</t>
        </is>
      </c>
      <c r="B589" s="1" t="n">
        <v>45973.74474537037</v>
      </c>
      <c r="C589" s="1" t="n">
        <v>46012</v>
      </c>
      <c r="D589" t="inlineStr">
        <is>
          <t>STOCKHOLMS LÄN</t>
        </is>
      </c>
      <c r="E589" t="inlineStr">
        <is>
          <t>NORRTÄLJE</t>
        </is>
      </c>
      <c r="G589" t="n">
        <v>0.8</v>
      </c>
      <c r="H589" t="n">
        <v>0</v>
      </c>
      <c r="I589" t="n">
        <v>0</v>
      </c>
      <c r="J589" t="n">
        <v>0</v>
      </c>
      <c r="K589" t="n">
        <v>0</v>
      </c>
      <c r="L589" t="n">
        <v>0</v>
      </c>
      <c r="M589" t="n">
        <v>0</v>
      </c>
      <c r="N589" t="n">
        <v>0</v>
      </c>
      <c r="O589" t="n">
        <v>0</v>
      </c>
      <c r="P589" t="n">
        <v>0</v>
      </c>
      <c r="Q589" t="n">
        <v>0</v>
      </c>
      <c r="R589" s="2" t="inlineStr"/>
    </row>
    <row r="590" ht="15" customHeight="1">
      <c r="A590" t="inlineStr">
        <is>
          <t>A 35479-2025</t>
        </is>
      </c>
      <c r="B590" s="1" t="n">
        <v>45855.69387731481</v>
      </c>
      <c r="C590" s="1" t="n">
        <v>46012</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7903-2021</t>
        </is>
      </c>
      <c r="B591" s="1" t="n">
        <v>44243.33587962963</v>
      </c>
      <c r="C591" s="1" t="n">
        <v>46012</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35451-2025</t>
        </is>
      </c>
      <c r="B592" s="1" t="n">
        <v>45855.57033564815</v>
      </c>
      <c r="C592" s="1" t="n">
        <v>46012</v>
      </c>
      <c r="D592" t="inlineStr">
        <is>
          <t>STOCKHOLMS LÄN</t>
        </is>
      </c>
      <c r="E592" t="inlineStr">
        <is>
          <t>NORRTÄLJE</t>
        </is>
      </c>
      <c r="F592" t="inlineStr">
        <is>
          <t>Holmen skog AB</t>
        </is>
      </c>
      <c r="G592" t="n">
        <v>7.4</v>
      </c>
      <c r="H592" t="n">
        <v>0</v>
      </c>
      <c r="I592" t="n">
        <v>0</v>
      </c>
      <c r="J592" t="n">
        <v>0</v>
      </c>
      <c r="K592" t="n">
        <v>0</v>
      </c>
      <c r="L592" t="n">
        <v>0</v>
      </c>
      <c r="M592" t="n">
        <v>0</v>
      </c>
      <c r="N592" t="n">
        <v>0</v>
      </c>
      <c r="O592" t="n">
        <v>0</v>
      </c>
      <c r="P592" t="n">
        <v>0</v>
      </c>
      <c r="Q592" t="n">
        <v>0</v>
      </c>
      <c r="R592" s="2" t="inlineStr"/>
    </row>
    <row r="593" ht="15" customHeight="1">
      <c r="A593" t="inlineStr">
        <is>
          <t>A 35478-2025</t>
        </is>
      </c>
      <c r="B593" s="1" t="n">
        <v>45855.68413194444</v>
      </c>
      <c r="C593" s="1" t="n">
        <v>46012</v>
      </c>
      <c r="D593" t="inlineStr">
        <is>
          <t>STOCKHOLMS LÄN</t>
        </is>
      </c>
      <c r="E593" t="inlineStr">
        <is>
          <t>NORRTÄLJE</t>
        </is>
      </c>
      <c r="F593" t="inlineStr">
        <is>
          <t>Holmen skog AB</t>
        </is>
      </c>
      <c r="G593" t="n">
        <v>2.7</v>
      </c>
      <c r="H593" t="n">
        <v>0</v>
      </c>
      <c r="I593" t="n">
        <v>0</v>
      </c>
      <c r="J593" t="n">
        <v>0</v>
      </c>
      <c r="K593" t="n">
        <v>0</v>
      </c>
      <c r="L593" t="n">
        <v>0</v>
      </c>
      <c r="M593" t="n">
        <v>0</v>
      </c>
      <c r="N593" t="n">
        <v>0</v>
      </c>
      <c r="O593" t="n">
        <v>0</v>
      </c>
      <c r="P593" t="n">
        <v>0</v>
      </c>
      <c r="Q593" t="n">
        <v>0</v>
      </c>
      <c r="R593" s="2" t="inlineStr"/>
    </row>
    <row r="594" ht="15" customHeight="1">
      <c r="A594" t="inlineStr">
        <is>
          <t>A 58863-2024</t>
        </is>
      </c>
      <c r="B594" s="1" t="n">
        <v>45636.41572916666</v>
      </c>
      <c r="C594" s="1" t="n">
        <v>46012</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15447-2023</t>
        </is>
      </c>
      <c r="B595" s="1" t="n">
        <v>45020</v>
      </c>
      <c r="C595" s="1" t="n">
        <v>46012</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34391-2023</t>
        </is>
      </c>
      <c r="B596" s="1" t="n">
        <v>45139.51457175926</v>
      </c>
      <c r="C596" s="1" t="n">
        <v>46012</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47498-2025</t>
        </is>
      </c>
      <c r="B597" s="1" t="n">
        <v>45930.8134375</v>
      </c>
      <c r="C597" s="1" t="n">
        <v>46012</v>
      </c>
      <c r="D597" t="inlineStr">
        <is>
          <t>STOCKHOLMS LÄN</t>
        </is>
      </c>
      <c r="E597" t="inlineStr">
        <is>
          <t>NORRTÄLJE</t>
        </is>
      </c>
      <c r="F597" t="inlineStr">
        <is>
          <t>Holmen skog AB</t>
        </is>
      </c>
      <c r="G597" t="n">
        <v>1.7</v>
      </c>
      <c r="H597" t="n">
        <v>0</v>
      </c>
      <c r="I597" t="n">
        <v>0</v>
      </c>
      <c r="J597" t="n">
        <v>0</v>
      </c>
      <c r="K597" t="n">
        <v>0</v>
      </c>
      <c r="L597" t="n">
        <v>0</v>
      </c>
      <c r="M597" t="n">
        <v>0</v>
      </c>
      <c r="N597" t="n">
        <v>0</v>
      </c>
      <c r="O597" t="n">
        <v>0</v>
      </c>
      <c r="P597" t="n">
        <v>0</v>
      </c>
      <c r="Q597" t="n">
        <v>0</v>
      </c>
      <c r="R597" s="2" t="inlineStr"/>
    </row>
    <row r="598" ht="15" customHeight="1">
      <c r="A598" t="inlineStr">
        <is>
          <t>A 53312-2024</t>
        </is>
      </c>
      <c r="B598" s="1" t="n">
        <v>45614.39627314815</v>
      </c>
      <c r="C598" s="1" t="n">
        <v>46012</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47496-2025</t>
        </is>
      </c>
      <c r="B599" s="1" t="n">
        <v>45930.79252314815</v>
      </c>
      <c r="C599" s="1" t="n">
        <v>46012</v>
      </c>
      <c r="D599" t="inlineStr">
        <is>
          <t>STOCKHOLMS LÄN</t>
        </is>
      </c>
      <c r="E599" t="inlineStr">
        <is>
          <t>NORRTÄLJE</t>
        </is>
      </c>
      <c r="F599" t="inlineStr">
        <is>
          <t>Holmen skog AB</t>
        </is>
      </c>
      <c r="G599" t="n">
        <v>0.9</v>
      </c>
      <c r="H599" t="n">
        <v>0</v>
      </c>
      <c r="I599" t="n">
        <v>0</v>
      </c>
      <c r="J599" t="n">
        <v>0</v>
      </c>
      <c r="K599" t="n">
        <v>0</v>
      </c>
      <c r="L599" t="n">
        <v>0</v>
      </c>
      <c r="M599" t="n">
        <v>0</v>
      </c>
      <c r="N599" t="n">
        <v>0</v>
      </c>
      <c r="O599" t="n">
        <v>0</v>
      </c>
      <c r="P599" t="n">
        <v>0</v>
      </c>
      <c r="Q599" t="n">
        <v>0</v>
      </c>
      <c r="R599" s="2" t="inlineStr"/>
    </row>
    <row r="600" ht="15" customHeight="1">
      <c r="A600" t="inlineStr">
        <is>
          <t>A 47497-2025</t>
        </is>
      </c>
      <c r="B600" s="1" t="n">
        <v>45930.80217592593</v>
      </c>
      <c r="C600" s="1" t="n">
        <v>46012</v>
      </c>
      <c r="D600" t="inlineStr">
        <is>
          <t>STOCKHOLMS LÄN</t>
        </is>
      </c>
      <c r="E600" t="inlineStr">
        <is>
          <t>NORRTÄLJE</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21158-2022</t>
        </is>
      </c>
      <c r="B601" s="1" t="n">
        <v>44704</v>
      </c>
      <c r="C601" s="1" t="n">
        <v>46012</v>
      </c>
      <c r="D601" t="inlineStr">
        <is>
          <t>STOCKHOLMS LÄN</t>
        </is>
      </c>
      <c r="E601" t="inlineStr">
        <is>
          <t>NORRTÄLJE</t>
        </is>
      </c>
      <c r="G601" t="n">
        <v>17.8</v>
      </c>
      <c r="H601" t="n">
        <v>0</v>
      </c>
      <c r="I601" t="n">
        <v>0</v>
      </c>
      <c r="J601" t="n">
        <v>0</v>
      </c>
      <c r="K601" t="n">
        <v>0</v>
      </c>
      <c r="L601" t="n">
        <v>0</v>
      </c>
      <c r="M601" t="n">
        <v>0</v>
      </c>
      <c r="N601" t="n">
        <v>0</v>
      </c>
      <c r="O601" t="n">
        <v>0</v>
      </c>
      <c r="P601" t="n">
        <v>0</v>
      </c>
      <c r="Q601" t="n">
        <v>0</v>
      </c>
      <c r="R601" s="2" t="inlineStr"/>
    </row>
    <row r="602" ht="15" customHeight="1">
      <c r="A602" t="inlineStr">
        <is>
          <t>A 56207-2025</t>
        </is>
      </c>
      <c r="B602" s="1" t="n">
        <v>45974.47329861111</v>
      </c>
      <c r="C602" s="1" t="n">
        <v>46012</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15915-2023</t>
        </is>
      </c>
      <c r="B603" s="1" t="n">
        <v>45022</v>
      </c>
      <c r="C603" s="1" t="n">
        <v>46012</v>
      </c>
      <c r="D603" t="inlineStr">
        <is>
          <t>STOCKHOLMS LÄN</t>
        </is>
      </c>
      <c r="E603" t="inlineStr">
        <is>
          <t>NORRTÄLJE</t>
        </is>
      </c>
      <c r="G603" t="n">
        <v>2.9</v>
      </c>
      <c r="H603" t="n">
        <v>0</v>
      </c>
      <c r="I603" t="n">
        <v>0</v>
      </c>
      <c r="J603" t="n">
        <v>0</v>
      </c>
      <c r="K603" t="n">
        <v>0</v>
      </c>
      <c r="L603" t="n">
        <v>0</v>
      </c>
      <c r="M603" t="n">
        <v>0</v>
      </c>
      <c r="N603" t="n">
        <v>0</v>
      </c>
      <c r="O603" t="n">
        <v>0</v>
      </c>
      <c r="P603" t="n">
        <v>0</v>
      </c>
      <c r="Q603" t="n">
        <v>0</v>
      </c>
      <c r="R603" s="2" t="inlineStr"/>
    </row>
    <row r="604" ht="15" customHeight="1">
      <c r="A604" t="inlineStr">
        <is>
          <t>A 58993-2022</t>
        </is>
      </c>
      <c r="B604" s="1" t="n">
        <v>44903</v>
      </c>
      <c r="C604" s="1" t="n">
        <v>46012</v>
      </c>
      <c r="D604" t="inlineStr">
        <is>
          <t>STOCKHOLMS LÄN</t>
        </is>
      </c>
      <c r="E604" t="inlineStr">
        <is>
          <t>NORRTÄLJE</t>
        </is>
      </c>
      <c r="G604" t="n">
        <v>2.3</v>
      </c>
      <c r="H604" t="n">
        <v>0</v>
      </c>
      <c r="I604" t="n">
        <v>0</v>
      </c>
      <c r="J604" t="n">
        <v>0</v>
      </c>
      <c r="K604" t="n">
        <v>0</v>
      </c>
      <c r="L604" t="n">
        <v>0</v>
      </c>
      <c r="M604" t="n">
        <v>0</v>
      </c>
      <c r="N604" t="n">
        <v>0</v>
      </c>
      <c r="O604" t="n">
        <v>0</v>
      </c>
      <c r="P604" t="n">
        <v>0</v>
      </c>
      <c r="Q604" t="n">
        <v>0</v>
      </c>
      <c r="R604" s="2" t="inlineStr"/>
    </row>
    <row r="605" ht="15" customHeight="1">
      <c r="A605" t="inlineStr">
        <is>
          <t>A 39905-2023</t>
        </is>
      </c>
      <c r="B605" s="1" t="n">
        <v>45168.44489583333</v>
      </c>
      <c r="C605" s="1" t="n">
        <v>46012</v>
      </c>
      <c r="D605" t="inlineStr">
        <is>
          <t>STOCKHOLMS LÄN</t>
        </is>
      </c>
      <c r="E605" t="inlineStr">
        <is>
          <t>NORRTÄLJE</t>
        </is>
      </c>
      <c r="F605" t="inlineStr">
        <is>
          <t>Holmen skog AB</t>
        </is>
      </c>
      <c r="G605" t="n">
        <v>1.5</v>
      </c>
      <c r="H605" t="n">
        <v>0</v>
      </c>
      <c r="I605" t="n">
        <v>0</v>
      </c>
      <c r="J605" t="n">
        <v>0</v>
      </c>
      <c r="K605" t="n">
        <v>0</v>
      </c>
      <c r="L605" t="n">
        <v>0</v>
      </c>
      <c r="M605" t="n">
        <v>0</v>
      </c>
      <c r="N605" t="n">
        <v>0</v>
      </c>
      <c r="O605" t="n">
        <v>0</v>
      </c>
      <c r="P605" t="n">
        <v>0</v>
      </c>
      <c r="Q605" t="n">
        <v>0</v>
      </c>
      <c r="R605" s="2" t="inlineStr"/>
    </row>
    <row r="606" ht="15" customHeight="1">
      <c r="A606" t="inlineStr">
        <is>
          <t>A 33793-2022</t>
        </is>
      </c>
      <c r="B606" s="1" t="n">
        <v>44790</v>
      </c>
      <c r="C606" s="1" t="n">
        <v>46012</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20698-2025</t>
        </is>
      </c>
      <c r="B607" s="1" t="n">
        <v>45776.47122685185</v>
      </c>
      <c r="C607" s="1" t="n">
        <v>46012</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17304-2024</t>
        </is>
      </c>
      <c r="B608" s="1" t="n">
        <v>45414</v>
      </c>
      <c r="C608" s="1" t="n">
        <v>46012</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48718-2025</t>
        </is>
      </c>
      <c r="B609" s="1" t="n">
        <v>45936</v>
      </c>
      <c r="C609" s="1" t="n">
        <v>46012</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36396-2025</t>
        </is>
      </c>
      <c r="B610" s="1" t="n">
        <v>45868.62267361111</v>
      </c>
      <c r="C610" s="1" t="n">
        <v>46012</v>
      </c>
      <c r="D610" t="inlineStr">
        <is>
          <t>STOCKHOLMS LÄN</t>
        </is>
      </c>
      <c r="E610" t="inlineStr">
        <is>
          <t>NORRTÄLJE</t>
        </is>
      </c>
      <c r="G610" t="n">
        <v>4.1</v>
      </c>
      <c r="H610" t="n">
        <v>0</v>
      </c>
      <c r="I610" t="n">
        <v>0</v>
      </c>
      <c r="J610" t="n">
        <v>0</v>
      </c>
      <c r="K610" t="n">
        <v>0</v>
      </c>
      <c r="L610" t="n">
        <v>0</v>
      </c>
      <c r="M610" t="n">
        <v>0</v>
      </c>
      <c r="N610" t="n">
        <v>0</v>
      </c>
      <c r="O610" t="n">
        <v>0</v>
      </c>
      <c r="P610" t="n">
        <v>0</v>
      </c>
      <c r="Q610" t="n">
        <v>0</v>
      </c>
      <c r="R610" s="2" t="inlineStr"/>
    </row>
    <row r="611" ht="15" customHeight="1">
      <c r="A611" t="inlineStr">
        <is>
          <t>A 16852-2024</t>
        </is>
      </c>
      <c r="B611" s="1" t="n">
        <v>45411.54768518519</v>
      </c>
      <c r="C611" s="1" t="n">
        <v>46012</v>
      </c>
      <c r="D611" t="inlineStr">
        <is>
          <t>STOCKHOLMS LÄN</t>
        </is>
      </c>
      <c r="E611" t="inlineStr">
        <is>
          <t>NORRTÄLJE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48360-2025</t>
        </is>
      </c>
      <c r="B612" s="1" t="n">
        <v>45933.66253472222</v>
      </c>
      <c r="C612" s="1" t="n">
        <v>46012</v>
      </c>
      <c r="D612" t="inlineStr">
        <is>
          <t>STOCKHOLMS LÄN</t>
        </is>
      </c>
      <c r="E612" t="inlineStr">
        <is>
          <t>NORRTÄLJE</t>
        </is>
      </c>
      <c r="G612" t="n">
        <v>4.1</v>
      </c>
      <c r="H612" t="n">
        <v>0</v>
      </c>
      <c r="I612" t="n">
        <v>0</v>
      </c>
      <c r="J612" t="n">
        <v>0</v>
      </c>
      <c r="K612" t="n">
        <v>0</v>
      </c>
      <c r="L612" t="n">
        <v>0</v>
      </c>
      <c r="M612" t="n">
        <v>0</v>
      </c>
      <c r="N612" t="n">
        <v>0</v>
      </c>
      <c r="O612" t="n">
        <v>0</v>
      </c>
      <c r="P612" t="n">
        <v>0</v>
      </c>
      <c r="Q612" t="n">
        <v>0</v>
      </c>
      <c r="R612" s="2" t="inlineStr"/>
    </row>
    <row r="613" ht="15" customHeight="1">
      <c r="A613" t="inlineStr">
        <is>
          <t>A 48370-2025</t>
        </is>
      </c>
      <c r="B613" s="1" t="n">
        <v>45933.67854166667</v>
      </c>
      <c r="C613" s="1" t="n">
        <v>46012</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4326-2023</t>
        </is>
      </c>
      <c r="B614" s="1" t="n">
        <v>44953.70481481482</v>
      </c>
      <c r="C614" s="1" t="n">
        <v>46012</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33385-2024</t>
        </is>
      </c>
      <c r="B615" s="1" t="n">
        <v>45519</v>
      </c>
      <c r="C615" s="1" t="n">
        <v>46012</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29714-2023</t>
        </is>
      </c>
      <c r="B616" s="1" t="n">
        <v>45107.42538194444</v>
      </c>
      <c r="C616" s="1" t="n">
        <v>46012</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30508-2023</t>
        </is>
      </c>
      <c r="B617" s="1" t="n">
        <v>45111</v>
      </c>
      <c r="C617" s="1" t="n">
        <v>46012</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22232-2024</t>
        </is>
      </c>
      <c r="B618" s="1" t="n">
        <v>45446.4287962963</v>
      </c>
      <c r="C618" s="1" t="n">
        <v>46012</v>
      </c>
      <c r="D618" t="inlineStr">
        <is>
          <t>STOCKHOLMS LÄN</t>
        </is>
      </c>
      <c r="E618" t="inlineStr">
        <is>
          <t>NORRTÄLJE</t>
        </is>
      </c>
      <c r="G618" t="n">
        <v>12.8</v>
      </c>
      <c r="H618" t="n">
        <v>0</v>
      </c>
      <c r="I618" t="n">
        <v>0</v>
      </c>
      <c r="J618" t="n">
        <v>0</v>
      </c>
      <c r="K618" t="n">
        <v>0</v>
      </c>
      <c r="L618" t="n">
        <v>0</v>
      </c>
      <c r="M618" t="n">
        <v>0</v>
      </c>
      <c r="N618" t="n">
        <v>0</v>
      </c>
      <c r="O618" t="n">
        <v>0</v>
      </c>
      <c r="P618" t="n">
        <v>0</v>
      </c>
      <c r="Q618" t="n">
        <v>0</v>
      </c>
      <c r="R618" s="2" t="inlineStr"/>
    </row>
    <row r="619" ht="15" customHeight="1">
      <c r="A619" t="inlineStr">
        <is>
          <t>A 34444-2024</t>
        </is>
      </c>
      <c r="B619" s="1" t="n">
        <v>45525</v>
      </c>
      <c r="C619" s="1" t="n">
        <v>46012</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12031-2021</t>
        </is>
      </c>
      <c r="B620" s="1" t="n">
        <v>44266</v>
      </c>
      <c r="C620" s="1" t="n">
        <v>46012</v>
      </c>
      <c r="D620" t="inlineStr">
        <is>
          <t>STOCKHOLMS LÄN</t>
        </is>
      </c>
      <c r="E620" t="inlineStr">
        <is>
          <t>NORRTÄLJE</t>
        </is>
      </c>
      <c r="G620" t="n">
        <v>2.6</v>
      </c>
      <c r="H620" t="n">
        <v>0</v>
      </c>
      <c r="I620" t="n">
        <v>0</v>
      </c>
      <c r="J620" t="n">
        <v>0</v>
      </c>
      <c r="K620" t="n">
        <v>0</v>
      </c>
      <c r="L620" t="n">
        <v>0</v>
      </c>
      <c r="M620" t="n">
        <v>0</v>
      </c>
      <c r="N620" t="n">
        <v>0</v>
      </c>
      <c r="O620" t="n">
        <v>0</v>
      </c>
      <c r="P620" t="n">
        <v>0</v>
      </c>
      <c r="Q620" t="n">
        <v>0</v>
      </c>
      <c r="R620" s="2" t="inlineStr"/>
    </row>
    <row r="621" ht="15" customHeight="1">
      <c r="A621" t="inlineStr">
        <is>
          <t>A 48443-2025</t>
        </is>
      </c>
      <c r="B621" s="1" t="n">
        <v>45935.55326388889</v>
      </c>
      <c r="C621" s="1" t="n">
        <v>46012</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48127-2025</t>
        </is>
      </c>
      <c r="B622" s="1" t="n">
        <v>45933.36621527778</v>
      </c>
      <c r="C622" s="1" t="n">
        <v>46012</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48364-2025</t>
        </is>
      </c>
      <c r="B623" s="1" t="n">
        <v>45933.66796296297</v>
      </c>
      <c r="C623" s="1" t="n">
        <v>46012</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48179-2025</t>
        </is>
      </c>
      <c r="B624" s="1" t="n">
        <v>45933.44907407407</v>
      </c>
      <c r="C624" s="1" t="n">
        <v>46012</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8296-2023</t>
        </is>
      </c>
      <c r="B625" s="1" t="n">
        <v>44974</v>
      </c>
      <c r="C625" s="1" t="n">
        <v>46012</v>
      </c>
      <c r="D625" t="inlineStr">
        <is>
          <t>STOCKHOLMS LÄN</t>
        </is>
      </c>
      <c r="E625" t="inlineStr">
        <is>
          <t>NORRTÄLJE</t>
        </is>
      </c>
      <c r="G625" t="n">
        <v>3.8</v>
      </c>
      <c r="H625" t="n">
        <v>0</v>
      </c>
      <c r="I625" t="n">
        <v>0</v>
      </c>
      <c r="J625" t="n">
        <v>0</v>
      </c>
      <c r="K625" t="n">
        <v>0</v>
      </c>
      <c r="L625" t="n">
        <v>0</v>
      </c>
      <c r="M625" t="n">
        <v>0</v>
      </c>
      <c r="N625" t="n">
        <v>0</v>
      </c>
      <c r="O625" t="n">
        <v>0</v>
      </c>
      <c r="P625" t="n">
        <v>0</v>
      </c>
      <c r="Q625" t="n">
        <v>0</v>
      </c>
      <c r="R625" s="2" t="inlineStr"/>
    </row>
    <row r="626" ht="15" customHeight="1">
      <c r="A626" t="inlineStr">
        <is>
          <t>A 31236-2022</t>
        </is>
      </c>
      <c r="B626" s="1" t="n">
        <v>44771</v>
      </c>
      <c r="C626" s="1" t="n">
        <v>46012</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48174-2025</t>
        </is>
      </c>
      <c r="B627" s="1" t="n">
        <v>45933.44230324074</v>
      </c>
      <c r="C627" s="1" t="n">
        <v>46012</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52593-2024</t>
        </is>
      </c>
      <c r="B628" s="1" t="n">
        <v>45609.70778935185</v>
      </c>
      <c r="C628" s="1" t="n">
        <v>46012</v>
      </c>
      <c r="D628" t="inlineStr">
        <is>
          <t>STOCKHOLMS LÄN</t>
        </is>
      </c>
      <c r="E628" t="inlineStr">
        <is>
          <t>NORRTÄLJE</t>
        </is>
      </c>
      <c r="F628" t="inlineStr">
        <is>
          <t>Holmen skog AB</t>
        </is>
      </c>
      <c r="G628" t="n">
        <v>2.4</v>
      </c>
      <c r="H628" t="n">
        <v>0</v>
      </c>
      <c r="I628" t="n">
        <v>0</v>
      </c>
      <c r="J628" t="n">
        <v>0</v>
      </c>
      <c r="K628" t="n">
        <v>0</v>
      </c>
      <c r="L628" t="n">
        <v>0</v>
      </c>
      <c r="M628" t="n">
        <v>0</v>
      </c>
      <c r="N628" t="n">
        <v>0</v>
      </c>
      <c r="O628" t="n">
        <v>0</v>
      </c>
      <c r="P628" t="n">
        <v>0</v>
      </c>
      <c r="Q628" t="n">
        <v>0</v>
      </c>
      <c r="R628" s="2" t="inlineStr"/>
    </row>
    <row r="629" ht="15" customHeight="1">
      <c r="A629" t="inlineStr">
        <is>
          <t>A 52617-2024</t>
        </is>
      </c>
      <c r="B629" s="1" t="n">
        <v>45609.85146990741</v>
      </c>
      <c r="C629" s="1" t="n">
        <v>46012</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48593-2025</t>
        </is>
      </c>
      <c r="B630" s="1" t="n">
        <v>45936.4627662037</v>
      </c>
      <c r="C630" s="1" t="n">
        <v>46012</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27824-2022</t>
        </is>
      </c>
      <c r="B631" s="1" t="n">
        <v>44743.59331018518</v>
      </c>
      <c r="C631" s="1" t="n">
        <v>46012</v>
      </c>
      <c r="D631" t="inlineStr">
        <is>
          <t>STOCKHOLMS LÄN</t>
        </is>
      </c>
      <c r="E631" t="inlineStr">
        <is>
          <t>NORRTÄLJE</t>
        </is>
      </c>
      <c r="F631" t="inlineStr">
        <is>
          <t>Kommuner</t>
        </is>
      </c>
      <c r="G631" t="n">
        <v>3.1</v>
      </c>
      <c r="H631" t="n">
        <v>0</v>
      </c>
      <c r="I631" t="n">
        <v>0</v>
      </c>
      <c r="J631" t="n">
        <v>0</v>
      </c>
      <c r="K631" t="n">
        <v>0</v>
      </c>
      <c r="L631" t="n">
        <v>0</v>
      </c>
      <c r="M631" t="n">
        <v>0</v>
      </c>
      <c r="N631" t="n">
        <v>0</v>
      </c>
      <c r="O631" t="n">
        <v>0</v>
      </c>
      <c r="P631" t="n">
        <v>0</v>
      </c>
      <c r="Q631" t="n">
        <v>0</v>
      </c>
      <c r="R631" s="2" t="inlineStr"/>
    </row>
    <row r="632" ht="15" customHeight="1">
      <c r="A632" t="inlineStr">
        <is>
          <t>A 49129-2025</t>
        </is>
      </c>
      <c r="B632" s="1" t="n">
        <v>45937.89517361111</v>
      </c>
      <c r="C632" s="1" t="n">
        <v>46012</v>
      </c>
      <c r="D632" t="inlineStr">
        <is>
          <t>STOCKHOLMS LÄN</t>
        </is>
      </c>
      <c r="E632" t="inlineStr">
        <is>
          <t>NORRTÄLJE</t>
        </is>
      </c>
      <c r="G632" t="n">
        <v>0.5</v>
      </c>
      <c r="H632" t="n">
        <v>0</v>
      </c>
      <c r="I632" t="n">
        <v>0</v>
      </c>
      <c r="J632" t="n">
        <v>0</v>
      </c>
      <c r="K632" t="n">
        <v>0</v>
      </c>
      <c r="L632" t="n">
        <v>0</v>
      </c>
      <c r="M632" t="n">
        <v>0</v>
      </c>
      <c r="N632" t="n">
        <v>0</v>
      </c>
      <c r="O632" t="n">
        <v>0</v>
      </c>
      <c r="P632" t="n">
        <v>0</v>
      </c>
      <c r="Q632" t="n">
        <v>0</v>
      </c>
      <c r="R632" s="2" t="inlineStr"/>
    </row>
    <row r="633" ht="15" customHeight="1">
      <c r="A633" t="inlineStr">
        <is>
          <t>A 47521-2024</t>
        </is>
      </c>
      <c r="B633" s="1" t="n">
        <v>45587.62565972222</v>
      </c>
      <c r="C633" s="1" t="n">
        <v>46012</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37261-2025</t>
        </is>
      </c>
      <c r="B634" s="1" t="n">
        <v>45876.45253472222</v>
      </c>
      <c r="C634" s="1" t="n">
        <v>46012</v>
      </c>
      <c r="D634" t="inlineStr">
        <is>
          <t>STOCKHOLMS LÄN</t>
        </is>
      </c>
      <c r="E634" t="inlineStr">
        <is>
          <t>NORRTÄLJE</t>
        </is>
      </c>
      <c r="F634" t="inlineStr">
        <is>
          <t>Kommuner</t>
        </is>
      </c>
      <c r="G634" t="n">
        <v>2.2</v>
      </c>
      <c r="H634" t="n">
        <v>0</v>
      </c>
      <c r="I634" t="n">
        <v>0</v>
      </c>
      <c r="J634" t="n">
        <v>0</v>
      </c>
      <c r="K634" t="n">
        <v>0</v>
      </c>
      <c r="L634" t="n">
        <v>0</v>
      </c>
      <c r="M634" t="n">
        <v>0</v>
      </c>
      <c r="N634" t="n">
        <v>0</v>
      </c>
      <c r="O634" t="n">
        <v>0</v>
      </c>
      <c r="P634" t="n">
        <v>0</v>
      </c>
      <c r="Q634" t="n">
        <v>0</v>
      </c>
      <c r="R634" s="2" t="inlineStr"/>
    </row>
    <row r="635" ht="15" customHeight="1">
      <c r="A635" t="inlineStr">
        <is>
          <t>A 48780-2025</t>
        </is>
      </c>
      <c r="B635" s="1" t="n">
        <v>45937.30377314815</v>
      </c>
      <c r="C635" s="1" t="n">
        <v>46012</v>
      </c>
      <c r="D635" t="inlineStr">
        <is>
          <t>STOCKHOLMS LÄN</t>
        </is>
      </c>
      <c r="E635" t="inlineStr">
        <is>
          <t>NORRTÄLJE</t>
        </is>
      </c>
      <c r="G635" t="n">
        <v>7.7</v>
      </c>
      <c r="H635" t="n">
        <v>0</v>
      </c>
      <c r="I635" t="n">
        <v>0</v>
      </c>
      <c r="J635" t="n">
        <v>0</v>
      </c>
      <c r="K635" t="n">
        <v>0</v>
      </c>
      <c r="L635" t="n">
        <v>0</v>
      </c>
      <c r="M635" t="n">
        <v>0</v>
      </c>
      <c r="N635" t="n">
        <v>0</v>
      </c>
      <c r="O635" t="n">
        <v>0</v>
      </c>
      <c r="P635" t="n">
        <v>0</v>
      </c>
      <c r="Q635" t="n">
        <v>0</v>
      </c>
      <c r="R635" s="2" t="inlineStr"/>
    </row>
    <row r="636" ht="15" customHeight="1">
      <c r="A636" t="inlineStr">
        <is>
          <t>A 20692-2025</t>
        </is>
      </c>
      <c r="B636" s="1" t="n">
        <v>45776.46369212963</v>
      </c>
      <c r="C636" s="1" t="n">
        <v>46012</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33279-2025</t>
        </is>
      </c>
      <c r="B637" s="1" t="n">
        <v>45840</v>
      </c>
      <c r="C637" s="1" t="n">
        <v>46012</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50534-2024</t>
        </is>
      </c>
      <c r="B638" s="1" t="n">
        <v>45601.56726851852</v>
      </c>
      <c r="C638" s="1" t="n">
        <v>46012</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46071-2024</t>
        </is>
      </c>
      <c r="B639" s="1" t="n">
        <v>45581</v>
      </c>
      <c r="C639" s="1" t="n">
        <v>46012</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42094-2023</t>
        </is>
      </c>
      <c r="B640" s="1" t="n">
        <v>45177.61498842593</v>
      </c>
      <c r="C640" s="1" t="n">
        <v>46012</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58530-2024</t>
        </is>
      </c>
      <c r="B641" s="1" t="n">
        <v>45635.44788194444</v>
      </c>
      <c r="C641" s="1" t="n">
        <v>46012</v>
      </c>
      <c r="D641" t="inlineStr">
        <is>
          <t>STOCKHOLMS LÄN</t>
        </is>
      </c>
      <c r="E641" t="inlineStr">
        <is>
          <t>NORRTÄLJE</t>
        </is>
      </c>
      <c r="G641" t="n">
        <v>4.5</v>
      </c>
      <c r="H641" t="n">
        <v>0</v>
      </c>
      <c r="I641" t="n">
        <v>0</v>
      </c>
      <c r="J641" t="n">
        <v>0</v>
      </c>
      <c r="K641" t="n">
        <v>0</v>
      </c>
      <c r="L641" t="n">
        <v>0</v>
      </c>
      <c r="M641" t="n">
        <v>0</v>
      </c>
      <c r="N641" t="n">
        <v>0</v>
      </c>
      <c r="O641" t="n">
        <v>0</v>
      </c>
      <c r="P641" t="n">
        <v>0</v>
      </c>
      <c r="Q641" t="n">
        <v>0</v>
      </c>
      <c r="R641" s="2" t="inlineStr"/>
    </row>
    <row r="642" ht="15" customHeight="1">
      <c r="A642" t="inlineStr">
        <is>
          <t>A 30620-2022</t>
        </is>
      </c>
      <c r="B642" s="1" t="n">
        <v>44763.40914351852</v>
      </c>
      <c r="C642" s="1" t="n">
        <v>46012</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29369-2024</t>
        </is>
      </c>
      <c r="B643" s="1" t="n">
        <v>45483.57244212963</v>
      </c>
      <c r="C643" s="1" t="n">
        <v>46012</v>
      </c>
      <c r="D643" t="inlineStr">
        <is>
          <t>STOCKHOLMS LÄN</t>
        </is>
      </c>
      <c r="E643" t="inlineStr">
        <is>
          <t>NORRTÄLJE</t>
        </is>
      </c>
      <c r="G643" t="n">
        <v>15.9</v>
      </c>
      <c r="H643" t="n">
        <v>0</v>
      </c>
      <c r="I643" t="n">
        <v>0</v>
      </c>
      <c r="J643" t="n">
        <v>0</v>
      </c>
      <c r="K643" t="n">
        <v>0</v>
      </c>
      <c r="L643" t="n">
        <v>0</v>
      </c>
      <c r="M643" t="n">
        <v>0</v>
      </c>
      <c r="N643" t="n">
        <v>0</v>
      </c>
      <c r="O643" t="n">
        <v>0</v>
      </c>
      <c r="P643" t="n">
        <v>0</v>
      </c>
      <c r="Q643" t="n">
        <v>0</v>
      </c>
      <c r="R643" s="2" t="inlineStr"/>
    </row>
    <row r="644" ht="15" customHeight="1">
      <c r="A644" t="inlineStr">
        <is>
          <t>A 37630-2025</t>
        </is>
      </c>
      <c r="B644" s="1" t="n">
        <v>45880.46372685185</v>
      </c>
      <c r="C644" s="1" t="n">
        <v>46012</v>
      </c>
      <c r="D644" t="inlineStr">
        <is>
          <t>STOCKHOLMS LÄN</t>
        </is>
      </c>
      <c r="E644" t="inlineStr">
        <is>
          <t>NORRTÄLJE</t>
        </is>
      </c>
      <c r="F644" t="inlineStr">
        <is>
          <t>Sveaskog</t>
        </is>
      </c>
      <c r="G644" t="n">
        <v>12.9</v>
      </c>
      <c r="H644" t="n">
        <v>0</v>
      </c>
      <c r="I644" t="n">
        <v>0</v>
      </c>
      <c r="J644" t="n">
        <v>0</v>
      </c>
      <c r="K644" t="n">
        <v>0</v>
      </c>
      <c r="L644" t="n">
        <v>0</v>
      </c>
      <c r="M644" t="n">
        <v>0</v>
      </c>
      <c r="N644" t="n">
        <v>0</v>
      </c>
      <c r="O644" t="n">
        <v>0</v>
      </c>
      <c r="P644" t="n">
        <v>0</v>
      </c>
      <c r="Q644" t="n">
        <v>0</v>
      </c>
      <c r="R644" s="2" t="inlineStr"/>
    </row>
    <row r="645" ht="15" customHeight="1">
      <c r="A645" t="inlineStr">
        <is>
          <t>A 57602-2024</t>
        </is>
      </c>
      <c r="B645" s="1" t="n">
        <v>45630.52866898148</v>
      </c>
      <c r="C645" s="1" t="n">
        <v>46012</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37632-2025</t>
        </is>
      </c>
      <c r="B646" s="1" t="n">
        <v>45880.46524305556</v>
      </c>
      <c r="C646" s="1" t="n">
        <v>46012</v>
      </c>
      <c r="D646" t="inlineStr">
        <is>
          <t>STOCKHOLMS LÄN</t>
        </is>
      </c>
      <c r="E646" t="inlineStr">
        <is>
          <t>NORRTÄLJE</t>
        </is>
      </c>
      <c r="F646" t="inlineStr">
        <is>
          <t>Sveaskog</t>
        </is>
      </c>
      <c r="G646" t="n">
        <v>6.4</v>
      </c>
      <c r="H646" t="n">
        <v>0</v>
      </c>
      <c r="I646" t="n">
        <v>0</v>
      </c>
      <c r="J646" t="n">
        <v>0</v>
      </c>
      <c r="K646" t="n">
        <v>0</v>
      </c>
      <c r="L646" t="n">
        <v>0</v>
      </c>
      <c r="M646" t="n">
        <v>0</v>
      </c>
      <c r="N646" t="n">
        <v>0</v>
      </c>
      <c r="O646" t="n">
        <v>0</v>
      </c>
      <c r="P646" t="n">
        <v>0</v>
      </c>
      <c r="Q646" t="n">
        <v>0</v>
      </c>
      <c r="R646" s="2" t="inlineStr"/>
    </row>
    <row r="647" ht="15" customHeight="1">
      <c r="A647" t="inlineStr">
        <is>
          <t>A 29841-2024</t>
        </is>
      </c>
      <c r="B647" s="1" t="n">
        <v>45485.60261574074</v>
      </c>
      <c r="C647" s="1" t="n">
        <v>46012</v>
      </c>
      <c r="D647" t="inlineStr">
        <is>
          <t>STOCKHOLMS LÄN</t>
        </is>
      </c>
      <c r="E647" t="inlineStr">
        <is>
          <t>NORRTÄLJE</t>
        </is>
      </c>
      <c r="G647" t="n">
        <v>15.9</v>
      </c>
      <c r="H647" t="n">
        <v>0</v>
      </c>
      <c r="I647" t="n">
        <v>0</v>
      </c>
      <c r="J647" t="n">
        <v>0</v>
      </c>
      <c r="K647" t="n">
        <v>0</v>
      </c>
      <c r="L647" t="n">
        <v>0</v>
      </c>
      <c r="M647" t="n">
        <v>0</v>
      </c>
      <c r="N647" t="n">
        <v>0</v>
      </c>
      <c r="O647" t="n">
        <v>0</v>
      </c>
      <c r="P647" t="n">
        <v>0</v>
      </c>
      <c r="Q647" t="n">
        <v>0</v>
      </c>
      <c r="R647" s="2" t="inlineStr"/>
    </row>
    <row r="648" ht="15" customHeight="1">
      <c r="A648" t="inlineStr">
        <is>
          <t>A 11854-2025</t>
        </is>
      </c>
      <c r="B648" s="1" t="n">
        <v>45728.38924768518</v>
      </c>
      <c r="C648" s="1" t="n">
        <v>46012</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1283-2025</t>
        </is>
      </c>
      <c r="B649" s="1" t="n">
        <v>45667.49878472222</v>
      </c>
      <c r="C649" s="1" t="n">
        <v>46012</v>
      </c>
      <c r="D649" t="inlineStr">
        <is>
          <t>STOCKHOLMS LÄN</t>
        </is>
      </c>
      <c r="E649" t="inlineStr">
        <is>
          <t>NORRTÄLJE</t>
        </is>
      </c>
      <c r="G649" t="n">
        <v>1</v>
      </c>
      <c r="H649" t="n">
        <v>0</v>
      </c>
      <c r="I649" t="n">
        <v>0</v>
      </c>
      <c r="J649" t="n">
        <v>0</v>
      </c>
      <c r="K649" t="n">
        <v>0</v>
      </c>
      <c r="L649" t="n">
        <v>0</v>
      </c>
      <c r="M649" t="n">
        <v>0</v>
      </c>
      <c r="N649" t="n">
        <v>0</v>
      </c>
      <c r="O649" t="n">
        <v>0</v>
      </c>
      <c r="P649" t="n">
        <v>0</v>
      </c>
      <c r="Q649" t="n">
        <v>0</v>
      </c>
      <c r="R649" s="2" t="inlineStr"/>
    </row>
    <row r="650" ht="15" customHeight="1">
      <c r="A650" t="inlineStr">
        <is>
          <t>A 37628-2025</t>
        </is>
      </c>
      <c r="B650" s="1" t="n">
        <v>45880.46189814815</v>
      </c>
      <c r="C650" s="1" t="n">
        <v>46012</v>
      </c>
      <c r="D650" t="inlineStr">
        <is>
          <t>STOCKHOLMS LÄN</t>
        </is>
      </c>
      <c r="E650" t="inlineStr">
        <is>
          <t>NORRTÄLJE</t>
        </is>
      </c>
      <c r="F650" t="inlineStr">
        <is>
          <t>Sveaskog</t>
        </is>
      </c>
      <c r="G650" t="n">
        <v>2.6</v>
      </c>
      <c r="H650" t="n">
        <v>0</v>
      </c>
      <c r="I650" t="n">
        <v>0</v>
      </c>
      <c r="J650" t="n">
        <v>0</v>
      </c>
      <c r="K650" t="n">
        <v>0</v>
      </c>
      <c r="L650" t="n">
        <v>0</v>
      </c>
      <c r="M650" t="n">
        <v>0</v>
      </c>
      <c r="N650" t="n">
        <v>0</v>
      </c>
      <c r="O650" t="n">
        <v>0</v>
      </c>
      <c r="P650" t="n">
        <v>0</v>
      </c>
      <c r="Q650" t="n">
        <v>0</v>
      </c>
      <c r="R650" s="2" t="inlineStr"/>
    </row>
    <row r="651" ht="15" customHeight="1">
      <c r="A651" t="inlineStr">
        <is>
          <t>A 60217-2021</t>
        </is>
      </c>
      <c r="B651" s="1" t="n">
        <v>44495.5893287037</v>
      </c>
      <c r="C651" s="1" t="n">
        <v>46012</v>
      </c>
      <c r="D651" t="inlineStr">
        <is>
          <t>STOCKHOLMS LÄN</t>
        </is>
      </c>
      <c r="E651" t="inlineStr">
        <is>
          <t>NORRTÄLJE</t>
        </is>
      </c>
      <c r="G651" t="n">
        <v>4.3</v>
      </c>
      <c r="H651" t="n">
        <v>0</v>
      </c>
      <c r="I651" t="n">
        <v>0</v>
      </c>
      <c r="J651" t="n">
        <v>0</v>
      </c>
      <c r="K651" t="n">
        <v>0</v>
      </c>
      <c r="L651" t="n">
        <v>0</v>
      </c>
      <c r="M651" t="n">
        <v>0</v>
      </c>
      <c r="N651" t="n">
        <v>0</v>
      </c>
      <c r="O651" t="n">
        <v>0</v>
      </c>
      <c r="P651" t="n">
        <v>0</v>
      </c>
      <c r="Q651" t="n">
        <v>0</v>
      </c>
      <c r="R651" s="2" t="inlineStr"/>
    </row>
    <row r="652" ht="15" customHeight="1">
      <c r="A652" t="inlineStr">
        <is>
          <t>A 24350-2025</t>
        </is>
      </c>
      <c r="B652" s="1" t="n">
        <v>45797.58350694444</v>
      </c>
      <c r="C652" s="1" t="n">
        <v>46012</v>
      </c>
      <c r="D652" t="inlineStr">
        <is>
          <t>STOCKHOLMS LÄN</t>
        </is>
      </c>
      <c r="E652" t="inlineStr">
        <is>
          <t>NORRTÄLJE</t>
        </is>
      </c>
      <c r="G652" t="n">
        <v>4.5</v>
      </c>
      <c r="H652" t="n">
        <v>0</v>
      </c>
      <c r="I652" t="n">
        <v>0</v>
      </c>
      <c r="J652" t="n">
        <v>0</v>
      </c>
      <c r="K652" t="n">
        <v>0</v>
      </c>
      <c r="L652" t="n">
        <v>0</v>
      </c>
      <c r="M652" t="n">
        <v>0</v>
      </c>
      <c r="N652" t="n">
        <v>0</v>
      </c>
      <c r="O652" t="n">
        <v>0</v>
      </c>
      <c r="P652" t="n">
        <v>0</v>
      </c>
      <c r="Q652" t="n">
        <v>0</v>
      </c>
      <c r="R652" s="2" t="inlineStr"/>
    </row>
    <row r="653" ht="15" customHeight="1">
      <c r="A653" t="inlineStr">
        <is>
          <t>A 57788-2025</t>
        </is>
      </c>
      <c r="B653" s="1" t="n">
        <v>45981.5778125</v>
      </c>
      <c r="C653" s="1" t="n">
        <v>46012</v>
      </c>
      <c r="D653" t="inlineStr">
        <is>
          <t>STOCKHOLMS LÄN</t>
        </is>
      </c>
      <c r="E653" t="inlineStr">
        <is>
          <t>NORRTÄLJE</t>
        </is>
      </c>
      <c r="G653" t="n">
        <v>1.6</v>
      </c>
      <c r="H653" t="n">
        <v>0</v>
      </c>
      <c r="I653" t="n">
        <v>0</v>
      </c>
      <c r="J653" t="n">
        <v>0</v>
      </c>
      <c r="K653" t="n">
        <v>0</v>
      </c>
      <c r="L653" t="n">
        <v>0</v>
      </c>
      <c r="M653" t="n">
        <v>0</v>
      </c>
      <c r="N653" t="n">
        <v>0</v>
      </c>
      <c r="O653" t="n">
        <v>0</v>
      </c>
      <c r="P653" t="n">
        <v>0</v>
      </c>
      <c r="Q653" t="n">
        <v>0</v>
      </c>
      <c r="R653" s="2" t="inlineStr"/>
    </row>
    <row r="654" ht="15" customHeight="1">
      <c r="A654" t="inlineStr">
        <is>
          <t>A 49836-2025</t>
        </is>
      </c>
      <c r="B654" s="1" t="n">
        <v>45940.46862268518</v>
      </c>
      <c r="C654" s="1" t="n">
        <v>46012</v>
      </c>
      <c r="D654" t="inlineStr">
        <is>
          <t>STOCKHOLMS LÄN</t>
        </is>
      </c>
      <c r="E654" t="inlineStr">
        <is>
          <t>NORRTÄLJE</t>
        </is>
      </c>
      <c r="G654" t="n">
        <v>3.5</v>
      </c>
      <c r="H654" t="n">
        <v>0</v>
      </c>
      <c r="I654" t="n">
        <v>0</v>
      </c>
      <c r="J654" t="n">
        <v>0</v>
      </c>
      <c r="K654" t="n">
        <v>0</v>
      </c>
      <c r="L654" t="n">
        <v>0</v>
      </c>
      <c r="M654" t="n">
        <v>0</v>
      </c>
      <c r="N654" t="n">
        <v>0</v>
      </c>
      <c r="O654" t="n">
        <v>0</v>
      </c>
      <c r="P654" t="n">
        <v>0</v>
      </c>
      <c r="Q654" t="n">
        <v>0</v>
      </c>
      <c r="R654" s="2" t="inlineStr"/>
    </row>
    <row r="655" ht="15" customHeight="1">
      <c r="A655" t="inlineStr">
        <is>
          <t>A 28900-2022</t>
        </is>
      </c>
      <c r="B655" s="1" t="n">
        <v>44749.55258101852</v>
      </c>
      <c r="C655" s="1" t="n">
        <v>46012</v>
      </c>
      <c r="D655" t="inlineStr">
        <is>
          <t>STOCKHOLMS LÄN</t>
        </is>
      </c>
      <c r="E655" t="inlineStr">
        <is>
          <t>NORRTÄLJE</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32514-2022</t>
        </is>
      </c>
      <c r="B656" s="1" t="n">
        <v>44782</v>
      </c>
      <c r="C656" s="1" t="n">
        <v>46012</v>
      </c>
      <c r="D656" t="inlineStr">
        <is>
          <t>STOCKHOLMS LÄN</t>
        </is>
      </c>
      <c r="E656" t="inlineStr">
        <is>
          <t>NORRTÄLJE</t>
        </is>
      </c>
      <c r="G656" t="n">
        <v>5.1</v>
      </c>
      <c r="H656" t="n">
        <v>0</v>
      </c>
      <c r="I656" t="n">
        <v>0</v>
      </c>
      <c r="J656" t="n">
        <v>0</v>
      </c>
      <c r="K656" t="n">
        <v>0</v>
      </c>
      <c r="L656" t="n">
        <v>0</v>
      </c>
      <c r="M656" t="n">
        <v>0</v>
      </c>
      <c r="N656" t="n">
        <v>0</v>
      </c>
      <c r="O656" t="n">
        <v>0</v>
      </c>
      <c r="P656" t="n">
        <v>0</v>
      </c>
      <c r="Q656" t="n">
        <v>0</v>
      </c>
      <c r="R656" s="2" t="inlineStr"/>
    </row>
    <row r="657" ht="15" customHeight="1">
      <c r="A657" t="inlineStr">
        <is>
          <t>A 26703-2025</t>
        </is>
      </c>
      <c r="B657" s="1" t="n">
        <v>45810.45263888889</v>
      </c>
      <c r="C657" s="1" t="n">
        <v>46012</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55503-2025</t>
        </is>
      </c>
      <c r="B658" s="1" t="n">
        <v>45971</v>
      </c>
      <c r="C658" s="1" t="n">
        <v>46012</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13137-2024</t>
        </is>
      </c>
      <c r="B659" s="1" t="n">
        <v>45386.34175925926</v>
      </c>
      <c r="C659" s="1" t="n">
        <v>46012</v>
      </c>
      <c r="D659" t="inlineStr">
        <is>
          <t>STOCKHOLMS LÄN</t>
        </is>
      </c>
      <c r="E659" t="inlineStr">
        <is>
          <t>NORRTÄLJE</t>
        </is>
      </c>
      <c r="G659" t="n">
        <v>5</v>
      </c>
      <c r="H659" t="n">
        <v>0</v>
      </c>
      <c r="I659" t="n">
        <v>0</v>
      </c>
      <c r="J659" t="n">
        <v>0</v>
      </c>
      <c r="K659" t="n">
        <v>0</v>
      </c>
      <c r="L659" t="n">
        <v>0</v>
      </c>
      <c r="M659" t="n">
        <v>0</v>
      </c>
      <c r="N659" t="n">
        <v>0</v>
      </c>
      <c r="O659" t="n">
        <v>0</v>
      </c>
      <c r="P659" t="n">
        <v>0</v>
      </c>
      <c r="Q659" t="n">
        <v>0</v>
      </c>
      <c r="R659" s="2" t="inlineStr"/>
    </row>
    <row r="660" ht="15" customHeight="1">
      <c r="A660" t="inlineStr">
        <is>
          <t>A 58142-2025</t>
        </is>
      </c>
      <c r="B660" s="1" t="n">
        <v>45982.63791666667</v>
      </c>
      <c r="C660" s="1" t="n">
        <v>46012</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38153-2025</t>
        </is>
      </c>
      <c r="B661" s="1" t="n">
        <v>45882.59722222222</v>
      </c>
      <c r="C661" s="1" t="n">
        <v>46012</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57953-2025</t>
        </is>
      </c>
      <c r="B662" s="1" t="n">
        <v>45982.35016203704</v>
      </c>
      <c r="C662" s="1" t="n">
        <v>46012</v>
      </c>
      <c r="D662" t="inlineStr">
        <is>
          <t>STOCKHOLMS LÄN</t>
        </is>
      </c>
      <c r="E662" t="inlineStr">
        <is>
          <t>NORRTÄLJE</t>
        </is>
      </c>
      <c r="F662" t="inlineStr">
        <is>
          <t>Sveaskog</t>
        </is>
      </c>
      <c r="G662" t="n">
        <v>3</v>
      </c>
      <c r="H662" t="n">
        <v>0</v>
      </c>
      <c r="I662" t="n">
        <v>0</v>
      </c>
      <c r="J662" t="n">
        <v>0</v>
      </c>
      <c r="K662" t="n">
        <v>0</v>
      </c>
      <c r="L662" t="n">
        <v>0</v>
      </c>
      <c r="M662" t="n">
        <v>0</v>
      </c>
      <c r="N662" t="n">
        <v>0</v>
      </c>
      <c r="O662" t="n">
        <v>0</v>
      </c>
      <c r="P662" t="n">
        <v>0</v>
      </c>
      <c r="Q662" t="n">
        <v>0</v>
      </c>
      <c r="R662" s="2" t="inlineStr"/>
    </row>
    <row r="663" ht="15" customHeight="1">
      <c r="A663" t="inlineStr">
        <is>
          <t>A 23125-2022</t>
        </is>
      </c>
      <c r="B663" s="1" t="n">
        <v>44719</v>
      </c>
      <c r="C663" s="1" t="n">
        <v>46012</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9329-2023</t>
        </is>
      </c>
      <c r="B664" s="1" t="n">
        <v>44980</v>
      </c>
      <c r="C664" s="1" t="n">
        <v>46012</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6855-2025</t>
        </is>
      </c>
      <c r="B665" s="1" t="n">
        <v>45700</v>
      </c>
      <c r="C665" s="1" t="n">
        <v>46012</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38593-2025</t>
        </is>
      </c>
      <c r="B666" s="1" t="n">
        <v>45884.48696759259</v>
      </c>
      <c r="C666" s="1" t="n">
        <v>46012</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14873-2025</t>
        </is>
      </c>
      <c r="B667" s="1" t="n">
        <v>45743.44953703704</v>
      </c>
      <c r="C667" s="1" t="n">
        <v>46012</v>
      </c>
      <c r="D667" t="inlineStr">
        <is>
          <t>STOCKHOLMS LÄN</t>
        </is>
      </c>
      <c r="E667" t="inlineStr">
        <is>
          <t>NORRTÄLJE</t>
        </is>
      </c>
      <c r="G667" t="n">
        <v>10.2</v>
      </c>
      <c r="H667" t="n">
        <v>0</v>
      </c>
      <c r="I667" t="n">
        <v>0</v>
      </c>
      <c r="J667" t="n">
        <v>0</v>
      </c>
      <c r="K667" t="n">
        <v>0</v>
      </c>
      <c r="L667" t="n">
        <v>0</v>
      </c>
      <c r="M667" t="n">
        <v>0</v>
      </c>
      <c r="N667" t="n">
        <v>0</v>
      </c>
      <c r="O667" t="n">
        <v>0</v>
      </c>
      <c r="P667" t="n">
        <v>0</v>
      </c>
      <c r="Q667" t="n">
        <v>0</v>
      </c>
      <c r="R667" s="2" t="inlineStr"/>
    </row>
    <row r="668" ht="15" customHeight="1">
      <c r="A668" t="inlineStr">
        <is>
          <t>A 8135-2025</t>
        </is>
      </c>
      <c r="B668" s="1" t="n">
        <v>45707.84997685185</v>
      </c>
      <c r="C668" s="1" t="n">
        <v>46012</v>
      </c>
      <c r="D668" t="inlineStr">
        <is>
          <t>STOCKHOLMS LÄN</t>
        </is>
      </c>
      <c r="E668" t="inlineStr">
        <is>
          <t>NORRTÄLJE</t>
        </is>
      </c>
      <c r="G668" t="n">
        <v>2.6</v>
      </c>
      <c r="H668" t="n">
        <v>0</v>
      </c>
      <c r="I668" t="n">
        <v>0</v>
      </c>
      <c r="J668" t="n">
        <v>0</v>
      </c>
      <c r="K668" t="n">
        <v>0</v>
      </c>
      <c r="L668" t="n">
        <v>0</v>
      </c>
      <c r="M668" t="n">
        <v>0</v>
      </c>
      <c r="N668" t="n">
        <v>0</v>
      </c>
      <c r="O668" t="n">
        <v>0</v>
      </c>
      <c r="P668" t="n">
        <v>0</v>
      </c>
      <c r="Q668" t="n">
        <v>0</v>
      </c>
      <c r="R668" s="2" t="inlineStr"/>
    </row>
    <row r="669" ht="15" customHeight="1">
      <c r="A669" t="inlineStr">
        <is>
          <t>A 31936-2022</t>
        </is>
      </c>
      <c r="B669" s="1" t="n">
        <v>44777</v>
      </c>
      <c r="C669" s="1" t="n">
        <v>46012</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50097-2025</t>
        </is>
      </c>
      <c r="B670" s="1" t="n">
        <v>45943.50207175926</v>
      </c>
      <c r="C670" s="1" t="n">
        <v>46012</v>
      </c>
      <c r="D670" t="inlineStr">
        <is>
          <t>STOCKHOLMS LÄN</t>
        </is>
      </c>
      <c r="E670" t="inlineStr">
        <is>
          <t>NORRTÄLJE</t>
        </is>
      </c>
      <c r="F670" t="inlineStr">
        <is>
          <t>Holmen skog AB</t>
        </is>
      </c>
      <c r="G670" t="n">
        <v>12</v>
      </c>
      <c r="H670" t="n">
        <v>0</v>
      </c>
      <c r="I670" t="n">
        <v>0</v>
      </c>
      <c r="J670" t="n">
        <v>0</v>
      </c>
      <c r="K670" t="n">
        <v>0</v>
      </c>
      <c r="L670" t="n">
        <v>0</v>
      </c>
      <c r="M670" t="n">
        <v>0</v>
      </c>
      <c r="N670" t="n">
        <v>0</v>
      </c>
      <c r="O670" t="n">
        <v>0</v>
      </c>
      <c r="P670" t="n">
        <v>0</v>
      </c>
      <c r="Q670" t="n">
        <v>0</v>
      </c>
      <c r="R670" s="2" t="inlineStr"/>
    </row>
    <row r="671" ht="15" customHeight="1">
      <c r="A671" t="inlineStr">
        <is>
          <t>A 24887-2023</t>
        </is>
      </c>
      <c r="B671" s="1" t="n">
        <v>45085</v>
      </c>
      <c r="C671" s="1" t="n">
        <v>46012</v>
      </c>
      <c r="D671" t="inlineStr">
        <is>
          <t>STOCKHOLMS LÄN</t>
        </is>
      </c>
      <c r="E671" t="inlineStr">
        <is>
          <t>NORRTÄLJE</t>
        </is>
      </c>
      <c r="G671" t="n">
        <v>13.9</v>
      </c>
      <c r="H671" t="n">
        <v>0</v>
      </c>
      <c r="I671" t="n">
        <v>0</v>
      </c>
      <c r="J671" t="n">
        <v>0</v>
      </c>
      <c r="K671" t="n">
        <v>0</v>
      </c>
      <c r="L671" t="n">
        <v>0</v>
      </c>
      <c r="M671" t="n">
        <v>0</v>
      </c>
      <c r="N671" t="n">
        <v>0</v>
      </c>
      <c r="O671" t="n">
        <v>0</v>
      </c>
      <c r="P671" t="n">
        <v>0</v>
      </c>
      <c r="Q671" t="n">
        <v>0</v>
      </c>
      <c r="R671" s="2" t="inlineStr"/>
    </row>
    <row r="672" ht="15" customHeight="1">
      <c r="A672" t="inlineStr">
        <is>
          <t>A 58403-2025</t>
        </is>
      </c>
      <c r="B672" s="1" t="n">
        <v>45985.56777777777</v>
      </c>
      <c r="C672" s="1" t="n">
        <v>46012</v>
      </c>
      <c r="D672" t="inlineStr">
        <is>
          <t>STOCKHOLMS LÄN</t>
        </is>
      </c>
      <c r="E672" t="inlineStr">
        <is>
          <t>NORRTÄLJE</t>
        </is>
      </c>
      <c r="F672" t="inlineStr">
        <is>
          <t>Naturvårdsverket</t>
        </is>
      </c>
      <c r="G672" t="n">
        <v>13.5</v>
      </c>
      <c r="H672" t="n">
        <v>0</v>
      </c>
      <c r="I672" t="n">
        <v>0</v>
      </c>
      <c r="J672" t="n">
        <v>0</v>
      </c>
      <c r="K672" t="n">
        <v>0</v>
      </c>
      <c r="L672" t="n">
        <v>0</v>
      </c>
      <c r="M672" t="n">
        <v>0</v>
      </c>
      <c r="N672" t="n">
        <v>0</v>
      </c>
      <c r="O672" t="n">
        <v>0</v>
      </c>
      <c r="P672" t="n">
        <v>0</v>
      </c>
      <c r="Q672" t="n">
        <v>0</v>
      </c>
      <c r="R672" s="2" t="inlineStr"/>
    </row>
    <row r="673" ht="15" customHeight="1">
      <c r="A673" t="inlineStr">
        <is>
          <t>A 56428-2023</t>
        </is>
      </c>
      <c r="B673" s="1" t="n">
        <v>45243.45289351852</v>
      </c>
      <c r="C673" s="1" t="n">
        <v>46012</v>
      </c>
      <c r="D673" t="inlineStr">
        <is>
          <t>STOCKHOLMS LÄN</t>
        </is>
      </c>
      <c r="E673" t="inlineStr">
        <is>
          <t>NORRTÄLJE</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67921-2021</t>
        </is>
      </c>
      <c r="B674" s="1" t="n">
        <v>44525</v>
      </c>
      <c r="C674" s="1" t="n">
        <v>46012</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50333-2025</t>
        </is>
      </c>
      <c r="B675" s="1" t="n">
        <v>45944.47178240741</v>
      </c>
      <c r="C675" s="1" t="n">
        <v>46012</v>
      </c>
      <c r="D675" t="inlineStr">
        <is>
          <t>STOCKHOLMS LÄN</t>
        </is>
      </c>
      <c r="E675" t="inlineStr">
        <is>
          <t>NORRTÄLJE</t>
        </is>
      </c>
      <c r="G675" t="n">
        <v>4.2</v>
      </c>
      <c r="H675" t="n">
        <v>0</v>
      </c>
      <c r="I675" t="n">
        <v>0</v>
      </c>
      <c r="J675" t="n">
        <v>0</v>
      </c>
      <c r="K675" t="n">
        <v>0</v>
      </c>
      <c r="L675" t="n">
        <v>0</v>
      </c>
      <c r="M675" t="n">
        <v>0</v>
      </c>
      <c r="N675" t="n">
        <v>0</v>
      </c>
      <c r="O675" t="n">
        <v>0</v>
      </c>
      <c r="P675" t="n">
        <v>0</v>
      </c>
      <c r="Q675" t="n">
        <v>0</v>
      </c>
      <c r="R675" s="2" t="inlineStr"/>
    </row>
    <row r="676" ht="15" customHeight="1">
      <c r="A676" t="inlineStr">
        <is>
          <t>A 30338-2022</t>
        </is>
      </c>
      <c r="B676" s="1" t="n">
        <v>44760</v>
      </c>
      <c r="C676" s="1" t="n">
        <v>46012</v>
      </c>
      <c r="D676" t="inlineStr">
        <is>
          <t>STOCKHOLMS LÄN</t>
        </is>
      </c>
      <c r="E676" t="inlineStr">
        <is>
          <t>NORRTÄLJE</t>
        </is>
      </c>
      <c r="G676" t="n">
        <v>0.3</v>
      </c>
      <c r="H676" t="n">
        <v>0</v>
      </c>
      <c r="I676" t="n">
        <v>0</v>
      </c>
      <c r="J676" t="n">
        <v>0</v>
      </c>
      <c r="K676" t="n">
        <v>0</v>
      </c>
      <c r="L676" t="n">
        <v>0</v>
      </c>
      <c r="M676" t="n">
        <v>0</v>
      </c>
      <c r="N676" t="n">
        <v>0</v>
      </c>
      <c r="O676" t="n">
        <v>0</v>
      </c>
      <c r="P676" t="n">
        <v>0</v>
      </c>
      <c r="Q676" t="n">
        <v>0</v>
      </c>
      <c r="R676" s="2" t="inlineStr"/>
    </row>
    <row r="677" ht="15" customHeight="1">
      <c r="A677" t="inlineStr">
        <is>
          <t>A 50563-2025</t>
        </is>
      </c>
      <c r="B677" s="1" t="n">
        <v>45944</v>
      </c>
      <c r="C677" s="1" t="n">
        <v>46012</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18541-2023</t>
        </is>
      </c>
      <c r="B678" s="1" t="n">
        <v>45042.74291666667</v>
      </c>
      <c r="C678" s="1" t="n">
        <v>46012</v>
      </c>
      <c r="D678" t="inlineStr">
        <is>
          <t>STOCKHOLMS LÄN</t>
        </is>
      </c>
      <c r="E678" t="inlineStr">
        <is>
          <t>NORRTÄLJE</t>
        </is>
      </c>
      <c r="G678" t="n">
        <v>0.7</v>
      </c>
      <c r="H678" t="n">
        <v>0</v>
      </c>
      <c r="I678" t="n">
        <v>0</v>
      </c>
      <c r="J678" t="n">
        <v>0</v>
      </c>
      <c r="K678" t="n">
        <v>0</v>
      </c>
      <c r="L678" t="n">
        <v>0</v>
      </c>
      <c r="M678" t="n">
        <v>0</v>
      </c>
      <c r="N678" t="n">
        <v>0</v>
      </c>
      <c r="O678" t="n">
        <v>0</v>
      </c>
      <c r="P678" t="n">
        <v>0</v>
      </c>
      <c r="Q678" t="n">
        <v>0</v>
      </c>
      <c r="R678" s="2" t="inlineStr"/>
    </row>
    <row r="679" ht="15" customHeight="1">
      <c r="A679" t="inlineStr">
        <is>
          <t>A 32857-2021</t>
        </is>
      </c>
      <c r="B679" s="1" t="n">
        <v>44375</v>
      </c>
      <c r="C679" s="1" t="n">
        <v>46012</v>
      </c>
      <c r="D679" t="inlineStr">
        <is>
          <t>STOCKHOLMS LÄN</t>
        </is>
      </c>
      <c r="E679" t="inlineStr">
        <is>
          <t>NORRTÄLJE</t>
        </is>
      </c>
      <c r="G679" t="n">
        <v>2.9</v>
      </c>
      <c r="H679" t="n">
        <v>0</v>
      </c>
      <c r="I679" t="n">
        <v>0</v>
      </c>
      <c r="J679" t="n">
        <v>0</v>
      </c>
      <c r="K679" t="n">
        <v>0</v>
      </c>
      <c r="L679" t="n">
        <v>0</v>
      </c>
      <c r="M679" t="n">
        <v>0</v>
      </c>
      <c r="N679" t="n">
        <v>0</v>
      </c>
      <c r="O679" t="n">
        <v>0</v>
      </c>
      <c r="P679" t="n">
        <v>0</v>
      </c>
      <c r="Q679" t="n">
        <v>0</v>
      </c>
      <c r="R679" s="2" t="inlineStr"/>
    </row>
    <row r="680" ht="15" customHeight="1">
      <c r="A680" t="inlineStr">
        <is>
          <t>A 50327-2025</t>
        </is>
      </c>
      <c r="B680" s="1" t="n">
        <v>45944.46387731482</v>
      </c>
      <c r="C680" s="1" t="n">
        <v>46012</v>
      </c>
      <c r="D680" t="inlineStr">
        <is>
          <t>STOCKHOLMS LÄN</t>
        </is>
      </c>
      <c r="E680" t="inlineStr">
        <is>
          <t>NORRTÄLJE</t>
        </is>
      </c>
      <c r="G680" t="n">
        <v>0.3</v>
      </c>
      <c r="H680" t="n">
        <v>0</v>
      </c>
      <c r="I680" t="n">
        <v>0</v>
      </c>
      <c r="J680" t="n">
        <v>0</v>
      </c>
      <c r="K680" t="n">
        <v>0</v>
      </c>
      <c r="L680" t="n">
        <v>0</v>
      </c>
      <c r="M680" t="n">
        <v>0</v>
      </c>
      <c r="N680" t="n">
        <v>0</v>
      </c>
      <c r="O680" t="n">
        <v>0</v>
      </c>
      <c r="P680" t="n">
        <v>0</v>
      </c>
      <c r="Q680" t="n">
        <v>0</v>
      </c>
      <c r="R680" s="2" t="inlineStr"/>
    </row>
    <row r="681" ht="15" customHeight="1">
      <c r="A681" t="inlineStr">
        <is>
          <t>A 51325-2023</t>
        </is>
      </c>
      <c r="B681" s="1" t="n">
        <v>45219</v>
      </c>
      <c r="C681" s="1" t="n">
        <v>46012</v>
      </c>
      <c r="D681" t="inlineStr">
        <is>
          <t>STOCKHOLMS LÄN</t>
        </is>
      </c>
      <c r="E681" t="inlineStr">
        <is>
          <t>NORRTÄLJE</t>
        </is>
      </c>
      <c r="G681" t="n">
        <v>2.2</v>
      </c>
      <c r="H681" t="n">
        <v>0</v>
      </c>
      <c r="I681" t="n">
        <v>0</v>
      </c>
      <c r="J681" t="n">
        <v>0</v>
      </c>
      <c r="K681" t="n">
        <v>0</v>
      </c>
      <c r="L681" t="n">
        <v>0</v>
      </c>
      <c r="M681" t="n">
        <v>0</v>
      </c>
      <c r="N681" t="n">
        <v>0</v>
      </c>
      <c r="O681" t="n">
        <v>0</v>
      </c>
      <c r="P681" t="n">
        <v>0</v>
      </c>
      <c r="Q681" t="n">
        <v>0</v>
      </c>
      <c r="R681" s="2" t="inlineStr"/>
    </row>
    <row r="682" ht="15" customHeight="1">
      <c r="A682" t="inlineStr">
        <is>
          <t>A 21729-2024</t>
        </is>
      </c>
      <c r="B682" s="1" t="n">
        <v>45442</v>
      </c>
      <c r="C682" s="1" t="n">
        <v>46012</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58939-2025</t>
        </is>
      </c>
      <c r="B683" s="1" t="n">
        <v>45987.5681712963</v>
      </c>
      <c r="C683" s="1" t="n">
        <v>46012</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21894-2023</t>
        </is>
      </c>
      <c r="B684" s="1" t="n">
        <v>45068.51783564815</v>
      </c>
      <c r="C684" s="1" t="n">
        <v>46012</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21732-2023</t>
        </is>
      </c>
      <c r="B685" s="1" t="n">
        <v>45063</v>
      </c>
      <c r="C685" s="1" t="n">
        <v>46012</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7806-2025</t>
        </is>
      </c>
      <c r="B686" s="1" t="n">
        <v>45706.61178240741</v>
      </c>
      <c r="C686" s="1" t="n">
        <v>46012</v>
      </c>
      <c r="D686" t="inlineStr">
        <is>
          <t>STOCKHOLMS LÄN</t>
        </is>
      </c>
      <c r="E686" t="inlineStr">
        <is>
          <t>NORRTÄLJE</t>
        </is>
      </c>
      <c r="F686" t="inlineStr">
        <is>
          <t>Holmen skog AB</t>
        </is>
      </c>
      <c r="G686" t="n">
        <v>3.5</v>
      </c>
      <c r="H686" t="n">
        <v>0</v>
      </c>
      <c r="I686" t="n">
        <v>0</v>
      </c>
      <c r="J686" t="n">
        <v>0</v>
      </c>
      <c r="K686" t="n">
        <v>0</v>
      </c>
      <c r="L686" t="n">
        <v>0</v>
      </c>
      <c r="M686" t="n">
        <v>0</v>
      </c>
      <c r="N686" t="n">
        <v>0</v>
      </c>
      <c r="O686" t="n">
        <v>0</v>
      </c>
      <c r="P686" t="n">
        <v>0</v>
      </c>
      <c r="Q686" t="n">
        <v>0</v>
      </c>
      <c r="R686" s="2" t="inlineStr"/>
    </row>
    <row r="687" ht="15" customHeight="1">
      <c r="A687" t="inlineStr">
        <is>
          <t>A 37444-2021</t>
        </is>
      </c>
      <c r="B687" s="1" t="n">
        <v>44398</v>
      </c>
      <c r="C687" s="1" t="n">
        <v>46012</v>
      </c>
      <c r="D687" t="inlineStr">
        <is>
          <t>STOCKHOLMS LÄN</t>
        </is>
      </c>
      <c r="E687" t="inlineStr">
        <is>
          <t>NORRTÄLJE</t>
        </is>
      </c>
      <c r="F687" t="inlineStr">
        <is>
          <t>Holmen skog AB</t>
        </is>
      </c>
      <c r="G687" t="n">
        <v>3.2</v>
      </c>
      <c r="H687" t="n">
        <v>0</v>
      </c>
      <c r="I687" t="n">
        <v>0</v>
      </c>
      <c r="J687" t="n">
        <v>0</v>
      </c>
      <c r="K687" t="n">
        <v>0</v>
      </c>
      <c r="L687" t="n">
        <v>0</v>
      </c>
      <c r="M687" t="n">
        <v>0</v>
      </c>
      <c r="N687" t="n">
        <v>0</v>
      </c>
      <c r="O687" t="n">
        <v>0</v>
      </c>
      <c r="P687" t="n">
        <v>0</v>
      </c>
      <c r="Q687" t="n">
        <v>0</v>
      </c>
      <c r="R687" s="2" t="inlineStr"/>
    </row>
    <row r="688" ht="15" customHeight="1">
      <c r="A688" t="inlineStr">
        <is>
          <t>A 51240-2025</t>
        </is>
      </c>
      <c r="B688" s="1" t="n">
        <v>45947.70420138889</v>
      </c>
      <c r="C688" s="1" t="n">
        <v>46012</v>
      </c>
      <c r="D688" t="inlineStr">
        <is>
          <t>STOCKHOLMS LÄN</t>
        </is>
      </c>
      <c r="E688" t="inlineStr">
        <is>
          <t>NORRTÄLJE</t>
        </is>
      </c>
      <c r="F688" t="inlineStr">
        <is>
          <t>Naturvårdsverket</t>
        </is>
      </c>
      <c r="G688" t="n">
        <v>3</v>
      </c>
      <c r="H688" t="n">
        <v>0</v>
      </c>
      <c r="I688" t="n">
        <v>0</v>
      </c>
      <c r="J688" t="n">
        <v>0</v>
      </c>
      <c r="K688" t="n">
        <v>0</v>
      </c>
      <c r="L688" t="n">
        <v>0</v>
      </c>
      <c r="M688" t="n">
        <v>0</v>
      </c>
      <c r="N688" t="n">
        <v>0</v>
      </c>
      <c r="O688" t="n">
        <v>0</v>
      </c>
      <c r="P688" t="n">
        <v>0</v>
      </c>
      <c r="Q688" t="n">
        <v>0</v>
      </c>
      <c r="R688" s="2" t="inlineStr"/>
    </row>
    <row r="689" ht="15" customHeight="1">
      <c r="A689" t="inlineStr">
        <is>
          <t>A 59477-2025</t>
        </is>
      </c>
      <c r="B689" s="1" t="n">
        <v>45989.58679398148</v>
      </c>
      <c r="C689" s="1" t="n">
        <v>46012</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45173-2023</t>
        </is>
      </c>
      <c r="B690" s="1" t="n">
        <v>45191</v>
      </c>
      <c r="C690" s="1" t="n">
        <v>46012</v>
      </c>
      <c r="D690" t="inlineStr">
        <is>
          <t>STOCKHOLMS LÄN</t>
        </is>
      </c>
      <c r="E690" t="inlineStr">
        <is>
          <t>NORRTÄLJE</t>
        </is>
      </c>
      <c r="F690" t="inlineStr">
        <is>
          <t>Sveaskog</t>
        </is>
      </c>
      <c r="G690" t="n">
        <v>3.6</v>
      </c>
      <c r="H690" t="n">
        <v>0</v>
      </c>
      <c r="I690" t="n">
        <v>0</v>
      </c>
      <c r="J690" t="n">
        <v>0</v>
      </c>
      <c r="K690" t="n">
        <v>0</v>
      </c>
      <c r="L690" t="n">
        <v>0</v>
      </c>
      <c r="M690" t="n">
        <v>0</v>
      </c>
      <c r="N690" t="n">
        <v>0</v>
      </c>
      <c r="O690" t="n">
        <v>0</v>
      </c>
      <c r="P690" t="n">
        <v>0</v>
      </c>
      <c r="Q690" t="n">
        <v>0</v>
      </c>
      <c r="R690" s="2" t="inlineStr"/>
    </row>
    <row r="691" ht="15" customHeight="1">
      <c r="A691" t="inlineStr">
        <is>
          <t>A 51121-2025</t>
        </is>
      </c>
      <c r="B691" s="1" t="n">
        <v>45947.53293981482</v>
      </c>
      <c r="C691" s="1" t="n">
        <v>46012</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64137-2021</t>
        </is>
      </c>
      <c r="B692" s="1" t="n">
        <v>44510.51422453704</v>
      </c>
      <c r="C692" s="1" t="n">
        <v>46012</v>
      </c>
      <c r="D692" t="inlineStr">
        <is>
          <t>STOCKHOLMS LÄN</t>
        </is>
      </c>
      <c r="E692" t="inlineStr">
        <is>
          <t>NORRTÄLJE</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38720-2022</t>
        </is>
      </c>
      <c r="B693" s="1" t="n">
        <v>44815.74539351852</v>
      </c>
      <c r="C693" s="1" t="n">
        <v>46012</v>
      </c>
      <c r="D693" t="inlineStr">
        <is>
          <t>STOCKHOLMS LÄN</t>
        </is>
      </c>
      <c r="E693" t="inlineStr">
        <is>
          <t>NORRTÄLJE</t>
        </is>
      </c>
      <c r="G693" t="n">
        <v>2.5</v>
      </c>
      <c r="H693" t="n">
        <v>0</v>
      </c>
      <c r="I693" t="n">
        <v>0</v>
      </c>
      <c r="J693" t="n">
        <v>0</v>
      </c>
      <c r="K693" t="n">
        <v>0</v>
      </c>
      <c r="L693" t="n">
        <v>0</v>
      </c>
      <c r="M693" t="n">
        <v>0</v>
      </c>
      <c r="N693" t="n">
        <v>0</v>
      </c>
      <c r="O693" t="n">
        <v>0</v>
      </c>
      <c r="P693" t="n">
        <v>0</v>
      </c>
      <c r="Q693" t="n">
        <v>0</v>
      </c>
      <c r="R693" s="2" t="inlineStr"/>
    </row>
    <row r="694" ht="15" customHeight="1">
      <c r="A694" t="inlineStr">
        <is>
          <t>A 51532-2025</t>
        </is>
      </c>
      <c r="B694" s="1" t="n">
        <v>45950.68297453703</v>
      </c>
      <c r="C694" s="1" t="n">
        <v>46012</v>
      </c>
      <c r="D694" t="inlineStr">
        <is>
          <t>STOCKHOLMS LÄN</t>
        </is>
      </c>
      <c r="E694" t="inlineStr">
        <is>
          <t>NORRTÄLJE</t>
        </is>
      </c>
      <c r="F694" t="inlineStr">
        <is>
          <t>Naturvårdsverket</t>
        </is>
      </c>
      <c r="G694" t="n">
        <v>17.3</v>
      </c>
      <c r="H694" t="n">
        <v>0</v>
      </c>
      <c r="I694" t="n">
        <v>0</v>
      </c>
      <c r="J694" t="n">
        <v>0</v>
      </c>
      <c r="K694" t="n">
        <v>0</v>
      </c>
      <c r="L694" t="n">
        <v>0</v>
      </c>
      <c r="M694" t="n">
        <v>0</v>
      </c>
      <c r="N694" t="n">
        <v>0</v>
      </c>
      <c r="O694" t="n">
        <v>0</v>
      </c>
      <c r="P694" t="n">
        <v>0</v>
      </c>
      <c r="Q694" t="n">
        <v>0</v>
      </c>
      <c r="R694" s="2" t="inlineStr"/>
    </row>
    <row r="695" ht="15" customHeight="1">
      <c r="A695" t="inlineStr">
        <is>
          <t>A 34432-2021</t>
        </is>
      </c>
      <c r="B695" s="1" t="n">
        <v>44380.77346064815</v>
      </c>
      <c r="C695" s="1" t="n">
        <v>46012</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19911-2025</t>
        </is>
      </c>
      <c r="B696" s="1" t="n">
        <v>45771</v>
      </c>
      <c r="C696" s="1" t="n">
        <v>46012</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59672-2025</t>
        </is>
      </c>
      <c r="B697" s="1" t="n">
        <v>45992.45884259259</v>
      </c>
      <c r="C697" s="1" t="n">
        <v>46012</v>
      </c>
      <c r="D697" t="inlineStr">
        <is>
          <t>STOCKHOLMS LÄN</t>
        </is>
      </c>
      <c r="E697" t="inlineStr">
        <is>
          <t>NORRTÄLJE</t>
        </is>
      </c>
      <c r="G697" t="n">
        <v>4</v>
      </c>
      <c r="H697" t="n">
        <v>0</v>
      </c>
      <c r="I697" t="n">
        <v>0</v>
      </c>
      <c r="J697" t="n">
        <v>0</v>
      </c>
      <c r="K697" t="n">
        <v>0</v>
      </c>
      <c r="L697" t="n">
        <v>0</v>
      </c>
      <c r="M697" t="n">
        <v>0</v>
      </c>
      <c r="N697" t="n">
        <v>0</v>
      </c>
      <c r="O697" t="n">
        <v>0</v>
      </c>
      <c r="P697" t="n">
        <v>0</v>
      </c>
      <c r="Q697" t="n">
        <v>0</v>
      </c>
      <c r="R697" s="2" t="inlineStr"/>
    </row>
    <row r="698" ht="15" customHeight="1">
      <c r="A698" t="inlineStr">
        <is>
          <t>A 51233-2025</t>
        </is>
      </c>
      <c r="B698" s="1" t="n">
        <v>45947.68232638889</v>
      </c>
      <c r="C698" s="1" t="n">
        <v>46012</v>
      </c>
      <c r="D698" t="inlineStr">
        <is>
          <t>STOCKHOLMS LÄN</t>
        </is>
      </c>
      <c r="E698" t="inlineStr">
        <is>
          <t>NORRTÄLJE</t>
        </is>
      </c>
      <c r="F698" t="inlineStr">
        <is>
          <t>Naturvårdsverket</t>
        </is>
      </c>
      <c r="G698" t="n">
        <v>8.1</v>
      </c>
      <c r="H698" t="n">
        <v>0</v>
      </c>
      <c r="I698" t="n">
        <v>0</v>
      </c>
      <c r="J698" t="n">
        <v>0</v>
      </c>
      <c r="K698" t="n">
        <v>0</v>
      </c>
      <c r="L698" t="n">
        <v>0</v>
      </c>
      <c r="M698" t="n">
        <v>0</v>
      </c>
      <c r="N698" t="n">
        <v>0</v>
      </c>
      <c r="O698" t="n">
        <v>0</v>
      </c>
      <c r="P698" t="n">
        <v>0</v>
      </c>
      <c r="Q698" t="n">
        <v>0</v>
      </c>
      <c r="R698" s="2" t="inlineStr"/>
    </row>
    <row r="699" ht="15" customHeight="1">
      <c r="A699" t="inlineStr">
        <is>
          <t>A 51236-2025</t>
        </is>
      </c>
      <c r="B699" s="1" t="n">
        <v>45947.69078703703</v>
      </c>
      <c r="C699" s="1" t="n">
        <v>46012</v>
      </c>
      <c r="D699" t="inlineStr">
        <is>
          <t>STOCKHOLMS LÄN</t>
        </is>
      </c>
      <c r="E699" t="inlineStr">
        <is>
          <t>NORRTÄLJE</t>
        </is>
      </c>
      <c r="F699" t="inlineStr">
        <is>
          <t>Naturvårdsverket</t>
        </is>
      </c>
      <c r="G699" t="n">
        <v>6.3</v>
      </c>
      <c r="H699" t="n">
        <v>0</v>
      </c>
      <c r="I699" t="n">
        <v>0</v>
      </c>
      <c r="J699" t="n">
        <v>0</v>
      </c>
      <c r="K699" t="n">
        <v>0</v>
      </c>
      <c r="L699" t="n">
        <v>0</v>
      </c>
      <c r="M699" t="n">
        <v>0</v>
      </c>
      <c r="N699" t="n">
        <v>0</v>
      </c>
      <c r="O699" t="n">
        <v>0</v>
      </c>
      <c r="P699" t="n">
        <v>0</v>
      </c>
      <c r="Q699" t="n">
        <v>0</v>
      </c>
      <c r="R699" s="2" t="inlineStr"/>
    </row>
    <row r="700" ht="15" customHeight="1">
      <c r="A700" t="inlineStr">
        <is>
          <t>A 51241-2025</t>
        </is>
      </c>
      <c r="B700" s="1" t="n">
        <v>45947.71726851852</v>
      </c>
      <c r="C700" s="1" t="n">
        <v>46012</v>
      </c>
      <c r="D700" t="inlineStr">
        <is>
          <t>STOCKHOLMS LÄN</t>
        </is>
      </c>
      <c r="E700" t="inlineStr">
        <is>
          <t>NORRTÄLJE</t>
        </is>
      </c>
      <c r="F700" t="inlineStr">
        <is>
          <t>Naturvårdsverket</t>
        </is>
      </c>
      <c r="G700" t="n">
        <v>6.4</v>
      </c>
      <c r="H700" t="n">
        <v>0</v>
      </c>
      <c r="I700" t="n">
        <v>0</v>
      </c>
      <c r="J700" t="n">
        <v>0</v>
      </c>
      <c r="K700" t="n">
        <v>0</v>
      </c>
      <c r="L700" t="n">
        <v>0</v>
      </c>
      <c r="M700" t="n">
        <v>0</v>
      </c>
      <c r="N700" t="n">
        <v>0</v>
      </c>
      <c r="O700" t="n">
        <v>0</v>
      </c>
      <c r="P700" t="n">
        <v>0</v>
      </c>
      <c r="Q700" t="n">
        <v>0</v>
      </c>
      <c r="R700" s="2" t="inlineStr"/>
    </row>
    <row r="701" ht="15" customHeight="1">
      <c r="A701" t="inlineStr">
        <is>
          <t>A 14130-2025</t>
        </is>
      </c>
      <c r="B701" s="1" t="n">
        <v>45740.47288194444</v>
      </c>
      <c r="C701" s="1" t="n">
        <v>46012</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12532-2025</t>
        </is>
      </c>
      <c r="B702" s="1" t="n">
        <v>45730.69143518519</v>
      </c>
      <c r="C702" s="1" t="n">
        <v>46012</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51122-2025</t>
        </is>
      </c>
      <c r="B703" s="1" t="n">
        <v>45947.53693287037</v>
      </c>
      <c r="C703" s="1" t="n">
        <v>46012</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40175-2024</t>
        </is>
      </c>
      <c r="B704" s="1" t="n">
        <v>45554.55707175926</v>
      </c>
      <c r="C704" s="1" t="n">
        <v>46012</v>
      </c>
      <c r="D704" t="inlineStr">
        <is>
          <t>STOCKHOLMS LÄN</t>
        </is>
      </c>
      <c r="E704" t="inlineStr">
        <is>
          <t>NORRTÄLJE</t>
        </is>
      </c>
      <c r="G704" t="n">
        <v>7.7</v>
      </c>
      <c r="H704" t="n">
        <v>0</v>
      </c>
      <c r="I704" t="n">
        <v>0</v>
      </c>
      <c r="J704" t="n">
        <v>0</v>
      </c>
      <c r="K704" t="n">
        <v>0</v>
      </c>
      <c r="L704" t="n">
        <v>0</v>
      </c>
      <c r="M704" t="n">
        <v>0</v>
      </c>
      <c r="N704" t="n">
        <v>0</v>
      </c>
      <c r="O704" t="n">
        <v>0</v>
      </c>
      <c r="P704" t="n">
        <v>0</v>
      </c>
      <c r="Q704" t="n">
        <v>0</v>
      </c>
      <c r="R704" s="2" t="inlineStr"/>
    </row>
    <row r="705" ht="15" customHeight="1">
      <c r="A705" t="inlineStr">
        <is>
          <t>A 60223-2025</t>
        </is>
      </c>
      <c r="B705" s="1" t="n">
        <v>45994.54497685185</v>
      </c>
      <c r="C705" s="1" t="n">
        <v>46012</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16229-2022</t>
        </is>
      </c>
      <c r="B706" s="1" t="n">
        <v>44670.4190162037</v>
      </c>
      <c r="C706" s="1" t="n">
        <v>46012</v>
      </c>
      <c r="D706" t="inlineStr">
        <is>
          <t>STOCKHOLMS LÄN</t>
        </is>
      </c>
      <c r="E706" t="inlineStr">
        <is>
          <t>NORRTÄLJE</t>
        </is>
      </c>
      <c r="G706" t="n">
        <v>7.4</v>
      </c>
      <c r="H706" t="n">
        <v>0</v>
      </c>
      <c r="I706" t="n">
        <v>0</v>
      </c>
      <c r="J706" t="n">
        <v>0</v>
      </c>
      <c r="K706" t="n">
        <v>0</v>
      </c>
      <c r="L706" t="n">
        <v>0</v>
      </c>
      <c r="M706" t="n">
        <v>0</v>
      </c>
      <c r="N706" t="n">
        <v>0</v>
      </c>
      <c r="O706" t="n">
        <v>0</v>
      </c>
      <c r="P706" t="n">
        <v>0</v>
      </c>
      <c r="Q706" t="n">
        <v>0</v>
      </c>
      <c r="R706" s="2" t="inlineStr"/>
    </row>
    <row r="707" ht="15" customHeight="1">
      <c r="A707" t="inlineStr">
        <is>
          <t>A 59907-2025</t>
        </is>
      </c>
      <c r="B707" s="1" t="n">
        <v>45993.35350694445</v>
      </c>
      <c r="C707" s="1" t="n">
        <v>46012</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46914-2022</t>
        </is>
      </c>
      <c r="B708" s="1" t="n">
        <v>44851</v>
      </c>
      <c r="C708" s="1" t="n">
        <v>46012</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20244-2025</t>
        </is>
      </c>
      <c r="B709" s="1" t="n">
        <v>45772.71221064815</v>
      </c>
      <c r="C709" s="1" t="n">
        <v>46012</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50143-2023</t>
        </is>
      </c>
      <c r="B710" s="1" t="n">
        <v>45215</v>
      </c>
      <c r="C710" s="1" t="n">
        <v>46012</v>
      </c>
      <c r="D710" t="inlineStr">
        <is>
          <t>STOCKHOLMS LÄN</t>
        </is>
      </c>
      <c r="E710" t="inlineStr">
        <is>
          <t>NORRTÄLJE</t>
        </is>
      </c>
      <c r="G710" t="n">
        <v>10.3</v>
      </c>
      <c r="H710" t="n">
        <v>0</v>
      </c>
      <c r="I710" t="n">
        <v>0</v>
      </c>
      <c r="J710" t="n">
        <v>0</v>
      </c>
      <c r="K710" t="n">
        <v>0</v>
      </c>
      <c r="L710" t="n">
        <v>0</v>
      </c>
      <c r="M710" t="n">
        <v>0</v>
      </c>
      <c r="N710" t="n">
        <v>0</v>
      </c>
      <c r="O710" t="n">
        <v>0</v>
      </c>
      <c r="P710" t="n">
        <v>0</v>
      </c>
      <c r="Q710" t="n">
        <v>0</v>
      </c>
      <c r="R710" s="2" t="inlineStr"/>
    </row>
    <row r="711" ht="15" customHeight="1">
      <c r="A711" t="inlineStr">
        <is>
          <t>A 59914-2025</t>
        </is>
      </c>
      <c r="B711" s="1" t="n">
        <v>45993.37056712963</v>
      </c>
      <c r="C711" s="1" t="n">
        <v>46012</v>
      </c>
      <c r="D711" t="inlineStr">
        <is>
          <t>STOCKHOLMS LÄN</t>
        </is>
      </c>
      <c r="E711" t="inlineStr">
        <is>
          <t>NORRTÄLJE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51945-2025</t>
        </is>
      </c>
      <c r="B712" s="1" t="n">
        <v>45952.52679398148</v>
      </c>
      <c r="C712" s="1" t="n">
        <v>46012</v>
      </c>
      <c r="D712" t="inlineStr">
        <is>
          <t>STOCKHOLMS LÄN</t>
        </is>
      </c>
      <c r="E712" t="inlineStr">
        <is>
          <t>NORRTÄLJE</t>
        </is>
      </c>
      <c r="G712" t="n">
        <v>7</v>
      </c>
      <c r="H712" t="n">
        <v>0</v>
      </c>
      <c r="I712" t="n">
        <v>0</v>
      </c>
      <c r="J712" t="n">
        <v>0</v>
      </c>
      <c r="K712" t="n">
        <v>0</v>
      </c>
      <c r="L712" t="n">
        <v>0</v>
      </c>
      <c r="M712" t="n">
        <v>0</v>
      </c>
      <c r="N712" t="n">
        <v>0</v>
      </c>
      <c r="O712" t="n">
        <v>0</v>
      </c>
      <c r="P712" t="n">
        <v>0</v>
      </c>
      <c r="Q712" t="n">
        <v>0</v>
      </c>
      <c r="R712" s="2" t="inlineStr"/>
    </row>
    <row r="713" ht="15" customHeight="1">
      <c r="A713" t="inlineStr">
        <is>
          <t>A 51941-2025</t>
        </is>
      </c>
      <c r="B713" s="1" t="n">
        <v>45952.52261574074</v>
      </c>
      <c r="C713" s="1" t="n">
        <v>46012</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60253-2025</t>
        </is>
      </c>
      <c r="B714" s="1" t="n">
        <v>45994.59827546297</v>
      </c>
      <c r="C714" s="1" t="n">
        <v>46012</v>
      </c>
      <c r="D714" t="inlineStr">
        <is>
          <t>STOCKHOLMS LÄN</t>
        </is>
      </c>
      <c r="E714" t="inlineStr">
        <is>
          <t>NORRTÄLJE</t>
        </is>
      </c>
      <c r="F714" t="inlineStr">
        <is>
          <t>Holmen skog AB</t>
        </is>
      </c>
      <c r="G714" t="n">
        <v>3.6</v>
      </c>
      <c r="H714" t="n">
        <v>0</v>
      </c>
      <c r="I714" t="n">
        <v>0</v>
      </c>
      <c r="J714" t="n">
        <v>0</v>
      </c>
      <c r="K714" t="n">
        <v>0</v>
      </c>
      <c r="L714" t="n">
        <v>0</v>
      </c>
      <c r="M714" t="n">
        <v>0</v>
      </c>
      <c r="N714" t="n">
        <v>0</v>
      </c>
      <c r="O714" t="n">
        <v>0</v>
      </c>
      <c r="P714" t="n">
        <v>0</v>
      </c>
      <c r="Q714" t="n">
        <v>0</v>
      </c>
      <c r="R714" s="2" t="inlineStr"/>
    </row>
    <row r="715" ht="15" customHeight="1">
      <c r="A715" t="inlineStr">
        <is>
          <t>A 52061-2025</t>
        </is>
      </c>
      <c r="B715" s="1" t="n">
        <v>45952.63679398148</v>
      </c>
      <c r="C715" s="1" t="n">
        <v>46012</v>
      </c>
      <c r="D715" t="inlineStr">
        <is>
          <t>STOCKHOLMS LÄN</t>
        </is>
      </c>
      <c r="E715" t="inlineStr">
        <is>
          <t>NORRTÄLJE</t>
        </is>
      </c>
      <c r="G715" t="n">
        <v>9.5</v>
      </c>
      <c r="H715" t="n">
        <v>0</v>
      </c>
      <c r="I715" t="n">
        <v>0</v>
      </c>
      <c r="J715" t="n">
        <v>0</v>
      </c>
      <c r="K715" t="n">
        <v>0</v>
      </c>
      <c r="L715" t="n">
        <v>0</v>
      </c>
      <c r="M715" t="n">
        <v>0</v>
      </c>
      <c r="N715" t="n">
        <v>0</v>
      </c>
      <c r="O715" t="n">
        <v>0</v>
      </c>
      <c r="P715" t="n">
        <v>0</v>
      </c>
      <c r="Q715" t="n">
        <v>0</v>
      </c>
      <c r="R715" s="2" t="inlineStr"/>
    </row>
    <row r="716" ht="15" customHeight="1">
      <c r="A716" t="inlineStr">
        <is>
          <t>A 20015-2023</t>
        </is>
      </c>
      <c r="B716" s="1" t="n">
        <v>45054</v>
      </c>
      <c r="C716" s="1" t="n">
        <v>46012</v>
      </c>
      <c r="D716" t="inlineStr">
        <is>
          <t>STOCKHOLMS LÄN</t>
        </is>
      </c>
      <c r="E716" t="inlineStr">
        <is>
          <t>NORRTÄLJE</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59924-2025</t>
        </is>
      </c>
      <c r="B717" s="1" t="n">
        <v>45993.38928240741</v>
      </c>
      <c r="C717" s="1" t="n">
        <v>46012</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51960-2025</t>
        </is>
      </c>
      <c r="B718" s="1" t="n">
        <v>45952.54755787037</v>
      </c>
      <c r="C718" s="1" t="n">
        <v>46012</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51789-2025</t>
        </is>
      </c>
      <c r="B719" s="1" t="n">
        <v>45951.68046296296</v>
      </c>
      <c r="C719" s="1" t="n">
        <v>46012</v>
      </c>
      <c r="D719" t="inlineStr">
        <is>
          <t>STOCKHOLMS LÄN</t>
        </is>
      </c>
      <c r="E719" t="inlineStr">
        <is>
          <t>NORRTÄLJE</t>
        </is>
      </c>
      <c r="F719" t="inlineStr">
        <is>
          <t>Naturvårdsverket</t>
        </is>
      </c>
      <c r="G719" t="n">
        <v>8.9</v>
      </c>
      <c r="H719" t="n">
        <v>0</v>
      </c>
      <c r="I719" t="n">
        <v>0</v>
      </c>
      <c r="J719" t="n">
        <v>0</v>
      </c>
      <c r="K719" t="n">
        <v>0</v>
      </c>
      <c r="L719" t="n">
        <v>0</v>
      </c>
      <c r="M719" t="n">
        <v>0</v>
      </c>
      <c r="N719" t="n">
        <v>0</v>
      </c>
      <c r="O719" t="n">
        <v>0</v>
      </c>
      <c r="P719" t="n">
        <v>0</v>
      </c>
      <c r="Q719" t="n">
        <v>0</v>
      </c>
      <c r="R719" s="2" t="inlineStr"/>
    </row>
    <row r="720" ht="15" customHeight="1">
      <c r="A720" t="inlineStr">
        <is>
          <t>A 5027-2025</t>
        </is>
      </c>
      <c r="B720" s="1" t="n">
        <v>45691.41101851852</v>
      </c>
      <c r="C720" s="1" t="n">
        <v>46012</v>
      </c>
      <c r="D720" t="inlineStr">
        <is>
          <t>STOCKHOLMS LÄN</t>
        </is>
      </c>
      <c r="E720" t="inlineStr">
        <is>
          <t>NORRTÄLJE</t>
        </is>
      </c>
      <c r="G720" t="n">
        <v>0.8</v>
      </c>
      <c r="H720" t="n">
        <v>0</v>
      </c>
      <c r="I720" t="n">
        <v>0</v>
      </c>
      <c r="J720" t="n">
        <v>0</v>
      </c>
      <c r="K720" t="n">
        <v>0</v>
      </c>
      <c r="L720" t="n">
        <v>0</v>
      </c>
      <c r="M720" t="n">
        <v>0</v>
      </c>
      <c r="N720" t="n">
        <v>0</v>
      </c>
      <c r="O720" t="n">
        <v>0</v>
      </c>
      <c r="P720" t="n">
        <v>0</v>
      </c>
      <c r="Q720" t="n">
        <v>0</v>
      </c>
      <c r="R720" s="2" t="inlineStr"/>
    </row>
    <row r="721" ht="15" customHeight="1">
      <c r="A721" t="inlineStr">
        <is>
          <t>A 60214-2025</t>
        </is>
      </c>
      <c r="B721" s="1" t="n">
        <v>45994.53761574074</v>
      </c>
      <c r="C721" s="1" t="n">
        <v>46012</v>
      </c>
      <c r="D721" t="inlineStr">
        <is>
          <t>STOCKHOLMS LÄN</t>
        </is>
      </c>
      <c r="E721" t="inlineStr">
        <is>
          <t>NORRTÄLJE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8315-2025</t>
        </is>
      </c>
      <c r="B722" s="1" t="n">
        <v>45708.61761574074</v>
      </c>
      <c r="C722" s="1" t="n">
        <v>46012</v>
      </c>
      <c r="D722" t="inlineStr">
        <is>
          <t>STOCKHOLMS LÄN</t>
        </is>
      </c>
      <c r="E722" t="inlineStr">
        <is>
          <t>NORRTÄLJE</t>
        </is>
      </c>
      <c r="G722" t="n">
        <v>3.9</v>
      </c>
      <c r="H722" t="n">
        <v>0</v>
      </c>
      <c r="I722" t="n">
        <v>0</v>
      </c>
      <c r="J722" t="n">
        <v>0</v>
      </c>
      <c r="K722" t="n">
        <v>0</v>
      </c>
      <c r="L722" t="n">
        <v>0</v>
      </c>
      <c r="M722" t="n">
        <v>0</v>
      </c>
      <c r="N722" t="n">
        <v>0</v>
      </c>
      <c r="O722" t="n">
        <v>0</v>
      </c>
      <c r="P722" t="n">
        <v>0</v>
      </c>
      <c r="Q722" t="n">
        <v>0</v>
      </c>
      <c r="R722" s="2" t="inlineStr"/>
    </row>
    <row r="723" ht="15" customHeight="1">
      <c r="A723" t="inlineStr">
        <is>
          <t>A 52529-2025</t>
        </is>
      </c>
      <c r="B723" s="1" t="n">
        <v>45954.53229166667</v>
      </c>
      <c r="C723" s="1" t="n">
        <v>46012</v>
      </c>
      <c r="D723" t="inlineStr">
        <is>
          <t>STOCKHOLMS LÄN</t>
        </is>
      </c>
      <c r="E723" t="inlineStr">
        <is>
          <t>NORRTÄLJE</t>
        </is>
      </c>
      <c r="F723" t="inlineStr">
        <is>
          <t>Sveaskog</t>
        </is>
      </c>
      <c r="G723" t="n">
        <v>7.8</v>
      </c>
      <c r="H723" t="n">
        <v>0</v>
      </c>
      <c r="I723" t="n">
        <v>0</v>
      </c>
      <c r="J723" t="n">
        <v>0</v>
      </c>
      <c r="K723" t="n">
        <v>0</v>
      </c>
      <c r="L723" t="n">
        <v>0</v>
      </c>
      <c r="M723" t="n">
        <v>0</v>
      </c>
      <c r="N723" t="n">
        <v>0</v>
      </c>
      <c r="O723" t="n">
        <v>0</v>
      </c>
      <c r="P723" t="n">
        <v>0</v>
      </c>
      <c r="Q723" t="n">
        <v>0</v>
      </c>
      <c r="R723" s="2" t="inlineStr"/>
    </row>
    <row r="724" ht="15" customHeight="1">
      <c r="A724" t="inlineStr">
        <is>
          <t>A 52251-2025</t>
        </is>
      </c>
      <c r="B724" s="1" t="n">
        <v>45953.49185185185</v>
      </c>
      <c r="C724" s="1" t="n">
        <v>46012</v>
      </c>
      <c r="D724" t="inlineStr">
        <is>
          <t>STOCKHOLMS LÄN</t>
        </is>
      </c>
      <c r="E724" t="inlineStr">
        <is>
          <t>NORRTÄLJE</t>
        </is>
      </c>
      <c r="G724" t="n">
        <v>6.2</v>
      </c>
      <c r="H724" t="n">
        <v>0</v>
      </c>
      <c r="I724" t="n">
        <v>0</v>
      </c>
      <c r="J724" t="n">
        <v>0</v>
      </c>
      <c r="K724" t="n">
        <v>0</v>
      </c>
      <c r="L724" t="n">
        <v>0</v>
      </c>
      <c r="M724" t="n">
        <v>0</v>
      </c>
      <c r="N724" t="n">
        <v>0</v>
      </c>
      <c r="O724" t="n">
        <v>0</v>
      </c>
      <c r="P724" t="n">
        <v>0</v>
      </c>
      <c r="Q724" t="n">
        <v>0</v>
      </c>
      <c r="R724" s="2" t="inlineStr"/>
    </row>
    <row r="725" ht="15" customHeight="1">
      <c r="A725" t="inlineStr">
        <is>
          <t>A 52254-2025</t>
        </is>
      </c>
      <c r="B725" s="1" t="n">
        <v>45953.49519675926</v>
      </c>
      <c r="C725" s="1" t="n">
        <v>46012</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60649-2025</t>
        </is>
      </c>
      <c r="B726" s="1" t="n">
        <v>45996.4560300926</v>
      </c>
      <c r="C726" s="1" t="n">
        <v>46012</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52526-2025</t>
        </is>
      </c>
      <c r="B727" s="1" t="n">
        <v>45954.53061342592</v>
      </c>
      <c r="C727" s="1" t="n">
        <v>46012</v>
      </c>
      <c r="D727" t="inlineStr">
        <is>
          <t>STOCKHOLMS LÄN</t>
        </is>
      </c>
      <c r="E727" t="inlineStr">
        <is>
          <t>NORRTÄLJE</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12251-2025</t>
        </is>
      </c>
      <c r="B728" s="1" t="n">
        <v>45729.60859953704</v>
      </c>
      <c r="C728" s="1" t="n">
        <v>46012</v>
      </c>
      <c r="D728" t="inlineStr">
        <is>
          <t>STOCKHOLMS LÄN</t>
        </is>
      </c>
      <c r="E728" t="inlineStr">
        <is>
          <t>NORRTÄLJE</t>
        </is>
      </c>
      <c r="F728" t="inlineStr">
        <is>
          <t>Holmen skog AB</t>
        </is>
      </c>
      <c r="G728" t="n">
        <v>5.9</v>
      </c>
      <c r="H728" t="n">
        <v>0</v>
      </c>
      <c r="I728" t="n">
        <v>0</v>
      </c>
      <c r="J728" t="n">
        <v>0</v>
      </c>
      <c r="K728" t="n">
        <v>0</v>
      </c>
      <c r="L728" t="n">
        <v>0</v>
      </c>
      <c r="M728" t="n">
        <v>0</v>
      </c>
      <c r="N728" t="n">
        <v>0</v>
      </c>
      <c r="O728" t="n">
        <v>0</v>
      </c>
      <c r="P728" t="n">
        <v>0</v>
      </c>
      <c r="Q728" t="n">
        <v>0</v>
      </c>
      <c r="R728" s="2" t="inlineStr"/>
    </row>
    <row r="729" ht="15" customHeight="1">
      <c r="A729" t="inlineStr">
        <is>
          <t>A 54776-2023</t>
        </is>
      </c>
      <c r="B729" s="1" t="n">
        <v>45236.46369212963</v>
      </c>
      <c r="C729" s="1" t="n">
        <v>46012</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20144-2023</t>
        </is>
      </c>
      <c r="B730" s="1" t="n">
        <v>45055.43509259259</v>
      </c>
      <c r="C730" s="1" t="n">
        <v>46012</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13314-2025</t>
        </is>
      </c>
      <c r="B731" s="1" t="n">
        <v>45735.59287037037</v>
      </c>
      <c r="C731" s="1" t="n">
        <v>46012</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23056-2023</t>
        </is>
      </c>
      <c r="B732" s="1" t="n">
        <v>45075</v>
      </c>
      <c r="C732" s="1" t="n">
        <v>46012</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13172-2025</t>
        </is>
      </c>
      <c r="B733" s="1" t="n">
        <v>45735.36873842592</v>
      </c>
      <c r="C733" s="1" t="n">
        <v>46012</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61160-2025</t>
        </is>
      </c>
      <c r="B734" s="1" t="n">
        <v>46000.55262731481</v>
      </c>
      <c r="C734" s="1" t="n">
        <v>46012</v>
      </c>
      <c r="D734" t="inlineStr">
        <is>
          <t>STOCKHOLMS LÄN</t>
        </is>
      </c>
      <c r="E734" t="inlineStr">
        <is>
          <t>NORRTÄLJE</t>
        </is>
      </c>
      <c r="G734" t="n">
        <v>5.3</v>
      </c>
      <c r="H734" t="n">
        <v>0</v>
      </c>
      <c r="I734" t="n">
        <v>0</v>
      </c>
      <c r="J734" t="n">
        <v>0</v>
      </c>
      <c r="K734" t="n">
        <v>0</v>
      </c>
      <c r="L734" t="n">
        <v>0</v>
      </c>
      <c r="M734" t="n">
        <v>0</v>
      </c>
      <c r="N734" t="n">
        <v>0</v>
      </c>
      <c r="O734" t="n">
        <v>0</v>
      </c>
      <c r="P734" t="n">
        <v>0</v>
      </c>
      <c r="Q734" t="n">
        <v>0</v>
      </c>
      <c r="R734" s="2" t="inlineStr"/>
    </row>
    <row r="735" ht="15" customHeight="1">
      <c r="A735" t="inlineStr">
        <is>
          <t>A 52729-2025</t>
        </is>
      </c>
      <c r="B735" s="1" t="n">
        <v>45957.3636574074</v>
      </c>
      <c r="C735" s="1" t="n">
        <v>46012</v>
      </c>
      <c r="D735" t="inlineStr">
        <is>
          <t>STOCKHOLMS LÄN</t>
        </is>
      </c>
      <c r="E735" t="inlineStr">
        <is>
          <t>NORRTÄLJE</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60745-2025</t>
        </is>
      </c>
      <c r="B736" s="1" t="n">
        <v>45999.37753472223</v>
      </c>
      <c r="C736" s="1" t="n">
        <v>46012</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52777-2025</t>
        </is>
      </c>
      <c r="B737" s="1" t="n">
        <v>45957.41832175926</v>
      </c>
      <c r="C737" s="1" t="n">
        <v>46012</v>
      </c>
      <c r="D737" t="inlineStr">
        <is>
          <t>STOCKHOLMS LÄN</t>
        </is>
      </c>
      <c r="E737" t="inlineStr">
        <is>
          <t>NORRTÄLJE</t>
        </is>
      </c>
      <c r="F737" t="inlineStr">
        <is>
          <t>Sveaskog</t>
        </is>
      </c>
      <c r="G737" t="n">
        <v>1.9</v>
      </c>
      <c r="H737" t="n">
        <v>0</v>
      </c>
      <c r="I737" t="n">
        <v>0</v>
      </c>
      <c r="J737" t="n">
        <v>0</v>
      </c>
      <c r="K737" t="n">
        <v>0</v>
      </c>
      <c r="L737" t="n">
        <v>0</v>
      </c>
      <c r="M737" t="n">
        <v>0</v>
      </c>
      <c r="N737" t="n">
        <v>0</v>
      </c>
      <c r="O737" t="n">
        <v>0</v>
      </c>
      <c r="P737" t="n">
        <v>0</v>
      </c>
      <c r="Q737" t="n">
        <v>0</v>
      </c>
      <c r="R737" s="2" t="inlineStr"/>
    </row>
    <row r="738" ht="15" customHeight="1">
      <c r="A738" t="inlineStr">
        <is>
          <t>A 52553-2025</t>
        </is>
      </c>
      <c r="B738" s="1" t="n">
        <v>45954.5624537037</v>
      </c>
      <c r="C738" s="1" t="n">
        <v>46012</v>
      </c>
      <c r="D738" t="inlineStr">
        <is>
          <t>STOCKHOLMS LÄN</t>
        </is>
      </c>
      <c r="E738" t="inlineStr">
        <is>
          <t>NORRTÄLJE</t>
        </is>
      </c>
      <c r="G738" t="n">
        <v>4.4</v>
      </c>
      <c r="H738" t="n">
        <v>0</v>
      </c>
      <c r="I738" t="n">
        <v>0</v>
      </c>
      <c r="J738" t="n">
        <v>0</v>
      </c>
      <c r="K738" t="n">
        <v>0</v>
      </c>
      <c r="L738" t="n">
        <v>0</v>
      </c>
      <c r="M738" t="n">
        <v>0</v>
      </c>
      <c r="N738" t="n">
        <v>0</v>
      </c>
      <c r="O738" t="n">
        <v>0</v>
      </c>
      <c r="P738" t="n">
        <v>0</v>
      </c>
      <c r="Q738" t="n">
        <v>0</v>
      </c>
      <c r="R738" s="2" t="inlineStr"/>
    </row>
    <row r="739" ht="15" customHeight="1">
      <c r="A739" t="inlineStr">
        <is>
          <t>A 53087-2025</t>
        </is>
      </c>
      <c r="B739" s="1" t="n">
        <v>45958.41065972222</v>
      </c>
      <c r="C739" s="1" t="n">
        <v>46012</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19025-2025</t>
        </is>
      </c>
      <c r="B740" s="1" t="n">
        <v>45764.6359837963</v>
      </c>
      <c r="C740" s="1" t="n">
        <v>46012</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5867-2022</t>
        </is>
      </c>
      <c r="B741" s="1" t="n">
        <v>44596.66335648148</v>
      </c>
      <c r="C741" s="1" t="n">
        <v>46012</v>
      </c>
      <c r="D741" t="inlineStr">
        <is>
          <t>STOCKHOLMS LÄN</t>
        </is>
      </c>
      <c r="E741" t="inlineStr">
        <is>
          <t>NORRTÄLJE</t>
        </is>
      </c>
      <c r="F741" t="inlineStr">
        <is>
          <t>Naturvårdsverket</t>
        </is>
      </c>
      <c r="G741" t="n">
        <v>1.6</v>
      </c>
      <c r="H741" t="n">
        <v>0</v>
      </c>
      <c r="I741" t="n">
        <v>0</v>
      </c>
      <c r="J741" t="n">
        <v>0</v>
      </c>
      <c r="K741" t="n">
        <v>0</v>
      </c>
      <c r="L741" t="n">
        <v>0</v>
      </c>
      <c r="M741" t="n">
        <v>0</v>
      </c>
      <c r="N741" t="n">
        <v>0</v>
      </c>
      <c r="O741" t="n">
        <v>0</v>
      </c>
      <c r="P741" t="n">
        <v>0</v>
      </c>
      <c r="Q741" t="n">
        <v>0</v>
      </c>
      <c r="R741" s="2" t="inlineStr"/>
    </row>
    <row r="742" ht="15" customHeight="1">
      <c r="A742" t="inlineStr">
        <is>
          <t>A 52704-2025</t>
        </is>
      </c>
      <c r="B742" s="1" t="n">
        <v>45956.89097222222</v>
      </c>
      <c r="C742" s="1" t="n">
        <v>46012</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52734-2025</t>
        </is>
      </c>
      <c r="B743" s="1" t="n">
        <v>45957.3710300926</v>
      </c>
      <c r="C743" s="1" t="n">
        <v>46012</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61288-2025</t>
        </is>
      </c>
      <c r="B744" s="1" t="n">
        <v>46000.73247685185</v>
      </c>
      <c r="C744" s="1" t="n">
        <v>46012</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73307-2021</t>
        </is>
      </c>
      <c r="B745" s="1" t="n">
        <v>44549</v>
      </c>
      <c r="C745" s="1" t="n">
        <v>46012</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21731-2023</t>
        </is>
      </c>
      <c r="B746" s="1" t="n">
        <v>45063</v>
      </c>
      <c r="C746" s="1" t="n">
        <v>46012</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21745-2023</t>
        </is>
      </c>
      <c r="B747" s="1" t="n">
        <v>45065.55917824074</v>
      </c>
      <c r="C747" s="1" t="n">
        <v>46012</v>
      </c>
      <c r="D747" t="inlineStr">
        <is>
          <t>STOCKHOLMS LÄN</t>
        </is>
      </c>
      <c r="E747" t="inlineStr">
        <is>
          <t>NORRTÄLJE</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61289-2025</t>
        </is>
      </c>
      <c r="B748" s="1" t="n">
        <v>46000.73659722223</v>
      </c>
      <c r="C748" s="1" t="n">
        <v>46012</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52773-2025</t>
        </is>
      </c>
      <c r="B749" s="1" t="n">
        <v>45957.41457175926</v>
      </c>
      <c r="C749" s="1" t="n">
        <v>46012</v>
      </c>
      <c r="D749" t="inlineStr">
        <is>
          <t>STOCKHOLMS LÄN</t>
        </is>
      </c>
      <c r="E749" t="inlineStr">
        <is>
          <t>NORRTÄLJE</t>
        </is>
      </c>
      <c r="F749" t="inlineStr">
        <is>
          <t>Sveaskog</t>
        </is>
      </c>
      <c r="G749" t="n">
        <v>10.5</v>
      </c>
      <c r="H749" t="n">
        <v>0</v>
      </c>
      <c r="I749" t="n">
        <v>0</v>
      </c>
      <c r="J749" t="n">
        <v>0</v>
      </c>
      <c r="K749" t="n">
        <v>0</v>
      </c>
      <c r="L749" t="n">
        <v>0</v>
      </c>
      <c r="M749" t="n">
        <v>0</v>
      </c>
      <c r="N749" t="n">
        <v>0</v>
      </c>
      <c r="O749" t="n">
        <v>0</v>
      </c>
      <c r="P749" t="n">
        <v>0</v>
      </c>
      <c r="Q749" t="n">
        <v>0</v>
      </c>
      <c r="R749" s="2" t="inlineStr"/>
    </row>
    <row r="750" ht="15" customHeight="1">
      <c r="A750" t="inlineStr">
        <is>
          <t>A 52776-2025</t>
        </is>
      </c>
      <c r="B750" s="1" t="n">
        <v>45957.41724537037</v>
      </c>
      <c r="C750" s="1" t="n">
        <v>46012</v>
      </c>
      <c r="D750" t="inlineStr">
        <is>
          <t>STOCKHOLMS LÄN</t>
        </is>
      </c>
      <c r="E750" t="inlineStr">
        <is>
          <t>NORRTÄLJE</t>
        </is>
      </c>
      <c r="F750" t="inlineStr">
        <is>
          <t>Sveaskog</t>
        </is>
      </c>
      <c r="G750" t="n">
        <v>2.5</v>
      </c>
      <c r="H750" t="n">
        <v>0</v>
      </c>
      <c r="I750" t="n">
        <v>0</v>
      </c>
      <c r="J750" t="n">
        <v>0</v>
      </c>
      <c r="K750" t="n">
        <v>0</v>
      </c>
      <c r="L750" t="n">
        <v>0</v>
      </c>
      <c r="M750" t="n">
        <v>0</v>
      </c>
      <c r="N750" t="n">
        <v>0</v>
      </c>
      <c r="O750" t="n">
        <v>0</v>
      </c>
      <c r="P750" t="n">
        <v>0</v>
      </c>
      <c r="Q750" t="n">
        <v>0</v>
      </c>
      <c r="R750" s="2" t="inlineStr"/>
    </row>
    <row r="751" ht="15" customHeight="1">
      <c r="A751" t="inlineStr">
        <is>
          <t>A 52703-2025</t>
        </is>
      </c>
      <c r="B751" s="1" t="n">
        <v>45956.88643518519</v>
      </c>
      <c r="C751" s="1" t="n">
        <v>46012</v>
      </c>
      <c r="D751" t="inlineStr">
        <is>
          <t>STOCKHOLMS LÄN</t>
        </is>
      </c>
      <c r="E751" t="inlineStr">
        <is>
          <t>NORRTÄLJE</t>
        </is>
      </c>
      <c r="G751" t="n">
        <v>4.7</v>
      </c>
      <c r="H751" t="n">
        <v>0</v>
      </c>
      <c r="I751" t="n">
        <v>0</v>
      </c>
      <c r="J751" t="n">
        <v>0</v>
      </c>
      <c r="K751" t="n">
        <v>0</v>
      </c>
      <c r="L751" t="n">
        <v>0</v>
      </c>
      <c r="M751" t="n">
        <v>0</v>
      </c>
      <c r="N751" t="n">
        <v>0</v>
      </c>
      <c r="O751" t="n">
        <v>0</v>
      </c>
      <c r="P751" t="n">
        <v>0</v>
      </c>
      <c r="Q751" t="n">
        <v>0</v>
      </c>
      <c r="R751" s="2" t="inlineStr"/>
    </row>
    <row r="752" ht="15" customHeight="1">
      <c r="A752" t="inlineStr">
        <is>
          <t>A 61292-2025</t>
        </is>
      </c>
      <c r="B752" s="1" t="n">
        <v>46000.75015046296</v>
      </c>
      <c r="C752" s="1" t="n">
        <v>46012</v>
      </c>
      <c r="D752" t="inlineStr">
        <is>
          <t>STOCKHOLMS LÄN</t>
        </is>
      </c>
      <c r="E752" t="inlineStr">
        <is>
          <t>NORRTÄLJE</t>
        </is>
      </c>
      <c r="G752" t="n">
        <v>3.8</v>
      </c>
      <c r="H752" t="n">
        <v>0</v>
      </c>
      <c r="I752" t="n">
        <v>0</v>
      </c>
      <c r="J752" t="n">
        <v>0</v>
      </c>
      <c r="K752" t="n">
        <v>0</v>
      </c>
      <c r="L752" t="n">
        <v>0</v>
      </c>
      <c r="M752" t="n">
        <v>0</v>
      </c>
      <c r="N752" t="n">
        <v>0</v>
      </c>
      <c r="O752" t="n">
        <v>0</v>
      </c>
      <c r="P752" t="n">
        <v>0</v>
      </c>
      <c r="Q752" t="n">
        <v>0</v>
      </c>
      <c r="R752" s="2" t="inlineStr"/>
      <c r="U752">
        <f>HYPERLINK("https://klasma.github.io/Logging_0188/knärot/A 61292-2025 karta knärot.png", "A 61292-2025")</f>
        <v/>
      </c>
      <c r="V752">
        <f>HYPERLINK("https://klasma.github.io/Logging_0188/klagomål/A 61292-2025 FSC-klagomål.docx", "A 61292-2025")</f>
        <v/>
      </c>
      <c r="W752">
        <f>HYPERLINK("https://klasma.github.io/Logging_0188/klagomålsmail/A 61292-2025 FSC-klagomål mail.docx", "A 61292-2025")</f>
        <v/>
      </c>
      <c r="X752">
        <f>HYPERLINK("https://klasma.github.io/Logging_0188/tillsyn/A 61292-2025 tillsynsbegäran.docx", "A 61292-2025")</f>
        <v/>
      </c>
      <c r="Y752">
        <f>HYPERLINK("https://klasma.github.io/Logging_0188/tillsynsmail/A 61292-2025 tillsynsbegäran mail.docx", "A 61292-2025")</f>
        <v/>
      </c>
    </row>
    <row r="753" ht="15" customHeight="1">
      <c r="A753" t="inlineStr">
        <is>
          <t>A 30221-2024</t>
        </is>
      </c>
      <c r="B753" s="1" t="n">
        <v>45490.45342592592</v>
      </c>
      <c r="C753" s="1" t="n">
        <v>46012</v>
      </c>
      <c r="D753" t="inlineStr">
        <is>
          <t>STOCKHOLMS LÄN</t>
        </is>
      </c>
      <c r="E753" t="inlineStr">
        <is>
          <t>NORRTÄLJE</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26365-2024</t>
        </is>
      </c>
      <c r="B754" s="1" t="n">
        <v>45469</v>
      </c>
      <c r="C754" s="1" t="n">
        <v>46012</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50602-2021</t>
        </is>
      </c>
      <c r="B755" s="1" t="n">
        <v>44459</v>
      </c>
      <c r="C755" s="1" t="n">
        <v>46012</v>
      </c>
      <c r="D755" t="inlineStr">
        <is>
          <t>STOCKHOLMS LÄN</t>
        </is>
      </c>
      <c r="E755" t="inlineStr">
        <is>
          <t>NORRTÄLJE</t>
        </is>
      </c>
      <c r="F755" t="inlineStr">
        <is>
          <t>Holmen skog AB</t>
        </is>
      </c>
      <c r="G755" t="n">
        <v>2</v>
      </c>
      <c r="H755" t="n">
        <v>0</v>
      </c>
      <c r="I755" t="n">
        <v>0</v>
      </c>
      <c r="J755" t="n">
        <v>0</v>
      </c>
      <c r="K755" t="n">
        <v>0</v>
      </c>
      <c r="L755" t="n">
        <v>0</v>
      </c>
      <c r="M755" t="n">
        <v>0</v>
      </c>
      <c r="N755" t="n">
        <v>0</v>
      </c>
      <c r="O755" t="n">
        <v>0</v>
      </c>
      <c r="P755" t="n">
        <v>0</v>
      </c>
      <c r="Q755" t="n">
        <v>0</v>
      </c>
      <c r="R755" s="2" t="inlineStr"/>
    </row>
    <row r="756" ht="15" customHeight="1">
      <c r="A756" t="inlineStr">
        <is>
          <t>A 48798-2021</t>
        </is>
      </c>
      <c r="B756" s="1" t="n">
        <v>44452</v>
      </c>
      <c r="C756" s="1" t="n">
        <v>46012</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60928-2025</t>
        </is>
      </c>
      <c r="B757" s="1" t="n">
        <v>45999.633125</v>
      </c>
      <c r="C757" s="1" t="n">
        <v>46012</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60948-2025</t>
        </is>
      </c>
      <c r="B758" s="1" t="n">
        <v>45999.650625</v>
      </c>
      <c r="C758" s="1" t="n">
        <v>46012</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59041-2025</t>
        </is>
      </c>
      <c r="B759" s="1" t="n">
        <v>45988</v>
      </c>
      <c r="C759" s="1" t="n">
        <v>46012</v>
      </c>
      <c r="D759" t="inlineStr">
        <is>
          <t>STOCKHOLMS LÄN</t>
        </is>
      </c>
      <c r="E759" t="inlineStr">
        <is>
          <t>NORRTÄLJE</t>
        </is>
      </c>
      <c r="G759" t="n">
        <v>6.6</v>
      </c>
      <c r="H759" t="n">
        <v>0</v>
      </c>
      <c r="I759" t="n">
        <v>0</v>
      </c>
      <c r="J759" t="n">
        <v>0</v>
      </c>
      <c r="K759" t="n">
        <v>0</v>
      </c>
      <c r="L759" t="n">
        <v>0</v>
      </c>
      <c r="M759" t="n">
        <v>0</v>
      </c>
      <c r="N759" t="n">
        <v>0</v>
      </c>
      <c r="O759" t="n">
        <v>0</v>
      </c>
      <c r="P759" t="n">
        <v>0</v>
      </c>
      <c r="Q759" t="n">
        <v>0</v>
      </c>
      <c r="R759" s="2" t="inlineStr"/>
    </row>
    <row r="760" ht="15" customHeight="1">
      <c r="A760" t="inlineStr">
        <is>
          <t>A 61099-2025</t>
        </is>
      </c>
      <c r="B760" s="1" t="n">
        <v>46000.44185185185</v>
      </c>
      <c r="C760" s="1" t="n">
        <v>46012</v>
      </c>
      <c r="D760" t="inlineStr">
        <is>
          <t>STOCKHOLMS LÄN</t>
        </is>
      </c>
      <c r="E760" t="inlineStr">
        <is>
          <t>NORRTÄLJE</t>
        </is>
      </c>
      <c r="G760" t="n">
        <v>9.5</v>
      </c>
      <c r="H760" t="n">
        <v>0</v>
      </c>
      <c r="I760" t="n">
        <v>0</v>
      </c>
      <c r="J760" t="n">
        <v>0</v>
      </c>
      <c r="K760" t="n">
        <v>0</v>
      </c>
      <c r="L760" t="n">
        <v>0</v>
      </c>
      <c r="M760" t="n">
        <v>0</v>
      </c>
      <c r="N760" t="n">
        <v>0</v>
      </c>
      <c r="O760" t="n">
        <v>0</v>
      </c>
      <c r="P760" t="n">
        <v>0</v>
      </c>
      <c r="Q760" t="n">
        <v>0</v>
      </c>
      <c r="R760" s="2" t="inlineStr"/>
    </row>
    <row r="761" ht="15" customHeight="1">
      <c r="A761" t="inlineStr">
        <is>
          <t>A 53000-2025</t>
        </is>
      </c>
      <c r="B761" s="1" t="n">
        <v>45957.74357638889</v>
      </c>
      <c r="C761" s="1" t="n">
        <v>46012</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53115-2025</t>
        </is>
      </c>
      <c r="B762" s="1" t="n">
        <v>45958.44614583333</v>
      </c>
      <c r="C762" s="1" t="n">
        <v>46012</v>
      </c>
      <c r="D762" t="inlineStr">
        <is>
          <t>STOCKHOLMS LÄN</t>
        </is>
      </c>
      <c r="E762" t="inlineStr">
        <is>
          <t>NORRTÄLJE</t>
        </is>
      </c>
      <c r="F762" t="inlineStr">
        <is>
          <t>Kyrkan</t>
        </is>
      </c>
      <c r="G762" t="n">
        <v>2.5</v>
      </c>
      <c r="H762" t="n">
        <v>0</v>
      </c>
      <c r="I762" t="n">
        <v>0</v>
      </c>
      <c r="J762" t="n">
        <v>0</v>
      </c>
      <c r="K762" t="n">
        <v>0</v>
      </c>
      <c r="L762" t="n">
        <v>0</v>
      </c>
      <c r="M762" t="n">
        <v>0</v>
      </c>
      <c r="N762" t="n">
        <v>0</v>
      </c>
      <c r="O762" t="n">
        <v>0</v>
      </c>
      <c r="P762" t="n">
        <v>0</v>
      </c>
      <c r="Q762" t="n">
        <v>0</v>
      </c>
      <c r="R762" s="2" t="inlineStr"/>
    </row>
    <row r="763" ht="15" customHeight="1">
      <c r="A763" t="inlineStr">
        <is>
          <t>A 61769-2025</t>
        </is>
      </c>
      <c r="B763" s="1" t="n">
        <v>46002.64556712963</v>
      </c>
      <c r="C763" s="1" t="n">
        <v>46012</v>
      </c>
      <c r="D763" t="inlineStr">
        <is>
          <t>STOCKHOLMS LÄN</t>
        </is>
      </c>
      <c r="E763" t="inlineStr">
        <is>
          <t>NORRTÄLJE</t>
        </is>
      </c>
      <c r="G763" t="n">
        <v>2.9</v>
      </c>
      <c r="H763" t="n">
        <v>0</v>
      </c>
      <c r="I763" t="n">
        <v>0</v>
      </c>
      <c r="J763" t="n">
        <v>0</v>
      </c>
      <c r="K763" t="n">
        <v>0</v>
      </c>
      <c r="L763" t="n">
        <v>0</v>
      </c>
      <c r="M763" t="n">
        <v>0</v>
      </c>
      <c r="N763" t="n">
        <v>0</v>
      </c>
      <c r="O763" t="n">
        <v>0</v>
      </c>
      <c r="P763" t="n">
        <v>0</v>
      </c>
      <c r="Q763" t="n">
        <v>0</v>
      </c>
      <c r="R763" s="2" t="inlineStr"/>
    </row>
    <row r="764" ht="15" customHeight="1">
      <c r="A764" t="inlineStr">
        <is>
          <t>A 30283-2022</t>
        </is>
      </c>
      <c r="B764" s="1" t="n">
        <v>44760</v>
      </c>
      <c r="C764" s="1" t="n">
        <v>46012</v>
      </c>
      <c r="D764" t="inlineStr">
        <is>
          <t>STOCKHOLMS LÄN</t>
        </is>
      </c>
      <c r="E764" t="inlineStr">
        <is>
          <t>NORRTÄLJE</t>
        </is>
      </c>
      <c r="G764" t="n">
        <v>6.2</v>
      </c>
      <c r="H764" t="n">
        <v>0</v>
      </c>
      <c r="I764" t="n">
        <v>0</v>
      </c>
      <c r="J764" t="n">
        <v>0</v>
      </c>
      <c r="K764" t="n">
        <v>0</v>
      </c>
      <c r="L764" t="n">
        <v>0</v>
      </c>
      <c r="M764" t="n">
        <v>0</v>
      </c>
      <c r="N764" t="n">
        <v>0</v>
      </c>
      <c r="O764" t="n">
        <v>0</v>
      </c>
      <c r="P764" t="n">
        <v>0</v>
      </c>
      <c r="Q764" t="n">
        <v>0</v>
      </c>
      <c r="R764" s="2" t="inlineStr"/>
    </row>
    <row r="765" ht="15" customHeight="1">
      <c r="A765" t="inlineStr">
        <is>
          <t>A 30290-2022</t>
        </is>
      </c>
      <c r="B765" s="1" t="n">
        <v>44760</v>
      </c>
      <c r="C765" s="1" t="n">
        <v>46012</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38985-2022</t>
        </is>
      </c>
      <c r="B766" s="1" t="n">
        <v>44816</v>
      </c>
      <c r="C766" s="1" t="n">
        <v>46012</v>
      </c>
      <c r="D766" t="inlineStr">
        <is>
          <t>STOCKHOLMS LÄN</t>
        </is>
      </c>
      <c r="E766" t="inlineStr">
        <is>
          <t>NORRTÄLJE</t>
        </is>
      </c>
      <c r="G766" t="n">
        <v>10.1</v>
      </c>
      <c r="H766" t="n">
        <v>0</v>
      </c>
      <c r="I766" t="n">
        <v>0</v>
      </c>
      <c r="J766" t="n">
        <v>0</v>
      </c>
      <c r="K766" t="n">
        <v>0</v>
      </c>
      <c r="L766" t="n">
        <v>0</v>
      </c>
      <c r="M766" t="n">
        <v>0</v>
      </c>
      <c r="N766" t="n">
        <v>0</v>
      </c>
      <c r="O766" t="n">
        <v>0</v>
      </c>
      <c r="P766" t="n">
        <v>0</v>
      </c>
      <c r="Q766" t="n">
        <v>0</v>
      </c>
      <c r="R766" s="2" t="inlineStr"/>
    </row>
    <row r="767" ht="15" customHeight="1">
      <c r="A767" t="inlineStr">
        <is>
          <t>A 25625-2023</t>
        </is>
      </c>
      <c r="B767" s="1" t="n">
        <v>45089</v>
      </c>
      <c r="C767" s="1" t="n">
        <v>46012</v>
      </c>
      <c r="D767" t="inlineStr">
        <is>
          <t>STOCKHOLMS LÄN</t>
        </is>
      </c>
      <c r="E767" t="inlineStr">
        <is>
          <t>NORRTÄLJE</t>
        </is>
      </c>
      <c r="G767" t="n">
        <v>5.5</v>
      </c>
      <c r="H767" t="n">
        <v>0</v>
      </c>
      <c r="I767" t="n">
        <v>0</v>
      </c>
      <c r="J767" t="n">
        <v>0</v>
      </c>
      <c r="K767" t="n">
        <v>0</v>
      </c>
      <c r="L767" t="n">
        <v>0</v>
      </c>
      <c r="M767" t="n">
        <v>0</v>
      </c>
      <c r="N767" t="n">
        <v>0</v>
      </c>
      <c r="O767" t="n">
        <v>0</v>
      </c>
      <c r="P767" t="n">
        <v>0</v>
      </c>
      <c r="Q767" t="n">
        <v>0</v>
      </c>
      <c r="R767" s="2" t="inlineStr"/>
    </row>
    <row r="768" ht="15" customHeight="1">
      <c r="A768" t="inlineStr">
        <is>
          <t>A 53629-2025</t>
        </is>
      </c>
      <c r="B768" s="1" t="n">
        <v>45960.49570601852</v>
      </c>
      <c r="C768" s="1" t="n">
        <v>46012</v>
      </c>
      <c r="D768" t="inlineStr">
        <is>
          <t>STOCKHOLMS LÄN</t>
        </is>
      </c>
      <c r="E768" t="inlineStr">
        <is>
          <t>NORRTÄLJE</t>
        </is>
      </c>
      <c r="F768" t="inlineStr">
        <is>
          <t>Naturvårdsverket</t>
        </is>
      </c>
      <c r="G768" t="n">
        <v>7.9</v>
      </c>
      <c r="H768" t="n">
        <v>0</v>
      </c>
      <c r="I768" t="n">
        <v>0</v>
      </c>
      <c r="J768" t="n">
        <v>0</v>
      </c>
      <c r="K768" t="n">
        <v>0</v>
      </c>
      <c r="L768" t="n">
        <v>0</v>
      </c>
      <c r="M768" t="n">
        <v>0</v>
      </c>
      <c r="N768" t="n">
        <v>0</v>
      </c>
      <c r="O768" t="n">
        <v>0</v>
      </c>
      <c r="P768" t="n">
        <v>0</v>
      </c>
      <c r="Q768" t="n">
        <v>0</v>
      </c>
      <c r="R768" s="2" t="inlineStr"/>
    </row>
    <row r="769" ht="15" customHeight="1">
      <c r="A769" t="inlineStr">
        <is>
          <t>A 61430-2025</t>
        </is>
      </c>
      <c r="B769" s="1" t="n">
        <v>46001.55583333333</v>
      </c>
      <c r="C769" s="1" t="n">
        <v>46012</v>
      </c>
      <c r="D769" t="inlineStr">
        <is>
          <t>STOCKHOLMS LÄN</t>
        </is>
      </c>
      <c r="E769" t="inlineStr">
        <is>
          <t>NORRTÄLJE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61452-2025</t>
        </is>
      </c>
      <c r="B770" s="1" t="n">
        <v>46001.58043981482</v>
      </c>
      <c r="C770" s="1" t="n">
        <v>46012</v>
      </c>
      <c r="D770" t="inlineStr">
        <is>
          <t>STOCKHOLMS LÄN</t>
        </is>
      </c>
      <c r="E770" t="inlineStr">
        <is>
          <t>NORRTÄLJE</t>
        </is>
      </c>
      <c r="F770" t="inlineStr">
        <is>
          <t>Holmen skog AB</t>
        </is>
      </c>
      <c r="G770" t="n">
        <v>3.7</v>
      </c>
      <c r="H770" t="n">
        <v>0</v>
      </c>
      <c r="I770" t="n">
        <v>0</v>
      </c>
      <c r="J770" t="n">
        <v>0</v>
      </c>
      <c r="K770" t="n">
        <v>0</v>
      </c>
      <c r="L770" t="n">
        <v>0</v>
      </c>
      <c r="M770" t="n">
        <v>0</v>
      </c>
      <c r="N770" t="n">
        <v>0</v>
      </c>
      <c r="O770" t="n">
        <v>0</v>
      </c>
      <c r="P770" t="n">
        <v>0</v>
      </c>
      <c r="Q770" t="n">
        <v>0</v>
      </c>
      <c r="R770" s="2" t="inlineStr"/>
    </row>
    <row r="771" ht="15" customHeight="1">
      <c r="A771" t="inlineStr">
        <is>
          <t>A 61764-2025</t>
        </is>
      </c>
      <c r="B771" s="1" t="n">
        <v>46002.62763888889</v>
      </c>
      <c r="C771" s="1" t="n">
        <v>46012</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53747-2025</t>
        </is>
      </c>
      <c r="B772" s="1" t="n">
        <v>45960.65415509259</v>
      </c>
      <c r="C772" s="1" t="n">
        <v>46012</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53299-2025</t>
        </is>
      </c>
      <c r="B773" s="1" t="n">
        <v>45959.31901620371</v>
      </c>
      <c r="C773" s="1" t="n">
        <v>46012</v>
      </c>
      <c r="D773" t="inlineStr">
        <is>
          <t>STOCKHOLMS LÄN</t>
        </is>
      </c>
      <c r="E773" t="inlineStr">
        <is>
          <t>NORRTÄLJE</t>
        </is>
      </c>
      <c r="G773" t="n">
        <v>4.8</v>
      </c>
      <c r="H773" t="n">
        <v>0</v>
      </c>
      <c r="I773" t="n">
        <v>0</v>
      </c>
      <c r="J773" t="n">
        <v>0</v>
      </c>
      <c r="K773" t="n">
        <v>0</v>
      </c>
      <c r="L773" t="n">
        <v>0</v>
      </c>
      <c r="M773" t="n">
        <v>0</v>
      </c>
      <c r="N773" t="n">
        <v>0</v>
      </c>
      <c r="O773" t="n">
        <v>0</v>
      </c>
      <c r="P773" t="n">
        <v>0</v>
      </c>
      <c r="Q773" t="n">
        <v>0</v>
      </c>
      <c r="R773" s="2" t="inlineStr"/>
    </row>
    <row r="774" ht="15" customHeight="1">
      <c r="A774" t="inlineStr">
        <is>
          <t>A 61419-2025</t>
        </is>
      </c>
      <c r="B774" s="1" t="n">
        <v>46001.54137731482</v>
      </c>
      <c r="C774" s="1" t="n">
        <v>46012</v>
      </c>
      <c r="D774" t="inlineStr">
        <is>
          <t>STOCKHOLMS LÄN</t>
        </is>
      </c>
      <c r="E774" t="inlineStr">
        <is>
          <t>NORRTÄLJE</t>
        </is>
      </c>
      <c r="G774" t="n">
        <v>5.2</v>
      </c>
      <c r="H774" t="n">
        <v>0</v>
      </c>
      <c r="I774" t="n">
        <v>0</v>
      </c>
      <c r="J774" t="n">
        <v>0</v>
      </c>
      <c r="K774" t="n">
        <v>0</v>
      </c>
      <c r="L774" t="n">
        <v>0</v>
      </c>
      <c r="M774" t="n">
        <v>0</v>
      </c>
      <c r="N774" t="n">
        <v>0</v>
      </c>
      <c r="O774" t="n">
        <v>0</v>
      </c>
      <c r="P774" t="n">
        <v>0</v>
      </c>
      <c r="Q774" t="n">
        <v>0</v>
      </c>
      <c r="R774" s="2" t="inlineStr"/>
    </row>
    <row r="775" ht="15" customHeight="1">
      <c r="A775" t="inlineStr">
        <is>
          <t>A 14132-2025</t>
        </is>
      </c>
      <c r="B775" s="1" t="n">
        <v>45740.47550925926</v>
      </c>
      <c r="C775" s="1" t="n">
        <v>46012</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14133-2025</t>
        </is>
      </c>
      <c r="B776" s="1" t="n">
        <v>45740.47724537037</v>
      </c>
      <c r="C776" s="1" t="n">
        <v>46012</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7186-2024</t>
        </is>
      </c>
      <c r="B777" s="1" t="n">
        <v>45344</v>
      </c>
      <c r="C777" s="1" t="n">
        <v>46012</v>
      </c>
      <c r="D777" t="inlineStr">
        <is>
          <t>STOCKHOLMS LÄN</t>
        </is>
      </c>
      <c r="E777" t="inlineStr">
        <is>
          <t>NORRTÄLJE</t>
        </is>
      </c>
      <c r="G777" t="n">
        <v>4.9</v>
      </c>
      <c r="H777" t="n">
        <v>0</v>
      </c>
      <c r="I777" t="n">
        <v>0</v>
      </c>
      <c r="J777" t="n">
        <v>0</v>
      </c>
      <c r="K777" t="n">
        <v>0</v>
      </c>
      <c r="L777" t="n">
        <v>0</v>
      </c>
      <c r="M777" t="n">
        <v>0</v>
      </c>
      <c r="N777" t="n">
        <v>0</v>
      </c>
      <c r="O777" t="n">
        <v>0</v>
      </c>
      <c r="P777" t="n">
        <v>0</v>
      </c>
      <c r="Q777" t="n">
        <v>0</v>
      </c>
      <c r="R777" s="2" t="inlineStr"/>
    </row>
    <row r="778" ht="15" customHeight="1">
      <c r="A778" t="inlineStr">
        <is>
          <t>A 39202-2024</t>
        </is>
      </c>
      <c r="B778" s="1" t="n">
        <v>45548.72306712963</v>
      </c>
      <c r="C778" s="1" t="n">
        <v>46012</v>
      </c>
      <c r="D778" t="inlineStr">
        <is>
          <t>STOCKHOLMS LÄN</t>
        </is>
      </c>
      <c r="E778" t="inlineStr">
        <is>
          <t>NORRTÄLJE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53499-2025</t>
        </is>
      </c>
      <c r="B779" s="1" t="n">
        <v>45960</v>
      </c>
      <c r="C779" s="1" t="n">
        <v>46012</v>
      </c>
      <c r="D779" t="inlineStr">
        <is>
          <t>STOCKHOLMS LÄN</t>
        </is>
      </c>
      <c r="E779" t="inlineStr">
        <is>
          <t>NORRTÄLJE</t>
        </is>
      </c>
      <c r="G779" t="n">
        <v>23.8</v>
      </c>
      <c r="H779" t="n">
        <v>0</v>
      </c>
      <c r="I779" t="n">
        <v>0</v>
      </c>
      <c r="J779" t="n">
        <v>0</v>
      </c>
      <c r="K779" t="n">
        <v>0</v>
      </c>
      <c r="L779" t="n">
        <v>0</v>
      </c>
      <c r="M779" t="n">
        <v>0</v>
      </c>
      <c r="N779" t="n">
        <v>0</v>
      </c>
      <c r="O779" t="n">
        <v>0</v>
      </c>
      <c r="P779" t="n">
        <v>0</v>
      </c>
      <c r="Q779" t="n">
        <v>0</v>
      </c>
      <c r="R779" s="2" t="inlineStr"/>
    </row>
    <row r="780" ht="15" customHeight="1">
      <c r="A780" t="inlineStr">
        <is>
          <t>A 53792-2023</t>
        </is>
      </c>
      <c r="B780" s="1" t="n">
        <v>45231.34144675926</v>
      </c>
      <c r="C780" s="1" t="n">
        <v>46012</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28816-2023</t>
        </is>
      </c>
      <c r="B781" s="1" t="n">
        <v>45104</v>
      </c>
      <c r="C781" s="1" t="n">
        <v>46012</v>
      </c>
      <c r="D781" t="inlineStr">
        <is>
          <t>STOCKHOLMS LÄN</t>
        </is>
      </c>
      <c r="E781" t="inlineStr">
        <is>
          <t>NORRTÄLJE</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11280-2023</t>
        </is>
      </c>
      <c r="B782" s="1" t="n">
        <v>44992</v>
      </c>
      <c r="C782" s="1" t="n">
        <v>46012</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57442-2021</t>
        </is>
      </c>
      <c r="B783" s="1" t="n">
        <v>44483</v>
      </c>
      <c r="C783" s="1" t="n">
        <v>46012</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19952-2023</t>
        </is>
      </c>
      <c r="B784" s="1" t="n">
        <v>45054.54091435186</v>
      </c>
      <c r="C784" s="1" t="n">
        <v>46012</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19994-2023</t>
        </is>
      </c>
      <c r="B785" s="1" t="n">
        <v>45054</v>
      </c>
      <c r="C785" s="1" t="n">
        <v>46012</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29003-2023</t>
        </is>
      </c>
      <c r="B786" s="1" t="n">
        <v>45104</v>
      </c>
      <c r="C786" s="1" t="n">
        <v>46012</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15956-2023</t>
        </is>
      </c>
      <c r="B787" s="1" t="n">
        <v>45022.61003472222</v>
      </c>
      <c r="C787" s="1" t="n">
        <v>46012</v>
      </c>
      <c r="D787" t="inlineStr">
        <is>
          <t>STOCKHOLMS LÄN</t>
        </is>
      </c>
      <c r="E787" t="inlineStr">
        <is>
          <t>NORRTÄLJE</t>
        </is>
      </c>
      <c r="G787" t="n">
        <v>2.3</v>
      </c>
      <c r="H787" t="n">
        <v>0</v>
      </c>
      <c r="I787" t="n">
        <v>0</v>
      </c>
      <c r="J787" t="n">
        <v>0</v>
      </c>
      <c r="K787" t="n">
        <v>0</v>
      </c>
      <c r="L787" t="n">
        <v>0</v>
      </c>
      <c r="M787" t="n">
        <v>0</v>
      </c>
      <c r="N787" t="n">
        <v>0</v>
      </c>
      <c r="O787" t="n">
        <v>0</v>
      </c>
      <c r="P787" t="n">
        <v>0</v>
      </c>
      <c r="Q787" t="n">
        <v>0</v>
      </c>
      <c r="R787" s="2" t="inlineStr"/>
    </row>
    <row r="788" ht="15" customHeight="1">
      <c r="A788" t="inlineStr">
        <is>
          <t>A 5950-2021</t>
        </is>
      </c>
      <c r="B788" s="1" t="n">
        <v>44231</v>
      </c>
      <c r="C788" s="1" t="n">
        <v>46012</v>
      </c>
      <c r="D788" t="inlineStr">
        <is>
          <t>STOCKHOLMS LÄN</t>
        </is>
      </c>
      <c r="E788" t="inlineStr">
        <is>
          <t>NORRTÄLJE</t>
        </is>
      </c>
      <c r="F788" t="inlineStr">
        <is>
          <t>Holmen skog AB</t>
        </is>
      </c>
      <c r="G788" t="n">
        <v>0.7</v>
      </c>
      <c r="H788" t="n">
        <v>0</v>
      </c>
      <c r="I788" t="n">
        <v>0</v>
      </c>
      <c r="J788" t="n">
        <v>0</v>
      </c>
      <c r="K788" t="n">
        <v>0</v>
      </c>
      <c r="L788" t="n">
        <v>0</v>
      </c>
      <c r="M788" t="n">
        <v>0</v>
      </c>
      <c r="N788" t="n">
        <v>0</v>
      </c>
      <c r="O788" t="n">
        <v>0</v>
      </c>
      <c r="P788" t="n">
        <v>0</v>
      </c>
      <c r="Q788" t="n">
        <v>0</v>
      </c>
      <c r="R788" s="2" t="inlineStr"/>
    </row>
    <row r="789" ht="15" customHeight="1">
      <c r="A789" t="inlineStr">
        <is>
          <t>A 62681-2025</t>
        </is>
      </c>
      <c r="B789" s="1" t="n">
        <v>46008.45534722223</v>
      </c>
      <c r="C789" s="1" t="n">
        <v>46012</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62708-2025</t>
        </is>
      </c>
      <c r="B790" s="1" t="n">
        <v>46008.50986111111</v>
      </c>
      <c r="C790" s="1" t="n">
        <v>46012</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46012</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3383-2023</t>
        </is>
      </c>
      <c r="B792" s="1" t="n">
        <v>44949</v>
      </c>
      <c r="C792" s="1" t="n">
        <v>46012</v>
      </c>
      <c r="D792" t="inlineStr">
        <is>
          <t>STOCKHOLMS LÄN</t>
        </is>
      </c>
      <c r="E792" t="inlineStr">
        <is>
          <t>NORRTÄLJE</t>
        </is>
      </c>
      <c r="G792" t="n">
        <v>14.6</v>
      </c>
      <c r="H792" t="n">
        <v>0</v>
      </c>
      <c r="I792" t="n">
        <v>0</v>
      </c>
      <c r="J792" t="n">
        <v>0</v>
      </c>
      <c r="K792" t="n">
        <v>0</v>
      </c>
      <c r="L792" t="n">
        <v>0</v>
      </c>
      <c r="M792" t="n">
        <v>0</v>
      </c>
      <c r="N792" t="n">
        <v>0</v>
      </c>
      <c r="O792" t="n">
        <v>0</v>
      </c>
      <c r="P792" t="n">
        <v>0</v>
      </c>
      <c r="Q792" t="n">
        <v>0</v>
      </c>
      <c r="R792" s="2" t="inlineStr"/>
    </row>
    <row r="793" ht="15" customHeight="1">
      <c r="A793" t="inlineStr">
        <is>
          <t>A 4316-2023</t>
        </is>
      </c>
      <c r="B793" s="1" t="n">
        <v>44953.67443287037</v>
      </c>
      <c r="C793" s="1" t="n">
        <v>46012</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5839-2023</t>
        </is>
      </c>
      <c r="B794" s="1" t="n">
        <v>44963</v>
      </c>
      <c r="C794" s="1" t="n">
        <v>46012</v>
      </c>
      <c r="D794" t="inlineStr">
        <is>
          <t>STOCKHOLMS LÄN</t>
        </is>
      </c>
      <c r="E794" t="inlineStr">
        <is>
          <t>NORRTÄLJE</t>
        </is>
      </c>
      <c r="G794" t="n">
        <v>3.6</v>
      </c>
      <c r="H794" t="n">
        <v>0</v>
      </c>
      <c r="I794" t="n">
        <v>0</v>
      </c>
      <c r="J794" t="n">
        <v>0</v>
      </c>
      <c r="K794" t="n">
        <v>0</v>
      </c>
      <c r="L794" t="n">
        <v>0</v>
      </c>
      <c r="M794" t="n">
        <v>0</v>
      </c>
      <c r="N794" t="n">
        <v>0</v>
      </c>
      <c r="O794" t="n">
        <v>0</v>
      </c>
      <c r="P794" t="n">
        <v>0</v>
      </c>
      <c r="Q794" t="n">
        <v>0</v>
      </c>
      <c r="R794" s="2" t="inlineStr"/>
    </row>
    <row r="795" ht="15" customHeight="1">
      <c r="A795" t="inlineStr">
        <is>
          <t>A 5804-2025</t>
        </is>
      </c>
      <c r="B795" s="1" t="n">
        <v>45694.68207175926</v>
      </c>
      <c r="C795" s="1" t="n">
        <v>46012</v>
      </c>
      <c r="D795" t="inlineStr">
        <is>
          <t>STOCKHOLMS LÄN</t>
        </is>
      </c>
      <c r="E795" t="inlineStr">
        <is>
          <t>NORRTÄLJE</t>
        </is>
      </c>
      <c r="F795" t="inlineStr">
        <is>
          <t>Holmen skog AB</t>
        </is>
      </c>
      <c r="G795" t="n">
        <v>2.6</v>
      </c>
      <c r="H795" t="n">
        <v>0</v>
      </c>
      <c r="I795" t="n">
        <v>0</v>
      </c>
      <c r="J795" t="n">
        <v>0</v>
      </c>
      <c r="K795" t="n">
        <v>0</v>
      </c>
      <c r="L795" t="n">
        <v>0</v>
      </c>
      <c r="M795" t="n">
        <v>0</v>
      </c>
      <c r="N795" t="n">
        <v>0</v>
      </c>
      <c r="O795" t="n">
        <v>0</v>
      </c>
      <c r="P795" t="n">
        <v>0</v>
      </c>
      <c r="Q795" t="n">
        <v>0</v>
      </c>
      <c r="R795" s="2" t="inlineStr"/>
    </row>
    <row r="796" ht="15" customHeight="1">
      <c r="A796" t="inlineStr">
        <is>
          <t>A 24705-2023</t>
        </is>
      </c>
      <c r="B796" s="1" t="n">
        <v>45084.54459490741</v>
      </c>
      <c r="C796" s="1" t="n">
        <v>46012</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54358-2022</t>
        </is>
      </c>
      <c r="B797" s="1" t="n">
        <v>44882</v>
      </c>
      <c r="C797" s="1" t="n">
        <v>46012</v>
      </c>
      <c r="D797" t="inlineStr">
        <is>
          <t>STOCKHOLMS LÄN</t>
        </is>
      </c>
      <c r="E797" t="inlineStr">
        <is>
          <t>NORRTÄLJE</t>
        </is>
      </c>
      <c r="G797" t="n">
        <v>3.3</v>
      </c>
      <c r="H797" t="n">
        <v>0</v>
      </c>
      <c r="I797" t="n">
        <v>0</v>
      </c>
      <c r="J797" t="n">
        <v>0</v>
      </c>
      <c r="K797" t="n">
        <v>0</v>
      </c>
      <c r="L797" t="n">
        <v>0</v>
      </c>
      <c r="M797" t="n">
        <v>0</v>
      </c>
      <c r="N797" t="n">
        <v>0</v>
      </c>
      <c r="O797" t="n">
        <v>0</v>
      </c>
      <c r="P797" t="n">
        <v>0</v>
      </c>
      <c r="Q797" t="n">
        <v>0</v>
      </c>
      <c r="R797" s="2" t="inlineStr"/>
    </row>
    <row r="798" ht="15" customHeight="1">
      <c r="A798" t="inlineStr">
        <is>
          <t>A 23749-2024</t>
        </is>
      </c>
      <c r="B798" s="1" t="n">
        <v>45455.33037037037</v>
      </c>
      <c r="C798" s="1" t="n">
        <v>46012</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35698-2023</t>
        </is>
      </c>
      <c r="B799" s="1" t="n">
        <v>45147</v>
      </c>
      <c r="C799" s="1" t="n">
        <v>46012</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62689-2025</t>
        </is>
      </c>
      <c r="B800" s="1" t="n">
        <v>46008.47171296296</v>
      </c>
      <c r="C800" s="1" t="n">
        <v>46012</v>
      </c>
      <c r="D800" t="inlineStr">
        <is>
          <t>STOCKHOLMS LÄN</t>
        </is>
      </c>
      <c r="E800" t="inlineStr">
        <is>
          <t>NORRTÄLJE</t>
        </is>
      </c>
      <c r="F800" t="inlineStr">
        <is>
          <t>Kyrkan</t>
        </is>
      </c>
      <c r="G800" t="n">
        <v>0.7</v>
      </c>
      <c r="H800" t="n">
        <v>0</v>
      </c>
      <c r="I800" t="n">
        <v>0</v>
      </c>
      <c r="J800" t="n">
        <v>0</v>
      </c>
      <c r="K800" t="n">
        <v>0</v>
      </c>
      <c r="L800" t="n">
        <v>0</v>
      </c>
      <c r="M800" t="n">
        <v>0</v>
      </c>
      <c r="N800" t="n">
        <v>0</v>
      </c>
      <c r="O800" t="n">
        <v>0</v>
      </c>
      <c r="P800" t="n">
        <v>0</v>
      </c>
      <c r="Q800" t="n">
        <v>0</v>
      </c>
      <c r="R800" s="2" t="inlineStr"/>
    </row>
    <row r="801" ht="15" customHeight="1">
      <c r="A801" t="inlineStr">
        <is>
          <t>A 73992-2021</t>
        </is>
      </c>
      <c r="B801" s="1" t="n">
        <v>44556</v>
      </c>
      <c r="C801" s="1" t="n">
        <v>46012</v>
      </c>
      <c r="D801" t="inlineStr">
        <is>
          <t>STOCKHOLMS LÄN</t>
        </is>
      </c>
      <c r="E801" t="inlineStr">
        <is>
          <t>NORRTÄLJE</t>
        </is>
      </c>
      <c r="G801" t="n">
        <v>12.5</v>
      </c>
      <c r="H801" t="n">
        <v>0</v>
      </c>
      <c r="I801" t="n">
        <v>0</v>
      </c>
      <c r="J801" t="n">
        <v>0</v>
      </c>
      <c r="K801" t="n">
        <v>0</v>
      </c>
      <c r="L801" t="n">
        <v>0</v>
      </c>
      <c r="M801" t="n">
        <v>0</v>
      </c>
      <c r="N801" t="n">
        <v>0</v>
      </c>
      <c r="O801" t="n">
        <v>0</v>
      </c>
      <c r="P801" t="n">
        <v>0</v>
      </c>
      <c r="Q801" t="n">
        <v>0</v>
      </c>
      <c r="R801" s="2" t="inlineStr"/>
    </row>
    <row r="802" ht="15" customHeight="1">
      <c r="A802" t="inlineStr">
        <is>
          <t>A 21329-2022</t>
        </is>
      </c>
      <c r="B802" s="1" t="n">
        <v>44705.60626157407</v>
      </c>
      <c r="C802" s="1" t="n">
        <v>46012</v>
      </c>
      <c r="D802" t="inlineStr">
        <is>
          <t>STOCKHOLMS LÄN</t>
        </is>
      </c>
      <c r="E802" t="inlineStr">
        <is>
          <t>NORRTÄLJE</t>
        </is>
      </c>
      <c r="G802" t="n">
        <v>4.1</v>
      </c>
      <c r="H802" t="n">
        <v>0</v>
      </c>
      <c r="I802" t="n">
        <v>0</v>
      </c>
      <c r="J802" t="n">
        <v>0</v>
      </c>
      <c r="K802" t="n">
        <v>0</v>
      </c>
      <c r="L802" t="n">
        <v>0</v>
      </c>
      <c r="M802" t="n">
        <v>0</v>
      </c>
      <c r="N802" t="n">
        <v>0</v>
      </c>
      <c r="O802" t="n">
        <v>0</v>
      </c>
      <c r="P802" t="n">
        <v>0</v>
      </c>
      <c r="Q802" t="n">
        <v>0</v>
      </c>
      <c r="R802" s="2" t="inlineStr"/>
    </row>
    <row r="803" ht="15" customHeight="1">
      <c r="A803" t="inlineStr">
        <is>
          <t>A 54276-2021</t>
        </is>
      </c>
      <c r="B803" s="1" t="n">
        <v>44470</v>
      </c>
      <c r="C803" s="1" t="n">
        <v>46012</v>
      </c>
      <c r="D803" t="inlineStr">
        <is>
          <t>STOCKHOLMS LÄN</t>
        </is>
      </c>
      <c r="E803" t="inlineStr">
        <is>
          <t>NORRTÄLJE</t>
        </is>
      </c>
      <c r="G803" t="n">
        <v>7.3</v>
      </c>
      <c r="H803" t="n">
        <v>0</v>
      </c>
      <c r="I803" t="n">
        <v>0</v>
      </c>
      <c r="J803" t="n">
        <v>0</v>
      </c>
      <c r="K803" t="n">
        <v>0</v>
      </c>
      <c r="L803" t="n">
        <v>0</v>
      </c>
      <c r="M803" t="n">
        <v>0</v>
      </c>
      <c r="N803" t="n">
        <v>0</v>
      </c>
      <c r="O803" t="n">
        <v>0</v>
      </c>
      <c r="P803" t="n">
        <v>0</v>
      </c>
      <c r="Q803" t="n">
        <v>0</v>
      </c>
      <c r="R803" s="2" t="inlineStr"/>
    </row>
    <row r="804" ht="15" customHeight="1">
      <c r="A804" t="inlineStr">
        <is>
          <t>A 10090-2022</t>
        </is>
      </c>
      <c r="B804" s="1" t="n">
        <v>44621</v>
      </c>
      <c r="C804" s="1" t="n">
        <v>46012</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13785-2024</t>
        </is>
      </c>
      <c r="B805" s="1" t="n">
        <v>45391.3395949074</v>
      </c>
      <c r="C805" s="1" t="n">
        <v>46012</v>
      </c>
      <c r="D805" t="inlineStr">
        <is>
          <t>STOCKHOLMS LÄN</t>
        </is>
      </c>
      <c r="E805" t="inlineStr">
        <is>
          <t>NORRTÄLJE</t>
        </is>
      </c>
      <c r="G805" t="n">
        <v>5</v>
      </c>
      <c r="H805" t="n">
        <v>0</v>
      </c>
      <c r="I805" t="n">
        <v>0</v>
      </c>
      <c r="J805" t="n">
        <v>0</v>
      </c>
      <c r="K805" t="n">
        <v>0</v>
      </c>
      <c r="L805" t="n">
        <v>0</v>
      </c>
      <c r="M805" t="n">
        <v>0</v>
      </c>
      <c r="N805" t="n">
        <v>0</v>
      </c>
      <c r="O805" t="n">
        <v>0</v>
      </c>
      <c r="P805" t="n">
        <v>0</v>
      </c>
      <c r="Q805" t="n">
        <v>0</v>
      </c>
      <c r="R805" s="2" t="inlineStr"/>
    </row>
    <row r="806" ht="15" customHeight="1">
      <c r="A806" t="inlineStr">
        <is>
          <t>A 51116-2022</t>
        </is>
      </c>
      <c r="B806" s="1" t="n">
        <v>44868.45741898148</v>
      </c>
      <c r="C806" s="1" t="n">
        <v>46012</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54907-2025</t>
        </is>
      </c>
      <c r="B807" s="1" t="n">
        <v>45967.37137731481</v>
      </c>
      <c r="C807" s="1" t="n">
        <v>46012</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29972-2024</t>
        </is>
      </c>
      <c r="B808" s="1" t="n">
        <v>45485</v>
      </c>
      <c r="C808" s="1" t="n">
        <v>46012</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62922-2025</t>
        </is>
      </c>
      <c r="B809" s="1" t="n">
        <v>46009.38064814815</v>
      </c>
      <c r="C809" s="1" t="n">
        <v>46012</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28809-2023</t>
        </is>
      </c>
      <c r="B810" s="1" t="n">
        <v>45104</v>
      </c>
      <c r="C810" s="1" t="n">
        <v>46012</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28813-2023</t>
        </is>
      </c>
      <c r="B811" s="1" t="n">
        <v>45104</v>
      </c>
      <c r="C811" s="1" t="n">
        <v>46012</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19131-2025</t>
        </is>
      </c>
      <c r="B812" s="1" t="n">
        <v>45769</v>
      </c>
      <c r="C812" s="1" t="n">
        <v>46012</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11929-2024</t>
        </is>
      </c>
      <c r="B813" s="1" t="n">
        <v>45376.64532407407</v>
      </c>
      <c r="C813" s="1" t="n">
        <v>46012</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64145-2021</t>
        </is>
      </c>
      <c r="B814" s="1" t="n">
        <v>44510</v>
      </c>
      <c r="C814" s="1" t="n">
        <v>46012</v>
      </c>
      <c r="D814" t="inlineStr">
        <is>
          <t>STOCKHOLMS LÄN</t>
        </is>
      </c>
      <c r="E814" t="inlineStr">
        <is>
          <t>NORRTÄLJE</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45451-2024</t>
        </is>
      </c>
      <c r="B815" s="1" t="n">
        <v>45576</v>
      </c>
      <c r="C815" s="1" t="n">
        <v>46012</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17843-2024</t>
        </is>
      </c>
      <c r="B816" s="1" t="n">
        <v>45418</v>
      </c>
      <c r="C816" s="1" t="n">
        <v>46012</v>
      </c>
      <c r="D816" t="inlineStr">
        <is>
          <t>STOCKHOLMS LÄN</t>
        </is>
      </c>
      <c r="E816" t="inlineStr">
        <is>
          <t>NORRTÄLJE</t>
        </is>
      </c>
      <c r="G816" t="n">
        <v>5.4</v>
      </c>
      <c r="H816" t="n">
        <v>0</v>
      </c>
      <c r="I816" t="n">
        <v>0</v>
      </c>
      <c r="J816" t="n">
        <v>0</v>
      </c>
      <c r="K816" t="n">
        <v>0</v>
      </c>
      <c r="L816" t="n">
        <v>0</v>
      </c>
      <c r="M816" t="n">
        <v>0</v>
      </c>
      <c r="N816" t="n">
        <v>0</v>
      </c>
      <c r="O816" t="n">
        <v>0</v>
      </c>
      <c r="P816" t="n">
        <v>0</v>
      </c>
      <c r="Q816" t="n">
        <v>0</v>
      </c>
      <c r="R816" s="2" t="inlineStr"/>
    </row>
    <row r="817" ht="15" customHeight="1">
      <c r="A817" t="inlineStr">
        <is>
          <t>A 12890-2024</t>
        </is>
      </c>
      <c r="B817" s="1" t="n">
        <v>45385.36243055556</v>
      </c>
      <c r="C817" s="1" t="n">
        <v>46012</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36430-2024</t>
        </is>
      </c>
      <c r="B818" s="1" t="n">
        <v>45536</v>
      </c>
      <c r="C818" s="1" t="n">
        <v>46012</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41172-2023</t>
        </is>
      </c>
      <c r="B819" s="1" t="n">
        <v>45170</v>
      </c>
      <c r="C819" s="1" t="n">
        <v>46012</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67921-2021</t>
        </is>
      </c>
      <c r="B820" s="1" t="n">
        <v>44525</v>
      </c>
      <c r="C820" s="1" t="n">
        <v>46012</v>
      </c>
      <c r="D820" t="inlineStr">
        <is>
          <t>STOCKHOLMS LÄN</t>
        </is>
      </c>
      <c r="E820" t="inlineStr">
        <is>
          <t>NORRTÄLJE</t>
        </is>
      </c>
      <c r="G820" t="n">
        <v>6.3</v>
      </c>
      <c r="H820" t="n">
        <v>0</v>
      </c>
      <c r="I820" t="n">
        <v>0</v>
      </c>
      <c r="J820" t="n">
        <v>0</v>
      </c>
      <c r="K820" t="n">
        <v>0</v>
      </c>
      <c r="L820" t="n">
        <v>0</v>
      </c>
      <c r="M820" t="n">
        <v>0</v>
      </c>
      <c r="N820" t="n">
        <v>0</v>
      </c>
      <c r="O820" t="n">
        <v>0</v>
      </c>
      <c r="P820" t="n">
        <v>0</v>
      </c>
      <c r="Q820" t="n">
        <v>0</v>
      </c>
      <c r="R820" s="2" t="inlineStr"/>
    </row>
    <row r="821" ht="15" customHeight="1">
      <c r="A821" t="inlineStr">
        <is>
          <t>A 72704-2021</t>
        </is>
      </c>
      <c r="B821" s="1" t="n">
        <v>44546</v>
      </c>
      <c r="C821" s="1" t="n">
        <v>46012</v>
      </c>
      <c r="D821" t="inlineStr">
        <is>
          <t>STOCKHOLMS LÄN</t>
        </is>
      </c>
      <c r="E821" t="inlineStr">
        <is>
          <t>NORRTÄLJE</t>
        </is>
      </c>
      <c r="G821" t="n">
        <v>1.3</v>
      </c>
      <c r="H821" t="n">
        <v>0</v>
      </c>
      <c r="I821" t="n">
        <v>0</v>
      </c>
      <c r="J821" t="n">
        <v>0</v>
      </c>
      <c r="K821" t="n">
        <v>0</v>
      </c>
      <c r="L821" t="n">
        <v>0</v>
      </c>
      <c r="M821" t="n">
        <v>0</v>
      </c>
      <c r="N821" t="n">
        <v>0</v>
      </c>
      <c r="O821" t="n">
        <v>0</v>
      </c>
      <c r="P821" t="n">
        <v>0</v>
      </c>
      <c r="Q821" t="n">
        <v>0</v>
      </c>
      <c r="R821" s="2" t="inlineStr"/>
    </row>
    <row r="822" ht="15" customHeight="1">
      <c r="A822" t="inlineStr">
        <is>
          <t>A 65499-2021</t>
        </is>
      </c>
      <c r="B822" s="1" t="n">
        <v>44516</v>
      </c>
      <c r="C822" s="1" t="n">
        <v>46012</v>
      </c>
      <c r="D822" t="inlineStr">
        <is>
          <t>STOCKHOLMS LÄN</t>
        </is>
      </c>
      <c r="E822" t="inlineStr">
        <is>
          <t>NORRTÄLJE</t>
        </is>
      </c>
      <c r="F822" t="inlineStr">
        <is>
          <t>Kommuner</t>
        </is>
      </c>
      <c r="G822" t="n">
        <v>5.2</v>
      </c>
      <c r="H822" t="n">
        <v>0</v>
      </c>
      <c r="I822" t="n">
        <v>0</v>
      </c>
      <c r="J822" t="n">
        <v>0</v>
      </c>
      <c r="K822" t="n">
        <v>0</v>
      </c>
      <c r="L822" t="n">
        <v>0</v>
      </c>
      <c r="M822" t="n">
        <v>0</v>
      </c>
      <c r="N822" t="n">
        <v>0</v>
      </c>
      <c r="O822" t="n">
        <v>0</v>
      </c>
      <c r="P822" t="n">
        <v>0</v>
      </c>
      <c r="Q822" t="n">
        <v>0</v>
      </c>
      <c r="R822" s="2" t="inlineStr"/>
    </row>
    <row r="823" ht="15" customHeight="1">
      <c r="A823" t="inlineStr">
        <is>
          <t>A 65511-2021</t>
        </is>
      </c>
      <c r="B823" s="1" t="n">
        <v>44516.40674768519</v>
      </c>
      <c r="C823" s="1" t="n">
        <v>46012</v>
      </c>
      <c r="D823" t="inlineStr">
        <is>
          <t>STOCKHOLMS LÄN</t>
        </is>
      </c>
      <c r="E823" t="inlineStr">
        <is>
          <t>NORRTÄLJE</t>
        </is>
      </c>
      <c r="F823" t="inlineStr">
        <is>
          <t>Kommuner</t>
        </is>
      </c>
      <c r="G823" t="n">
        <v>2.8</v>
      </c>
      <c r="H823" t="n">
        <v>0</v>
      </c>
      <c r="I823" t="n">
        <v>0</v>
      </c>
      <c r="J823" t="n">
        <v>0</v>
      </c>
      <c r="K823" t="n">
        <v>0</v>
      </c>
      <c r="L823" t="n">
        <v>0</v>
      </c>
      <c r="M823" t="n">
        <v>0</v>
      </c>
      <c r="N823" t="n">
        <v>0</v>
      </c>
      <c r="O823" t="n">
        <v>0</v>
      </c>
      <c r="P823" t="n">
        <v>0</v>
      </c>
      <c r="Q823" t="n">
        <v>0</v>
      </c>
      <c r="R823" s="2" t="inlineStr"/>
    </row>
    <row r="824" ht="15" customHeight="1">
      <c r="A824" t="inlineStr">
        <is>
          <t>A 26113-2024</t>
        </is>
      </c>
      <c r="B824" s="1" t="n">
        <v>45468.45541666666</v>
      </c>
      <c r="C824" s="1" t="n">
        <v>46012</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26116-2024</t>
        </is>
      </c>
      <c r="B825" s="1" t="n">
        <v>45468.45747685185</v>
      </c>
      <c r="C825" s="1" t="n">
        <v>46012</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52686-2024</t>
        </is>
      </c>
      <c r="B826" s="1" t="n">
        <v>45610.39271990741</v>
      </c>
      <c r="C826" s="1" t="n">
        <v>46012</v>
      </c>
      <c r="D826" t="inlineStr">
        <is>
          <t>STOCKHOLMS LÄN</t>
        </is>
      </c>
      <c r="E826" t="inlineStr">
        <is>
          <t>NORRTÄLJE</t>
        </is>
      </c>
      <c r="G826" t="n">
        <v>5.7</v>
      </c>
      <c r="H826" t="n">
        <v>0</v>
      </c>
      <c r="I826" t="n">
        <v>0</v>
      </c>
      <c r="J826" t="n">
        <v>0</v>
      </c>
      <c r="K826" t="n">
        <v>0</v>
      </c>
      <c r="L826" t="n">
        <v>0</v>
      </c>
      <c r="M826" t="n">
        <v>0</v>
      </c>
      <c r="N826" t="n">
        <v>0</v>
      </c>
      <c r="O826" t="n">
        <v>0</v>
      </c>
      <c r="P826" t="n">
        <v>0</v>
      </c>
      <c r="Q826" t="n">
        <v>0</v>
      </c>
      <c r="R826" s="2" t="inlineStr"/>
    </row>
    <row r="827" ht="15" customHeight="1">
      <c r="A827" t="inlineStr">
        <is>
          <t>A 31105-2022</t>
        </is>
      </c>
      <c r="B827" s="1" t="n">
        <v>44769.66039351852</v>
      </c>
      <c r="C827" s="1" t="n">
        <v>46012</v>
      </c>
      <c r="D827" t="inlineStr">
        <is>
          <t>STOCKHOLMS LÄN</t>
        </is>
      </c>
      <c r="E827" t="inlineStr">
        <is>
          <t>NORRTÄLJE</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62644-2023</t>
        </is>
      </c>
      <c r="B828" s="1" t="n">
        <v>45271</v>
      </c>
      <c r="C828" s="1" t="n">
        <v>46012</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60185-2024</t>
        </is>
      </c>
      <c r="B829" s="1" t="n">
        <v>45642.64634259259</v>
      </c>
      <c r="C829" s="1" t="n">
        <v>46012</v>
      </c>
      <c r="D829" t="inlineStr">
        <is>
          <t>STOCKHOLMS LÄN</t>
        </is>
      </c>
      <c r="E829" t="inlineStr">
        <is>
          <t>NORRTÄLJE</t>
        </is>
      </c>
      <c r="G829" t="n">
        <v>0.3</v>
      </c>
      <c r="H829" t="n">
        <v>0</v>
      </c>
      <c r="I829" t="n">
        <v>0</v>
      </c>
      <c r="J829" t="n">
        <v>0</v>
      </c>
      <c r="K829" t="n">
        <v>0</v>
      </c>
      <c r="L829" t="n">
        <v>0</v>
      </c>
      <c r="M829" t="n">
        <v>0</v>
      </c>
      <c r="N829" t="n">
        <v>0</v>
      </c>
      <c r="O829" t="n">
        <v>0</v>
      </c>
      <c r="P829" t="n">
        <v>0</v>
      </c>
      <c r="Q829" t="n">
        <v>0</v>
      </c>
      <c r="R829" s="2" t="inlineStr"/>
    </row>
    <row r="830" ht="15" customHeight="1">
      <c r="A830" t="inlineStr">
        <is>
          <t>A 60765-2023</t>
        </is>
      </c>
      <c r="B830" s="1" t="n">
        <v>45260</v>
      </c>
      <c r="C830" s="1" t="n">
        <v>46012</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12268-2022</t>
        </is>
      </c>
      <c r="B831" s="1" t="n">
        <v>44637</v>
      </c>
      <c r="C831" s="1" t="n">
        <v>46012</v>
      </c>
      <c r="D831" t="inlineStr">
        <is>
          <t>STOCKHOLMS LÄN</t>
        </is>
      </c>
      <c r="E831" t="inlineStr">
        <is>
          <t>NORRTÄLJE</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22832-2021</t>
        </is>
      </c>
      <c r="B832" s="1" t="n">
        <v>44325</v>
      </c>
      <c r="C832" s="1" t="n">
        <v>46012</v>
      </c>
      <c r="D832" t="inlineStr">
        <is>
          <t>STOCKHOLMS LÄN</t>
        </is>
      </c>
      <c r="E832" t="inlineStr">
        <is>
          <t>NORRTÄLJE</t>
        </is>
      </c>
      <c r="G832" t="n">
        <v>6.8</v>
      </c>
      <c r="H832" t="n">
        <v>0</v>
      </c>
      <c r="I832" t="n">
        <v>0</v>
      </c>
      <c r="J832" t="n">
        <v>0</v>
      </c>
      <c r="K832" t="n">
        <v>0</v>
      </c>
      <c r="L832" t="n">
        <v>0</v>
      </c>
      <c r="M832" t="n">
        <v>0</v>
      </c>
      <c r="N832" t="n">
        <v>0</v>
      </c>
      <c r="O832" t="n">
        <v>0</v>
      </c>
      <c r="P832" t="n">
        <v>0</v>
      </c>
      <c r="Q832" t="n">
        <v>0</v>
      </c>
      <c r="R832" s="2" t="inlineStr"/>
    </row>
    <row r="833" ht="15" customHeight="1">
      <c r="A833" t="inlineStr">
        <is>
          <t>A 51315-2021</t>
        </is>
      </c>
      <c r="B833" s="1" t="n">
        <v>44461</v>
      </c>
      <c r="C833" s="1" t="n">
        <v>46012</v>
      </c>
      <c r="D833" t="inlineStr">
        <is>
          <t>STOCKHOLMS LÄN</t>
        </is>
      </c>
      <c r="E833" t="inlineStr">
        <is>
          <t>NORRTÄLJE</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22008-2024</t>
        </is>
      </c>
      <c r="B834" s="1" t="n">
        <v>45443</v>
      </c>
      <c r="C834" s="1" t="n">
        <v>46012</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58277-2023</t>
        </is>
      </c>
      <c r="B835" s="1" t="n">
        <v>45245</v>
      </c>
      <c r="C835" s="1" t="n">
        <v>46012</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9480-2025</t>
        </is>
      </c>
      <c r="B836" s="1" t="n">
        <v>45715</v>
      </c>
      <c r="C836" s="1" t="n">
        <v>46012</v>
      </c>
      <c r="D836" t="inlineStr">
        <is>
          <t>STOCKHOLMS LÄN</t>
        </is>
      </c>
      <c r="E836" t="inlineStr">
        <is>
          <t>NORRTÄLJE</t>
        </is>
      </c>
      <c r="F836" t="inlineStr">
        <is>
          <t>Övriga Aktiebolag</t>
        </is>
      </c>
      <c r="G836" t="n">
        <v>3.9</v>
      </c>
      <c r="H836" t="n">
        <v>0</v>
      </c>
      <c r="I836" t="n">
        <v>0</v>
      </c>
      <c r="J836" t="n">
        <v>0</v>
      </c>
      <c r="K836" t="n">
        <v>0</v>
      </c>
      <c r="L836" t="n">
        <v>0</v>
      </c>
      <c r="M836" t="n">
        <v>0</v>
      </c>
      <c r="N836" t="n">
        <v>0</v>
      </c>
      <c r="O836" t="n">
        <v>0</v>
      </c>
      <c r="P836" t="n">
        <v>0</v>
      </c>
      <c r="Q836" t="n">
        <v>0</v>
      </c>
      <c r="R836" s="2" t="inlineStr"/>
    </row>
    <row r="837" ht="15" customHeight="1">
      <c r="A837" t="inlineStr">
        <is>
          <t>A 4322-2023</t>
        </is>
      </c>
      <c r="B837" s="1" t="n">
        <v>44953.69298611111</v>
      </c>
      <c r="C837" s="1" t="n">
        <v>46012</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35916-2024</t>
        </is>
      </c>
      <c r="B838" s="1" t="n">
        <v>45533</v>
      </c>
      <c r="C838" s="1" t="n">
        <v>46012</v>
      </c>
      <c r="D838" t="inlineStr">
        <is>
          <t>STOCKHOLMS LÄN</t>
        </is>
      </c>
      <c r="E838" t="inlineStr">
        <is>
          <t>NORRTÄLJE</t>
        </is>
      </c>
      <c r="G838" t="n">
        <v>0.5</v>
      </c>
      <c r="H838" t="n">
        <v>0</v>
      </c>
      <c r="I838" t="n">
        <v>0</v>
      </c>
      <c r="J838" t="n">
        <v>0</v>
      </c>
      <c r="K838" t="n">
        <v>0</v>
      </c>
      <c r="L838" t="n">
        <v>0</v>
      </c>
      <c r="M838" t="n">
        <v>0</v>
      </c>
      <c r="N838" t="n">
        <v>0</v>
      </c>
      <c r="O838" t="n">
        <v>0</v>
      </c>
      <c r="P838" t="n">
        <v>0</v>
      </c>
      <c r="Q838" t="n">
        <v>0</v>
      </c>
      <c r="R838" s="2" t="inlineStr"/>
    </row>
    <row r="839" ht="15" customHeight="1">
      <c r="A839" t="inlineStr">
        <is>
          <t>A 38889-2024</t>
        </is>
      </c>
      <c r="B839" s="1" t="n">
        <v>45547</v>
      </c>
      <c r="C839" s="1" t="n">
        <v>46012</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3299-2022</t>
        </is>
      </c>
      <c r="B840" s="1" t="n">
        <v>44584.91001157407</v>
      </c>
      <c r="C840" s="1" t="n">
        <v>46012</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42075-2023</t>
        </is>
      </c>
      <c r="B841" s="1" t="n">
        <v>45177</v>
      </c>
      <c r="C841" s="1" t="n">
        <v>46012</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10676-2025</t>
        </is>
      </c>
      <c r="B842" s="1" t="n">
        <v>45721.88684027778</v>
      </c>
      <c r="C842" s="1" t="n">
        <v>46012</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50154-2024</t>
        </is>
      </c>
      <c r="B843" s="1" t="n">
        <v>45600.4558912037</v>
      </c>
      <c r="C843" s="1" t="n">
        <v>46012</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37273-2024</t>
        </is>
      </c>
      <c r="B844" s="1" t="n">
        <v>45540</v>
      </c>
      <c r="C844" s="1" t="n">
        <v>46012</v>
      </c>
      <c r="D844" t="inlineStr">
        <is>
          <t>STOCKHOLMS LÄN</t>
        </is>
      </c>
      <c r="E844" t="inlineStr">
        <is>
          <t>NORRTÄLJE</t>
        </is>
      </c>
      <c r="F844" t="inlineStr">
        <is>
          <t>Sveaskog</t>
        </is>
      </c>
      <c r="G844" t="n">
        <v>12.5</v>
      </c>
      <c r="H844" t="n">
        <v>0</v>
      </c>
      <c r="I844" t="n">
        <v>0</v>
      </c>
      <c r="J844" t="n">
        <v>0</v>
      </c>
      <c r="K844" t="n">
        <v>0</v>
      </c>
      <c r="L844" t="n">
        <v>0</v>
      </c>
      <c r="M844" t="n">
        <v>0</v>
      </c>
      <c r="N844" t="n">
        <v>0</v>
      </c>
      <c r="O844" t="n">
        <v>0</v>
      </c>
      <c r="P844" t="n">
        <v>0</v>
      </c>
      <c r="Q844" t="n">
        <v>0</v>
      </c>
      <c r="R844" s="2" t="inlineStr"/>
    </row>
    <row r="845" ht="15" customHeight="1">
      <c r="A845" t="inlineStr">
        <is>
          <t>A 34773-2022</t>
        </is>
      </c>
      <c r="B845" s="1" t="n">
        <v>44795</v>
      </c>
      <c r="C845" s="1" t="n">
        <v>46012</v>
      </c>
      <c r="D845" t="inlineStr">
        <is>
          <t>STOCKHOLMS LÄN</t>
        </is>
      </c>
      <c r="E845" t="inlineStr">
        <is>
          <t>NORRTÄLJE</t>
        </is>
      </c>
      <c r="G845" t="n">
        <v>3.9</v>
      </c>
      <c r="H845" t="n">
        <v>0</v>
      </c>
      <c r="I845" t="n">
        <v>0</v>
      </c>
      <c r="J845" t="n">
        <v>0</v>
      </c>
      <c r="K845" t="n">
        <v>0</v>
      </c>
      <c r="L845" t="n">
        <v>0</v>
      </c>
      <c r="M845" t="n">
        <v>0</v>
      </c>
      <c r="N845" t="n">
        <v>0</v>
      </c>
      <c r="O845" t="n">
        <v>0</v>
      </c>
      <c r="P845" t="n">
        <v>0</v>
      </c>
      <c r="Q845" t="n">
        <v>0</v>
      </c>
      <c r="R845" s="2" t="inlineStr"/>
    </row>
    <row r="846" ht="15" customHeight="1">
      <c r="A846" t="inlineStr">
        <is>
          <t>A 23263-2023</t>
        </is>
      </c>
      <c r="B846" s="1" t="n">
        <v>45075</v>
      </c>
      <c r="C846" s="1" t="n">
        <v>46012</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23264-2023</t>
        </is>
      </c>
      <c r="B847" s="1" t="n">
        <v>45075</v>
      </c>
      <c r="C847" s="1" t="n">
        <v>46012</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23267-2023</t>
        </is>
      </c>
      <c r="B848" s="1" t="n">
        <v>45075.90934027778</v>
      </c>
      <c r="C848" s="1" t="n">
        <v>46012</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25654-2023</t>
        </is>
      </c>
      <c r="B849" s="1" t="n">
        <v>45089</v>
      </c>
      <c r="C849" s="1" t="n">
        <v>46012</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47758-2023</t>
        </is>
      </c>
      <c r="B850" s="1" t="n">
        <v>45203.83891203703</v>
      </c>
      <c r="C850" s="1" t="n">
        <v>46012</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48151-2024</t>
        </is>
      </c>
      <c r="B851" s="1" t="n">
        <v>45589.68289351852</v>
      </c>
      <c r="C851" s="1" t="n">
        <v>46012</v>
      </c>
      <c r="D851" t="inlineStr">
        <is>
          <t>STOCKHOLMS LÄN</t>
        </is>
      </c>
      <c r="E851" t="inlineStr">
        <is>
          <t>NORRTÄLJE</t>
        </is>
      </c>
      <c r="G851" t="n">
        <v>1.6</v>
      </c>
      <c r="H851" t="n">
        <v>0</v>
      </c>
      <c r="I851" t="n">
        <v>0</v>
      </c>
      <c r="J851" t="n">
        <v>0</v>
      </c>
      <c r="K851" t="n">
        <v>0</v>
      </c>
      <c r="L851" t="n">
        <v>0</v>
      </c>
      <c r="M851" t="n">
        <v>0</v>
      </c>
      <c r="N851" t="n">
        <v>0</v>
      </c>
      <c r="O851" t="n">
        <v>0</v>
      </c>
      <c r="P851" t="n">
        <v>0</v>
      </c>
      <c r="Q851" t="n">
        <v>0</v>
      </c>
      <c r="R851" s="2" t="inlineStr"/>
    </row>
    <row r="852" ht="15" customHeight="1">
      <c r="A852" t="inlineStr">
        <is>
          <t>A 5831-2022</t>
        </is>
      </c>
      <c r="B852" s="1" t="n">
        <v>44596</v>
      </c>
      <c r="C852" s="1" t="n">
        <v>46012</v>
      </c>
      <c r="D852" t="inlineStr">
        <is>
          <t>STOCKHOLMS LÄN</t>
        </is>
      </c>
      <c r="E852" t="inlineStr">
        <is>
          <t>NORRTÄLJE</t>
        </is>
      </c>
      <c r="G852" t="n">
        <v>4.8</v>
      </c>
      <c r="H852" t="n">
        <v>0</v>
      </c>
      <c r="I852" t="n">
        <v>0</v>
      </c>
      <c r="J852" t="n">
        <v>0</v>
      </c>
      <c r="K852" t="n">
        <v>0</v>
      </c>
      <c r="L852" t="n">
        <v>0</v>
      </c>
      <c r="M852" t="n">
        <v>0</v>
      </c>
      <c r="N852" t="n">
        <v>0</v>
      </c>
      <c r="O852" t="n">
        <v>0</v>
      </c>
      <c r="P852" t="n">
        <v>0</v>
      </c>
      <c r="Q852" t="n">
        <v>0</v>
      </c>
      <c r="R852" s="2" t="inlineStr"/>
    </row>
    <row r="853" ht="15" customHeight="1">
      <c r="A853" t="inlineStr">
        <is>
          <t>A 58853-2024</t>
        </is>
      </c>
      <c r="B853" s="1" t="n">
        <v>45636.38974537037</v>
      </c>
      <c r="C853" s="1" t="n">
        <v>46012</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59712-2024</t>
        </is>
      </c>
      <c r="B854" s="1" t="n">
        <v>45639.45166666667</v>
      </c>
      <c r="C854" s="1" t="n">
        <v>46012</v>
      </c>
      <c r="D854" t="inlineStr">
        <is>
          <t>STOCKHOLMS LÄN</t>
        </is>
      </c>
      <c r="E854" t="inlineStr">
        <is>
          <t>NORRTÄLJE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59721-2024</t>
        </is>
      </c>
      <c r="B855" s="1" t="n">
        <v>45639.47385416667</v>
      </c>
      <c r="C855" s="1" t="n">
        <v>46012</v>
      </c>
      <c r="D855" t="inlineStr">
        <is>
          <t>STOCKHOLMS LÄN</t>
        </is>
      </c>
      <c r="E855" t="inlineStr">
        <is>
          <t>NORRTÄLJE</t>
        </is>
      </c>
      <c r="G855" t="n">
        <v>4.6</v>
      </c>
      <c r="H855" t="n">
        <v>0</v>
      </c>
      <c r="I855" t="n">
        <v>0</v>
      </c>
      <c r="J855" t="n">
        <v>0</v>
      </c>
      <c r="K855" t="n">
        <v>0</v>
      </c>
      <c r="L855" t="n">
        <v>0</v>
      </c>
      <c r="M855" t="n">
        <v>0</v>
      </c>
      <c r="N855" t="n">
        <v>0</v>
      </c>
      <c r="O855" t="n">
        <v>0</v>
      </c>
      <c r="P855" t="n">
        <v>0</v>
      </c>
      <c r="Q855" t="n">
        <v>0</v>
      </c>
      <c r="R855" s="2" t="inlineStr"/>
    </row>
    <row r="856" ht="15" customHeight="1">
      <c r="A856" t="inlineStr">
        <is>
          <t>A 60884-2024</t>
        </is>
      </c>
      <c r="B856" s="1" t="n">
        <v>45644.90815972222</v>
      </c>
      <c r="C856" s="1" t="n">
        <v>46012</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23150-2024</t>
        </is>
      </c>
      <c r="B857" s="1" t="n">
        <v>45450.64643518518</v>
      </c>
      <c r="C857" s="1" t="n">
        <v>46012</v>
      </c>
      <c r="D857" t="inlineStr">
        <is>
          <t>STOCKHOLMS LÄN</t>
        </is>
      </c>
      <c r="E857" t="inlineStr">
        <is>
          <t>NORRTÄLJE</t>
        </is>
      </c>
      <c r="F857" t="inlineStr">
        <is>
          <t>Kommuner</t>
        </is>
      </c>
      <c r="G857" t="n">
        <v>2.7</v>
      </c>
      <c r="H857" t="n">
        <v>0</v>
      </c>
      <c r="I857" t="n">
        <v>0</v>
      </c>
      <c r="J857" t="n">
        <v>0</v>
      </c>
      <c r="K857" t="n">
        <v>0</v>
      </c>
      <c r="L857" t="n">
        <v>0</v>
      </c>
      <c r="M857" t="n">
        <v>0</v>
      </c>
      <c r="N857" t="n">
        <v>0</v>
      </c>
      <c r="O857" t="n">
        <v>0</v>
      </c>
      <c r="P857" t="n">
        <v>0</v>
      </c>
      <c r="Q857" t="n">
        <v>0</v>
      </c>
      <c r="R857" s="2" t="inlineStr"/>
    </row>
    <row r="858" ht="15" customHeight="1">
      <c r="A858" t="inlineStr">
        <is>
          <t>A 59878-2024</t>
        </is>
      </c>
      <c r="B858" s="1" t="n">
        <v>45640.60240740741</v>
      </c>
      <c r="C858" s="1" t="n">
        <v>46012</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50182-2024</t>
        </is>
      </c>
      <c r="B859" s="1" t="n">
        <v>45600.47275462963</v>
      </c>
      <c r="C859" s="1" t="n">
        <v>46012</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2549-2022</t>
        </is>
      </c>
      <c r="B860" s="1" t="n">
        <v>44580</v>
      </c>
      <c r="C860" s="1" t="n">
        <v>46012</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31140-2023</t>
        </is>
      </c>
      <c r="B861" s="1" t="n">
        <v>45113</v>
      </c>
      <c r="C861" s="1" t="n">
        <v>46012</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31149-2023</t>
        </is>
      </c>
      <c r="B862" s="1" t="n">
        <v>45113</v>
      </c>
      <c r="C862" s="1" t="n">
        <v>46012</v>
      </c>
      <c r="D862" t="inlineStr">
        <is>
          <t>STOCKHOLMS LÄN</t>
        </is>
      </c>
      <c r="E862" t="inlineStr">
        <is>
          <t>NORRTÄLJE</t>
        </is>
      </c>
      <c r="G862" t="n">
        <v>7.1</v>
      </c>
      <c r="H862" t="n">
        <v>0</v>
      </c>
      <c r="I862" t="n">
        <v>0</v>
      </c>
      <c r="J862" t="n">
        <v>0</v>
      </c>
      <c r="K862" t="n">
        <v>0</v>
      </c>
      <c r="L862" t="n">
        <v>0</v>
      </c>
      <c r="M862" t="n">
        <v>0</v>
      </c>
      <c r="N862" t="n">
        <v>0</v>
      </c>
      <c r="O862" t="n">
        <v>0</v>
      </c>
      <c r="P862" t="n">
        <v>0</v>
      </c>
      <c r="Q862" t="n">
        <v>0</v>
      </c>
      <c r="R862" s="2" t="inlineStr"/>
    </row>
    <row r="863" ht="15" customHeight="1">
      <c r="A863" t="inlineStr">
        <is>
          <t>A 16835-2022</t>
        </is>
      </c>
      <c r="B863" s="1" t="n">
        <v>44673</v>
      </c>
      <c r="C863" s="1" t="n">
        <v>46012</v>
      </c>
      <c r="D863" t="inlineStr">
        <is>
          <t>STOCKHOLMS LÄN</t>
        </is>
      </c>
      <c r="E863" t="inlineStr">
        <is>
          <t>NORRTÄLJE</t>
        </is>
      </c>
      <c r="G863" t="n">
        <v>0.9</v>
      </c>
      <c r="H863" t="n">
        <v>0</v>
      </c>
      <c r="I863" t="n">
        <v>0</v>
      </c>
      <c r="J863" t="n">
        <v>0</v>
      </c>
      <c r="K863" t="n">
        <v>0</v>
      </c>
      <c r="L863" t="n">
        <v>0</v>
      </c>
      <c r="M863" t="n">
        <v>0</v>
      </c>
      <c r="N863" t="n">
        <v>0</v>
      </c>
      <c r="O863" t="n">
        <v>0</v>
      </c>
      <c r="P863" t="n">
        <v>0</v>
      </c>
      <c r="Q863" t="n">
        <v>0</v>
      </c>
      <c r="R863" s="2" t="inlineStr"/>
    </row>
    <row r="864" ht="15" customHeight="1">
      <c r="A864" t="inlineStr">
        <is>
          <t>A 13701-2022</t>
        </is>
      </c>
      <c r="B864" s="1" t="n">
        <v>44648</v>
      </c>
      <c r="C864" s="1" t="n">
        <v>46012</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13089-2022</t>
        </is>
      </c>
      <c r="B865" s="1" t="n">
        <v>44643</v>
      </c>
      <c r="C865" s="1" t="n">
        <v>46012</v>
      </c>
      <c r="D865" t="inlineStr">
        <is>
          <t>STOCKHOLMS LÄN</t>
        </is>
      </c>
      <c r="E865" t="inlineStr">
        <is>
          <t>NORRTÄLJE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38759-2022</t>
        </is>
      </c>
      <c r="B866" s="1" t="n">
        <v>44816</v>
      </c>
      <c r="C866" s="1" t="n">
        <v>46012</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23998-2024</t>
        </is>
      </c>
      <c r="B867" s="1" t="n">
        <v>45456</v>
      </c>
      <c r="C867" s="1" t="n">
        <v>46012</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54504-2024</t>
        </is>
      </c>
      <c r="B868" s="1" t="n">
        <v>45617.58453703704</v>
      </c>
      <c r="C868" s="1" t="n">
        <v>46012</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32595-2023</t>
        </is>
      </c>
      <c r="B869" s="1" t="n">
        <v>45121</v>
      </c>
      <c r="C869" s="1" t="n">
        <v>46012</v>
      </c>
      <c r="D869" t="inlineStr">
        <is>
          <t>STOCKHOLMS LÄN</t>
        </is>
      </c>
      <c r="E869" t="inlineStr">
        <is>
          <t>NORRTÄLJE</t>
        </is>
      </c>
      <c r="G869" t="n">
        <v>2.4</v>
      </c>
      <c r="H869" t="n">
        <v>0</v>
      </c>
      <c r="I869" t="n">
        <v>0</v>
      </c>
      <c r="J869" t="n">
        <v>0</v>
      </c>
      <c r="K869" t="n">
        <v>0</v>
      </c>
      <c r="L869" t="n">
        <v>0</v>
      </c>
      <c r="M869" t="n">
        <v>0</v>
      </c>
      <c r="N869" t="n">
        <v>0</v>
      </c>
      <c r="O869" t="n">
        <v>0</v>
      </c>
      <c r="P869" t="n">
        <v>0</v>
      </c>
      <c r="Q869" t="n">
        <v>0</v>
      </c>
      <c r="R869" s="2" t="inlineStr"/>
    </row>
    <row r="870" ht="15" customHeight="1">
      <c r="A870" t="inlineStr">
        <is>
          <t>A 11332-2025</t>
        </is>
      </c>
      <c r="B870" s="1" t="n">
        <v>45726.48152777777</v>
      </c>
      <c r="C870" s="1" t="n">
        <v>46012</v>
      </c>
      <c r="D870" t="inlineStr">
        <is>
          <t>STOCKHOLMS LÄN</t>
        </is>
      </c>
      <c r="E870" t="inlineStr">
        <is>
          <t>NORRTÄLJE</t>
        </is>
      </c>
      <c r="G870" t="n">
        <v>4.6</v>
      </c>
      <c r="H870" t="n">
        <v>0</v>
      </c>
      <c r="I870" t="n">
        <v>0</v>
      </c>
      <c r="J870" t="n">
        <v>0</v>
      </c>
      <c r="K870" t="n">
        <v>0</v>
      </c>
      <c r="L870" t="n">
        <v>0</v>
      </c>
      <c r="M870" t="n">
        <v>0</v>
      </c>
      <c r="N870" t="n">
        <v>0</v>
      </c>
      <c r="O870" t="n">
        <v>0</v>
      </c>
      <c r="P870" t="n">
        <v>0</v>
      </c>
      <c r="Q870" t="n">
        <v>0</v>
      </c>
      <c r="R870" s="2" t="inlineStr"/>
    </row>
    <row r="871" ht="15" customHeight="1">
      <c r="A871" t="inlineStr">
        <is>
          <t>A 13718-2022</t>
        </is>
      </c>
      <c r="B871" s="1" t="n">
        <v>44649</v>
      </c>
      <c r="C871" s="1" t="n">
        <v>46012</v>
      </c>
      <c r="D871" t="inlineStr">
        <is>
          <t>STOCKHOLMS LÄN</t>
        </is>
      </c>
      <c r="E871" t="inlineStr">
        <is>
          <t>NORRTÄLJE</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54259-2023</t>
        </is>
      </c>
      <c r="B872" s="1" t="n">
        <v>45232</v>
      </c>
      <c r="C872" s="1" t="n">
        <v>46012</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13171-2025</t>
        </is>
      </c>
      <c r="B873" s="1" t="n">
        <v>45735.36594907408</v>
      </c>
      <c r="C873" s="1" t="n">
        <v>46012</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12299-2025</t>
        </is>
      </c>
      <c r="B874" s="1" t="n">
        <v>45729.71065972222</v>
      </c>
      <c r="C874" s="1" t="n">
        <v>46012</v>
      </c>
      <c r="D874" t="inlineStr">
        <is>
          <t>STOCKHOLMS LÄN</t>
        </is>
      </c>
      <c r="E874" t="inlineStr">
        <is>
          <t>NORRTÄLJE</t>
        </is>
      </c>
      <c r="F874" t="inlineStr">
        <is>
          <t>Holmen skog AB</t>
        </is>
      </c>
      <c r="G874" t="n">
        <v>6.9</v>
      </c>
      <c r="H874" t="n">
        <v>0</v>
      </c>
      <c r="I874" t="n">
        <v>0</v>
      </c>
      <c r="J874" t="n">
        <v>0</v>
      </c>
      <c r="K874" t="n">
        <v>0</v>
      </c>
      <c r="L874" t="n">
        <v>0</v>
      </c>
      <c r="M874" t="n">
        <v>0</v>
      </c>
      <c r="N874" t="n">
        <v>0</v>
      </c>
      <c r="O874" t="n">
        <v>0</v>
      </c>
      <c r="P874" t="n">
        <v>0</v>
      </c>
      <c r="Q874" t="n">
        <v>0</v>
      </c>
      <c r="R874" s="2" t="inlineStr"/>
    </row>
    <row r="875" ht="15" customHeight="1">
      <c r="A875" t="inlineStr">
        <is>
          <t>A 11900-2024</t>
        </is>
      </c>
      <c r="B875" s="1" t="n">
        <v>45376.55484953704</v>
      </c>
      <c r="C875" s="1" t="n">
        <v>46012</v>
      </c>
      <c r="D875" t="inlineStr">
        <is>
          <t>STOCKHOLMS LÄN</t>
        </is>
      </c>
      <c r="E875" t="inlineStr">
        <is>
          <t>NORRTÄLJE</t>
        </is>
      </c>
      <c r="G875" t="n">
        <v>4.2</v>
      </c>
      <c r="H875" t="n">
        <v>0</v>
      </c>
      <c r="I875" t="n">
        <v>0</v>
      </c>
      <c r="J875" t="n">
        <v>0</v>
      </c>
      <c r="K875" t="n">
        <v>0</v>
      </c>
      <c r="L875" t="n">
        <v>0</v>
      </c>
      <c r="M875" t="n">
        <v>0</v>
      </c>
      <c r="N875" t="n">
        <v>0</v>
      </c>
      <c r="O875" t="n">
        <v>0</v>
      </c>
      <c r="P875" t="n">
        <v>0</v>
      </c>
      <c r="Q875" t="n">
        <v>0</v>
      </c>
      <c r="R875" s="2" t="inlineStr"/>
    </row>
    <row r="876" ht="15" customHeight="1">
      <c r="A876" t="inlineStr">
        <is>
          <t>A 43300-2023</t>
        </is>
      </c>
      <c r="B876" s="1" t="n">
        <v>45183</v>
      </c>
      <c r="C876" s="1" t="n">
        <v>46012</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13276-2022</t>
        </is>
      </c>
      <c r="B877" s="1" t="n">
        <v>44644</v>
      </c>
      <c r="C877" s="1" t="n">
        <v>46012</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11900-2022</t>
        </is>
      </c>
      <c r="B878" s="1" t="n">
        <v>44635</v>
      </c>
      <c r="C878" s="1" t="n">
        <v>46012</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14724-2022</t>
        </is>
      </c>
      <c r="B879" s="1" t="n">
        <v>44656</v>
      </c>
      <c r="C879" s="1" t="n">
        <v>46012</v>
      </c>
      <c r="D879" t="inlineStr">
        <is>
          <t>STOCKHOLMS LÄN</t>
        </is>
      </c>
      <c r="E879" t="inlineStr">
        <is>
          <t>NORRTÄLJE</t>
        </is>
      </c>
      <c r="F879" t="inlineStr">
        <is>
          <t>Sveaskog</t>
        </is>
      </c>
      <c r="G879" t="n">
        <v>9</v>
      </c>
      <c r="H879" t="n">
        <v>0</v>
      </c>
      <c r="I879" t="n">
        <v>0</v>
      </c>
      <c r="J879" t="n">
        <v>0</v>
      </c>
      <c r="K879" t="n">
        <v>0</v>
      </c>
      <c r="L879" t="n">
        <v>0</v>
      </c>
      <c r="M879" t="n">
        <v>0</v>
      </c>
      <c r="N879" t="n">
        <v>0</v>
      </c>
      <c r="O879" t="n">
        <v>0</v>
      </c>
      <c r="P879" t="n">
        <v>0</v>
      </c>
      <c r="Q879" t="n">
        <v>0</v>
      </c>
      <c r="R879" s="2" t="inlineStr"/>
    </row>
    <row r="880" ht="15" customHeight="1">
      <c r="A880" t="inlineStr">
        <is>
          <t>A 4580-2025</t>
        </is>
      </c>
      <c r="B880" s="1" t="n">
        <v>45687.5038425926</v>
      </c>
      <c r="C880" s="1" t="n">
        <v>46012</v>
      </c>
      <c r="D880" t="inlineStr">
        <is>
          <t>STOCKHOLMS LÄN</t>
        </is>
      </c>
      <c r="E880" t="inlineStr">
        <is>
          <t>NORRTÄLJE</t>
        </is>
      </c>
      <c r="F880" t="inlineStr">
        <is>
          <t>Holmen skog AB</t>
        </is>
      </c>
      <c r="G880" t="n">
        <v>4.8</v>
      </c>
      <c r="H880" t="n">
        <v>0</v>
      </c>
      <c r="I880" t="n">
        <v>0</v>
      </c>
      <c r="J880" t="n">
        <v>0</v>
      </c>
      <c r="K880" t="n">
        <v>0</v>
      </c>
      <c r="L880" t="n">
        <v>0</v>
      </c>
      <c r="M880" t="n">
        <v>0</v>
      </c>
      <c r="N880" t="n">
        <v>0</v>
      </c>
      <c r="O880" t="n">
        <v>0</v>
      </c>
      <c r="P880" t="n">
        <v>0</v>
      </c>
      <c r="Q880" t="n">
        <v>0</v>
      </c>
      <c r="R880" s="2" t="inlineStr"/>
    </row>
    <row r="881" ht="15" customHeight="1">
      <c r="A881" t="inlineStr">
        <is>
          <t>A 16202-2022</t>
        </is>
      </c>
      <c r="B881" s="1" t="n">
        <v>44670</v>
      </c>
      <c r="C881" s="1" t="n">
        <v>46012</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6003-2025</t>
        </is>
      </c>
      <c r="B882" s="1" t="n">
        <v>45695.57881944445</v>
      </c>
      <c r="C882" s="1" t="n">
        <v>46012</v>
      </c>
      <c r="D882" t="inlineStr">
        <is>
          <t>STOCKHOLMS LÄN</t>
        </is>
      </c>
      <c r="E882" t="inlineStr">
        <is>
          <t>NORRTÄLJE</t>
        </is>
      </c>
      <c r="F882" t="inlineStr">
        <is>
          <t>Holmen skog AB</t>
        </is>
      </c>
      <c r="G882" t="n">
        <v>2.3</v>
      </c>
      <c r="H882" t="n">
        <v>0</v>
      </c>
      <c r="I882" t="n">
        <v>0</v>
      </c>
      <c r="J882" t="n">
        <v>0</v>
      </c>
      <c r="K882" t="n">
        <v>0</v>
      </c>
      <c r="L882" t="n">
        <v>0</v>
      </c>
      <c r="M882" t="n">
        <v>0</v>
      </c>
      <c r="N882" t="n">
        <v>0</v>
      </c>
      <c r="O882" t="n">
        <v>0</v>
      </c>
      <c r="P882" t="n">
        <v>0</v>
      </c>
      <c r="Q882" t="n">
        <v>0</v>
      </c>
      <c r="R882" s="2" t="inlineStr"/>
    </row>
    <row r="883" ht="15" customHeight="1">
      <c r="A883" t="inlineStr">
        <is>
          <t>A 52321-2024</t>
        </is>
      </c>
      <c r="B883" s="1" t="n">
        <v>45608</v>
      </c>
      <c r="C883" s="1" t="n">
        <v>46012</v>
      </c>
      <c r="D883" t="inlineStr">
        <is>
          <t>STOCKHOLMS LÄN</t>
        </is>
      </c>
      <c r="E883" t="inlineStr">
        <is>
          <t>NORRTÄLJE</t>
        </is>
      </c>
      <c r="G883" t="n">
        <v>18.1</v>
      </c>
      <c r="H883" t="n">
        <v>0</v>
      </c>
      <c r="I883" t="n">
        <v>0</v>
      </c>
      <c r="J883" t="n">
        <v>0</v>
      </c>
      <c r="K883" t="n">
        <v>0</v>
      </c>
      <c r="L883" t="n">
        <v>0</v>
      </c>
      <c r="M883" t="n">
        <v>0</v>
      </c>
      <c r="N883" t="n">
        <v>0</v>
      </c>
      <c r="O883" t="n">
        <v>0</v>
      </c>
      <c r="P883" t="n">
        <v>0</v>
      </c>
      <c r="Q883" t="n">
        <v>0</v>
      </c>
      <c r="R883" s="2" t="inlineStr"/>
    </row>
    <row r="884" ht="15" customHeight="1">
      <c r="A884" t="inlineStr">
        <is>
          <t>A 54558-2024</t>
        </is>
      </c>
      <c r="B884" s="1" t="n">
        <v>45617.62358796296</v>
      </c>
      <c r="C884" s="1" t="n">
        <v>46012</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22157-2023</t>
        </is>
      </c>
      <c r="B885" s="1" t="n">
        <v>45069</v>
      </c>
      <c r="C885" s="1" t="n">
        <v>46012</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c r="U885">
        <f>HYPERLINK("https://klasma.github.io/Logging_0188/knärot/A 22157-2023 karta knärot.png", "A 22157-2023")</f>
        <v/>
      </c>
      <c r="V885">
        <f>HYPERLINK("https://klasma.github.io/Logging_0188/klagomål/A 22157-2023 FSC-klagomål.docx", "A 22157-2023")</f>
        <v/>
      </c>
      <c r="W885">
        <f>HYPERLINK("https://klasma.github.io/Logging_0188/klagomålsmail/A 22157-2023 FSC-klagomål mail.docx", "A 22157-2023")</f>
        <v/>
      </c>
      <c r="X885">
        <f>HYPERLINK("https://klasma.github.io/Logging_0188/tillsyn/A 22157-2023 tillsynsbegäran.docx", "A 22157-2023")</f>
        <v/>
      </c>
      <c r="Y885">
        <f>HYPERLINK("https://klasma.github.io/Logging_0188/tillsynsmail/A 22157-2023 tillsynsbegäran mail.docx", "A 22157-2023")</f>
        <v/>
      </c>
    </row>
    <row r="886" ht="15" customHeight="1">
      <c r="A886" t="inlineStr">
        <is>
          <t>A 48633-2023</t>
        </is>
      </c>
      <c r="B886" s="1" t="n">
        <v>45208.58004629629</v>
      </c>
      <c r="C886" s="1" t="n">
        <v>46012</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47419-2023</t>
        </is>
      </c>
      <c r="B887" s="1" t="n">
        <v>45202.65660879629</v>
      </c>
      <c r="C887" s="1" t="n">
        <v>46012</v>
      </c>
      <c r="D887" t="inlineStr">
        <is>
          <t>STOCKHOLMS LÄN</t>
        </is>
      </c>
      <c r="E887" t="inlineStr">
        <is>
          <t>NORRTÄLJE</t>
        </is>
      </c>
      <c r="G887" t="n">
        <v>11.4</v>
      </c>
      <c r="H887" t="n">
        <v>0</v>
      </c>
      <c r="I887" t="n">
        <v>0</v>
      </c>
      <c r="J887" t="n">
        <v>0</v>
      </c>
      <c r="K887" t="n">
        <v>0</v>
      </c>
      <c r="L887" t="n">
        <v>0</v>
      </c>
      <c r="M887" t="n">
        <v>0</v>
      </c>
      <c r="N887" t="n">
        <v>0</v>
      </c>
      <c r="O887" t="n">
        <v>0</v>
      </c>
      <c r="P887" t="n">
        <v>0</v>
      </c>
      <c r="Q887" t="n">
        <v>0</v>
      </c>
      <c r="R887" s="2" t="inlineStr"/>
    </row>
    <row r="888" ht="15" customHeight="1">
      <c r="A888" t="inlineStr">
        <is>
          <t>A 652-2025</t>
        </is>
      </c>
      <c r="B888" s="1" t="n">
        <v>45664</v>
      </c>
      <c r="C888" s="1" t="n">
        <v>46012</v>
      </c>
      <c r="D888" t="inlineStr">
        <is>
          <t>STOCKHOLMS LÄN</t>
        </is>
      </c>
      <c r="E888" t="inlineStr">
        <is>
          <t>NORRTÄLJE</t>
        </is>
      </c>
      <c r="G888" t="n">
        <v>2.5</v>
      </c>
      <c r="H888" t="n">
        <v>0</v>
      </c>
      <c r="I888" t="n">
        <v>0</v>
      </c>
      <c r="J888" t="n">
        <v>0</v>
      </c>
      <c r="K888" t="n">
        <v>0</v>
      </c>
      <c r="L888" t="n">
        <v>0</v>
      </c>
      <c r="M888" t="n">
        <v>0</v>
      </c>
      <c r="N888" t="n">
        <v>0</v>
      </c>
      <c r="O888" t="n">
        <v>0</v>
      </c>
      <c r="P888" t="n">
        <v>0</v>
      </c>
      <c r="Q888" t="n">
        <v>0</v>
      </c>
      <c r="R888" s="2" t="inlineStr"/>
    </row>
    <row r="889" ht="15" customHeight="1">
      <c r="A889" t="inlineStr">
        <is>
          <t>A 10653-2022</t>
        </is>
      </c>
      <c r="B889" s="1" t="n">
        <v>44624.59434027778</v>
      </c>
      <c r="C889" s="1" t="n">
        <v>46012</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35695-2023</t>
        </is>
      </c>
      <c r="B890" s="1" t="n">
        <v>45147.65407407407</v>
      </c>
      <c r="C890" s="1" t="n">
        <v>46012</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18665-2022</t>
        </is>
      </c>
      <c r="B891" s="1" t="n">
        <v>44687</v>
      </c>
      <c r="C891" s="1" t="n">
        <v>46012</v>
      </c>
      <c r="D891" t="inlineStr">
        <is>
          <t>STOCKHOLMS LÄN</t>
        </is>
      </c>
      <c r="E891" t="inlineStr">
        <is>
          <t>NORRTÄLJE</t>
        </is>
      </c>
      <c r="F891" t="inlineStr">
        <is>
          <t>Kyrkan</t>
        </is>
      </c>
      <c r="G891" t="n">
        <v>1.1</v>
      </c>
      <c r="H891" t="n">
        <v>0</v>
      </c>
      <c r="I891" t="n">
        <v>0</v>
      </c>
      <c r="J891" t="n">
        <v>0</v>
      </c>
      <c r="K891" t="n">
        <v>0</v>
      </c>
      <c r="L891" t="n">
        <v>0</v>
      </c>
      <c r="M891" t="n">
        <v>0</v>
      </c>
      <c r="N891" t="n">
        <v>0</v>
      </c>
      <c r="O891" t="n">
        <v>0</v>
      </c>
      <c r="P891" t="n">
        <v>0</v>
      </c>
      <c r="Q891" t="n">
        <v>0</v>
      </c>
      <c r="R891" s="2" t="inlineStr"/>
    </row>
    <row r="892" ht="15" customHeight="1">
      <c r="A892" t="inlineStr">
        <is>
          <t>A 17574-2025</t>
        </is>
      </c>
      <c r="B892" s="1" t="n">
        <v>45757.65178240741</v>
      </c>
      <c r="C892" s="1" t="n">
        <v>46012</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20370-2025</t>
        </is>
      </c>
      <c r="B893" s="1" t="n">
        <v>45775.41451388889</v>
      </c>
      <c r="C893" s="1" t="n">
        <v>46012</v>
      </c>
      <c r="D893" t="inlineStr">
        <is>
          <t>STOCKHOLMS LÄN</t>
        </is>
      </c>
      <c r="E893" t="inlineStr">
        <is>
          <t>NORRTÄLJE</t>
        </is>
      </c>
      <c r="G893" t="n">
        <v>2.9</v>
      </c>
      <c r="H893" t="n">
        <v>0</v>
      </c>
      <c r="I893" t="n">
        <v>0</v>
      </c>
      <c r="J893" t="n">
        <v>0</v>
      </c>
      <c r="K893" t="n">
        <v>0</v>
      </c>
      <c r="L893" t="n">
        <v>0</v>
      </c>
      <c r="M893" t="n">
        <v>0</v>
      </c>
      <c r="N893" t="n">
        <v>0</v>
      </c>
      <c r="O893" t="n">
        <v>0</v>
      </c>
      <c r="P893" t="n">
        <v>0</v>
      </c>
      <c r="Q893" t="n">
        <v>0</v>
      </c>
      <c r="R893" s="2" t="inlineStr"/>
    </row>
    <row r="894" ht="15" customHeight="1">
      <c r="A894" t="inlineStr">
        <is>
          <t>A 19982-2022</t>
        </is>
      </c>
      <c r="B894" s="1" t="n">
        <v>44697</v>
      </c>
      <c r="C894" s="1" t="n">
        <v>46012</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35438-2023</t>
        </is>
      </c>
      <c r="B895" s="1" t="n">
        <v>45146</v>
      </c>
      <c r="C895" s="1" t="n">
        <v>46012</v>
      </c>
      <c r="D895" t="inlineStr">
        <is>
          <t>STOCKHOLMS LÄN</t>
        </is>
      </c>
      <c r="E895" t="inlineStr">
        <is>
          <t>NORRTÄLJE</t>
        </is>
      </c>
      <c r="F895" t="inlineStr">
        <is>
          <t>Kommuner</t>
        </is>
      </c>
      <c r="G895" t="n">
        <v>1.9</v>
      </c>
      <c r="H895" t="n">
        <v>0</v>
      </c>
      <c r="I895" t="n">
        <v>0</v>
      </c>
      <c r="J895" t="n">
        <v>0</v>
      </c>
      <c r="K895" t="n">
        <v>0</v>
      </c>
      <c r="L895" t="n">
        <v>0</v>
      </c>
      <c r="M895" t="n">
        <v>0</v>
      </c>
      <c r="N895" t="n">
        <v>0</v>
      </c>
      <c r="O895" t="n">
        <v>0</v>
      </c>
      <c r="P895" t="n">
        <v>0</v>
      </c>
      <c r="Q895" t="n">
        <v>0</v>
      </c>
      <c r="R895" s="2" t="inlineStr"/>
    </row>
    <row r="896" ht="15" customHeight="1">
      <c r="A896" t="inlineStr">
        <is>
          <t>A 33878-2024</t>
        </is>
      </c>
      <c r="B896" s="1" t="n">
        <v>45522.44414351852</v>
      </c>
      <c r="C896" s="1" t="n">
        <v>46012</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4183-2025</t>
        </is>
      </c>
      <c r="B897" s="1" t="n">
        <v>45685.44592592592</v>
      </c>
      <c r="C897" s="1" t="n">
        <v>46012</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17556-2025</t>
        </is>
      </c>
      <c r="B898" s="1" t="n">
        <v>45757.62482638889</v>
      </c>
      <c r="C898" s="1" t="n">
        <v>46012</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41335-2023</t>
        </is>
      </c>
      <c r="B899" s="1" t="n">
        <v>45174.68702546296</v>
      </c>
      <c r="C899" s="1" t="n">
        <v>46012</v>
      </c>
      <c r="D899" t="inlineStr">
        <is>
          <t>STOCKHOLMS LÄN</t>
        </is>
      </c>
      <c r="E899" t="inlineStr">
        <is>
          <t>NORRTÄLJE</t>
        </is>
      </c>
      <c r="F899" t="inlineStr">
        <is>
          <t>Holmen skog AB</t>
        </is>
      </c>
      <c r="G899" t="n">
        <v>4.4</v>
      </c>
      <c r="H899" t="n">
        <v>0</v>
      </c>
      <c r="I899" t="n">
        <v>0</v>
      </c>
      <c r="J899" t="n">
        <v>0</v>
      </c>
      <c r="K899" t="n">
        <v>0</v>
      </c>
      <c r="L899" t="n">
        <v>0</v>
      </c>
      <c r="M899" t="n">
        <v>0</v>
      </c>
      <c r="N899" t="n">
        <v>0</v>
      </c>
      <c r="O899" t="n">
        <v>0</v>
      </c>
      <c r="P899" t="n">
        <v>0</v>
      </c>
      <c r="Q899" t="n">
        <v>0</v>
      </c>
      <c r="R899" s="2" t="inlineStr"/>
    </row>
    <row r="900" ht="15" customHeight="1">
      <c r="A900" t="inlineStr">
        <is>
          <t>A 4484-2025</t>
        </is>
      </c>
      <c r="B900" s="1" t="n">
        <v>45686.65545138889</v>
      </c>
      <c r="C900" s="1" t="n">
        <v>46012</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8419-2025</t>
        </is>
      </c>
      <c r="B901" s="1" t="n">
        <v>45709.40231481481</v>
      </c>
      <c r="C901" s="1" t="n">
        <v>46012</v>
      </c>
      <c r="D901" t="inlineStr">
        <is>
          <t>STOCKHOLMS LÄN</t>
        </is>
      </c>
      <c r="E901" t="inlineStr">
        <is>
          <t>NORRTÄLJE</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21480-2022</t>
        </is>
      </c>
      <c r="B902" s="1" t="n">
        <v>44704</v>
      </c>
      <c r="C902" s="1" t="n">
        <v>46012</v>
      </c>
      <c r="D902" t="inlineStr">
        <is>
          <t>STOCKHOLMS LÄN</t>
        </is>
      </c>
      <c r="E902" t="inlineStr">
        <is>
          <t>NORRTÄLJE</t>
        </is>
      </c>
      <c r="G902" t="n">
        <v>2.8</v>
      </c>
      <c r="H902" t="n">
        <v>0</v>
      </c>
      <c r="I902" t="n">
        <v>0</v>
      </c>
      <c r="J902" t="n">
        <v>0</v>
      </c>
      <c r="K902" t="n">
        <v>0</v>
      </c>
      <c r="L902" t="n">
        <v>0</v>
      </c>
      <c r="M902" t="n">
        <v>0</v>
      </c>
      <c r="N902" t="n">
        <v>0</v>
      </c>
      <c r="O902" t="n">
        <v>0</v>
      </c>
      <c r="P902" t="n">
        <v>0</v>
      </c>
      <c r="Q902" t="n">
        <v>0</v>
      </c>
      <c r="R902" s="2" t="inlineStr"/>
    </row>
    <row r="903" ht="15" customHeight="1">
      <c r="A903" t="inlineStr">
        <is>
          <t>A 1654-2025</t>
        </is>
      </c>
      <c r="B903" s="1" t="n">
        <v>45670.65921296296</v>
      </c>
      <c r="C903" s="1" t="n">
        <v>46012</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48686-2023</t>
        </is>
      </c>
      <c r="B904" s="1" t="n">
        <v>45208</v>
      </c>
      <c r="C904" s="1" t="n">
        <v>46012</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48691-2023</t>
        </is>
      </c>
      <c r="B905" s="1" t="n">
        <v>45208</v>
      </c>
      <c r="C905" s="1" t="n">
        <v>46012</v>
      </c>
      <c r="D905" t="inlineStr">
        <is>
          <t>STOCKHOLMS LÄN</t>
        </is>
      </c>
      <c r="E905" t="inlineStr">
        <is>
          <t>NORRTÄLJE</t>
        </is>
      </c>
      <c r="G905" t="n">
        <v>5.8</v>
      </c>
      <c r="H905" t="n">
        <v>0</v>
      </c>
      <c r="I905" t="n">
        <v>0</v>
      </c>
      <c r="J905" t="n">
        <v>0</v>
      </c>
      <c r="K905" t="n">
        <v>0</v>
      </c>
      <c r="L905" t="n">
        <v>0</v>
      </c>
      <c r="M905" t="n">
        <v>0</v>
      </c>
      <c r="N905" t="n">
        <v>0</v>
      </c>
      <c r="O905" t="n">
        <v>0</v>
      </c>
      <c r="P905" t="n">
        <v>0</v>
      </c>
      <c r="Q905" t="n">
        <v>0</v>
      </c>
      <c r="R905" s="2" t="inlineStr"/>
    </row>
    <row r="906" ht="15" customHeight="1">
      <c r="A906" t="inlineStr">
        <is>
          <t>A 55243-2023</t>
        </is>
      </c>
      <c r="B906" s="1" t="n">
        <v>45237</v>
      </c>
      <c r="C906" s="1" t="n">
        <v>46012</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35210-2023</t>
        </is>
      </c>
      <c r="B907" s="1" t="n">
        <v>45145.63584490741</v>
      </c>
      <c r="C907" s="1" t="n">
        <v>46012</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6678-2025</t>
        </is>
      </c>
      <c r="B908" s="1" t="n">
        <v>45700</v>
      </c>
      <c r="C908" s="1" t="n">
        <v>46012</v>
      </c>
      <c r="D908" t="inlineStr">
        <is>
          <t>STOCKHOLMS LÄN</t>
        </is>
      </c>
      <c r="E908" t="inlineStr">
        <is>
          <t>NORRTÄLJE</t>
        </is>
      </c>
      <c r="F908" t="inlineStr">
        <is>
          <t>Övriga Aktiebolag</t>
        </is>
      </c>
      <c r="G908" t="n">
        <v>6.6</v>
      </c>
      <c r="H908" t="n">
        <v>0</v>
      </c>
      <c r="I908" t="n">
        <v>0</v>
      </c>
      <c r="J908" t="n">
        <v>0</v>
      </c>
      <c r="K908" t="n">
        <v>0</v>
      </c>
      <c r="L908" t="n">
        <v>0</v>
      </c>
      <c r="M908" t="n">
        <v>0</v>
      </c>
      <c r="N908" t="n">
        <v>0</v>
      </c>
      <c r="O908" t="n">
        <v>0</v>
      </c>
      <c r="P908" t="n">
        <v>0</v>
      </c>
      <c r="Q908" t="n">
        <v>0</v>
      </c>
      <c r="R908" s="2" t="inlineStr"/>
    </row>
    <row r="909" ht="15" customHeight="1">
      <c r="A909" t="inlineStr">
        <is>
          <t>A 17612-2022</t>
        </is>
      </c>
      <c r="B909" s="1" t="n">
        <v>44680</v>
      </c>
      <c r="C909" s="1" t="n">
        <v>46012</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58297-2023</t>
        </is>
      </c>
      <c r="B910" s="1" t="n">
        <v>45245</v>
      </c>
      <c r="C910" s="1" t="n">
        <v>46012</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21726-2022</t>
        </is>
      </c>
      <c r="B911" s="1" t="n">
        <v>44708</v>
      </c>
      <c r="C911" s="1" t="n">
        <v>46012</v>
      </c>
      <c r="D911" t="inlineStr">
        <is>
          <t>STOCKHOLMS LÄN</t>
        </is>
      </c>
      <c r="E911" t="inlineStr">
        <is>
          <t>NORRTÄLJE</t>
        </is>
      </c>
      <c r="G911" t="n">
        <v>0.2</v>
      </c>
      <c r="H911" t="n">
        <v>0</v>
      </c>
      <c r="I911" t="n">
        <v>0</v>
      </c>
      <c r="J911" t="n">
        <v>0</v>
      </c>
      <c r="K911" t="n">
        <v>0</v>
      </c>
      <c r="L911" t="n">
        <v>0</v>
      </c>
      <c r="M911" t="n">
        <v>0</v>
      </c>
      <c r="N911" t="n">
        <v>0</v>
      </c>
      <c r="O911" t="n">
        <v>0</v>
      </c>
      <c r="P911" t="n">
        <v>0</v>
      </c>
      <c r="Q911" t="n">
        <v>0</v>
      </c>
      <c r="R911" s="2" t="inlineStr"/>
    </row>
    <row r="912" ht="15" customHeight="1">
      <c r="A912" t="inlineStr">
        <is>
          <t>A 21739-2022</t>
        </is>
      </c>
      <c r="B912" s="1" t="n">
        <v>44708.36708333333</v>
      </c>
      <c r="C912" s="1" t="n">
        <v>46012</v>
      </c>
      <c r="D912" t="inlineStr">
        <is>
          <t>STOCKHOLMS LÄN</t>
        </is>
      </c>
      <c r="E912" t="inlineStr">
        <is>
          <t>NORRTÄLJE</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28182-2022</t>
        </is>
      </c>
      <c r="B913" s="1" t="n">
        <v>44746.58530092592</v>
      </c>
      <c r="C913" s="1" t="n">
        <v>46012</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3283-2025</t>
        </is>
      </c>
      <c r="B914" s="1" t="n">
        <v>45679</v>
      </c>
      <c r="C914" s="1" t="n">
        <v>46012</v>
      </c>
      <c r="D914" t="inlineStr">
        <is>
          <t>STOCKHOLMS LÄN</t>
        </is>
      </c>
      <c r="E914" t="inlineStr">
        <is>
          <t>NORRTÄLJE</t>
        </is>
      </c>
      <c r="G914" t="n">
        <v>1.1</v>
      </c>
      <c r="H914" t="n">
        <v>0</v>
      </c>
      <c r="I914" t="n">
        <v>0</v>
      </c>
      <c r="J914" t="n">
        <v>0</v>
      </c>
      <c r="K914" t="n">
        <v>0</v>
      </c>
      <c r="L914" t="n">
        <v>0</v>
      </c>
      <c r="M914" t="n">
        <v>0</v>
      </c>
      <c r="N914" t="n">
        <v>0</v>
      </c>
      <c r="O914" t="n">
        <v>0</v>
      </c>
      <c r="P914" t="n">
        <v>0</v>
      </c>
      <c r="Q914" t="n">
        <v>0</v>
      </c>
      <c r="R914" s="2" t="inlineStr"/>
    </row>
    <row r="915" ht="15" customHeight="1">
      <c r="A915" t="inlineStr">
        <is>
          <t>A 18092-2022</t>
        </is>
      </c>
      <c r="B915" s="1" t="n">
        <v>44684</v>
      </c>
      <c r="C915" s="1" t="n">
        <v>46012</v>
      </c>
      <c r="D915" t="inlineStr">
        <is>
          <t>STOCKHOLMS LÄN</t>
        </is>
      </c>
      <c r="E915" t="inlineStr">
        <is>
          <t>NORRTÄLJE</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33295-2023</t>
        </is>
      </c>
      <c r="B916" s="1" t="n">
        <v>45127.69371527778</v>
      </c>
      <c r="C916" s="1" t="n">
        <v>46012</v>
      </c>
      <c r="D916" t="inlineStr">
        <is>
          <t>STOCKHOLMS LÄN</t>
        </is>
      </c>
      <c r="E916" t="inlineStr">
        <is>
          <t>NORRTÄLJE</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58404-2023</t>
        </is>
      </c>
      <c r="B917" s="1" t="n">
        <v>45245</v>
      </c>
      <c r="C917" s="1" t="n">
        <v>46012</v>
      </c>
      <c r="D917" t="inlineStr">
        <is>
          <t>STOCKHOLMS LÄN</t>
        </is>
      </c>
      <c r="E917" t="inlineStr">
        <is>
          <t>NORRTÄLJE</t>
        </is>
      </c>
      <c r="G917" t="n">
        <v>53.5</v>
      </c>
      <c r="H917" t="n">
        <v>0</v>
      </c>
      <c r="I917" t="n">
        <v>0</v>
      </c>
      <c r="J917" t="n">
        <v>0</v>
      </c>
      <c r="K917" t="n">
        <v>0</v>
      </c>
      <c r="L917" t="n">
        <v>0</v>
      </c>
      <c r="M917" t="n">
        <v>0</v>
      </c>
      <c r="N917" t="n">
        <v>0</v>
      </c>
      <c r="O917" t="n">
        <v>0</v>
      </c>
      <c r="P917" t="n">
        <v>0</v>
      </c>
      <c r="Q917" t="n">
        <v>0</v>
      </c>
      <c r="R917" s="2" t="inlineStr"/>
    </row>
    <row r="918" ht="15" customHeight="1">
      <c r="A918" t="inlineStr">
        <is>
          <t>A 27885-2022</t>
        </is>
      </c>
      <c r="B918" s="1" t="n">
        <v>44743.67418981482</v>
      </c>
      <c r="C918" s="1" t="n">
        <v>46012</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25525-2022</t>
        </is>
      </c>
      <c r="B919" s="1" t="n">
        <v>44732</v>
      </c>
      <c r="C919" s="1" t="n">
        <v>46012</v>
      </c>
      <c r="D919" t="inlineStr">
        <is>
          <t>STOCKHOLMS LÄN</t>
        </is>
      </c>
      <c r="E919" t="inlineStr">
        <is>
          <t>NORRTÄLJE</t>
        </is>
      </c>
      <c r="G919" t="n">
        <v>2.2</v>
      </c>
      <c r="H919" t="n">
        <v>0</v>
      </c>
      <c r="I919" t="n">
        <v>0</v>
      </c>
      <c r="J919" t="n">
        <v>0</v>
      </c>
      <c r="K919" t="n">
        <v>0</v>
      </c>
      <c r="L919" t="n">
        <v>0</v>
      </c>
      <c r="M919" t="n">
        <v>0</v>
      </c>
      <c r="N919" t="n">
        <v>0</v>
      </c>
      <c r="O919" t="n">
        <v>0</v>
      </c>
      <c r="P919" t="n">
        <v>0</v>
      </c>
      <c r="Q919" t="n">
        <v>0</v>
      </c>
      <c r="R919" s="2" t="inlineStr"/>
    </row>
    <row r="920" ht="15" customHeight="1">
      <c r="A920" t="inlineStr">
        <is>
          <t>A 48722-2023</t>
        </is>
      </c>
      <c r="B920" s="1" t="n">
        <v>45208.70996527778</v>
      </c>
      <c r="C920" s="1" t="n">
        <v>46012</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23801-2022</t>
        </is>
      </c>
      <c r="B921" s="1" t="n">
        <v>44722</v>
      </c>
      <c r="C921" s="1" t="n">
        <v>46012</v>
      </c>
      <c r="D921" t="inlineStr">
        <is>
          <t>STOCKHOLMS LÄN</t>
        </is>
      </c>
      <c r="E921" t="inlineStr">
        <is>
          <t>NORRTÄLJE</t>
        </is>
      </c>
      <c r="G921" t="n">
        <v>6.8</v>
      </c>
      <c r="H921" t="n">
        <v>0</v>
      </c>
      <c r="I921" t="n">
        <v>0</v>
      </c>
      <c r="J921" t="n">
        <v>0</v>
      </c>
      <c r="K921" t="n">
        <v>0</v>
      </c>
      <c r="L921" t="n">
        <v>0</v>
      </c>
      <c r="M921" t="n">
        <v>0</v>
      </c>
      <c r="N921" t="n">
        <v>0</v>
      </c>
      <c r="O921" t="n">
        <v>0</v>
      </c>
      <c r="P921" t="n">
        <v>0</v>
      </c>
      <c r="Q921" t="n">
        <v>0</v>
      </c>
      <c r="R921" s="2" t="inlineStr"/>
    </row>
    <row r="922" ht="15" customHeight="1">
      <c r="A922" t="inlineStr">
        <is>
          <t>A 33353-2023</t>
        </is>
      </c>
      <c r="B922" s="1" t="n">
        <v>45128</v>
      </c>
      <c r="C922" s="1" t="n">
        <v>46012</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44799.65013888889</v>
      </c>
      <c r="C923" s="1" t="n">
        <v>46012</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3426-2025</t>
        </is>
      </c>
      <c r="B924" s="1" t="n">
        <v>45680.42665509259</v>
      </c>
      <c r="C924" s="1" t="n">
        <v>46012</v>
      </c>
      <c r="D924" t="inlineStr">
        <is>
          <t>STOCKHOLMS LÄN</t>
        </is>
      </c>
      <c r="E924" t="inlineStr">
        <is>
          <t>NORRTÄLJE</t>
        </is>
      </c>
      <c r="G924" t="n">
        <v>3.2</v>
      </c>
      <c r="H924" t="n">
        <v>0</v>
      </c>
      <c r="I924" t="n">
        <v>0</v>
      </c>
      <c r="J924" t="n">
        <v>0</v>
      </c>
      <c r="K924" t="n">
        <v>0</v>
      </c>
      <c r="L924" t="n">
        <v>0</v>
      </c>
      <c r="M924" t="n">
        <v>0</v>
      </c>
      <c r="N924" t="n">
        <v>0</v>
      </c>
      <c r="O924" t="n">
        <v>0</v>
      </c>
      <c r="P924" t="n">
        <v>0</v>
      </c>
      <c r="Q924" t="n">
        <v>0</v>
      </c>
      <c r="R924" s="2" t="inlineStr"/>
    </row>
    <row r="925" ht="15" customHeight="1">
      <c r="A925" t="inlineStr">
        <is>
          <t>A 9-2024</t>
        </is>
      </c>
      <c r="B925" s="1" t="n">
        <v>45293</v>
      </c>
      <c r="C925" s="1" t="n">
        <v>46012</v>
      </c>
      <c r="D925" t="inlineStr">
        <is>
          <t>STOCKHOLMS LÄN</t>
        </is>
      </c>
      <c r="E925" t="inlineStr">
        <is>
          <t>NORRTÄLJE</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51312-2023</t>
        </is>
      </c>
      <c r="B926" s="1" t="n">
        <v>45219.56697916667</v>
      </c>
      <c r="C926" s="1" t="n">
        <v>46012</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11849-2025</t>
        </is>
      </c>
      <c r="B927" s="1" t="n">
        <v>45728.38409722222</v>
      </c>
      <c r="C927" s="1" t="n">
        <v>46012</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38610-2022</t>
        </is>
      </c>
      <c r="B928" s="1" t="n">
        <v>44813.59915509259</v>
      </c>
      <c r="C928" s="1" t="n">
        <v>46012</v>
      </c>
      <c r="D928" t="inlineStr">
        <is>
          <t>STOCKHOLMS LÄN</t>
        </is>
      </c>
      <c r="E928" t="inlineStr">
        <is>
          <t>NORRTÄLJE</t>
        </is>
      </c>
      <c r="G928" t="n">
        <v>1.9</v>
      </c>
      <c r="H928" t="n">
        <v>0</v>
      </c>
      <c r="I928" t="n">
        <v>0</v>
      </c>
      <c r="J928" t="n">
        <v>0</v>
      </c>
      <c r="K928" t="n">
        <v>0</v>
      </c>
      <c r="L928" t="n">
        <v>0</v>
      </c>
      <c r="M928" t="n">
        <v>0</v>
      </c>
      <c r="N928" t="n">
        <v>0</v>
      </c>
      <c r="O928" t="n">
        <v>0</v>
      </c>
      <c r="P928" t="n">
        <v>0</v>
      </c>
      <c r="Q928" t="n">
        <v>0</v>
      </c>
      <c r="R928" s="2" t="inlineStr"/>
    </row>
    <row r="929" ht="15" customHeight="1">
      <c r="A929" t="inlineStr">
        <is>
          <t>A 22816-2021</t>
        </is>
      </c>
      <c r="B929" s="1" t="n">
        <v>44325</v>
      </c>
      <c r="C929" s="1" t="n">
        <v>46012</v>
      </c>
      <c r="D929" t="inlineStr">
        <is>
          <t>STOCKHOLMS LÄN</t>
        </is>
      </c>
      <c r="E929" t="inlineStr">
        <is>
          <t>NORRTÄLJE</t>
        </is>
      </c>
      <c r="G929" t="n">
        <v>4.5</v>
      </c>
      <c r="H929" t="n">
        <v>0</v>
      </c>
      <c r="I929" t="n">
        <v>0</v>
      </c>
      <c r="J929" t="n">
        <v>0</v>
      </c>
      <c r="K929" t="n">
        <v>0</v>
      </c>
      <c r="L929" t="n">
        <v>0</v>
      </c>
      <c r="M929" t="n">
        <v>0</v>
      </c>
      <c r="N929" t="n">
        <v>0</v>
      </c>
      <c r="O929" t="n">
        <v>0</v>
      </c>
      <c r="P929" t="n">
        <v>0</v>
      </c>
      <c r="Q929" t="n">
        <v>0</v>
      </c>
      <c r="R929" s="2" t="inlineStr"/>
    </row>
    <row r="930" ht="15" customHeight="1">
      <c r="A930" t="inlineStr">
        <is>
          <t>A 59468-2023</t>
        </is>
      </c>
      <c r="B930" s="1" t="n">
        <v>45254.41509259259</v>
      </c>
      <c r="C930" s="1" t="n">
        <v>46012</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18846-2022</t>
        </is>
      </c>
      <c r="B931" s="1" t="n">
        <v>44690</v>
      </c>
      <c r="C931" s="1" t="n">
        <v>46012</v>
      </c>
      <c r="D931" t="inlineStr">
        <is>
          <t>STOCKHOLMS LÄN</t>
        </is>
      </c>
      <c r="E931" t="inlineStr">
        <is>
          <t>NORRTÄLJE</t>
        </is>
      </c>
      <c r="G931" t="n">
        <v>7</v>
      </c>
      <c r="H931" t="n">
        <v>0</v>
      </c>
      <c r="I931" t="n">
        <v>0</v>
      </c>
      <c r="J931" t="n">
        <v>0</v>
      </c>
      <c r="K931" t="n">
        <v>0</v>
      </c>
      <c r="L931" t="n">
        <v>0</v>
      </c>
      <c r="M931" t="n">
        <v>0</v>
      </c>
      <c r="N931" t="n">
        <v>0</v>
      </c>
      <c r="O931" t="n">
        <v>0</v>
      </c>
      <c r="P931" t="n">
        <v>0</v>
      </c>
      <c r="Q931" t="n">
        <v>0</v>
      </c>
      <c r="R931" s="2" t="inlineStr"/>
    </row>
    <row r="932" ht="15" customHeight="1">
      <c r="A932" t="inlineStr">
        <is>
          <t>A 12535-2025</t>
        </is>
      </c>
      <c r="B932" s="1" t="n">
        <v>45730.69502314815</v>
      </c>
      <c r="C932" s="1" t="n">
        <v>46012</v>
      </c>
      <c r="D932" t="inlineStr">
        <is>
          <t>STOCKHOLMS LÄN</t>
        </is>
      </c>
      <c r="E932" t="inlineStr">
        <is>
          <t>NORRTÄLJE</t>
        </is>
      </c>
      <c r="G932" t="n">
        <v>7.1</v>
      </c>
      <c r="H932" t="n">
        <v>0</v>
      </c>
      <c r="I932" t="n">
        <v>0</v>
      </c>
      <c r="J932" t="n">
        <v>0</v>
      </c>
      <c r="K932" t="n">
        <v>0</v>
      </c>
      <c r="L932" t="n">
        <v>0</v>
      </c>
      <c r="M932" t="n">
        <v>0</v>
      </c>
      <c r="N932" t="n">
        <v>0</v>
      </c>
      <c r="O932" t="n">
        <v>0</v>
      </c>
      <c r="P932" t="n">
        <v>0</v>
      </c>
      <c r="Q932" t="n">
        <v>0</v>
      </c>
      <c r="R932" s="2" t="inlineStr"/>
    </row>
    <row r="933" ht="15" customHeight="1">
      <c r="A933" t="inlineStr">
        <is>
          <t>A 574-2023</t>
        </is>
      </c>
      <c r="B933" s="1" t="n">
        <v>44925</v>
      </c>
      <c r="C933" s="1" t="n">
        <v>46012</v>
      </c>
      <c r="D933" t="inlineStr">
        <is>
          <t>STOCKHOLMS LÄN</t>
        </is>
      </c>
      <c r="E933" t="inlineStr">
        <is>
          <t>NORRTÄLJE</t>
        </is>
      </c>
      <c r="G933" t="n">
        <v>5</v>
      </c>
      <c r="H933" t="n">
        <v>0</v>
      </c>
      <c r="I933" t="n">
        <v>0</v>
      </c>
      <c r="J933" t="n">
        <v>0</v>
      </c>
      <c r="K933" t="n">
        <v>0</v>
      </c>
      <c r="L933" t="n">
        <v>0</v>
      </c>
      <c r="M933" t="n">
        <v>0</v>
      </c>
      <c r="N933" t="n">
        <v>0</v>
      </c>
      <c r="O933" t="n">
        <v>0</v>
      </c>
      <c r="P933" t="n">
        <v>0</v>
      </c>
      <c r="Q933" t="n">
        <v>0</v>
      </c>
      <c r="R933" s="2" t="inlineStr"/>
    </row>
    <row r="934" ht="15" customHeight="1">
      <c r="A934" t="inlineStr">
        <is>
          <t>A 37010-2022</t>
        </is>
      </c>
      <c r="B934" s="1" t="n">
        <v>44806.41576388889</v>
      </c>
      <c r="C934" s="1" t="n">
        <v>46012</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32705-2022</t>
        </is>
      </c>
      <c r="B935" s="1" t="n">
        <v>44783</v>
      </c>
      <c r="C935" s="1" t="n">
        <v>46012</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33149-2022</t>
        </is>
      </c>
      <c r="B936" s="1" t="n">
        <v>44785</v>
      </c>
      <c r="C936" s="1" t="n">
        <v>46012</v>
      </c>
      <c r="D936" t="inlineStr">
        <is>
          <t>STOCKHOLMS LÄN</t>
        </is>
      </c>
      <c r="E936" t="inlineStr">
        <is>
          <t>NORRTÄLJE</t>
        </is>
      </c>
      <c r="F936" t="inlineStr">
        <is>
          <t>Holmen skog AB</t>
        </is>
      </c>
      <c r="G936" t="n">
        <v>4.4</v>
      </c>
      <c r="H936" t="n">
        <v>0</v>
      </c>
      <c r="I936" t="n">
        <v>0</v>
      </c>
      <c r="J936" t="n">
        <v>0</v>
      </c>
      <c r="K936" t="n">
        <v>0</v>
      </c>
      <c r="L936" t="n">
        <v>0</v>
      </c>
      <c r="M936" t="n">
        <v>0</v>
      </c>
      <c r="N936" t="n">
        <v>0</v>
      </c>
      <c r="O936" t="n">
        <v>0</v>
      </c>
      <c r="P936" t="n">
        <v>0</v>
      </c>
      <c r="Q936" t="n">
        <v>0</v>
      </c>
      <c r="R936" s="2" t="inlineStr"/>
    </row>
    <row r="937" ht="15" customHeight="1">
      <c r="A937" t="inlineStr">
        <is>
          <t>A 14559-2024</t>
        </is>
      </c>
      <c r="B937" s="1" t="n">
        <v>45394.72869212963</v>
      </c>
      <c r="C937" s="1" t="n">
        <v>46012</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11-2024</t>
        </is>
      </c>
      <c r="B938" s="1" t="n">
        <v>45293</v>
      </c>
      <c r="C938" s="1" t="n">
        <v>46012</v>
      </c>
      <c r="D938" t="inlineStr">
        <is>
          <t>STOCKHOLMS LÄN</t>
        </is>
      </c>
      <c r="E938" t="inlineStr">
        <is>
          <t>NORRTÄLJE</t>
        </is>
      </c>
      <c r="F938" t="inlineStr">
        <is>
          <t>Sveaskog</t>
        </is>
      </c>
      <c r="G938" t="n">
        <v>3.2</v>
      </c>
      <c r="H938" t="n">
        <v>0</v>
      </c>
      <c r="I938" t="n">
        <v>0</v>
      </c>
      <c r="J938" t="n">
        <v>0</v>
      </c>
      <c r="K938" t="n">
        <v>0</v>
      </c>
      <c r="L938" t="n">
        <v>0</v>
      </c>
      <c r="M938" t="n">
        <v>0</v>
      </c>
      <c r="N938" t="n">
        <v>0</v>
      </c>
      <c r="O938" t="n">
        <v>0</v>
      </c>
      <c r="P938" t="n">
        <v>0</v>
      </c>
      <c r="Q938" t="n">
        <v>0</v>
      </c>
      <c r="R938" s="2" t="inlineStr"/>
    </row>
    <row r="939" ht="15" customHeight="1">
      <c r="A939" t="inlineStr">
        <is>
          <t>A 15256-2023</t>
        </is>
      </c>
      <c r="B939" s="1" t="n">
        <v>45019.3959837963</v>
      </c>
      <c r="C939" s="1" t="n">
        <v>46012</v>
      </c>
      <c r="D939" t="inlineStr">
        <is>
          <t>STOCKHOLMS LÄN</t>
        </is>
      </c>
      <c r="E939" t="inlineStr">
        <is>
          <t>NORRTÄLJE</t>
        </is>
      </c>
      <c r="G939" t="n">
        <v>2.4</v>
      </c>
      <c r="H939" t="n">
        <v>0</v>
      </c>
      <c r="I939" t="n">
        <v>0</v>
      </c>
      <c r="J939" t="n">
        <v>0</v>
      </c>
      <c r="K939" t="n">
        <v>0</v>
      </c>
      <c r="L939" t="n">
        <v>0</v>
      </c>
      <c r="M939" t="n">
        <v>0</v>
      </c>
      <c r="N939" t="n">
        <v>0</v>
      </c>
      <c r="O939" t="n">
        <v>0</v>
      </c>
      <c r="P939" t="n">
        <v>0</v>
      </c>
      <c r="Q939" t="n">
        <v>0</v>
      </c>
      <c r="R939" s="2" t="inlineStr"/>
    </row>
    <row r="940" ht="15" customHeight="1">
      <c r="A940" t="inlineStr">
        <is>
          <t>A 7413-2024</t>
        </is>
      </c>
      <c r="B940" s="1" t="n">
        <v>45345.6059837963</v>
      </c>
      <c r="C940" s="1" t="n">
        <v>46012</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58040-2024</t>
        </is>
      </c>
      <c r="B941" s="1" t="n">
        <v>45631.73952546297</v>
      </c>
      <c r="C941" s="1" t="n">
        <v>46012</v>
      </c>
      <c r="D941" t="inlineStr">
        <is>
          <t>STOCKHOLMS LÄN</t>
        </is>
      </c>
      <c r="E941" t="inlineStr">
        <is>
          <t>NORRTÄLJE</t>
        </is>
      </c>
      <c r="G941" t="n">
        <v>2.1</v>
      </c>
      <c r="H941" t="n">
        <v>0</v>
      </c>
      <c r="I941" t="n">
        <v>0</v>
      </c>
      <c r="J941" t="n">
        <v>0</v>
      </c>
      <c r="K941" t="n">
        <v>0</v>
      </c>
      <c r="L941" t="n">
        <v>0</v>
      </c>
      <c r="M941" t="n">
        <v>0</v>
      </c>
      <c r="N941" t="n">
        <v>0</v>
      </c>
      <c r="O941" t="n">
        <v>0</v>
      </c>
      <c r="P941" t="n">
        <v>0</v>
      </c>
      <c r="Q941" t="n">
        <v>0</v>
      </c>
      <c r="R941" s="2" t="inlineStr"/>
    </row>
    <row r="942" ht="15" customHeight="1">
      <c r="A942" t="inlineStr">
        <is>
          <t>A 58041-2024</t>
        </is>
      </c>
      <c r="B942" s="1" t="n">
        <v>45631.74673611111</v>
      </c>
      <c r="C942" s="1" t="n">
        <v>46012</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31057-2022</t>
        </is>
      </c>
      <c r="B943" s="1" t="n">
        <v>44769</v>
      </c>
      <c r="C943" s="1" t="n">
        <v>46012</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3143-2021</t>
        </is>
      </c>
      <c r="B944" s="1" t="n">
        <v>44217.40149305556</v>
      </c>
      <c r="C944" s="1" t="n">
        <v>46012</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25619-2022</t>
        </is>
      </c>
      <c r="B945" s="1" t="n">
        <v>44732</v>
      </c>
      <c r="C945" s="1" t="n">
        <v>46012</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15422-2024</t>
        </is>
      </c>
      <c r="B946" s="1" t="n">
        <v>45401.3653125</v>
      </c>
      <c r="C946" s="1" t="n">
        <v>46012</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48716-2023</t>
        </is>
      </c>
      <c r="B947" s="1" t="n">
        <v>45208.69671296296</v>
      </c>
      <c r="C947" s="1" t="n">
        <v>46012</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55369-2023</t>
        </is>
      </c>
      <c r="B948" s="1" t="n">
        <v>45238</v>
      </c>
      <c r="C948" s="1" t="n">
        <v>46012</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20121-2022</t>
        </is>
      </c>
      <c r="B949" s="1" t="n">
        <v>44698</v>
      </c>
      <c r="C949" s="1" t="n">
        <v>46012</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26407-2024</t>
        </is>
      </c>
      <c r="B950" s="1" t="n">
        <v>45469</v>
      </c>
      <c r="C950" s="1" t="n">
        <v>46012</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10098-2022</t>
        </is>
      </c>
      <c r="B951" s="1" t="n">
        <v>44621</v>
      </c>
      <c r="C951" s="1" t="n">
        <v>46012</v>
      </c>
      <c r="D951" t="inlineStr">
        <is>
          <t>STOCKHOLMS LÄN</t>
        </is>
      </c>
      <c r="E951" t="inlineStr">
        <is>
          <t>NORRTÄLJE</t>
        </is>
      </c>
      <c r="G951" t="n">
        <v>2.2</v>
      </c>
      <c r="H951" t="n">
        <v>0</v>
      </c>
      <c r="I951" t="n">
        <v>0</v>
      </c>
      <c r="J951" t="n">
        <v>0</v>
      </c>
      <c r="K951" t="n">
        <v>0</v>
      </c>
      <c r="L951" t="n">
        <v>0</v>
      </c>
      <c r="M951" t="n">
        <v>0</v>
      </c>
      <c r="N951" t="n">
        <v>0</v>
      </c>
      <c r="O951" t="n">
        <v>0</v>
      </c>
      <c r="P951" t="n">
        <v>0</v>
      </c>
      <c r="Q951" t="n">
        <v>0</v>
      </c>
      <c r="R951" s="2" t="inlineStr"/>
    </row>
    <row r="952" ht="15" customHeight="1">
      <c r="A952" t="inlineStr">
        <is>
          <t>A 49700-2023</t>
        </is>
      </c>
      <c r="B952" s="1" t="n">
        <v>45212</v>
      </c>
      <c r="C952" s="1" t="n">
        <v>46012</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59875-2024</t>
        </is>
      </c>
      <c r="B953" s="1" t="n">
        <v>45640.58716435185</v>
      </c>
      <c r="C953" s="1" t="n">
        <v>46012</v>
      </c>
      <c r="D953" t="inlineStr">
        <is>
          <t>STOCKHOLMS LÄN</t>
        </is>
      </c>
      <c r="E953" t="inlineStr">
        <is>
          <t>NORRTÄLJE</t>
        </is>
      </c>
      <c r="G953" t="n">
        <v>0.3</v>
      </c>
      <c r="H953" t="n">
        <v>0</v>
      </c>
      <c r="I953" t="n">
        <v>0</v>
      </c>
      <c r="J953" t="n">
        <v>0</v>
      </c>
      <c r="K953" t="n">
        <v>0</v>
      </c>
      <c r="L953" t="n">
        <v>0</v>
      </c>
      <c r="M953" t="n">
        <v>0</v>
      </c>
      <c r="N953" t="n">
        <v>0</v>
      </c>
      <c r="O953" t="n">
        <v>0</v>
      </c>
      <c r="P953" t="n">
        <v>0</v>
      </c>
      <c r="Q953" t="n">
        <v>0</v>
      </c>
      <c r="R953" s="2" t="inlineStr"/>
    </row>
    <row r="954" ht="15" customHeight="1">
      <c r="A954" t="inlineStr">
        <is>
          <t>A 45220-2024</t>
        </is>
      </c>
      <c r="B954" s="1" t="n">
        <v>45575</v>
      </c>
      <c r="C954" s="1" t="n">
        <v>46012</v>
      </c>
      <c r="D954" t="inlineStr">
        <is>
          <t>STOCKHOLMS LÄN</t>
        </is>
      </c>
      <c r="E954" t="inlineStr">
        <is>
          <t>NORRTÄLJE</t>
        </is>
      </c>
      <c r="G954" t="n">
        <v>4.3</v>
      </c>
      <c r="H954" t="n">
        <v>0</v>
      </c>
      <c r="I954" t="n">
        <v>0</v>
      </c>
      <c r="J954" t="n">
        <v>0</v>
      </c>
      <c r="K954" t="n">
        <v>0</v>
      </c>
      <c r="L954" t="n">
        <v>0</v>
      </c>
      <c r="M954" t="n">
        <v>0</v>
      </c>
      <c r="N954" t="n">
        <v>0</v>
      </c>
      <c r="O954" t="n">
        <v>0</v>
      </c>
      <c r="P954" t="n">
        <v>0</v>
      </c>
      <c r="Q954" t="n">
        <v>0</v>
      </c>
      <c r="R954" s="2" t="inlineStr"/>
    </row>
    <row r="955" ht="15" customHeight="1">
      <c r="A955" t="inlineStr">
        <is>
          <t>A 4658-2024</t>
        </is>
      </c>
      <c r="B955" s="1" t="n">
        <v>45328.46336805556</v>
      </c>
      <c r="C955" s="1" t="n">
        <v>46012</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48145-2024</t>
        </is>
      </c>
      <c r="B956" s="1" t="n">
        <v>45589.6756712963</v>
      </c>
      <c r="C956" s="1" t="n">
        <v>46012</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10642-2025</t>
        </is>
      </c>
      <c r="B957" s="1" t="n">
        <v>45721.65858796296</v>
      </c>
      <c r="C957" s="1" t="n">
        <v>46012</v>
      </c>
      <c r="D957" t="inlineStr">
        <is>
          <t>STOCKHOLMS LÄN</t>
        </is>
      </c>
      <c r="E957" t="inlineStr">
        <is>
          <t>NORRTÄLJE</t>
        </is>
      </c>
      <c r="G957" t="n">
        <v>2.6</v>
      </c>
      <c r="H957" t="n">
        <v>0</v>
      </c>
      <c r="I957" t="n">
        <v>0</v>
      </c>
      <c r="J957" t="n">
        <v>0</v>
      </c>
      <c r="K957" t="n">
        <v>0</v>
      </c>
      <c r="L957" t="n">
        <v>0</v>
      </c>
      <c r="M957" t="n">
        <v>0</v>
      </c>
      <c r="N957" t="n">
        <v>0</v>
      </c>
      <c r="O957" t="n">
        <v>0</v>
      </c>
      <c r="P957" t="n">
        <v>0</v>
      </c>
      <c r="Q957" t="n">
        <v>0</v>
      </c>
      <c r="R957" s="2" t="inlineStr"/>
    </row>
    <row r="958" ht="15" customHeight="1">
      <c r="A958" t="inlineStr">
        <is>
          <t>A 24024-2024</t>
        </is>
      </c>
      <c r="B958" s="1" t="n">
        <v>45456</v>
      </c>
      <c r="C958" s="1" t="n">
        <v>46012</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35532-2024</t>
        </is>
      </c>
      <c r="B959" s="1" t="n">
        <v>45531</v>
      </c>
      <c r="C959" s="1" t="n">
        <v>46012</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21291-2021</t>
        </is>
      </c>
      <c r="B960" s="1" t="n">
        <v>44319</v>
      </c>
      <c r="C960" s="1" t="n">
        <v>46012</v>
      </c>
      <c r="D960" t="inlineStr">
        <is>
          <t>STOCKHOLMS LÄN</t>
        </is>
      </c>
      <c r="E960" t="inlineStr">
        <is>
          <t>NORRTÄLJE</t>
        </is>
      </c>
      <c r="G960" t="n">
        <v>12.7</v>
      </c>
      <c r="H960" t="n">
        <v>0</v>
      </c>
      <c r="I960" t="n">
        <v>0</v>
      </c>
      <c r="J960" t="n">
        <v>0</v>
      </c>
      <c r="K960" t="n">
        <v>0</v>
      </c>
      <c r="L960" t="n">
        <v>0</v>
      </c>
      <c r="M960" t="n">
        <v>0</v>
      </c>
      <c r="N960" t="n">
        <v>0</v>
      </c>
      <c r="O960" t="n">
        <v>0</v>
      </c>
      <c r="P960" t="n">
        <v>0</v>
      </c>
      <c r="Q960" t="n">
        <v>0</v>
      </c>
      <c r="R960" s="2" t="inlineStr"/>
    </row>
    <row r="961" ht="15" customHeight="1">
      <c r="A961" t="inlineStr">
        <is>
          <t>A 19118-2022</t>
        </is>
      </c>
      <c r="B961" s="1" t="n">
        <v>44691.5652662037</v>
      </c>
      <c r="C961" s="1" t="n">
        <v>46012</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22421-2021</t>
        </is>
      </c>
      <c r="B962" s="1" t="n">
        <v>44326</v>
      </c>
      <c r="C962" s="1" t="n">
        <v>46012</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59893-2022</t>
        </is>
      </c>
      <c r="B963" s="1" t="n">
        <v>44908.77368055555</v>
      </c>
      <c r="C963" s="1" t="n">
        <v>46012</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9469-2021</t>
        </is>
      </c>
      <c r="B964" s="1" t="n">
        <v>44251</v>
      </c>
      <c r="C964" s="1" t="n">
        <v>46012</v>
      </c>
      <c r="D964" t="inlineStr">
        <is>
          <t>STOCKHOLMS LÄN</t>
        </is>
      </c>
      <c r="E964" t="inlineStr">
        <is>
          <t>NORRTÄLJE</t>
        </is>
      </c>
      <c r="G964" t="n">
        <v>2.5</v>
      </c>
      <c r="H964" t="n">
        <v>0</v>
      </c>
      <c r="I964" t="n">
        <v>0</v>
      </c>
      <c r="J964" t="n">
        <v>0</v>
      </c>
      <c r="K964" t="n">
        <v>0</v>
      </c>
      <c r="L964" t="n">
        <v>0</v>
      </c>
      <c r="M964" t="n">
        <v>0</v>
      </c>
      <c r="N964" t="n">
        <v>0</v>
      </c>
      <c r="O964" t="n">
        <v>0</v>
      </c>
      <c r="P964" t="n">
        <v>0</v>
      </c>
      <c r="Q964" t="n">
        <v>0</v>
      </c>
      <c r="R964" s="2" t="inlineStr"/>
    </row>
    <row r="965" ht="15" customHeight="1">
      <c r="A965" t="inlineStr">
        <is>
          <t>A 33226-2024</t>
        </is>
      </c>
      <c r="B965" s="1" t="n">
        <v>45518</v>
      </c>
      <c r="C965" s="1" t="n">
        <v>46012</v>
      </c>
      <c r="D965" t="inlineStr">
        <is>
          <t>STOCKHOLMS LÄN</t>
        </is>
      </c>
      <c r="E965" t="inlineStr">
        <is>
          <t>NORRTÄLJE</t>
        </is>
      </c>
      <c r="G965" t="n">
        <v>13.8</v>
      </c>
      <c r="H965" t="n">
        <v>0</v>
      </c>
      <c r="I965" t="n">
        <v>0</v>
      </c>
      <c r="J965" t="n">
        <v>0</v>
      </c>
      <c r="K965" t="n">
        <v>0</v>
      </c>
      <c r="L965" t="n">
        <v>0</v>
      </c>
      <c r="M965" t="n">
        <v>0</v>
      </c>
      <c r="N965" t="n">
        <v>0</v>
      </c>
      <c r="O965" t="n">
        <v>0</v>
      </c>
      <c r="P965" t="n">
        <v>0</v>
      </c>
      <c r="Q965" t="n">
        <v>0</v>
      </c>
      <c r="R965" s="2" t="inlineStr"/>
    </row>
    <row r="966" ht="15" customHeight="1">
      <c r="A966" t="inlineStr">
        <is>
          <t>A 16980-2023</t>
        </is>
      </c>
      <c r="B966" s="1" t="n">
        <v>45033</v>
      </c>
      <c r="C966" s="1" t="n">
        <v>46012</v>
      </c>
      <c r="D966" t="inlineStr">
        <is>
          <t>STOCKHOLMS LÄN</t>
        </is>
      </c>
      <c r="E966" t="inlineStr">
        <is>
          <t>NORRTÄLJE</t>
        </is>
      </c>
      <c r="G966" t="n">
        <v>2.3</v>
      </c>
      <c r="H966" t="n">
        <v>0</v>
      </c>
      <c r="I966" t="n">
        <v>0</v>
      </c>
      <c r="J966" t="n">
        <v>0</v>
      </c>
      <c r="K966" t="n">
        <v>0</v>
      </c>
      <c r="L966" t="n">
        <v>0</v>
      </c>
      <c r="M966" t="n">
        <v>0</v>
      </c>
      <c r="N966" t="n">
        <v>0</v>
      </c>
      <c r="O966" t="n">
        <v>0</v>
      </c>
      <c r="P966" t="n">
        <v>0</v>
      </c>
      <c r="Q966" t="n">
        <v>0</v>
      </c>
      <c r="R966" s="2" t="inlineStr"/>
    </row>
    <row r="967" ht="15" customHeight="1">
      <c r="A967" t="inlineStr">
        <is>
          <t>A 31107-2022</t>
        </is>
      </c>
      <c r="B967" s="1" t="n">
        <v>44769.66864583334</v>
      </c>
      <c r="C967" s="1" t="n">
        <v>46012</v>
      </c>
      <c r="D967" t="inlineStr">
        <is>
          <t>STOCKHOLMS LÄN</t>
        </is>
      </c>
      <c r="E967" t="inlineStr">
        <is>
          <t>NORRTÄLJE</t>
        </is>
      </c>
      <c r="G967" t="n">
        <v>3.8</v>
      </c>
      <c r="H967" t="n">
        <v>0</v>
      </c>
      <c r="I967" t="n">
        <v>0</v>
      </c>
      <c r="J967" t="n">
        <v>0</v>
      </c>
      <c r="K967" t="n">
        <v>0</v>
      </c>
      <c r="L967" t="n">
        <v>0</v>
      </c>
      <c r="M967" t="n">
        <v>0</v>
      </c>
      <c r="N967" t="n">
        <v>0</v>
      </c>
      <c r="O967" t="n">
        <v>0</v>
      </c>
      <c r="P967" t="n">
        <v>0</v>
      </c>
      <c r="Q967" t="n">
        <v>0</v>
      </c>
      <c r="R967" s="2" t="inlineStr"/>
    </row>
    <row r="968" ht="15" customHeight="1">
      <c r="A968" t="inlineStr">
        <is>
          <t>A 18539-2021</t>
        </is>
      </c>
      <c r="B968" s="1" t="n">
        <v>44306</v>
      </c>
      <c r="C968" s="1" t="n">
        <v>46012</v>
      </c>
      <c r="D968" t="inlineStr">
        <is>
          <t>STOCKHOLMS LÄN</t>
        </is>
      </c>
      <c r="E968" t="inlineStr">
        <is>
          <t>NORRTÄLJE</t>
        </is>
      </c>
      <c r="F968" t="inlineStr">
        <is>
          <t>Holmen skog AB</t>
        </is>
      </c>
      <c r="G968" t="n">
        <v>5.5</v>
      </c>
      <c r="H968" t="n">
        <v>0</v>
      </c>
      <c r="I968" t="n">
        <v>0</v>
      </c>
      <c r="J968" t="n">
        <v>0</v>
      </c>
      <c r="K968" t="n">
        <v>0</v>
      </c>
      <c r="L968" t="n">
        <v>0</v>
      </c>
      <c r="M968" t="n">
        <v>0</v>
      </c>
      <c r="N968" t="n">
        <v>0</v>
      </c>
      <c r="O968" t="n">
        <v>0</v>
      </c>
      <c r="P968" t="n">
        <v>0</v>
      </c>
      <c r="Q968" t="n">
        <v>0</v>
      </c>
      <c r="R968" s="2" t="inlineStr"/>
    </row>
    <row r="969" ht="15" customHeight="1">
      <c r="A969" t="inlineStr">
        <is>
          <t>A 43170-2023</t>
        </is>
      </c>
      <c r="B969" s="1" t="n">
        <v>45183</v>
      </c>
      <c r="C969" s="1" t="n">
        <v>46012</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47626-2022</t>
        </is>
      </c>
      <c r="B970" s="1" t="n">
        <v>44854</v>
      </c>
      <c r="C970" s="1" t="n">
        <v>46012</v>
      </c>
      <c r="D970" t="inlineStr">
        <is>
          <t>STOCKHOLMS LÄN</t>
        </is>
      </c>
      <c r="E970" t="inlineStr">
        <is>
          <t>NORRTÄLJE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32101-2022</t>
        </is>
      </c>
      <c r="B971" s="1" t="n">
        <v>44778.69210648148</v>
      </c>
      <c r="C971" s="1" t="n">
        <v>46012</v>
      </c>
      <c r="D971" t="inlineStr">
        <is>
          <t>STOCKHOLMS LÄN</t>
        </is>
      </c>
      <c r="E971" t="inlineStr">
        <is>
          <t>NORRTÄLJE</t>
        </is>
      </c>
      <c r="G971" t="n">
        <v>4.4</v>
      </c>
      <c r="H971" t="n">
        <v>0</v>
      </c>
      <c r="I971" t="n">
        <v>0</v>
      </c>
      <c r="J971" t="n">
        <v>0</v>
      </c>
      <c r="K971" t="n">
        <v>0</v>
      </c>
      <c r="L971" t="n">
        <v>0</v>
      </c>
      <c r="M971" t="n">
        <v>0</v>
      </c>
      <c r="N971" t="n">
        <v>0</v>
      </c>
      <c r="O971" t="n">
        <v>0</v>
      </c>
      <c r="P971" t="n">
        <v>0</v>
      </c>
      <c r="Q971" t="n">
        <v>0</v>
      </c>
      <c r="R971" s="2" t="inlineStr"/>
    </row>
    <row r="972" ht="15" customHeight="1">
      <c r="A972" t="inlineStr">
        <is>
          <t>A 28365-2022</t>
        </is>
      </c>
      <c r="B972" s="1" t="n">
        <v>44747</v>
      </c>
      <c r="C972" s="1" t="n">
        <v>46012</v>
      </c>
      <c r="D972" t="inlineStr">
        <is>
          <t>STOCKHOLMS LÄN</t>
        </is>
      </c>
      <c r="E972" t="inlineStr">
        <is>
          <t>NORRTÄLJE</t>
        </is>
      </c>
      <c r="G972" t="n">
        <v>5.1</v>
      </c>
      <c r="H972" t="n">
        <v>0</v>
      </c>
      <c r="I972" t="n">
        <v>0</v>
      </c>
      <c r="J972" t="n">
        <v>0</v>
      </c>
      <c r="K972" t="n">
        <v>0</v>
      </c>
      <c r="L972" t="n">
        <v>0</v>
      </c>
      <c r="M972" t="n">
        <v>0</v>
      </c>
      <c r="N972" t="n">
        <v>0</v>
      </c>
      <c r="O972" t="n">
        <v>0</v>
      </c>
      <c r="P972" t="n">
        <v>0</v>
      </c>
      <c r="Q972" t="n">
        <v>0</v>
      </c>
      <c r="R972" s="2" t="inlineStr"/>
    </row>
    <row r="973" ht="15" customHeight="1">
      <c r="A973" t="inlineStr">
        <is>
          <t>A 42867-2022</t>
        </is>
      </c>
      <c r="B973" s="1" t="n">
        <v>44832</v>
      </c>
      <c r="C973" s="1" t="n">
        <v>46012</v>
      </c>
      <c r="D973" t="inlineStr">
        <is>
          <t>STOCKHOLMS LÄN</t>
        </is>
      </c>
      <c r="E973" t="inlineStr">
        <is>
          <t>NORRTÄLJE</t>
        </is>
      </c>
      <c r="G973" t="n">
        <v>6.4</v>
      </c>
      <c r="H973" t="n">
        <v>0</v>
      </c>
      <c r="I973" t="n">
        <v>0</v>
      </c>
      <c r="J973" t="n">
        <v>0</v>
      </c>
      <c r="K973" t="n">
        <v>0</v>
      </c>
      <c r="L973" t="n">
        <v>0</v>
      </c>
      <c r="M973" t="n">
        <v>0</v>
      </c>
      <c r="N973" t="n">
        <v>0</v>
      </c>
      <c r="O973" t="n">
        <v>0</v>
      </c>
      <c r="P973" t="n">
        <v>0</v>
      </c>
      <c r="Q973" t="n">
        <v>0</v>
      </c>
      <c r="R973" s="2" t="inlineStr"/>
    </row>
    <row r="974" ht="15" customHeight="1">
      <c r="A974" t="inlineStr">
        <is>
          <t>A 5645-2023</t>
        </is>
      </c>
      <c r="B974" s="1" t="n">
        <v>44960.60469907407</v>
      </c>
      <c r="C974" s="1" t="n">
        <v>46012</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17775-2022</t>
        </is>
      </c>
      <c r="B975" s="1" t="n">
        <v>44682.78430555556</v>
      </c>
      <c r="C975" s="1" t="n">
        <v>46012</v>
      </c>
      <c r="D975" t="inlineStr">
        <is>
          <t>STOCKHOLMS LÄN</t>
        </is>
      </c>
      <c r="E975" t="inlineStr">
        <is>
          <t>NORRTÄLJE</t>
        </is>
      </c>
      <c r="G975" t="n">
        <v>4.7</v>
      </c>
      <c r="H975" t="n">
        <v>0</v>
      </c>
      <c r="I975" t="n">
        <v>0</v>
      </c>
      <c r="J975" t="n">
        <v>0</v>
      </c>
      <c r="K975" t="n">
        <v>0</v>
      </c>
      <c r="L975" t="n">
        <v>0</v>
      </c>
      <c r="M975" t="n">
        <v>0</v>
      </c>
      <c r="N975" t="n">
        <v>0</v>
      </c>
      <c r="O975" t="n">
        <v>0</v>
      </c>
      <c r="P975" t="n">
        <v>0</v>
      </c>
      <c r="Q975" t="n">
        <v>0</v>
      </c>
      <c r="R975" s="2" t="inlineStr"/>
    </row>
    <row r="976" ht="15" customHeight="1">
      <c r="A976" t="inlineStr">
        <is>
          <t>A 9703-2021</t>
        </is>
      </c>
      <c r="B976" s="1" t="n">
        <v>44252</v>
      </c>
      <c r="C976" s="1" t="n">
        <v>46012</v>
      </c>
      <c r="D976" t="inlineStr">
        <is>
          <t>STOCKHOLMS LÄN</t>
        </is>
      </c>
      <c r="E976" t="inlineStr">
        <is>
          <t>NORRTÄLJE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47481-2024</t>
        </is>
      </c>
      <c r="B977" s="1" t="n">
        <v>45587</v>
      </c>
      <c r="C977" s="1" t="n">
        <v>46012</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24933-2023</t>
        </is>
      </c>
      <c r="B978" s="1" t="n">
        <v>45085.5309375</v>
      </c>
      <c r="C978" s="1" t="n">
        <v>46012</v>
      </c>
      <c r="D978" t="inlineStr">
        <is>
          <t>STOCKHOLMS LÄN</t>
        </is>
      </c>
      <c r="E978" t="inlineStr">
        <is>
          <t>NORRTÄLJE</t>
        </is>
      </c>
      <c r="F978" t="inlineStr">
        <is>
          <t>Holmen skog AB</t>
        </is>
      </c>
      <c r="G978" t="n">
        <v>1.8</v>
      </c>
      <c r="H978" t="n">
        <v>0</v>
      </c>
      <c r="I978" t="n">
        <v>0</v>
      </c>
      <c r="J978" t="n">
        <v>0</v>
      </c>
      <c r="K978" t="n">
        <v>0</v>
      </c>
      <c r="L978" t="n">
        <v>0</v>
      </c>
      <c r="M978" t="n">
        <v>0</v>
      </c>
      <c r="N978" t="n">
        <v>0</v>
      </c>
      <c r="O978" t="n">
        <v>0</v>
      </c>
      <c r="P978" t="n">
        <v>0</v>
      </c>
      <c r="Q978" t="n">
        <v>0</v>
      </c>
      <c r="R978" s="2" t="inlineStr"/>
    </row>
    <row r="979" ht="15" customHeight="1">
      <c r="A979" t="inlineStr">
        <is>
          <t>A 11062-2024</t>
        </is>
      </c>
      <c r="B979" s="1" t="n">
        <v>45370</v>
      </c>
      <c r="C979" s="1" t="n">
        <v>46012</v>
      </c>
      <c r="D979" t="inlineStr">
        <is>
          <t>STOCKHOLMS LÄN</t>
        </is>
      </c>
      <c r="E979" t="inlineStr">
        <is>
          <t>NORRTÄLJE</t>
        </is>
      </c>
      <c r="G979" t="n">
        <v>3.2</v>
      </c>
      <c r="H979" t="n">
        <v>0</v>
      </c>
      <c r="I979" t="n">
        <v>0</v>
      </c>
      <c r="J979" t="n">
        <v>0</v>
      </c>
      <c r="K979" t="n">
        <v>0</v>
      </c>
      <c r="L979" t="n">
        <v>0</v>
      </c>
      <c r="M979" t="n">
        <v>0</v>
      </c>
      <c r="N979" t="n">
        <v>0</v>
      </c>
      <c r="O979" t="n">
        <v>0</v>
      </c>
      <c r="P979" t="n">
        <v>0</v>
      </c>
      <c r="Q979" t="n">
        <v>0</v>
      </c>
      <c r="R979" s="2" t="inlineStr"/>
    </row>
    <row r="980" ht="15" customHeight="1">
      <c r="A980" t="inlineStr">
        <is>
          <t>A 576-2023</t>
        </is>
      </c>
      <c r="B980" s="1" t="n">
        <v>44925</v>
      </c>
      <c r="C980" s="1" t="n">
        <v>46012</v>
      </c>
      <c r="D980" t="inlineStr">
        <is>
          <t>STOCKHOLMS LÄN</t>
        </is>
      </c>
      <c r="E980" t="inlineStr">
        <is>
          <t>NORRTÄLJE</t>
        </is>
      </c>
      <c r="G980" t="n">
        <v>7.2</v>
      </c>
      <c r="H980" t="n">
        <v>0</v>
      </c>
      <c r="I980" t="n">
        <v>0</v>
      </c>
      <c r="J980" t="n">
        <v>0</v>
      </c>
      <c r="K980" t="n">
        <v>0</v>
      </c>
      <c r="L980" t="n">
        <v>0</v>
      </c>
      <c r="M980" t="n">
        <v>0</v>
      </c>
      <c r="N980" t="n">
        <v>0</v>
      </c>
      <c r="O980" t="n">
        <v>0</v>
      </c>
      <c r="P980" t="n">
        <v>0</v>
      </c>
      <c r="Q980" t="n">
        <v>0</v>
      </c>
      <c r="R980" s="2" t="inlineStr"/>
    </row>
    <row r="981" ht="15" customHeight="1">
      <c r="A981" t="inlineStr">
        <is>
          <t>A 12908-2025</t>
        </is>
      </c>
      <c r="B981" s="1" t="n">
        <v>45733.82105324074</v>
      </c>
      <c r="C981" s="1" t="n">
        <v>46012</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68361-2021</t>
        </is>
      </c>
      <c r="B982" s="1" t="n">
        <v>44528.91494212963</v>
      </c>
      <c r="C982" s="1" t="n">
        <v>46012</v>
      </c>
      <c r="D982" t="inlineStr">
        <is>
          <t>STOCKHOLMS LÄN</t>
        </is>
      </c>
      <c r="E982" t="inlineStr">
        <is>
          <t>NORRTÄLJE</t>
        </is>
      </c>
      <c r="G982" t="n">
        <v>1.9</v>
      </c>
      <c r="H982" t="n">
        <v>0</v>
      </c>
      <c r="I982" t="n">
        <v>0</v>
      </c>
      <c r="J982" t="n">
        <v>0</v>
      </c>
      <c r="K982" t="n">
        <v>0</v>
      </c>
      <c r="L982" t="n">
        <v>0</v>
      </c>
      <c r="M982" t="n">
        <v>0</v>
      </c>
      <c r="N982" t="n">
        <v>0</v>
      </c>
      <c r="O982" t="n">
        <v>0</v>
      </c>
      <c r="P982" t="n">
        <v>0</v>
      </c>
      <c r="Q982" t="n">
        <v>0</v>
      </c>
      <c r="R982" s="2" t="inlineStr"/>
    </row>
    <row r="983" ht="15" customHeight="1">
      <c r="A983" t="inlineStr">
        <is>
          <t>A 50469-2022</t>
        </is>
      </c>
      <c r="B983" s="1" t="n">
        <v>44866.49827546296</v>
      </c>
      <c r="C983" s="1" t="n">
        <v>46012</v>
      </c>
      <c r="D983" t="inlineStr">
        <is>
          <t>STOCKHOLMS LÄN</t>
        </is>
      </c>
      <c r="E983" t="inlineStr">
        <is>
          <t>NORRTÄLJE</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41976-2024</t>
        </is>
      </c>
      <c r="B984" s="1" t="n">
        <v>45561.62141203704</v>
      </c>
      <c r="C984" s="1" t="n">
        <v>46012</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62206-2022</t>
        </is>
      </c>
      <c r="B985" s="1" t="n">
        <v>44922</v>
      </c>
      <c r="C985" s="1" t="n">
        <v>46012</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30886-2022</t>
        </is>
      </c>
      <c r="B986" s="1" t="n">
        <v>44767.60601851852</v>
      </c>
      <c r="C986" s="1" t="n">
        <v>46012</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58989-2021</t>
        </is>
      </c>
      <c r="B987" s="1" t="n">
        <v>44490.02482638889</v>
      </c>
      <c r="C987" s="1" t="n">
        <v>46012</v>
      </c>
      <c r="D987" t="inlineStr">
        <is>
          <t>STOCKHOLMS LÄN</t>
        </is>
      </c>
      <c r="E987" t="inlineStr">
        <is>
          <t>NORRTÄLJE</t>
        </is>
      </c>
      <c r="G987" t="n">
        <v>0.3</v>
      </c>
      <c r="H987" t="n">
        <v>0</v>
      </c>
      <c r="I987" t="n">
        <v>0</v>
      </c>
      <c r="J987" t="n">
        <v>0</v>
      </c>
      <c r="K987" t="n">
        <v>0</v>
      </c>
      <c r="L987" t="n">
        <v>0</v>
      </c>
      <c r="M987" t="n">
        <v>0</v>
      </c>
      <c r="N987" t="n">
        <v>0</v>
      </c>
      <c r="O987" t="n">
        <v>0</v>
      </c>
      <c r="P987" t="n">
        <v>0</v>
      </c>
      <c r="Q987" t="n">
        <v>0</v>
      </c>
      <c r="R987" s="2" t="inlineStr"/>
    </row>
    <row r="988" ht="15" customHeight="1">
      <c r="A988" t="inlineStr">
        <is>
          <t>A 58990-2021</t>
        </is>
      </c>
      <c r="B988" s="1" t="n">
        <v>44490.03621527777</v>
      </c>
      <c r="C988" s="1" t="n">
        <v>46012</v>
      </c>
      <c r="D988" t="inlineStr">
        <is>
          <t>STOCKHOLMS LÄN</t>
        </is>
      </c>
      <c r="E988" t="inlineStr">
        <is>
          <t>NORRTÄLJE</t>
        </is>
      </c>
      <c r="G988" t="n">
        <v>4.2</v>
      </c>
      <c r="H988" t="n">
        <v>0</v>
      </c>
      <c r="I988" t="n">
        <v>0</v>
      </c>
      <c r="J988" t="n">
        <v>0</v>
      </c>
      <c r="K988" t="n">
        <v>0</v>
      </c>
      <c r="L988" t="n">
        <v>0</v>
      </c>
      <c r="M988" t="n">
        <v>0</v>
      </c>
      <c r="N988" t="n">
        <v>0</v>
      </c>
      <c r="O988" t="n">
        <v>0</v>
      </c>
      <c r="P988" t="n">
        <v>0</v>
      </c>
      <c r="Q988" t="n">
        <v>0</v>
      </c>
      <c r="R988" s="2" t="inlineStr"/>
    </row>
    <row r="989" ht="15" customHeight="1">
      <c r="A989" t="inlineStr">
        <is>
          <t>A 11940-2023</t>
        </is>
      </c>
      <c r="B989" s="1" t="n">
        <v>44995</v>
      </c>
      <c r="C989" s="1" t="n">
        <v>46012</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29266-2022</t>
        </is>
      </c>
      <c r="B990" s="1" t="n">
        <v>44750.66068287037</v>
      </c>
      <c r="C990" s="1" t="n">
        <v>46012</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29278-2022</t>
        </is>
      </c>
      <c r="B991" s="1" t="n">
        <v>44750</v>
      </c>
      <c r="C991" s="1" t="n">
        <v>46012</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6401-2024</t>
        </is>
      </c>
      <c r="B992" s="1" t="n">
        <v>45338</v>
      </c>
      <c r="C992" s="1" t="n">
        <v>46012</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24501-2023</t>
        </is>
      </c>
      <c r="B993" s="1" t="n">
        <v>45082</v>
      </c>
      <c r="C993" s="1" t="n">
        <v>46012</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24520-2023</t>
        </is>
      </c>
      <c r="B994" s="1" t="n">
        <v>45082.68922453704</v>
      </c>
      <c r="C994" s="1" t="n">
        <v>46012</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31281-2022</t>
        </is>
      </c>
      <c r="B995" s="1" t="n">
        <v>44771</v>
      </c>
      <c r="C995" s="1" t="n">
        <v>46012</v>
      </c>
      <c r="D995" t="inlineStr">
        <is>
          <t>STOCKHOLMS LÄN</t>
        </is>
      </c>
      <c r="E995" t="inlineStr">
        <is>
          <t>NORRTÄLJE</t>
        </is>
      </c>
      <c r="F995" t="inlineStr">
        <is>
          <t>Holmen skog AB</t>
        </is>
      </c>
      <c r="G995" t="n">
        <v>5.2</v>
      </c>
      <c r="H995" t="n">
        <v>0</v>
      </c>
      <c r="I995" t="n">
        <v>0</v>
      </c>
      <c r="J995" t="n">
        <v>0</v>
      </c>
      <c r="K995" t="n">
        <v>0</v>
      </c>
      <c r="L995" t="n">
        <v>0</v>
      </c>
      <c r="M995" t="n">
        <v>0</v>
      </c>
      <c r="N995" t="n">
        <v>0</v>
      </c>
      <c r="O995" t="n">
        <v>0</v>
      </c>
      <c r="P995" t="n">
        <v>0</v>
      </c>
      <c r="Q995" t="n">
        <v>0</v>
      </c>
      <c r="R995" s="2" t="inlineStr"/>
    </row>
    <row r="996" ht="15" customHeight="1">
      <c r="A996" t="inlineStr">
        <is>
          <t>A 38612-2022</t>
        </is>
      </c>
      <c r="B996" s="1" t="n">
        <v>44813</v>
      </c>
      <c r="C996" s="1" t="n">
        <v>46012</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33040-2021</t>
        </is>
      </c>
      <c r="B997" s="1" t="n">
        <v>44376.50728009259</v>
      </c>
      <c r="C997" s="1" t="n">
        <v>46012</v>
      </c>
      <c r="D997" t="inlineStr">
        <is>
          <t>STOCKHOLMS LÄN</t>
        </is>
      </c>
      <c r="E997" t="inlineStr">
        <is>
          <t>NORRTÄLJE</t>
        </is>
      </c>
      <c r="G997" t="n">
        <v>2.7</v>
      </c>
      <c r="H997" t="n">
        <v>0</v>
      </c>
      <c r="I997" t="n">
        <v>0</v>
      </c>
      <c r="J997" t="n">
        <v>0</v>
      </c>
      <c r="K997" t="n">
        <v>0</v>
      </c>
      <c r="L997" t="n">
        <v>0</v>
      </c>
      <c r="M997" t="n">
        <v>0</v>
      </c>
      <c r="N997" t="n">
        <v>0</v>
      </c>
      <c r="O997" t="n">
        <v>0</v>
      </c>
      <c r="P997" t="n">
        <v>0</v>
      </c>
      <c r="Q997" t="n">
        <v>0</v>
      </c>
      <c r="R997" s="2" t="inlineStr"/>
    </row>
    <row r="998" ht="15" customHeight="1">
      <c r="A998" t="inlineStr">
        <is>
          <t>A 26117-2024</t>
        </is>
      </c>
      <c r="B998" s="1" t="n">
        <v>45468.45877314815</v>
      </c>
      <c r="C998" s="1" t="n">
        <v>46012</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61113-2023</t>
        </is>
      </c>
      <c r="B999" s="1" t="n">
        <v>45261</v>
      </c>
      <c r="C999" s="1" t="n">
        <v>46012</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60822-2023</t>
        </is>
      </c>
      <c r="B1000" s="1" t="n">
        <v>45259</v>
      </c>
      <c r="C1000" s="1" t="n">
        <v>46012</v>
      </c>
      <c r="D1000" t="inlineStr">
        <is>
          <t>STOCKHOLMS LÄN</t>
        </is>
      </c>
      <c r="E1000" t="inlineStr">
        <is>
          <t>NORRTÄLJE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59310-2023</t>
        </is>
      </c>
      <c r="B1001" s="1" t="n">
        <v>45253.61146990741</v>
      </c>
      <c r="C1001" s="1" t="n">
        <v>46012</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20343-2024</t>
        </is>
      </c>
      <c r="B1002" s="1" t="n">
        <v>45435.43466435185</v>
      </c>
      <c r="C1002" s="1" t="n">
        <v>46012</v>
      </c>
      <c r="D1002" t="inlineStr">
        <is>
          <t>STOCKHOLMS LÄN</t>
        </is>
      </c>
      <c r="E1002" t="inlineStr">
        <is>
          <t>NORRTÄLJE</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20345-2024</t>
        </is>
      </c>
      <c r="B1003" s="1" t="n">
        <v>45435.43820601852</v>
      </c>
      <c r="C1003" s="1" t="n">
        <v>46012</v>
      </c>
      <c r="D1003" t="inlineStr">
        <is>
          <t>STOCKHOLMS LÄN</t>
        </is>
      </c>
      <c r="E1003" t="inlineStr">
        <is>
          <t>NORRTÄLJE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55010-2024</t>
        </is>
      </c>
      <c r="B1004" s="1" t="n">
        <v>45621.34425925926</v>
      </c>
      <c r="C1004" s="1" t="n">
        <v>46012</v>
      </c>
      <c r="D1004" t="inlineStr">
        <is>
          <t>STOCKHOLMS LÄN</t>
        </is>
      </c>
      <c r="E1004" t="inlineStr">
        <is>
          <t>NORRTÄLJE</t>
        </is>
      </c>
      <c r="F1004" t="inlineStr">
        <is>
          <t>Sveaskog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55018-2024</t>
        </is>
      </c>
      <c r="B1005" s="1" t="n">
        <v>45621.35712962963</v>
      </c>
      <c r="C1005" s="1" t="n">
        <v>46012</v>
      </c>
      <c r="D1005" t="inlineStr">
        <is>
          <t>STOCKHOLMS LÄN</t>
        </is>
      </c>
      <c r="E1005" t="inlineStr">
        <is>
          <t>NORRTÄLJE</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50113-2024</t>
        </is>
      </c>
      <c r="B1006" s="1" t="n">
        <v>45600.411875</v>
      </c>
      <c r="C1006" s="1" t="n">
        <v>46012</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20336-2024</t>
        </is>
      </c>
      <c r="B1007" s="1" t="n">
        <v>45435.43123842592</v>
      </c>
      <c r="C1007" s="1" t="n">
        <v>46012</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64899-2023</t>
        </is>
      </c>
      <c r="B1008" s="1" t="n">
        <v>45282</v>
      </c>
      <c r="C1008" s="1" t="n">
        <v>46012</v>
      </c>
      <c r="D1008" t="inlineStr">
        <is>
          <t>STOCKHOLMS LÄN</t>
        </is>
      </c>
      <c r="E1008" t="inlineStr">
        <is>
          <t>NORRTÄLJE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1847-2023</t>
        </is>
      </c>
      <c r="B1009" s="1" t="n">
        <v>44938</v>
      </c>
      <c r="C1009" s="1" t="n">
        <v>46012</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11122-2021</t>
        </is>
      </c>
      <c r="B1010" s="1" t="n">
        <v>44260</v>
      </c>
      <c r="C1010" s="1" t="n">
        <v>46012</v>
      </c>
      <c r="D1010" t="inlineStr">
        <is>
          <t>STOCKHOLMS LÄN</t>
        </is>
      </c>
      <c r="E1010" t="inlineStr">
        <is>
          <t>NORRTÄLJE</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29362-2022</t>
        </is>
      </c>
      <c r="B1011" s="1" t="n">
        <v>44753</v>
      </c>
      <c r="C1011" s="1" t="n">
        <v>46012</v>
      </c>
      <c r="D1011" t="inlineStr">
        <is>
          <t>STOCKHOLMS LÄN</t>
        </is>
      </c>
      <c r="E1011" t="inlineStr">
        <is>
          <t>NORRTÄLJE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20291-2022</t>
        </is>
      </c>
      <c r="B1012" s="1" t="n">
        <v>44698</v>
      </c>
      <c r="C1012" s="1" t="n">
        <v>46012</v>
      </c>
      <c r="D1012" t="inlineStr">
        <is>
          <t>STOCKHOLMS LÄN</t>
        </is>
      </c>
      <c r="E1012" t="inlineStr">
        <is>
          <t>NORRTÄLJE</t>
        </is>
      </c>
      <c r="F1012" t="inlineStr">
        <is>
          <t>Naturvårdsverket</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12302-2025</t>
        </is>
      </c>
      <c r="B1013" s="1" t="n">
        <v>45729.72851851852</v>
      </c>
      <c r="C1013" s="1" t="n">
        <v>46012</v>
      </c>
      <c r="D1013" t="inlineStr">
        <is>
          <t>STOCKHOLMS LÄN</t>
        </is>
      </c>
      <c r="E1013" t="inlineStr">
        <is>
          <t>NORRTÄLJE</t>
        </is>
      </c>
      <c r="F1013" t="inlineStr">
        <is>
          <t>Holmen skog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31926-2022</t>
        </is>
      </c>
      <c r="B1014" s="1" t="n">
        <v>44777</v>
      </c>
      <c r="C1014" s="1" t="n">
        <v>46012</v>
      </c>
      <c r="D1014" t="inlineStr">
        <is>
          <t>STOCKHOLMS LÄN</t>
        </is>
      </c>
      <c r="E1014" t="inlineStr">
        <is>
          <t>NORRTÄLJE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1425-2025</t>
        </is>
      </c>
      <c r="B1015" s="1" t="n">
        <v>45668.67446759259</v>
      </c>
      <c r="C1015" s="1" t="n">
        <v>46012</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1453-2025</t>
        </is>
      </c>
      <c r="B1016" s="1" t="n">
        <v>45670.3079050926</v>
      </c>
      <c r="C1016" s="1" t="n">
        <v>46012</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3386-2021</t>
        </is>
      </c>
      <c r="B1017" s="1" t="n">
        <v>44218</v>
      </c>
      <c r="C1017" s="1" t="n">
        <v>46012</v>
      </c>
      <c r="D1017" t="inlineStr">
        <is>
          <t>STOCKHOLMS LÄN</t>
        </is>
      </c>
      <c r="E1017" t="inlineStr">
        <is>
          <t>NORRTÄLJE</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13860-2023</t>
        </is>
      </c>
      <c r="B1018" s="1" t="n">
        <v>45007</v>
      </c>
      <c r="C1018" s="1" t="n">
        <v>46012</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6070-2022</t>
        </is>
      </c>
      <c r="B1019" s="1" t="n">
        <v>44599.58428240741</v>
      </c>
      <c r="C1019" s="1" t="n">
        <v>46012</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9130-2025</t>
        </is>
      </c>
      <c r="B1020" s="1" t="n">
        <v>45713.92623842593</v>
      </c>
      <c r="C1020" s="1" t="n">
        <v>46012</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27828-2022</t>
        </is>
      </c>
      <c r="B1021" s="1" t="n">
        <v>44743.59765046297</v>
      </c>
      <c r="C1021" s="1" t="n">
        <v>46012</v>
      </c>
      <c r="D1021" t="inlineStr">
        <is>
          <t>STOCKHOLMS LÄN</t>
        </is>
      </c>
      <c r="E1021" t="inlineStr">
        <is>
          <t>NORRTÄLJE</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59873-2024</t>
        </is>
      </c>
      <c r="B1022" s="1" t="n">
        <v>45640.57305555556</v>
      </c>
      <c r="C1022" s="1" t="n">
        <v>46012</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22412-2021</t>
        </is>
      </c>
      <c r="B1023" s="1" t="n">
        <v>44326.61967592593</v>
      </c>
      <c r="C1023" s="1" t="n">
        <v>46012</v>
      </c>
      <c r="D1023" t="inlineStr">
        <is>
          <t>STOCKHOLMS LÄN</t>
        </is>
      </c>
      <c r="E1023" t="inlineStr">
        <is>
          <t>NORRTÄLJE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48161-2022</t>
        </is>
      </c>
      <c r="B1024" s="1" t="n">
        <v>44858</v>
      </c>
      <c r="C1024" s="1" t="n">
        <v>46012</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43150-2023</t>
        </is>
      </c>
      <c r="B1025" s="1" t="n">
        <v>45183</v>
      </c>
      <c r="C1025" s="1" t="n">
        <v>46012</v>
      </c>
      <c r="D1025" t="inlineStr">
        <is>
          <t>STOCKHOLMS LÄN</t>
        </is>
      </c>
      <c r="E1025" t="inlineStr">
        <is>
          <t>NORRTÄLJE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59534-2024</t>
        </is>
      </c>
      <c r="B1026" s="1" t="n">
        <v>45638.5987037037</v>
      </c>
      <c r="C1026" s="1" t="n">
        <v>46012</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23307-2024</t>
        </is>
      </c>
      <c r="B1027" s="1" t="n">
        <v>45453</v>
      </c>
      <c r="C1027" s="1" t="n">
        <v>46012</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19450-2025</t>
        </is>
      </c>
      <c r="B1028" s="1" t="n">
        <v>45770</v>
      </c>
      <c r="C1028" s="1" t="n">
        <v>46012</v>
      </c>
      <c r="D1028" t="inlineStr">
        <is>
          <t>STOCKHOLMS LÄN</t>
        </is>
      </c>
      <c r="E1028" t="inlineStr">
        <is>
          <t>NORRTÄLJE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2281-2024</t>
        </is>
      </c>
      <c r="B1029" s="1" t="n">
        <v>45310.40628472222</v>
      </c>
      <c r="C1029" s="1" t="n">
        <v>46012</v>
      </c>
      <c r="D1029" t="inlineStr">
        <is>
          <t>STOCKHOLMS LÄN</t>
        </is>
      </c>
      <c r="E1029" t="inlineStr">
        <is>
          <t>NORRTÄLJE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2287-2024</t>
        </is>
      </c>
      <c r="B1030" s="1" t="n">
        <v>45310</v>
      </c>
      <c r="C1030" s="1" t="n">
        <v>46012</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20618-2022</t>
        </is>
      </c>
      <c r="B1031" s="1" t="n">
        <v>44700.50659722222</v>
      </c>
      <c r="C1031" s="1" t="n">
        <v>46012</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59504-2023</t>
        </is>
      </c>
      <c r="B1032" s="1" t="n">
        <v>45254</v>
      </c>
      <c r="C1032" s="1" t="n">
        <v>46012</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25656-2023</t>
        </is>
      </c>
      <c r="B1033" s="1" t="n">
        <v>45089</v>
      </c>
      <c r="C1033" s="1" t="n">
        <v>46012</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38049-2023</t>
        </is>
      </c>
      <c r="B1034" s="1" t="n">
        <v>45159</v>
      </c>
      <c r="C1034" s="1" t="n">
        <v>46012</v>
      </c>
      <c r="D1034" t="inlineStr">
        <is>
          <t>STOCKHOLMS LÄN</t>
        </is>
      </c>
      <c r="E1034" t="inlineStr">
        <is>
          <t>NORRTÄLJE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3966-2024</t>
        </is>
      </c>
      <c r="B1035" s="1" t="n">
        <v>45322</v>
      </c>
      <c r="C1035" s="1" t="n">
        <v>46012</v>
      </c>
      <c r="D1035" t="inlineStr">
        <is>
          <t>STOCKHOLMS LÄN</t>
        </is>
      </c>
      <c r="E1035" t="inlineStr">
        <is>
          <t>NORRTÄLJE</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17348-2024</t>
        </is>
      </c>
      <c r="B1036" s="1" t="n">
        <v>45414.58650462963</v>
      </c>
      <c r="C1036" s="1" t="n">
        <v>46012</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38591-2023</t>
        </is>
      </c>
      <c r="B1037" s="1" t="n">
        <v>45162</v>
      </c>
      <c r="C1037" s="1" t="n">
        <v>46012</v>
      </c>
      <c r="D1037" t="inlineStr">
        <is>
          <t>STOCKHOLMS LÄN</t>
        </is>
      </c>
      <c r="E1037" t="inlineStr">
        <is>
          <t>NORRTÄLJE</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3273-2025</t>
        </is>
      </c>
      <c r="B1038" s="1" t="n">
        <v>45679</v>
      </c>
      <c r="C1038" s="1" t="n">
        <v>46012</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34461-2023</t>
        </is>
      </c>
      <c r="B1039" s="1" t="n">
        <v>45139</v>
      </c>
      <c r="C1039" s="1" t="n">
        <v>46012</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15217-2023</t>
        </is>
      </c>
      <c r="B1040" s="1" t="n">
        <v>45019.28847222222</v>
      </c>
      <c r="C1040" s="1" t="n">
        <v>46012</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24522-2023</t>
        </is>
      </c>
      <c r="B1041" s="1" t="n">
        <v>45082.69179398148</v>
      </c>
      <c r="C1041" s="1" t="n">
        <v>46012</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29176-2024</t>
        </is>
      </c>
      <c r="B1042" s="1" t="n">
        <v>45482.53388888889</v>
      </c>
      <c r="C1042" s="1" t="n">
        <v>46012</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4596-2023</t>
        </is>
      </c>
      <c r="B1043" s="1" t="n">
        <v>44956</v>
      </c>
      <c r="C1043" s="1" t="n">
        <v>46012</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4438-2023</t>
        </is>
      </c>
      <c r="B1044" s="1" t="n">
        <v>44956</v>
      </c>
      <c r="C1044" s="1" t="n">
        <v>46012</v>
      </c>
      <c r="D1044" t="inlineStr">
        <is>
          <t>STOCKHOLMS LÄN</t>
        </is>
      </c>
      <c r="E1044" t="inlineStr">
        <is>
          <t>NORRTÄLJE</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24727-2023</t>
        </is>
      </c>
      <c r="B1045" s="1" t="n">
        <v>45084.57695601852</v>
      </c>
      <c r="C1045" s="1" t="n">
        <v>46012</v>
      </c>
      <c r="D1045" t="inlineStr">
        <is>
          <t>STOCKHOLMS LÄN</t>
        </is>
      </c>
      <c r="E1045" t="inlineStr">
        <is>
          <t>NORRTÄLJE</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59904-2023</t>
        </is>
      </c>
      <c r="B1046" s="1" t="n">
        <v>45257</v>
      </c>
      <c r="C1046" s="1" t="n">
        <v>46012</v>
      </c>
      <c r="D1046" t="inlineStr">
        <is>
          <t>STOCKHOLMS LÄN</t>
        </is>
      </c>
      <c r="E1046" t="inlineStr">
        <is>
          <t>NORRTÄLJE</t>
        </is>
      </c>
      <c r="G1046" t="n">
        <v>17.4</v>
      </c>
      <c r="H1046" t="n">
        <v>0</v>
      </c>
      <c r="I1046" t="n">
        <v>0</v>
      </c>
      <c r="J1046" t="n">
        <v>0</v>
      </c>
      <c r="K1046" t="n">
        <v>0</v>
      </c>
      <c r="L1046" t="n">
        <v>0</v>
      </c>
      <c r="M1046" t="n">
        <v>0</v>
      </c>
      <c r="N1046" t="n">
        <v>0</v>
      </c>
      <c r="O1046" t="n">
        <v>0</v>
      </c>
      <c r="P1046" t="n">
        <v>0</v>
      </c>
      <c r="Q1046" t="n">
        <v>0</v>
      </c>
      <c r="R1046" s="2" t="inlineStr"/>
    </row>
    <row r="1047" ht="15" customHeight="1">
      <c r="A1047" t="inlineStr">
        <is>
          <t>A 36308-2022</t>
        </is>
      </c>
      <c r="B1047" s="1" t="n">
        <v>44803</v>
      </c>
      <c r="C1047" s="1" t="n">
        <v>46012</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18787-2022</t>
        </is>
      </c>
      <c r="B1048" s="1" t="n">
        <v>44687</v>
      </c>
      <c r="C1048" s="1" t="n">
        <v>46012</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50108-2021</t>
        </is>
      </c>
      <c r="B1049" s="1" t="n">
        <v>44456</v>
      </c>
      <c r="C1049" s="1" t="n">
        <v>46012</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25621-2022</t>
        </is>
      </c>
      <c r="B1050" s="1" t="n">
        <v>44732</v>
      </c>
      <c r="C1050" s="1" t="n">
        <v>46012</v>
      </c>
      <c r="D1050" t="inlineStr">
        <is>
          <t>STOCKHOLMS LÄN</t>
        </is>
      </c>
      <c r="E1050" t="inlineStr">
        <is>
          <t>NORRTÄLJE</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20304-2023</t>
        </is>
      </c>
      <c r="B1051" s="1" t="n">
        <v>45056</v>
      </c>
      <c r="C1051" s="1" t="n">
        <v>46012</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35235-2024</t>
        </is>
      </c>
      <c r="B1052" s="1" t="n">
        <v>45530</v>
      </c>
      <c r="C1052" s="1" t="n">
        <v>46012</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51061-2023</t>
        </is>
      </c>
      <c r="B1053" s="1" t="n">
        <v>45218.65849537037</v>
      </c>
      <c r="C1053" s="1" t="n">
        <v>46012</v>
      </c>
      <c r="D1053" t="inlineStr">
        <is>
          <t>STOCKHOLMS LÄN</t>
        </is>
      </c>
      <c r="E1053" t="inlineStr">
        <is>
          <t>NORRTÄLJE</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39213-2022</t>
        </is>
      </c>
      <c r="B1054" s="1" t="n">
        <v>44817.56120370371</v>
      </c>
      <c r="C1054" s="1" t="n">
        <v>46012</v>
      </c>
      <c r="D1054" t="inlineStr">
        <is>
          <t>STOCKHOLMS LÄN</t>
        </is>
      </c>
      <c r="E1054" t="inlineStr">
        <is>
          <t>NORRTÄLJE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36246-2021</t>
        </is>
      </c>
      <c r="B1055" s="1" t="n">
        <v>44390</v>
      </c>
      <c r="C1055" s="1" t="n">
        <v>46012</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15905-2023</t>
        </is>
      </c>
      <c r="B1056" s="1" t="n">
        <v>45022</v>
      </c>
      <c r="C1056" s="1" t="n">
        <v>46012</v>
      </c>
      <c r="D1056" t="inlineStr">
        <is>
          <t>STOCKHOLMS LÄN</t>
        </is>
      </c>
      <c r="E1056" t="inlineStr">
        <is>
          <t>NORRTÄLJE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11041-2025</t>
        </is>
      </c>
      <c r="B1057" s="1" t="n">
        <v>45723</v>
      </c>
      <c r="C1057" s="1" t="n">
        <v>46012</v>
      </c>
      <c r="D1057" t="inlineStr">
        <is>
          <t>STOCKHOLMS LÄN</t>
        </is>
      </c>
      <c r="E1057" t="inlineStr">
        <is>
          <t>NORRTÄLJE</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44917-2022</t>
        </is>
      </c>
      <c r="B1058" s="1" t="n">
        <v>44841.52804398148</v>
      </c>
      <c r="C1058" s="1" t="n">
        <v>46012</v>
      </c>
      <c r="D1058" t="inlineStr">
        <is>
          <t>STOCKHOLMS LÄN</t>
        </is>
      </c>
      <c r="E1058" t="inlineStr">
        <is>
          <t>NORRTÄLJE</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33173-2024</t>
        </is>
      </c>
      <c r="B1059" s="1" t="n">
        <v>45518</v>
      </c>
      <c r="C1059" s="1" t="n">
        <v>46012</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17551-2025</t>
        </is>
      </c>
      <c r="B1060" s="1" t="n">
        <v>45757.61421296297</v>
      </c>
      <c r="C1060" s="1" t="n">
        <v>46012</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10678-2025</t>
        </is>
      </c>
      <c r="B1061" s="1" t="n">
        <v>45721.89123842592</v>
      </c>
      <c r="C1061" s="1" t="n">
        <v>46012</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8370-2025</t>
        </is>
      </c>
      <c r="B1062" s="1" t="n">
        <v>45708</v>
      </c>
      <c r="C1062" s="1" t="n">
        <v>46012</v>
      </c>
      <c r="D1062" t="inlineStr">
        <is>
          <t>STOCKHOLMS LÄN</t>
        </is>
      </c>
      <c r="E1062" t="inlineStr">
        <is>
          <t>NORRTÄLJE</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46012</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32100-2022</t>
        </is>
      </c>
      <c r="B1064" s="1" t="n">
        <v>44778</v>
      </c>
      <c r="C1064" s="1" t="n">
        <v>46012</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2888-2022</t>
        </is>
      </c>
      <c r="B1065" s="1" t="n">
        <v>44581</v>
      </c>
      <c r="C1065" s="1" t="n">
        <v>46012</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11902-2024</t>
        </is>
      </c>
      <c r="B1066" s="1" t="n">
        <v>45376.55704861111</v>
      </c>
      <c r="C1066" s="1" t="n">
        <v>46012</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13-2024</t>
        </is>
      </c>
      <c r="B1067" s="1" t="n">
        <v>45293.37263888889</v>
      </c>
      <c r="C1067" s="1" t="n">
        <v>46012</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58260-2023</t>
        </is>
      </c>
      <c r="B1068" s="1" t="n">
        <v>45245</v>
      </c>
      <c r="C1068" s="1" t="n">
        <v>46012</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58261-2023</t>
        </is>
      </c>
      <c r="B1069" s="1" t="n">
        <v>45245</v>
      </c>
      <c r="C1069" s="1" t="n">
        <v>46012</v>
      </c>
      <c r="D1069" t="inlineStr">
        <is>
          <t>STOCKHOLMS LÄN</t>
        </is>
      </c>
      <c r="E1069" t="inlineStr">
        <is>
          <t>NORRTÄLJE</t>
        </is>
      </c>
      <c r="G1069" t="n">
        <v>53.5</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44956.65920138889</v>
      </c>
      <c r="C1070" s="1" t="n">
        <v>46012</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875-2023</t>
        </is>
      </c>
      <c r="B1071" s="1" t="n">
        <v>44931.65626157408</v>
      </c>
      <c r="C1071" s="1" t="n">
        <v>46012</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24575-2024</t>
        </is>
      </c>
      <c r="B1072" s="1" t="n">
        <v>45460.45523148148</v>
      </c>
      <c r="C1072" s="1" t="n">
        <v>46012</v>
      </c>
      <c r="D1072" t="inlineStr">
        <is>
          <t>STOCKHOLMS LÄN</t>
        </is>
      </c>
      <c r="E1072" t="inlineStr">
        <is>
          <t>NORRTÄLJE</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19-2024</t>
        </is>
      </c>
      <c r="B1073" s="1" t="n">
        <v>45293</v>
      </c>
      <c r="C1073" s="1" t="n">
        <v>46012</v>
      </c>
      <c r="D1073" t="inlineStr">
        <is>
          <t>STOCKHOLMS LÄN</t>
        </is>
      </c>
      <c r="E1073" t="inlineStr">
        <is>
          <t>NORRTÄLJE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11333-2025</t>
        </is>
      </c>
      <c r="B1074" s="1" t="n">
        <v>45726.48377314815</v>
      </c>
      <c r="C1074" s="1" t="n">
        <v>46012</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21529-2021</t>
        </is>
      </c>
      <c r="B1075" s="1" t="n">
        <v>44321</v>
      </c>
      <c r="C1075" s="1" t="n">
        <v>46012</v>
      </c>
      <c r="D1075" t="inlineStr">
        <is>
          <t>STOCKHOLMS LÄN</t>
        </is>
      </c>
      <c r="E1075" t="inlineStr">
        <is>
          <t>NORRTÄLJE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31827-2023</t>
        </is>
      </c>
      <c r="B1076" s="1" t="n">
        <v>45118</v>
      </c>
      <c r="C1076" s="1" t="n">
        <v>46012</v>
      </c>
      <c r="D1076" t="inlineStr">
        <is>
          <t>STOCKHOLMS LÄN</t>
        </is>
      </c>
      <c r="E1076" t="inlineStr">
        <is>
          <t>NORRTÄLJE</t>
        </is>
      </c>
      <c r="F1076" t="inlineStr">
        <is>
          <t>Kyrkan</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10973-2025</t>
        </is>
      </c>
      <c r="B1077" s="1" t="n">
        <v>45723</v>
      </c>
      <c r="C1077" s="1" t="n">
        <v>46012</v>
      </c>
      <c r="D1077" t="inlineStr">
        <is>
          <t>STOCKHOLMS LÄN</t>
        </is>
      </c>
      <c r="E1077" t="inlineStr">
        <is>
          <t>NORRTÄLJE</t>
        </is>
      </c>
      <c r="F1077" t="inlineStr">
        <is>
          <t>Övriga Aktiebolag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54496-2024</t>
        </is>
      </c>
      <c r="B1078" s="1" t="n">
        <v>45617.57439814815</v>
      </c>
      <c r="C1078" s="1" t="n">
        <v>46012</v>
      </c>
      <c r="D1078" t="inlineStr">
        <is>
          <t>STOCKHOLMS LÄN</t>
        </is>
      </c>
      <c r="E1078" t="inlineStr">
        <is>
          <t>NORRTÄLJE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7796-2025</t>
        </is>
      </c>
      <c r="B1079" s="1" t="n">
        <v>45706.60130787037</v>
      </c>
      <c r="C1079" s="1" t="n">
        <v>46012</v>
      </c>
      <c r="D1079" t="inlineStr">
        <is>
          <t>STOCKHOLMS LÄN</t>
        </is>
      </c>
      <c r="E1079" t="inlineStr">
        <is>
          <t>NORRTÄLJE</t>
        </is>
      </c>
      <c r="F1079" t="inlineStr">
        <is>
          <t>Holmen skog AB</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59767-2022</t>
        </is>
      </c>
      <c r="B1080" s="1" t="n">
        <v>44900</v>
      </c>
      <c r="C1080" s="1" t="n">
        <v>46012</v>
      </c>
      <c r="D1080" t="inlineStr">
        <is>
          <t>STOCKHOLMS LÄN</t>
        </is>
      </c>
      <c r="E1080" t="inlineStr">
        <is>
          <t>NORRTÄLJE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22756-2022</t>
        </is>
      </c>
      <c r="B1081" s="1" t="n">
        <v>44714.92253472222</v>
      </c>
      <c r="C1081" s="1" t="n">
        <v>46012</v>
      </c>
      <c r="D1081" t="inlineStr">
        <is>
          <t>STOCKHOLMS LÄN</t>
        </is>
      </c>
      <c r="E1081" t="inlineStr">
        <is>
          <t>NORRTÄLJE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58311-2023</t>
        </is>
      </c>
      <c r="B1082" s="1" t="n">
        <v>45245</v>
      </c>
      <c r="C1082" s="1" t="n">
        <v>46012</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8739-2024</t>
        </is>
      </c>
      <c r="B1083" s="1" t="n">
        <v>45356.47784722222</v>
      </c>
      <c r="C1083" s="1" t="n">
        <v>46012</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26640-2023</t>
        </is>
      </c>
      <c r="B1084" s="1" t="n">
        <v>45092</v>
      </c>
      <c r="C1084" s="1" t="n">
        <v>46012</v>
      </c>
      <c r="D1084" t="inlineStr">
        <is>
          <t>STOCKHOLMS LÄN</t>
        </is>
      </c>
      <c r="E1084" t="inlineStr">
        <is>
          <t>NORRTÄLJE</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62765-2022</t>
        </is>
      </c>
      <c r="B1085" s="1" t="n">
        <v>44637</v>
      </c>
      <c r="C1085" s="1" t="n">
        <v>46012</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38990-2022</t>
        </is>
      </c>
      <c r="B1086" s="1" t="n">
        <v>44816</v>
      </c>
      <c r="C1086" s="1" t="n">
        <v>46012</v>
      </c>
      <c r="D1086" t="inlineStr">
        <is>
          <t>STOCKHOLMS LÄN</t>
        </is>
      </c>
      <c r="E1086" t="inlineStr">
        <is>
          <t>NORRTÄLJE</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17545-2025</t>
        </is>
      </c>
      <c r="B1087" s="1" t="n">
        <v>45757.60658564815</v>
      </c>
      <c r="C1087" s="1" t="n">
        <v>46012</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17956-2025</t>
        </is>
      </c>
      <c r="B1088" s="1" t="n">
        <v>45760.91174768518</v>
      </c>
      <c r="C1088" s="1" t="n">
        <v>46012</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23265-2023</t>
        </is>
      </c>
      <c r="B1089" s="1" t="n">
        <v>45075.90703703704</v>
      </c>
      <c r="C1089" s="1" t="n">
        <v>46012</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30268-2024</t>
        </is>
      </c>
      <c r="B1090" s="1" t="n">
        <v>45490.60572916667</v>
      </c>
      <c r="C1090" s="1" t="n">
        <v>46012</v>
      </c>
      <c r="D1090" t="inlineStr">
        <is>
          <t>STOCKHOLMS LÄN</t>
        </is>
      </c>
      <c r="E1090" t="inlineStr">
        <is>
          <t>NORRTÄLJE</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59535-2024</t>
        </is>
      </c>
      <c r="B1091" s="1" t="n">
        <v>45638.59979166667</v>
      </c>
      <c r="C1091" s="1" t="n">
        <v>46012</v>
      </c>
      <c r="D1091" t="inlineStr">
        <is>
          <t>STOCKHOLMS LÄN</t>
        </is>
      </c>
      <c r="E1091" t="inlineStr">
        <is>
          <t>NORRTÄLJE</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9246-2024</t>
        </is>
      </c>
      <c r="B1092" s="1" t="n">
        <v>45357</v>
      </c>
      <c r="C1092" s="1" t="n">
        <v>46012</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20852-2023</t>
        </is>
      </c>
      <c r="B1093" s="1" t="n">
        <v>45058.78607638889</v>
      </c>
      <c r="C1093" s="1" t="n">
        <v>46012</v>
      </c>
      <c r="D1093" t="inlineStr">
        <is>
          <t>STOCKHOLMS LÄN</t>
        </is>
      </c>
      <c r="E1093" t="inlineStr">
        <is>
          <t>NORRTÄLJE</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50355-2024</t>
        </is>
      </c>
      <c r="B1094" s="1" t="n">
        <v>45600.86128472222</v>
      </c>
      <c r="C1094" s="1" t="n">
        <v>46012</v>
      </c>
      <c r="D1094" t="inlineStr">
        <is>
          <t>STOCKHOLMS LÄN</t>
        </is>
      </c>
      <c r="E1094" t="inlineStr">
        <is>
          <t>NORRTÄLJE</t>
        </is>
      </c>
      <c r="F1094" t="inlineStr">
        <is>
          <t>Kommuner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60694-2024</t>
        </is>
      </c>
      <c r="B1095" s="1" t="n">
        <v>45644.47878472223</v>
      </c>
      <c r="C1095" s="1" t="n">
        <v>46012</v>
      </c>
      <c r="D1095" t="inlineStr">
        <is>
          <t>STOCKHOLMS LÄN</t>
        </is>
      </c>
      <c r="E1095" t="inlineStr">
        <is>
          <t>NORRTÄLJE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25094-2023</t>
        </is>
      </c>
      <c r="B1096" s="1" t="n">
        <v>45086.3629050926</v>
      </c>
      <c r="C1096" s="1" t="n">
        <v>46012</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59276-2023</t>
        </is>
      </c>
      <c r="B1097" s="1" t="n">
        <v>45253.55641203704</v>
      </c>
      <c r="C1097" s="1" t="n">
        <v>46012</v>
      </c>
      <c r="D1097" t="inlineStr">
        <is>
          <t>STOCKHOLMS LÄN</t>
        </is>
      </c>
      <c r="E1097" t="inlineStr">
        <is>
          <t>NORRTÄLJE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13767-2025</t>
        </is>
      </c>
      <c r="B1098" s="1" t="n">
        <v>45737.43347222222</v>
      </c>
      <c r="C1098" s="1" t="n">
        <v>46012</v>
      </c>
      <c r="D1098" t="inlineStr">
        <is>
          <t>STOCKHOLMS LÄN</t>
        </is>
      </c>
      <c r="E1098" t="inlineStr">
        <is>
          <t>NORRTÄLJE</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41587-2023</t>
        </is>
      </c>
      <c r="B1099" s="1" t="n">
        <v>45175</v>
      </c>
      <c r="C1099" s="1" t="n">
        <v>46012</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27381-2024</t>
        </is>
      </c>
      <c r="B1100" s="1" t="n">
        <v>45473.94501157408</v>
      </c>
      <c r="C1100" s="1" t="n">
        <v>46012</v>
      </c>
      <c r="D1100" t="inlineStr">
        <is>
          <t>STOCKHOLMS LÄN</t>
        </is>
      </c>
      <c r="E1100" t="inlineStr">
        <is>
          <t>NORRTÄLJE</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60529-2023</t>
        </is>
      </c>
      <c r="B1101" s="1" t="n">
        <v>45259</v>
      </c>
      <c r="C1101" s="1" t="n">
        <v>46012</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59326-2023</t>
        </is>
      </c>
      <c r="B1102" s="1" t="n">
        <v>45253.63089120371</v>
      </c>
      <c r="C1102" s="1" t="n">
        <v>46012</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20790-2025</t>
        </is>
      </c>
      <c r="B1103" s="1" t="n">
        <v>45776.62563657408</v>
      </c>
      <c r="C1103" s="1" t="n">
        <v>46012</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3152-2024</t>
        </is>
      </c>
      <c r="B1104" s="1" t="n">
        <v>45316.60306712963</v>
      </c>
      <c r="C1104" s="1" t="n">
        <v>46012</v>
      </c>
      <c r="D1104" t="inlineStr">
        <is>
          <t>STOCKHOLMS LÄN</t>
        </is>
      </c>
      <c r="E1104" t="inlineStr">
        <is>
          <t>NORRTÄLJE</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20699-2025</t>
        </is>
      </c>
      <c r="B1105" s="1" t="n">
        <v>45776.47346064815</v>
      </c>
      <c r="C1105" s="1" t="n">
        <v>46012</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20779-2025</t>
        </is>
      </c>
      <c r="B1106" s="1" t="n">
        <v>45776.59871527777</v>
      </c>
      <c r="C1106" s="1" t="n">
        <v>46012</v>
      </c>
      <c r="D1106" t="inlineStr">
        <is>
          <t>STOCKHOLMS LÄN</t>
        </is>
      </c>
      <c r="E1106" t="inlineStr">
        <is>
          <t>NORRTÄLJE</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44836-2023</t>
        </is>
      </c>
      <c r="B1107" s="1" t="n">
        <v>45190.55609953704</v>
      </c>
      <c r="C1107" s="1" t="n">
        <v>46012</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21771-2025</t>
        </is>
      </c>
      <c r="B1108" s="1" t="n">
        <v>45783</v>
      </c>
      <c r="C1108" s="1" t="n">
        <v>46012</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21778-2025</t>
        </is>
      </c>
      <c r="B1109" s="1" t="n">
        <v>45783.66429398148</v>
      </c>
      <c r="C1109" s="1" t="n">
        <v>46012</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12902-2024</t>
        </is>
      </c>
      <c r="B1110" s="1" t="n">
        <v>45385.38146990741</v>
      </c>
      <c r="C1110" s="1" t="n">
        <v>46012</v>
      </c>
      <c r="D1110" t="inlineStr">
        <is>
          <t>STOCKHOLMS LÄN</t>
        </is>
      </c>
      <c r="E1110" t="inlineStr">
        <is>
          <t>NORRTÄLJE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39237-2024</t>
        </is>
      </c>
      <c r="B1111" s="1" t="n">
        <v>45549</v>
      </c>
      <c r="C1111" s="1" t="n">
        <v>46012</v>
      </c>
      <c r="D1111" t="inlineStr">
        <is>
          <t>STOCKHOLMS LÄN</t>
        </is>
      </c>
      <c r="E1111" t="inlineStr">
        <is>
          <t>NORRTÄLJE</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44891-2023</t>
        </is>
      </c>
      <c r="B1112" s="1" t="n">
        <v>45187</v>
      </c>
      <c r="C1112" s="1" t="n">
        <v>46012</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13268-2025</t>
        </is>
      </c>
      <c r="B1113" s="1" t="n">
        <v>45735</v>
      </c>
      <c r="C1113" s="1" t="n">
        <v>46012</v>
      </c>
      <c r="D1113" t="inlineStr">
        <is>
          <t>STOCKHOLMS LÄN</t>
        </is>
      </c>
      <c r="E1113" t="inlineStr">
        <is>
          <t>NORRTÄLJE</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8414-2025</t>
        </is>
      </c>
      <c r="B1114" s="1" t="n">
        <v>45709.39361111111</v>
      </c>
      <c r="C1114" s="1" t="n">
        <v>46012</v>
      </c>
      <c r="D1114" t="inlineStr">
        <is>
          <t>STOCKHOLMS LÄN</t>
        </is>
      </c>
      <c r="E1114" t="inlineStr">
        <is>
          <t>NORRTÄLJE</t>
        </is>
      </c>
      <c r="F1114" t="inlineStr">
        <is>
          <t>Holmen skog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44032-2024</t>
        </is>
      </c>
      <c r="B1115" s="1" t="n">
        <v>45572.57828703704</v>
      </c>
      <c r="C1115" s="1" t="n">
        <v>46012</v>
      </c>
      <c r="D1115" t="inlineStr">
        <is>
          <t>STOCKHOLMS LÄN</t>
        </is>
      </c>
      <c r="E1115" t="inlineStr">
        <is>
          <t>NORRTÄLJE</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24563-2024</t>
        </is>
      </c>
      <c r="B1116" s="1" t="n">
        <v>45460.44347222222</v>
      </c>
      <c r="C1116" s="1" t="n">
        <v>46012</v>
      </c>
      <c r="D1116" t="inlineStr">
        <is>
          <t>STOCKHOLMS LÄN</t>
        </is>
      </c>
      <c r="E1116" t="inlineStr">
        <is>
          <t>NORRTÄLJE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22202-2025</t>
        </is>
      </c>
      <c r="B1117" s="1" t="n">
        <v>45785.65300925926</v>
      </c>
      <c r="C1117" s="1" t="n">
        <v>46012</v>
      </c>
      <c r="D1117" t="inlineStr">
        <is>
          <t>STOCKHOLMS LÄN</t>
        </is>
      </c>
      <c r="E1117" t="inlineStr">
        <is>
          <t>NORRTÄLJE</t>
        </is>
      </c>
      <c r="G1117" t="n">
        <v>10.2</v>
      </c>
      <c r="H1117" t="n">
        <v>0</v>
      </c>
      <c r="I1117" t="n">
        <v>0</v>
      </c>
      <c r="J1117" t="n">
        <v>0</v>
      </c>
      <c r="K1117" t="n">
        <v>0</v>
      </c>
      <c r="L1117" t="n">
        <v>0</v>
      </c>
      <c r="M1117" t="n">
        <v>0</v>
      </c>
      <c r="N1117" t="n">
        <v>0</v>
      </c>
      <c r="O1117" t="n">
        <v>0</v>
      </c>
      <c r="P1117" t="n">
        <v>0</v>
      </c>
      <c r="Q1117" t="n">
        <v>0</v>
      </c>
      <c r="R1117" s="2" t="inlineStr"/>
    </row>
    <row r="1118" ht="15" customHeight="1">
      <c r="A1118" t="inlineStr">
        <is>
          <t>A 36625-2024</t>
        </is>
      </c>
      <c r="B1118" s="1" t="n">
        <v>45537</v>
      </c>
      <c r="C1118" s="1" t="n">
        <v>46012</v>
      </c>
      <c r="D1118" t="inlineStr">
        <is>
          <t>STOCKHOLMS LÄN</t>
        </is>
      </c>
      <c r="E1118" t="inlineStr">
        <is>
          <t>NORRTÄLJE</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45746-2024</t>
        </is>
      </c>
      <c r="B1119" s="1" t="n">
        <v>45579</v>
      </c>
      <c r="C1119" s="1" t="n">
        <v>46012</v>
      </c>
      <c r="D1119" t="inlineStr">
        <is>
          <t>STOCKHOLMS LÄN</t>
        </is>
      </c>
      <c r="E1119" t="inlineStr">
        <is>
          <t>NORRTÄLJE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8400-2024</t>
        </is>
      </c>
      <c r="B1120" s="1" t="n">
        <v>45352.74090277778</v>
      </c>
      <c r="C1120" s="1" t="n">
        <v>46012</v>
      </c>
      <c r="D1120" t="inlineStr">
        <is>
          <t>STOCKHOLMS LÄN</t>
        </is>
      </c>
      <c r="E1120" t="inlineStr">
        <is>
          <t>NORRTÄLJE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2182-2022</t>
        </is>
      </c>
      <c r="B1121" s="1" t="n">
        <v>44578</v>
      </c>
      <c r="C1121" s="1" t="n">
        <v>46012</v>
      </c>
      <c r="D1121" t="inlineStr">
        <is>
          <t>STOCKHOLMS LÄN</t>
        </is>
      </c>
      <c r="E1121" t="inlineStr">
        <is>
          <t>NORRTÄLJE</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16620-2024</t>
        </is>
      </c>
      <c r="B1122" s="1" t="n">
        <v>45408.57707175926</v>
      </c>
      <c r="C1122" s="1" t="n">
        <v>46012</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22416-2025</t>
        </is>
      </c>
      <c r="B1123" s="1" t="n">
        <v>45786.55645833333</v>
      </c>
      <c r="C1123" s="1" t="n">
        <v>46012</v>
      </c>
      <c r="D1123" t="inlineStr">
        <is>
          <t>STOCKHOLMS LÄN</t>
        </is>
      </c>
      <c r="E1123" t="inlineStr">
        <is>
          <t>NORRTÄLJE</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58785-2024</t>
        </is>
      </c>
      <c r="B1124" s="1" t="n">
        <v>45635.88849537037</v>
      </c>
      <c r="C1124" s="1" t="n">
        <v>46012</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62998-2023</t>
        </is>
      </c>
      <c r="B1125" s="1" t="n">
        <v>45272.64479166667</v>
      </c>
      <c r="C1125" s="1" t="n">
        <v>46012</v>
      </c>
      <c r="D1125" t="inlineStr">
        <is>
          <t>STOCKHOLMS LÄN</t>
        </is>
      </c>
      <c r="E1125" t="inlineStr">
        <is>
          <t>NORRTÄLJE</t>
        </is>
      </c>
      <c r="G1125" t="n">
        <v>16.3</v>
      </c>
      <c r="H1125" t="n">
        <v>0</v>
      </c>
      <c r="I1125" t="n">
        <v>0</v>
      </c>
      <c r="J1125" t="n">
        <v>0</v>
      </c>
      <c r="K1125" t="n">
        <v>0</v>
      </c>
      <c r="L1125" t="n">
        <v>0</v>
      </c>
      <c r="M1125" t="n">
        <v>0</v>
      </c>
      <c r="N1125" t="n">
        <v>0</v>
      </c>
      <c r="O1125" t="n">
        <v>0</v>
      </c>
      <c r="P1125" t="n">
        <v>0</v>
      </c>
      <c r="Q1125" t="n">
        <v>0</v>
      </c>
      <c r="R1125" s="2" t="inlineStr"/>
    </row>
    <row r="1126">
      <c r="A1126" t="inlineStr">
        <is>
          <t>A 63015-2023</t>
        </is>
      </c>
      <c r="B1126" s="1" t="n">
        <v>45272</v>
      </c>
      <c r="C1126" s="1" t="n">
        <v>46012</v>
      </c>
      <c r="D1126" t="inlineStr">
        <is>
          <t>STOCKHOLMS LÄN</t>
        </is>
      </c>
      <c r="E1126" t="inlineStr">
        <is>
          <t>NORRTÄLJE</t>
        </is>
      </c>
      <c r="G1126" t="n">
        <v>13.1</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2025-12-21T10:37:33Z</dcterms:created>
  <dcterms:modified xmlns:dcterms="http://purl.org/dc/terms/" xmlns:xsi="http://www.w3.org/2001/XMLSchema-instance" xsi:type="dcterms:W3CDTF">2025-12-21T10:37:34Z</dcterms:modified>
</cp:coreProperties>
</file>