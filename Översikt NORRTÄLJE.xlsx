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46094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46094</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46094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46094</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46094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46094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46094</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46094</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46094</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52797-2023</t>
        </is>
      </c>
      <c r="B13" s="1" t="n">
        <v>45226</v>
      </c>
      <c r="C13" s="1" t="n">
        <v>46094</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46094</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46094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46094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46094</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46094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46094</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46094</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46094</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46094</v>
      </c>
      <c r="D22" t="inlineStr">
        <is>
          <t>STOCKHOLMS LÄN</t>
        </is>
      </c>
      <c r="E22" t="inlineStr">
        <is>
          <t>NORRTÄLJE</t>
        </is>
      </c>
      <c r="G22" t="n">
        <v>8.5</v>
      </c>
      <c r="H22" t="n">
        <v>10</v>
      </c>
      <c r="I22" t="n">
        <v>0</v>
      </c>
      <c r="J22" t="n">
        <v>5</v>
      </c>
      <c r="K22" t="n">
        <v>4</v>
      </c>
      <c r="L22" t="n">
        <v>1</v>
      </c>
      <c r="M22" t="n">
        <v>0</v>
      </c>
      <c r="N22" t="n">
        <v>0</v>
      </c>
      <c r="O22" t="n">
        <v>10</v>
      </c>
      <c r="P22" t="n">
        <v>5</v>
      </c>
      <c r="Q22" t="n">
        <v>10</v>
      </c>
      <c r="R22" s="2" t="inlineStr">
        <is>
          <t>Ejder
Gråtrut
Havstrut
Knärot
Stare
Fiskmås
Havsörn
Kråka
Skrattmås
Strandskata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52815-2021</t>
        </is>
      </c>
      <c r="B23" s="1" t="n">
        <v>44467</v>
      </c>
      <c r="C23" s="1" t="n">
        <v>46094</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73093-2021</t>
        </is>
      </c>
      <c r="B24" s="1" t="n">
        <v>44550</v>
      </c>
      <c r="C24" s="1" t="n">
        <v>46094</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46094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46094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59582-2024</t>
        </is>
      </c>
      <c r="B27" s="1" t="n">
        <v>45638</v>
      </c>
      <c r="C27" s="1" t="n">
        <v>46094</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47951-2025</t>
        </is>
      </c>
      <c r="B28" s="1" t="n">
        <v>45932.58491898148</v>
      </c>
      <c r="C28" s="1" t="n">
        <v>46094</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46094</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25732-2025</t>
        </is>
      </c>
      <c r="B30" s="1" t="n">
        <v>45800</v>
      </c>
      <c r="C30" s="1" t="n">
        <v>46094</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45811-2022</t>
        </is>
      </c>
      <c r="B31" s="1" t="n">
        <v>44846</v>
      </c>
      <c r="C31" s="1" t="n">
        <v>46094</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46094</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46094</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46094</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47346-2021</t>
        </is>
      </c>
      <c r="B35" s="1" t="n">
        <v>44447</v>
      </c>
      <c r="C35" s="1" t="n">
        <v>46094</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34528-2025</t>
        </is>
      </c>
      <c r="B36" s="1" t="n">
        <v>45847.48436342592</v>
      </c>
      <c r="C36" s="1" t="n">
        <v>46094</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46094</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46094</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21922-2023</t>
        </is>
      </c>
      <c r="B39" s="1" t="n">
        <v>45068</v>
      </c>
      <c r="C39" s="1" t="n">
        <v>46094</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3444-2023</t>
        </is>
      </c>
      <c r="B40" s="1" t="n">
        <v>44949</v>
      </c>
      <c r="C40" s="1" t="n">
        <v>46094</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72111-2021</t>
        </is>
      </c>
      <c r="B41" s="1" t="n">
        <v>44544</v>
      </c>
      <c r="C41" s="1" t="n">
        <v>46094</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46094</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30687-2025</t>
        </is>
      </c>
      <c r="B43" s="1" t="n">
        <v>45831.53390046296</v>
      </c>
      <c r="C43" s="1" t="n">
        <v>46094</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56791-2025</t>
        </is>
      </c>
      <c r="B44" s="1" t="n">
        <v>45978</v>
      </c>
      <c r="C44" s="1" t="n">
        <v>46094</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22071-2022</t>
        </is>
      </c>
      <c r="B45" s="1" t="n">
        <v>44711</v>
      </c>
      <c r="C45" s="1" t="n">
        <v>46094</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21730-2025</t>
        </is>
      </c>
      <c r="B46" s="1" t="n">
        <v>45783.58123842593</v>
      </c>
      <c r="C46" s="1" t="n">
        <v>46094</v>
      </c>
      <c r="D46" t="inlineStr">
        <is>
          <t>STOCKHOLMS LÄN</t>
        </is>
      </c>
      <c r="E46" t="inlineStr">
        <is>
          <t>NORRTÄLJE</t>
        </is>
      </c>
      <c r="G46" t="n">
        <v>4.2</v>
      </c>
      <c r="H46" t="n">
        <v>2</v>
      </c>
      <c r="I46" t="n">
        <v>2</v>
      </c>
      <c r="J46" t="n">
        <v>0</v>
      </c>
      <c r="K46" t="n">
        <v>0</v>
      </c>
      <c r="L46" t="n">
        <v>0</v>
      </c>
      <c r="M46" t="n">
        <v>0</v>
      </c>
      <c r="N46" t="n">
        <v>0</v>
      </c>
      <c r="O46" t="n">
        <v>0</v>
      </c>
      <c r="P46" t="n">
        <v>0</v>
      </c>
      <c r="Q46" t="n">
        <v>4</v>
      </c>
      <c r="R46" s="2" t="inlineStr">
        <is>
          <t>Blåmossa
Brandticka
Blåsippa
Revlummer</t>
        </is>
      </c>
      <c r="S46">
        <f>HYPERLINK("https://klasma.github.io/Logging_0188/artfynd/A 21730-2025 artfynd.xlsx", "A 21730-2025")</f>
        <v/>
      </c>
      <c r="T46">
        <f>HYPERLINK("https://klasma.github.io/Logging_0188/kartor/A 21730-2025 karta.png", "A 21730-2025")</f>
        <v/>
      </c>
      <c r="V46">
        <f>HYPERLINK("https://klasma.github.io/Logging_0188/klagomål/A 21730-2025 FSC-klagomål.docx", "A 21730-2025")</f>
        <v/>
      </c>
      <c r="W46">
        <f>HYPERLINK("https://klasma.github.io/Logging_0188/klagomålsmail/A 21730-2025 FSC-klagomål mail.docx", "A 21730-2025")</f>
        <v/>
      </c>
      <c r="X46">
        <f>HYPERLINK("https://klasma.github.io/Logging_0188/tillsyn/A 21730-2025 tillsynsbegäran.docx", "A 21730-2025")</f>
        <v/>
      </c>
      <c r="Y46">
        <f>HYPERLINK("https://klasma.github.io/Logging_0188/tillsynsmail/A 21730-2025 tillsynsbegäran mail.docx", "A 21730-2025")</f>
        <v/>
      </c>
    </row>
    <row r="47" ht="15" customHeight="1">
      <c r="A47" t="inlineStr">
        <is>
          <t>A 24052-2021</t>
        </is>
      </c>
      <c r="B47" s="1" t="n">
        <v>44336</v>
      </c>
      <c r="C47" s="1" t="n">
        <v>46094</v>
      </c>
      <c r="D47" t="inlineStr">
        <is>
          <t>STOCKHOLMS LÄN</t>
        </is>
      </c>
      <c r="E47" t="inlineStr">
        <is>
          <t>NORRTÄLJE</t>
        </is>
      </c>
      <c r="G47" t="n">
        <v>8.6</v>
      </c>
      <c r="H47" t="n">
        <v>4</v>
      </c>
      <c r="I47" t="n">
        <v>0</v>
      </c>
      <c r="J47" t="n">
        <v>2</v>
      </c>
      <c r="K47" t="n">
        <v>0</v>
      </c>
      <c r="L47" t="n">
        <v>0</v>
      </c>
      <c r="M47" t="n">
        <v>0</v>
      </c>
      <c r="N47" t="n">
        <v>0</v>
      </c>
      <c r="O47" t="n">
        <v>2</v>
      </c>
      <c r="P47" t="n">
        <v>0</v>
      </c>
      <c r="Q47" t="n">
        <v>4</v>
      </c>
      <c r="R47" s="2" t="inlineStr">
        <is>
          <t>Brunlångöra
Nordfladdermus
Dvärgpipistrell
Större brunfladdermus</t>
        </is>
      </c>
      <c r="S47">
        <f>HYPERLINK("https://klasma.github.io/Logging_0188/artfynd/A 24052-2021 artfynd.xlsx", "A 24052-2021")</f>
        <v/>
      </c>
      <c r="T47">
        <f>HYPERLINK("https://klasma.github.io/Logging_0188/kartor/A 24052-2021 karta.png", "A 24052-2021")</f>
        <v/>
      </c>
      <c r="V47">
        <f>HYPERLINK("https://klasma.github.io/Logging_0188/klagomål/A 24052-2021 FSC-klagomål.docx", "A 24052-2021")</f>
        <v/>
      </c>
      <c r="W47">
        <f>HYPERLINK("https://klasma.github.io/Logging_0188/klagomålsmail/A 24052-2021 FSC-klagomål mail.docx", "A 24052-2021")</f>
        <v/>
      </c>
      <c r="X47">
        <f>HYPERLINK("https://klasma.github.io/Logging_0188/tillsyn/A 24052-2021 tillsynsbegäran.docx", "A 24052-2021")</f>
        <v/>
      </c>
      <c r="Y47">
        <f>HYPERLINK("https://klasma.github.io/Logging_0188/tillsynsmail/A 24052-2021 tillsynsbegäran mail.docx", "A 24052-2021")</f>
        <v/>
      </c>
    </row>
    <row r="48" ht="15" customHeight="1">
      <c r="A48" t="inlineStr">
        <is>
          <t>A 25687-2025</t>
        </is>
      </c>
      <c r="B48" s="1" t="n">
        <v>45800</v>
      </c>
      <c r="C48" s="1" t="n">
        <v>46094</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72305-2021</t>
        </is>
      </c>
      <c r="B49" s="1" t="n">
        <v>44545</v>
      </c>
      <c r="C49" s="1" t="n">
        <v>46094</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44709-2022</t>
        </is>
      </c>
      <c r="B50" s="1" t="n">
        <v>44839</v>
      </c>
      <c r="C50" s="1" t="n">
        <v>46094</v>
      </c>
      <c r="D50" t="inlineStr">
        <is>
          <t>STOCKHOLMS LÄN</t>
        </is>
      </c>
      <c r="E50" t="inlineStr">
        <is>
          <t>NORRTÄLJE</t>
        </is>
      </c>
      <c r="G50" t="n">
        <v>16.3</v>
      </c>
      <c r="H50" t="n">
        <v>3</v>
      </c>
      <c r="I50" t="n">
        <v>0</v>
      </c>
      <c r="J50" t="n">
        <v>2</v>
      </c>
      <c r="K50" t="n">
        <v>0</v>
      </c>
      <c r="L50" t="n">
        <v>0</v>
      </c>
      <c r="M50" t="n">
        <v>0</v>
      </c>
      <c r="N50" t="n">
        <v>0</v>
      </c>
      <c r="O50" t="n">
        <v>2</v>
      </c>
      <c r="P50" t="n">
        <v>0</v>
      </c>
      <c r="Q50" t="n">
        <v>4</v>
      </c>
      <c r="R50" s="2" t="inlineStr">
        <is>
          <t>Asppraktbagge
Spillkråka
Enkelbeckasin
Orre</t>
        </is>
      </c>
      <c r="S50">
        <f>HYPERLINK("https://klasma.github.io/Logging_0188/artfynd/A 44709-2022 artfynd.xlsx", "A 44709-2022")</f>
        <v/>
      </c>
      <c r="T50">
        <f>HYPERLINK("https://klasma.github.io/Logging_0188/kartor/A 44709-2022 karta.png", "A 44709-2022")</f>
        <v/>
      </c>
      <c r="V50">
        <f>HYPERLINK("https://klasma.github.io/Logging_0188/klagomål/A 44709-2022 FSC-klagomål.docx", "A 44709-2022")</f>
        <v/>
      </c>
      <c r="W50">
        <f>HYPERLINK("https://klasma.github.io/Logging_0188/klagomålsmail/A 44709-2022 FSC-klagomål mail.docx", "A 44709-2022")</f>
        <v/>
      </c>
      <c r="X50">
        <f>HYPERLINK("https://klasma.github.io/Logging_0188/tillsyn/A 44709-2022 tillsynsbegäran.docx", "A 44709-2022")</f>
        <v/>
      </c>
      <c r="Y50">
        <f>HYPERLINK("https://klasma.github.io/Logging_0188/tillsynsmail/A 44709-2022 tillsynsbegäran mail.docx", "A 44709-2022")</f>
        <v/>
      </c>
      <c r="Z50">
        <f>HYPERLINK("https://klasma.github.io/Logging_0188/fåglar/A 44709-2022 prioriterade fågelarter.docx", "A 44709-2022")</f>
        <v/>
      </c>
    </row>
    <row r="51" ht="15" customHeight="1">
      <c r="A51" t="inlineStr">
        <is>
          <t>A 34521-2025</t>
        </is>
      </c>
      <c r="B51" s="1" t="n">
        <v>45847.47052083333</v>
      </c>
      <c r="C51" s="1" t="n">
        <v>46094</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41276-2025</t>
        </is>
      </c>
      <c r="B52" s="1" t="n">
        <v>45898.62723379629</v>
      </c>
      <c r="C52" s="1" t="n">
        <v>46094</v>
      </c>
      <c r="D52" t="inlineStr">
        <is>
          <t>STOCKHOLMS LÄN</t>
        </is>
      </c>
      <c r="E52" t="inlineStr">
        <is>
          <t>NORRTÄLJE</t>
        </is>
      </c>
      <c r="G52" t="n">
        <v>3.2</v>
      </c>
      <c r="H52" t="n">
        <v>1</v>
      </c>
      <c r="I52" t="n">
        <v>2</v>
      </c>
      <c r="J52" t="n">
        <v>0</v>
      </c>
      <c r="K52" t="n">
        <v>0</v>
      </c>
      <c r="L52" t="n">
        <v>1</v>
      </c>
      <c r="M52" t="n">
        <v>0</v>
      </c>
      <c r="N52" t="n">
        <v>0</v>
      </c>
      <c r="O52" t="n">
        <v>1</v>
      </c>
      <c r="P52" t="n">
        <v>1</v>
      </c>
      <c r="Q52" t="n">
        <v>4</v>
      </c>
      <c r="R52" s="2" t="inlineStr">
        <is>
          <t>Ask
Underviol
Vårärt
Blåsippa</t>
        </is>
      </c>
      <c r="S52">
        <f>HYPERLINK("https://klasma.github.io/Logging_0188/artfynd/A 41276-2025 artfynd.xlsx", "A 41276-2025")</f>
        <v/>
      </c>
      <c r="T52">
        <f>HYPERLINK("https://klasma.github.io/Logging_0188/kartor/A 41276-2025 karta.png", "A 41276-2025")</f>
        <v/>
      </c>
      <c r="V52">
        <f>HYPERLINK("https://klasma.github.io/Logging_0188/klagomål/A 41276-2025 FSC-klagomål.docx", "A 41276-2025")</f>
        <v/>
      </c>
      <c r="W52">
        <f>HYPERLINK("https://klasma.github.io/Logging_0188/klagomålsmail/A 41276-2025 FSC-klagomål mail.docx", "A 41276-2025")</f>
        <v/>
      </c>
      <c r="X52">
        <f>HYPERLINK("https://klasma.github.io/Logging_0188/tillsyn/A 41276-2025 tillsynsbegäran.docx", "A 41276-2025")</f>
        <v/>
      </c>
      <c r="Y52">
        <f>HYPERLINK("https://klasma.github.io/Logging_0188/tillsynsmail/A 41276-2025 tillsynsbegäran mail.docx", "A 41276-2025")</f>
        <v/>
      </c>
    </row>
    <row r="53" ht="15" customHeight="1">
      <c r="A53" t="inlineStr">
        <is>
          <t>A 10876-2025</t>
        </is>
      </c>
      <c r="B53" s="1" t="n">
        <v>45722</v>
      </c>
      <c r="C53" s="1" t="n">
        <v>46094</v>
      </c>
      <c r="D53" t="inlineStr">
        <is>
          <t>STOCKHOLMS LÄN</t>
        </is>
      </c>
      <c r="E53" t="inlineStr">
        <is>
          <t>NORRTÄLJE</t>
        </is>
      </c>
      <c r="F53" t="inlineStr">
        <is>
          <t>Holmen skog AB</t>
        </is>
      </c>
      <c r="G53" t="n">
        <v>9.300000000000001</v>
      </c>
      <c r="H53" t="n">
        <v>4</v>
      </c>
      <c r="I53" t="n">
        <v>0</v>
      </c>
      <c r="J53" t="n">
        <v>1</v>
      </c>
      <c r="K53" t="n">
        <v>1</v>
      </c>
      <c r="L53" t="n">
        <v>1</v>
      </c>
      <c r="M53" t="n">
        <v>0</v>
      </c>
      <c r="N53" t="n">
        <v>0</v>
      </c>
      <c r="O53" t="n">
        <v>3</v>
      </c>
      <c r="P53" t="n">
        <v>2</v>
      </c>
      <c r="Q53" t="n">
        <v>4</v>
      </c>
      <c r="R53" s="2" t="inlineStr">
        <is>
          <t>Asknätfjäril
Hällebräcka
Utter
Gullviva</t>
        </is>
      </c>
      <c r="S53">
        <f>HYPERLINK("https://klasma.github.io/Logging_0188/artfynd/A 10876-2025 artfynd.xlsx", "A 10876-2025")</f>
        <v/>
      </c>
      <c r="T53">
        <f>HYPERLINK("https://klasma.github.io/Logging_0188/kartor/A 10876-2025 karta.png", "A 10876-2025")</f>
        <v/>
      </c>
      <c r="V53">
        <f>HYPERLINK("https://klasma.github.io/Logging_0188/klagomål/A 10876-2025 FSC-klagomål.docx", "A 10876-2025")</f>
        <v/>
      </c>
      <c r="W53">
        <f>HYPERLINK("https://klasma.github.io/Logging_0188/klagomålsmail/A 10876-2025 FSC-klagomål mail.docx", "A 10876-2025")</f>
        <v/>
      </c>
      <c r="X53">
        <f>HYPERLINK("https://klasma.github.io/Logging_0188/tillsyn/A 10876-2025 tillsynsbegäran.docx", "A 10876-2025")</f>
        <v/>
      </c>
      <c r="Y53">
        <f>HYPERLINK("https://klasma.github.io/Logging_0188/tillsynsmail/A 10876-2025 tillsynsbegäran mail.docx", "A 10876-2025")</f>
        <v/>
      </c>
    </row>
    <row r="54" ht="15" customHeight="1">
      <c r="A54" t="inlineStr">
        <is>
          <t>A 47212-2025</t>
        </is>
      </c>
      <c r="B54" s="1" t="n">
        <v>45930</v>
      </c>
      <c r="C54" s="1" t="n">
        <v>46094</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17673-2021</t>
        </is>
      </c>
      <c r="B55" s="1" t="n">
        <v>44300</v>
      </c>
      <c r="C55" s="1" t="n">
        <v>46094</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28836-2022</t>
        </is>
      </c>
      <c r="B56" s="1" t="n">
        <v>44749</v>
      </c>
      <c r="C56" s="1" t="n">
        <v>46094</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45113-2022</t>
        </is>
      </c>
      <c r="B57" s="1" t="n">
        <v>44843</v>
      </c>
      <c r="C57" s="1" t="n">
        <v>46094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14560-2021</t>
        </is>
      </c>
      <c r="B58" s="1" t="n">
        <v>44279</v>
      </c>
      <c r="C58" s="1" t="n">
        <v>46094</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46094</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46094</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46094</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46094</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2851-2023</t>
        </is>
      </c>
      <c r="B63" s="1" t="n">
        <v>44945</v>
      </c>
      <c r="C63" s="1" t="n">
        <v>46094</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46094</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34524-2025</t>
        </is>
      </c>
      <c r="B65" s="1" t="n">
        <v>45847.47685185185</v>
      </c>
      <c r="C65" s="1" t="n">
        <v>46094</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46094</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46094</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52726-2025</t>
        </is>
      </c>
      <c r="B68" s="1" t="n">
        <v>45957.34722222222</v>
      </c>
      <c r="C68" s="1" t="n">
        <v>46094</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52133-2022</t>
        </is>
      </c>
      <c r="B69" s="1" t="n">
        <v>44868</v>
      </c>
      <c r="C69" s="1" t="n">
        <v>46094</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46094</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46094</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46094</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46094</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52124-2022</t>
        </is>
      </c>
      <c r="B74" s="1" t="n">
        <v>44868</v>
      </c>
      <c r="C74" s="1" t="n">
        <v>46094</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30693-2022</t>
        </is>
      </c>
      <c r="B75" s="1" t="n">
        <v>44763</v>
      </c>
      <c r="C75" s="1" t="n">
        <v>46094</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52825-2023</t>
        </is>
      </c>
      <c r="B76" s="1" t="n">
        <v>45226</v>
      </c>
      <c r="C76" s="1" t="n">
        <v>46094</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16260-2022</t>
        </is>
      </c>
      <c r="B77" s="1" t="n">
        <v>44670</v>
      </c>
      <c r="C77" s="1" t="n">
        <v>46094</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52360-2024</t>
        </is>
      </c>
      <c r="B78" s="1" t="n">
        <v>45609.37094907407</v>
      </c>
      <c r="C78" s="1" t="n">
        <v>46094</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11031-2025</t>
        </is>
      </c>
      <c r="B79" s="1" t="n">
        <v>45723</v>
      </c>
      <c r="C79" s="1" t="n">
        <v>46094</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33548-2025</t>
        </is>
      </c>
      <c r="B80" s="1" t="n">
        <v>45841.5721875</v>
      </c>
      <c r="C80" s="1" t="n">
        <v>46094</v>
      </c>
      <c r="D80" t="inlineStr">
        <is>
          <t>STOCKHOLMS LÄN</t>
        </is>
      </c>
      <c r="E80" t="inlineStr">
        <is>
          <t>NORRTÄLJE</t>
        </is>
      </c>
      <c r="G80" t="n">
        <v>12.2</v>
      </c>
      <c r="H80" t="n">
        <v>1</v>
      </c>
      <c r="I80" t="n">
        <v>0</v>
      </c>
      <c r="J80" t="n">
        <v>1</v>
      </c>
      <c r="K80" t="n">
        <v>0</v>
      </c>
      <c r="L80" t="n">
        <v>0</v>
      </c>
      <c r="M80" t="n">
        <v>0</v>
      </c>
      <c r="N80" t="n">
        <v>0</v>
      </c>
      <c r="O80" t="n">
        <v>1</v>
      </c>
      <c r="P80" t="n">
        <v>0</v>
      </c>
      <c r="Q80" t="n">
        <v>2</v>
      </c>
      <c r="R80" s="2" t="inlineStr">
        <is>
          <t>Dofttaggsvamp
Sparvuggla</t>
        </is>
      </c>
      <c r="S80">
        <f>HYPERLINK("https://klasma.github.io/Logging_0188/artfynd/A 33548-2025 artfynd.xlsx", "A 33548-2025")</f>
        <v/>
      </c>
      <c r="T80">
        <f>HYPERLINK("https://klasma.github.io/Logging_0188/kartor/A 33548-2025 karta.png", "A 33548-2025")</f>
        <v/>
      </c>
      <c r="V80">
        <f>HYPERLINK("https://klasma.github.io/Logging_0188/klagomål/A 33548-2025 FSC-klagomål.docx", "A 33548-2025")</f>
        <v/>
      </c>
      <c r="W80">
        <f>HYPERLINK("https://klasma.github.io/Logging_0188/klagomålsmail/A 33548-2025 FSC-klagomål mail.docx", "A 33548-2025")</f>
        <v/>
      </c>
      <c r="X80">
        <f>HYPERLINK("https://klasma.github.io/Logging_0188/tillsyn/A 33548-2025 tillsynsbegäran.docx", "A 33548-2025")</f>
        <v/>
      </c>
      <c r="Y80">
        <f>HYPERLINK("https://klasma.github.io/Logging_0188/tillsynsmail/A 33548-2025 tillsynsbegäran mail.docx", "A 33548-2025")</f>
        <v/>
      </c>
      <c r="Z80">
        <f>HYPERLINK("https://klasma.github.io/Logging_0188/fåglar/A 33548-2025 prioriterade fågelarter.docx", "A 33548-2025")</f>
        <v/>
      </c>
    </row>
    <row r="81" ht="15" customHeight="1">
      <c r="A81" t="inlineStr">
        <is>
          <t>A 22190-2024</t>
        </is>
      </c>
      <c r="B81" s="1" t="n">
        <v>45446.35888888889</v>
      </c>
      <c r="C81" s="1" t="n">
        <v>46094</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17952-2022</t>
        </is>
      </c>
      <c r="B82" s="1" t="n">
        <v>44683</v>
      </c>
      <c r="C82" s="1" t="n">
        <v>46094</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51980-2022</t>
        </is>
      </c>
      <c r="B83" s="1" t="n">
        <v>44872</v>
      </c>
      <c r="C83" s="1" t="n">
        <v>46094</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50697-2025</t>
        </is>
      </c>
      <c r="B84" s="1" t="n">
        <v>45945.90854166666</v>
      </c>
      <c r="C84" s="1" t="n">
        <v>46094</v>
      </c>
      <c r="D84" t="inlineStr">
        <is>
          <t>STOCKHOLMS LÄN</t>
        </is>
      </c>
      <c r="E84" t="inlineStr">
        <is>
          <t>NORRTÄLJE</t>
        </is>
      </c>
      <c r="G84" t="n">
        <v>5.5</v>
      </c>
      <c r="H84" t="n">
        <v>0</v>
      </c>
      <c r="I84" t="n">
        <v>0</v>
      </c>
      <c r="J84" t="n">
        <v>2</v>
      </c>
      <c r="K84" t="n">
        <v>0</v>
      </c>
      <c r="L84" t="n">
        <v>0</v>
      </c>
      <c r="M84" t="n">
        <v>0</v>
      </c>
      <c r="N84" t="n">
        <v>0</v>
      </c>
      <c r="O84" t="n">
        <v>2</v>
      </c>
      <c r="P84" t="n">
        <v>0</v>
      </c>
      <c r="Q84" t="n">
        <v>2</v>
      </c>
      <c r="R84" s="2" t="inlineStr">
        <is>
          <t>Skogsklocka
Småflikig brosklav</t>
        </is>
      </c>
      <c r="S84">
        <f>HYPERLINK("https://klasma.github.io/Logging_0188/artfynd/A 50697-2025 artfynd.xlsx", "A 50697-2025")</f>
        <v/>
      </c>
      <c r="T84">
        <f>HYPERLINK("https://klasma.github.io/Logging_0188/kartor/A 50697-2025 karta.png", "A 50697-2025")</f>
        <v/>
      </c>
      <c r="V84">
        <f>HYPERLINK("https://klasma.github.io/Logging_0188/klagomål/A 50697-2025 FSC-klagomål.docx", "A 50697-2025")</f>
        <v/>
      </c>
      <c r="W84">
        <f>HYPERLINK("https://klasma.github.io/Logging_0188/klagomålsmail/A 50697-2025 FSC-klagomål mail.docx", "A 50697-2025")</f>
        <v/>
      </c>
      <c r="X84">
        <f>HYPERLINK("https://klasma.github.io/Logging_0188/tillsyn/A 50697-2025 tillsynsbegäran.docx", "A 50697-2025")</f>
        <v/>
      </c>
      <c r="Y84">
        <f>HYPERLINK("https://klasma.github.io/Logging_0188/tillsynsmail/A 50697-2025 tillsynsbegäran mail.docx", "A 50697-2025")</f>
        <v/>
      </c>
    </row>
    <row r="85" ht="15" customHeight="1">
      <c r="A85" t="inlineStr">
        <is>
          <t>A 53608-2025</t>
        </is>
      </c>
      <c r="B85" s="1" t="n">
        <v>45960</v>
      </c>
      <c r="C85" s="1" t="n">
        <v>46094</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1547-2022</t>
        </is>
      </c>
      <c r="B86" s="1" t="n">
        <v>44573</v>
      </c>
      <c r="C86" s="1" t="n">
        <v>46094</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46094</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46094</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33477-2022</t>
        </is>
      </c>
      <c r="B89" s="1" t="n">
        <v>44788.70217592592</v>
      </c>
      <c r="C89" s="1" t="n">
        <v>46094</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47898-2022</t>
        </is>
      </c>
      <c r="B90" s="1" t="n">
        <v>44855</v>
      </c>
      <c r="C90" s="1" t="n">
        <v>46094</v>
      </c>
      <c r="D90" t="inlineStr">
        <is>
          <t>STOCKHOLMS LÄN</t>
        </is>
      </c>
      <c r="E90" t="inlineStr">
        <is>
          <t>NORRTÄLJE</t>
        </is>
      </c>
      <c r="G90" t="n">
        <v>6.7</v>
      </c>
      <c r="H90" t="n">
        <v>1</v>
      </c>
      <c r="I90" t="n">
        <v>1</v>
      </c>
      <c r="J90" t="n">
        <v>0</v>
      </c>
      <c r="K90" t="n">
        <v>0</v>
      </c>
      <c r="L90" t="n">
        <v>0</v>
      </c>
      <c r="M90" t="n">
        <v>0</v>
      </c>
      <c r="N90" t="n">
        <v>0</v>
      </c>
      <c r="O90" t="n">
        <v>0</v>
      </c>
      <c r="P90" t="n">
        <v>0</v>
      </c>
      <c r="Q90" t="n">
        <v>1</v>
      </c>
      <c r="R90" s="2" t="inlineStr">
        <is>
          <t>Guckusko</t>
        </is>
      </c>
      <c r="S90">
        <f>HYPERLINK("https://klasma.github.io/Logging_0188/artfynd/A 47898-2022 artfynd.xlsx", "A 47898-2022")</f>
        <v/>
      </c>
      <c r="T90">
        <f>HYPERLINK("https://klasma.github.io/Logging_0188/kartor/A 47898-2022 karta.png", "A 47898-2022")</f>
        <v/>
      </c>
      <c r="V90">
        <f>HYPERLINK("https://klasma.github.io/Logging_0188/klagomål/A 47898-2022 FSC-klagomål.docx", "A 47898-2022")</f>
        <v/>
      </c>
      <c r="W90">
        <f>HYPERLINK("https://klasma.github.io/Logging_0188/klagomålsmail/A 47898-2022 FSC-klagomål mail.docx", "A 47898-2022")</f>
        <v/>
      </c>
      <c r="X90">
        <f>HYPERLINK("https://klasma.github.io/Logging_0188/tillsyn/A 47898-2022 tillsynsbegäran.docx", "A 47898-2022")</f>
        <v/>
      </c>
      <c r="Y90">
        <f>HYPERLINK("https://klasma.github.io/Logging_0188/tillsynsmail/A 47898-2022 tillsynsbegäran mail.docx", "A 47898-2022")</f>
        <v/>
      </c>
    </row>
    <row r="91" ht="15" customHeight="1">
      <c r="A91" t="inlineStr">
        <is>
          <t>A 11429-2023</t>
        </is>
      </c>
      <c r="B91" s="1" t="n">
        <v>44993</v>
      </c>
      <c r="C91" s="1" t="n">
        <v>46094</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58888-2021</t>
        </is>
      </c>
      <c r="B92" s="1" t="n">
        <v>44489</v>
      </c>
      <c r="C92" s="1" t="n">
        <v>46094</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17629-2022</t>
        </is>
      </c>
      <c r="B93" s="1" t="n">
        <v>44680</v>
      </c>
      <c r="C93" s="1" t="n">
        <v>46094</v>
      </c>
      <c r="D93" t="inlineStr">
        <is>
          <t>STOCKHOLMS LÄN</t>
        </is>
      </c>
      <c r="E93" t="inlineStr">
        <is>
          <t>NORRTÄLJE</t>
        </is>
      </c>
      <c r="G93" t="n">
        <v>0.6</v>
      </c>
      <c r="H93" t="n">
        <v>1</v>
      </c>
      <c r="I93" t="n">
        <v>0</v>
      </c>
      <c r="J93" t="n">
        <v>1</v>
      </c>
      <c r="K93" t="n">
        <v>0</v>
      </c>
      <c r="L93" t="n">
        <v>0</v>
      </c>
      <c r="M93" t="n">
        <v>0</v>
      </c>
      <c r="N93" t="n">
        <v>0</v>
      </c>
      <c r="O93" t="n">
        <v>1</v>
      </c>
      <c r="P93" t="n">
        <v>0</v>
      </c>
      <c r="Q93" t="n">
        <v>1</v>
      </c>
      <c r="R93" s="2" t="inlineStr">
        <is>
          <t>Hornuggla</t>
        </is>
      </c>
      <c r="S93">
        <f>HYPERLINK("https://klasma.github.io/Logging_0188/artfynd/A 17629-2022 artfynd.xlsx", "A 17629-2022")</f>
        <v/>
      </c>
      <c r="T93">
        <f>HYPERLINK("https://klasma.github.io/Logging_0188/kartor/A 17629-2022 karta.png", "A 17629-2022")</f>
        <v/>
      </c>
      <c r="V93">
        <f>HYPERLINK("https://klasma.github.io/Logging_0188/klagomål/A 17629-2022 FSC-klagomål.docx", "A 17629-2022")</f>
        <v/>
      </c>
      <c r="W93">
        <f>HYPERLINK("https://klasma.github.io/Logging_0188/klagomålsmail/A 17629-2022 FSC-klagomål mail.docx", "A 17629-2022")</f>
        <v/>
      </c>
      <c r="X93">
        <f>HYPERLINK("https://klasma.github.io/Logging_0188/tillsyn/A 17629-2022 tillsynsbegäran.docx", "A 17629-2022")</f>
        <v/>
      </c>
      <c r="Y93">
        <f>HYPERLINK("https://klasma.github.io/Logging_0188/tillsynsmail/A 17629-2022 tillsynsbegäran mail.docx", "A 17629-2022")</f>
        <v/>
      </c>
      <c r="Z93">
        <f>HYPERLINK("https://klasma.github.io/Logging_0188/fåglar/A 17629-2022 prioriterade fågelarter.docx", "A 17629-2022")</f>
        <v/>
      </c>
    </row>
    <row r="94" ht="15" customHeight="1">
      <c r="A94" t="inlineStr">
        <is>
          <t>A 14365-2025</t>
        </is>
      </c>
      <c r="B94" s="1" t="n">
        <v>45741.38688657407</v>
      </c>
      <c r="C94" s="1" t="n">
        <v>46094</v>
      </c>
      <c r="D94" t="inlineStr">
        <is>
          <t>STOCKHOLMS LÄN</t>
        </is>
      </c>
      <c r="E94" t="inlineStr">
        <is>
          <t>NORRTÄLJE</t>
        </is>
      </c>
      <c r="G94" t="n">
        <v>2.4</v>
      </c>
      <c r="H94" t="n">
        <v>0</v>
      </c>
      <c r="I94" t="n">
        <v>0</v>
      </c>
      <c r="J94" t="n">
        <v>1</v>
      </c>
      <c r="K94" t="n">
        <v>0</v>
      </c>
      <c r="L94" t="n">
        <v>0</v>
      </c>
      <c r="M94" t="n">
        <v>0</v>
      </c>
      <c r="N94" t="n">
        <v>0</v>
      </c>
      <c r="O94" t="n">
        <v>1</v>
      </c>
      <c r="P94" t="n">
        <v>0</v>
      </c>
      <c r="Q94" t="n">
        <v>1</v>
      </c>
      <c r="R94" s="2" t="inlineStr">
        <is>
          <t>Granticka</t>
        </is>
      </c>
      <c r="S94">
        <f>HYPERLINK("https://klasma.github.io/Logging_0188/artfynd/A 14365-2025 artfynd.xlsx", "A 14365-2025")</f>
        <v/>
      </c>
      <c r="T94">
        <f>HYPERLINK("https://klasma.github.io/Logging_0188/kartor/A 14365-2025 karta.png", "A 14365-2025")</f>
        <v/>
      </c>
      <c r="V94">
        <f>HYPERLINK("https://klasma.github.io/Logging_0188/klagomål/A 14365-2025 FSC-klagomål.docx", "A 14365-2025")</f>
        <v/>
      </c>
      <c r="W94">
        <f>HYPERLINK("https://klasma.github.io/Logging_0188/klagomålsmail/A 14365-2025 FSC-klagomål mail.docx", "A 14365-2025")</f>
        <v/>
      </c>
      <c r="X94">
        <f>HYPERLINK("https://klasma.github.io/Logging_0188/tillsyn/A 14365-2025 tillsynsbegäran.docx", "A 14365-2025")</f>
        <v/>
      </c>
      <c r="Y94">
        <f>HYPERLINK("https://klasma.github.io/Logging_0188/tillsynsmail/A 14365-2025 tillsynsbegäran mail.docx", "A 14365-2025")</f>
        <v/>
      </c>
    </row>
    <row r="95" ht="15" customHeight="1">
      <c r="A95" t="inlineStr">
        <is>
          <t>A 32111-2022</t>
        </is>
      </c>
      <c r="B95" s="1" t="n">
        <v>44778.92797453704</v>
      </c>
      <c r="C95" s="1" t="n">
        <v>46094</v>
      </c>
      <c r="D95" t="inlineStr">
        <is>
          <t>STOCKHOLMS LÄN</t>
        </is>
      </c>
      <c r="E95" t="inlineStr">
        <is>
          <t>NORRTÄLJE</t>
        </is>
      </c>
      <c r="G95" t="n">
        <v>3.1</v>
      </c>
      <c r="H95" t="n">
        <v>0</v>
      </c>
      <c r="I95" t="n">
        <v>0</v>
      </c>
      <c r="J95" t="n">
        <v>1</v>
      </c>
      <c r="K95" t="n">
        <v>0</v>
      </c>
      <c r="L95" t="n">
        <v>0</v>
      </c>
      <c r="M95" t="n">
        <v>0</v>
      </c>
      <c r="N95" t="n">
        <v>0</v>
      </c>
      <c r="O95" t="n">
        <v>1</v>
      </c>
      <c r="P95" t="n">
        <v>0</v>
      </c>
      <c r="Q95" t="n">
        <v>1</v>
      </c>
      <c r="R95" s="2" t="inlineStr">
        <is>
          <t>Orange taggsvamp</t>
        </is>
      </c>
      <c r="S95">
        <f>HYPERLINK("https://klasma.github.io/Logging_0188/artfynd/A 32111-2022 artfynd.xlsx", "A 32111-2022")</f>
        <v/>
      </c>
      <c r="T95">
        <f>HYPERLINK("https://klasma.github.io/Logging_0188/kartor/A 32111-2022 karta.png", "A 32111-2022")</f>
        <v/>
      </c>
      <c r="V95">
        <f>HYPERLINK("https://klasma.github.io/Logging_0188/klagomål/A 32111-2022 FSC-klagomål.docx", "A 32111-2022")</f>
        <v/>
      </c>
      <c r="W95">
        <f>HYPERLINK("https://klasma.github.io/Logging_0188/klagomålsmail/A 32111-2022 FSC-klagomål mail.docx", "A 32111-2022")</f>
        <v/>
      </c>
      <c r="X95">
        <f>HYPERLINK("https://klasma.github.io/Logging_0188/tillsyn/A 32111-2022 tillsynsbegäran.docx", "A 32111-2022")</f>
        <v/>
      </c>
      <c r="Y95">
        <f>HYPERLINK("https://klasma.github.io/Logging_0188/tillsynsmail/A 32111-2022 tillsynsbegäran mail.docx", "A 32111-2022")</f>
        <v/>
      </c>
    </row>
    <row r="96" ht="15" customHeight="1">
      <c r="A96" t="inlineStr">
        <is>
          <t>A 9955-2022</t>
        </is>
      </c>
      <c r="B96" s="1" t="n">
        <v>44620</v>
      </c>
      <c r="C96" s="1" t="n">
        <v>46094</v>
      </c>
      <c r="D96" t="inlineStr">
        <is>
          <t>STOCKHOLMS LÄN</t>
        </is>
      </c>
      <c r="E96" t="inlineStr">
        <is>
          <t>NORRTÄLJE</t>
        </is>
      </c>
      <c r="G96" t="n">
        <v>7.8</v>
      </c>
      <c r="H96" t="n">
        <v>1</v>
      </c>
      <c r="I96" t="n">
        <v>0</v>
      </c>
      <c r="J96" t="n">
        <v>0</v>
      </c>
      <c r="K96" t="n">
        <v>0</v>
      </c>
      <c r="L96" t="n">
        <v>0</v>
      </c>
      <c r="M96" t="n">
        <v>0</v>
      </c>
      <c r="N96" t="n">
        <v>0</v>
      </c>
      <c r="O96" t="n">
        <v>0</v>
      </c>
      <c r="P96" t="n">
        <v>0</v>
      </c>
      <c r="Q96" t="n">
        <v>1</v>
      </c>
      <c r="R96" s="2" t="inlineStr">
        <is>
          <t>Åkergroda</t>
        </is>
      </c>
      <c r="S96">
        <f>HYPERLINK("https://klasma.github.io/Logging_0188/artfynd/A 9955-2022 artfynd.xlsx", "A 9955-2022")</f>
        <v/>
      </c>
      <c r="T96">
        <f>HYPERLINK("https://klasma.github.io/Logging_0188/kartor/A 9955-2022 karta.png", "A 9955-2022")</f>
        <v/>
      </c>
      <c r="V96">
        <f>HYPERLINK("https://klasma.github.io/Logging_0188/klagomål/A 9955-2022 FSC-klagomål.docx", "A 9955-2022")</f>
        <v/>
      </c>
      <c r="W96">
        <f>HYPERLINK("https://klasma.github.io/Logging_0188/klagomålsmail/A 9955-2022 FSC-klagomål mail.docx", "A 9955-2022")</f>
        <v/>
      </c>
      <c r="X96">
        <f>HYPERLINK("https://klasma.github.io/Logging_0188/tillsyn/A 9955-2022 tillsynsbegäran.docx", "A 9955-2022")</f>
        <v/>
      </c>
      <c r="Y96">
        <f>HYPERLINK("https://klasma.github.io/Logging_0188/tillsynsmail/A 9955-2022 tillsynsbegäran mail.docx", "A 9955-2022")</f>
        <v/>
      </c>
    </row>
    <row r="97" ht="15" customHeight="1">
      <c r="A97" t="inlineStr">
        <is>
          <t>A 4595-2023</t>
        </is>
      </c>
      <c r="B97" s="1" t="n">
        <v>44956</v>
      </c>
      <c r="C97" s="1" t="n">
        <v>46094</v>
      </c>
      <c r="D97" t="inlineStr">
        <is>
          <t>STOCKHOLMS LÄN</t>
        </is>
      </c>
      <c r="E97" t="inlineStr">
        <is>
          <t>NORRTÄLJE</t>
        </is>
      </c>
      <c r="G97" t="n">
        <v>0.6</v>
      </c>
      <c r="H97" t="n">
        <v>1</v>
      </c>
      <c r="I97" t="n">
        <v>0</v>
      </c>
      <c r="J97" t="n">
        <v>0</v>
      </c>
      <c r="K97" t="n">
        <v>0</v>
      </c>
      <c r="L97" t="n">
        <v>0</v>
      </c>
      <c r="M97" t="n">
        <v>0</v>
      </c>
      <c r="N97" t="n">
        <v>0</v>
      </c>
      <c r="O97" t="n">
        <v>0</v>
      </c>
      <c r="P97" t="n">
        <v>0</v>
      </c>
      <c r="Q97" t="n">
        <v>1</v>
      </c>
      <c r="R97" s="2" t="inlineStr">
        <is>
          <t>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4385-2023</t>
        </is>
      </c>
      <c r="B98" s="1" t="n">
        <v>44955.71322916666</v>
      </c>
      <c r="C98" s="1" t="n">
        <v>46094</v>
      </c>
      <c r="D98" t="inlineStr">
        <is>
          <t>STOCKHOLMS LÄN</t>
        </is>
      </c>
      <c r="E98" t="inlineStr">
        <is>
          <t>NORRTÄLJE</t>
        </is>
      </c>
      <c r="G98" t="n">
        <v>7.8</v>
      </c>
      <c r="H98" t="n">
        <v>1</v>
      </c>
      <c r="I98" t="n">
        <v>1</v>
      </c>
      <c r="J98" t="n">
        <v>0</v>
      </c>
      <c r="K98" t="n">
        <v>0</v>
      </c>
      <c r="L98" t="n">
        <v>0</v>
      </c>
      <c r="M98" t="n">
        <v>0</v>
      </c>
      <c r="N98" t="n">
        <v>0</v>
      </c>
      <c r="O98" t="n">
        <v>0</v>
      </c>
      <c r="P98" t="n">
        <v>0</v>
      </c>
      <c r="Q98" t="n">
        <v>1</v>
      </c>
      <c r="R98" s="2" t="inlineStr">
        <is>
          <t>Skogsknipprot</t>
        </is>
      </c>
      <c r="S98">
        <f>HYPERLINK("https://klasma.github.io/Logging_0188/artfynd/A 4385-2023 artfynd.xlsx", "A 4385-2023")</f>
        <v/>
      </c>
      <c r="T98">
        <f>HYPERLINK("https://klasma.github.io/Logging_0188/kartor/A 4385-2023 karta.png", "A 4385-2023")</f>
        <v/>
      </c>
      <c r="V98">
        <f>HYPERLINK("https://klasma.github.io/Logging_0188/klagomål/A 4385-2023 FSC-klagomål.docx", "A 4385-2023")</f>
        <v/>
      </c>
      <c r="W98">
        <f>HYPERLINK("https://klasma.github.io/Logging_0188/klagomålsmail/A 4385-2023 FSC-klagomål mail.docx", "A 4385-2023")</f>
        <v/>
      </c>
      <c r="X98">
        <f>HYPERLINK("https://klasma.github.io/Logging_0188/tillsyn/A 4385-2023 tillsynsbegäran.docx", "A 4385-2023")</f>
        <v/>
      </c>
      <c r="Y98">
        <f>HYPERLINK("https://klasma.github.io/Logging_0188/tillsynsmail/A 4385-2023 tillsynsbegäran mail.docx", "A 4385-2023")</f>
        <v/>
      </c>
    </row>
    <row r="99" ht="15" customHeight="1">
      <c r="A99" t="inlineStr">
        <is>
          <t>A 4860-2022</t>
        </is>
      </c>
      <c r="B99" s="1" t="n">
        <v>44592</v>
      </c>
      <c r="C99" s="1" t="n">
        <v>46094</v>
      </c>
      <c r="D99" t="inlineStr">
        <is>
          <t>STOCKHOLMS LÄN</t>
        </is>
      </c>
      <c r="E99" t="inlineStr">
        <is>
          <t>NORRTÄLJE</t>
        </is>
      </c>
      <c r="G99" t="n">
        <v>22.3</v>
      </c>
      <c r="H99" t="n">
        <v>0</v>
      </c>
      <c r="I99" t="n">
        <v>0</v>
      </c>
      <c r="J99" t="n">
        <v>1</v>
      </c>
      <c r="K99" t="n">
        <v>0</v>
      </c>
      <c r="L99" t="n">
        <v>0</v>
      </c>
      <c r="M99" t="n">
        <v>0</v>
      </c>
      <c r="N99" t="n">
        <v>0</v>
      </c>
      <c r="O99" t="n">
        <v>1</v>
      </c>
      <c r="P99" t="n">
        <v>0</v>
      </c>
      <c r="Q99" t="n">
        <v>1</v>
      </c>
      <c r="R99" s="2" t="inlineStr">
        <is>
          <t>Igelkott</t>
        </is>
      </c>
      <c r="S99">
        <f>HYPERLINK("https://klasma.github.io/Logging_0188/artfynd/A 4860-2022 artfynd.xlsx", "A 4860-2022")</f>
        <v/>
      </c>
      <c r="T99">
        <f>HYPERLINK("https://klasma.github.io/Logging_0188/kartor/A 4860-2022 karta.png", "A 4860-2022")</f>
        <v/>
      </c>
      <c r="V99">
        <f>HYPERLINK("https://klasma.github.io/Logging_0188/klagomål/A 4860-2022 FSC-klagomål.docx", "A 4860-2022")</f>
        <v/>
      </c>
      <c r="W99">
        <f>HYPERLINK("https://klasma.github.io/Logging_0188/klagomålsmail/A 4860-2022 FSC-klagomål mail.docx", "A 4860-2022")</f>
        <v/>
      </c>
      <c r="X99">
        <f>HYPERLINK("https://klasma.github.io/Logging_0188/tillsyn/A 4860-2022 tillsynsbegäran.docx", "A 4860-2022")</f>
        <v/>
      </c>
      <c r="Y99">
        <f>HYPERLINK("https://klasma.github.io/Logging_0188/tillsynsmail/A 4860-2022 tillsynsbegäran mail.docx", "A 4860-2022")</f>
        <v/>
      </c>
    </row>
    <row r="100" ht="15" customHeight="1">
      <c r="A100" t="inlineStr">
        <is>
          <t>A 24535-2023</t>
        </is>
      </c>
      <c r="B100" s="1" t="n">
        <v>45082</v>
      </c>
      <c r="C100" s="1" t="n">
        <v>46094</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19829-2022</t>
        </is>
      </c>
      <c r="B101" s="1" t="n">
        <v>44695.43527777777</v>
      </c>
      <c r="C101" s="1" t="n">
        <v>46094</v>
      </c>
      <c r="D101" t="inlineStr">
        <is>
          <t>STOCKHOLMS LÄN</t>
        </is>
      </c>
      <c r="E101" t="inlineStr">
        <is>
          <t>NORRTÄLJE</t>
        </is>
      </c>
      <c r="G101" t="n">
        <v>2</v>
      </c>
      <c r="H101" t="n">
        <v>1</v>
      </c>
      <c r="I101" t="n">
        <v>1</v>
      </c>
      <c r="J101" t="n">
        <v>0</v>
      </c>
      <c r="K101" t="n">
        <v>0</v>
      </c>
      <c r="L101" t="n">
        <v>0</v>
      </c>
      <c r="M101" t="n">
        <v>0</v>
      </c>
      <c r="N101" t="n">
        <v>0</v>
      </c>
      <c r="O101" t="n">
        <v>0</v>
      </c>
      <c r="P101" t="n">
        <v>0</v>
      </c>
      <c r="Q101" t="n">
        <v>1</v>
      </c>
      <c r="R101" s="2" t="inlineStr">
        <is>
          <t>Guckusko</t>
        </is>
      </c>
      <c r="S101">
        <f>HYPERLINK("https://klasma.github.io/Logging_0188/artfynd/A 19829-2022 artfynd.xlsx", "A 19829-2022")</f>
        <v/>
      </c>
      <c r="T101">
        <f>HYPERLINK("https://klasma.github.io/Logging_0188/kartor/A 19829-2022 karta.png", "A 19829-2022")</f>
        <v/>
      </c>
      <c r="V101">
        <f>HYPERLINK("https://klasma.github.io/Logging_0188/klagomål/A 19829-2022 FSC-klagomål.docx", "A 19829-2022")</f>
        <v/>
      </c>
      <c r="W101">
        <f>HYPERLINK("https://klasma.github.io/Logging_0188/klagomålsmail/A 19829-2022 FSC-klagomål mail.docx", "A 19829-2022")</f>
        <v/>
      </c>
      <c r="X101">
        <f>HYPERLINK("https://klasma.github.io/Logging_0188/tillsyn/A 19829-2022 tillsynsbegäran.docx", "A 19829-2022")</f>
        <v/>
      </c>
      <c r="Y101">
        <f>HYPERLINK("https://klasma.github.io/Logging_0188/tillsynsmail/A 19829-2022 tillsynsbegäran mail.docx", "A 19829-2022")</f>
        <v/>
      </c>
    </row>
    <row r="102" ht="15" customHeight="1">
      <c r="A102" t="inlineStr">
        <is>
          <t>A 23905-2025</t>
        </is>
      </c>
      <c r="B102" s="1" t="n">
        <v>45794.63298611111</v>
      </c>
      <c r="C102" s="1" t="n">
        <v>46094</v>
      </c>
      <c r="D102" t="inlineStr">
        <is>
          <t>STOCKHOLMS LÄN</t>
        </is>
      </c>
      <c r="E102" t="inlineStr">
        <is>
          <t>NORRTÄLJE</t>
        </is>
      </c>
      <c r="G102" t="n">
        <v>8.4</v>
      </c>
      <c r="H102" t="n">
        <v>1</v>
      </c>
      <c r="I102" t="n">
        <v>0</v>
      </c>
      <c r="J102" t="n">
        <v>0</v>
      </c>
      <c r="K102" t="n">
        <v>0</v>
      </c>
      <c r="L102" t="n">
        <v>0</v>
      </c>
      <c r="M102" t="n">
        <v>0</v>
      </c>
      <c r="N102" t="n">
        <v>0</v>
      </c>
      <c r="O102" t="n">
        <v>0</v>
      </c>
      <c r="P102" t="n">
        <v>0</v>
      </c>
      <c r="Q102" t="n">
        <v>1</v>
      </c>
      <c r="R102" s="2" t="inlineStr">
        <is>
          <t>Blåsippa</t>
        </is>
      </c>
      <c r="S102">
        <f>HYPERLINK("https://klasma.github.io/Logging_0188/artfynd/A 23905-2025 artfynd.xlsx", "A 23905-2025")</f>
        <v/>
      </c>
      <c r="T102">
        <f>HYPERLINK("https://klasma.github.io/Logging_0188/kartor/A 23905-2025 karta.png", "A 23905-2025")</f>
        <v/>
      </c>
      <c r="V102">
        <f>HYPERLINK("https://klasma.github.io/Logging_0188/klagomål/A 23905-2025 FSC-klagomål.docx", "A 23905-2025")</f>
        <v/>
      </c>
      <c r="W102">
        <f>HYPERLINK("https://klasma.github.io/Logging_0188/klagomålsmail/A 23905-2025 FSC-klagomål mail.docx", "A 23905-2025")</f>
        <v/>
      </c>
      <c r="X102">
        <f>HYPERLINK("https://klasma.github.io/Logging_0188/tillsyn/A 23905-2025 tillsynsbegäran.docx", "A 23905-2025")</f>
        <v/>
      </c>
      <c r="Y102">
        <f>HYPERLINK("https://klasma.github.io/Logging_0188/tillsynsmail/A 23905-2025 tillsynsbegäran mail.docx", "A 23905-2025")</f>
        <v/>
      </c>
    </row>
    <row r="103" ht="15" customHeight="1">
      <c r="A103" t="inlineStr">
        <is>
          <t>A 25669-2025</t>
        </is>
      </c>
      <c r="B103" s="1" t="n">
        <v>45803.62766203703</v>
      </c>
      <c r="C103" s="1" t="n">
        <v>46094</v>
      </c>
      <c r="D103" t="inlineStr">
        <is>
          <t>STOCKHOLMS LÄN</t>
        </is>
      </c>
      <c r="E103" t="inlineStr">
        <is>
          <t>NORRTÄLJE</t>
        </is>
      </c>
      <c r="F103" t="inlineStr">
        <is>
          <t>Holmen skog AB</t>
        </is>
      </c>
      <c r="G103" t="n">
        <v>3.1</v>
      </c>
      <c r="H103" t="n">
        <v>1</v>
      </c>
      <c r="I103" t="n">
        <v>0</v>
      </c>
      <c r="J103" t="n">
        <v>0</v>
      </c>
      <c r="K103" t="n">
        <v>0</v>
      </c>
      <c r="L103" t="n">
        <v>0</v>
      </c>
      <c r="M103" t="n">
        <v>0</v>
      </c>
      <c r="N103" t="n">
        <v>0</v>
      </c>
      <c r="O103" t="n">
        <v>0</v>
      </c>
      <c r="P103" t="n">
        <v>0</v>
      </c>
      <c r="Q103" t="n">
        <v>1</v>
      </c>
      <c r="R103" s="2" t="inlineStr">
        <is>
          <t>Tjäder</t>
        </is>
      </c>
      <c r="S103">
        <f>HYPERLINK("https://klasma.github.io/Logging_0188/artfynd/A 25669-2025 artfynd.xlsx", "A 25669-2025")</f>
        <v/>
      </c>
      <c r="T103">
        <f>HYPERLINK("https://klasma.github.io/Logging_0188/kartor/A 25669-2025 karta.png", "A 25669-2025")</f>
        <v/>
      </c>
      <c r="V103">
        <f>HYPERLINK("https://klasma.github.io/Logging_0188/klagomål/A 25669-2025 FSC-klagomål.docx", "A 25669-2025")</f>
        <v/>
      </c>
      <c r="W103">
        <f>HYPERLINK("https://klasma.github.io/Logging_0188/klagomålsmail/A 25669-2025 FSC-klagomål mail.docx", "A 25669-2025")</f>
        <v/>
      </c>
      <c r="X103">
        <f>HYPERLINK("https://klasma.github.io/Logging_0188/tillsyn/A 25669-2025 tillsynsbegäran.docx", "A 25669-2025")</f>
        <v/>
      </c>
      <c r="Y103">
        <f>HYPERLINK("https://klasma.github.io/Logging_0188/tillsynsmail/A 25669-2025 tillsynsbegäran mail.docx", "A 25669-2025")</f>
        <v/>
      </c>
      <c r="Z103">
        <f>HYPERLINK("https://klasma.github.io/Logging_0188/fåglar/A 25669-2025 prioriterade fågelarter.docx", "A 25669-2025")</f>
        <v/>
      </c>
    </row>
    <row r="104" ht="15" customHeight="1">
      <c r="A104" t="inlineStr">
        <is>
          <t>A 35764-2024</t>
        </is>
      </c>
      <c r="B104" s="1" t="n">
        <v>45532</v>
      </c>
      <c r="C104" s="1" t="n">
        <v>46094</v>
      </c>
      <c r="D104" t="inlineStr">
        <is>
          <t>STOCKHOLMS LÄN</t>
        </is>
      </c>
      <c r="E104" t="inlineStr">
        <is>
          <t>NORRTÄLJE</t>
        </is>
      </c>
      <c r="G104" t="n">
        <v>14.2</v>
      </c>
      <c r="H104" t="n">
        <v>1</v>
      </c>
      <c r="I104" t="n">
        <v>0</v>
      </c>
      <c r="J104" t="n">
        <v>0</v>
      </c>
      <c r="K104" t="n">
        <v>1</v>
      </c>
      <c r="L104" t="n">
        <v>0</v>
      </c>
      <c r="M104" t="n">
        <v>0</v>
      </c>
      <c r="N104" t="n">
        <v>0</v>
      </c>
      <c r="O104" t="n">
        <v>1</v>
      </c>
      <c r="P104" t="n">
        <v>1</v>
      </c>
      <c r="Q104" t="n">
        <v>1</v>
      </c>
      <c r="R104" s="2" t="inlineStr">
        <is>
          <t>Knärot</t>
        </is>
      </c>
      <c r="S104">
        <f>HYPERLINK("https://klasma.github.io/Logging_0188/artfynd/A 35764-2024 artfynd.xlsx", "A 35764-2024")</f>
        <v/>
      </c>
      <c r="T104">
        <f>HYPERLINK("https://klasma.github.io/Logging_0188/kartor/A 35764-2024 karta.png", "A 35764-2024")</f>
        <v/>
      </c>
      <c r="U104">
        <f>HYPERLINK("https://klasma.github.io/Logging_0188/knärot/A 35764-2024 karta knärot.png", "A 35764-2024")</f>
        <v/>
      </c>
      <c r="V104">
        <f>HYPERLINK("https://klasma.github.io/Logging_0188/klagomål/A 35764-2024 FSC-klagomål.docx", "A 35764-2024")</f>
        <v/>
      </c>
      <c r="W104">
        <f>HYPERLINK("https://klasma.github.io/Logging_0188/klagomålsmail/A 35764-2024 FSC-klagomål mail.docx", "A 35764-2024")</f>
        <v/>
      </c>
      <c r="X104">
        <f>HYPERLINK("https://klasma.github.io/Logging_0188/tillsyn/A 35764-2024 tillsynsbegäran.docx", "A 35764-2024")</f>
        <v/>
      </c>
      <c r="Y104">
        <f>HYPERLINK("https://klasma.github.io/Logging_0188/tillsynsmail/A 35764-2024 tillsynsbegäran mail.docx", "A 35764-2024")</f>
        <v/>
      </c>
    </row>
    <row r="105" ht="15" customHeight="1">
      <c r="A105" t="inlineStr">
        <is>
          <t>A 25725-2025</t>
        </is>
      </c>
      <c r="B105" s="1" t="n">
        <v>45800</v>
      </c>
      <c r="C105" s="1" t="n">
        <v>46094</v>
      </c>
      <c r="D105" t="inlineStr">
        <is>
          <t>STOCKHOLMS LÄN</t>
        </is>
      </c>
      <c r="E105" t="inlineStr">
        <is>
          <t>NORRTÄLJE</t>
        </is>
      </c>
      <c r="G105" t="n">
        <v>5.2</v>
      </c>
      <c r="H105" t="n">
        <v>0</v>
      </c>
      <c r="I105" t="n">
        <v>0</v>
      </c>
      <c r="J105" t="n">
        <v>1</v>
      </c>
      <c r="K105" t="n">
        <v>0</v>
      </c>
      <c r="L105" t="n">
        <v>0</v>
      </c>
      <c r="M105" t="n">
        <v>0</v>
      </c>
      <c r="N105" t="n">
        <v>0</v>
      </c>
      <c r="O105" t="n">
        <v>1</v>
      </c>
      <c r="P105" t="n">
        <v>0</v>
      </c>
      <c r="Q105" t="n">
        <v>1</v>
      </c>
      <c r="R105" s="2" t="inlineStr">
        <is>
          <t>Tallticka</t>
        </is>
      </c>
      <c r="S105">
        <f>HYPERLINK("https://klasma.github.io/Logging_0188/artfynd/A 25725-2025 artfynd.xlsx", "A 25725-2025")</f>
        <v/>
      </c>
      <c r="T105">
        <f>HYPERLINK("https://klasma.github.io/Logging_0188/kartor/A 25725-2025 karta.png", "A 25725-2025")</f>
        <v/>
      </c>
      <c r="V105">
        <f>HYPERLINK("https://klasma.github.io/Logging_0188/klagomål/A 25725-2025 FSC-klagomål.docx", "A 25725-2025")</f>
        <v/>
      </c>
      <c r="W105">
        <f>HYPERLINK("https://klasma.github.io/Logging_0188/klagomålsmail/A 25725-2025 FSC-klagomål mail.docx", "A 25725-2025")</f>
        <v/>
      </c>
      <c r="X105">
        <f>HYPERLINK("https://klasma.github.io/Logging_0188/tillsyn/A 25725-2025 tillsynsbegäran.docx", "A 25725-2025")</f>
        <v/>
      </c>
      <c r="Y105">
        <f>HYPERLINK("https://klasma.github.io/Logging_0188/tillsynsmail/A 25725-2025 tillsynsbegäran mail.docx", "A 25725-2025")</f>
        <v/>
      </c>
    </row>
    <row r="106" ht="15" customHeight="1">
      <c r="A106" t="inlineStr">
        <is>
          <t>A 4532-2025</t>
        </is>
      </c>
      <c r="B106" s="1" t="n">
        <v>45687.34177083334</v>
      </c>
      <c r="C106" s="1" t="n">
        <v>46094</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25709-2025</t>
        </is>
      </c>
      <c r="B107" s="1" t="n">
        <v>45800</v>
      </c>
      <c r="C107" s="1" t="n">
        <v>46094</v>
      </c>
      <c r="D107" t="inlineStr">
        <is>
          <t>STOCKHOLMS LÄN</t>
        </is>
      </c>
      <c r="E107" t="inlineStr">
        <is>
          <t>NORRTÄLJE</t>
        </is>
      </c>
      <c r="G107" t="n">
        <v>4.6</v>
      </c>
      <c r="H107" t="n">
        <v>0</v>
      </c>
      <c r="I107" t="n">
        <v>0</v>
      </c>
      <c r="J107" t="n">
        <v>1</v>
      </c>
      <c r="K107" t="n">
        <v>0</v>
      </c>
      <c r="L107" t="n">
        <v>0</v>
      </c>
      <c r="M107" t="n">
        <v>0</v>
      </c>
      <c r="N107" t="n">
        <v>0</v>
      </c>
      <c r="O107" t="n">
        <v>1</v>
      </c>
      <c r="P107" t="n">
        <v>0</v>
      </c>
      <c r="Q107" t="n">
        <v>1</v>
      </c>
      <c r="R107" s="2" t="inlineStr">
        <is>
          <t>Ullticka</t>
        </is>
      </c>
      <c r="S107">
        <f>HYPERLINK("https://klasma.github.io/Logging_0188/artfynd/A 25709-2025 artfynd.xlsx", "A 25709-2025")</f>
        <v/>
      </c>
      <c r="T107">
        <f>HYPERLINK("https://klasma.github.io/Logging_0188/kartor/A 25709-2025 karta.png", "A 25709-2025")</f>
        <v/>
      </c>
      <c r="V107">
        <f>HYPERLINK("https://klasma.github.io/Logging_0188/klagomål/A 25709-2025 FSC-klagomål.docx", "A 25709-2025")</f>
        <v/>
      </c>
      <c r="W107">
        <f>HYPERLINK("https://klasma.github.io/Logging_0188/klagomålsmail/A 25709-2025 FSC-klagomål mail.docx", "A 25709-2025")</f>
        <v/>
      </c>
      <c r="X107">
        <f>HYPERLINK("https://klasma.github.io/Logging_0188/tillsyn/A 25709-2025 tillsynsbegäran.docx", "A 25709-2025")</f>
        <v/>
      </c>
      <c r="Y107">
        <f>HYPERLINK("https://klasma.github.io/Logging_0188/tillsynsmail/A 25709-2025 tillsynsbegäran mail.docx", "A 25709-2025")</f>
        <v/>
      </c>
    </row>
    <row r="108" ht="15" customHeight="1">
      <c r="A108" t="inlineStr">
        <is>
          <t>A 35691-2023</t>
        </is>
      </c>
      <c r="B108" s="1" t="n">
        <v>45147.65222222222</v>
      </c>
      <c r="C108" s="1" t="n">
        <v>46094</v>
      </c>
      <c r="D108" t="inlineStr">
        <is>
          <t>STOCKHOLMS LÄN</t>
        </is>
      </c>
      <c r="E108" t="inlineStr">
        <is>
          <t>NORRTÄLJE</t>
        </is>
      </c>
      <c r="G108" t="n">
        <v>2.3</v>
      </c>
      <c r="H108" t="n">
        <v>1</v>
      </c>
      <c r="I108" t="n">
        <v>0</v>
      </c>
      <c r="J108" t="n">
        <v>0</v>
      </c>
      <c r="K108" t="n">
        <v>0</v>
      </c>
      <c r="L108" t="n">
        <v>0</v>
      </c>
      <c r="M108" t="n">
        <v>0</v>
      </c>
      <c r="N108" t="n">
        <v>0</v>
      </c>
      <c r="O108" t="n">
        <v>0</v>
      </c>
      <c r="P108" t="n">
        <v>0</v>
      </c>
      <c r="Q108" t="n">
        <v>1</v>
      </c>
      <c r="R108" s="2" t="inlineStr">
        <is>
          <t>Kungsfågel</t>
        </is>
      </c>
      <c r="S108">
        <f>HYPERLINK("https://klasma.github.io/Logging_0188/artfynd/A 35691-2023 artfynd.xlsx", "A 35691-2023")</f>
        <v/>
      </c>
      <c r="T108">
        <f>HYPERLINK("https://klasma.github.io/Logging_0188/kartor/A 35691-2023 karta.png", "A 35691-2023")</f>
        <v/>
      </c>
      <c r="V108">
        <f>HYPERLINK("https://klasma.github.io/Logging_0188/klagomål/A 35691-2023 FSC-klagomål.docx", "A 35691-2023")</f>
        <v/>
      </c>
      <c r="W108">
        <f>HYPERLINK("https://klasma.github.io/Logging_0188/klagomålsmail/A 35691-2023 FSC-klagomål mail.docx", "A 35691-2023")</f>
        <v/>
      </c>
      <c r="X108">
        <f>HYPERLINK("https://klasma.github.io/Logging_0188/tillsyn/A 35691-2023 tillsynsbegäran.docx", "A 35691-2023")</f>
        <v/>
      </c>
      <c r="Y108">
        <f>HYPERLINK("https://klasma.github.io/Logging_0188/tillsynsmail/A 35691-2023 tillsynsbegäran mail.docx", "A 35691-2023")</f>
        <v/>
      </c>
      <c r="Z108">
        <f>HYPERLINK("https://klasma.github.io/Logging_0188/fåglar/A 35691-2023 prioriterade fågelarter.docx", "A 35691-2023")</f>
        <v/>
      </c>
    </row>
    <row r="109" ht="15" customHeight="1">
      <c r="A109" t="inlineStr">
        <is>
          <t>A 35693-2023</t>
        </is>
      </c>
      <c r="B109" s="1" t="n">
        <v>45147.65311342593</v>
      </c>
      <c r="C109" s="1" t="n">
        <v>46094</v>
      </c>
      <c r="D109" t="inlineStr">
        <is>
          <t>STOCKHOLMS LÄN</t>
        </is>
      </c>
      <c r="E109" t="inlineStr">
        <is>
          <t>NORRTÄLJE</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HYPERLINK("https://klasma.github.io/Logging_0188/artfynd/A 35693-2023 artfynd.xlsx", "A 35693-2023")</f>
        <v/>
      </c>
      <c r="T109">
        <f>HYPERLINK("https://klasma.github.io/Logging_0188/kartor/A 35693-2023 karta.png", "A 35693-2023")</f>
        <v/>
      </c>
      <c r="V109">
        <f>HYPERLINK("https://klasma.github.io/Logging_0188/klagomål/A 35693-2023 FSC-klagomål.docx", "A 35693-2023")</f>
        <v/>
      </c>
      <c r="W109">
        <f>HYPERLINK("https://klasma.github.io/Logging_0188/klagomålsmail/A 35693-2023 FSC-klagomål mail.docx", "A 35693-2023")</f>
        <v/>
      </c>
      <c r="X109">
        <f>HYPERLINK("https://klasma.github.io/Logging_0188/tillsyn/A 35693-2023 tillsynsbegäran.docx", "A 35693-2023")</f>
        <v/>
      </c>
      <c r="Y109">
        <f>HYPERLINK("https://klasma.github.io/Logging_0188/tillsynsmail/A 35693-2023 tillsynsbegäran mail.docx", "A 35693-2023")</f>
        <v/>
      </c>
    </row>
    <row r="110" ht="15" customHeight="1">
      <c r="A110" t="inlineStr">
        <is>
          <t>A 35649-2023</t>
        </is>
      </c>
      <c r="B110" s="1" t="n">
        <v>45146</v>
      </c>
      <c r="C110" s="1" t="n">
        <v>46094</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28816-2023</t>
        </is>
      </c>
      <c r="B111" s="1" t="n">
        <v>45104</v>
      </c>
      <c r="C111" s="1" t="n">
        <v>46094</v>
      </c>
      <c r="D111" t="inlineStr">
        <is>
          <t>STOCKHOLMS LÄN</t>
        </is>
      </c>
      <c r="E111" t="inlineStr">
        <is>
          <t>NORRTÄLJE</t>
        </is>
      </c>
      <c r="F111" t="inlineStr">
        <is>
          <t>Kommuner</t>
        </is>
      </c>
      <c r="G111" t="n">
        <v>0.5</v>
      </c>
      <c r="H111" t="n">
        <v>1</v>
      </c>
      <c r="I111" t="n">
        <v>0</v>
      </c>
      <c r="J111" t="n">
        <v>0</v>
      </c>
      <c r="K111" t="n">
        <v>0</v>
      </c>
      <c r="L111" t="n">
        <v>0</v>
      </c>
      <c r="M111" t="n">
        <v>0</v>
      </c>
      <c r="N111" t="n">
        <v>0</v>
      </c>
      <c r="O111" t="n">
        <v>0</v>
      </c>
      <c r="P111" t="n">
        <v>0</v>
      </c>
      <c r="Q111" t="n">
        <v>1</v>
      </c>
      <c r="R111" s="2" t="inlineStr">
        <is>
          <t>Kungsfågel</t>
        </is>
      </c>
      <c r="S111">
        <f>HYPERLINK("https://klasma.github.io/Logging_0188/artfynd/A 28816-2023 artfynd.xlsx", "A 28816-2023")</f>
        <v/>
      </c>
      <c r="T111">
        <f>HYPERLINK("https://klasma.github.io/Logging_0188/kartor/A 28816-2023 karta.png", "A 28816-2023")</f>
        <v/>
      </c>
      <c r="V111">
        <f>HYPERLINK("https://klasma.github.io/Logging_0188/klagomål/A 28816-2023 FSC-klagomål.docx", "A 28816-2023")</f>
        <v/>
      </c>
      <c r="W111">
        <f>HYPERLINK("https://klasma.github.io/Logging_0188/klagomålsmail/A 28816-2023 FSC-klagomål mail.docx", "A 28816-2023")</f>
        <v/>
      </c>
      <c r="X111">
        <f>HYPERLINK("https://klasma.github.io/Logging_0188/tillsyn/A 28816-2023 tillsynsbegäran.docx", "A 28816-2023")</f>
        <v/>
      </c>
      <c r="Y111">
        <f>HYPERLINK("https://klasma.github.io/Logging_0188/tillsynsmail/A 28816-2023 tillsynsbegäran mail.docx", "A 28816-2023")</f>
        <v/>
      </c>
      <c r="Z111">
        <f>HYPERLINK("https://klasma.github.io/Logging_0188/fåglar/A 28816-2023 prioriterade fågelarter.docx", "A 28816-2023")</f>
        <v/>
      </c>
    </row>
    <row r="112" ht="15" customHeight="1">
      <c r="A112" t="inlineStr">
        <is>
          <t>A 50854-2022</t>
        </is>
      </c>
      <c r="B112" s="1" t="n">
        <v>44863</v>
      </c>
      <c r="C112" s="1" t="n">
        <v>46094</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6381-2023</t>
        </is>
      </c>
      <c r="B113" s="1" t="n">
        <v>44965</v>
      </c>
      <c r="C113" s="1" t="n">
        <v>46094</v>
      </c>
      <c r="D113" t="inlineStr">
        <is>
          <t>STOCKHOLMS LÄN</t>
        </is>
      </c>
      <c r="E113" t="inlineStr">
        <is>
          <t>NORRTÄLJE</t>
        </is>
      </c>
      <c r="G113" t="n">
        <v>3.5</v>
      </c>
      <c r="H113" t="n">
        <v>1</v>
      </c>
      <c r="I113" t="n">
        <v>1</v>
      </c>
      <c r="J113" t="n">
        <v>0</v>
      </c>
      <c r="K113" t="n">
        <v>0</v>
      </c>
      <c r="L113" t="n">
        <v>0</v>
      </c>
      <c r="M113" t="n">
        <v>0</v>
      </c>
      <c r="N113" t="n">
        <v>0</v>
      </c>
      <c r="O113" t="n">
        <v>0</v>
      </c>
      <c r="P113" t="n">
        <v>0</v>
      </c>
      <c r="Q113" t="n">
        <v>1</v>
      </c>
      <c r="R113" s="2" t="inlineStr">
        <is>
          <t>Guckusko</t>
        </is>
      </c>
      <c r="S113">
        <f>HYPERLINK("https://klasma.github.io/Logging_0188/artfynd/A 6381-2023 artfynd.xlsx", "A 6381-2023")</f>
        <v/>
      </c>
      <c r="T113">
        <f>HYPERLINK("https://klasma.github.io/Logging_0188/kartor/A 6381-2023 karta.png", "A 6381-2023")</f>
        <v/>
      </c>
      <c r="V113">
        <f>HYPERLINK("https://klasma.github.io/Logging_0188/klagomål/A 6381-2023 FSC-klagomål.docx", "A 6381-2023")</f>
        <v/>
      </c>
      <c r="W113">
        <f>HYPERLINK("https://klasma.github.io/Logging_0188/klagomålsmail/A 6381-2023 FSC-klagomål mail.docx", "A 6381-2023")</f>
        <v/>
      </c>
      <c r="X113">
        <f>HYPERLINK("https://klasma.github.io/Logging_0188/tillsyn/A 6381-2023 tillsynsbegäran.docx", "A 6381-2023")</f>
        <v/>
      </c>
      <c r="Y113">
        <f>HYPERLINK("https://klasma.github.io/Logging_0188/tillsynsmail/A 6381-2023 tillsynsbegäran mail.docx", "A 6381-2023")</f>
        <v/>
      </c>
    </row>
    <row r="114" ht="15" customHeight="1">
      <c r="A114" t="inlineStr">
        <is>
          <t>A 29946-2025</t>
        </is>
      </c>
      <c r="B114" s="1" t="n">
        <v>45826.46392361111</v>
      </c>
      <c r="C114" s="1" t="n">
        <v>46094</v>
      </c>
      <c r="D114" t="inlineStr">
        <is>
          <t>STOCKHOLMS LÄN</t>
        </is>
      </c>
      <c r="E114" t="inlineStr">
        <is>
          <t>NORRTÄLJE</t>
        </is>
      </c>
      <c r="F114" t="inlineStr">
        <is>
          <t>Holmen skog AB</t>
        </is>
      </c>
      <c r="G114" t="n">
        <v>3.6</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29946-2025 artfynd.xlsx", "A 29946-2025")</f>
        <v/>
      </c>
      <c r="T114">
        <f>HYPERLINK("https://klasma.github.io/Logging_0188/kartor/A 29946-2025 karta.png", "A 29946-2025")</f>
        <v/>
      </c>
      <c r="V114">
        <f>HYPERLINK("https://klasma.github.io/Logging_0188/klagomål/A 29946-2025 FSC-klagomål.docx", "A 29946-2025")</f>
        <v/>
      </c>
      <c r="W114">
        <f>HYPERLINK("https://klasma.github.io/Logging_0188/klagomålsmail/A 29946-2025 FSC-klagomål mail.docx", "A 29946-2025")</f>
        <v/>
      </c>
      <c r="X114">
        <f>HYPERLINK("https://klasma.github.io/Logging_0188/tillsyn/A 29946-2025 tillsynsbegäran.docx", "A 29946-2025")</f>
        <v/>
      </c>
      <c r="Y114">
        <f>HYPERLINK("https://klasma.github.io/Logging_0188/tillsynsmail/A 29946-2025 tillsynsbegäran mail.docx", "A 29946-2025")</f>
        <v/>
      </c>
    </row>
    <row r="115" ht="15" customHeight="1">
      <c r="A115" t="inlineStr">
        <is>
          <t>A 52508-2023</t>
        </is>
      </c>
      <c r="B115" s="1" t="n">
        <v>45225</v>
      </c>
      <c r="C115" s="1" t="n">
        <v>46094</v>
      </c>
      <c r="D115" t="inlineStr">
        <is>
          <t>STOCKHOLMS LÄN</t>
        </is>
      </c>
      <c r="E115" t="inlineStr">
        <is>
          <t>NORRTÄLJE</t>
        </is>
      </c>
      <c r="G115" t="n">
        <v>19.7</v>
      </c>
      <c r="H115" t="n">
        <v>1</v>
      </c>
      <c r="I115" t="n">
        <v>0</v>
      </c>
      <c r="J115" t="n">
        <v>0</v>
      </c>
      <c r="K115" t="n">
        <v>1</v>
      </c>
      <c r="L115" t="n">
        <v>0</v>
      </c>
      <c r="M115" t="n">
        <v>0</v>
      </c>
      <c r="N115" t="n">
        <v>0</v>
      </c>
      <c r="O115" t="n">
        <v>1</v>
      </c>
      <c r="P115" t="n">
        <v>1</v>
      </c>
      <c r="Q115" t="n">
        <v>1</v>
      </c>
      <c r="R115" s="2" t="inlineStr">
        <is>
          <t>Svärta</t>
        </is>
      </c>
      <c r="S115">
        <f>HYPERLINK("https://klasma.github.io/Logging_0188/artfynd/A 52508-2023 artfynd.xlsx", "A 52508-2023")</f>
        <v/>
      </c>
      <c r="T115">
        <f>HYPERLINK("https://klasma.github.io/Logging_0188/kartor/A 52508-2023 karta.png", "A 52508-2023")</f>
        <v/>
      </c>
      <c r="V115">
        <f>HYPERLINK("https://klasma.github.io/Logging_0188/klagomål/A 52508-2023 FSC-klagomål.docx", "A 52508-2023")</f>
        <v/>
      </c>
      <c r="W115">
        <f>HYPERLINK("https://klasma.github.io/Logging_0188/klagomålsmail/A 52508-2023 FSC-klagomål mail.docx", "A 52508-2023")</f>
        <v/>
      </c>
      <c r="X115">
        <f>HYPERLINK("https://klasma.github.io/Logging_0188/tillsyn/A 52508-2023 tillsynsbegäran.docx", "A 52508-2023")</f>
        <v/>
      </c>
      <c r="Y115">
        <f>HYPERLINK("https://klasma.github.io/Logging_0188/tillsynsmail/A 52508-2023 tillsynsbegäran mail.docx", "A 52508-2023")</f>
        <v/>
      </c>
    </row>
    <row r="116" ht="15" customHeight="1">
      <c r="A116" t="inlineStr">
        <is>
          <t>A 26120-2024</t>
        </is>
      </c>
      <c r="B116" s="1" t="n">
        <v>45468.45995370371</v>
      </c>
      <c r="C116" s="1" t="n">
        <v>46094</v>
      </c>
      <c r="D116" t="inlineStr">
        <is>
          <t>STOCKHOLMS LÄN</t>
        </is>
      </c>
      <c r="E116" t="inlineStr">
        <is>
          <t>NORRTÄLJE</t>
        </is>
      </c>
      <c r="G116" t="n">
        <v>1.8</v>
      </c>
      <c r="H116" t="n">
        <v>0</v>
      </c>
      <c r="I116" t="n">
        <v>0</v>
      </c>
      <c r="J116" t="n">
        <v>1</v>
      </c>
      <c r="K116" t="n">
        <v>0</v>
      </c>
      <c r="L116" t="n">
        <v>0</v>
      </c>
      <c r="M116" t="n">
        <v>0</v>
      </c>
      <c r="N116" t="n">
        <v>0</v>
      </c>
      <c r="O116" t="n">
        <v>1</v>
      </c>
      <c r="P116" t="n">
        <v>0</v>
      </c>
      <c r="Q116" t="n">
        <v>1</v>
      </c>
      <c r="R116" s="2" t="inlineStr">
        <is>
          <t>Majviva</t>
        </is>
      </c>
      <c r="S116">
        <f>HYPERLINK("https://klasma.github.io/Logging_0188/artfynd/A 26120-2024 artfynd.xlsx", "A 26120-2024")</f>
        <v/>
      </c>
      <c r="T116">
        <f>HYPERLINK("https://klasma.github.io/Logging_0188/kartor/A 26120-2024 karta.png", "A 26120-2024")</f>
        <v/>
      </c>
      <c r="V116">
        <f>HYPERLINK("https://klasma.github.io/Logging_0188/klagomål/A 26120-2024 FSC-klagomål.docx", "A 26120-2024")</f>
        <v/>
      </c>
      <c r="W116">
        <f>HYPERLINK("https://klasma.github.io/Logging_0188/klagomålsmail/A 26120-2024 FSC-klagomål mail.docx", "A 26120-2024")</f>
        <v/>
      </c>
      <c r="X116">
        <f>HYPERLINK("https://klasma.github.io/Logging_0188/tillsyn/A 26120-2024 tillsynsbegäran.docx", "A 26120-2024")</f>
        <v/>
      </c>
      <c r="Y116">
        <f>HYPERLINK("https://klasma.github.io/Logging_0188/tillsynsmail/A 26120-2024 tillsynsbegäran mail.docx", "A 26120-2024")</f>
        <v/>
      </c>
    </row>
    <row r="117" ht="15" customHeight="1">
      <c r="A117" t="inlineStr">
        <is>
          <t>A 13291-2025</t>
        </is>
      </c>
      <c r="B117" s="1" t="n">
        <v>45735</v>
      </c>
      <c r="C117" s="1" t="n">
        <v>46094</v>
      </c>
      <c r="D117" t="inlineStr">
        <is>
          <t>STOCKHOLMS LÄN</t>
        </is>
      </c>
      <c r="E117" t="inlineStr">
        <is>
          <t>NORRTÄLJE</t>
        </is>
      </c>
      <c r="G117" t="n">
        <v>3.8</v>
      </c>
      <c r="H117" t="n">
        <v>1</v>
      </c>
      <c r="I117" t="n">
        <v>0</v>
      </c>
      <c r="J117" t="n">
        <v>0</v>
      </c>
      <c r="K117" t="n">
        <v>0</v>
      </c>
      <c r="L117" t="n">
        <v>0</v>
      </c>
      <c r="M117" t="n">
        <v>0</v>
      </c>
      <c r="N117" t="n">
        <v>0</v>
      </c>
      <c r="O117" t="n">
        <v>0</v>
      </c>
      <c r="P117" t="n">
        <v>0</v>
      </c>
      <c r="Q117" t="n">
        <v>1</v>
      </c>
      <c r="R117" s="2" t="inlineStr">
        <is>
          <t>Blåsippa</t>
        </is>
      </c>
      <c r="S117">
        <f>HYPERLINK("https://klasma.github.io/Logging_0188/artfynd/A 13291-2025 artfynd.xlsx", "A 13291-2025")</f>
        <v/>
      </c>
      <c r="T117">
        <f>HYPERLINK("https://klasma.github.io/Logging_0188/kartor/A 13291-2025 karta.png", "A 13291-2025")</f>
        <v/>
      </c>
      <c r="V117">
        <f>HYPERLINK("https://klasma.github.io/Logging_0188/klagomål/A 13291-2025 FSC-klagomål.docx", "A 13291-2025")</f>
        <v/>
      </c>
      <c r="W117">
        <f>HYPERLINK("https://klasma.github.io/Logging_0188/klagomålsmail/A 13291-2025 FSC-klagomål mail.docx", "A 13291-2025")</f>
        <v/>
      </c>
      <c r="X117">
        <f>HYPERLINK("https://klasma.github.io/Logging_0188/tillsyn/A 13291-2025 tillsynsbegäran.docx", "A 13291-2025")</f>
        <v/>
      </c>
      <c r="Y117">
        <f>HYPERLINK("https://klasma.github.io/Logging_0188/tillsynsmail/A 13291-2025 tillsynsbegäran mail.docx", "A 13291-2025")</f>
        <v/>
      </c>
    </row>
    <row r="118" ht="15" customHeight="1">
      <c r="A118" t="inlineStr">
        <is>
          <t>A 33546-2025</t>
        </is>
      </c>
      <c r="B118" s="1" t="n">
        <v>45841.56996527778</v>
      </c>
      <c r="C118" s="1" t="n">
        <v>46094</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64456-2023</t>
        </is>
      </c>
      <c r="B119" s="1" t="n">
        <v>45280</v>
      </c>
      <c r="C119" s="1" t="n">
        <v>46094</v>
      </c>
      <c r="D119" t="inlineStr">
        <is>
          <t>STOCKHOLMS LÄN</t>
        </is>
      </c>
      <c r="E119" t="inlineStr">
        <is>
          <t>NORRTÄLJE</t>
        </is>
      </c>
      <c r="G119" t="n">
        <v>2.5</v>
      </c>
      <c r="H119" t="n">
        <v>0</v>
      </c>
      <c r="I119" t="n">
        <v>1</v>
      </c>
      <c r="J119" t="n">
        <v>0</v>
      </c>
      <c r="K119" t="n">
        <v>0</v>
      </c>
      <c r="L119" t="n">
        <v>0</v>
      </c>
      <c r="M119" t="n">
        <v>0</v>
      </c>
      <c r="N119" t="n">
        <v>0</v>
      </c>
      <c r="O119" t="n">
        <v>0</v>
      </c>
      <c r="P119" t="n">
        <v>0</v>
      </c>
      <c r="Q119" t="n">
        <v>1</v>
      </c>
      <c r="R119" s="2" t="inlineStr">
        <is>
          <t>Rödgul trumpetsvamp</t>
        </is>
      </c>
      <c r="S119">
        <f>HYPERLINK("https://klasma.github.io/Logging_0188/artfynd/A 64456-2023 artfynd.xlsx", "A 64456-2023")</f>
        <v/>
      </c>
      <c r="T119">
        <f>HYPERLINK("https://klasma.github.io/Logging_0188/kartor/A 64456-2023 karta.png", "A 64456-2023")</f>
        <v/>
      </c>
      <c r="V119">
        <f>HYPERLINK("https://klasma.github.io/Logging_0188/klagomål/A 64456-2023 FSC-klagomål.docx", "A 64456-2023")</f>
        <v/>
      </c>
      <c r="W119">
        <f>HYPERLINK("https://klasma.github.io/Logging_0188/klagomålsmail/A 64456-2023 FSC-klagomål mail.docx", "A 64456-2023")</f>
        <v/>
      </c>
      <c r="X119">
        <f>HYPERLINK("https://klasma.github.io/Logging_0188/tillsyn/A 64456-2023 tillsynsbegäran.docx", "A 64456-2023")</f>
        <v/>
      </c>
      <c r="Y119">
        <f>HYPERLINK("https://klasma.github.io/Logging_0188/tillsynsmail/A 64456-2023 tillsynsbegäran mail.docx", "A 64456-2023")</f>
        <v/>
      </c>
    </row>
    <row r="120" ht="15" customHeight="1">
      <c r="A120" t="inlineStr">
        <is>
          <t>A 27827-2022</t>
        </is>
      </c>
      <c r="B120" s="1" t="n">
        <v>44743.59504629629</v>
      </c>
      <c r="C120" s="1" t="n">
        <v>46094</v>
      </c>
      <c r="D120" t="inlineStr">
        <is>
          <t>STOCKHOLMS LÄN</t>
        </is>
      </c>
      <c r="E120" t="inlineStr">
        <is>
          <t>NORRTÄLJE</t>
        </is>
      </c>
      <c r="F120" t="inlineStr">
        <is>
          <t>Holmen skog AB</t>
        </is>
      </c>
      <c r="G120" t="n">
        <v>4.7</v>
      </c>
      <c r="H120" t="n">
        <v>1</v>
      </c>
      <c r="I120" t="n">
        <v>0</v>
      </c>
      <c r="J120" t="n">
        <v>1</v>
      </c>
      <c r="K120" t="n">
        <v>0</v>
      </c>
      <c r="L120" t="n">
        <v>0</v>
      </c>
      <c r="M120" t="n">
        <v>0</v>
      </c>
      <c r="N120" t="n">
        <v>0</v>
      </c>
      <c r="O120" t="n">
        <v>1</v>
      </c>
      <c r="P120" t="n">
        <v>0</v>
      </c>
      <c r="Q120" t="n">
        <v>1</v>
      </c>
      <c r="R120" s="2" t="inlineStr">
        <is>
          <t>Nordfladdermus</t>
        </is>
      </c>
      <c r="S120">
        <f>HYPERLINK("https://klasma.github.io/Logging_0188/artfynd/A 27827-2022 artfynd.xlsx", "A 27827-2022")</f>
        <v/>
      </c>
      <c r="T120">
        <f>HYPERLINK("https://klasma.github.io/Logging_0188/kartor/A 27827-2022 karta.png", "A 27827-2022")</f>
        <v/>
      </c>
      <c r="V120">
        <f>HYPERLINK("https://klasma.github.io/Logging_0188/klagomål/A 27827-2022 FSC-klagomål.docx", "A 27827-2022")</f>
        <v/>
      </c>
      <c r="W120">
        <f>HYPERLINK("https://klasma.github.io/Logging_0188/klagomålsmail/A 27827-2022 FSC-klagomål mail.docx", "A 27827-2022")</f>
        <v/>
      </c>
      <c r="X120">
        <f>HYPERLINK("https://klasma.github.io/Logging_0188/tillsyn/A 27827-2022 tillsynsbegäran.docx", "A 27827-2022")</f>
        <v/>
      </c>
      <c r="Y120">
        <f>HYPERLINK("https://klasma.github.io/Logging_0188/tillsynsmail/A 27827-2022 tillsynsbegäran mail.docx", "A 27827-2022")</f>
        <v/>
      </c>
    </row>
    <row r="121" ht="15" customHeight="1">
      <c r="A121" t="inlineStr">
        <is>
          <t>A 24330-2023</t>
        </is>
      </c>
      <c r="B121" s="1" t="n">
        <v>45081</v>
      </c>
      <c r="C121" s="1" t="n">
        <v>46094</v>
      </c>
      <c r="D121" t="inlineStr">
        <is>
          <t>STOCKHOLMS LÄN</t>
        </is>
      </c>
      <c r="E121" t="inlineStr">
        <is>
          <t>NORRTÄLJE</t>
        </is>
      </c>
      <c r="G121" t="n">
        <v>5</v>
      </c>
      <c r="H121" t="n">
        <v>1</v>
      </c>
      <c r="I121" t="n">
        <v>0</v>
      </c>
      <c r="J121" t="n">
        <v>1</v>
      </c>
      <c r="K121" t="n">
        <v>0</v>
      </c>
      <c r="L121" t="n">
        <v>0</v>
      </c>
      <c r="M121" t="n">
        <v>0</v>
      </c>
      <c r="N121" t="n">
        <v>0</v>
      </c>
      <c r="O121" t="n">
        <v>1</v>
      </c>
      <c r="P121" t="n">
        <v>0</v>
      </c>
      <c r="Q121" t="n">
        <v>1</v>
      </c>
      <c r="R121" s="2" t="inlineStr">
        <is>
          <t>Mindre hackspett</t>
        </is>
      </c>
      <c r="S121">
        <f>HYPERLINK("https://klasma.github.io/Logging_0188/artfynd/A 24330-2023 artfynd.xlsx", "A 24330-2023")</f>
        <v/>
      </c>
      <c r="T121">
        <f>HYPERLINK("https://klasma.github.io/Logging_0188/kartor/A 24330-2023 karta.png", "A 24330-2023")</f>
        <v/>
      </c>
      <c r="V121">
        <f>HYPERLINK("https://klasma.github.io/Logging_0188/klagomål/A 24330-2023 FSC-klagomål.docx", "A 24330-2023")</f>
        <v/>
      </c>
      <c r="W121">
        <f>HYPERLINK("https://klasma.github.io/Logging_0188/klagomålsmail/A 24330-2023 FSC-klagomål mail.docx", "A 24330-2023")</f>
        <v/>
      </c>
      <c r="X121">
        <f>HYPERLINK("https://klasma.github.io/Logging_0188/tillsyn/A 24330-2023 tillsynsbegäran.docx", "A 24330-2023")</f>
        <v/>
      </c>
      <c r="Y121">
        <f>HYPERLINK("https://klasma.github.io/Logging_0188/tillsynsmail/A 24330-2023 tillsynsbegäran mail.docx", "A 24330-2023")</f>
        <v/>
      </c>
      <c r="Z121">
        <f>HYPERLINK("https://klasma.github.io/Logging_0188/fåglar/A 24330-2023 prioriterade fågelarter.docx", "A 24330-2023")</f>
        <v/>
      </c>
    </row>
    <row r="122" ht="15" customHeight="1">
      <c r="A122" t="inlineStr">
        <is>
          <t>A 23146-2024</t>
        </is>
      </c>
      <c r="B122" s="1" t="n">
        <v>45450.63958333333</v>
      </c>
      <c r="C122" s="1" t="n">
        <v>46094</v>
      </c>
      <c r="D122" t="inlineStr">
        <is>
          <t>STOCKHOLMS LÄN</t>
        </is>
      </c>
      <c r="E122" t="inlineStr">
        <is>
          <t>NORRTÄLJE</t>
        </is>
      </c>
      <c r="F122" t="inlineStr">
        <is>
          <t>Kommuner</t>
        </is>
      </c>
      <c r="G122" t="n">
        <v>6</v>
      </c>
      <c r="H122" t="n">
        <v>0</v>
      </c>
      <c r="I122" t="n">
        <v>0</v>
      </c>
      <c r="J122" t="n">
        <v>1</v>
      </c>
      <c r="K122" t="n">
        <v>0</v>
      </c>
      <c r="L122" t="n">
        <v>0</v>
      </c>
      <c r="M122" t="n">
        <v>0</v>
      </c>
      <c r="N122" t="n">
        <v>0</v>
      </c>
      <c r="O122" t="n">
        <v>1</v>
      </c>
      <c r="P122" t="n">
        <v>0</v>
      </c>
      <c r="Q122" t="n">
        <v>1</v>
      </c>
      <c r="R122" s="2" t="inlineStr">
        <is>
          <t>Motaggsvamp</t>
        </is>
      </c>
      <c r="S122">
        <f>HYPERLINK("https://klasma.github.io/Logging_0188/artfynd/A 23146-2024 artfynd.xlsx", "A 23146-2024")</f>
        <v/>
      </c>
      <c r="T122">
        <f>HYPERLINK("https://klasma.github.io/Logging_0188/kartor/A 23146-2024 karta.png", "A 23146-2024")</f>
        <v/>
      </c>
      <c r="V122">
        <f>HYPERLINK("https://klasma.github.io/Logging_0188/klagomål/A 23146-2024 FSC-klagomål.docx", "A 23146-2024")</f>
        <v/>
      </c>
      <c r="W122">
        <f>HYPERLINK("https://klasma.github.io/Logging_0188/klagomålsmail/A 23146-2024 FSC-klagomål mail.docx", "A 23146-2024")</f>
        <v/>
      </c>
      <c r="X122">
        <f>HYPERLINK("https://klasma.github.io/Logging_0188/tillsyn/A 23146-2024 tillsynsbegäran.docx", "A 23146-2024")</f>
        <v/>
      </c>
      <c r="Y122">
        <f>HYPERLINK("https://klasma.github.io/Logging_0188/tillsynsmail/A 23146-2024 tillsynsbegäran mail.docx", "A 23146-2024")</f>
        <v/>
      </c>
    </row>
    <row r="123" ht="15" customHeight="1">
      <c r="A123" t="inlineStr">
        <is>
          <t>A 21744-2023</t>
        </is>
      </c>
      <c r="B123" s="1" t="n">
        <v>45065</v>
      </c>
      <c r="C123" s="1" t="n">
        <v>46094</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8371-2025</t>
        </is>
      </c>
      <c r="B124" s="1" t="n">
        <v>45708</v>
      </c>
      <c r="C124" s="1" t="n">
        <v>46094</v>
      </c>
      <c r="D124" t="inlineStr">
        <is>
          <t>STOCKHOLMS LÄN</t>
        </is>
      </c>
      <c r="E124" t="inlineStr">
        <is>
          <t>NORRTÄLJE</t>
        </is>
      </c>
      <c r="F124" t="inlineStr">
        <is>
          <t>Övriga Aktiebolag</t>
        </is>
      </c>
      <c r="G124" t="n">
        <v>2.9</v>
      </c>
      <c r="H124" t="n">
        <v>1</v>
      </c>
      <c r="I124" t="n">
        <v>0</v>
      </c>
      <c r="J124" t="n">
        <v>1</v>
      </c>
      <c r="K124" t="n">
        <v>0</v>
      </c>
      <c r="L124" t="n">
        <v>0</v>
      </c>
      <c r="M124" t="n">
        <v>0</v>
      </c>
      <c r="N124" t="n">
        <v>0</v>
      </c>
      <c r="O124" t="n">
        <v>1</v>
      </c>
      <c r="P124" t="n">
        <v>0</v>
      </c>
      <c r="Q124" t="n">
        <v>1</v>
      </c>
      <c r="R124" s="2" t="inlineStr">
        <is>
          <t>Spillkråka</t>
        </is>
      </c>
      <c r="S124">
        <f>HYPERLINK("https://klasma.github.io/Logging_0188/artfynd/A 8371-2025 artfynd.xlsx", "A 8371-2025")</f>
        <v/>
      </c>
      <c r="T124">
        <f>HYPERLINK("https://klasma.github.io/Logging_0188/kartor/A 8371-2025 karta.png", "A 8371-2025")</f>
        <v/>
      </c>
      <c r="V124">
        <f>HYPERLINK("https://klasma.github.io/Logging_0188/klagomål/A 8371-2025 FSC-klagomål.docx", "A 8371-2025")</f>
        <v/>
      </c>
      <c r="W124">
        <f>HYPERLINK("https://klasma.github.io/Logging_0188/klagomålsmail/A 8371-2025 FSC-klagomål mail.docx", "A 8371-2025")</f>
        <v/>
      </c>
      <c r="X124">
        <f>HYPERLINK("https://klasma.github.io/Logging_0188/tillsyn/A 8371-2025 tillsynsbegäran.docx", "A 8371-2025")</f>
        <v/>
      </c>
      <c r="Y124">
        <f>HYPERLINK("https://klasma.github.io/Logging_0188/tillsynsmail/A 8371-2025 tillsynsbegäran mail.docx", "A 8371-2025")</f>
        <v/>
      </c>
      <c r="Z124">
        <f>HYPERLINK("https://klasma.github.io/Logging_0188/fåglar/A 8371-2025 prioriterade fågelarter.docx", "A 8371-2025")</f>
        <v/>
      </c>
    </row>
    <row r="125" ht="15" customHeight="1">
      <c r="A125" t="inlineStr">
        <is>
          <t>A 27538-2024</t>
        </is>
      </c>
      <c r="B125" s="1" t="n">
        <v>45474</v>
      </c>
      <c r="C125" s="1" t="n">
        <v>46094</v>
      </c>
      <c r="D125" t="inlineStr">
        <is>
          <t>STOCKHOLMS LÄN</t>
        </is>
      </c>
      <c r="E125" t="inlineStr">
        <is>
          <t>NORRTÄLJE</t>
        </is>
      </c>
      <c r="G125" t="n">
        <v>1.5</v>
      </c>
      <c r="H125" t="n">
        <v>1</v>
      </c>
      <c r="I125" t="n">
        <v>1</v>
      </c>
      <c r="J125" t="n">
        <v>0</v>
      </c>
      <c r="K125" t="n">
        <v>0</v>
      </c>
      <c r="L125" t="n">
        <v>0</v>
      </c>
      <c r="M125" t="n">
        <v>0</v>
      </c>
      <c r="N125" t="n">
        <v>0</v>
      </c>
      <c r="O125" t="n">
        <v>0</v>
      </c>
      <c r="P125" t="n">
        <v>0</v>
      </c>
      <c r="Q125" t="n">
        <v>1</v>
      </c>
      <c r="R125" s="2" t="inlineStr">
        <is>
          <t>Skogsknipprot</t>
        </is>
      </c>
      <c r="S125">
        <f>HYPERLINK("https://klasma.github.io/Logging_0188/artfynd/A 27538-2024 artfynd.xlsx", "A 27538-2024")</f>
        <v/>
      </c>
      <c r="T125">
        <f>HYPERLINK("https://klasma.github.io/Logging_0188/kartor/A 27538-2024 karta.png", "A 27538-2024")</f>
        <v/>
      </c>
      <c r="V125">
        <f>HYPERLINK("https://klasma.github.io/Logging_0188/klagomål/A 27538-2024 FSC-klagomål.docx", "A 27538-2024")</f>
        <v/>
      </c>
      <c r="W125">
        <f>HYPERLINK("https://klasma.github.io/Logging_0188/klagomålsmail/A 27538-2024 FSC-klagomål mail.docx", "A 27538-2024")</f>
        <v/>
      </c>
      <c r="X125">
        <f>HYPERLINK("https://klasma.github.io/Logging_0188/tillsyn/A 27538-2024 tillsynsbegäran.docx", "A 27538-2024")</f>
        <v/>
      </c>
      <c r="Y125">
        <f>HYPERLINK("https://klasma.github.io/Logging_0188/tillsynsmail/A 27538-2024 tillsynsbegäran mail.docx", "A 27538-2024")</f>
        <v/>
      </c>
    </row>
    <row r="126" ht="15" customHeight="1">
      <c r="A126" t="inlineStr">
        <is>
          <t>A 48131-2023</t>
        </is>
      </c>
      <c r="B126" s="1" t="n">
        <v>45205</v>
      </c>
      <c r="C126" s="1" t="n">
        <v>46094</v>
      </c>
      <c r="D126" t="inlineStr">
        <is>
          <t>STOCKHOLMS LÄN</t>
        </is>
      </c>
      <c r="E126" t="inlineStr">
        <is>
          <t>NORRTÄLJE</t>
        </is>
      </c>
      <c r="G126" t="n">
        <v>2.3</v>
      </c>
      <c r="H126" t="n">
        <v>0</v>
      </c>
      <c r="I126" t="n">
        <v>0</v>
      </c>
      <c r="J126" t="n">
        <v>1</v>
      </c>
      <c r="K126" t="n">
        <v>0</v>
      </c>
      <c r="L126" t="n">
        <v>0</v>
      </c>
      <c r="M126" t="n">
        <v>0</v>
      </c>
      <c r="N126" t="n">
        <v>0</v>
      </c>
      <c r="O126" t="n">
        <v>1</v>
      </c>
      <c r="P126" t="n">
        <v>0</v>
      </c>
      <c r="Q126" t="n">
        <v>1</v>
      </c>
      <c r="R126" s="2" t="inlineStr">
        <is>
          <t>Slåtterfibbla</t>
        </is>
      </c>
      <c r="S126">
        <f>HYPERLINK("https://klasma.github.io/Logging_0188/artfynd/A 48131-2023 artfynd.xlsx", "A 48131-2023")</f>
        <v/>
      </c>
      <c r="T126">
        <f>HYPERLINK("https://klasma.github.io/Logging_0188/kartor/A 48131-2023 karta.png", "A 48131-2023")</f>
        <v/>
      </c>
      <c r="V126">
        <f>HYPERLINK("https://klasma.github.io/Logging_0188/klagomål/A 48131-2023 FSC-klagomål.docx", "A 48131-2023")</f>
        <v/>
      </c>
      <c r="W126">
        <f>HYPERLINK("https://klasma.github.io/Logging_0188/klagomålsmail/A 48131-2023 FSC-klagomål mail.docx", "A 48131-2023")</f>
        <v/>
      </c>
      <c r="X126">
        <f>HYPERLINK("https://klasma.github.io/Logging_0188/tillsyn/A 48131-2023 tillsynsbegäran.docx", "A 48131-2023")</f>
        <v/>
      </c>
      <c r="Y126">
        <f>HYPERLINK("https://klasma.github.io/Logging_0188/tillsynsmail/A 48131-2023 tillsynsbegäran mail.docx", "A 48131-2023")</f>
        <v/>
      </c>
    </row>
    <row r="127" ht="15" customHeight="1">
      <c r="A127" t="inlineStr">
        <is>
          <t>A 52611-2024</t>
        </is>
      </c>
      <c r="B127" s="1" t="n">
        <v>45609.83747685186</v>
      </c>
      <c r="C127" s="1" t="n">
        <v>46094</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40861-2025</t>
        </is>
      </c>
      <c r="B128" s="1" t="n">
        <v>45897.56356481482</v>
      </c>
      <c r="C128" s="1" t="n">
        <v>46094</v>
      </c>
      <c r="D128" t="inlineStr">
        <is>
          <t>STOCKHOLMS LÄN</t>
        </is>
      </c>
      <c r="E128" t="inlineStr">
        <is>
          <t>NORRTÄLJE</t>
        </is>
      </c>
      <c r="G128" t="n">
        <v>4</v>
      </c>
      <c r="H128" t="n">
        <v>0</v>
      </c>
      <c r="I128" t="n">
        <v>0</v>
      </c>
      <c r="J128" t="n">
        <v>1</v>
      </c>
      <c r="K128" t="n">
        <v>0</v>
      </c>
      <c r="L128" t="n">
        <v>0</v>
      </c>
      <c r="M128" t="n">
        <v>0</v>
      </c>
      <c r="N128" t="n">
        <v>0</v>
      </c>
      <c r="O128" t="n">
        <v>1</v>
      </c>
      <c r="P128" t="n">
        <v>0</v>
      </c>
      <c r="Q128" t="n">
        <v>1</v>
      </c>
      <c r="R128" s="2" t="inlineStr">
        <is>
          <t>Skogsklocka</t>
        </is>
      </c>
      <c r="S128">
        <f>HYPERLINK("https://klasma.github.io/Logging_0188/artfynd/A 40861-2025 artfynd.xlsx", "A 40861-2025")</f>
        <v/>
      </c>
      <c r="T128">
        <f>HYPERLINK("https://klasma.github.io/Logging_0188/kartor/A 40861-2025 karta.png", "A 40861-2025")</f>
        <v/>
      </c>
      <c r="V128">
        <f>HYPERLINK("https://klasma.github.io/Logging_0188/klagomål/A 40861-2025 FSC-klagomål.docx", "A 40861-2025")</f>
        <v/>
      </c>
      <c r="W128">
        <f>HYPERLINK("https://klasma.github.io/Logging_0188/klagomålsmail/A 40861-2025 FSC-klagomål mail.docx", "A 40861-2025")</f>
        <v/>
      </c>
      <c r="X128">
        <f>HYPERLINK("https://klasma.github.io/Logging_0188/tillsyn/A 40861-2025 tillsynsbegäran.docx", "A 40861-2025")</f>
        <v/>
      </c>
      <c r="Y128">
        <f>HYPERLINK("https://klasma.github.io/Logging_0188/tillsynsmail/A 40861-2025 tillsynsbegäran mail.docx", "A 40861-2025")</f>
        <v/>
      </c>
    </row>
    <row r="129" ht="15" customHeight="1">
      <c r="A129" t="inlineStr">
        <is>
          <t>A 13271-2025</t>
        </is>
      </c>
      <c r="B129" s="1" t="n">
        <v>45735.54510416667</v>
      </c>
      <c r="C129" s="1" t="n">
        <v>46094</v>
      </c>
      <c r="D129" t="inlineStr">
        <is>
          <t>STOCKHOLMS LÄN</t>
        </is>
      </c>
      <c r="E129" t="inlineStr">
        <is>
          <t>NORRTÄLJE</t>
        </is>
      </c>
      <c r="G129" t="n">
        <v>7.2</v>
      </c>
      <c r="H129" t="n">
        <v>1</v>
      </c>
      <c r="I129" t="n">
        <v>0</v>
      </c>
      <c r="J129" t="n">
        <v>0</v>
      </c>
      <c r="K129" t="n">
        <v>0</v>
      </c>
      <c r="L129" t="n">
        <v>1</v>
      </c>
      <c r="M129" t="n">
        <v>0</v>
      </c>
      <c r="N129" t="n">
        <v>0</v>
      </c>
      <c r="O129" t="n">
        <v>1</v>
      </c>
      <c r="P129" t="n">
        <v>1</v>
      </c>
      <c r="Q129" t="n">
        <v>1</v>
      </c>
      <c r="R129" s="2" t="inlineStr">
        <is>
          <t>Asknätfjäril</t>
        </is>
      </c>
      <c r="S129">
        <f>HYPERLINK("https://klasma.github.io/Logging_0188/artfynd/A 13271-2025 artfynd.xlsx", "A 13271-2025")</f>
        <v/>
      </c>
      <c r="T129">
        <f>HYPERLINK("https://klasma.github.io/Logging_0188/kartor/A 13271-2025 karta.png", "A 13271-2025")</f>
        <v/>
      </c>
      <c r="V129">
        <f>HYPERLINK("https://klasma.github.io/Logging_0188/klagomål/A 13271-2025 FSC-klagomål.docx", "A 13271-2025")</f>
        <v/>
      </c>
      <c r="W129">
        <f>HYPERLINK("https://klasma.github.io/Logging_0188/klagomålsmail/A 13271-2025 FSC-klagomål mail.docx", "A 13271-2025")</f>
        <v/>
      </c>
      <c r="X129">
        <f>HYPERLINK("https://klasma.github.io/Logging_0188/tillsyn/A 13271-2025 tillsynsbegäran.docx", "A 13271-2025")</f>
        <v/>
      </c>
      <c r="Y129">
        <f>HYPERLINK("https://klasma.github.io/Logging_0188/tillsynsmail/A 13271-2025 tillsynsbegäran mail.docx", "A 13271-2025")</f>
        <v/>
      </c>
    </row>
    <row r="130" ht="15" customHeight="1">
      <c r="A130" t="inlineStr">
        <is>
          <t>A 42313-2025</t>
        </is>
      </c>
      <c r="B130" s="1" t="n">
        <v>45904.6575</v>
      </c>
      <c r="C130" s="1" t="n">
        <v>46094</v>
      </c>
      <c r="D130" t="inlineStr">
        <is>
          <t>STOCKHOLMS LÄN</t>
        </is>
      </c>
      <c r="E130" t="inlineStr">
        <is>
          <t>NORRTÄLJE</t>
        </is>
      </c>
      <c r="G130" t="n">
        <v>1.7</v>
      </c>
      <c r="H130" t="n">
        <v>1</v>
      </c>
      <c r="I130" t="n">
        <v>0</v>
      </c>
      <c r="J130" t="n">
        <v>0</v>
      </c>
      <c r="K130" t="n">
        <v>0</v>
      </c>
      <c r="L130" t="n">
        <v>0</v>
      </c>
      <c r="M130" t="n">
        <v>0</v>
      </c>
      <c r="N130" t="n">
        <v>0</v>
      </c>
      <c r="O130" t="n">
        <v>0</v>
      </c>
      <c r="P130" t="n">
        <v>0</v>
      </c>
      <c r="Q130" t="n">
        <v>1</v>
      </c>
      <c r="R130" s="2" t="inlineStr">
        <is>
          <t>Vanlig padda</t>
        </is>
      </c>
      <c r="S130">
        <f>HYPERLINK("https://klasma.github.io/Logging_0188/artfynd/A 42313-2025 artfynd.xlsx", "A 42313-2025")</f>
        <v/>
      </c>
      <c r="T130">
        <f>HYPERLINK("https://klasma.github.io/Logging_0188/kartor/A 42313-2025 karta.png", "A 42313-2025")</f>
        <v/>
      </c>
      <c r="V130">
        <f>HYPERLINK("https://klasma.github.io/Logging_0188/klagomål/A 42313-2025 FSC-klagomål.docx", "A 42313-2025")</f>
        <v/>
      </c>
      <c r="W130">
        <f>HYPERLINK("https://klasma.github.io/Logging_0188/klagomålsmail/A 42313-2025 FSC-klagomål mail.docx", "A 42313-2025")</f>
        <v/>
      </c>
      <c r="X130">
        <f>HYPERLINK("https://klasma.github.io/Logging_0188/tillsyn/A 42313-2025 tillsynsbegäran.docx", "A 42313-2025")</f>
        <v/>
      </c>
      <c r="Y130">
        <f>HYPERLINK("https://klasma.github.io/Logging_0188/tillsynsmail/A 42313-2025 tillsynsbegäran mail.docx", "A 42313-2025")</f>
        <v/>
      </c>
    </row>
    <row r="131" ht="15" customHeight="1">
      <c r="A131" t="inlineStr">
        <is>
          <t>A 21150-2022</t>
        </is>
      </c>
      <c r="B131" s="1" t="n">
        <v>44704</v>
      </c>
      <c r="C131" s="1" t="n">
        <v>46094</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26635-2023</t>
        </is>
      </c>
      <c r="B132" s="1" t="n">
        <v>45092</v>
      </c>
      <c r="C132" s="1" t="n">
        <v>46094</v>
      </c>
      <c r="D132" t="inlineStr">
        <is>
          <t>STOCKHOLMS LÄN</t>
        </is>
      </c>
      <c r="E132" t="inlineStr">
        <is>
          <t>NORRTÄLJE</t>
        </is>
      </c>
      <c r="G132" t="n">
        <v>3.1</v>
      </c>
      <c r="H132" t="n">
        <v>1</v>
      </c>
      <c r="I132" t="n">
        <v>0</v>
      </c>
      <c r="J132" t="n">
        <v>0</v>
      </c>
      <c r="K132" t="n">
        <v>0</v>
      </c>
      <c r="L132" t="n">
        <v>0</v>
      </c>
      <c r="M132" t="n">
        <v>0</v>
      </c>
      <c r="N132" t="n">
        <v>0</v>
      </c>
      <c r="O132" t="n">
        <v>0</v>
      </c>
      <c r="P132" t="n">
        <v>0</v>
      </c>
      <c r="Q132" t="n">
        <v>1</v>
      </c>
      <c r="R132" s="2" t="inlineStr">
        <is>
          <t>Fläcknycklar</t>
        </is>
      </c>
      <c r="S132">
        <f>HYPERLINK("https://klasma.github.io/Logging_0188/artfynd/A 26635-2023 artfynd.xlsx", "A 26635-2023")</f>
        <v/>
      </c>
      <c r="T132">
        <f>HYPERLINK("https://klasma.github.io/Logging_0188/kartor/A 26635-2023 karta.png", "A 26635-2023")</f>
        <v/>
      </c>
      <c r="V132">
        <f>HYPERLINK("https://klasma.github.io/Logging_0188/klagomål/A 26635-2023 FSC-klagomål.docx", "A 26635-2023")</f>
        <v/>
      </c>
      <c r="W132">
        <f>HYPERLINK("https://klasma.github.io/Logging_0188/klagomålsmail/A 26635-2023 FSC-klagomål mail.docx", "A 26635-2023")</f>
        <v/>
      </c>
      <c r="X132">
        <f>HYPERLINK("https://klasma.github.io/Logging_0188/tillsyn/A 26635-2023 tillsynsbegäran.docx", "A 26635-2023")</f>
        <v/>
      </c>
      <c r="Y132">
        <f>HYPERLINK("https://klasma.github.io/Logging_0188/tillsynsmail/A 26635-2023 tillsynsbegäran mail.docx", "A 26635-2023")</f>
        <v/>
      </c>
    </row>
    <row r="133" ht="15" customHeight="1">
      <c r="A133" t="inlineStr">
        <is>
          <t>A 39158-2025</t>
        </is>
      </c>
      <c r="B133" s="1" t="n">
        <v>45888</v>
      </c>
      <c r="C133" s="1" t="n">
        <v>46094</v>
      </c>
      <c r="D133" t="inlineStr">
        <is>
          <t>STOCKHOLMS LÄN</t>
        </is>
      </c>
      <c r="E133" t="inlineStr">
        <is>
          <t>NORRTÄLJE</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HYPERLINK("https://klasma.github.io/Logging_0188/artfynd/A 39158-2025 artfynd.xlsx", "A 39158-2025")</f>
        <v/>
      </c>
      <c r="T133">
        <f>HYPERLINK("https://klasma.github.io/Logging_0188/kartor/A 39158-2025 karta.png", "A 39158-2025")</f>
        <v/>
      </c>
      <c r="V133">
        <f>HYPERLINK("https://klasma.github.io/Logging_0188/klagomål/A 39158-2025 FSC-klagomål.docx", "A 39158-2025")</f>
        <v/>
      </c>
      <c r="W133">
        <f>HYPERLINK("https://klasma.github.io/Logging_0188/klagomålsmail/A 39158-2025 FSC-klagomål mail.docx", "A 39158-2025")</f>
        <v/>
      </c>
      <c r="X133">
        <f>HYPERLINK("https://klasma.github.io/Logging_0188/tillsyn/A 39158-2025 tillsynsbegäran.docx", "A 39158-2025")</f>
        <v/>
      </c>
      <c r="Y133">
        <f>HYPERLINK("https://klasma.github.io/Logging_0188/tillsynsmail/A 39158-2025 tillsynsbegäran mail.docx", "A 39158-2025")</f>
        <v/>
      </c>
    </row>
    <row r="134" ht="15" customHeight="1">
      <c r="A134" t="inlineStr">
        <is>
          <t>A 52775-2025</t>
        </is>
      </c>
      <c r="B134" s="1" t="n">
        <v>45957.41608796296</v>
      </c>
      <c r="C134" s="1" t="n">
        <v>46094</v>
      </c>
      <c r="D134" t="inlineStr">
        <is>
          <t>STOCKHOLMS LÄN</t>
        </is>
      </c>
      <c r="E134" t="inlineStr">
        <is>
          <t>NORRTÄLJE</t>
        </is>
      </c>
      <c r="F134" t="inlineStr">
        <is>
          <t>Sveaskog</t>
        </is>
      </c>
      <c r="G134" t="n">
        <v>5.6</v>
      </c>
      <c r="H134" t="n">
        <v>0</v>
      </c>
      <c r="I134" t="n">
        <v>0</v>
      </c>
      <c r="J134" t="n">
        <v>1</v>
      </c>
      <c r="K134" t="n">
        <v>0</v>
      </c>
      <c r="L134" t="n">
        <v>0</v>
      </c>
      <c r="M134" t="n">
        <v>0</v>
      </c>
      <c r="N134" t="n">
        <v>0</v>
      </c>
      <c r="O134" t="n">
        <v>1</v>
      </c>
      <c r="P134" t="n">
        <v>0</v>
      </c>
      <c r="Q134" t="n">
        <v>1</v>
      </c>
      <c r="R134" s="2" t="inlineStr">
        <is>
          <t>Vedtrappmossa</t>
        </is>
      </c>
      <c r="S134">
        <f>HYPERLINK("https://klasma.github.io/Logging_0188/artfynd/A 52775-2025 artfynd.xlsx", "A 52775-2025")</f>
        <v/>
      </c>
      <c r="T134">
        <f>HYPERLINK("https://klasma.github.io/Logging_0188/kartor/A 52775-2025 karta.png", "A 52775-2025")</f>
        <v/>
      </c>
      <c r="V134">
        <f>HYPERLINK("https://klasma.github.io/Logging_0188/klagomål/A 52775-2025 FSC-klagomål.docx", "A 52775-2025")</f>
        <v/>
      </c>
      <c r="W134">
        <f>HYPERLINK("https://klasma.github.io/Logging_0188/klagomålsmail/A 52775-2025 FSC-klagomål mail.docx", "A 52775-2025")</f>
        <v/>
      </c>
      <c r="X134">
        <f>HYPERLINK("https://klasma.github.io/Logging_0188/tillsyn/A 52775-2025 tillsynsbegäran.docx", "A 52775-2025")</f>
        <v/>
      </c>
      <c r="Y134">
        <f>HYPERLINK("https://klasma.github.io/Logging_0188/tillsynsmail/A 52775-2025 tillsynsbegäran mail.docx", "A 52775-2025")</f>
        <v/>
      </c>
    </row>
    <row r="135" ht="15" customHeight="1">
      <c r="A135" t="inlineStr">
        <is>
          <t>A 53716-2025</t>
        </is>
      </c>
      <c r="B135" s="1" t="n">
        <v>45960.61782407408</v>
      </c>
      <c r="C135" s="1" t="n">
        <v>46094</v>
      </c>
      <c r="D135" t="inlineStr">
        <is>
          <t>STOCKHOLMS LÄN</t>
        </is>
      </c>
      <c r="E135" t="inlineStr">
        <is>
          <t>NORRTÄLJE</t>
        </is>
      </c>
      <c r="G135" t="n">
        <v>3.4</v>
      </c>
      <c r="H135" t="n">
        <v>0</v>
      </c>
      <c r="I135" t="n">
        <v>0</v>
      </c>
      <c r="J135" t="n">
        <v>0</v>
      </c>
      <c r="K135" t="n">
        <v>0</v>
      </c>
      <c r="L135" t="n">
        <v>1</v>
      </c>
      <c r="M135" t="n">
        <v>0</v>
      </c>
      <c r="N135" t="n">
        <v>0</v>
      </c>
      <c r="O135" t="n">
        <v>1</v>
      </c>
      <c r="P135" t="n">
        <v>1</v>
      </c>
      <c r="Q135" t="n">
        <v>1</v>
      </c>
      <c r="R135" s="2" t="inlineStr">
        <is>
          <t>Fältgentiana</t>
        </is>
      </c>
      <c r="S135">
        <f>HYPERLINK("https://klasma.github.io/Logging_0188/artfynd/A 53716-2025 artfynd.xlsx", "A 53716-2025")</f>
        <v/>
      </c>
      <c r="T135">
        <f>HYPERLINK("https://klasma.github.io/Logging_0188/kartor/A 53716-2025 karta.png", "A 53716-2025")</f>
        <v/>
      </c>
      <c r="V135">
        <f>HYPERLINK("https://klasma.github.io/Logging_0188/klagomål/A 53716-2025 FSC-klagomål.docx", "A 53716-2025")</f>
        <v/>
      </c>
      <c r="W135">
        <f>HYPERLINK("https://klasma.github.io/Logging_0188/klagomålsmail/A 53716-2025 FSC-klagomål mail.docx", "A 53716-2025")</f>
        <v/>
      </c>
      <c r="X135">
        <f>HYPERLINK("https://klasma.github.io/Logging_0188/tillsyn/A 53716-2025 tillsynsbegäran.docx", "A 53716-2025")</f>
        <v/>
      </c>
      <c r="Y135">
        <f>HYPERLINK("https://klasma.github.io/Logging_0188/tillsynsmail/A 53716-2025 tillsynsbegäran mail.docx", "A 53716-2025")</f>
        <v/>
      </c>
    </row>
    <row r="136" ht="15" customHeight="1">
      <c r="A136" t="inlineStr">
        <is>
          <t>A 16870-2025</t>
        </is>
      </c>
      <c r="B136" s="1" t="n">
        <v>45754</v>
      </c>
      <c r="C136" s="1" t="n">
        <v>46094</v>
      </c>
      <c r="D136" t="inlineStr">
        <is>
          <t>STOCKHOLMS LÄN</t>
        </is>
      </c>
      <c r="E136" t="inlineStr">
        <is>
          <t>NORRTÄLJE</t>
        </is>
      </c>
      <c r="G136" t="n">
        <v>24.6</v>
      </c>
      <c r="H136" t="n">
        <v>1</v>
      </c>
      <c r="I136" t="n">
        <v>0</v>
      </c>
      <c r="J136" t="n">
        <v>0</v>
      </c>
      <c r="K136" t="n">
        <v>0</v>
      </c>
      <c r="L136" t="n">
        <v>0</v>
      </c>
      <c r="M136" t="n">
        <v>0</v>
      </c>
      <c r="N136" t="n">
        <v>0</v>
      </c>
      <c r="O136" t="n">
        <v>0</v>
      </c>
      <c r="P136" t="n">
        <v>0</v>
      </c>
      <c r="Q136" t="n">
        <v>1</v>
      </c>
      <c r="R136" s="2" t="inlineStr">
        <is>
          <t>Vanlig groda</t>
        </is>
      </c>
      <c r="S136">
        <f>HYPERLINK("https://klasma.github.io/Logging_0188/artfynd/A 16870-2025 artfynd.xlsx", "A 16870-2025")</f>
        <v/>
      </c>
      <c r="T136">
        <f>HYPERLINK("https://klasma.github.io/Logging_0188/kartor/A 16870-2025 karta.png", "A 16870-2025")</f>
        <v/>
      </c>
      <c r="V136">
        <f>HYPERLINK("https://klasma.github.io/Logging_0188/klagomål/A 16870-2025 FSC-klagomål.docx", "A 16870-2025")</f>
        <v/>
      </c>
      <c r="W136">
        <f>HYPERLINK("https://klasma.github.io/Logging_0188/klagomålsmail/A 16870-2025 FSC-klagomål mail.docx", "A 16870-2025")</f>
        <v/>
      </c>
      <c r="X136">
        <f>HYPERLINK("https://klasma.github.io/Logging_0188/tillsyn/A 16870-2025 tillsynsbegäran.docx", "A 16870-2025")</f>
        <v/>
      </c>
      <c r="Y136">
        <f>HYPERLINK("https://klasma.github.io/Logging_0188/tillsynsmail/A 16870-2025 tillsynsbegäran mail.docx", "A 16870-2025")</f>
        <v/>
      </c>
    </row>
    <row r="137" ht="15" customHeight="1">
      <c r="A137" t="inlineStr">
        <is>
          <t>A 59682-2025</t>
        </is>
      </c>
      <c r="B137" s="1" t="n">
        <v>45992.47116898148</v>
      </c>
      <c r="C137" s="1" t="n">
        <v>46094</v>
      </c>
      <c r="D137" t="inlineStr">
        <is>
          <t>STOCKHOLMS LÄN</t>
        </is>
      </c>
      <c r="E137" t="inlineStr">
        <is>
          <t>NORRTÄLJE</t>
        </is>
      </c>
      <c r="G137" t="n">
        <v>1.6</v>
      </c>
      <c r="H137" t="n">
        <v>0</v>
      </c>
      <c r="I137" t="n">
        <v>1</v>
      </c>
      <c r="J137" t="n">
        <v>0</v>
      </c>
      <c r="K137" t="n">
        <v>0</v>
      </c>
      <c r="L137" t="n">
        <v>0</v>
      </c>
      <c r="M137" t="n">
        <v>0</v>
      </c>
      <c r="N137" t="n">
        <v>0</v>
      </c>
      <c r="O137" t="n">
        <v>0</v>
      </c>
      <c r="P137" t="n">
        <v>0</v>
      </c>
      <c r="Q137" t="n">
        <v>1</v>
      </c>
      <c r="R137" s="2" t="inlineStr">
        <is>
          <t>Grönpyrola</t>
        </is>
      </c>
      <c r="S137">
        <f>HYPERLINK("https://klasma.github.io/Logging_0188/artfynd/A 59682-2025 artfynd.xlsx", "A 59682-2025")</f>
        <v/>
      </c>
      <c r="T137">
        <f>HYPERLINK("https://klasma.github.io/Logging_0188/kartor/A 59682-2025 karta.png", "A 59682-2025")</f>
        <v/>
      </c>
      <c r="V137">
        <f>HYPERLINK("https://klasma.github.io/Logging_0188/klagomål/A 59682-2025 FSC-klagomål.docx", "A 59682-2025")</f>
        <v/>
      </c>
      <c r="W137">
        <f>HYPERLINK("https://klasma.github.io/Logging_0188/klagomålsmail/A 59682-2025 FSC-klagomål mail.docx", "A 59682-2025")</f>
        <v/>
      </c>
      <c r="X137">
        <f>HYPERLINK("https://klasma.github.io/Logging_0188/tillsyn/A 59682-2025 tillsynsbegäran.docx", "A 59682-2025")</f>
        <v/>
      </c>
      <c r="Y137">
        <f>HYPERLINK("https://klasma.github.io/Logging_0188/tillsynsmail/A 59682-2025 tillsynsbegäran mail.docx", "A 59682-2025")</f>
        <v/>
      </c>
    </row>
    <row r="138" ht="15" customHeight="1">
      <c r="A138" t="inlineStr">
        <is>
          <t>A 62715-2025</t>
        </is>
      </c>
      <c r="B138" s="1" t="n">
        <v>46008.52034722222</v>
      </c>
      <c r="C138" s="1" t="n">
        <v>46094</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46094</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7734-2026</t>
        </is>
      </c>
      <c r="B140" s="1" t="n">
        <v>46062.52902777777</v>
      </c>
      <c r="C140" s="1" t="n">
        <v>46094</v>
      </c>
      <c r="D140" t="inlineStr">
        <is>
          <t>STOCKHOLMS LÄN</t>
        </is>
      </c>
      <c r="E140" t="inlineStr">
        <is>
          <t>NORRTÄLJE</t>
        </is>
      </c>
      <c r="G140" t="n">
        <v>6.6</v>
      </c>
      <c r="H140" t="n">
        <v>0</v>
      </c>
      <c r="I140" t="n">
        <v>1</v>
      </c>
      <c r="J140" t="n">
        <v>0</v>
      </c>
      <c r="K140" t="n">
        <v>0</v>
      </c>
      <c r="L140" t="n">
        <v>0</v>
      </c>
      <c r="M140" t="n">
        <v>0</v>
      </c>
      <c r="N140" t="n">
        <v>0</v>
      </c>
      <c r="O140" t="n">
        <v>0</v>
      </c>
      <c r="P140" t="n">
        <v>0</v>
      </c>
      <c r="Q140" t="n">
        <v>1</v>
      </c>
      <c r="R140" s="2" t="inlineStr">
        <is>
          <t>Kastanjefjällskivling</t>
        </is>
      </c>
      <c r="S140">
        <f>HYPERLINK("https://klasma.github.io/Logging_0188/artfynd/A 7734-2026 artfynd.xlsx", "A 7734-2026")</f>
        <v/>
      </c>
      <c r="T140">
        <f>HYPERLINK("https://klasma.github.io/Logging_0188/kartor/A 7734-2026 karta.png", "A 7734-2026")</f>
        <v/>
      </c>
      <c r="V140">
        <f>HYPERLINK("https://klasma.github.io/Logging_0188/klagomål/A 7734-2026 FSC-klagomål.docx", "A 7734-2026")</f>
        <v/>
      </c>
      <c r="W140">
        <f>HYPERLINK("https://klasma.github.io/Logging_0188/klagomålsmail/A 7734-2026 FSC-klagomål mail.docx", "A 7734-2026")</f>
        <v/>
      </c>
      <c r="X140">
        <f>HYPERLINK("https://klasma.github.io/Logging_0188/tillsyn/A 7734-2026 tillsynsbegäran.docx", "A 7734-2026")</f>
        <v/>
      </c>
      <c r="Y140">
        <f>HYPERLINK("https://klasma.github.io/Logging_0188/tillsynsmail/A 7734-2026 tillsynsbegäran mail.docx", "A 7734-2026")</f>
        <v/>
      </c>
    </row>
    <row r="141" ht="15" customHeight="1">
      <c r="A141" t="inlineStr">
        <is>
          <t>A 364-2026</t>
        </is>
      </c>
      <c r="B141" s="1" t="n">
        <v>46027.67134259259</v>
      </c>
      <c r="C141" s="1" t="n">
        <v>46094</v>
      </c>
      <c r="D141" t="inlineStr">
        <is>
          <t>STOCKHOLMS LÄN</t>
        </is>
      </c>
      <c r="E141" t="inlineStr">
        <is>
          <t>NORRTÄLJE</t>
        </is>
      </c>
      <c r="F141" t="inlineStr">
        <is>
          <t>Holmen skog AB</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364-2026 artfynd.xlsx", "A 364-2026")</f>
        <v/>
      </c>
      <c r="T141">
        <f>HYPERLINK("https://klasma.github.io/Logging_0188/kartor/A 364-2026 karta.png", "A 364-2026")</f>
        <v/>
      </c>
      <c r="V141">
        <f>HYPERLINK("https://klasma.github.io/Logging_0188/klagomål/A 364-2026 FSC-klagomål.docx", "A 364-2026")</f>
        <v/>
      </c>
      <c r="W141">
        <f>HYPERLINK("https://klasma.github.io/Logging_0188/klagomålsmail/A 364-2026 FSC-klagomål mail.docx", "A 364-2026")</f>
        <v/>
      </c>
      <c r="X141">
        <f>HYPERLINK("https://klasma.github.io/Logging_0188/tillsyn/A 364-2026 tillsynsbegäran.docx", "A 364-2026")</f>
        <v/>
      </c>
      <c r="Y141">
        <f>HYPERLINK("https://klasma.github.io/Logging_0188/tillsynsmail/A 364-2026 tillsynsbegäran mail.docx", "A 364-2026")</f>
        <v/>
      </c>
    </row>
    <row r="142" ht="15" customHeight="1">
      <c r="A142" t="inlineStr">
        <is>
          <t>A 18580-2021</t>
        </is>
      </c>
      <c r="B142" s="1" t="n">
        <v>44306</v>
      </c>
      <c r="C142" s="1" t="n">
        <v>46094</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46094</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46094</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46094</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46094</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46094</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46094</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46094</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46094</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46094</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31934-2022</t>
        </is>
      </c>
      <c r="B152" s="1" t="n">
        <v>44777</v>
      </c>
      <c r="C152" s="1" t="n">
        <v>46094</v>
      </c>
      <c r="D152" t="inlineStr">
        <is>
          <t>STOCKHOLMS LÄN</t>
        </is>
      </c>
      <c r="E152" t="inlineStr">
        <is>
          <t>NORRTÄLJE</t>
        </is>
      </c>
      <c r="G152" t="n">
        <v>1.2</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46094</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46094</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46094</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46094</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46094</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46094</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46094</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46094</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46094</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46094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46094</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46094</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46094</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46094</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46094</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46094</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46094</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46094</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46094</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46094</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46094</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21723-2022</t>
        </is>
      </c>
      <c r="B174" s="1" t="n">
        <v>44708</v>
      </c>
      <c r="C174" s="1" t="n">
        <v>46094</v>
      </c>
      <c r="D174" t="inlineStr">
        <is>
          <t>STOCKHOLMS LÄN</t>
        </is>
      </c>
      <c r="E174" t="inlineStr">
        <is>
          <t>NORRTÄLJE</t>
        </is>
      </c>
      <c r="G174" t="n">
        <v>0.3</v>
      </c>
      <c r="H174" t="n">
        <v>0</v>
      </c>
      <c r="I174" t="n">
        <v>0</v>
      </c>
      <c r="J174" t="n">
        <v>0</v>
      </c>
      <c r="K174" t="n">
        <v>0</v>
      </c>
      <c r="L174" t="n">
        <v>0</v>
      </c>
      <c r="M174" t="n">
        <v>0</v>
      </c>
      <c r="N174" t="n">
        <v>0</v>
      </c>
      <c r="O174" t="n">
        <v>0</v>
      </c>
      <c r="P174" t="n">
        <v>0</v>
      </c>
      <c r="Q174" t="n">
        <v>0</v>
      </c>
      <c r="R174" s="2" t="inlineStr"/>
    </row>
    <row r="175" ht="15" customHeight="1">
      <c r="A175" t="inlineStr">
        <is>
          <t>A 12816-2022</t>
        </is>
      </c>
      <c r="B175" s="1" t="n">
        <v>44642</v>
      </c>
      <c r="C175" s="1" t="n">
        <v>46094</v>
      </c>
      <c r="D175" t="inlineStr">
        <is>
          <t>STOCKHOLMS LÄN</t>
        </is>
      </c>
      <c r="E175" t="inlineStr">
        <is>
          <t>NORRTÄLJE</t>
        </is>
      </c>
      <c r="G175" t="n">
        <v>4.4</v>
      </c>
      <c r="H175" t="n">
        <v>0</v>
      </c>
      <c r="I175" t="n">
        <v>0</v>
      </c>
      <c r="J175" t="n">
        <v>0</v>
      </c>
      <c r="K175" t="n">
        <v>0</v>
      </c>
      <c r="L175" t="n">
        <v>0</v>
      </c>
      <c r="M175" t="n">
        <v>0</v>
      </c>
      <c r="N175" t="n">
        <v>0</v>
      </c>
      <c r="O175" t="n">
        <v>0</v>
      </c>
      <c r="P175" t="n">
        <v>0</v>
      </c>
      <c r="Q175" t="n">
        <v>0</v>
      </c>
      <c r="R175" s="2" t="inlineStr"/>
    </row>
    <row r="176" ht="15" customHeight="1">
      <c r="A176" t="inlineStr">
        <is>
          <t>A 31807-2022</t>
        </is>
      </c>
      <c r="B176" s="1" t="n">
        <v>44776</v>
      </c>
      <c r="C176" s="1" t="n">
        <v>46094</v>
      </c>
      <c r="D176" t="inlineStr">
        <is>
          <t>STOCKHOLMS LÄN</t>
        </is>
      </c>
      <c r="E176" t="inlineStr">
        <is>
          <t>NORRTÄLJE</t>
        </is>
      </c>
      <c r="G176" t="n">
        <v>2.5</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46094</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46094</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46094</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46094</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46094</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46094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46094</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46094</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46094</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46094</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46094</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46094</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46094</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46094</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46094</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46094</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46094</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46094</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46094</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46094</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46094</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46094</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46094</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46094</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46094</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46094</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46094</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46094</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46094</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46094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46094</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46094</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46094</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46094</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46094</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46094</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46094</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46094</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46094</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46094</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46094</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19398-2021</t>
        </is>
      </c>
      <c r="B218" s="1" t="n">
        <v>44309</v>
      </c>
      <c r="C218" s="1" t="n">
        <v>46094</v>
      </c>
      <c r="D218" t="inlineStr">
        <is>
          <t>STOCKHOLMS LÄN</t>
        </is>
      </c>
      <c r="E218" t="inlineStr">
        <is>
          <t>NORRTÄLJE</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20295-2022</t>
        </is>
      </c>
      <c r="B219" s="1" t="n">
        <v>44698</v>
      </c>
      <c r="C219" s="1" t="n">
        <v>46094</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46094</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45541-2022</t>
        </is>
      </c>
      <c r="B221" s="1" t="n">
        <v>44845.47672453704</v>
      </c>
      <c r="C221" s="1" t="n">
        <v>46094</v>
      </c>
      <c r="D221" t="inlineStr">
        <is>
          <t>STOCKHOLMS LÄN</t>
        </is>
      </c>
      <c r="E221" t="inlineStr">
        <is>
          <t>NORRTÄLJE</t>
        </is>
      </c>
      <c r="G221" t="n">
        <v>0.4</v>
      </c>
      <c r="H221" t="n">
        <v>0</v>
      </c>
      <c r="I221" t="n">
        <v>0</v>
      </c>
      <c r="J221" t="n">
        <v>0</v>
      </c>
      <c r="K221" t="n">
        <v>0</v>
      </c>
      <c r="L221" t="n">
        <v>0</v>
      </c>
      <c r="M221" t="n">
        <v>0</v>
      </c>
      <c r="N221" t="n">
        <v>0</v>
      </c>
      <c r="O221" t="n">
        <v>0</v>
      </c>
      <c r="P221" t="n">
        <v>0</v>
      </c>
      <c r="Q221" t="n">
        <v>0</v>
      </c>
      <c r="R221" s="2" t="inlineStr"/>
    </row>
    <row r="222" ht="15" customHeight="1">
      <c r="A222" t="inlineStr">
        <is>
          <t>A 37415-2021</t>
        </is>
      </c>
      <c r="B222" s="1" t="n">
        <v>44397</v>
      </c>
      <c r="C222" s="1" t="n">
        <v>46094</v>
      </c>
      <c r="D222" t="inlineStr">
        <is>
          <t>STOCKHOLMS LÄN</t>
        </is>
      </c>
      <c r="E222" t="inlineStr">
        <is>
          <t>NORRTÄLJE</t>
        </is>
      </c>
      <c r="F222" t="inlineStr">
        <is>
          <t>Övriga Aktiebolag</t>
        </is>
      </c>
      <c r="G222" t="n">
        <v>3</v>
      </c>
      <c r="H222" t="n">
        <v>0</v>
      </c>
      <c r="I222" t="n">
        <v>0</v>
      </c>
      <c r="J222" t="n">
        <v>0</v>
      </c>
      <c r="K222" t="n">
        <v>0</v>
      </c>
      <c r="L222" t="n">
        <v>0</v>
      </c>
      <c r="M222" t="n">
        <v>0</v>
      </c>
      <c r="N222" t="n">
        <v>0</v>
      </c>
      <c r="O222" t="n">
        <v>0</v>
      </c>
      <c r="P222" t="n">
        <v>0</v>
      </c>
      <c r="Q222" t="n">
        <v>0</v>
      </c>
      <c r="R222" s="2" t="inlineStr"/>
    </row>
    <row r="223" ht="15" customHeight="1">
      <c r="A223" t="inlineStr">
        <is>
          <t>A 1229-2022</t>
        </is>
      </c>
      <c r="B223" s="1" t="n">
        <v>44572</v>
      </c>
      <c r="C223" s="1" t="n">
        <v>46094</v>
      </c>
      <c r="D223" t="inlineStr">
        <is>
          <t>STOCKHOLMS LÄN</t>
        </is>
      </c>
      <c r="E223" t="inlineStr">
        <is>
          <t>NORRTÄLJE</t>
        </is>
      </c>
      <c r="G223" t="n">
        <v>11.5</v>
      </c>
      <c r="H223" t="n">
        <v>0</v>
      </c>
      <c r="I223" t="n">
        <v>0</v>
      </c>
      <c r="J223" t="n">
        <v>0</v>
      </c>
      <c r="K223" t="n">
        <v>0</v>
      </c>
      <c r="L223" t="n">
        <v>0</v>
      </c>
      <c r="M223" t="n">
        <v>0</v>
      </c>
      <c r="N223" t="n">
        <v>0</v>
      </c>
      <c r="O223" t="n">
        <v>0</v>
      </c>
      <c r="P223" t="n">
        <v>0</v>
      </c>
      <c r="Q223" t="n">
        <v>0</v>
      </c>
      <c r="R223" s="2" t="inlineStr"/>
    </row>
    <row r="224" ht="15" customHeight="1">
      <c r="A224" t="inlineStr">
        <is>
          <t>A 12779-2021</t>
        </is>
      </c>
      <c r="B224" s="1" t="n">
        <v>44270</v>
      </c>
      <c r="C224" s="1" t="n">
        <v>46094</v>
      </c>
      <c r="D224" t="inlineStr">
        <is>
          <t>STOCKHOLMS LÄN</t>
        </is>
      </c>
      <c r="E224" t="inlineStr">
        <is>
          <t>NORRTÄLJE</t>
        </is>
      </c>
      <c r="G224" t="n">
        <v>10.8</v>
      </c>
      <c r="H224" t="n">
        <v>0</v>
      </c>
      <c r="I224" t="n">
        <v>0</v>
      </c>
      <c r="J224" t="n">
        <v>0</v>
      </c>
      <c r="K224" t="n">
        <v>0</v>
      </c>
      <c r="L224" t="n">
        <v>0</v>
      </c>
      <c r="M224" t="n">
        <v>0</v>
      </c>
      <c r="N224" t="n">
        <v>0</v>
      </c>
      <c r="O224" t="n">
        <v>0</v>
      </c>
      <c r="P224" t="n">
        <v>0</v>
      </c>
      <c r="Q224" t="n">
        <v>0</v>
      </c>
      <c r="R224" s="2" t="inlineStr"/>
    </row>
    <row r="225" ht="15" customHeight="1">
      <c r="A225" t="inlineStr">
        <is>
          <t>A 12782-2021</t>
        </is>
      </c>
      <c r="B225" s="1" t="n">
        <v>44270</v>
      </c>
      <c r="C225" s="1" t="n">
        <v>46094</v>
      </c>
      <c r="D225" t="inlineStr">
        <is>
          <t>STOCKHOLMS LÄN</t>
        </is>
      </c>
      <c r="E225" t="inlineStr">
        <is>
          <t>NORRTÄLJE</t>
        </is>
      </c>
      <c r="G225" t="n">
        <v>3.8</v>
      </c>
      <c r="H225" t="n">
        <v>0</v>
      </c>
      <c r="I225" t="n">
        <v>0</v>
      </c>
      <c r="J225" t="n">
        <v>0</v>
      </c>
      <c r="K225" t="n">
        <v>0</v>
      </c>
      <c r="L225" t="n">
        <v>0</v>
      </c>
      <c r="M225" t="n">
        <v>0</v>
      </c>
      <c r="N225" t="n">
        <v>0</v>
      </c>
      <c r="O225" t="n">
        <v>0</v>
      </c>
      <c r="P225" t="n">
        <v>0</v>
      </c>
      <c r="Q225" t="n">
        <v>0</v>
      </c>
      <c r="R225" s="2" t="inlineStr"/>
    </row>
    <row r="226" ht="15" customHeight="1">
      <c r="A226" t="inlineStr">
        <is>
          <t>A 14051-2022</t>
        </is>
      </c>
      <c r="B226" s="1" t="n">
        <v>44650.92714120371</v>
      </c>
      <c r="C226" s="1" t="n">
        <v>46094</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68273-2021</t>
        </is>
      </c>
      <c r="B227" s="1" t="n">
        <v>44526</v>
      </c>
      <c r="C227" s="1" t="n">
        <v>46094</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46094</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30286-2022</t>
        </is>
      </c>
      <c r="B229" s="1" t="n">
        <v>44760</v>
      </c>
      <c r="C229" s="1" t="n">
        <v>46094</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8160-2022</t>
        </is>
      </c>
      <c r="B230" s="1" t="n">
        <v>44609</v>
      </c>
      <c r="C230" s="1" t="n">
        <v>46094</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24167-2022</t>
        </is>
      </c>
      <c r="B231" s="1" t="n">
        <v>44725.49491898148</v>
      </c>
      <c r="C231" s="1" t="n">
        <v>46094</v>
      </c>
      <c r="D231" t="inlineStr">
        <is>
          <t>STOCKHOLMS LÄN</t>
        </is>
      </c>
      <c r="E231" t="inlineStr">
        <is>
          <t>NORRTÄLJE</t>
        </is>
      </c>
      <c r="G231" t="n">
        <v>3.4</v>
      </c>
      <c r="H231" t="n">
        <v>0</v>
      </c>
      <c r="I231" t="n">
        <v>0</v>
      </c>
      <c r="J231" t="n">
        <v>0</v>
      </c>
      <c r="K231" t="n">
        <v>0</v>
      </c>
      <c r="L231" t="n">
        <v>0</v>
      </c>
      <c r="M231" t="n">
        <v>0</v>
      </c>
      <c r="N231" t="n">
        <v>0</v>
      </c>
      <c r="O231" t="n">
        <v>0</v>
      </c>
      <c r="P231" t="n">
        <v>0</v>
      </c>
      <c r="Q231" t="n">
        <v>0</v>
      </c>
      <c r="R231" s="2" t="inlineStr"/>
    </row>
    <row r="232" ht="15" customHeight="1">
      <c r="A232" t="inlineStr">
        <is>
          <t>A 42396-2021</t>
        </is>
      </c>
      <c r="B232" s="1" t="n">
        <v>44427</v>
      </c>
      <c r="C232" s="1" t="n">
        <v>46094</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39319-2022</t>
        </is>
      </c>
      <c r="B233" s="1" t="n">
        <v>44817.70516203704</v>
      </c>
      <c r="C233" s="1" t="n">
        <v>46094</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56219-2021</t>
        </is>
      </c>
      <c r="B234" s="1" t="n">
        <v>44477</v>
      </c>
      <c r="C234" s="1" t="n">
        <v>46094</v>
      </c>
      <c r="D234" t="inlineStr">
        <is>
          <t>STOCKHOLMS LÄN</t>
        </is>
      </c>
      <c r="E234" t="inlineStr">
        <is>
          <t>NORRTÄLJE</t>
        </is>
      </c>
      <c r="F234" t="inlineStr">
        <is>
          <t>Kommuner</t>
        </is>
      </c>
      <c r="G234" t="n">
        <v>2.3</v>
      </c>
      <c r="H234" t="n">
        <v>0</v>
      </c>
      <c r="I234" t="n">
        <v>0</v>
      </c>
      <c r="J234" t="n">
        <v>0</v>
      </c>
      <c r="K234" t="n">
        <v>0</v>
      </c>
      <c r="L234" t="n">
        <v>0</v>
      </c>
      <c r="M234" t="n">
        <v>0</v>
      </c>
      <c r="N234" t="n">
        <v>0</v>
      </c>
      <c r="O234" t="n">
        <v>0</v>
      </c>
      <c r="P234" t="n">
        <v>0</v>
      </c>
      <c r="Q234" t="n">
        <v>0</v>
      </c>
      <c r="R234" s="2" t="inlineStr"/>
    </row>
    <row r="235" ht="15" customHeight="1">
      <c r="A235" t="inlineStr">
        <is>
          <t>A 52139-2022</t>
        </is>
      </c>
      <c r="B235" s="1" t="n">
        <v>44868</v>
      </c>
      <c r="C235" s="1" t="n">
        <v>46094</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c r="U235">
        <f>HYPERLINK("https://klasma.github.io/Logging_0188/knärot/A 52139-2022 karta knärot.png", "A 52139-2022")</f>
        <v/>
      </c>
      <c r="V235">
        <f>HYPERLINK("https://klasma.github.io/Logging_0188/klagomål/A 52139-2022 FSC-klagomål.docx", "A 52139-2022")</f>
        <v/>
      </c>
      <c r="W235">
        <f>HYPERLINK("https://klasma.github.io/Logging_0188/klagomålsmail/A 52139-2022 FSC-klagomål mail.docx", "A 52139-2022")</f>
        <v/>
      </c>
      <c r="X235">
        <f>HYPERLINK("https://klasma.github.io/Logging_0188/tillsyn/A 52139-2022 tillsynsbegäran.docx", "A 52139-2022")</f>
        <v/>
      </c>
      <c r="Y235">
        <f>HYPERLINK("https://klasma.github.io/Logging_0188/tillsynsmail/A 52139-2022 tillsynsbegäran mail.docx", "A 52139-2022")</f>
        <v/>
      </c>
    </row>
    <row r="236" ht="15" customHeight="1">
      <c r="A236" t="inlineStr">
        <is>
          <t>A 17673-2021</t>
        </is>
      </c>
      <c r="B236" s="1" t="n">
        <v>44300</v>
      </c>
      <c r="C236" s="1" t="n">
        <v>46094</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c r="T236">
        <f>HYPERLINK("https://klasma.github.io/Logging_0188/kartor/A 17673-2021 karta.png", "A 17673-2021")</f>
        <v/>
      </c>
      <c r="V236">
        <f>HYPERLINK("https://klasma.github.io/Logging_0188/klagomål/A 17673-2021 FSC-klagomål.docx", "A 17673-2021")</f>
        <v/>
      </c>
      <c r="W236">
        <f>HYPERLINK("https://klasma.github.io/Logging_0188/klagomålsmail/A 17673-2021 FSC-klagomål mail.docx", "A 17673-2021")</f>
        <v/>
      </c>
      <c r="X236">
        <f>HYPERLINK("https://klasma.github.io/Logging_0188/tillsyn/A 17673-2021 tillsynsbegäran.docx", "A 17673-2021")</f>
        <v/>
      </c>
      <c r="Y236">
        <f>HYPERLINK("https://klasma.github.io/Logging_0188/tillsynsmail/A 17673-2021 tillsynsbegäran mail.docx", "A 17673-2021")</f>
        <v/>
      </c>
      <c r="Z236">
        <f>HYPERLINK("https://klasma.github.io/Logging_0188/fåglar/A 17673-2021 prioriterade fågelarter.docx", "A 17673-2021")</f>
        <v/>
      </c>
    </row>
    <row r="237" ht="15" customHeight="1">
      <c r="A237" t="inlineStr">
        <is>
          <t>A 2732-2022</t>
        </is>
      </c>
      <c r="B237" s="1" t="n">
        <v>44580</v>
      </c>
      <c r="C237" s="1" t="n">
        <v>46094</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27217-2021</t>
        </is>
      </c>
      <c r="B238" s="1" t="n">
        <v>44350</v>
      </c>
      <c r="C238" s="1" t="n">
        <v>46094</v>
      </c>
      <c r="D238" t="inlineStr">
        <is>
          <t>STOCKHOLMS LÄN</t>
        </is>
      </c>
      <c r="E238" t="inlineStr">
        <is>
          <t>NORRTÄLJE</t>
        </is>
      </c>
      <c r="G238" t="n">
        <v>5.5</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46094</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31924-2022</t>
        </is>
      </c>
      <c r="B240" s="1" t="n">
        <v>44777</v>
      </c>
      <c r="C240" s="1" t="n">
        <v>46094</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62030-2021</t>
        </is>
      </c>
      <c r="B241" s="1" t="n">
        <v>44502</v>
      </c>
      <c r="C241" s="1" t="n">
        <v>46094</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12270-2022</t>
        </is>
      </c>
      <c r="B242" s="1" t="n">
        <v>44637</v>
      </c>
      <c r="C242" s="1" t="n">
        <v>46094</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15226-2022</t>
        </is>
      </c>
      <c r="B243" s="1" t="n">
        <v>44658</v>
      </c>
      <c r="C243" s="1" t="n">
        <v>46094</v>
      </c>
      <c r="D243" t="inlineStr">
        <is>
          <t>STOCKHOLMS LÄN</t>
        </is>
      </c>
      <c r="E243" t="inlineStr">
        <is>
          <t>NORRTÄLJE</t>
        </is>
      </c>
      <c r="G243" t="n">
        <v>1.1</v>
      </c>
      <c r="H243" t="n">
        <v>0</v>
      </c>
      <c r="I243" t="n">
        <v>0</v>
      </c>
      <c r="J243" t="n">
        <v>0</v>
      </c>
      <c r="K243" t="n">
        <v>0</v>
      </c>
      <c r="L243" t="n">
        <v>0</v>
      </c>
      <c r="M243" t="n">
        <v>0</v>
      </c>
      <c r="N243" t="n">
        <v>0</v>
      </c>
      <c r="O243" t="n">
        <v>0</v>
      </c>
      <c r="P243" t="n">
        <v>0</v>
      </c>
      <c r="Q243" t="n">
        <v>0</v>
      </c>
      <c r="R243" s="2" t="inlineStr"/>
    </row>
    <row r="244" ht="15" customHeight="1">
      <c r="A244" t="inlineStr">
        <is>
          <t>A 12875-2022</t>
        </is>
      </c>
      <c r="B244" s="1" t="n">
        <v>44642.55565972222</v>
      </c>
      <c r="C244" s="1" t="n">
        <v>46094</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46094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3300-2022</t>
        </is>
      </c>
      <c r="B246" s="1" t="n">
        <v>44584.91538194445</v>
      </c>
      <c r="C246" s="1" t="n">
        <v>46094</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17388-2022</t>
        </is>
      </c>
      <c r="B247" s="1" t="n">
        <v>44678</v>
      </c>
      <c r="C247" s="1" t="n">
        <v>46094</v>
      </c>
      <c r="D247" t="inlineStr">
        <is>
          <t>STOCKHOLMS LÄN</t>
        </is>
      </c>
      <c r="E247" t="inlineStr">
        <is>
          <t>NORRTÄLJE</t>
        </is>
      </c>
      <c r="G247" t="n">
        <v>2.4</v>
      </c>
      <c r="H247" t="n">
        <v>0</v>
      </c>
      <c r="I247" t="n">
        <v>0</v>
      </c>
      <c r="J247" t="n">
        <v>0</v>
      </c>
      <c r="K247" t="n">
        <v>0</v>
      </c>
      <c r="L247" t="n">
        <v>0</v>
      </c>
      <c r="M247" t="n">
        <v>0</v>
      </c>
      <c r="N247" t="n">
        <v>0</v>
      </c>
      <c r="O247" t="n">
        <v>0</v>
      </c>
      <c r="P247" t="n">
        <v>0</v>
      </c>
      <c r="Q247" t="n">
        <v>0</v>
      </c>
      <c r="R247" s="2" t="inlineStr"/>
    </row>
    <row r="248" ht="15" customHeight="1">
      <c r="A248" t="inlineStr">
        <is>
          <t>A 17771-2022</t>
        </is>
      </c>
      <c r="B248" s="1" t="n">
        <v>44682.75924768519</v>
      </c>
      <c r="C248" s="1" t="n">
        <v>46094</v>
      </c>
      <c r="D248" t="inlineStr">
        <is>
          <t>STOCKHOLMS LÄN</t>
        </is>
      </c>
      <c r="E248" t="inlineStr">
        <is>
          <t>NORRTÄLJE</t>
        </is>
      </c>
      <c r="G248" t="n">
        <v>13.3</v>
      </c>
      <c r="H248" t="n">
        <v>0</v>
      </c>
      <c r="I248" t="n">
        <v>0</v>
      </c>
      <c r="J248" t="n">
        <v>0</v>
      </c>
      <c r="K248" t="n">
        <v>0</v>
      </c>
      <c r="L248" t="n">
        <v>0</v>
      </c>
      <c r="M248" t="n">
        <v>0</v>
      </c>
      <c r="N248" t="n">
        <v>0</v>
      </c>
      <c r="O248" t="n">
        <v>0</v>
      </c>
      <c r="P248" t="n">
        <v>0</v>
      </c>
      <c r="Q248" t="n">
        <v>0</v>
      </c>
      <c r="R248" s="2" t="inlineStr"/>
    </row>
    <row r="249" ht="15" customHeight="1">
      <c r="A249" t="inlineStr">
        <is>
          <t>A 17773-2022</t>
        </is>
      </c>
      <c r="B249" s="1" t="n">
        <v>44682.77616898148</v>
      </c>
      <c r="C249" s="1" t="n">
        <v>46094</v>
      </c>
      <c r="D249" t="inlineStr">
        <is>
          <t>STOCKHOLMS LÄN</t>
        </is>
      </c>
      <c r="E249" t="inlineStr">
        <is>
          <t>NORRTÄLJE</t>
        </is>
      </c>
      <c r="G249" t="n">
        <v>10.8</v>
      </c>
      <c r="H249" t="n">
        <v>0</v>
      </c>
      <c r="I249" t="n">
        <v>0</v>
      </c>
      <c r="J249" t="n">
        <v>0</v>
      </c>
      <c r="K249" t="n">
        <v>0</v>
      </c>
      <c r="L249" t="n">
        <v>0</v>
      </c>
      <c r="M249" t="n">
        <v>0</v>
      </c>
      <c r="N249" t="n">
        <v>0</v>
      </c>
      <c r="O249" t="n">
        <v>0</v>
      </c>
      <c r="P249" t="n">
        <v>0</v>
      </c>
      <c r="Q249" t="n">
        <v>0</v>
      </c>
      <c r="R249" s="2" t="inlineStr"/>
    </row>
    <row r="250" ht="15" customHeight="1">
      <c r="A250" t="inlineStr">
        <is>
          <t>A 10521-2022</t>
        </is>
      </c>
      <c r="B250" s="1" t="n">
        <v>44623</v>
      </c>
      <c r="C250" s="1" t="n">
        <v>46094</v>
      </c>
      <c r="D250" t="inlineStr">
        <is>
          <t>STOCKHOLMS LÄN</t>
        </is>
      </c>
      <c r="E250" t="inlineStr">
        <is>
          <t>NORRTÄLJE</t>
        </is>
      </c>
      <c r="G250" t="n">
        <v>2.9</v>
      </c>
      <c r="H250" t="n">
        <v>0</v>
      </c>
      <c r="I250" t="n">
        <v>0</v>
      </c>
      <c r="J250" t="n">
        <v>0</v>
      </c>
      <c r="K250" t="n">
        <v>0</v>
      </c>
      <c r="L250" t="n">
        <v>0</v>
      </c>
      <c r="M250" t="n">
        <v>0</v>
      </c>
      <c r="N250" t="n">
        <v>0</v>
      </c>
      <c r="O250" t="n">
        <v>0</v>
      </c>
      <c r="P250" t="n">
        <v>0</v>
      </c>
      <c r="Q250" t="n">
        <v>0</v>
      </c>
      <c r="R250" s="2" t="inlineStr"/>
    </row>
    <row r="251" ht="15" customHeight="1">
      <c r="A251" t="inlineStr">
        <is>
          <t>A 71871-2021</t>
        </is>
      </c>
      <c r="B251" s="1" t="n">
        <v>44543</v>
      </c>
      <c r="C251" s="1" t="n">
        <v>46094</v>
      </c>
      <c r="D251" t="inlineStr">
        <is>
          <t>STOCKHOLMS LÄN</t>
        </is>
      </c>
      <c r="E251" t="inlineStr">
        <is>
          <t>NORRTÄLJE</t>
        </is>
      </c>
      <c r="G251" t="n">
        <v>2.5</v>
      </c>
      <c r="H251" t="n">
        <v>0</v>
      </c>
      <c r="I251" t="n">
        <v>0</v>
      </c>
      <c r="J251" t="n">
        <v>0</v>
      </c>
      <c r="K251" t="n">
        <v>0</v>
      </c>
      <c r="L251" t="n">
        <v>0</v>
      </c>
      <c r="M251" t="n">
        <v>0</v>
      </c>
      <c r="N251" t="n">
        <v>0</v>
      </c>
      <c r="O251" t="n">
        <v>0</v>
      </c>
      <c r="P251" t="n">
        <v>0</v>
      </c>
      <c r="Q251" t="n">
        <v>0</v>
      </c>
      <c r="R251" s="2" t="inlineStr"/>
    </row>
    <row r="252" ht="15" customHeight="1">
      <c r="A252" t="inlineStr">
        <is>
          <t>A 71873-2021</t>
        </is>
      </c>
      <c r="B252" s="1" t="n">
        <v>44543</v>
      </c>
      <c r="C252" s="1" t="n">
        <v>46094</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46094</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46094</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16117-2022</t>
        </is>
      </c>
      <c r="B255" s="1" t="n">
        <v>44665.65474537037</v>
      </c>
      <c r="C255" s="1" t="n">
        <v>46094</v>
      </c>
      <c r="D255" t="inlineStr">
        <is>
          <t>STOCKHOLMS LÄN</t>
        </is>
      </c>
      <c r="E255" t="inlineStr">
        <is>
          <t>NORRTÄLJE</t>
        </is>
      </c>
      <c r="G255" t="n">
        <v>8.1</v>
      </c>
      <c r="H255" t="n">
        <v>0</v>
      </c>
      <c r="I255" t="n">
        <v>0</v>
      </c>
      <c r="J255" t="n">
        <v>0</v>
      </c>
      <c r="K255" t="n">
        <v>0</v>
      </c>
      <c r="L255" t="n">
        <v>0</v>
      </c>
      <c r="M255" t="n">
        <v>0</v>
      </c>
      <c r="N255" t="n">
        <v>0</v>
      </c>
      <c r="O255" t="n">
        <v>0</v>
      </c>
      <c r="P255" t="n">
        <v>0</v>
      </c>
      <c r="Q255" t="n">
        <v>0</v>
      </c>
      <c r="R255" s="2" t="inlineStr"/>
    </row>
    <row r="256" ht="15" customHeight="1">
      <c r="A256" t="inlineStr">
        <is>
          <t>A 16132-2022</t>
        </is>
      </c>
      <c r="B256" s="1" t="n">
        <v>44665.78351851852</v>
      </c>
      <c r="C256" s="1" t="n">
        <v>46094</v>
      </c>
      <c r="D256" t="inlineStr">
        <is>
          <t>STOCKHOLMS LÄN</t>
        </is>
      </c>
      <c r="E256" t="inlineStr">
        <is>
          <t>NORRTÄLJE</t>
        </is>
      </c>
      <c r="G256" t="n">
        <v>4.4</v>
      </c>
      <c r="H256" t="n">
        <v>0</v>
      </c>
      <c r="I256" t="n">
        <v>0</v>
      </c>
      <c r="J256" t="n">
        <v>0</v>
      </c>
      <c r="K256" t="n">
        <v>0</v>
      </c>
      <c r="L256" t="n">
        <v>0</v>
      </c>
      <c r="M256" t="n">
        <v>0</v>
      </c>
      <c r="N256" t="n">
        <v>0</v>
      </c>
      <c r="O256" t="n">
        <v>0</v>
      </c>
      <c r="P256" t="n">
        <v>0</v>
      </c>
      <c r="Q256" t="n">
        <v>0</v>
      </c>
      <c r="R256" s="2" t="inlineStr"/>
    </row>
    <row r="257" ht="15" customHeight="1">
      <c r="A257" t="inlineStr">
        <is>
          <t>A 70170-2021</t>
        </is>
      </c>
      <c r="B257" s="1" t="n">
        <v>44533</v>
      </c>
      <c r="C257" s="1" t="n">
        <v>46094</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27214-2021</t>
        </is>
      </c>
      <c r="B258" s="1" t="n">
        <v>44350</v>
      </c>
      <c r="C258" s="1" t="n">
        <v>46094</v>
      </c>
      <c r="D258" t="inlineStr">
        <is>
          <t>STOCKHOLMS LÄN</t>
        </is>
      </c>
      <c r="E258" t="inlineStr">
        <is>
          <t>NORRTÄLJE</t>
        </is>
      </c>
      <c r="G258" t="n">
        <v>1</v>
      </c>
      <c r="H258" t="n">
        <v>0</v>
      </c>
      <c r="I258" t="n">
        <v>0</v>
      </c>
      <c r="J258" t="n">
        <v>0</v>
      </c>
      <c r="K258" t="n">
        <v>0</v>
      </c>
      <c r="L258" t="n">
        <v>0</v>
      </c>
      <c r="M258" t="n">
        <v>0</v>
      </c>
      <c r="N258" t="n">
        <v>0</v>
      </c>
      <c r="O258" t="n">
        <v>0</v>
      </c>
      <c r="P258" t="n">
        <v>0</v>
      </c>
      <c r="Q258" t="n">
        <v>0</v>
      </c>
      <c r="R258" s="2" t="inlineStr"/>
    </row>
    <row r="259" ht="15" customHeight="1">
      <c r="A259" t="inlineStr">
        <is>
          <t>A 72355-2021</t>
        </is>
      </c>
      <c r="B259" s="1" t="n">
        <v>44545</v>
      </c>
      <c r="C259" s="1" t="n">
        <v>46094</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72357-2021</t>
        </is>
      </c>
      <c r="B260" s="1" t="n">
        <v>44545</v>
      </c>
      <c r="C260" s="1" t="n">
        <v>46094</v>
      </c>
      <c r="D260" t="inlineStr">
        <is>
          <t>STOCKHOLMS LÄN</t>
        </is>
      </c>
      <c r="E260" t="inlineStr">
        <is>
          <t>NORRTÄLJE</t>
        </is>
      </c>
      <c r="G260" t="n">
        <v>5.1</v>
      </c>
      <c r="H260" t="n">
        <v>0</v>
      </c>
      <c r="I260" t="n">
        <v>0</v>
      </c>
      <c r="J260" t="n">
        <v>0</v>
      </c>
      <c r="K260" t="n">
        <v>0</v>
      </c>
      <c r="L260" t="n">
        <v>0</v>
      </c>
      <c r="M260" t="n">
        <v>0</v>
      </c>
      <c r="N260" t="n">
        <v>0</v>
      </c>
      <c r="O260" t="n">
        <v>0</v>
      </c>
      <c r="P260" t="n">
        <v>0</v>
      </c>
      <c r="Q260" t="n">
        <v>0</v>
      </c>
      <c r="R260" s="2" t="inlineStr"/>
    </row>
    <row r="261" ht="15" customHeight="1">
      <c r="A261" t="inlineStr">
        <is>
          <t>A 12355-2022</t>
        </is>
      </c>
      <c r="B261" s="1" t="n">
        <v>44637</v>
      </c>
      <c r="C261" s="1" t="n">
        <v>46094</v>
      </c>
      <c r="D261" t="inlineStr">
        <is>
          <t>STOCKHOLMS LÄN</t>
        </is>
      </c>
      <c r="E261" t="inlineStr">
        <is>
          <t>NORRTÄLJE</t>
        </is>
      </c>
      <c r="G261" t="n">
        <v>10.4</v>
      </c>
      <c r="H261" t="n">
        <v>0</v>
      </c>
      <c r="I261" t="n">
        <v>0</v>
      </c>
      <c r="J261" t="n">
        <v>0</v>
      </c>
      <c r="K261" t="n">
        <v>0</v>
      </c>
      <c r="L261" t="n">
        <v>0</v>
      </c>
      <c r="M261" t="n">
        <v>0</v>
      </c>
      <c r="N261" t="n">
        <v>0</v>
      </c>
      <c r="O261" t="n">
        <v>0</v>
      </c>
      <c r="P261" t="n">
        <v>0</v>
      </c>
      <c r="Q261" t="n">
        <v>0</v>
      </c>
      <c r="R261" s="2" t="inlineStr"/>
    </row>
    <row r="262" ht="15" customHeight="1">
      <c r="A262" t="inlineStr">
        <is>
          <t>A 25463-2021</t>
        </is>
      </c>
      <c r="B262" s="1" t="n">
        <v>44342</v>
      </c>
      <c r="C262" s="1" t="n">
        <v>46094</v>
      </c>
      <c r="D262" t="inlineStr">
        <is>
          <t>STOCKHOLMS LÄN</t>
        </is>
      </c>
      <c r="E262" t="inlineStr">
        <is>
          <t>NORRTÄLJE</t>
        </is>
      </c>
      <c r="F262" t="inlineStr">
        <is>
          <t>Holmen skog AB</t>
        </is>
      </c>
      <c r="G262" t="n">
        <v>1.5</v>
      </c>
      <c r="H262" t="n">
        <v>0</v>
      </c>
      <c r="I262" t="n">
        <v>0</v>
      </c>
      <c r="J262" t="n">
        <v>0</v>
      </c>
      <c r="K262" t="n">
        <v>0</v>
      </c>
      <c r="L262" t="n">
        <v>0</v>
      </c>
      <c r="M262" t="n">
        <v>0</v>
      </c>
      <c r="N262" t="n">
        <v>0</v>
      </c>
      <c r="O262" t="n">
        <v>0</v>
      </c>
      <c r="P262" t="n">
        <v>0</v>
      </c>
      <c r="Q262" t="n">
        <v>0</v>
      </c>
      <c r="R262" s="2" t="inlineStr"/>
    </row>
    <row r="263" ht="15" customHeight="1">
      <c r="A263" t="inlineStr">
        <is>
          <t>A 28042-2022</t>
        </is>
      </c>
      <c r="B263" s="1" t="n">
        <v>44744</v>
      </c>
      <c r="C263" s="1" t="n">
        <v>46094</v>
      </c>
      <c r="D263" t="inlineStr">
        <is>
          <t>STOCKHOLMS LÄN</t>
        </is>
      </c>
      <c r="E263" t="inlineStr">
        <is>
          <t>NORRTÄLJE</t>
        </is>
      </c>
      <c r="G263" t="n">
        <v>0.2</v>
      </c>
      <c r="H263" t="n">
        <v>0</v>
      </c>
      <c r="I263" t="n">
        <v>0</v>
      </c>
      <c r="J263" t="n">
        <v>0</v>
      </c>
      <c r="K263" t="n">
        <v>0</v>
      </c>
      <c r="L263" t="n">
        <v>0</v>
      </c>
      <c r="M263" t="n">
        <v>0</v>
      </c>
      <c r="N263" t="n">
        <v>0</v>
      </c>
      <c r="O263" t="n">
        <v>0</v>
      </c>
      <c r="P263" t="n">
        <v>0</v>
      </c>
      <c r="Q263" t="n">
        <v>0</v>
      </c>
      <c r="R263" s="2" t="inlineStr"/>
    </row>
    <row r="264" ht="15" customHeight="1">
      <c r="A264" t="inlineStr">
        <is>
          <t>A 21102-2022</t>
        </is>
      </c>
      <c r="B264" s="1" t="n">
        <v>44704</v>
      </c>
      <c r="C264" s="1" t="n">
        <v>46094</v>
      </c>
      <c r="D264" t="inlineStr">
        <is>
          <t>STOCKHOLMS LÄN</t>
        </is>
      </c>
      <c r="E264" t="inlineStr">
        <is>
          <t>NORRTÄLJE</t>
        </is>
      </c>
      <c r="G264" t="n">
        <v>0.2</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46094</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71880-2021</t>
        </is>
      </c>
      <c r="B266" s="1" t="n">
        <v>44543</v>
      </c>
      <c r="C266" s="1" t="n">
        <v>46094</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46094</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46094</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17772-2022</t>
        </is>
      </c>
      <c r="B269" s="1" t="n">
        <v>44682.76528935185</v>
      </c>
      <c r="C269" s="1" t="n">
        <v>46094</v>
      </c>
      <c r="D269" t="inlineStr">
        <is>
          <t>STOCKHOLMS LÄN</t>
        </is>
      </c>
      <c r="E269" t="inlineStr">
        <is>
          <t>NORRTÄLJE</t>
        </is>
      </c>
      <c r="G269" t="n">
        <v>4</v>
      </c>
      <c r="H269" t="n">
        <v>0</v>
      </c>
      <c r="I269" t="n">
        <v>0</v>
      </c>
      <c r="J269" t="n">
        <v>0</v>
      </c>
      <c r="K269" t="n">
        <v>0</v>
      </c>
      <c r="L269" t="n">
        <v>0</v>
      </c>
      <c r="M269" t="n">
        <v>0</v>
      </c>
      <c r="N269" t="n">
        <v>0</v>
      </c>
      <c r="O269" t="n">
        <v>0</v>
      </c>
      <c r="P269" t="n">
        <v>0</v>
      </c>
      <c r="Q269" t="n">
        <v>0</v>
      </c>
      <c r="R269" s="2" t="inlineStr"/>
    </row>
    <row r="270" ht="15" customHeight="1">
      <c r="A270" t="inlineStr">
        <is>
          <t>A 41398-2022</t>
        </is>
      </c>
      <c r="B270" s="1" t="n">
        <v>44826</v>
      </c>
      <c r="C270" s="1" t="n">
        <v>46094</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22369-2021</t>
        </is>
      </c>
      <c r="B271" s="1" t="n">
        <v>44326</v>
      </c>
      <c r="C271" s="1" t="n">
        <v>46094</v>
      </c>
      <c r="D271" t="inlineStr">
        <is>
          <t>STOCKHOLMS LÄN</t>
        </is>
      </c>
      <c r="E271" t="inlineStr">
        <is>
          <t>NORRTÄLJE</t>
        </is>
      </c>
      <c r="F271" t="inlineStr">
        <is>
          <t>Holmen skog AB</t>
        </is>
      </c>
      <c r="G271" t="n">
        <v>3.4</v>
      </c>
      <c r="H271" t="n">
        <v>0</v>
      </c>
      <c r="I271" t="n">
        <v>0</v>
      </c>
      <c r="J271" t="n">
        <v>0</v>
      </c>
      <c r="K271" t="n">
        <v>0</v>
      </c>
      <c r="L271" t="n">
        <v>0</v>
      </c>
      <c r="M271" t="n">
        <v>0</v>
      </c>
      <c r="N271" t="n">
        <v>0</v>
      </c>
      <c r="O271" t="n">
        <v>0</v>
      </c>
      <c r="P271" t="n">
        <v>0</v>
      </c>
      <c r="Q271" t="n">
        <v>0</v>
      </c>
      <c r="R271" s="2" t="inlineStr"/>
    </row>
    <row r="272" ht="15" customHeight="1">
      <c r="A272" t="inlineStr">
        <is>
          <t>A 67285-2021</t>
        </is>
      </c>
      <c r="B272" s="1" t="n">
        <v>44523.61635416667</v>
      </c>
      <c r="C272" s="1" t="n">
        <v>46094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15915-2023</t>
        </is>
      </c>
      <c r="B273" s="1" t="n">
        <v>45022</v>
      </c>
      <c r="C273" s="1" t="n">
        <v>46094</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46094</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46094</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24101-2022</t>
        </is>
      </c>
      <c r="B276" s="1" t="n">
        <v>44725</v>
      </c>
      <c r="C276" s="1" t="n">
        <v>46094</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31926-2022</t>
        </is>
      </c>
      <c r="B277" s="1" t="n">
        <v>44777</v>
      </c>
      <c r="C277" s="1" t="n">
        <v>46094</v>
      </c>
      <c r="D277" t="inlineStr">
        <is>
          <t>STOCKHOLMS LÄN</t>
        </is>
      </c>
      <c r="E277" t="inlineStr">
        <is>
          <t>NORRTÄLJE</t>
        </is>
      </c>
      <c r="G277" t="n">
        <v>5.2</v>
      </c>
      <c r="H277" t="n">
        <v>0</v>
      </c>
      <c r="I277" t="n">
        <v>0</v>
      </c>
      <c r="J277" t="n">
        <v>0</v>
      </c>
      <c r="K277" t="n">
        <v>0</v>
      </c>
      <c r="L277" t="n">
        <v>0</v>
      </c>
      <c r="M277" t="n">
        <v>0</v>
      </c>
      <c r="N277" t="n">
        <v>0</v>
      </c>
      <c r="O277" t="n">
        <v>0</v>
      </c>
      <c r="P277" t="n">
        <v>0</v>
      </c>
      <c r="Q277" t="n">
        <v>0</v>
      </c>
      <c r="R277" s="2" t="inlineStr"/>
    </row>
    <row r="278" ht="15" customHeight="1">
      <c r="A278" t="inlineStr">
        <is>
          <t>A 21480-2022</t>
        </is>
      </c>
      <c r="B278" s="1" t="n">
        <v>44704</v>
      </c>
      <c r="C278" s="1" t="n">
        <v>46094</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11041-2025</t>
        </is>
      </c>
      <c r="B279" s="1" t="n">
        <v>45723</v>
      </c>
      <c r="C279" s="1" t="n">
        <v>46094</v>
      </c>
      <c r="D279" t="inlineStr">
        <is>
          <t>STOCKHOLMS LÄN</t>
        </is>
      </c>
      <c r="E279" t="inlineStr">
        <is>
          <t>NORRTÄLJE</t>
        </is>
      </c>
      <c r="F279" t="inlineStr">
        <is>
          <t>Övriga Aktiebolag</t>
        </is>
      </c>
      <c r="G279" t="n">
        <v>1.8</v>
      </c>
      <c r="H279" t="n">
        <v>0</v>
      </c>
      <c r="I279" t="n">
        <v>0</v>
      </c>
      <c r="J279" t="n">
        <v>0</v>
      </c>
      <c r="K279" t="n">
        <v>0</v>
      </c>
      <c r="L279" t="n">
        <v>0</v>
      </c>
      <c r="M279" t="n">
        <v>0</v>
      </c>
      <c r="N279" t="n">
        <v>0</v>
      </c>
      <c r="O279" t="n">
        <v>0</v>
      </c>
      <c r="P279" t="n">
        <v>0</v>
      </c>
      <c r="Q279" t="n">
        <v>0</v>
      </c>
      <c r="R279" s="2" t="inlineStr"/>
    </row>
    <row r="280" ht="15" customHeight="1">
      <c r="A280" t="inlineStr">
        <is>
          <t>A 24024-2024</t>
        </is>
      </c>
      <c r="B280" s="1" t="n">
        <v>45456</v>
      </c>
      <c r="C280" s="1" t="n">
        <v>46094</v>
      </c>
      <c r="D280" t="inlineStr">
        <is>
          <t>STOCKHOLMS LÄN</t>
        </is>
      </c>
      <c r="E280" t="inlineStr">
        <is>
          <t>NORRTÄLJE</t>
        </is>
      </c>
      <c r="G280" t="n">
        <v>1.9</v>
      </c>
      <c r="H280" t="n">
        <v>0</v>
      </c>
      <c r="I280" t="n">
        <v>0</v>
      </c>
      <c r="J280" t="n">
        <v>0</v>
      </c>
      <c r="K280" t="n">
        <v>0</v>
      </c>
      <c r="L280" t="n">
        <v>0</v>
      </c>
      <c r="M280" t="n">
        <v>0</v>
      </c>
      <c r="N280" t="n">
        <v>0</v>
      </c>
      <c r="O280" t="n">
        <v>0</v>
      </c>
      <c r="P280" t="n">
        <v>0</v>
      </c>
      <c r="Q280" t="n">
        <v>0</v>
      </c>
      <c r="R280" s="2" t="inlineStr"/>
    </row>
    <row r="281" ht="15" customHeight="1">
      <c r="A281" t="inlineStr">
        <is>
          <t>A 38721-2022</t>
        </is>
      </c>
      <c r="B281" s="1" t="n">
        <v>44815</v>
      </c>
      <c r="C281" s="1" t="n">
        <v>46094</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28809-2023</t>
        </is>
      </c>
      <c r="B282" s="1" t="n">
        <v>45104</v>
      </c>
      <c r="C282" s="1" t="n">
        <v>46094</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28813-2023</t>
        </is>
      </c>
      <c r="B283" s="1" t="n">
        <v>45104</v>
      </c>
      <c r="C283" s="1" t="n">
        <v>46094</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40656-2022</t>
        </is>
      </c>
      <c r="B284" s="1" t="n">
        <v>44824.36069444445</v>
      </c>
      <c r="C284" s="1" t="n">
        <v>46094</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29972-2024</t>
        </is>
      </c>
      <c r="B285" s="1" t="n">
        <v>45485</v>
      </c>
      <c r="C285" s="1" t="n">
        <v>46094</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60184-2021</t>
        </is>
      </c>
      <c r="B286" s="1" t="n">
        <v>44495</v>
      </c>
      <c r="C286" s="1" t="n">
        <v>46094</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48716-2023</t>
        </is>
      </c>
      <c r="B287" s="1" t="n">
        <v>45208.69671296296</v>
      </c>
      <c r="C287" s="1" t="n">
        <v>46094</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5027-2025</t>
        </is>
      </c>
      <c r="B288" s="1" t="n">
        <v>45691.41101851852</v>
      </c>
      <c r="C288" s="1" t="n">
        <v>46094</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9988-2022</t>
        </is>
      </c>
      <c r="B289" s="1" t="n">
        <v>44621</v>
      </c>
      <c r="C289" s="1" t="n">
        <v>46094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60694-2024</t>
        </is>
      </c>
      <c r="B290" s="1" t="n">
        <v>45644.47878472223</v>
      </c>
      <c r="C290" s="1" t="n">
        <v>46094</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60733-2021</t>
        </is>
      </c>
      <c r="B291" s="1" t="n">
        <v>44496.77542824074</v>
      </c>
      <c r="C291" s="1" t="n">
        <v>46094</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27828-2022</t>
        </is>
      </c>
      <c r="B292" s="1" t="n">
        <v>44743.59765046297</v>
      </c>
      <c r="C292" s="1" t="n">
        <v>46094</v>
      </c>
      <c r="D292" t="inlineStr">
        <is>
          <t>STOCKHOLMS LÄN</t>
        </is>
      </c>
      <c r="E292" t="inlineStr">
        <is>
          <t>NORRTÄLJE</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64137-2021</t>
        </is>
      </c>
      <c r="B293" s="1" t="n">
        <v>44510.51422453704</v>
      </c>
      <c r="C293" s="1" t="n">
        <v>46094</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46094</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46094</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19450-2025</t>
        </is>
      </c>
      <c r="B296" s="1" t="n">
        <v>45770</v>
      </c>
      <c r="C296" s="1" t="n">
        <v>46094</v>
      </c>
      <c r="D296" t="inlineStr">
        <is>
          <t>STOCKHOLMS LÄN</t>
        </is>
      </c>
      <c r="E296" t="inlineStr">
        <is>
          <t>NORRTÄLJE</t>
        </is>
      </c>
      <c r="G296" t="n">
        <v>5.3</v>
      </c>
      <c r="H296" t="n">
        <v>0</v>
      </c>
      <c r="I296" t="n">
        <v>0</v>
      </c>
      <c r="J296" t="n">
        <v>0</v>
      </c>
      <c r="K296" t="n">
        <v>0</v>
      </c>
      <c r="L296" t="n">
        <v>0</v>
      </c>
      <c r="M296" t="n">
        <v>0</v>
      </c>
      <c r="N296" t="n">
        <v>0</v>
      </c>
      <c r="O296" t="n">
        <v>0</v>
      </c>
      <c r="P296" t="n">
        <v>0</v>
      </c>
      <c r="Q296" t="n">
        <v>0</v>
      </c>
      <c r="R296" s="2" t="inlineStr"/>
    </row>
    <row r="297" ht="15" customHeight="1">
      <c r="A297" t="inlineStr">
        <is>
          <t>A 22008-2024</t>
        </is>
      </c>
      <c r="B297" s="1" t="n">
        <v>45443</v>
      </c>
      <c r="C297" s="1" t="n">
        <v>46094</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46094</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52260-2022</t>
        </is>
      </c>
      <c r="B299" s="1" t="n">
        <v>44869</v>
      </c>
      <c r="C299" s="1" t="n">
        <v>46094</v>
      </c>
      <c r="D299" t="inlineStr">
        <is>
          <t>STOCKHOLMS LÄN</t>
        </is>
      </c>
      <c r="E299" t="inlineStr">
        <is>
          <t>NORRTÄLJE</t>
        </is>
      </c>
      <c r="G299" t="n">
        <v>3.1</v>
      </c>
      <c r="H299" t="n">
        <v>0</v>
      </c>
      <c r="I299" t="n">
        <v>0</v>
      </c>
      <c r="J299" t="n">
        <v>0</v>
      </c>
      <c r="K299" t="n">
        <v>0</v>
      </c>
      <c r="L299" t="n">
        <v>0</v>
      </c>
      <c r="M299" t="n">
        <v>0</v>
      </c>
      <c r="N299" t="n">
        <v>0</v>
      </c>
      <c r="O299" t="n">
        <v>0</v>
      </c>
      <c r="P299" t="n">
        <v>0</v>
      </c>
      <c r="Q299" t="n">
        <v>0</v>
      </c>
      <c r="R299" s="2" t="inlineStr"/>
    </row>
    <row r="300" ht="15" customHeight="1">
      <c r="A300" t="inlineStr">
        <is>
          <t>A 25557-2023</t>
        </is>
      </c>
      <c r="B300" s="1" t="n">
        <v>45089</v>
      </c>
      <c r="C300" s="1" t="n">
        <v>46094</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46094</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46094</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33353-2023</t>
        </is>
      </c>
      <c r="B303" s="1" t="n">
        <v>45128</v>
      </c>
      <c r="C303" s="1" t="n">
        <v>46094</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22412-2021</t>
        </is>
      </c>
      <c r="B304" s="1" t="n">
        <v>44326.61967592593</v>
      </c>
      <c r="C304" s="1" t="n">
        <v>46094</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53884-2022</t>
        </is>
      </c>
      <c r="B305" s="1" t="n">
        <v>44880.68423611111</v>
      </c>
      <c r="C305" s="1" t="n">
        <v>46094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12268-2022</t>
        </is>
      </c>
      <c r="B306" s="1" t="n">
        <v>44637</v>
      </c>
      <c r="C306" s="1" t="n">
        <v>46094</v>
      </c>
      <c r="D306" t="inlineStr">
        <is>
          <t>STOCKHOLMS LÄN</t>
        </is>
      </c>
      <c r="E306" t="inlineStr">
        <is>
          <t>NORRTÄLJE</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20015-2023</t>
        </is>
      </c>
      <c r="B307" s="1" t="n">
        <v>45054</v>
      </c>
      <c r="C307" s="1" t="n">
        <v>46094</v>
      </c>
      <c r="D307" t="inlineStr">
        <is>
          <t>STOCKHOLMS LÄN</t>
        </is>
      </c>
      <c r="E307" t="inlineStr">
        <is>
          <t>NORRTÄLJE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3273-2025</t>
        </is>
      </c>
      <c r="B308" s="1" t="n">
        <v>45679</v>
      </c>
      <c r="C308" s="1" t="n">
        <v>46094</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12357-2022</t>
        </is>
      </c>
      <c r="B309" s="1" t="n">
        <v>44637</v>
      </c>
      <c r="C309" s="1" t="n">
        <v>46094</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46094</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3966-2024</t>
        </is>
      </c>
      <c r="B311" s="1" t="n">
        <v>45322</v>
      </c>
      <c r="C311" s="1" t="n">
        <v>46094</v>
      </c>
      <c r="D311" t="inlineStr">
        <is>
          <t>STOCKHOLMS LÄN</t>
        </is>
      </c>
      <c r="E311" t="inlineStr">
        <is>
          <t>NORRTÄLJE</t>
        </is>
      </c>
      <c r="G311" t="n">
        <v>5.3</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46094</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21291-2021</t>
        </is>
      </c>
      <c r="B313" s="1" t="n">
        <v>44319</v>
      </c>
      <c r="C313" s="1" t="n">
        <v>46094</v>
      </c>
      <c r="D313" t="inlineStr">
        <is>
          <t>STOCKHOLMS LÄN</t>
        </is>
      </c>
      <c r="E313" t="inlineStr">
        <is>
          <t>NORRTÄLJE</t>
        </is>
      </c>
      <c r="G313" t="n">
        <v>12.7</v>
      </c>
      <c r="H313" t="n">
        <v>0</v>
      </c>
      <c r="I313" t="n">
        <v>0</v>
      </c>
      <c r="J313" t="n">
        <v>0</v>
      </c>
      <c r="K313" t="n">
        <v>0</v>
      </c>
      <c r="L313" t="n">
        <v>0</v>
      </c>
      <c r="M313" t="n">
        <v>0</v>
      </c>
      <c r="N313" t="n">
        <v>0</v>
      </c>
      <c r="O313" t="n">
        <v>0</v>
      </c>
      <c r="P313" t="n">
        <v>0</v>
      </c>
      <c r="Q313" t="n">
        <v>0</v>
      </c>
      <c r="R313" s="2" t="inlineStr"/>
    </row>
    <row r="314" ht="15" customHeight="1">
      <c r="A314" t="inlineStr">
        <is>
          <t>A 15256-2023</t>
        </is>
      </c>
      <c r="B314" s="1" t="n">
        <v>45019.3959837963</v>
      </c>
      <c r="C314" s="1" t="n">
        <v>46094</v>
      </c>
      <c r="D314" t="inlineStr">
        <is>
          <t>STOCKHOLMS LÄN</t>
        </is>
      </c>
      <c r="E314" t="inlineStr">
        <is>
          <t>NORRTÄLJE</t>
        </is>
      </c>
      <c r="G314" t="n">
        <v>2.4</v>
      </c>
      <c r="H314" t="n">
        <v>0</v>
      </c>
      <c r="I314" t="n">
        <v>0</v>
      </c>
      <c r="J314" t="n">
        <v>0</v>
      </c>
      <c r="K314" t="n">
        <v>0</v>
      </c>
      <c r="L314" t="n">
        <v>0</v>
      </c>
      <c r="M314" t="n">
        <v>0</v>
      </c>
      <c r="N314" t="n">
        <v>0</v>
      </c>
      <c r="O314" t="n">
        <v>0</v>
      </c>
      <c r="P314" t="n">
        <v>0</v>
      </c>
      <c r="Q314" t="n">
        <v>0</v>
      </c>
      <c r="R314" s="2" t="inlineStr"/>
    </row>
    <row r="315" ht="15" customHeight="1">
      <c r="A315" t="inlineStr">
        <is>
          <t>A 20428-2024</t>
        </is>
      </c>
      <c r="B315" s="1" t="n">
        <v>45435</v>
      </c>
      <c r="C315" s="1" t="n">
        <v>46094</v>
      </c>
      <c r="D315" t="inlineStr">
        <is>
          <t>STOCKHOLMS LÄN</t>
        </is>
      </c>
      <c r="E315" t="inlineStr">
        <is>
          <t>NORRTÄLJE</t>
        </is>
      </c>
      <c r="G315" t="n">
        <v>3.7</v>
      </c>
      <c r="H315" t="n">
        <v>0</v>
      </c>
      <c r="I315" t="n">
        <v>0</v>
      </c>
      <c r="J315" t="n">
        <v>0</v>
      </c>
      <c r="K315" t="n">
        <v>0</v>
      </c>
      <c r="L315" t="n">
        <v>0</v>
      </c>
      <c r="M315" t="n">
        <v>0</v>
      </c>
      <c r="N315" t="n">
        <v>0</v>
      </c>
      <c r="O315" t="n">
        <v>0</v>
      </c>
      <c r="P315" t="n">
        <v>0</v>
      </c>
      <c r="Q315" t="n">
        <v>0</v>
      </c>
      <c r="R315" s="2" t="inlineStr"/>
    </row>
    <row r="316" ht="15" customHeight="1">
      <c r="A316" t="inlineStr">
        <is>
          <t>A 26335-2022</t>
        </is>
      </c>
      <c r="B316" s="1" t="n">
        <v>44735</v>
      </c>
      <c r="C316" s="1" t="n">
        <v>46094</v>
      </c>
      <c r="D316" t="inlineStr">
        <is>
          <t>STOCKHOLMS LÄN</t>
        </is>
      </c>
      <c r="E316" t="inlineStr">
        <is>
          <t>NORRTÄLJE</t>
        </is>
      </c>
      <c r="G316" t="n">
        <v>3.3</v>
      </c>
      <c r="H316" t="n">
        <v>0</v>
      </c>
      <c r="I316" t="n">
        <v>0</v>
      </c>
      <c r="J316" t="n">
        <v>0</v>
      </c>
      <c r="K316" t="n">
        <v>0</v>
      </c>
      <c r="L316" t="n">
        <v>0</v>
      </c>
      <c r="M316" t="n">
        <v>0</v>
      </c>
      <c r="N316" t="n">
        <v>0</v>
      </c>
      <c r="O316" t="n">
        <v>0</v>
      </c>
      <c r="P316" t="n">
        <v>0</v>
      </c>
      <c r="Q316" t="n">
        <v>0</v>
      </c>
      <c r="R316" s="2" t="inlineStr"/>
    </row>
    <row r="317" ht="15" customHeight="1">
      <c r="A317" t="inlineStr">
        <is>
          <t>A 13172-2025</t>
        </is>
      </c>
      <c r="B317" s="1" t="n">
        <v>45735.36873842592</v>
      </c>
      <c r="C317" s="1" t="n">
        <v>46094</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7571-2024</t>
        </is>
      </c>
      <c r="B318" s="1" t="n">
        <v>45348.46300925926</v>
      </c>
      <c r="C318" s="1" t="n">
        <v>46094</v>
      </c>
      <c r="D318" t="inlineStr">
        <is>
          <t>STOCKHOLMS LÄN</t>
        </is>
      </c>
      <c r="E318" t="inlineStr">
        <is>
          <t>NORRTÄLJE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11849-2025</t>
        </is>
      </c>
      <c r="B319" s="1" t="n">
        <v>45728.38409722222</v>
      </c>
      <c r="C319" s="1" t="n">
        <v>46094</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23262-2023</t>
        </is>
      </c>
      <c r="B320" s="1" t="n">
        <v>45075.90270833333</v>
      </c>
      <c r="C320" s="1" t="n">
        <v>46094</v>
      </c>
      <c r="D320" t="inlineStr">
        <is>
          <t>STOCKHOLMS LÄN</t>
        </is>
      </c>
      <c r="E320" t="inlineStr">
        <is>
          <t>NORRTÄLJE</t>
        </is>
      </c>
      <c r="F320" t="inlineStr">
        <is>
          <t>Kommuner</t>
        </is>
      </c>
      <c r="G320" t="n">
        <v>1.9</v>
      </c>
      <c r="H320" t="n">
        <v>0</v>
      </c>
      <c r="I320" t="n">
        <v>0</v>
      </c>
      <c r="J320" t="n">
        <v>0</v>
      </c>
      <c r="K320" t="n">
        <v>0</v>
      </c>
      <c r="L320" t="n">
        <v>0</v>
      </c>
      <c r="M320" t="n">
        <v>0</v>
      </c>
      <c r="N320" t="n">
        <v>0</v>
      </c>
      <c r="O320" t="n">
        <v>0</v>
      </c>
      <c r="P320" t="n">
        <v>0</v>
      </c>
      <c r="Q320" t="n">
        <v>0</v>
      </c>
      <c r="R320" s="2" t="inlineStr"/>
    </row>
    <row r="321" ht="15" customHeight="1">
      <c r="A321" t="inlineStr">
        <is>
          <t>A 23268-2023</t>
        </is>
      </c>
      <c r="B321" s="1" t="n">
        <v>45075.91042824074</v>
      </c>
      <c r="C321" s="1" t="n">
        <v>46094</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23270-2023</t>
        </is>
      </c>
      <c r="B322" s="1" t="n">
        <v>45075.91265046296</v>
      </c>
      <c r="C322" s="1" t="n">
        <v>46094</v>
      </c>
      <c r="D322" t="inlineStr">
        <is>
          <t>STOCKHOLMS LÄN</t>
        </is>
      </c>
      <c r="E322" t="inlineStr">
        <is>
          <t>NORRTÄLJE</t>
        </is>
      </c>
      <c r="G322" t="n">
        <v>12.3</v>
      </c>
      <c r="H322" t="n">
        <v>0</v>
      </c>
      <c r="I322" t="n">
        <v>0</v>
      </c>
      <c r="J322" t="n">
        <v>0</v>
      </c>
      <c r="K322" t="n">
        <v>0</v>
      </c>
      <c r="L322" t="n">
        <v>0</v>
      </c>
      <c r="M322" t="n">
        <v>0</v>
      </c>
      <c r="N322" t="n">
        <v>0</v>
      </c>
      <c r="O322" t="n">
        <v>0</v>
      </c>
      <c r="P322" t="n">
        <v>0</v>
      </c>
      <c r="Q322" t="n">
        <v>0</v>
      </c>
      <c r="R322" s="2" t="inlineStr"/>
    </row>
    <row r="323" ht="15" customHeight="1">
      <c r="A323" t="inlineStr">
        <is>
          <t>A 23274-2023</t>
        </is>
      </c>
      <c r="B323" s="1" t="n">
        <v>45075.92153935185</v>
      </c>
      <c r="C323" s="1" t="n">
        <v>46094</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40425-2021</t>
        </is>
      </c>
      <c r="B324" s="1" t="n">
        <v>44419</v>
      </c>
      <c r="C324" s="1" t="n">
        <v>46094</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17843-2024</t>
        </is>
      </c>
      <c r="B325" s="1" t="n">
        <v>45418</v>
      </c>
      <c r="C325" s="1" t="n">
        <v>46094</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64145-2021</t>
        </is>
      </c>
      <c r="B326" s="1" t="n">
        <v>44510</v>
      </c>
      <c r="C326" s="1" t="n">
        <v>46094</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1740-2023</t>
        </is>
      </c>
      <c r="B327" s="1" t="n">
        <v>44938</v>
      </c>
      <c r="C327" s="1" t="n">
        <v>46094</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4596-2023</t>
        </is>
      </c>
      <c r="B328" s="1" t="n">
        <v>44956</v>
      </c>
      <c r="C328" s="1" t="n">
        <v>46094</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30624-2022</t>
        </is>
      </c>
      <c r="B329" s="1" t="n">
        <v>44763.4182175926</v>
      </c>
      <c r="C329" s="1" t="n">
        <v>46094</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58990-2021</t>
        </is>
      </c>
      <c r="B330" s="1" t="n">
        <v>44490.03621527777</v>
      </c>
      <c r="C330" s="1" t="n">
        <v>46094</v>
      </c>
      <c r="D330" t="inlineStr">
        <is>
          <t>STOCKHOLMS LÄN</t>
        </is>
      </c>
      <c r="E330" t="inlineStr">
        <is>
          <t>NORRTÄLJE</t>
        </is>
      </c>
      <c r="G330" t="n">
        <v>4.2</v>
      </c>
      <c r="H330" t="n">
        <v>0</v>
      </c>
      <c r="I330" t="n">
        <v>0</v>
      </c>
      <c r="J330" t="n">
        <v>0</v>
      </c>
      <c r="K330" t="n">
        <v>0</v>
      </c>
      <c r="L330" t="n">
        <v>0</v>
      </c>
      <c r="M330" t="n">
        <v>0</v>
      </c>
      <c r="N330" t="n">
        <v>0</v>
      </c>
      <c r="O330" t="n">
        <v>0</v>
      </c>
      <c r="P330" t="n">
        <v>0</v>
      </c>
      <c r="Q330" t="n">
        <v>0</v>
      </c>
      <c r="R330" s="2" t="inlineStr"/>
    </row>
    <row r="331" ht="15" customHeight="1">
      <c r="A331" t="inlineStr">
        <is>
          <t>A 26636-2023</t>
        </is>
      </c>
      <c r="B331" s="1" t="n">
        <v>45092</v>
      </c>
      <c r="C331" s="1" t="n">
        <v>46094</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26637-2023</t>
        </is>
      </c>
      <c r="B332" s="1" t="n">
        <v>45092</v>
      </c>
      <c r="C332" s="1" t="n">
        <v>46094</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10676-2025</t>
        </is>
      </c>
      <c r="B333" s="1" t="n">
        <v>45721.88684027778</v>
      </c>
      <c r="C333" s="1" t="n">
        <v>46094</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20852-2023</t>
        </is>
      </c>
      <c r="B334" s="1" t="n">
        <v>45058.78607638889</v>
      </c>
      <c r="C334" s="1" t="n">
        <v>46094</v>
      </c>
      <c r="D334" t="inlineStr">
        <is>
          <t>STOCKHOLMS LÄN</t>
        </is>
      </c>
      <c r="E334" t="inlineStr">
        <is>
          <t>NORRTÄLJE</t>
        </is>
      </c>
      <c r="G334" t="n">
        <v>3.5</v>
      </c>
      <c r="H334" t="n">
        <v>0</v>
      </c>
      <c r="I334" t="n">
        <v>0</v>
      </c>
      <c r="J334" t="n">
        <v>0</v>
      </c>
      <c r="K334" t="n">
        <v>0</v>
      </c>
      <c r="L334" t="n">
        <v>0</v>
      </c>
      <c r="M334" t="n">
        <v>0</v>
      </c>
      <c r="N334" t="n">
        <v>0</v>
      </c>
      <c r="O334" t="n">
        <v>0</v>
      </c>
      <c r="P334" t="n">
        <v>0</v>
      </c>
      <c r="Q334" t="n">
        <v>0</v>
      </c>
      <c r="R334" s="2" t="inlineStr"/>
    </row>
    <row r="335" ht="15" customHeight="1">
      <c r="A335" t="inlineStr">
        <is>
          <t>A 72704-2021</t>
        </is>
      </c>
      <c r="B335" s="1" t="n">
        <v>44546</v>
      </c>
      <c r="C335" s="1" t="n">
        <v>46094</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22456-2023</t>
        </is>
      </c>
      <c r="B336" s="1" t="n">
        <v>45070</v>
      </c>
      <c r="C336" s="1" t="n">
        <v>46094</v>
      </c>
      <c r="D336" t="inlineStr">
        <is>
          <t>STOCKHOLMS LÄN</t>
        </is>
      </c>
      <c r="E336" t="inlineStr">
        <is>
          <t>NORRTÄLJE</t>
        </is>
      </c>
      <c r="G336" t="n">
        <v>3.1</v>
      </c>
      <c r="H336" t="n">
        <v>0</v>
      </c>
      <c r="I336" t="n">
        <v>0</v>
      </c>
      <c r="J336" t="n">
        <v>0</v>
      </c>
      <c r="K336" t="n">
        <v>0</v>
      </c>
      <c r="L336" t="n">
        <v>0</v>
      </c>
      <c r="M336" t="n">
        <v>0</v>
      </c>
      <c r="N336" t="n">
        <v>0</v>
      </c>
      <c r="O336" t="n">
        <v>0</v>
      </c>
      <c r="P336" t="n">
        <v>0</v>
      </c>
      <c r="Q336" t="n">
        <v>0</v>
      </c>
      <c r="R336" s="2" t="inlineStr"/>
    </row>
    <row r="337" ht="15" customHeight="1">
      <c r="A337" t="inlineStr">
        <is>
          <t>A 52743-2024</t>
        </is>
      </c>
      <c r="B337" s="1" t="n">
        <v>45610.47414351852</v>
      </c>
      <c r="C337" s="1" t="n">
        <v>46094</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16852-2024</t>
        </is>
      </c>
      <c r="B338" s="1" t="n">
        <v>45411.54768518519</v>
      </c>
      <c r="C338" s="1" t="n">
        <v>46094</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17785-2024</t>
        </is>
      </c>
      <c r="B339" s="1" t="n">
        <v>45418.6968287037</v>
      </c>
      <c r="C339" s="1" t="n">
        <v>46094</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20790-2025</t>
        </is>
      </c>
      <c r="B340" s="1" t="n">
        <v>45776.62563657408</v>
      </c>
      <c r="C340" s="1" t="n">
        <v>46094</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6678-2025</t>
        </is>
      </c>
      <c r="B341" s="1" t="n">
        <v>45700</v>
      </c>
      <c r="C341" s="1" t="n">
        <v>46094</v>
      </c>
      <c r="D341" t="inlineStr">
        <is>
          <t>STOCKHOLMS LÄN</t>
        </is>
      </c>
      <c r="E341" t="inlineStr">
        <is>
          <t>NORRTÄLJE</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20699-2025</t>
        </is>
      </c>
      <c r="B342" s="1" t="n">
        <v>45776.47346064815</v>
      </c>
      <c r="C342" s="1" t="n">
        <v>46094</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3152-2024</t>
        </is>
      </c>
      <c r="B343" s="1" t="n">
        <v>45316.60306712963</v>
      </c>
      <c r="C343" s="1" t="n">
        <v>46094</v>
      </c>
      <c r="D343" t="inlineStr">
        <is>
          <t>STOCKHOLMS LÄN</t>
        </is>
      </c>
      <c r="E343" t="inlineStr">
        <is>
          <t>NORRTÄLJE</t>
        </is>
      </c>
      <c r="G343" t="n">
        <v>7.9</v>
      </c>
      <c r="H343" t="n">
        <v>0</v>
      </c>
      <c r="I343" t="n">
        <v>0</v>
      </c>
      <c r="J343" t="n">
        <v>0</v>
      </c>
      <c r="K343" t="n">
        <v>0</v>
      </c>
      <c r="L343" t="n">
        <v>0</v>
      </c>
      <c r="M343" t="n">
        <v>0</v>
      </c>
      <c r="N343" t="n">
        <v>0</v>
      </c>
      <c r="O343" t="n">
        <v>0</v>
      </c>
      <c r="P343" t="n">
        <v>0</v>
      </c>
      <c r="Q343" t="n">
        <v>0</v>
      </c>
      <c r="R343" s="2" t="inlineStr"/>
    </row>
    <row r="344" ht="15" customHeight="1">
      <c r="A344" t="inlineStr">
        <is>
          <t>A 59326-2023</t>
        </is>
      </c>
      <c r="B344" s="1" t="n">
        <v>45253.63089120371</v>
      </c>
      <c r="C344" s="1" t="n">
        <v>46094</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44836-2023</t>
        </is>
      </c>
      <c r="B345" s="1" t="n">
        <v>45190.55609953704</v>
      </c>
      <c r="C345" s="1" t="n">
        <v>46094</v>
      </c>
      <c r="D345" t="inlineStr">
        <is>
          <t>STOCKHOLMS LÄN</t>
        </is>
      </c>
      <c r="E345" t="inlineStr">
        <is>
          <t>NORRTÄLJE</t>
        </is>
      </c>
      <c r="G345" t="n">
        <v>2.3</v>
      </c>
      <c r="H345" t="n">
        <v>0</v>
      </c>
      <c r="I345" t="n">
        <v>0</v>
      </c>
      <c r="J345" t="n">
        <v>0</v>
      </c>
      <c r="K345" t="n">
        <v>0</v>
      </c>
      <c r="L345" t="n">
        <v>0</v>
      </c>
      <c r="M345" t="n">
        <v>0</v>
      </c>
      <c r="N345" t="n">
        <v>0</v>
      </c>
      <c r="O345" t="n">
        <v>0</v>
      </c>
      <c r="P345" t="n">
        <v>0</v>
      </c>
      <c r="Q345" t="n">
        <v>0</v>
      </c>
      <c r="R345" s="2" t="inlineStr"/>
    </row>
    <row r="346" ht="15" customHeight="1">
      <c r="A346" t="inlineStr">
        <is>
          <t>A 52449-2021</t>
        </is>
      </c>
      <c r="B346" s="1" t="n">
        <v>44466.37496527778</v>
      </c>
      <c r="C346" s="1" t="n">
        <v>46094</v>
      </c>
      <c r="D346" t="inlineStr">
        <is>
          <t>STOCKHOLMS LÄN</t>
        </is>
      </c>
      <c r="E346" t="inlineStr">
        <is>
          <t>NORRTÄLJE</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20779-2025</t>
        </is>
      </c>
      <c r="B347" s="1" t="n">
        <v>45776.59871527777</v>
      </c>
      <c r="C347" s="1" t="n">
        <v>46094</v>
      </c>
      <c r="D347" t="inlineStr">
        <is>
          <t>STOCKHOLMS LÄN</t>
        </is>
      </c>
      <c r="E347" t="inlineStr">
        <is>
          <t>NORRTÄLJE</t>
        </is>
      </c>
      <c r="G347" t="n">
        <v>6.9</v>
      </c>
      <c r="H347" t="n">
        <v>0</v>
      </c>
      <c r="I347" t="n">
        <v>0</v>
      </c>
      <c r="J347" t="n">
        <v>0</v>
      </c>
      <c r="K347" t="n">
        <v>0</v>
      </c>
      <c r="L347" t="n">
        <v>0</v>
      </c>
      <c r="M347" t="n">
        <v>0</v>
      </c>
      <c r="N347" t="n">
        <v>0</v>
      </c>
      <c r="O347" t="n">
        <v>0</v>
      </c>
      <c r="P347" t="n">
        <v>0</v>
      </c>
      <c r="Q347" t="n">
        <v>0</v>
      </c>
      <c r="R347" s="2" t="inlineStr"/>
    </row>
    <row r="348" ht="15" customHeight="1">
      <c r="A348" t="inlineStr">
        <is>
          <t>A 55755-2023</t>
        </is>
      </c>
      <c r="B348" s="1" t="n">
        <v>45239</v>
      </c>
      <c r="C348" s="1" t="n">
        <v>46094</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19982-2022</t>
        </is>
      </c>
      <c r="B349" s="1" t="n">
        <v>44697</v>
      </c>
      <c r="C349" s="1" t="n">
        <v>46094</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42075-2023</t>
        </is>
      </c>
      <c r="B350" s="1" t="n">
        <v>45177</v>
      </c>
      <c r="C350" s="1" t="n">
        <v>46094</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50108-2021</t>
        </is>
      </c>
      <c r="B351" s="1" t="n">
        <v>44456</v>
      </c>
      <c r="C351" s="1" t="n">
        <v>46094</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33046-2021</t>
        </is>
      </c>
      <c r="B352" s="1" t="n">
        <v>44376</v>
      </c>
      <c r="C352" s="1" t="n">
        <v>46094</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21771-2025</t>
        </is>
      </c>
      <c r="B353" s="1" t="n">
        <v>45783</v>
      </c>
      <c r="C353" s="1" t="n">
        <v>46094</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17348-2024</t>
        </is>
      </c>
      <c r="B354" s="1" t="n">
        <v>45414.58650462963</v>
      </c>
      <c r="C354" s="1" t="n">
        <v>46094</v>
      </c>
      <c r="D354" t="inlineStr">
        <is>
          <t>STOCKHOLMS LÄN</t>
        </is>
      </c>
      <c r="E354" t="inlineStr">
        <is>
          <t>NORRTÄLJE</t>
        </is>
      </c>
      <c r="G354" t="n">
        <v>2.3</v>
      </c>
      <c r="H354" t="n">
        <v>0</v>
      </c>
      <c r="I354" t="n">
        <v>0</v>
      </c>
      <c r="J354" t="n">
        <v>0</v>
      </c>
      <c r="K354" t="n">
        <v>0</v>
      </c>
      <c r="L354" t="n">
        <v>0</v>
      </c>
      <c r="M354" t="n">
        <v>0</v>
      </c>
      <c r="N354" t="n">
        <v>0</v>
      </c>
      <c r="O354" t="n">
        <v>0</v>
      </c>
      <c r="P354" t="n">
        <v>0</v>
      </c>
      <c r="Q354" t="n">
        <v>0</v>
      </c>
      <c r="R354" s="2" t="inlineStr"/>
    </row>
    <row r="355" ht="15" customHeight="1">
      <c r="A355" t="inlineStr">
        <is>
          <t>A 21778-2025</t>
        </is>
      </c>
      <c r="B355" s="1" t="n">
        <v>45783.66429398148</v>
      </c>
      <c r="C355" s="1" t="n">
        <v>46094</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50355-2024</t>
        </is>
      </c>
      <c r="B356" s="1" t="n">
        <v>45600.86128472222</v>
      </c>
      <c r="C356" s="1" t="n">
        <v>46094</v>
      </c>
      <c r="D356" t="inlineStr">
        <is>
          <t>STOCKHOLMS LÄN</t>
        </is>
      </c>
      <c r="E356" t="inlineStr">
        <is>
          <t>NORRTÄLJE</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44917-2022</t>
        </is>
      </c>
      <c r="B357" s="1" t="n">
        <v>44841.52804398148</v>
      </c>
      <c r="C357" s="1" t="n">
        <v>46094</v>
      </c>
      <c r="D357" t="inlineStr">
        <is>
          <t>STOCKHOLMS LÄN</t>
        </is>
      </c>
      <c r="E357" t="inlineStr">
        <is>
          <t>NORRTÄLJE</t>
        </is>
      </c>
      <c r="F357" t="inlineStr">
        <is>
          <t>Holmen skog AB</t>
        </is>
      </c>
      <c r="G357" t="n">
        <v>3.3</v>
      </c>
      <c r="H357" t="n">
        <v>0</v>
      </c>
      <c r="I357" t="n">
        <v>0</v>
      </c>
      <c r="J357" t="n">
        <v>0</v>
      </c>
      <c r="K357" t="n">
        <v>0</v>
      </c>
      <c r="L357" t="n">
        <v>0</v>
      </c>
      <c r="M357" t="n">
        <v>0</v>
      </c>
      <c r="N357" t="n">
        <v>0</v>
      </c>
      <c r="O357" t="n">
        <v>0</v>
      </c>
      <c r="P357" t="n">
        <v>0</v>
      </c>
      <c r="Q357" t="n">
        <v>0</v>
      </c>
      <c r="R357" s="2" t="inlineStr"/>
    </row>
    <row r="358" ht="15" customHeight="1">
      <c r="A358" t="inlineStr">
        <is>
          <t>A 13089-2022</t>
        </is>
      </c>
      <c r="B358" s="1" t="n">
        <v>44643</v>
      </c>
      <c r="C358" s="1" t="n">
        <v>46094</v>
      </c>
      <c r="D358" t="inlineStr">
        <is>
          <t>STOCKHOLMS LÄN</t>
        </is>
      </c>
      <c r="E358" t="inlineStr">
        <is>
          <t>NORRTÄLJE</t>
        </is>
      </c>
      <c r="G358" t="n">
        <v>4.5</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46094</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26328-2022</t>
        </is>
      </c>
      <c r="B360" s="1" t="n">
        <v>44735</v>
      </c>
      <c r="C360" s="1" t="n">
        <v>46094</v>
      </c>
      <c r="D360" t="inlineStr">
        <is>
          <t>STOCKHOLMS LÄN</t>
        </is>
      </c>
      <c r="E360" t="inlineStr">
        <is>
          <t>NORRTÄLJE</t>
        </is>
      </c>
      <c r="G360" t="n">
        <v>2.8</v>
      </c>
      <c r="H360" t="n">
        <v>0</v>
      </c>
      <c r="I360" t="n">
        <v>0</v>
      </c>
      <c r="J360" t="n">
        <v>0</v>
      </c>
      <c r="K360" t="n">
        <v>0</v>
      </c>
      <c r="L360" t="n">
        <v>0</v>
      </c>
      <c r="M360" t="n">
        <v>0</v>
      </c>
      <c r="N360" t="n">
        <v>0</v>
      </c>
      <c r="O360" t="n">
        <v>0</v>
      </c>
      <c r="P360" t="n">
        <v>0</v>
      </c>
      <c r="Q360" t="n">
        <v>0</v>
      </c>
      <c r="R360" s="2" t="inlineStr"/>
    </row>
    <row r="361" ht="15" customHeight="1">
      <c r="A361" t="inlineStr">
        <is>
          <t>A 48145-2024</t>
        </is>
      </c>
      <c r="B361" s="1" t="n">
        <v>45589.6756712963</v>
      </c>
      <c r="C361" s="1" t="n">
        <v>46094</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23998-2024</t>
        </is>
      </c>
      <c r="B362" s="1" t="n">
        <v>45456</v>
      </c>
      <c r="C362" s="1" t="n">
        <v>46094</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55012-2024</t>
        </is>
      </c>
      <c r="B363" s="1" t="n">
        <v>45621.34813657407</v>
      </c>
      <c r="C363" s="1" t="n">
        <v>46094</v>
      </c>
      <c r="D363" t="inlineStr">
        <is>
          <t>STOCKHOLMS LÄN</t>
        </is>
      </c>
      <c r="E363" t="inlineStr">
        <is>
          <t>NORRTÄLJE</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15447-2023</t>
        </is>
      </c>
      <c r="B364" s="1" t="n">
        <v>45020</v>
      </c>
      <c r="C364" s="1" t="n">
        <v>46094</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22202-2025</t>
        </is>
      </c>
      <c r="B365" s="1" t="n">
        <v>45785.65300925926</v>
      </c>
      <c r="C365" s="1" t="n">
        <v>46094</v>
      </c>
      <c r="D365" t="inlineStr">
        <is>
          <t>STOCKHOLMS LÄN</t>
        </is>
      </c>
      <c r="E365" t="inlineStr">
        <is>
          <t>NORRTÄLJE</t>
        </is>
      </c>
      <c r="G365" t="n">
        <v>10.2</v>
      </c>
      <c r="H365" t="n">
        <v>0</v>
      </c>
      <c r="I365" t="n">
        <v>0</v>
      </c>
      <c r="J365" t="n">
        <v>0</v>
      </c>
      <c r="K365" t="n">
        <v>0</v>
      </c>
      <c r="L365" t="n">
        <v>0</v>
      </c>
      <c r="M365" t="n">
        <v>0</v>
      </c>
      <c r="N365" t="n">
        <v>0</v>
      </c>
      <c r="O365" t="n">
        <v>0</v>
      </c>
      <c r="P365" t="n">
        <v>0</v>
      </c>
      <c r="Q365" t="n">
        <v>0</v>
      </c>
      <c r="R365" s="2" t="inlineStr"/>
    </row>
    <row r="366" ht="15" customHeight="1">
      <c r="A366" t="inlineStr">
        <is>
          <t>A 54358-2022</t>
        </is>
      </c>
      <c r="B366" s="1" t="n">
        <v>44882</v>
      </c>
      <c r="C366" s="1" t="n">
        <v>46094</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7413-2024</t>
        </is>
      </c>
      <c r="B367" s="1" t="n">
        <v>45345.6059837963</v>
      </c>
      <c r="C367" s="1" t="n">
        <v>46094</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12251-2025</t>
        </is>
      </c>
      <c r="B368" s="1" t="n">
        <v>45729.60859953704</v>
      </c>
      <c r="C368" s="1" t="n">
        <v>46094</v>
      </c>
      <c r="D368" t="inlineStr">
        <is>
          <t>STOCKHOLMS LÄN</t>
        </is>
      </c>
      <c r="E368" t="inlineStr">
        <is>
          <t>NORRTÄLJE</t>
        </is>
      </c>
      <c r="F368" t="inlineStr">
        <is>
          <t>Holmen skog AB</t>
        </is>
      </c>
      <c r="G368" t="n">
        <v>5.9</v>
      </c>
      <c r="H368" t="n">
        <v>0</v>
      </c>
      <c r="I368" t="n">
        <v>0</v>
      </c>
      <c r="J368" t="n">
        <v>0</v>
      </c>
      <c r="K368" t="n">
        <v>0</v>
      </c>
      <c r="L368" t="n">
        <v>0</v>
      </c>
      <c r="M368" t="n">
        <v>0</v>
      </c>
      <c r="N368" t="n">
        <v>0</v>
      </c>
      <c r="O368" t="n">
        <v>0</v>
      </c>
      <c r="P368" t="n">
        <v>0</v>
      </c>
      <c r="Q368" t="n">
        <v>0</v>
      </c>
      <c r="R368" s="2" t="inlineStr"/>
    </row>
    <row r="369" ht="15" customHeight="1">
      <c r="A369" t="inlineStr">
        <is>
          <t>A 58863-2024</t>
        </is>
      </c>
      <c r="B369" s="1" t="n">
        <v>45636.41572916666</v>
      </c>
      <c r="C369" s="1" t="n">
        <v>46094</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16620-2024</t>
        </is>
      </c>
      <c r="B370" s="1" t="n">
        <v>45408.57707175926</v>
      </c>
      <c r="C370" s="1" t="n">
        <v>46094</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23263-2023</t>
        </is>
      </c>
      <c r="B371" s="1" t="n">
        <v>45075</v>
      </c>
      <c r="C371" s="1" t="n">
        <v>46094</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23264-2023</t>
        </is>
      </c>
      <c r="B372" s="1" t="n">
        <v>45075</v>
      </c>
      <c r="C372" s="1" t="n">
        <v>46094</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23267-2023</t>
        </is>
      </c>
      <c r="B373" s="1" t="n">
        <v>45075.90934027778</v>
      </c>
      <c r="C373" s="1" t="n">
        <v>46094</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23269-2023</t>
        </is>
      </c>
      <c r="B374" s="1" t="n">
        <v>45075.91148148148</v>
      </c>
      <c r="C374" s="1" t="n">
        <v>46094</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50154-2024</t>
        </is>
      </c>
      <c r="B375" s="1" t="n">
        <v>45600.4558912037</v>
      </c>
      <c r="C375" s="1" t="n">
        <v>46094</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19911-2025</t>
        </is>
      </c>
      <c r="B376" s="1" t="n">
        <v>45771</v>
      </c>
      <c r="C376" s="1" t="n">
        <v>46094</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5831-2022</t>
        </is>
      </c>
      <c r="B377" s="1" t="n">
        <v>44596</v>
      </c>
      <c r="C377" s="1" t="n">
        <v>46094</v>
      </c>
      <c r="D377" t="inlineStr">
        <is>
          <t>STOCKHOLMS LÄN</t>
        </is>
      </c>
      <c r="E377" t="inlineStr">
        <is>
          <t>NORRTÄLJE</t>
        </is>
      </c>
      <c r="G377" t="n">
        <v>4.8</v>
      </c>
      <c r="H377" t="n">
        <v>0</v>
      </c>
      <c r="I377" t="n">
        <v>0</v>
      </c>
      <c r="J377" t="n">
        <v>0</v>
      </c>
      <c r="K377" t="n">
        <v>0</v>
      </c>
      <c r="L377" t="n">
        <v>0</v>
      </c>
      <c r="M377" t="n">
        <v>0</v>
      </c>
      <c r="N377" t="n">
        <v>0</v>
      </c>
      <c r="O377" t="n">
        <v>0</v>
      </c>
      <c r="P377" t="n">
        <v>0</v>
      </c>
      <c r="Q377" t="n">
        <v>0</v>
      </c>
      <c r="R377" s="2" t="inlineStr"/>
    </row>
    <row r="378" ht="15" customHeight="1">
      <c r="A378" t="inlineStr">
        <is>
          <t>A 5867-2022</t>
        </is>
      </c>
      <c r="B378" s="1" t="n">
        <v>44596.66335648148</v>
      </c>
      <c r="C378" s="1" t="n">
        <v>46094</v>
      </c>
      <c r="D378" t="inlineStr">
        <is>
          <t>STOCKHOLMS LÄN</t>
        </is>
      </c>
      <c r="E378" t="inlineStr">
        <is>
          <t>NORRTÄLJE</t>
        </is>
      </c>
      <c r="F378" t="inlineStr">
        <is>
          <t>Naturvårdsverket</t>
        </is>
      </c>
      <c r="G378" t="n">
        <v>1.6</v>
      </c>
      <c r="H378" t="n">
        <v>0</v>
      </c>
      <c r="I378" t="n">
        <v>0</v>
      </c>
      <c r="J378" t="n">
        <v>0</v>
      </c>
      <c r="K378" t="n">
        <v>0</v>
      </c>
      <c r="L378" t="n">
        <v>0</v>
      </c>
      <c r="M378" t="n">
        <v>0</v>
      </c>
      <c r="N378" t="n">
        <v>0</v>
      </c>
      <c r="O378" t="n">
        <v>0</v>
      </c>
      <c r="P378" t="n">
        <v>0</v>
      </c>
      <c r="Q378" t="n">
        <v>0</v>
      </c>
      <c r="R378" s="2" t="inlineStr"/>
    </row>
    <row r="379" ht="15" customHeight="1">
      <c r="A379" t="inlineStr">
        <is>
          <t>A 22416-2025</t>
        </is>
      </c>
      <c r="B379" s="1" t="n">
        <v>45786.55645833333</v>
      </c>
      <c r="C379" s="1" t="n">
        <v>46094</v>
      </c>
      <c r="D379" t="inlineStr">
        <is>
          <t>STOCKHOLMS LÄN</t>
        </is>
      </c>
      <c r="E379" t="inlineStr">
        <is>
          <t>NORRTÄLJE</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11900-2024</t>
        </is>
      </c>
      <c r="B380" s="1" t="n">
        <v>45376.55484953704</v>
      </c>
      <c r="C380" s="1" t="n">
        <v>46094</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20244-2025</t>
        </is>
      </c>
      <c r="B381" s="1" t="n">
        <v>45772.71221064815</v>
      </c>
      <c r="C381" s="1" t="n">
        <v>46094</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48633-2023</t>
        </is>
      </c>
      <c r="B382" s="1" t="n">
        <v>45208.58004629629</v>
      </c>
      <c r="C382" s="1" t="n">
        <v>46094</v>
      </c>
      <c r="D382" t="inlineStr">
        <is>
          <t>STOCKHOLMS LÄN</t>
        </is>
      </c>
      <c r="E382" t="inlineStr">
        <is>
          <t>NORRTÄLJE</t>
        </is>
      </c>
      <c r="G382" t="n">
        <v>3.3</v>
      </c>
      <c r="H382" t="n">
        <v>0</v>
      </c>
      <c r="I382" t="n">
        <v>0</v>
      </c>
      <c r="J382" t="n">
        <v>0</v>
      </c>
      <c r="K382" t="n">
        <v>0</v>
      </c>
      <c r="L382" t="n">
        <v>0</v>
      </c>
      <c r="M382" t="n">
        <v>0</v>
      </c>
      <c r="N382" t="n">
        <v>0</v>
      </c>
      <c r="O382" t="n">
        <v>0</v>
      </c>
      <c r="P382" t="n">
        <v>0</v>
      </c>
      <c r="Q382" t="n">
        <v>0</v>
      </c>
      <c r="R382" s="2" t="inlineStr"/>
    </row>
    <row r="383" ht="15" customHeight="1">
      <c r="A383" t="inlineStr">
        <is>
          <t>A 58785-2024</t>
        </is>
      </c>
      <c r="B383" s="1" t="n">
        <v>45635.88849537037</v>
      </c>
      <c r="C383" s="1" t="n">
        <v>46094</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15441-2021</t>
        </is>
      </c>
      <c r="B384" s="1" t="n">
        <v>44284</v>
      </c>
      <c r="C384" s="1" t="n">
        <v>46094</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39669-2024</t>
        </is>
      </c>
      <c r="B385" s="1" t="n">
        <v>45552.52827546297</v>
      </c>
      <c r="C385" s="1" t="n">
        <v>46094</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42867-2022</t>
        </is>
      </c>
      <c r="B386" s="1" t="n">
        <v>44832</v>
      </c>
      <c r="C386" s="1" t="n">
        <v>46094</v>
      </c>
      <c r="D386" t="inlineStr">
        <is>
          <t>STOCKHOLMS LÄN</t>
        </is>
      </c>
      <c r="E386" t="inlineStr">
        <is>
          <t>NORRTÄLJE</t>
        </is>
      </c>
      <c r="G386" t="n">
        <v>6.4</v>
      </c>
      <c r="H386" t="n">
        <v>0</v>
      </c>
      <c r="I386" t="n">
        <v>0</v>
      </c>
      <c r="J386" t="n">
        <v>0</v>
      </c>
      <c r="K386" t="n">
        <v>0</v>
      </c>
      <c r="L386" t="n">
        <v>0</v>
      </c>
      <c r="M386" t="n">
        <v>0</v>
      </c>
      <c r="N386" t="n">
        <v>0</v>
      </c>
      <c r="O386" t="n">
        <v>0</v>
      </c>
      <c r="P386" t="n">
        <v>0</v>
      </c>
      <c r="Q386" t="n">
        <v>0</v>
      </c>
      <c r="R386" s="2" t="inlineStr"/>
    </row>
    <row r="387" ht="15" customHeight="1">
      <c r="A387" t="inlineStr">
        <is>
          <t>A 2182-2022</t>
        </is>
      </c>
      <c r="B387" s="1" t="n">
        <v>44578</v>
      </c>
      <c r="C387" s="1" t="n">
        <v>46094</v>
      </c>
      <c r="D387" t="inlineStr">
        <is>
          <t>STOCKHOLMS LÄN</t>
        </is>
      </c>
      <c r="E387" t="inlineStr">
        <is>
          <t>NORRTÄLJE</t>
        </is>
      </c>
      <c r="G387" t="n">
        <v>7.2</v>
      </c>
      <c r="H387" t="n">
        <v>0</v>
      </c>
      <c r="I387" t="n">
        <v>0</v>
      </c>
      <c r="J387" t="n">
        <v>0</v>
      </c>
      <c r="K387" t="n">
        <v>0</v>
      </c>
      <c r="L387" t="n">
        <v>0</v>
      </c>
      <c r="M387" t="n">
        <v>0</v>
      </c>
      <c r="N387" t="n">
        <v>0</v>
      </c>
      <c r="O387" t="n">
        <v>0</v>
      </c>
      <c r="P387" t="n">
        <v>0</v>
      </c>
      <c r="Q387" t="n">
        <v>0</v>
      </c>
      <c r="R387" s="2" t="inlineStr"/>
    </row>
    <row r="388" ht="15" customHeight="1">
      <c r="A388" t="inlineStr">
        <is>
          <t>A 13268-2025</t>
        </is>
      </c>
      <c r="B388" s="1" t="n">
        <v>45735</v>
      </c>
      <c r="C388" s="1" t="n">
        <v>46094</v>
      </c>
      <c r="D388" t="inlineStr">
        <is>
          <t>STOCKHOLMS LÄN</t>
        </is>
      </c>
      <c r="E388" t="inlineStr">
        <is>
          <t>NORRTÄLJE</t>
        </is>
      </c>
      <c r="G388" t="n">
        <v>11.4</v>
      </c>
      <c r="H388" t="n">
        <v>0</v>
      </c>
      <c r="I388" t="n">
        <v>0</v>
      </c>
      <c r="J388" t="n">
        <v>0</v>
      </c>
      <c r="K388" t="n">
        <v>0</v>
      </c>
      <c r="L388" t="n">
        <v>0</v>
      </c>
      <c r="M388" t="n">
        <v>0</v>
      </c>
      <c r="N388" t="n">
        <v>0</v>
      </c>
      <c r="O388" t="n">
        <v>0</v>
      </c>
      <c r="P388" t="n">
        <v>0</v>
      </c>
      <c r="Q388" t="n">
        <v>0</v>
      </c>
      <c r="R388" s="2" t="inlineStr"/>
    </row>
    <row r="389" ht="15" customHeight="1">
      <c r="A389" t="inlineStr">
        <is>
          <t>A 8414-2025</t>
        </is>
      </c>
      <c r="B389" s="1" t="n">
        <v>45709.39361111111</v>
      </c>
      <c r="C389" s="1" t="n">
        <v>46094</v>
      </c>
      <c r="D389" t="inlineStr">
        <is>
          <t>STOCKHOLMS LÄN</t>
        </is>
      </c>
      <c r="E389" t="inlineStr">
        <is>
          <t>NORRTÄLJE</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36625-2024</t>
        </is>
      </c>
      <c r="B390" s="1" t="n">
        <v>45537</v>
      </c>
      <c r="C390" s="1" t="n">
        <v>46094</v>
      </c>
      <c r="D390" t="inlineStr">
        <is>
          <t>STOCKHOLMS LÄN</t>
        </is>
      </c>
      <c r="E390" t="inlineStr">
        <is>
          <t>NORRTÄLJE</t>
        </is>
      </c>
      <c r="G390" t="n">
        <v>3.8</v>
      </c>
      <c r="H390" t="n">
        <v>0</v>
      </c>
      <c r="I390" t="n">
        <v>0</v>
      </c>
      <c r="J390" t="n">
        <v>0</v>
      </c>
      <c r="K390" t="n">
        <v>0</v>
      </c>
      <c r="L390" t="n">
        <v>0</v>
      </c>
      <c r="M390" t="n">
        <v>0</v>
      </c>
      <c r="N390" t="n">
        <v>0</v>
      </c>
      <c r="O390" t="n">
        <v>0</v>
      </c>
      <c r="P390" t="n">
        <v>0</v>
      </c>
      <c r="Q390" t="n">
        <v>0</v>
      </c>
      <c r="R390" s="2" t="inlineStr"/>
    </row>
    <row r="391" ht="15" customHeight="1">
      <c r="A391" t="inlineStr">
        <is>
          <t>A 23749-2024</t>
        </is>
      </c>
      <c r="B391" s="1" t="n">
        <v>45455.33037037037</v>
      </c>
      <c r="C391" s="1" t="n">
        <v>46094</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44891-2023</t>
        </is>
      </c>
      <c r="B392" s="1" t="n">
        <v>45187</v>
      </c>
      <c r="C392" s="1" t="n">
        <v>46094</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12902-2024</t>
        </is>
      </c>
      <c r="B393" s="1" t="n">
        <v>45385.38146990741</v>
      </c>
      <c r="C393" s="1" t="n">
        <v>46094</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44032-2024</t>
        </is>
      </c>
      <c r="B394" s="1" t="n">
        <v>45572.57828703704</v>
      </c>
      <c r="C394" s="1" t="n">
        <v>46094</v>
      </c>
      <c r="D394" t="inlineStr">
        <is>
          <t>STOCKHOLMS LÄN</t>
        </is>
      </c>
      <c r="E394" t="inlineStr">
        <is>
          <t>NORRTÄLJE</t>
        </is>
      </c>
      <c r="G394" t="n">
        <v>8.6</v>
      </c>
      <c r="H394" t="n">
        <v>0</v>
      </c>
      <c r="I394" t="n">
        <v>0</v>
      </c>
      <c r="J394" t="n">
        <v>0</v>
      </c>
      <c r="K394" t="n">
        <v>0</v>
      </c>
      <c r="L394" t="n">
        <v>0</v>
      </c>
      <c r="M394" t="n">
        <v>0</v>
      </c>
      <c r="N394" t="n">
        <v>0</v>
      </c>
      <c r="O394" t="n">
        <v>0</v>
      </c>
      <c r="P394" t="n">
        <v>0</v>
      </c>
      <c r="Q394" t="n">
        <v>0</v>
      </c>
      <c r="R394" s="2" t="inlineStr"/>
    </row>
    <row r="395" ht="15" customHeight="1">
      <c r="A395" t="inlineStr">
        <is>
          <t>A 24563-2024</t>
        </is>
      </c>
      <c r="B395" s="1" t="n">
        <v>45460.44347222222</v>
      </c>
      <c r="C395" s="1" t="n">
        <v>46094</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39237-2024</t>
        </is>
      </c>
      <c r="B396" s="1" t="n">
        <v>45549</v>
      </c>
      <c r="C396" s="1" t="n">
        <v>46094</v>
      </c>
      <c r="D396" t="inlineStr">
        <is>
          <t>STOCKHOLMS LÄN</t>
        </is>
      </c>
      <c r="E396" t="inlineStr">
        <is>
          <t>NORRTÄLJE</t>
        </is>
      </c>
      <c r="G396" t="n">
        <v>13.3</v>
      </c>
      <c r="H396" t="n">
        <v>0</v>
      </c>
      <c r="I396" t="n">
        <v>0</v>
      </c>
      <c r="J396" t="n">
        <v>0</v>
      </c>
      <c r="K396" t="n">
        <v>0</v>
      </c>
      <c r="L396" t="n">
        <v>0</v>
      </c>
      <c r="M396" t="n">
        <v>0</v>
      </c>
      <c r="N396" t="n">
        <v>0</v>
      </c>
      <c r="O396" t="n">
        <v>0</v>
      </c>
      <c r="P396" t="n">
        <v>0</v>
      </c>
      <c r="Q396" t="n">
        <v>0</v>
      </c>
      <c r="R396" s="2" t="inlineStr"/>
    </row>
    <row r="397" ht="15" customHeight="1">
      <c r="A397" t="inlineStr">
        <is>
          <t>A 58277-2023</t>
        </is>
      </c>
      <c r="B397" s="1" t="n">
        <v>45245</v>
      </c>
      <c r="C397" s="1" t="n">
        <v>46094</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45746-2024</t>
        </is>
      </c>
      <c r="B398" s="1" t="n">
        <v>45579</v>
      </c>
      <c r="C398" s="1" t="n">
        <v>46094</v>
      </c>
      <c r="D398" t="inlineStr">
        <is>
          <t>STOCKHOLMS LÄN</t>
        </is>
      </c>
      <c r="E398" t="inlineStr">
        <is>
          <t>NORRTÄLJE</t>
        </is>
      </c>
      <c r="G398" t="n">
        <v>3.3</v>
      </c>
      <c r="H398" t="n">
        <v>0</v>
      </c>
      <c r="I398" t="n">
        <v>0</v>
      </c>
      <c r="J398" t="n">
        <v>0</v>
      </c>
      <c r="K398" t="n">
        <v>0</v>
      </c>
      <c r="L398" t="n">
        <v>0</v>
      </c>
      <c r="M398" t="n">
        <v>0</v>
      </c>
      <c r="N398" t="n">
        <v>0</v>
      </c>
      <c r="O398" t="n">
        <v>0</v>
      </c>
      <c r="P398" t="n">
        <v>0</v>
      </c>
      <c r="Q398" t="n">
        <v>0</v>
      </c>
      <c r="R398" s="2" t="inlineStr"/>
    </row>
    <row r="399" ht="15" customHeight="1">
      <c r="A399" t="inlineStr">
        <is>
          <t>A 8400-2024</t>
        </is>
      </c>
      <c r="B399" s="1" t="n">
        <v>45352.74090277778</v>
      </c>
      <c r="C399" s="1" t="n">
        <v>46094</v>
      </c>
      <c r="D399" t="inlineStr">
        <is>
          <t>STOCKHOLMS LÄN</t>
        </is>
      </c>
      <c r="E399" t="inlineStr">
        <is>
          <t>NORRTÄLJE</t>
        </is>
      </c>
      <c r="G399" t="n">
        <v>4.7</v>
      </c>
      <c r="H399" t="n">
        <v>0</v>
      </c>
      <c r="I399" t="n">
        <v>0</v>
      </c>
      <c r="J399" t="n">
        <v>0</v>
      </c>
      <c r="K399" t="n">
        <v>0</v>
      </c>
      <c r="L399" t="n">
        <v>0</v>
      </c>
      <c r="M399" t="n">
        <v>0</v>
      </c>
      <c r="N399" t="n">
        <v>0</v>
      </c>
      <c r="O399" t="n">
        <v>0</v>
      </c>
      <c r="P399" t="n">
        <v>0</v>
      </c>
      <c r="Q399" t="n">
        <v>0</v>
      </c>
      <c r="R399" s="2" t="inlineStr"/>
    </row>
    <row r="400" ht="15" customHeight="1">
      <c r="A400" t="inlineStr">
        <is>
          <t>A 32705-2022</t>
        </is>
      </c>
      <c r="B400" s="1" t="n">
        <v>44783</v>
      </c>
      <c r="C400" s="1" t="n">
        <v>46094</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43170-2023</t>
        </is>
      </c>
      <c r="B401" s="1" t="n">
        <v>45183</v>
      </c>
      <c r="C401" s="1" t="n">
        <v>46094</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9-2024</t>
        </is>
      </c>
      <c r="B402" s="1" t="n">
        <v>45293</v>
      </c>
      <c r="C402" s="1" t="n">
        <v>46094</v>
      </c>
      <c r="D402" t="inlineStr">
        <is>
          <t>STOCKHOLMS LÄN</t>
        </is>
      </c>
      <c r="E402" t="inlineStr">
        <is>
          <t>NORRTÄLJE</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22832-2021</t>
        </is>
      </c>
      <c r="B403" s="1" t="n">
        <v>44325</v>
      </c>
      <c r="C403" s="1" t="n">
        <v>46094</v>
      </c>
      <c r="D403" t="inlineStr">
        <is>
          <t>STOCKHOLMS LÄN</t>
        </is>
      </c>
      <c r="E403" t="inlineStr">
        <is>
          <t>NORRTÄLJE</t>
        </is>
      </c>
      <c r="G403" t="n">
        <v>6.8</v>
      </c>
      <c r="H403" t="n">
        <v>0</v>
      </c>
      <c r="I403" t="n">
        <v>0</v>
      </c>
      <c r="J403" t="n">
        <v>0</v>
      </c>
      <c r="K403" t="n">
        <v>0</v>
      </c>
      <c r="L403" t="n">
        <v>0</v>
      </c>
      <c r="M403" t="n">
        <v>0</v>
      </c>
      <c r="N403" t="n">
        <v>0</v>
      </c>
      <c r="O403" t="n">
        <v>0</v>
      </c>
      <c r="P403" t="n">
        <v>0</v>
      </c>
      <c r="Q403" t="n">
        <v>0</v>
      </c>
      <c r="R403" s="2" t="inlineStr"/>
    </row>
    <row r="404" ht="15" customHeight="1">
      <c r="A404" t="inlineStr">
        <is>
          <t>A 47481-2024</t>
        </is>
      </c>
      <c r="B404" s="1" t="n">
        <v>45587</v>
      </c>
      <c r="C404" s="1" t="n">
        <v>46094</v>
      </c>
      <c r="D404" t="inlineStr">
        <is>
          <t>STOCKHOLMS LÄN</t>
        </is>
      </c>
      <c r="E404" t="inlineStr">
        <is>
          <t>NORRTÄLJE</t>
        </is>
      </c>
      <c r="G404" t="n">
        <v>0.5</v>
      </c>
      <c r="H404" t="n">
        <v>0</v>
      </c>
      <c r="I404" t="n">
        <v>0</v>
      </c>
      <c r="J404" t="n">
        <v>0</v>
      </c>
      <c r="K404" t="n">
        <v>0</v>
      </c>
      <c r="L404" t="n">
        <v>0</v>
      </c>
      <c r="M404" t="n">
        <v>0</v>
      </c>
      <c r="N404" t="n">
        <v>0</v>
      </c>
      <c r="O404" t="n">
        <v>0</v>
      </c>
      <c r="P404" t="n">
        <v>0</v>
      </c>
      <c r="Q404" t="n">
        <v>0</v>
      </c>
      <c r="R404" s="2" t="inlineStr"/>
    </row>
    <row r="405" ht="15" customHeight="1">
      <c r="A405" t="inlineStr">
        <is>
          <t>A 57037-2022</t>
        </is>
      </c>
      <c r="B405" s="1" t="n">
        <v>44895</v>
      </c>
      <c r="C405" s="1" t="n">
        <v>46094</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16913-2025</t>
        </is>
      </c>
      <c r="B406" s="1" t="n">
        <v>45755.36583333334</v>
      </c>
      <c r="C406" s="1" t="n">
        <v>46094</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11940-2023</t>
        </is>
      </c>
      <c r="B407" s="1" t="n">
        <v>44995</v>
      </c>
      <c r="C407" s="1" t="n">
        <v>46094</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4035-2023</t>
        </is>
      </c>
      <c r="B408" s="1" t="n">
        <v>44952.57989583333</v>
      </c>
      <c r="C408" s="1" t="n">
        <v>46094</v>
      </c>
      <c r="D408" t="inlineStr">
        <is>
          <t>STOCKHOLMS LÄN</t>
        </is>
      </c>
      <c r="E408" t="inlineStr">
        <is>
          <t>NORRTÄLJE</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33793-2022</t>
        </is>
      </c>
      <c r="B409" s="1" t="n">
        <v>44790</v>
      </c>
      <c r="C409" s="1" t="n">
        <v>46094</v>
      </c>
      <c r="D409" t="inlineStr">
        <is>
          <t>STOCKHOLMS LÄN</t>
        </is>
      </c>
      <c r="E409" t="inlineStr">
        <is>
          <t>NORRTÄLJE</t>
        </is>
      </c>
      <c r="G409" t="n">
        <v>1.5</v>
      </c>
      <c r="H409" t="n">
        <v>0</v>
      </c>
      <c r="I409" t="n">
        <v>0</v>
      </c>
      <c r="J409" t="n">
        <v>0</v>
      </c>
      <c r="K409" t="n">
        <v>0</v>
      </c>
      <c r="L409" t="n">
        <v>0</v>
      </c>
      <c r="M409" t="n">
        <v>0</v>
      </c>
      <c r="N409" t="n">
        <v>0</v>
      </c>
      <c r="O409" t="n">
        <v>0</v>
      </c>
      <c r="P409" t="n">
        <v>0</v>
      </c>
      <c r="Q409" t="n">
        <v>0</v>
      </c>
      <c r="R409" s="2" t="inlineStr"/>
    </row>
    <row r="410" ht="15" customHeight="1">
      <c r="A410" t="inlineStr">
        <is>
          <t>A 53600-2022</t>
        </is>
      </c>
      <c r="B410" s="1" t="n">
        <v>44879.70518518519</v>
      </c>
      <c r="C410" s="1" t="n">
        <v>46094</v>
      </c>
      <c r="D410" t="inlineStr">
        <is>
          <t>STOCKHOLMS LÄN</t>
        </is>
      </c>
      <c r="E410" t="inlineStr">
        <is>
          <t>NORRTÄLJE</t>
        </is>
      </c>
      <c r="G410" t="n">
        <v>4.3</v>
      </c>
      <c r="H410" t="n">
        <v>0</v>
      </c>
      <c r="I410" t="n">
        <v>0</v>
      </c>
      <c r="J410" t="n">
        <v>0</v>
      </c>
      <c r="K410" t="n">
        <v>0</v>
      </c>
      <c r="L410" t="n">
        <v>0</v>
      </c>
      <c r="M410" t="n">
        <v>0</v>
      </c>
      <c r="N410" t="n">
        <v>0</v>
      </c>
      <c r="O410" t="n">
        <v>0</v>
      </c>
      <c r="P410" t="n">
        <v>0</v>
      </c>
      <c r="Q410" t="n">
        <v>0</v>
      </c>
      <c r="R410" s="2" t="inlineStr"/>
    </row>
    <row r="411" ht="15" customHeight="1">
      <c r="A411" t="inlineStr">
        <is>
          <t>A 7697-2025</t>
        </is>
      </c>
      <c r="B411" s="1" t="n">
        <v>45706.40086805556</v>
      </c>
      <c r="C411" s="1" t="n">
        <v>46094</v>
      </c>
      <c r="D411" t="inlineStr">
        <is>
          <t>STOCKHOLMS LÄN</t>
        </is>
      </c>
      <c r="E411" t="inlineStr">
        <is>
          <t>NORRTÄLJE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2281-2024</t>
        </is>
      </c>
      <c r="B412" s="1" t="n">
        <v>45310.40628472222</v>
      </c>
      <c r="C412" s="1" t="n">
        <v>46094</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30221-2024</t>
        </is>
      </c>
      <c r="B413" s="1" t="n">
        <v>45490.45342592592</v>
      </c>
      <c r="C413" s="1" t="n">
        <v>46094</v>
      </c>
      <c r="D413" t="inlineStr">
        <is>
          <t>STOCKHOLMS LÄN</t>
        </is>
      </c>
      <c r="E413" t="inlineStr">
        <is>
          <t>NORRTÄLJE</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60525-2022</t>
        </is>
      </c>
      <c r="B414" s="1" t="n">
        <v>44904</v>
      </c>
      <c r="C414" s="1" t="n">
        <v>46094</v>
      </c>
      <c r="D414" t="inlineStr">
        <is>
          <t>STOCKHOLMS LÄN</t>
        </is>
      </c>
      <c r="E414" t="inlineStr">
        <is>
          <t>NORRTÄLJE</t>
        </is>
      </c>
      <c r="G414" t="n">
        <v>13.4</v>
      </c>
      <c r="H414" t="n">
        <v>0</v>
      </c>
      <c r="I414" t="n">
        <v>0</v>
      </c>
      <c r="J414" t="n">
        <v>0</v>
      </c>
      <c r="K414" t="n">
        <v>0</v>
      </c>
      <c r="L414" t="n">
        <v>0</v>
      </c>
      <c r="M414" t="n">
        <v>0</v>
      </c>
      <c r="N414" t="n">
        <v>0</v>
      </c>
      <c r="O414" t="n">
        <v>0</v>
      </c>
      <c r="P414" t="n">
        <v>0</v>
      </c>
      <c r="Q414" t="n">
        <v>0</v>
      </c>
      <c r="R414" s="2" t="inlineStr"/>
    </row>
    <row r="415" ht="15" customHeight="1">
      <c r="A415" t="inlineStr">
        <is>
          <t>A 13-2024</t>
        </is>
      </c>
      <c r="B415" s="1" t="n">
        <v>45293.37263888889</v>
      </c>
      <c r="C415" s="1" t="n">
        <v>46094</v>
      </c>
      <c r="D415" t="inlineStr">
        <is>
          <t>STOCKHOLMS LÄN</t>
        </is>
      </c>
      <c r="E415" t="inlineStr">
        <is>
          <t>NORRTÄLJE</t>
        </is>
      </c>
      <c r="G415" t="n">
        <v>1.6</v>
      </c>
      <c r="H415" t="n">
        <v>0</v>
      </c>
      <c r="I415" t="n">
        <v>0</v>
      </c>
      <c r="J415" t="n">
        <v>0</v>
      </c>
      <c r="K415" t="n">
        <v>0</v>
      </c>
      <c r="L415" t="n">
        <v>0</v>
      </c>
      <c r="M415" t="n">
        <v>0</v>
      </c>
      <c r="N415" t="n">
        <v>0</v>
      </c>
      <c r="O415" t="n">
        <v>0</v>
      </c>
      <c r="P415" t="n">
        <v>0</v>
      </c>
      <c r="Q415" t="n">
        <v>0</v>
      </c>
      <c r="R415" s="2" t="inlineStr"/>
    </row>
    <row r="416" ht="15" customHeight="1">
      <c r="A416" t="inlineStr">
        <is>
          <t>A 19-2024</t>
        </is>
      </c>
      <c r="B416" s="1" t="n">
        <v>45293</v>
      </c>
      <c r="C416" s="1" t="n">
        <v>46094</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67598-2021</t>
        </is>
      </c>
      <c r="B417" s="1" t="n">
        <v>44524</v>
      </c>
      <c r="C417" s="1" t="n">
        <v>46094</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31559-2022</t>
        </is>
      </c>
      <c r="B418" s="1" t="n">
        <v>44775</v>
      </c>
      <c r="C418" s="1" t="n">
        <v>46094</v>
      </c>
      <c r="D418" t="inlineStr">
        <is>
          <t>STOCKHOLMS LÄN</t>
        </is>
      </c>
      <c r="E418" t="inlineStr">
        <is>
          <t>NORRTÄLJE</t>
        </is>
      </c>
      <c r="G418" t="n">
        <v>5.6</v>
      </c>
      <c r="H418" t="n">
        <v>0</v>
      </c>
      <c r="I418" t="n">
        <v>0</v>
      </c>
      <c r="J418" t="n">
        <v>0</v>
      </c>
      <c r="K418" t="n">
        <v>0</v>
      </c>
      <c r="L418" t="n">
        <v>0</v>
      </c>
      <c r="M418" t="n">
        <v>0</v>
      </c>
      <c r="N418" t="n">
        <v>0</v>
      </c>
      <c r="O418" t="n">
        <v>0</v>
      </c>
      <c r="P418" t="n">
        <v>0</v>
      </c>
      <c r="Q418" t="n">
        <v>0</v>
      </c>
      <c r="R418" s="2" t="inlineStr"/>
    </row>
    <row r="419" ht="15" customHeight="1">
      <c r="A419" t="inlineStr">
        <is>
          <t>A 8419-2025</t>
        </is>
      </c>
      <c r="B419" s="1" t="n">
        <v>45709.40231481481</v>
      </c>
      <c r="C419" s="1" t="n">
        <v>46094</v>
      </c>
      <c r="D419" t="inlineStr">
        <is>
          <t>STOCKHOLMS LÄN</t>
        </is>
      </c>
      <c r="E419" t="inlineStr">
        <is>
          <t>NORRTÄLJE</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39213-2022</t>
        </is>
      </c>
      <c r="B420" s="1" t="n">
        <v>44817.56120370371</v>
      </c>
      <c r="C420" s="1" t="n">
        <v>46094</v>
      </c>
      <c r="D420" t="inlineStr">
        <is>
          <t>STOCKHOLMS LÄN</t>
        </is>
      </c>
      <c r="E420" t="inlineStr">
        <is>
          <t>NORRTÄLJE</t>
        </is>
      </c>
      <c r="G420" t="n">
        <v>3.4</v>
      </c>
      <c r="H420" t="n">
        <v>0</v>
      </c>
      <c r="I420" t="n">
        <v>0</v>
      </c>
      <c r="J420" t="n">
        <v>0</v>
      </c>
      <c r="K420" t="n">
        <v>0</v>
      </c>
      <c r="L420" t="n">
        <v>0</v>
      </c>
      <c r="M420" t="n">
        <v>0</v>
      </c>
      <c r="N420" t="n">
        <v>0</v>
      </c>
      <c r="O420" t="n">
        <v>0</v>
      </c>
      <c r="P420" t="n">
        <v>0</v>
      </c>
      <c r="Q420" t="n">
        <v>0</v>
      </c>
      <c r="R420" s="2" t="inlineStr"/>
    </row>
    <row r="421" ht="15" customHeight="1">
      <c r="A421" t="inlineStr">
        <is>
          <t>A 34520-2021</t>
        </is>
      </c>
      <c r="B421" s="1" t="n">
        <v>44379</v>
      </c>
      <c r="C421" s="1" t="n">
        <v>46094</v>
      </c>
      <c r="D421" t="inlineStr">
        <is>
          <t>STOCKHOLMS LÄN</t>
        </is>
      </c>
      <c r="E421" t="inlineStr">
        <is>
          <t>NORRTÄLJE</t>
        </is>
      </c>
      <c r="G421" t="n">
        <v>1.7</v>
      </c>
      <c r="H421" t="n">
        <v>0</v>
      </c>
      <c r="I421" t="n">
        <v>0</v>
      </c>
      <c r="J421" t="n">
        <v>0</v>
      </c>
      <c r="K421" t="n">
        <v>0</v>
      </c>
      <c r="L421" t="n">
        <v>0</v>
      </c>
      <c r="M421" t="n">
        <v>0</v>
      </c>
      <c r="N421" t="n">
        <v>0</v>
      </c>
      <c r="O421" t="n">
        <v>0</v>
      </c>
      <c r="P421" t="n">
        <v>0</v>
      </c>
      <c r="Q421" t="n">
        <v>0</v>
      </c>
      <c r="R421" s="2" t="inlineStr"/>
    </row>
    <row r="422" ht="15" customHeight="1">
      <c r="A422" t="inlineStr">
        <is>
          <t>A 35161-2022</t>
        </is>
      </c>
      <c r="B422" s="1" t="n">
        <v>44797</v>
      </c>
      <c r="C422" s="1" t="n">
        <v>46094</v>
      </c>
      <c r="D422" t="inlineStr">
        <is>
          <t>STOCKHOLMS LÄN</t>
        </is>
      </c>
      <c r="E422" t="inlineStr">
        <is>
          <t>NORRTÄLJE</t>
        </is>
      </c>
      <c r="G422" t="n">
        <v>6</v>
      </c>
      <c r="H422" t="n">
        <v>0</v>
      </c>
      <c r="I422" t="n">
        <v>0</v>
      </c>
      <c r="J422" t="n">
        <v>0</v>
      </c>
      <c r="K422" t="n">
        <v>0</v>
      </c>
      <c r="L422" t="n">
        <v>0</v>
      </c>
      <c r="M422" t="n">
        <v>0</v>
      </c>
      <c r="N422" t="n">
        <v>0</v>
      </c>
      <c r="O422" t="n">
        <v>0</v>
      </c>
      <c r="P422" t="n">
        <v>0</v>
      </c>
      <c r="Q422" t="n">
        <v>0</v>
      </c>
      <c r="R422" s="2" t="inlineStr"/>
    </row>
    <row r="423" ht="15" customHeight="1">
      <c r="A423" t="inlineStr">
        <is>
          <t>A 41976-2024</t>
        </is>
      </c>
      <c r="B423" s="1" t="n">
        <v>45561.62141203704</v>
      </c>
      <c r="C423" s="1" t="n">
        <v>46094</v>
      </c>
      <c r="D423" t="inlineStr">
        <is>
          <t>STOCKHOLMS LÄN</t>
        </is>
      </c>
      <c r="E423" t="inlineStr">
        <is>
          <t>NORRTÄLJE</t>
        </is>
      </c>
      <c r="G423" t="n">
        <v>2.5</v>
      </c>
      <c r="H423" t="n">
        <v>0</v>
      </c>
      <c r="I423" t="n">
        <v>0</v>
      </c>
      <c r="J423" t="n">
        <v>0</v>
      </c>
      <c r="K423" t="n">
        <v>0</v>
      </c>
      <c r="L423" t="n">
        <v>0</v>
      </c>
      <c r="M423" t="n">
        <v>0</v>
      </c>
      <c r="N423" t="n">
        <v>0</v>
      </c>
      <c r="O423" t="n">
        <v>0</v>
      </c>
      <c r="P423" t="n">
        <v>0</v>
      </c>
      <c r="Q423" t="n">
        <v>0</v>
      </c>
      <c r="R423" s="2" t="inlineStr"/>
    </row>
    <row r="424" ht="15" customHeight="1">
      <c r="A424" t="inlineStr">
        <is>
          <t>A 51325-2023</t>
        </is>
      </c>
      <c r="B424" s="1" t="n">
        <v>45219</v>
      </c>
      <c r="C424" s="1" t="n">
        <v>46094</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59534-2024</t>
        </is>
      </c>
      <c r="B425" s="1" t="n">
        <v>45638.5987037037</v>
      </c>
      <c r="C425" s="1" t="n">
        <v>46094</v>
      </c>
      <c r="D425" t="inlineStr">
        <is>
          <t>STOCKHOLMS LÄN</t>
        </is>
      </c>
      <c r="E425" t="inlineStr">
        <is>
          <t>NORRTÄLJE</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31107-2022</t>
        </is>
      </c>
      <c r="B426" s="1" t="n">
        <v>44769.66864583334</v>
      </c>
      <c r="C426" s="1" t="n">
        <v>46094</v>
      </c>
      <c r="D426" t="inlineStr">
        <is>
          <t>STOCKHOLMS LÄN</t>
        </is>
      </c>
      <c r="E426" t="inlineStr">
        <is>
          <t>NORRTÄLJE</t>
        </is>
      </c>
      <c r="G426" t="n">
        <v>3.8</v>
      </c>
      <c r="H426" t="n">
        <v>0</v>
      </c>
      <c r="I426" t="n">
        <v>0</v>
      </c>
      <c r="J426" t="n">
        <v>0</v>
      </c>
      <c r="K426" t="n">
        <v>0</v>
      </c>
      <c r="L426" t="n">
        <v>0</v>
      </c>
      <c r="M426" t="n">
        <v>0</v>
      </c>
      <c r="N426" t="n">
        <v>0</v>
      </c>
      <c r="O426" t="n">
        <v>0</v>
      </c>
      <c r="P426" t="n">
        <v>0</v>
      </c>
      <c r="Q426" t="n">
        <v>0</v>
      </c>
      <c r="R426" s="2" t="inlineStr"/>
    </row>
    <row r="427" ht="15" customHeight="1">
      <c r="A427" t="inlineStr">
        <is>
          <t>A 13860-2023</t>
        </is>
      </c>
      <c r="B427" s="1" t="n">
        <v>45007</v>
      </c>
      <c r="C427" s="1" t="n">
        <v>46094</v>
      </c>
      <c r="D427" t="inlineStr">
        <is>
          <t>STOCKHOLMS LÄN</t>
        </is>
      </c>
      <c r="E427" t="inlineStr">
        <is>
          <t>NORRTÄLJE</t>
        </is>
      </c>
      <c r="G427" t="n">
        <v>1.6</v>
      </c>
      <c r="H427" t="n">
        <v>0</v>
      </c>
      <c r="I427" t="n">
        <v>0</v>
      </c>
      <c r="J427" t="n">
        <v>0</v>
      </c>
      <c r="K427" t="n">
        <v>0</v>
      </c>
      <c r="L427" t="n">
        <v>0</v>
      </c>
      <c r="M427" t="n">
        <v>0</v>
      </c>
      <c r="N427" t="n">
        <v>0</v>
      </c>
      <c r="O427" t="n">
        <v>0</v>
      </c>
      <c r="P427" t="n">
        <v>0</v>
      </c>
      <c r="Q427" t="n">
        <v>0</v>
      </c>
      <c r="R427" s="2" t="inlineStr"/>
    </row>
    <row r="428" ht="15" customHeight="1">
      <c r="A428" t="inlineStr">
        <is>
          <t>A 6855-2025</t>
        </is>
      </c>
      <c r="B428" s="1" t="n">
        <v>45700</v>
      </c>
      <c r="C428" s="1" t="n">
        <v>46094</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58989-2021</t>
        </is>
      </c>
      <c r="B429" s="1" t="n">
        <v>44490.02482638889</v>
      </c>
      <c r="C429" s="1" t="n">
        <v>46094</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46988-2024</t>
        </is>
      </c>
      <c r="B430" s="1" t="n">
        <v>45586</v>
      </c>
      <c r="C430" s="1" t="n">
        <v>46094</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21529-2021</t>
        </is>
      </c>
      <c r="B431" s="1" t="n">
        <v>44321</v>
      </c>
      <c r="C431" s="1" t="n">
        <v>46094</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13314-2025</t>
        </is>
      </c>
      <c r="B432" s="1" t="n">
        <v>45735.59287037037</v>
      </c>
      <c r="C432" s="1" t="n">
        <v>46094</v>
      </c>
      <c r="D432" t="inlineStr">
        <is>
          <t>STOCKHOLMS LÄN</t>
        </is>
      </c>
      <c r="E432" t="inlineStr">
        <is>
          <t>NORRTÄLJE</t>
        </is>
      </c>
      <c r="G432" t="n">
        <v>2.4</v>
      </c>
      <c r="H432" t="n">
        <v>0</v>
      </c>
      <c r="I432" t="n">
        <v>0</v>
      </c>
      <c r="J432" t="n">
        <v>0</v>
      </c>
      <c r="K432" t="n">
        <v>0</v>
      </c>
      <c r="L432" t="n">
        <v>0</v>
      </c>
      <c r="M432" t="n">
        <v>0</v>
      </c>
      <c r="N432" t="n">
        <v>0</v>
      </c>
      <c r="O432" t="n">
        <v>0</v>
      </c>
      <c r="P432" t="n">
        <v>0</v>
      </c>
      <c r="Q432" t="n">
        <v>0</v>
      </c>
      <c r="R432" s="2" t="inlineStr"/>
    </row>
    <row r="433" ht="15" customHeight="1">
      <c r="A433" t="inlineStr">
        <is>
          <t>A 13701-2022</t>
        </is>
      </c>
      <c r="B433" s="1" t="n">
        <v>44648</v>
      </c>
      <c r="C433" s="1" t="n">
        <v>46094</v>
      </c>
      <c r="D433" t="inlineStr">
        <is>
          <t>STOCKHOLMS LÄN</t>
        </is>
      </c>
      <c r="E433" t="inlineStr">
        <is>
          <t>NORRTÄLJE</t>
        </is>
      </c>
      <c r="G433" t="n">
        <v>1.6</v>
      </c>
      <c r="H433" t="n">
        <v>0</v>
      </c>
      <c r="I433" t="n">
        <v>0</v>
      </c>
      <c r="J433" t="n">
        <v>0</v>
      </c>
      <c r="K433" t="n">
        <v>0</v>
      </c>
      <c r="L433" t="n">
        <v>0</v>
      </c>
      <c r="M433" t="n">
        <v>0</v>
      </c>
      <c r="N433" t="n">
        <v>0</v>
      </c>
      <c r="O433" t="n">
        <v>0</v>
      </c>
      <c r="P433" t="n">
        <v>0</v>
      </c>
      <c r="Q433" t="n">
        <v>0</v>
      </c>
      <c r="R433" s="2" t="inlineStr"/>
    </row>
    <row r="434" ht="15" customHeight="1">
      <c r="A434" t="inlineStr">
        <is>
          <t>A 34432-2021</t>
        </is>
      </c>
      <c r="B434" s="1" t="n">
        <v>44380.77346064815</v>
      </c>
      <c r="C434" s="1" t="n">
        <v>46094</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14132-2025</t>
        </is>
      </c>
      <c r="B435" s="1" t="n">
        <v>45740.47550925926</v>
      </c>
      <c r="C435" s="1" t="n">
        <v>46094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14133-2025</t>
        </is>
      </c>
      <c r="B436" s="1" t="n">
        <v>45740.47724537037</v>
      </c>
      <c r="C436" s="1" t="n">
        <v>46094</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8792-2025</t>
        </is>
      </c>
      <c r="B437" s="1" t="n">
        <v>45712</v>
      </c>
      <c r="C437" s="1" t="n">
        <v>46094</v>
      </c>
      <c r="D437" t="inlineStr">
        <is>
          <t>STOCKHOLMS LÄN</t>
        </is>
      </c>
      <c r="E437" t="inlineStr">
        <is>
          <t>NORRTÄLJE</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24887-2023</t>
        </is>
      </c>
      <c r="B438" s="1" t="n">
        <v>45085</v>
      </c>
      <c r="C438" s="1" t="n">
        <v>46094</v>
      </c>
      <c r="D438" t="inlineStr">
        <is>
          <t>STOCKHOLMS LÄN</t>
        </is>
      </c>
      <c r="E438" t="inlineStr">
        <is>
          <t>NORRTÄLJE</t>
        </is>
      </c>
      <c r="G438" t="n">
        <v>13.9</v>
      </c>
      <c r="H438" t="n">
        <v>0</v>
      </c>
      <c r="I438" t="n">
        <v>0</v>
      </c>
      <c r="J438" t="n">
        <v>0</v>
      </c>
      <c r="K438" t="n">
        <v>0</v>
      </c>
      <c r="L438" t="n">
        <v>0</v>
      </c>
      <c r="M438" t="n">
        <v>0</v>
      </c>
      <c r="N438" t="n">
        <v>0</v>
      </c>
      <c r="O438" t="n">
        <v>0</v>
      </c>
      <c r="P438" t="n">
        <v>0</v>
      </c>
      <c r="Q438" t="n">
        <v>0</v>
      </c>
      <c r="R438" s="2" t="inlineStr"/>
    </row>
    <row r="439" ht="15" customHeight="1">
      <c r="A439" t="inlineStr">
        <is>
          <t>A 38612-2022</t>
        </is>
      </c>
      <c r="B439" s="1" t="n">
        <v>44813</v>
      </c>
      <c r="C439" s="1" t="n">
        <v>46094</v>
      </c>
      <c r="D439" t="inlineStr">
        <is>
          <t>STOCKHOLMS LÄN</t>
        </is>
      </c>
      <c r="E439" t="inlineStr">
        <is>
          <t>NORRTÄLJE</t>
        </is>
      </c>
      <c r="G439" t="n">
        <v>1.7</v>
      </c>
      <c r="H439" t="n">
        <v>0</v>
      </c>
      <c r="I439" t="n">
        <v>0</v>
      </c>
      <c r="J439" t="n">
        <v>0</v>
      </c>
      <c r="K439" t="n">
        <v>0</v>
      </c>
      <c r="L439" t="n">
        <v>0</v>
      </c>
      <c r="M439" t="n">
        <v>0</v>
      </c>
      <c r="N439" t="n">
        <v>0</v>
      </c>
      <c r="O439" t="n">
        <v>0</v>
      </c>
      <c r="P439" t="n">
        <v>0</v>
      </c>
      <c r="Q439" t="n">
        <v>0</v>
      </c>
      <c r="R439" s="2" t="inlineStr"/>
    </row>
    <row r="440" ht="15" customHeight="1">
      <c r="A440" t="inlineStr">
        <is>
          <t>A 1968-2022</t>
        </is>
      </c>
      <c r="B440" s="1" t="n">
        <v>44575.52831018518</v>
      </c>
      <c r="C440" s="1" t="n">
        <v>46094</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4326-2023</t>
        </is>
      </c>
      <c r="B441" s="1" t="n">
        <v>44953.70481481482</v>
      </c>
      <c r="C441" s="1" t="n">
        <v>46094</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54504-2024</t>
        </is>
      </c>
      <c r="B442" s="1" t="n">
        <v>45617.58453703704</v>
      </c>
      <c r="C442" s="1" t="n">
        <v>46094</v>
      </c>
      <c r="D442" t="inlineStr">
        <is>
          <t>STOCKHOLMS LÄN</t>
        </is>
      </c>
      <c r="E442" t="inlineStr">
        <is>
          <t>NORRTÄLJE</t>
        </is>
      </c>
      <c r="G442" t="n">
        <v>3.4</v>
      </c>
      <c r="H442" t="n">
        <v>0</v>
      </c>
      <c r="I442" t="n">
        <v>0</v>
      </c>
      <c r="J442" t="n">
        <v>0</v>
      </c>
      <c r="K442" t="n">
        <v>0</v>
      </c>
      <c r="L442" t="n">
        <v>0</v>
      </c>
      <c r="M442" t="n">
        <v>0</v>
      </c>
      <c r="N442" t="n">
        <v>0</v>
      </c>
      <c r="O442" t="n">
        <v>0</v>
      </c>
      <c r="P442" t="n">
        <v>0</v>
      </c>
      <c r="Q442" t="n">
        <v>0</v>
      </c>
      <c r="R442" s="2" t="inlineStr"/>
    </row>
    <row r="443" ht="15" customHeight="1">
      <c r="A443" t="inlineStr">
        <is>
          <t>A 62998-2023</t>
        </is>
      </c>
      <c r="B443" s="1" t="n">
        <v>45272.64479166667</v>
      </c>
      <c r="C443" s="1" t="n">
        <v>46094</v>
      </c>
      <c r="D443" t="inlineStr">
        <is>
          <t>STOCKHOLMS LÄN</t>
        </is>
      </c>
      <c r="E443" t="inlineStr">
        <is>
          <t>NORRTÄLJE</t>
        </is>
      </c>
      <c r="G443" t="n">
        <v>16.3</v>
      </c>
      <c r="H443" t="n">
        <v>0</v>
      </c>
      <c r="I443" t="n">
        <v>0</v>
      </c>
      <c r="J443" t="n">
        <v>0</v>
      </c>
      <c r="K443" t="n">
        <v>0</v>
      </c>
      <c r="L443" t="n">
        <v>0</v>
      </c>
      <c r="M443" t="n">
        <v>0</v>
      </c>
      <c r="N443" t="n">
        <v>0</v>
      </c>
      <c r="O443" t="n">
        <v>0</v>
      </c>
      <c r="P443" t="n">
        <v>0</v>
      </c>
      <c r="Q443" t="n">
        <v>0</v>
      </c>
      <c r="R443" s="2" t="inlineStr"/>
    </row>
    <row r="444" ht="15" customHeight="1">
      <c r="A444" t="inlineStr">
        <is>
          <t>A 63015-2023</t>
        </is>
      </c>
      <c r="B444" s="1" t="n">
        <v>45272</v>
      </c>
      <c r="C444" s="1" t="n">
        <v>46094</v>
      </c>
      <c r="D444" t="inlineStr">
        <is>
          <t>STOCKHOLMS LÄN</t>
        </is>
      </c>
      <c r="E444" t="inlineStr">
        <is>
          <t>NORRTÄLJE</t>
        </is>
      </c>
      <c r="G444" t="n">
        <v>13.1</v>
      </c>
      <c r="H444" t="n">
        <v>0</v>
      </c>
      <c r="I444" t="n">
        <v>0</v>
      </c>
      <c r="J444" t="n">
        <v>0</v>
      </c>
      <c r="K444" t="n">
        <v>0</v>
      </c>
      <c r="L444" t="n">
        <v>0</v>
      </c>
      <c r="M444" t="n">
        <v>0</v>
      </c>
      <c r="N444" t="n">
        <v>0</v>
      </c>
      <c r="O444" t="n">
        <v>0</v>
      </c>
      <c r="P444" t="n">
        <v>0</v>
      </c>
      <c r="Q444" t="n">
        <v>0</v>
      </c>
      <c r="R444" s="2" t="inlineStr"/>
    </row>
    <row r="445" ht="15" customHeight="1">
      <c r="A445" t="inlineStr">
        <is>
          <t>A 23149-2024</t>
        </is>
      </c>
      <c r="B445" s="1" t="n">
        <v>45450.64208333333</v>
      </c>
      <c r="C445" s="1" t="n">
        <v>46094</v>
      </c>
      <c r="D445" t="inlineStr">
        <is>
          <t>STOCKHOLMS LÄN</t>
        </is>
      </c>
      <c r="E445" t="inlineStr">
        <is>
          <t>NORRTÄLJE</t>
        </is>
      </c>
      <c r="F445" t="inlineStr">
        <is>
          <t>Kommuner</t>
        </is>
      </c>
      <c r="G445" t="n">
        <v>1.3</v>
      </c>
      <c r="H445" t="n">
        <v>0</v>
      </c>
      <c r="I445" t="n">
        <v>0</v>
      </c>
      <c r="J445" t="n">
        <v>0</v>
      </c>
      <c r="K445" t="n">
        <v>0</v>
      </c>
      <c r="L445" t="n">
        <v>0</v>
      </c>
      <c r="M445" t="n">
        <v>0</v>
      </c>
      <c r="N445" t="n">
        <v>0</v>
      </c>
      <c r="O445" t="n">
        <v>0</v>
      </c>
      <c r="P445" t="n">
        <v>0</v>
      </c>
      <c r="Q445" t="n">
        <v>0</v>
      </c>
      <c r="R445" s="2" t="inlineStr"/>
    </row>
    <row r="446" ht="15" customHeight="1">
      <c r="A446" t="inlineStr">
        <is>
          <t>A 23151-2024</t>
        </is>
      </c>
      <c r="B446" s="1" t="n">
        <v>45450</v>
      </c>
      <c r="C446" s="1" t="n">
        <v>46094</v>
      </c>
      <c r="D446" t="inlineStr">
        <is>
          <t>STOCKHOLMS LÄN</t>
        </is>
      </c>
      <c r="E446" t="inlineStr">
        <is>
          <t>NORRTÄLJE</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27831-2024</t>
        </is>
      </c>
      <c r="B447" s="1" t="n">
        <v>45475.61896990741</v>
      </c>
      <c r="C447" s="1" t="n">
        <v>46094</v>
      </c>
      <c r="D447" t="inlineStr">
        <is>
          <t>STOCKHOLMS LÄN</t>
        </is>
      </c>
      <c r="E447" t="inlineStr">
        <is>
          <t>NORRTÄLJE</t>
        </is>
      </c>
      <c r="G447" t="n">
        <v>3.8</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46094</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52001-2023</t>
        </is>
      </c>
      <c r="B449" s="1" t="n">
        <v>45223</v>
      </c>
      <c r="C449" s="1" t="n">
        <v>46094</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21745-2023</t>
        </is>
      </c>
      <c r="B450" s="1" t="n">
        <v>45065.55917824074</v>
      </c>
      <c r="C450" s="1" t="n">
        <v>46094</v>
      </c>
      <c r="D450" t="inlineStr">
        <is>
          <t>STOCKHOLMS LÄN</t>
        </is>
      </c>
      <c r="E450" t="inlineStr">
        <is>
          <t>NORRTÄLJE</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21803-2022</t>
        </is>
      </c>
      <c r="B451" s="1" t="n">
        <v>44708.67822916667</v>
      </c>
      <c r="C451" s="1" t="n">
        <v>46094</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60185-2024</t>
        </is>
      </c>
      <c r="B452" s="1" t="n">
        <v>45642.64634259259</v>
      </c>
      <c r="C452" s="1" t="n">
        <v>46094</v>
      </c>
      <c r="D452" t="inlineStr">
        <is>
          <t>STOCKHOLMS LÄN</t>
        </is>
      </c>
      <c r="E452" t="inlineStr">
        <is>
          <t>NORRTÄLJE</t>
        </is>
      </c>
      <c r="G452" t="n">
        <v>0.3</v>
      </c>
      <c r="H452" t="n">
        <v>0</v>
      </c>
      <c r="I452" t="n">
        <v>0</v>
      </c>
      <c r="J452" t="n">
        <v>0</v>
      </c>
      <c r="K452" t="n">
        <v>0</v>
      </c>
      <c r="L452" t="n">
        <v>0</v>
      </c>
      <c r="M452" t="n">
        <v>0</v>
      </c>
      <c r="N452" t="n">
        <v>0</v>
      </c>
      <c r="O452" t="n">
        <v>0</v>
      </c>
      <c r="P452" t="n">
        <v>0</v>
      </c>
      <c r="Q452" t="n">
        <v>0</v>
      </c>
      <c r="R452" s="2" t="inlineStr"/>
    </row>
    <row r="453" ht="15" customHeight="1">
      <c r="A453" t="inlineStr">
        <is>
          <t>A 20730-2024</t>
        </is>
      </c>
      <c r="B453" s="1" t="n">
        <v>45436</v>
      </c>
      <c r="C453" s="1" t="n">
        <v>46094</v>
      </c>
      <c r="D453" t="inlineStr">
        <is>
          <t>STOCKHOLMS LÄN</t>
        </is>
      </c>
      <c r="E453" t="inlineStr">
        <is>
          <t>NORRTÄLJE</t>
        </is>
      </c>
      <c r="G453" t="n">
        <v>7.3</v>
      </c>
      <c r="H453" t="n">
        <v>0</v>
      </c>
      <c r="I453" t="n">
        <v>0</v>
      </c>
      <c r="J453" t="n">
        <v>0</v>
      </c>
      <c r="K453" t="n">
        <v>0</v>
      </c>
      <c r="L453" t="n">
        <v>0</v>
      </c>
      <c r="M453" t="n">
        <v>0</v>
      </c>
      <c r="N453" t="n">
        <v>0</v>
      </c>
      <c r="O453" t="n">
        <v>0</v>
      </c>
      <c r="P453" t="n">
        <v>0</v>
      </c>
      <c r="Q453" t="n">
        <v>0</v>
      </c>
      <c r="R453" s="2" t="inlineStr"/>
    </row>
    <row r="454" ht="15" customHeight="1">
      <c r="A454" t="inlineStr">
        <is>
          <t>A 21894-2023</t>
        </is>
      </c>
      <c r="B454" s="1" t="n">
        <v>45068.51783564815</v>
      </c>
      <c r="C454" s="1" t="n">
        <v>46094</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13276-2022</t>
        </is>
      </c>
      <c r="B455" s="1" t="n">
        <v>44644</v>
      </c>
      <c r="C455" s="1" t="n">
        <v>46094</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48686-2023</t>
        </is>
      </c>
      <c r="B456" s="1" t="n">
        <v>45208</v>
      </c>
      <c r="C456" s="1" t="n">
        <v>46094</v>
      </c>
      <c r="D456" t="inlineStr">
        <is>
          <t>STOCKHOLMS LÄN</t>
        </is>
      </c>
      <c r="E456" t="inlineStr">
        <is>
          <t>NORRTÄLJE</t>
        </is>
      </c>
      <c r="G456" t="n">
        <v>6</v>
      </c>
      <c r="H456" t="n">
        <v>0</v>
      </c>
      <c r="I456" t="n">
        <v>0</v>
      </c>
      <c r="J456" t="n">
        <v>0</v>
      </c>
      <c r="K456" t="n">
        <v>0</v>
      </c>
      <c r="L456" t="n">
        <v>0</v>
      </c>
      <c r="M456" t="n">
        <v>0</v>
      </c>
      <c r="N456" t="n">
        <v>0</v>
      </c>
      <c r="O456" t="n">
        <v>0</v>
      </c>
      <c r="P456" t="n">
        <v>0</v>
      </c>
      <c r="Q456" t="n">
        <v>0</v>
      </c>
      <c r="R456" s="2" t="inlineStr"/>
    </row>
    <row r="457" ht="15" customHeight="1">
      <c r="A457" t="inlineStr">
        <is>
          <t>A 48691-2023</t>
        </is>
      </c>
      <c r="B457" s="1" t="n">
        <v>45208</v>
      </c>
      <c r="C457" s="1" t="n">
        <v>46094</v>
      </c>
      <c r="D457" t="inlineStr">
        <is>
          <t>STOCKHOLMS LÄN</t>
        </is>
      </c>
      <c r="E457" t="inlineStr">
        <is>
          <t>NORRTÄLJE</t>
        </is>
      </c>
      <c r="G457" t="n">
        <v>5.8</v>
      </c>
      <c r="H457" t="n">
        <v>0</v>
      </c>
      <c r="I457" t="n">
        <v>0</v>
      </c>
      <c r="J457" t="n">
        <v>0</v>
      </c>
      <c r="K457" t="n">
        <v>0</v>
      </c>
      <c r="L457" t="n">
        <v>0</v>
      </c>
      <c r="M457" t="n">
        <v>0</v>
      </c>
      <c r="N457" t="n">
        <v>0</v>
      </c>
      <c r="O457" t="n">
        <v>0</v>
      </c>
      <c r="P457" t="n">
        <v>0</v>
      </c>
      <c r="Q457" t="n">
        <v>0</v>
      </c>
      <c r="R457" s="2" t="inlineStr"/>
    </row>
    <row r="458" ht="15" customHeight="1">
      <c r="A458" t="inlineStr">
        <is>
          <t>A 67921-2021</t>
        </is>
      </c>
      <c r="B458" s="1" t="n">
        <v>44525</v>
      </c>
      <c r="C458" s="1" t="n">
        <v>46094</v>
      </c>
      <c r="D458" t="inlineStr">
        <is>
          <t>STOCKHOLMS LÄN</t>
        </is>
      </c>
      <c r="E458" t="inlineStr">
        <is>
          <t>NORRTÄLJE</t>
        </is>
      </c>
      <c r="G458" t="n">
        <v>6.3</v>
      </c>
      <c r="H458" t="n">
        <v>0</v>
      </c>
      <c r="I458" t="n">
        <v>0</v>
      </c>
      <c r="J458" t="n">
        <v>0</v>
      </c>
      <c r="K458" t="n">
        <v>0</v>
      </c>
      <c r="L458" t="n">
        <v>0</v>
      </c>
      <c r="M458" t="n">
        <v>0</v>
      </c>
      <c r="N458" t="n">
        <v>0</v>
      </c>
      <c r="O458" t="n">
        <v>0</v>
      </c>
      <c r="P458" t="n">
        <v>0</v>
      </c>
      <c r="Q458" t="n">
        <v>0</v>
      </c>
      <c r="R458" s="2" t="inlineStr"/>
    </row>
    <row r="459" ht="15" customHeight="1">
      <c r="A459" t="inlineStr">
        <is>
          <t>A 12901-2024</t>
        </is>
      </c>
      <c r="B459" s="1" t="n">
        <v>45385.37922453704</v>
      </c>
      <c r="C459" s="1" t="n">
        <v>46094</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8950-2025</t>
        </is>
      </c>
      <c r="B460" s="1" t="n">
        <v>45713</v>
      </c>
      <c r="C460" s="1" t="n">
        <v>46094</v>
      </c>
      <c r="D460" t="inlineStr">
        <is>
          <t>STOCKHOLMS LÄN</t>
        </is>
      </c>
      <c r="E460" t="inlineStr">
        <is>
          <t>NORRTÄLJE</t>
        </is>
      </c>
      <c r="F460" t="inlineStr">
        <is>
          <t>Övriga Aktiebolag</t>
        </is>
      </c>
      <c r="G460" t="n">
        <v>3.6</v>
      </c>
      <c r="H460" t="n">
        <v>0</v>
      </c>
      <c r="I460" t="n">
        <v>0</v>
      </c>
      <c r="J460" t="n">
        <v>0</v>
      </c>
      <c r="K460" t="n">
        <v>0</v>
      </c>
      <c r="L460" t="n">
        <v>0</v>
      </c>
      <c r="M460" t="n">
        <v>0</v>
      </c>
      <c r="N460" t="n">
        <v>0</v>
      </c>
      <c r="O460" t="n">
        <v>0</v>
      </c>
      <c r="P460" t="n">
        <v>0</v>
      </c>
      <c r="Q460" t="n">
        <v>0</v>
      </c>
      <c r="R460" s="2" t="inlineStr"/>
    </row>
    <row r="461" ht="15" customHeight="1">
      <c r="A461" t="inlineStr">
        <is>
          <t>A 28182-2022</t>
        </is>
      </c>
      <c r="B461" s="1" t="n">
        <v>44746.58530092592</v>
      </c>
      <c r="C461" s="1" t="n">
        <v>46094</v>
      </c>
      <c r="D461" t="inlineStr">
        <is>
          <t>STOCKHOLMS LÄN</t>
        </is>
      </c>
      <c r="E461" t="inlineStr">
        <is>
          <t>NORRTÄLJE</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34461-2023</t>
        </is>
      </c>
      <c r="B462" s="1" t="n">
        <v>45139</v>
      </c>
      <c r="C462" s="1" t="n">
        <v>46094</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21726-2022</t>
        </is>
      </c>
      <c r="B463" s="1" t="n">
        <v>44708</v>
      </c>
      <c r="C463" s="1" t="n">
        <v>46094</v>
      </c>
      <c r="D463" t="inlineStr">
        <is>
          <t>STOCKHOLMS LÄN</t>
        </is>
      </c>
      <c r="E463" t="inlineStr">
        <is>
          <t>NORRTÄLJE</t>
        </is>
      </c>
      <c r="G463" t="n">
        <v>0.2</v>
      </c>
      <c r="H463" t="n">
        <v>0</v>
      </c>
      <c r="I463" t="n">
        <v>0</v>
      </c>
      <c r="J463" t="n">
        <v>0</v>
      </c>
      <c r="K463" t="n">
        <v>0</v>
      </c>
      <c r="L463" t="n">
        <v>0</v>
      </c>
      <c r="M463" t="n">
        <v>0</v>
      </c>
      <c r="N463" t="n">
        <v>0</v>
      </c>
      <c r="O463" t="n">
        <v>0</v>
      </c>
      <c r="P463" t="n">
        <v>0</v>
      </c>
      <c r="Q463" t="n">
        <v>0</v>
      </c>
      <c r="R463" s="2" t="inlineStr"/>
    </row>
    <row r="464" ht="15" customHeight="1">
      <c r="A464" t="inlineStr">
        <is>
          <t>A 21739-2022</t>
        </is>
      </c>
      <c r="B464" s="1" t="n">
        <v>44708.36708333333</v>
      </c>
      <c r="C464" s="1" t="n">
        <v>46094</v>
      </c>
      <c r="D464" t="inlineStr">
        <is>
          <t>STOCKHOLMS LÄN</t>
        </is>
      </c>
      <c r="E464" t="inlineStr">
        <is>
          <t>NORRTÄLJE</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12301-2025</t>
        </is>
      </c>
      <c r="B465" s="1" t="n">
        <v>45729.7271875</v>
      </c>
      <c r="C465" s="1" t="n">
        <v>46094</v>
      </c>
      <c r="D465" t="inlineStr">
        <is>
          <t>STOCKHOLMS LÄN</t>
        </is>
      </c>
      <c r="E465" t="inlineStr">
        <is>
          <t>NORRTÄLJE</t>
        </is>
      </c>
      <c r="G465" t="n">
        <v>3.2</v>
      </c>
      <c r="H465" t="n">
        <v>0</v>
      </c>
      <c r="I465" t="n">
        <v>0</v>
      </c>
      <c r="J465" t="n">
        <v>0</v>
      </c>
      <c r="K465" t="n">
        <v>0</v>
      </c>
      <c r="L465" t="n">
        <v>0</v>
      </c>
      <c r="M465" t="n">
        <v>0</v>
      </c>
      <c r="N465" t="n">
        <v>0</v>
      </c>
      <c r="O465" t="n">
        <v>0</v>
      </c>
      <c r="P465" t="n">
        <v>0</v>
      </c>
      <c r="Q465" t="n">
        <v>0</v>
      </c>
      <c r="R465" s="2" t="inlineStr"/>
    </row>
    <row r="466" ht="15" customHeight="1">
      <c r="A466" t="inlineStr">
        <is>
          <t>A 35210-2023</t>
        </is>
      </c>
      <c r="B466" s="1" t="n">
        <v>45145.63584490741</v>
      </c>
      <c r="C466" s="1" t="n">
        <v>46094</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24351-2025</t>
        </is>
      </c>
      <c r="B467" s="1" t="n">
        <v>45797.58399305555</v>
      </c>
      <c r="C467" s="1" t="n">
        <v>46094</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59767-2022</t>
        </is>
      </c>
      <c r="B468" s="1" t="n">
        <v>44900</v>
      </c>
      <c r="C468" s="1" t="n">
        <v>46094</v>
      </c>
      <c r="D468" t="inlineStr">
        <is>
          <t>STOCKHOLMS LÄN</t>
        </is>
      </c>
      <c r="E468" t="inlineStr">
        <is>
          <t>NORRTÄLJE</t>
        </is>
      </c>
      <c r="G468" t="n">
        <v>2.2</v>
      </c>
      <c r="H468" t="n">
        <v>0</v>
      </c>
      <c r="I468" t="n">
        <v>0</v>
      </c>
      <c r="J468" t="n">
        <v>0</v>
      </c>
      <c r="K468" t="n">
        <v>0</v>
      </c>
      <c r="L468" t="n">
        <v>0</v>
      </c>
      <c r="M468" t="n">
        <v>0</v>
      </c>
      <c r="N468" t="n">
        <v>0</v>
      </c>
      <c r="O468" t="n">
        <v>0</v>
      </c>
      <c r="P468" t="n">
        <v>0</v>
      </c>
      <c r="Q468" t="n">
        <v>0</v>
      </c>
      <c r="R468" s="2" t="inlineStr"/>
    </row>
    <row r="469" ht="15" customHeight="1">
      <c r="A469" t="inlineStr">
        <is>
          <t>A 51046-2023</t>
        </is>
      </c>
      <c r="B469" s="1" t="n">
        <v>45218</v>
      </c>
      <c r="C469" s="1" t="n">
        <v>46094</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13283-2025</t>
        </is>
      </c>
      <c r="B470" s="1" t="n">
        <v>45735</v>
      </c>
      <c r="C470" s="1" t="n">
        <v>46094</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5823-2023</t>
        </is>
      </c>
      <c r="B471" s="1" t="n">
        <v>44963</v>
      </c>
      <c r="C471" s="1" t="n">
        <v>46094</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19915-2024</t>
        </is>
      </c>
      <c r="B472" s="1" t="n">
        <v>45433.58431712963</v>
      </c>
      <c r="C472" s="1" t="n">
        <v>46094</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15217-2023</t>
        </is>
      </c>
      <c r="B473" s="1" t="n">
        <v>45019.28847222222</v>
      </c>
      <c r="C473" s="1" t="n">
        <v>46094</v>
      </c>
      <c r="D473" t="inlineStr">
        <is>
          <t>STOCKHOLMS LÄN</t>
        </is>
      </c>
      <c r="E473" t="inlineStr">
        <is>
          <t>NORRTÄLJE</t>
        </is>
      </c>
      <c r="G473" t="n">
        <v>3.6</v>
      </c>
      <c r="H473" t="n">
        <v>0</v>
      </c>
      <c r="I473" t="n">
        <v>0</v>
      </c>
      <c r="J473" t="n">
        <v>0</v>
      </c>
      <c r="K473" t="n">
        <v>0</v>
      </c>
      <c r="L473" t="n">
        <v>0</v>
      </c>
      <c r="M473" t="n">
        <v>0</v>
      </c>
      <c r="N473" t="n">
        <v>0</v>
      </c>
      <c r="O473" t="n">
        <v>0</v>
      </c>
      <c r="P473" t="n">
        <v>0</v>
      </c>
      <c r="Q473" t="n">
        <v>0</v>
      </c>
      <c r="R473" s="2" t="inlineStr"/>
    </row>
    <row r="474" ht="15" customHeight="1">
      <c r="A474" t="inlineStr">
        <is>
          <t>A 65499-2021</t>
        </is>
      </c>
      <c r="B474" s="1" t="n">
        <v>44516</v>
      </c>
      <c r="C474" s="1" t="n">
        <v>46094</v>
      </c>
      <c r="D474" t="inlineStr">
        <is>
          <t>STOCKHOLMS LÄN</t>
        </is>
      </c>
      <c r="E474" t="inlineStr">
        <is>
          <t>NORRTÄLJE</t>
        </is>
      </c>
      <c r="F474" t="inlineStr">
        <is>
          <t>Kommuner</t>
        </is>
      </c>
      <c r="G474" t="n">
        <v>5.2</v>
      </c>
      <c r="H474" t="n">
        <v>0</v>
      </c>
      <c r="I474" t="n">
        <v>0</v>
      </c>
      <c r="J474" t="n">
        <v>0</v>
      </c>
      <c r="K474" t="n">
        <v>0</v>
      </c>
      <c r="L474" t="n">
        <v>0</v>
      </c>
      <c r="M474" t="n">
        <v>0</v>
      </c>
      <c r="N474" t="n">
        <v>0</v>
      </c>
      <c r="O474" t="n">
        <v>0</v>
      </c>
      <c r="P474" t="n">
        <v>0</v>
      </c>
      <c r="Q474" t="n">
        <v>0</v>
      </c>
      <c r="R474" s="2" t="inlineStr"/>
    </row>
    <row r="475" ht="15" customHeight="1">
      <c r="A475" t="inlineStr">
        <is>
          <t>A 24687-2025</t>
        </is>
      </c>
      <c r="B475" s="1" t="n">
        <v>45798.66767361111</v>
      </c>
      <c r="C475" s="1" t="n">
        <v>46094</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50143-2023</t>
        </is>
      </c>
      <c r="B476" s="1" t="n">
        <v>45215</v>
      </c>
      <c r="C476" s="1" t="n">
        <v>46094</v>
      </c>
      <c r="D476" t="inlineStr">
        <is>
          <t>STOCKHOLMS LÄN</t>
        </is>
      </c>
      <c r="E476" t="inlineStr">
        <is>
          <t>NORRTÄLJE</t>
        </is>
      </c>
      <c r="G476" t="n">
        <v>10.3</v>
      </c>
      <c r="H476" t="n">
        <v>0</v>
      </c>
      <c r="I476" t="n">
        <v>0</v>
      </c>
      <c r="J476" t="n">
        <v>0</v>
      </c>
      <c r="K476" t="n">
        <v>0</v>
      </c>
      <c r="L476" t="n">
        <v>0</v>
      </c>
      <c r="M476" t="n">
        <v>0</v>
      </c>
      <c r="N476" t="n">
        <v>0</v>
      </c>
      <c r="O476" t="n">
        <v>0</v>
      </c>
      <c r="P476" t="n">
        <v>0</v>
      </c>
      <c r="Q476" t="n">
        <v>0</v>
      </c>
      <c r="R476" s="2" t="inlineStr"/>
    </row>
    <row r="477" ht="15" customHeight="1">
      <c r="A477" t="inlineStr">
        <is>
          <t>A 29176-2024</t>
        </is>
      </c>
      <c r="B477" s="1" t="n">
        <v>45482.53388888889</v>
      </c>
      <c r="C477" s="1" t="n">
        <v>46094</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36430-2024</t>
        </is>
      </c>
      <c r="B478" s="1" t="n">
        <v>45536</v>
      </c>
      <c r="C478" s="1" t="n">
        <v>46094</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17382-2024</t>
        </is>
      </c>
      <c r="B479" s="1" t="n">
        <v>45414.65855324074</v>
      </c>
      <c r="C479" s="1" t="n">
        <v>46094</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6070-2022</t>
        </is>
      </c>
      <c r="B480" s="1" t="n">
        <v>44599.58428240741</v>
      </c>
      <c r="C480" s="1" t="n">
        <v>46094</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17039-2024</t>
        </is>
      </c>
      <c r="B481" s="1" t="n">
        <v>45412.4104050926</v>
      </c>
      <c r="C481" s="1" t="n">
        <v>46094</v>
      </c>
      <c r="D481" t="inlineStr">
        <is>
          <t>STOCKHOLMS LÄN</t>
        </is>
      </c>
      <c r="E481" t="inlineStr">
        <is>
          <t>NORRTÄLJE</t>
        </is>
      </c>
      <c r="G481" t="n">
        <v>5.9</v>
      </c>
      <c r="H481" t="n">
        <v>0</v>
      </c>
      <c r="I481" t="n">
        <v>0</v>
      </c>
      <c r="J481" t="n">
        <v>0</v>
      </c>
      <c r="K481" t="n">
        <v>0</v>
      </c>
      <c r="L481" t="n">
        <v>0</v>
      </c>
      <c r="M481" t="n">
        <v>0</v>
      </c>
      <c r="N481" t="n">
        <v>0</v>
      </c>
      <c r="O481" t="n">
        <v>0</v>
      </c>
      <c r="P481" t="n">
        <v>0</v>
      </c>
      <c r="Q481" t="n">
        <v>0</v>
      </c>
      <c r="R481" s="2" t="inlineStr"/>
    </row>
    <row r="482" ht="15" customHeight="1">
      <c r="A482" t="inlineStr">
        <is>
          <t>A 51312-2023</t>
        </is>
      </c>
      <c r="B482" s="1" t="n">
        <v>45219.56697916667</v>
      </c>
      <c r="C482" s="1" t="n">
        <v>46094</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35640-2024</t>
        </is>
      </c>
      <c r="B483" s="1" t="n">
        <v>45531</v>
      </c>
      <c r="C483" s="1" t="n">
        <v>46094</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48180-2023</t>
        </is>
      </c>
      <c r="B484" s="1" t="n">
        <v>45205</v>
      </c>
      <c r="C484" s="1" t="n">
        <v>46094</v>
      </c>
      <c r="D484" t="inlineStr">
        <is>
          <t>STOCKHOLMS LÄN</t>
        </is>
      </c>
      <c r="E484" t="inlineStr">
        <is>
          <t>NORRTÄLJE</t>
        </is>
      </c>
      <c r="G484" t="n">
        <v>1.5</v>
      </c>
      <c r="H484" t="n">
        <v>0</v>
      </c>
      <c r="I484" t="n">
        <v>0</v>
      </c>
      <c r="J484" t="n">
        <v>0</v>
      </c>
      <c r="K484" t="n">
        <v>0</v>
      </c>
      <c r="L484" t="n">
        <v>0</v>
      </c>
      <c r="M484" t="n">
        <v>0</v>
      </c>
      <c r="N484" t="n">
        <v>0</v>
      </c>
      <c r="O484" t="n">
        <v>0</v>
      </c>
      <c r="P484" t="n">
        <v>0</v>
      </c>
      <c r="Q484" t="n">
        <v>0</v>
      </c>
      <c r="R484" s="2" t="inlineStr"/>
    </row>
    <row r="485" ht="15" customHeight="1">
      <c r="A485" t="inlineStr">
        <is>
          <t>A 35695-2023</t>
        </is>
      </c>
      <c r="B485" s="1" t="n">
        <v>45147.65407407407</v>
      </c>
      <c r="C485" s="1" t="n">
        <v>46094</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45173-2023</t>
        </is>
      </c>
      <c r="B486" s="1" t="n">
        <v>45191</v>
      </c>
      <c r="C486" s="1" t="n">
        <v>46094</v>
      </c>
      <c r="D486" t="inlineStr">
        <is>
          <t>STOCKHOLMS LÄN</t>
        </is>
      </c>
      <c r="E486" t="inlineStr">
        <is>
          <t>NORRTÄLJE</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24638-2025</t>
        </is>
      </c>
      <c r="B487" s="1" t="n">
        <v>45798</v>
      </c>
      <c r="C487" s="1" t="n">
        <v>46094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43212-2022</t>
        </is>
      </c>
      <c r="B488" s="1" t="n">
        <v>44834.38636574074</v>
      </c>
      <c r="C488" s="1" t="n">
        <v>46094</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51653-2022</t>
        </is>
      </c>
      <c r="B489" s="1" t="n">
        <v>44867</v>
      </c>
      <c r="C489" s="1" t="n">
        <v>46094</v>
      </c>
      <c r="D489" t="inlineStr">
        <is>
          <t>STOCKHOLMS LÄN</t>
        </is>
      </c>
      <c r="E489" t="inlineStr">
        <is>
          <t>NORRTÄLJE</t>
        </is>
      </c>
      <c r="G489" t="n">
        <v>6.6</v>
      </c>
      <c r="H489" t="n">
        <v>0</v>
      </c>
      <c r="I489" t="n">
        <v>0</v>
      </c>
      <c r="J489" t="n">
        <v>0</v>
      </c>
      <c r="K489" t="n">
        <v>0</v>
      </c>
      <c r="L489" t="n">
        <v>0</v>
      </c>
      <c r="M489" t="n">
        <v>0</v>
      </c>
      <c r="N489" t="n">
        <v>0</v>
      </c>
      <c r="O489" t="n">
        <v>0</v>
      </c>
      <c r="P489" t="n">
        <v>0</v>
      </c>
      <c r="Q489" t="n">
        <v>0</v>
      </c>
      <c r="R489" s="2" t="inlineStr"/>
    </row>
    <row r="490" ht="15" customHeight="1">
      <c r="A490" t="inlineStr">
        <is>
          <t>A 4322-2023</t>
        </is>
      </c>
      <c r="B490" s="1" t="n">
        <v>44953.69298611111</v>
      </c>
      <c r="C490" s="1" t="n">
        <v>46094</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28603-2024</t>
        </is>
      </c>
      <c r="B491" s="1" t="n">
        <v>45478.42887731481</v>
      </c>
      <c r="C491" s="1" t="n">
        <v>46094</v>
      </c>
      <c r="D491" t="inlineStr">
        <is>
          <t>STOCKHOLMS LÄN</t>
        </is>
      </c>
      <c r="E491" t="inlineStr">
        <is>
          <t>NORRTÄLJE</t>
        </is>
      </c>
      <c r="G491" t="n">
        <v>5.6</v>
      </c>
      <c r="H491" t="n">
        <v>0</v>
      </c>
      <c r="I491" t="n">
        <v>0</v>
      </c>
      <c r="J491" t="n">
        <v>0</v>
      </c>
      <c r="K491" t="n">
        <v>0</v>
      </c>
      <c r="L491" t="n">
        <v>0</v>
      </c>
      <c r="M491" t="n">
        <v>0</v>
      </c>
      <c r="N491" t="n">
        <v>0</v>
      </c>
      <c r="O491" t="n">
        <v>0</v>
      </c>
      <c r="P491" t="n">
        <v>0</v>
      </c>
      <c r="Q491" t="n">
        <v>0</v>
      </c>
      <c r="R491" s="2" t="inlineStr"/>
    </row>
    <row r="492" ht="15" customHeight="1">
      <c r="A492" t="inlineStr">
        <is>
          <t>A 24705-2023</t>
        </is>
      </c>
      <c r="B492" s="1" t="n">
        <v>45084.54459490741</v>
      </c>
      <c r="C492" s="1" t="n">
        <v>46094</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21696-2024</t>
        </is>
      </c>
      <c r="B493" s="1" t="n">
        <v>45442.45686342593</v>
      </c>
      <c r="C493" s="1" t="n">
        <v>46094</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38990-2022</t>
        </is>
      </c>
      <c r="B494" s="1" t="n">
        <v>44816</v>
      </c>
      <c r="C494" s="1" t="n">
        <v>46094</v>
      </c>
      <c r="D494" t="inlineStr">
        <is>
          <t>STOCKHOLMS LÄN</t>
        </is>
      </c>
      <c r="E494" t="inlineStr">
        <is>
          <t>NORRTÄLJE</t>
        </is>
      </c>
      <c r="G494" t="n">
        <v>5.7</v>
      </c>
      <c r="H494" t="n">
        <v>0</v>
      </c>
      <c r="I494" t="n">
        <v>0</v>
      </c>
      <c r="J494" t="n">
        <v>0</v>
      </c>
      <c r="K494" t="n">
        <v>0</v>
      </c>
      <c r="L494" t="n">
        <v>0</v>
      </c>
      <c r="M494" t="n">
        <v>0</v>
      </c>
      <c r="N494" t="n">
        <v>0</v>
      </c>
      <c r="O494" t="n">
        <v>0</v>
      </c>
      <c r="P494" t="n">
        <v>0</v>
      </c>
      <c r="Q494" t="n">
        <v>0</v>
      </c>
      <c r="R494" s="2" t="inlineStr"/>
    </row>
    <row r="495" ht="15" customHeight="1">
      <c r="A495" t="inlineStr">
        <is>
          <t>A 17956-2025</t>
        </is>
      </c>
      <c r="B495" s="1" t="n">
        <v>45760.91174768518</v>
      </c>
      <c r="C495" s="1" t="n">
        <v>46094</v>
      </c>
      <c r="D495" t="inlineStr">
        <is>
          <t>STOCKHOLMS LÄN</t>
        </is>
      </c>
      <c r="E495" t="inlineStr">
        <is>
          <t>NORRTÄLJE</t>
        </is>
      </c>
      <c r="G495" t="n">
        <v>4.3</v>
      </c>
      <c r="H495" t="n">
        <v>0</v>
      </c>
      <c r="I495" t="n">
        <v>0</v>
      </c>
      <c r="J495" t="n">
        <v>0</v>
      </c>
      <c r="K495" t="n">
        <v>0</v>
      </c>
      <c r="L495" t="n">
        <v>0</v>
      </c>
      <c r="M495" t="n">
        <v>0</v>
      </c>
      <c r="N495" t="n">
        <v>0</v>
      </c>
      <c r="O495" t="n">
        <v>0</v>
      </c>
      <c r="P495" t="n">
        <v>0</v>
      </c>
      <c r="Q495" t="n">
        <v>0</v>
      </c>
      <c r="R495" s="2" t="inlineStr"/>
    </row>
    <row r="496" ht="15" customHeight="1">
      <c r="A496" t="inlineStr">
        <is>
          <t>A 875-2023</t>
        </is>
      </c>
      <c r="B496" s="1" t="n">
        <v>44931.65626157408</v>
      </c>
      <c r="C496" s="1" t="n">
        <v>46094</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31236-2022</t>
        </is>
      </c>
      <c r="B497" s="1" t="n">
        <v>44771</v>
      </c>
      <c r="C497" s="1" t="n">
        <v>46094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8315-2025</t>
        </is>
      </c>
      <c r="B498" s="1" t="n">
        <v>45708.61761574074</v>
      </c>
      <c r="C498" s="1" t="n">
        <v>46094</v>
      </c>
      <c r="D498" t="inlineStr">
        <is>
          <t>STOCKHOLMS LÄN</t>
        </is>
      </c>
      <c r="E498" t="inlineStr">
        <is>
          <t>NORRTÄLJE</t>
        </is>
      </c>
      <c r="G498" t="n">
        <v>3.9</v>
      </c>
      <c r="H498" t="n">
        <v>0</v>
      </c>
      <c r="I498" t="n">
        <v>0</v>
      </c>
      <c r="J498" t="n">
        <v>0</v>
      </c>
      <c r="K498" t="n">
        <v>0</v>
      </c>
      <c r="L498" t="n">
        <v>0</v>
      </c>
      <c r="M498" t="n">
        <v>0</v>
      </c>
      <c r="N498" t="n">
        <v>0</v>
      </c>
      <c r="O498" t="n">
        <v>0</v>
      </c>
      <c r="P498" t="n">
        <v>0</v>
      </c>
      <c r="Q498" t="n">
        <v>0</v>
      </c>
      <c r="R498" s="2" t="inlineStr"/>
    </row>
    <row r="499" ht="15" customHeight="1">
      <c r="A499" t="inlineStr">
        <is>
          <t>A 31281-2022</t>
        </is>
      </c>
      <c r="B499" s="1" t="n">
        <v>44771</v>
      </c>
      <c r="C499" s="1" t="n">
        <v>46094</v>
      </c>
      <c r="D499" t="inlineStr">
        <is>
          <t>STOCKHOLMS LÄN</t>
        </is>
      </c>
      <c r="E499" t="inlineStr">
        <is>
          <t>NORRTÄLJE</t>
        </is>
      </c>
      <c r="F499" t="inlineStr">
        <is>
          <t>Holmen skog AB</t>
        </is>
      </c>
      <c r="G499" t="n">
        <v>5.2</v>
      </c>
      <c r="H499" t="n">
        <v>0</v>
      </c>
      <c r="I499" t="n">
        <v>0</v>
      </c>
      <c r="J499" t="n">
        <v>0</v>
      </c>
      <c r="K499" t="n">
        <v>0</v>
      </c>
      <c r="L499" t="n">
        <v>0</v>
      </c>
      <c r="M499" t="n">
        <v>0</v>
      </c>
      <c r="N499" t="n">
        <v>0</v>
      </c>
      <c r="O499" t="n">
        <v>0</v>
      </c>
      <c r="P499" t="n">
        <v>0</v>
      </c>
      <c r="Q499" t="n">
        <v>0</v>
      </c>
      <c r="R499" s="2" t="inlineStr"/>
    </row>
    <row r="500" ht="15" customHeight="1">
      <c r="A500" t="inlineStr">
        <is>
          <t>A 67990-2021</t>
        </is>
      </c>
      <c r="B500" s="1" t="n">
        <v>44525</v>
      </c>
      <c r="C500" s="1" t="n">
        <v>46094</v>
      </c>
      <c r="D500" t="inlineStr">
        <is>
          <t>STOCKHOLMS LÄN</t>
        </is>
      </c>
      <c r="E500" t="inlineStr">
        <is>
          <t>NORRTÄLJE</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24690-2025</t>
        </is>
      </c>
      <c r="B501" s="1" t="n">
        <v>45798.67082175926</v>
      </c>
      <c r="C501" s="1" t="n">
        <v>46094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71552-2021</t>
        </is>
      </c>
      <c r="B502" s="1" t="n">
        <v>44540</v>
      </c>
      <c r="C502" s="1" t="n">
        <v>46094</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38720-2025</t>
        </is>
      </c>
      <c r="B503" s="1" t="n">
        <v>45886</v>
      </c>
      <c r="C503" s="1" t="n">
        <v>46094</v>
      </c>
      <c r="D503" t="inlineStr">
        <is>
          <t>STOCKHOLMS LÄN</t>
        </is>
      </c>
      <c r="E503" t="inlineStr">
        <is>
          <t>NORRTÄLJE</t>
        </is>
      </c>
      <c r="G503" t="n">
        <v>1.6</v>
      </c>
      <c r="H503" t="n">
        <v>0</v>
      </c>
      <c r="I503" t="n">
        <v>0</v>
      </c>
      <c r="J503" t="n">
        <v>0</v>
      </c>
      <c r="K503" t="n">
        <v>0</v>
      </c>
      <c r="L503" t="n">
        <v>0</v>
      </c>
      <c r="M503" t="n">
        <v>0</v>
      </c>
      <c r="N503" t="n">
        <v>0</v>
      </c>
      <c r="O503" t="n">
        <v>0</v>
      </c>
      <c r="P503" t="n">
        <v>0</v>
      </c>
      <c r="Q503" t="n">
        <v>0</v>
      </c>
      <c r="R503" s="2" t="inlineStr"/>
    </row>
    <row r="504" ht="15" customHeight="1">
      <c r="A504" t="inlineStr">
        <is>
          <t>A 73992-2021</t>
        </is>
      </c>
      <c r="B504" s="1" t="n">
        <v>44556</v>
      </c>
      <c r="C504" s="1" t="n">
        <v>46094</v>
      </c>
      <c r="D504" t="inlineStr">
        <is>
          <t>STOCKHOLMS LÄN</t>
        </is>
      </c>
      <c r="E504" t="inlineStr">
        <is>
          <t>NORRTÄLJE</t>
        </is>
      </c>
      <c r="G504" t="n">
        <v>12.5</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46094</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25702-2025</t>
        </is>
      </c>
      <c r="B506" s="1" t="n">
        <v>45800</v>
      </c>
      <c r="C506" s="1" t="n">
        <v>46094</v>
      </c>
      <c r="D506" t="inlineStr">
        <is>
          <t>STOCKHOLMS LÄN</t>
        </is>
      </c>
      <c r="E506" t="inlineStr">
        <is>
          <t>NORRTÄLJE</t>
        </is>
      </c>
      <c r="G506" t="n">
        <v>5.3</v>
      </c>
      <c r="H506" t="n">
        <v>0</v>
      </c>
      <c r="I506" t="n">
        <v>0</v>
      </c>
      <c r="J506" t="n">
        <v>0</v>
      </c>
      <c r="K506" t="n">
        <v>0</v>
      </c>
      <c r="L506" t="n">
        <v>0</v>
      </c>
      <c r="M506" t="n">
        <v>0</v>
      </c>
      <c r="N506" t="n">
        <v>0</v>
      </c>
      <c r="O506" t="n">
        <v>0</v>
      </c>
      <c r="P506" t="n">
        <v>0</v>
      </c>
      <c r="Q506" t="n">
        <v>0</v>
      </c>
      <c r="R506" s="2" t="inlineStr"/>
    </row>
    <row r="507" ht="15" customHeight="1">
      <c r="A507" t="inlineStr">
        <is>
          <t>A 25712-2025</t>
        </is>
      </c>
      <c r="B507" s="1" t="n">
        <v>45803.69228009259</v>
      </c>
      <c r="C507" s="1" t="n">
        <v>46094</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26113-2024</t>
        </is>
      </c>
      <c r="B508" s="1" t="n">
        <v>45468.45541666666</v>
      </c>
      <c r="C508" s="1" t="n">
        <v>46094</v>
      </c>
      <c r="D508" t="inlineStr">
        <is>
          <t>STOCKHOLMS LÄN</t>
        </is>
      </c>
      <c r="E508" t="inlineStr">
        <is>
          <t>NORRTÄLJE</t>
        </is>
      </c>
      <c r="G508" t="n">
        <v>0.4</v>
      </c>
      <c r="H508" t="n">
        <v>0</v>
      </c>
      <c r="I508" t="n">
        <v>0</v>
      </c>
      <c r="J508" t="n">
        <v>0</v>
      </c>
      <c r="K508" t="n">
        <v>0</v>
      </c>
      <c r="L508" t="n">
        <v>0</v>
      </c>
      <c r="M508" t="n">
        <v>0</v>
      </c>
      <c r="N508" t="n">
        <v>0</v>
      </c>
      <c r="O508" t="n">
        <v>0</v>
      </c>
      <c r="P508" t="n">
        <v>0</v>
      </c>
      <c r="Q508" t="n">
        <v>0</v>
      </c>
      <c r="R508" s="2" t="inlineStr"/>
    </row>
    <row r="509" ht="15" customHeight="1">
      <c r="A509" t="inlineStr">
        <is>
          <t>A 26116-2024</t>
        </is>
      </c>
      <c r="B509" s="1" t="n">
        <v>45468.45747685185</v>
      </c>
      <c r="C509" s="1" t="n">
        <v>46094</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18665-2022</t>
        </is>
      </c>
      <c r="B510" s="1" t="n">
        <v>44687</v>
      </c>
      <c r="C510" s="1" t="n">
        <v>46094</v>
      </c>
      <c r="D510" t="inlineStr">
        <is>
          <t>STOCKHOLMS LÄN</t>
        </is>
      </c>
      <c r="E510" t="inlineStr">
        <is>
          <t>NORRTÄLJE</t>
        </is>
      </c>
      <c r="F510" t="inlineStr">
        <is>
          <t>Kyrkan</t>
        </is>
      </c>
      <c r="G510" t="n">
        <v>1.1</v>
      </c>
      <c r="H510" t="n">
        <v>0</v>
      </c>
      <c r="I510" t="n">
        <v>0</v>
      </c>
      <c r="J510" t="n">
        <v>0</v>
      </c>
      <c r="K510" t="n">
        <v>0</v>
      </c>
      <c r="L510" t="n">
        <v>0</v>
      </c>
      <c r="M510" t="n">
        <v>0</v>
      </c>
      <c r="N510" t="n">
        <v>0</v>
      </c>
      <c r="O510" t="n">
        <v>0</v>
      </c>
      <c r="P510" t="n">
        <v>0</v>
      </c>
      <c r="Q510" t="n">
        <v>0</v>
      </c>
      <c r="R510" s="2" t="inlineStr"/>
    </row>
    <row r="511" ht="15" customHeight="1">
      <c r="A511" t="inlineStr">
        <is>
          <t>A 15978-2024</t>
        </is>
      </c>
      <c r="B511" s="1" t="n">
        <v>45405.57927083333</v>
      </c>
      <c r="C511" s="1" t="n">
        <v>46094</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25733-2025</t>
        </is>
      </c>
      <c r="B512" s="1" t="n">
        <v>45800</v>
      </c>
      <c r="C512" s="1" t="n">
        <v>46094</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39238-2024</t>
        </is>
      </c>
      <c r="B513" s="1" t="n">
        <v>45549</v>
      </c>
      <c r="C513" s="1" t="n">
        <v>46094</v>
      </c>
      <c r="D513" t="inlineStr">
        <is>
          <t>STOCKHOLMS LÄN</t>
        </is>
      </c>
      <c r="E513" t="inlineStr">
        <is>
          <t>NORRTÄLJE</t>
        </is>
      </c>
      <c r="G513" t="n">
        <v>3.6</v>
      </c>
      <c r="H513" t="n">
        <v>0</v>
      </c>
      <c r="I513" t="n">
        <v>0</v>
      </c>
      <c r="J513" t="n">
        <v>0</v>
      </c>
      <c r="K513" t="n">
        <v>0</v>
      </c>
      <c r="L513" t="n">
        <v>0</v>
      </c>
      <c r="M513" t="n">
        <v>0</v>
      </c>
      <c r="N513" t="n">
        <v>0</v>
      </c>
      <c r="O513" t="n">
        <v>0</v>
      </c>
      <c r="P513" t="n">
        <v>0</v>
      </c>
      <c r="Q513" t="n">
        <v>0</v>
      </c>
      <c r="R513" s="2" t="inlineStr"/>
    </row>
    <row r="514" ht="15" customHeight="1">
      <c r="A514" t="inlineStr">
        <is>
          <t>A 11333-2025</t>
        </is>
      </c>
      <c r="B514" s="1" t="n">
        <v>45726.48377314815</v>
      </c>
      <c r="C514" s="1" t="n">
        <v>46094</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25571-2025</t>
        </is>
      </c>
      <c r="B515" s="1" t="n">
        <v>45803.4675</v>
      </c>
      <c r="C515" s="1" t="n">
        <v>46094</v>
      </c>
      <c r="D515" t="inlineStr">
        <is>
          <t>STOCKHOLMS LÄN</t>
        </is>
      </c>
      <c r="E515" t="inlineStr">
        <is>
          <t>NORRTÄLJE</t>
        </is>
      </c>
      <c r="G515" t="n">
        <v>5.4</v>
      </c>
      <c r="H515" t="n">
        <v>0</v>
      </c>
      <c r="I515" t="n">
        <v>0</v>
      </c>
      <c r="J515" t="n">
        <v>0</v>
      </c>
      <c r="K515" t="n">
        <v>0</v>
      </c>
      <c r="L515" t="n">
        <v>0</v>
      </c>
      <c r="M515" t="n">
        <v>0</v>
      </c>
      <c r="N515" t="n">
        <v>0</v>
      </c>
      <c r="O515" t="n">
        <v>0</v>
      </c>
      <c r="P515" t="n">
        <v>0</v>
      </c>
      <c r="Q515" t="n">
        <v>0</v>
      </c>
      <c r="R515" s="2" t="inlineStr"/>
    </row>
    <row r="516" ht="15" customHeight="1">
      <c r="A516" t="inlineStr">
        <is>
          <t>A 25721-2025</t>
        </is>
      </c>
      <c r="B516" s="1" t="n">
        <v>45800</v>
      </c>
      <c r="C516" s="1" t="n">
        <v>46094</v>
      </c>
      <c r="D516" t="inlineStr">
        <is>
          <t>STOCKHOLMS LÄN</t>
        </is>
      </c>
      <c r="E516" t="inlineStr">
        <is>
          <t>NORRTÄLJE</t>
        </is>
      </c>
      <c r="G516" t="n">
        <v>6</v>
      </c>
      <c r="H516" t="n">
        <v>0</v>
      </c>
      <c r="I516" t="n">
        <v>0</v>
      </c>
      <c r="J516" t="n">
        <v>0</v>
      </c>
      <c r="K516" t="n">
        <v>0</v>
      </c>
      <c r="L516" t="n">
        <v>0</v>
      </c>
      <c r="M516" t="n">
        <v>0</v>
      </c>
      <c r="N516" t="n">
        <v>0</v>
      </c>
      <c r="O516" t="n">
        <v>0</v>
      </c>
      <c r="P516" t="n">
        <v>0</v>
      </c>
      <c r="Q516" t="n">
        <v>0</v>
      </c>
      <c r="R516" s="2" t="inlineStr"/>
    </row>
    <row r="517" ht="15" customHeight="1">
      <c r="A517" t="inlineStr">
        <is>
          <t>A 25697-2025</t>
        </is>
      </c>
      <c r="B517" s="1" t="n">
        <v>45803.66587962963</v>
      </c>
      <c r="C517" s="1" t="n">
        <v>46094</v>
      </c>
      <c r="D517" t="inlineStr">
        <is>
          <t>STOCKHOLMS LÄN</t>
        </is>
      </c>
      <c r="E517" t="inlineStr">
        <is>
          <t>NORRTÄLJE</t>
        </is>
      </c>
      <c r="G517" t="n">
        <v>2.5</v>
      </c>
      <c r="H517" t="n">
        <v>0</v>
      </c>
      <c r="I517" t="n">
        <v>0</v>
      </c>
      <c r="J517" t="n">
        <v>0</v>
      </c>
      <c r="K517" t="n">
        <v>0</v>
      </c>
      <c r="L517" t="n">
        <v>0</v>
      </c>
      <c r="M517" t="n">
        <v>0</v>
      </c>
      <c r="N517" t="n">
        <v>0</v>
      </c>
      <c r="O517" t="n">
        <v>0</v>
      </c>
      <c r="P517" t="n">
        <v>0</v>
      </c>
      <c r="Q517" t="n">
        <v>0</v>
      </c>
      <c r="R517" s="2" t="inlineStr"/>
    </row>
    <row r="518" ht="15" customHeight="1">
      <c r="A518" t="inlineStr">
        <is>
          <t>A 41218-2024</t>
        </is>
      </c>
      <c r="B518" s="1" t="n">
        <v>45559.54706018518</v>
      </c>
      <c r="C518" s="1" t="n">
        <v>46094</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58302-2022</t>
        </is>
      </c>
      <c r="B519" s="1" t="n">
        <v>44901</v>
      </c>
      <c r="C519" s="1" t="n">
        <v>46094</v>
      </c>
      <c r="D519" t="inlineStr">
        <is>
          <t>STOCKHOLMS LÄN</t>
        </is>
      </c>
      <c r="E519" t="inlineStr">
        <is>
          <t>NORRTÄLJE</t>
        </is>
      </c>
      <c r="G519" t="n">
        <v>3.9</v>
      </c>
      <c r="H519" t="n">
        <v>0</v>
      </c>
      <c r="I519" t="n">
        <v>0</v>
      </c>
      <c r="J519" t="n">
        <v>0</v>
      </c>
      <c r="K519" t="n">
        <v>0</v>
      </c>
      <c r="L519" t="n">
        <v>0</v>
      </c>
      <c r="M519" t="n">
        <v>0</v>
      </c>
      <c r="N519" t="n">
        <v>0</v>
      </c>
      <c r="O519" t="n">
        <v>0</v>
      </c>
      <c r="P519" t="n">
        <v>0</v>
      </c>
      <c r="Q519" t="n">
        <v>0</v>
      </c>
      <c r="R519" s="2" t="inlineStr"/>
    </row>
    <row r="520" ht="15" customHeight="1">
      <c r="A520" t="inlineStr">
        <is>
          <t>A 34391-2023</t>
        </is>
      </c>
      <c r="B520" s="1" t="n">
        <v>45139.51457175926</v>
      </c>
      <c r="C520" s="1" t="n">
        <v>46094</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38449-2022</t>
        </is>
      </c>
      <c r="B521" s="1" t="n">
        <v>44813</v>
      </c>
      <c r="C521" s="1" t="n">
        <v>46094</v>
      </c>
      <c r="D521" t="inlineStr">
        <is>
          <t>STOCKHOLMS LÄN</t>
        </is>
      </c>
      <c r="E521" t="inlineStr">
        <is>
          <t>NORRTÄLJE</t>
        </is>
      </c>
      <c r="G521" t="n">
        <v>4.2</v>
      </c>
      <c r="H521" t="n">
        <v>0</v>
      </c>
      <c r="I521" t="n">
        <v>0</v>
      </c>
      <c r="J521" t="n">
        <v>0</v>
      </c>
      <c r="K521" t="n">
        <v>0</v>
      </c>
      <c r="L521" t="n">
        <v>0</v>
      </c>
      <c r="M521" t="n">
        <v>0</v>
      </c>
      <c r="N521" t="n">
        <v>0</v>
      </c>
      <c r="O521" t="n">
        <v>0</v>
      </c>
      <c r="P521" t="n">
        <v>0</v>
      </c>
      <c r="Q521" t="n">
        <v>0</v>
      </c>
      <c r="R521" s="2" t="inlineStr"/>
    </row>
    <row r="522" ht="15" customHeight="1">
      <c r="A522" t="inlineStr">
        <is>
          <t>A 38591-2023</t>
        </is>
      </c>
      <c r="B522" s="1" t="n">
        <v>45162</v>
      </c>
      <c r="C522" s="1" t="n">
        <v>46094</v>
      </c>
      <c r="D522" t="inlineStr">
        <is>
          <t>STOCKHOLMS LÄN</t>
        </is>
      </c>
      <c r="E522" t="inlineStr">
        <is>
          <t>NORRTÄLJE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30338-2022</t>
        </is>
      </c>
      <c r="B523" s="1" t="n">
        <v>44760</v>
      </c>
      <c r="C523" s="1" t="n">
        <v>46094</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2888-2022</t>
        </is>
      </c>
      <c r="B524" s="1" t="n">
        <v>44581</v>
      </c>
      <c r="C524" s="1" t="n">
        <v>46094</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67921-2021</t>
        </is>
      </c>
      <c r="B525" s="1" t="n">
        <v>44525</v>
      </c>
      <c r="C525" s="1" t="n">
        <v>46094</v>
      </c>
      <c r="D525" t="inlineStr">
        <is>
          <t>STOCKHOLMS LÄN</t>
        </is>
      </c>
      <c r="E525" t="inlineStr">
        <is>
          <t>NORRTÄLJE</t>
        </is>
      </c>
      <c r="G525" t="n">
        <v>6.3</v>
      </c>
      <c r="H525" t="n">
        <v>0</v>
      </c>
      <c r="I525" t="n">
        <v>0</v>
      </c>
      <c r="J525" t="n">
        <v>0</v>
      </c>
      <c r="K525" t="n">
        <v>0</v>
      </c>
      <c r="L525" t="n">
        <v>0</v>
      </c>
      <c r="M525" t="n">
        <v>0</v>
      </c>
      <c r="N525" t="n">
        <v>0</v>
      </c>
      <c r="O525" t="n">
        <v>0</v>
      </c>
      <c r="P525" t="n">
        <v>0</v>
      </c>
      <c r="Q525" t="n">
        <v>0</v>
      </c>
      <c r="R525" s="2" t="inlineStr"/>
    </row>
    <row r="526" ht="15" customHeight="1">
      <c r="A526" t="inlineStr">
        <is>
          <t>A 52686-2024</t>
        </is>
      </c>
      <c r="B526" s="1" t="n">
        <v>45610.39271990741</v>
      </c>
      <c r="C526" s="1" t="n">
        <v>46094</v>
      </c>
      <c r="D526" t="inlineStr">
        <is>
          <t>STOCKHOLMS LÄN</t>
        </is>
      </c>
      <c r="E526" t="inlineStr">
        <is>
          <t>NORRTÄLJE</t>
        </is>
      </c>
      <c r="G526" t="n">
        <v>5.7</v>
      </c>
      <c r="H526" t="n">
        <v>0</v>
      </c>
      <c r="I526" t="n">
        <v>0</v>
      </c>
      <c r="J526" t="n">
        <v>0</v>
      </c>
      <c r="K526" t="n">
        <v>0</v>
      </c>
      <c r="L526" t="n">
        <v>0</v>
      </c>
      <c r="M526" t="n">
        <v>0</v>
      </c>
      <c r="N526" t="n">
        <v>0</v>
      </c>
      <c r="O526" t="n">
        <v>0</v>
      </c>
      <c r="P526" t="n">
        <v>0</v>
      </c>
      <c r="Q526" t="n">
        <v>0</v>
      </c>
      <c r="R526" s="2" t="inlineStr"/>
    </row>
    <row r="527" ht="15" customHeight="1">
      <c r="A527" t="inlineStr">
        <is>
          <t>A 20343-2024</t>
        </is>
      </c>
      <c r="B527" s="1" t="n">
        <v>45435.43466435185</v>
      </c>
      <c r="C527" s="1" t="n">
        <v>46094</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20345-2024</t>
        </is>
      </c>
      <c r="B528" s="1" t="n">
        <v>45435.43820601852</v>
      </c>
      <c r="C528" s="1" t="n">
        <v>46094</v>
      </c>
      <c r="D528" t="inlineStr">
        <is>
          <t>STOCKHOLMS LÄN</t>
        </is>
      </c>
      <c r="E528" t="inlineStr">
        <is>
          <t>NORRTÄLJE</t>
        </is>
      </c>
      <c r="G528" t="n">
        <v>3.8</v>
      </c>
      <c r="H528" t="n">
        <v>0</v>
      </c>
      <c r="I528" t="n">
        <v>0</v>
      </c>
      <c r="J528" t="n">
        <v>0</v>
      </c>
      <c r="K528" t="n">
        <v>0</v>
      </c>
      <c r="L528" t="n">
        <v>0</v>
      </c>
      <c r="M528" t="n">
        <v>0</v>
      </c>
      <c r="N528" t="n">
        <v>0</v>
      </c>
      <c r="O528" t="n">
        <v>0</v>
      </c>
      <c r="P528" t="n">
        <v>0</v>
      </c>
      <c r="Q528" t="n">
        <v>0</v>
      </c>
      <c r="R528" s="2" t="inlineStr"/>
    </row>
    <row r="529" ht="15" customHeight="1">
      <c r="A529" t="inlineStr">
        <is>
          <t>A 9765-2024</t>
        </is>
      </c>
      <c r="B529" s="1" t="n">
        <v>45362.62811342593</v>
      </c>
      <c r="C529" s="1" t="n">
        <v>46094</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53561-2023</t>
        </is>
      </c>
      <c r="B530" s="1" t="n">
        <v>45224</v>
      </c>
      <c r="C530" s="1" t="n">
        <v>46094</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25681-2024</t>
        </is>
      </c>
      <c r="B531" s="1" t="n">
        <v>45463.80486111111</v>
      </c>
      <c r="C531" s="1" t="n">
        <v>46094</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59875-2024</t>
        </is>
      </c>
      <c r="B532" s="1" t="n">
        <v>45640.58716435185</v>
      </c>
      <c r="C532" s="1" t="n">
        <v>46094</v>
      </c>
      <c r="D532" t="inlineStr">
        <is>
          <t>STOCKHOLMS LÄN</t>
        </is>
      </c>
      <c r="E532" t="inlineStr">
        <is>
          <t>NORRTÄLJE</t>
        </is>
      </c>
      <c r="G532" t="n">
        <v>0.3</v>
      </c>
      <c r="H532" t="n">
        <v>0</v>
      </c>
      <c r="I532" t="n">
        <v>0</v>
      </c>
      <c r="J532" t="n">
        <v>0</v>
      </c>
      <c r="K532" t="n">
        <v>0</v>
      </c>
      <c r="L532" t="n">
        <v>0</v>
      </c>
      <c r="M532" t="n">
        <v>0</v>
      </c>
      <c r="N532" t="n">
        <v>0</v>
      </c>
      <c r="O532" t="n">
        <v>0</v>
      </c>
      <c r="P532" t="n">
        <v>0</v>
      </c>
      <c r="Q532" t="n">
        <v>0</v>
      </c>
      <c r="R532" s="2" t="inlineStr"/>
    </row>
    <row r="533" ht="15" customHeight="1">
      <c r="A533" t="inlineStr">
        <is>
          <t>A 11-2024</t>
        </is>
      </c>
      <c r="B533" s="1" t="n">
        <v>45293</v>
      </c>
      <c r="C533" s="1" t="n">
        <v>46094</v>
      </c>
      <c r="D533" t="inlineStr">
        <is>
          <t>STOCKHOLMS LÄN</t>
        </is>
      </c>
      <c r="E533" t="inlineStr">
        <is>
          <t>NORRTÄLJE</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14559-2024</t>
        </is>
      </c>
      <c r="B534" s="1" t="n">
        <v>45394.72869212963</v>
      </c>
      <c r="C534" s="1" t="n">
        <v>46094</v>
      </c>
      <c r="D534" t="inlineStr">
        <is>
          <t>STOCKHOLMS LÄN</t>
        </is>
      </c>
      <c r="E534" t="inlineStr">
        <is>
          <t>NORRTÄLJE</t>
        </is>
      </c>
      <c r="G534" t="n">
        <v>4.2</v>
      </c>
      <c r="H534" t="n">
        <v>0</v>
      </c>
      <c r="I534" t="n">
        <v>0</v>
      </c>
      <c r="J534" t="n">
        <v>0</v>
      </c>
      <c r="K534" t="n">
        <v>0</v>
      </c>
      <c r="L534" t="n">
        <v>0</v>
      </c>
      <c r="M534" t="n">
        <v>0</v>
      </c>
      <c r="N534" t="n">
        <v>0</v>
      </c>
      <c r="O534" t="n">
        <v>0</v>
      </c>
      <c r="P534" t="n">
        <v>0</v>
      </c>
      <c r="Q534" t="n">
        <v>0</v>
      </c>
      <c r="R534" s="2" t="inlineStr"/>
    </row>
    <row r="535" ht="15" customHeight="1">
      <c r="A535" t="inlineStr">
        <is>
          <t>A 8433-2022</t>
        </is>
      </c>
      <c r="B535" s="1" t="n">
        <v>44611</v>
      </c>
      <c r="C535" s="1" t="n">
        <v>46094</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58853-2024</t>
        </is>
      </c>
      <c r="B536" s="1" t="n">
        <v>45636.38974537037</v>
      </c>
      <c r="C536" s="1" t="n">
        <v>46094</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26051-2025</t>
        </is>
      </c>
      <c r="B537" s="1" t="n">
        <v>45804.74479166666</v>
      </c>
      <c r="C537" s="1" t="n">
        <v>46094</v>
      </c>
      <c r="D537" t="inlineStr">
        <is>
          <t>STOCKHOLMS LÄN</t>
        </is>
      </c>
      <c r="E537" t="inlineStr">
        <is>
          <t>NORRTÄLJE</t>
        </is>
      </c>
      <c r="G537" t="n">
        <v>3.2</v>
      </c>
      <c r="H537" t="n">
        <v>0</v>
      </c>
      <c r="I537" t="n">
        <v>0</v>
      </c>
      <c r="J537" t="n">
        <v>0</v>
      </c>
      <c r="K537" t="n">
        <v>0</v>
      </c>
      <c r="L537" t="n">
        <v>0</v>
      </c>
      <c r="M537" t="n">
        <v>0</v>
      </c>
      <c r="N537" t="n">
        <v>0</v>
      </c>
      <c r="O537" t="n">
        <v>0</v>
      </c>
      <c r="P537" t="n">
        <v>0</v>
      </c>
      <c r="Q537" t="n">
        <v>0</v>
      </c>
      <c r="R537" s="2" t="inlineStr"/>
    </row>
    <row r="538" ht="15" customHeight="1">
      <c r="A538" t="inlineStr">
        <is>
          <t>A 25525-2022</t>
        </is>
      </c>
      <c r="B538" s="1" t="n">
        <v>44732</v>
      </c>
      <c r="C538" s="1" t="n">
        <v>46094</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12302-2025</t>
        </is>
      </c>
      <c r="B539" s="1" t="n">
        <v>45729.72851851852</v>
      </c>
      <c r="C539" s="1" t="n">
        <v>46094</v>
      </c>
      <c r="D539" t="inlineStr">
        <is>
          <t>STOCKHOLMS LÄN</t>
        </is>
      </c>
      <c r="E539" t="inlineStr">
        <is>
          <t>NORRTÄLJE</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35438-2023</t>
        </is>
      </c>
      <c r="B540" s="1" t="n">
        <v>45146</v>
      </c>
      <c r="C540" s="1" t="n">
        <v>46094</v>
      </c>
      <c r="D540" t="inlineStr">
        <is>
          <t>STOCKHOLMS LÄN</t>
        </is>
      </c>
      <c r="E540" t="inlineStr">
        <is>
          <t>NORRTÄLJE</t>
        </is>
      </c>
      <c r="F540" t="inlineStr">
        <is>
          <t>Kommuner</t>
        </is>
      </c>
      <c r="G540" t="n">
        <v>1.9</v>
      </c>
      <c r="H540" t="n">
        <v>0</v>
      </c>
      <c r="I540" t="n">
        <v>0</v>
      </c>
      <c r="J540" t="n">
        <v>0</v>
      </c>
      <c r="K540" t="n">
        <v>0</v>
      </c>
      <c r="L540" t="n">
        <v>0</v>
      </c>
      <c r="M540" t="n">
        <v>0</v>
      </c>
      <c r="N540" t="n">
        <v>0</v>
      </c>
      <c r="O540" t="n">
        <v>0</v>
      </c>
      <c r="P540" t="n">
        <v>0</v>
      </c>
      <c r="Q540" t="n">
        <v>0</v>
      </c>
      <c r="R540" s="2" t="inlineStr"/>
    </row>
    <row r="541" ht="15" customHeight="1">
      <c r="A541" t="inlineStr">
        <is>
          <t>A 20291-2022</t>
        </is>
      </c>
      <c r="B541" s="1" t="n">
        <v>44698</v>
      </c>
      <c r="C541" s="1" t="n">
        <v>46094</v>
      </c>
      <c r="D541" t="inlineStr">
        <is>
          <t>STOCKHOLMS LÄN</t>
        </is>
      </c>
      <c r="E541" t="inlineStr">
        <is>
          <t>NORRTÄLJE</t>
        </is>
      </c>
      <c r="F541" t="inlineStr">
        <is>
          <t>Naturvårdsverket</t>
        </is>
      </c>
      <c r="G541" t="n">
        <v>2</v>
      </c>
      <c r="H541" t="n">
        <v>0</v>
      </c>
      <c r="I541" t="n">
        <v>0</v>
      </c>
      <c r="J541" t="n">
        <v>0</v>
      </c>
      <c r="K541" t="n">
        <v>0</v>
      </c>
      <c r="L541" t="n">
        <v>0</v>
      </c>
      <c r="M541" t="n">
        <v>0</v>
      </c>
      <c r="N541" t="n">
        <v>0</v>
      </c>
      <c r="O541" t="n">
        <v>0</v>
      </c>
      <c r="P541" t="n">
        <v>0</v>
      </c>
      <c r="Q541" t="n">
        <v>0</v>
      </c>
      <c r="R541" s="2" t="inlineStr"/>
    </row>
    <row r="542" ht="15" customHeight="1">
      <c r="A542" t="inlineStr">
        <is>
          <t>A 26115-2024</t>
        </is>
      </c>
      <c r="B542" s="1" t="n">
        <v>45468.45628472222</v>
      </c>
      <c r="C542" s="1" t="n">
        <v>46094</v>
      </c>
      <c r="D542" t="inlineStr">
        <is>
          <t>STOCKHOLMS LÄN</t>
        </is>
      </c>
      <c r="E542" t="inlineStr">
        <is>
          <t>NORRTÄLJE</t>
        </is>
      </c>
      <c r="G542" t="n">
        <v>0.3</v>
      </c>
      <c r="H542" t="n">
        <v>0</v>
      </c>
      <c r="I542" t="n">
        <v>0</v>
      </c>
      <c r="J542" t="n">
        <v>0</v>
      </c>
      <c r="K542" t="n">
        <v>0</v>
      </c>
      <c r="L542" t="n">
        <v>0</v>
      </c>
      <c r="M542" t="n">
        <v>0</v>
      </c>
      <c r="N542" t="n">
        <v>0</v>
      </c>
      <c r="O542" t="n">
        <v>0</v>
      </c>
      <c r="P542" t="n">
        <v>0</v>
      </c>
      <c r="Q542" t="n">
        <v>0</v>
      </c>
      <c r="R542" s="2" t="inlineStr"/>
    </row>
    <row r="543" ht="15" customHeight="1">
      <c r="A543" t="inlineStr">
        <is>
          <t>A 38889-2024</t>
        </is>
      </c>
      <c r="B543" s="1" t="n">
        <v>45547</v>
      </c>
      <c r="C543" s="1" t="n">
        <v>46094</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45451-2024</t>
        </is>
      </c>
      <c r="B544" s="1" t="n">
        <v>45576</v>
      </c>
      <c r="C544" s="1" t="n">
        <v>46094</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38593-2025</t>
        </is>
      </c>
      <c r="B545" s="1" t="n">
        <v>45884.48696759259</v>
      </c>
      <c r="C545" s="1" t="n">
        <v>46094</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26708-2025</t>
        </is>
      </c>
      <c r="B546" s="1" t="n">
        <v>45810.45633101852</v>
      </c>
      <c r="C546" s="1" t="n">
        <v>46094</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26702-2025</t>
        </is>
      </c>
      <c r="B547" s="1" t="n">
        <v>45810.45236111111</v>
      </c>
      <c r="C547" s="1" t="n">
        <v>46094</v>
      </c>
      <c r="D547" t="inlineStr">
        <is>
          <t>STOCKHOLMS LÄN</t>
        </is>
      </c>
      <c r="E547" t="inlineStr">
        <is>
          <t>NORRTÄLJE</t>
        </is>
      </c>
      <c r="G547" t="n">
        <v>7.3</v>
      </c>
      <c r="H547" t="n">
        <v>0</v>
      </c>
      <c r="I547" t="n">
        <v>0</v>
      </c>
      <c r="J547" t="n">
        <v>0</v>
      </c>
      <c r="K547" t="n">
        <v>0</v>
      </c>
      <c r="L547" t="n">
        <v>0</v>
      </c>
      <c r="M547" t="n">
        <v>0</v>
      </c>
      <c r="N547" t="n">
        <v>0</v>
      </c>
      <c r="O547" t="n">
        <v>0</v>
      </c>
      <c r="P547" t="n">
        <v>0</v>
      </c>
      <c r="Q547" t="n">
        <v>0</v>
      </c>
      <c r="R547" s="2" t="inlineStr"/>
    </row>
    <row r="548" ht="15" customHeight="1">
      <c r="A548" t="inlineStr">
        <is>
          <t>A 19118-2022</t>
        </is>
      </c>
      <c r="B548" s="1" t="n">
        <v>44691.5652662037</v>
      </c>
      <c r="C548" s="1" t="n">
        <v>46094</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23061-2025</t>
        </is>
      </c>
      <c r="B549" s="1" t="n">
        <v>45790.81410879629</v>
      </c>
      <c r="C549" s="1" t="n">
        <v>46094</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27677-2025</t>
        </is>
      </c>
      <c r="B550" s="1" t="n">
        <v>45813.63650462963</v>
      </c>
      <c r="C550" s="1" t="n">
        <v>46094</v>
      </c>
      <c r="D550" t="inlineStr">
        <is>
          <t>STOCKHOLMS LÄN</t>
        </is>
      </c>
      <c r="E550" t="inlineStr">
        <is>
          <t>NORRTÄLJE</t>
        </is>
      </c>
      <c r="G550" t="n">
        <v>2</v>
      </c>
      <c r="H550" t="n">
        <v>0</v>
      </c>
      <c r="I550" t="n">
        <v>0</v>
      </c>
      <c r="J550" t="n">
        <v>0</v>
      </c>
      <c r="K550" t="n">
        <v>0</v>
      </c>
      <c r="L550" t="n">
        <v>0</v>
      </c>
      <c r="M550" t="n">
        <v>0</v>
      </c>
      <c r="N550" t="n">
        <v>0</v>
      </c>
      <c r="O550" t="n">
        <v>0</v>
      </c>
      <c r="P550" t="n">
        <v>0</v>
      </c>
      <c r="Q550" t="n">
        <v>0</v>
      </c>
      <c r="R550" s="2" t="inlineStr"/>
    </row>
    <row r="551" ht="15" customHeight="1">
      <c r="A551" t="inlineStr">
        <is>
          <t>A 39152-2025</t>
        </is>
      </c>
      <c r="B551" s="1" t="n">
        <v>45888</v>
      </c>
      <c r="C551" s="1" t="n">
        <v>46094</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27040-2025</t>
        </is>
      </c>
      <c r="B552" s="1" t="n">
        <v>45811.60451388889</v>
      </c>
      <c r="C552" s="1" t="n">
        <v>46094</v>
      </c>
      <c r="D552" t="inlineStr">
        <is>
          <t>STOCKHOLMS LÄN</t>
        </is>
      </c>
      <c r="E552" t="inlineStr">
        <is>
          <t>NORRTÄLJE</t>
        </is>
      </c>
      <c r="G552" t="n">
        <v>4.3</v>
      </c>
      <c r="H552" t="n">
        <v>0</v>
      </c>
      <c r="I552" t="n">
        <v>0</v>
      </c>
      <c r="J552" t="n">
        <v>0</v>
      </c>
      <c r="K552" t="n">
        <v>0</v>
      </c>
      <c r="L552" t="n">
        <v>0</v>
      </c>
      <c r="M552" t="n">
        <v>0</v>
      </c>
      <c r="N552" t="n">
        <v>0</v>
      </c>
      <c r="O552" t="n">
        <v>0</v>
      </c>
      <c r="P552" t="n">
        <v>0</v>
      </c>
      <c r="Q552" t="n">
        <v>0</v>
      </c>
      <c r="R552" s="2" t="inlineStr"/>
    </row>
    <row r="553" ht="15" customHeight="1">
      <c r="A553" t="inlineStr">
        <is>
          <t>A 8739-2024</t>
        </is>
      </c>
      <c r="B553" s="1" t="n">
        <v>45356.47784722222</v>
      </c>
      <c r="C553" s="1" t="n">
        <v>46094</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26644-2024</t>
        </is>
      </c>
      <c r="B554" s="1" t="n">
        <v>45469</v>
      </c>
      <c r="C554" s="1" t="n">
        <v>46094</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26747-2025</t>
        </is>
      </c>
      <c r="B555" s="1" t="n">
        <v>45810.5333912037</v>
      </c>
      <c r="C555" s="1" t="n">
        <v>46094</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38759-2022</t>
        </is>
      </c>
      <c r="B556" s="1" t="n">
        <v>44816</v>
      </c>
      <c r="C556" s="1" t="n">
        <v>46094</v>
      </c>
      <c r="D556" t="inlineStr">
        <is>
          <t>STOCKHOLMS LÄN</t>
        </is>
      </c>
      <c r="E556" t="inlineStr">
        <is>
          <t>NORRTÄLJE</t>
        </is>
      </c>
      <c r="G556" t="n">
        <v>2.8</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46094</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29714-2023</t>
        </is>
      </c>
      <c r="B558" s="1" t="n">
        <v>45107.42538194444</v>
      </c>
      <c r="C558" s="1" t="n">
        <v>46094</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23271-2023</t>
        </is>
      </c>
      <c r="B559" s="1" t="n">
        <v>45075.91362268518</v>
      </c>
      <c r="C559" s="1" t="n">
        <v>46094</v>
      </c>
      <c r="D559" t="inlineStr">
        <is>
          <t>STOCKHOLMS LÄN</t>
        </is>
      </c>
      <c r="E559" t="inlineStr">
        <is>
          <t>NORRTÄLJE</t>
        </is>
      </c>
      <c r="G559" t="n">
        <v>5.1</v>
      </c>
      <c r="H559" t="n">
        <v>0</v>
      </c>
      <c r="I559" t="n">
        <v>0</v>
      </c>
      <c r="J559" t="n">
        <v>0</v>
      </c>
      <c r="K559" t="n">
        <v>0</v>
      </c>
      <c r="L559" t="n">
        <v>0</v>
      </c>
      <c r="M559" t="n">
        <v>0</v>
      </c>
      <c r="N559" t="n">
        <v>0</v>
      </c>
      <c r="O559" t="n">
        <v>0</v>
      </c>
      <c r="P559" t="n">
        <v>0</v>
      </c>
      <c r="Q559" t="n">
        <v>0</v>
      </c>
      <c r="R559" s="2" t="inlineStr"/>
    </row>
    <row r="560" ht="15" customHeight="1">
      <c r="A560" t="inlineStr">
        <is>
          <t>A 23273-2023</t>
        </is>
      </c>
      <c r="B560" s="1" t="n">
        <v>45075.91971064815</v>
      </c>
      <c r="C560" s="1" t="n">
        <v>46094</v>
      </c>
      <c r="D560" t="inlineStr">
        <is>
          <t>STOCKHOLMS LÄN</t>
        </is>
      </c>
      <c r="E560" t="inlineStr">
        <is>
          <t>NORRTÄLJE</t>
        </is>
      </c>
      <c r="G560" t="n">
        <v>7.5</v>
      </c>
      <c r="H560" t="n">
        <v>0</v>
      </c>
      <c r="I560" t="n">
        <v>0</v>
      </c>
      <c r="J560" t="n">
        <v>0</v>
      </c>
      <c r="K560" t="n">
        <v>0</v>
      </c>
      <c r="L560" t="n">
        <v>0</v>
      </c>
      <c r="M560" t="n">
        <v>0</v>
      </c>
      <c r="N560" t="n">
        <v>0</v>
      </c>
      <c r="O560" t="n">
        <v>0</v>
      </c>
      <c r="P560" t="n">
        <v>0</v>
      </c>
      <c r="Q560" t="n">
        <v>0</v>
      </c>
      <c r="R560" s="2" t="inlineStr"/>
    </row>
    <row r="561" ht="15" customHeight="1">
      <c r="A561" t="inlineStr">
        <is>
          <t>A 26675-2025</t>
        </is>
      </c>
      <c r="B561" s="1" t="n">
        <v>45810.42393518519</v>
      </c>
      <c r="C561" s="1" t="n">
        <v>46094</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2982-2023</t>
        </is>
      </c>
      <c r="B562" s="1" t="n">
        <v>44945.67409722223</v>
      </c>
      <c r="C562" s="1" t="n">
        <v>46094</v>
      </c>
      <c r="D562" t="inlineStr">
        <is>
          <t>STOCKHOLMS LÄN</t>
        </is>
      </c>
      <c r="E562" t="inlineStr">
        <is>
          <t>NORRTÄLJE</t>
        </is>
      </c>
      <c r="G562" t="n">
        <v>3.3</v>
      </c>
      <c r="H562" t="n">
        <v>0</v>
      </c>
      <c r="I562" t="n">
        <v>0</v>
      </c>
      <c r="J562" t="n">
        <v>0</v>
      </c>
      <c r="K562" t="n">
        <v>0</v>
      </c>
      <c r="L562" t="n">
        <v>0</v>
      </c>
      <c r="M562" t="n">
        <v>0</v>
      </c>
      <c r="N562" t="n">
        <v>0</v>
      </c>
      <c r="O562" t="n">
        <v>0</v>
      </c>
      <c r="P562" t="n">
        <v>0</v>
      </c>
      <c r="Q562" t="n">
        <v>0</v>
      </c>
      <c r="R562" s="2" t="inlineStr"/>
    </row>
    <row r="563" ht="15" customHeight="1">
      <c r="A563" t="inlineStr">
        <is>
          <t>A 12535-2025</t>
        </is>
      </c>
      <c r="B563" s="1" t="n">
        <v>45730.69502314815</v>
      </c>
      <c r="C563" s="1" t="n">
        <v>46094</v>
      </c>
      <c r="D563" t="inlineStr">
        <is>
          <t>STOCKHOLMS LÄN</t>
        </is>
      </c>
      <c r="E563" t="inlineStr">
        <is>
          <t>NORRTÄLJE</t>
        </is>
      </c>
      <c r="G563" t="n">
        <v>7.1</v>
      </c>
      <c r="H563" t="n">
        <v>0</v>
      </c>
      <c r="I563" t="n">
        <v>0</v>
      </c>
      <c r="J563" t="n">
        <v>0</v>
      </c>
      <c r="K563" t="n">
        <v>0</v>
      </c>
      <c r="L563" t="n">
        <v>0</v>
      </c>
      <c r="M563" t="n">
        <v>0</v>
      </c>
      <c r="N563" t="n">
        <v>0</v>
      </c>
      <c r="O563" t="n">
        <v>0</v>
      </c>
      <c r="P563" t="n">
        <v>0</v>
      </c>
      <c r="Q563" t="n">
        <v>0</v>
      </c>
      <c r="R563" s="2" t="inlineStr"/>
    </row>
    <row r="564" ht="15" customHeight="1">
      <c r="A564" t="inlineStr">
        <is>
          <t>A 37136-2023</t>
        </is>
      </c>
      <c r="B564" s="1" t="n">
        <v>45155</v>
      </c>
      <c r="C564" s="1" t="n">
        <v>46094</v>
      </c>
      <c r="D564" t="inlineStr">
        <is>
          <t>STOCKHOLMS LÄN</t>
        </is>
      </c>
      <c r="E564" t="inlineStr">
        <is>
          <t>NORRTÄLJE</t>
        </is>
      </c>
      <c r="G564" t="n">
        <v>2.5</v>
      </c>
      <c r="H564" t="n">
        <v>0</v>
      </c>
      <c r="I564" t="n">
        <v>0</v>
      </c>
      <c r="J564" t="n">
        <v>0</v>
      </c>
      <c r="K564" t="n">
        <v>0</v>
      </c>
      <c r="L564" t="n">
        <v>0</v>
      </c>
      <c r="M564" t="n">
        <v>0</v>
      </c>
      <c r="N564" t="n">
        <v>0</v>
      </c>
      <c r="O564" t="n">
        <v>0</v>
      </c>
      <c r="P564" t="n">
        <v>0</v>
      </c>
      <c r="Q564" t="n">
        <v>0</v>
      </c>
      <c r="R564" s="2" t="inlineStr"/>
    </row>
    <row r="565" ht="15" customHeight="1">
      <c r="A565" t="inlineStr">
        <is>
          <t>A 27554-2025</t>
        </is>
      </c>
      <c r="B565" s="1" t="n">
        <v>45813.4709375</v>
      </c>
      <c r="C565" s="1" t="n">
        <v>46094</v>
      </c>
      <c r="D565" t="inlineStr">
        <is>
          <t>STOCKHOLMS LÄN</t>
        </is>
      </c>
      <c r="E565" t="inlineStr">
        <is>
          <t>NORRTÄLJE</t>
        </is>
      </c>
      <c r="F565" t="inlineStr">
        <is>
          <t>Övriga Aktiebolag</t>
        </is>
      </c>
      <c r="G565" t="n">
        <v>2.5</v>
      </c>
      <c r="H565" t="n">
        <v>0</v>
      </c>
      <c r="I565" t="n">
        <v>0</v>
      </c>
      <c r="J565" t="n">
        <v>0</v>
      </c>
      <c r="K565" t="n">
        <v>0</v>
      </c>
      <c r="L565" t="n">
        <v>0</v>
      </c>
      <c r="M565" t="n">
        <v>0</v>
      </c>
      <c r="N565" t="n">
        <v>0</v>
      </c>
      <c r="O565" t="n">
        <v>0</v>
      </c>
      <c r="P565" t="n">
        <v>0</v>
      </c>
      <c r="Q565" t="n">
        <v>0</v>
      </c>
      <c r="R565" s="2" t="inlineStr"/>
    </row>
    <row r="566" ht="15" customHeight="1">
      <c r="A566" t="inlineStr">
        <is>
          <t>A 18787-2022</t>
        </is>
      </c>
      <c r="B566" s="1" t="n">
        <v>44687</v>
      </c>
      <c r="C566" s="1" t="n">
        <v>46094</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13718-2022</t>
        </is>
      </c>
      <c r="B567" s="1" t="n">
        <v>44649</v>
      </c>
      <c r="C567" s="1" t="n">
        <v>46094</v>
      </c>
      <c r="D567" t="inlineStr">
        <is>
          <t>STOCKHOLMS LÄN</t>
        </is>
      </c>
      <c r="E567" t="inlineStr">
        <is>
          <t>NORRTÄLJE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25621-2022</t>
        </is>
      </c>
      <c r="B568" s="1" t="n">
        <v>44732</v>
      </c>
      <c r="C568" s="1" t="n">
        <v>46094</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36269-2022</t>
        </is>
      </c>
      <c r="B569" s="1" t="n">
        <v>44803</v>
      </c>
      <c r="C569" s="1" t="n">
        <v>46094</v>
      </c>
      <c r="D569" t="inlineStr">
        <is>
          <t>STOCKHOLMS LÄN</t>
        </is>
      </c>
      <c r="E569" t="inlineStr">
        <is>
          <t>NORRTÄLJE</t>
        </is>
      </c>
      <c r="G569" t="n">
        <v>2.3</v>
      </c>
      <c r="H569" t="n">
        <v>0</v>
      </c>
      <c r="I569" t="n">
        <v>0</v>
      </c>
      <c r="J569" t="n">
        <v>0</v>
      </c>
      <c r="K569" t="n">
        <v>0</v>
      </c>
      <c r="L569" t="n">
        <v>0</v>
      </c>
      <c r="M569" t="n">
        <v>0</v>
      </c>
      <c r="N569" t="n">
        <v>0</v>
      </c>
      <c r="O569" t="n">
        <v>0</v>
      </c>
      <c r="P569" t="n">
        <v>0</v>
      </c>
      <c r="Q569" t="n">
        <v>0</v>
      </c>
      <c r="R569" s="2" t="inlineStr"/>
    </row>
    <row r="570" ht="15" customHeight="1">
      <c r="A570" t="inlineStr">
        <is>
          <t>A 36308-2022</t>
        </is>
      </c>
      <c r="B570" s="1" t="n">
        <v>44803</v>
      </c>
      <c r="C570" s="1" t="n">
        <v>46094</v>
      </c>
      <c r="D570" t="inlineStr">
        <is>
          <t>STOCKHOLMS LÄN</t>
        </is>
      </c>
      <c r="E570" t="inlineStr">
        <is>
          <t>NORRTÄLJE</t>
        </is>
      </c>
      <c r="G570" t="n">
        <v>0.6</v>
      </c>
      <c r="H570" t="n">
        <v>0</v>
      </c>
      <c r="I570" t="n">
        <v>0</v>
      </c>
      <c r="J570" t="n">
        <v>0</v>
      </c>
      <c r="K570" t="n">
        <v>0</v>
      </c>
      <c r="L570" t="n">
        <v>0</v>
      </c>
      <c r="M570" t="n">
        <v>0</v>
      </c>
      <c r="N570" t="n">
        <v>0</v>
      </c>
      <c r="O570" t="n">
        <v>0</v>
      </c>
      <c r="P570" t="n">
        <v>0</v>
      </c>
      <c r="Q570" t="n">
        <v>0</v>
      </c>
      <c r="R570" s="2" t="inlineStr"/>
    </row>
    <row r="571" ht="15" customHeight="1">
      <c r="A571" t="inlineStr">
        <is>
          <t>A 27700-2025</t>
        </is>
      </c>
      <c r="B571" s="1" t="n">
        <v>45813.6799537037</v>
      </c>
      <c r="C571" s="1" t="n">
        <v>46094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6919-2025</t>
        </is>
      </c>
      <c r="B572" s="1" t="n">
        <v>45701.44372685185</v>
      </c>
      <c r="C572" s="1" t="n">
        <v>46094</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32100-2022</t>
        </is>
      </c>
      <c r="B573" s="1" t="n">
        <v>44778</v>
      </c>
      <c r="C573" s="1" t="n">
        <v>46094</v>
      </c>
      <c r="D573" t="inlineStr">
        <is>
          <t>STOCKHOLMS LÄN</t>
        </is>
      </c>
      <c r="E573" t="inlineStr">
        <is>
          <t>NORRTÄLJE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27697-2025</t>
        </is>
      </c>
      <c r="B574" s="1" t="n">
        <v>45813.66961805556</v>
      </c>
      <c r="C574" s="1" t="n">
        <v>46094</v>
      </c>
      <c r="D574" t="inlineStr">
        <is>
          <t>STOCKHOLMS LÄN</t>
        </is>
      </c>
      <c r="E574" t="inlineStr">
        <is>
          <t>NORRTÄLJE</t>
        </is>
      </c>
      <c r="G574" t="n">
        <v>6.2</v>
      </c>
      <c r="H574" t="n">
        <v>0</v>
      </c>
      <c r="I574" t="n">
        <v>0</v>
      </c>
      <c r="J574" t="n">
        <v>0</v>
      </c>
      <c r="K574" t="n">
        <v>0</v>
      </c>
      <c r="L574" t="n">
        <v>0</v>
      </c>
      <c r="M574" t="n">
        <v>0</v>
      </c>
      <c r="N574" t="n">
        <v>0</v>
      </c>
      <c r="O574" t="n">
        <v>0</v>
      </c>
      <c r="P574" t="n">
        <v>0</v>
      </c>
      <c r="Q574" t="n">
        <v>0</v>
      </c>
      <c r="R574" s="2" t="inlineStr"/>
    </row>
    <row r="575" ht="15" customHeight="1">
      <c r="A575" t="inlineStr">
        <is>
          <t>A 11332-2025</t>
        </is>
      </c>
      <c r="B575" s="1" t="n">
        <v>45726.48152777777</v>
      </c>
      <c r="C575" s="1" t="n">
        <v>46094</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27802-2025</t>
        </is>
      </c>
      <c r="B576" s="1" t="n">
        <v>45817.2565625</v>
      </c>
      <c r="C576" s="1" t="n">
        <v>46094</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27806-2025</t>
        </is>
      </c>
      <c r="B577" s="1" t="n">
        <v>45817.30329861111</v>
      </c>
      <c r="C577" s="1" t="n">
        <v>46094</v>
      </c>
      <c r="D577" t="inlineStr">
        <is>
          <t>STOCKHOLMS LÄN</t>
        </is>
      </c>
      <c r="E577" t="inlineStr">
        <is>
          <t>NORRTÄLJE</t>
        </is>
      </c>
      <c r="G577" t="n">
        <v>3</v>
      </c>
      <c r="H577" t="n">
        <v>0</v>
      </c>
      <c r="I577" t="n">
        <v>0</v>
      </c>
      <c r="J577" t="n">
        <v>0</v>
      </c>
      <c r="K577" t="n">
        <v>0</v>
      </c>
      <c r="L577" t="n">
        <v>0</v>
      </c>
      <c r="M577" t="n">
        <v>0</v>
      </c>
      <c r="N577" t="n">
        <v>0</v>
      </c>
      <c r="O577" t="n">
        <v>0</v>
      </c>
      <c r="P577" t="n">
        <v>0</v>
      </c>
      <c r="Q577" t="n">
        <v>0</v>
      </c>
      <c r="R577" s="2" t="inlineStr"/>
    </row>
    <row r="578" ht="15" customHeight="1">
      <c r="A578" t="inlineStr">
        <is>
          <t>A 27808-2025</t>
        </is>
      </c>
      <c r="B578" s="1" t="n">
        <v>45817.31085648148</v>
      </c>
      <c r="C578" s="1" t="n">
        <v>46094</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46094</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27810-2025</t>
        </is>
      </c>
      <c r="B580" s="1" t="n">
        <v>45817.31708333334</v>
      </c>
      <c r="C580" s="1" t="n">
        <v>46094</v>
      </c>
      <c r="D580" t="inlineStr">
        <is>
          <t>STOCKHOLMS LÄN</t>
        </is>
      </c>
      <c r="E580" t="inlineStr">
        <is>
          <t>NORRTÄLJE</t>
        </is>
      </c>
      <c r="G580" t="n">
        <v>3.9</v>
      </c>
      <c r="H580" t="n">
        <v>0</v>
      </c>
      <c r="I580" t="n">
        <v>0</v>
      </c>
      <c r="J580" t="n">
        <v>0</v>
      </c>
      <c r="K580" t="n">
        <v>0</v>
      </c>
      <c r="L580" t="n">
        <v>0</v>
      </c>
      <c r="M580" t="n">
        <v>0</v>
      </c>
      <c r="N580" t="n">
        <v>0</v>
      </c>
      <c r="O580" t="n">
        <v>0</v>
      </c>
      <c r="P580" t="n">
        <v>0</v>
      </c>
      <c r="Q580" t="n">
        <v>0</v>
      </c>
      <c r="R580" s="2" t="inlineStr"/>
    </row>
    <row r="581" ht="15" customHeight="1">
      <c r="A581" t="inlineStr">
        <is>
          <t>A 27811-2025</t>
        </is>
      </c>
      <c r="B581" s="1" t="n">
        <v>45817.31986111111</v>
      </c>
      <c r="C581" s="1" t="n">
        <v>46094</v>
      </c>
      <c r="D581" t="inlineStr">
        <is>
          <t>STOCKHOLMS LÄN</t>
        </is>
      </c>
      <c r="E581" t="inlineStr">
        <is>
          <t>NORRTÄLJE</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27818-2025</t>
        </is>
      </c>
      <c r="B582" s="1" t="n">
        <v>45817.33503472222</v>
      </c>
      <c r="C582" s="1" t="n">
        <v>46094</v>
      </c>
      <c r="D582" t="inlineStr">
        <is>
          <t>STOCKHOLMS LÄN</t>
        </is>
      </c>
      <c r="E582" t="inlineStr">
        <is>
          <t>NORRTÄLJE</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30886-2022</t>
        </is>
      </c>
      <c r="B583" s="1" t="n">
        <v>44767.60601851852</v>
      </c>
      <c r="C583" s="1" t="n">
        <v>46094</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9654-2022</t>
        </is>
      </c>
      <c r="B584" s="1" t="n">
        <v>44617</v>
      </c>
      <c r="C584" s="1" t="n">
        <v>46094</v>
      </c>
      <c r="D584" t="inlineStr">
        <is>
          <t>STOCKHOLMS LÄN</t>
        </is>
      </c>
      <c r="E584" t="inlineStr">
        <is>
          <t>NORRTÄLJE</t>
        </is>
      </c>
      <c r="G584" t="n">
        <v>6.4</v>
      </c>
      <c r="H584" t="n">
        <v>0</v>
      </c>
      <c r="I584" t="n">
        <v>0</v>
      </c>
      <c r="J584" t="n">
        <v>0</v>
      </c>
      <c r="K584" t="n">
        <v>0</v>
      </c>
      <c r="L584" t="n">
        <v>0</v>
      </c>
      <c r="M584" t="n">
        <v>0</v>
      </c>
      <c r="N584" t="n">
        <v>0</v>
      </c>
      <c r="O584" t="n">
        <v>0</v>
      </c>
      <c r="P584" t="n">
        <v>0</v>
      </c>
      <c r="Q584" t="n">
        <v>0</v>
      </c>
      <c r="R584" s="2" t="inlineStr"/>
    </row>
    <row r="585" ht="15" customHeight="1">
      <c r="A585" t="inlineStr">
        <is>
          <t>A 27801-2025</t>
        </is>
      </c>
      <c r="B585" s="1" t="n">
        <v>45817.25471064815</v>
      </c>
      <c r="C585" s="1" t="n">
        <v>46094</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7603-2025</t>
        </is>
      </c>
      <c r="B586" s="1" t="n">
        <v>45705.66126157407</v>
      </c>
      <c r="C586" s="1" t="n">
        <v>46094</v>
      </c>
      <c r="D586" t="inlineStr">
        <is>
          <t>STOCKHOLMS LÄN</t>
        </is>
      </c>
      <c r="E586" t="inlineStr">
        <is>
          <t>NORRTÄLJE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1453-2025</t>
        </is>
      </c>
      <c r="B587" s="1" t="n">
        <v>45670.3079050926</v>
      </c>
      <c r="C587" s="1" t="n">
        <v>46094</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27803-2025</t>
        </is>
      </c>
      <c r="B588" s="1" t="n">
        <v>45817.291875</v>
      </c>
      <c r="C588" s="1" t="n">
        <v>46094</v>
      </c>
      <c r="D588" t="inlineStr">
        <is>
          <t>STOCKHOLMS LÄN</t>
        </is>
      </c>
      <c r="E588" t="inlineStr">
        <is>
          <t>NORRTÄLJE</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27813-2025</t>
        </is>
      </c>
      <c r="B589" s="1" t="n">
        <v>45817.32538194444</v>
      </c>
      <c r="C589" s="1" t="n">
        <v>46094</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27821-2025</t>
        </is>
      </c>
      <c r="B590" s="1" t="n">
        <v>45817.34083333334</v>
      </c>
      <c r="C590" s="1" t="n">
        <v>46094</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5804-2025</t>
        </is>
      </c>
      <c r="B591" s="1" t="n">
        <v>45694.68207175926</v>
      </c>
      <c r="C591" s="1" t="n">
        <v>46094</v>
      </c>
      <c r="D591" t="inlineStr">
        <is>
          <t>STOCKHOLMS LÄN</t>
        </is>
      </c>
      <c r="E591" t="inlineStr">
        <is>
          <t>NORRTÄLJE</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30802-2022</t>
        </is>
      </c>
      <c r="B592" s="1" t="n">
        <v>44764</v>
      </c>
      <c r="C592" s="1" t="n">
        <v>46094</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50907-2022</t>
        </is>
      </c>
      <c r="B593" s="1" t="n">
        <v>44867.62090277778</v>
      </c>
      <c r="C593" s="1" t="n">
        <v>46094</v>
      </c>
      <c r="D593" t="inlineStr">
        <is>
          <t>STOCKHOLMS LÄN</t>
        </is>
      </c>
      <c r="E593" t="inlineStr">
        <is>
          <t>NORRTÄLJE</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29003-2023</t>
        </is>
      </c>
      <c r="B594" s="1" t="n">
        <v>45104</v>
      </c>
      <c r="C594" s="1" t="n">
        <v>46094</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55369-2023</t>
        </is>
      </c>
      <c r="B595" s="1" t="n">
        <v>45238</v>
      </c>
      <c r="C595" s="1" t="n">
        <v>46094</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33295-2023</t>
        </is>
      </c>
      <c r="B596" s="1" t="n">
        <v>45127.69371527778</v>
      </c>
      <c r="C596" s="1" t="n">
        <v>46094</v>
      </c>
      <c r="D596" t="inlineStr">
        <is>
          <t>STOCKHOLMS LÄN</t>
        </is>
      </c>
      <c r="E596" t="inlineStr">
        <is>
          <t>NORRTÄLJE</t>
        </is>
      </c>
      <c r="F596" t="inlineStr">
        <is>
          <t>Holmen skog AB</t>
        </is>
      </c>
      <c r="G596" t="n">
        <v>2</v>
      </c>
      <c r="H596" t="n">
        <v>0</v>
      </c>
      <c r="I596" t="n">
        <v>0</v>
      </c>
      <c r="J596" t="n">
        <v>0</v>
      </c>
      <c r="K596" t="n">
        <v>0</v>
      </c>
      <c r="L596" t="n">
        <v>0</v>
      </c>
      <c r="M596" t="n">
        <v>0</v>
      </c>
      <c r="N596" t="n">
        <v>0</v>
      </c>
      <c r="O596" t="n">
        <v>0</v>
      </c>
      <c r="P596" t="n">
        <v>0</v>
      </c>
      <c r="Q596" t="n">
        <v>0</v>
      </c>
      <c r="R596" s="2" t="inlineStr"/>
    </row>
    <row r="597" ht="15" customHeight="1">
      <c r="A597" t="inlineStr">
        <is>
          <t>A 14127-2025</t>
        </is>
      </c>
      <c r="B597" s="1" t="n">
        <v>45740.47055555556</v>
      </c>
      <c r="C597" s="1" t="n">
        <v>46094</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16980-2023</t>
        </is>
      </c>
      <c r="B598" s="1" t="n">
        <v>45033</v>
      </c>
      <c r="C598" s="1" t="n">
        <v>46094</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15528-2025</t>
        </is>
      </c>
      <c r="B599" s="1" t="n">
        <v>45747.63471064815</v>
      </c>
      <c r="C599" s="1" t="n">
        <v>46094</v>
      </c>
      <c r="D599" t="inlineStr">
        <is>
          <t>STOCKHOLMS LÄN</t>
        </is>
      </c>
      <c r="E599" t="inlineStr">
        <is>
          <t>NORRTÄLJE</t>
        </is>
      </c>
      <c r="G599" t="n">
        <v>10</v>
      </c>
      <c r="H599" t="n">
        <v>0</v>
      </c>
      <c r="I599" t="n">
        <v>0</v>
      </c>
      <c r="J599" t="n">
        <v>0</v>
      </c>
      <c r="K599" t="n">
        <v>0</v>
      </c>
      <c r="L599" t="n">
        <v>0</v>
      </c>
      <c r="M599" t="n">
        <v>0</v>
      </c>
      <c r="N599" t="n">
        <v>0</v>
      </c>
      <c r="O599" t="n">
        <v>0</v>
      </c>
      <c r="P599" t="n">
        <v>0</v>
      </c>
      <c r="Q599" t="n">
        <v>0</v>
      </c>
      <c r="R599" s="2" t="inlineStr"/>
    </row>
    <row r="600" ht="15" customHeight="1">
      <c r="A600" t="inlineStr">
        <is>
          <t>A 11901-2024</t>
        </is>
      </c>
      <c r="B600" s="1" t="n">
        <v>45376.55638888889</v>
      </c>
      <c r="C600" s="1" t="n">
        <v>46094</v>
      </c>
      <c r="D600" t="inlineStr">
        <is>
          <t>STOCKHOLMS LÄN</t>
        </is>
      </c>
      <c r="E600" t="inlineStr">
        <is>
          <t>NORRTÄLJE</t>
        </is>
      </c>
      <c r="F600" t="inlineStr">
        <is>
          <t>Holmen skog AB</t>
        </is>
      </c>
      <c r="G600" t="n">
        <v>3.5</v>
      </c>
      <c r="H600" t="n">
        <v>0</v>
      </c>
      <c r="I600" t="n">
        <v>0</v>
      </c>
      <c r="J600" t="n">
        <v>0</v>
      </c>
      <c r="K600" t="n">
        <v>0</v>
      </c>
      <c r="L600" t="n">
        <v>0</v>
      </c>
      <c r="M600" t="n">
        <v>0</v>
      </c>
      <c r="N600" t="n">
        <v>0</v>
      </c>
      <c r="O600" t="n">
        <v>0</v>
      </c>
      <c r="P600" t="n">
        <v>0</v>
      </c>
      <c r="Q600" t="n">
        <v>0</v>
      </c>
      <c r="R600" s="2" t="inlineStr"/>
    </row>
    <row r="601" ht="15" customHeight="1">
      <c r="A601" t="inlineStr">
        <is>
          <t>A 61113-2023</t>
        </is>
      </c>
      <c r="B601" s="1" t="n">
        <v>45261</v>
      </c>
      <c r="C601" s="1" t="n">
        <v>46094</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3283-2025</t>
        </is>
      </c>
      <c r="B602" s="1" t="n">
        <v>45679</v>
      </c>
      <c r="C602" s="1" t="n">
        <v>46094</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32595-2023</t>
        </is>
      </c>
      <c r="B603" s="1" t="n">
        <v>45121</v>
      </c>
      <c r="C603" s="1" t="n">
        <v>46094</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34295-2024</t>
        </is>
      </c>
      <c r="B604" s="1" t="n">
        <v>45524</v>
      </c>
      <c r="C604" s="1" t="n">
        <v>46094</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58311-2023</t>
        </is>
      </c>
      <c r="B605" s="1" t="n">
        <v>45245</v>
      </c>
      <c r="C605" s="1" t="n">
        <v>46094</v>
      </c>
      <c r="D605" t="inlineStr">
        <is>
          <t>STOCKHOLMS LÄN</t>
        </is>
      </c>
      <c r="E605" t="inlineStr">
        <is>
          <t>NORRTÄLJE</t>
        </is>
      </c>
      <c r="G605" t="n">
        <v>2.3</v>
      </c>
      <c r="H605" t="n">
        <v>0</v>
      </c>
      <c r="I605" t="n">
        <v>0</v>
      </c>
      <c r="J605" t="n">
        <v>0</v>
      </c>
      <c r="K605" t="n">
        <v>0</v>
      </c>
      <c r="L605" t="n">
        <v>0</v>
      </c>
      <c r="M605" t="n">
        <v>0</v>
      </c>
      <c r="N605" t="n">
        <v>0</v>
      </c>
      <c r="O605" t="n">
        <v>0</v>
      </c>
      <c r="P605" t="n">
        <v>0</v>
      </c>
      <c r="Q605" t="n">
        <v>0</v>
      </c>
      <c r="R605" s="2" t="inlineStr"/>
    </row>
    <row r="606" ht="15" customHeight="1">
      <c r="A606" t="inlineStr">
        <is>
          <t>A 23692-2024</t>
        </is>
      </c>
      <c r="B606" s="1" t="n">
        <v>45454.65774305556</v>
      </c>
      <c r="C606" s="1" t="n">
        <v>46094</v>
      </c>
      <c r="D606" t="inlineStr">
        <is>
          <t>STOCKHOLMS LÄN</t>
        </is>
      </c>
      <c r="E606" t="inlineStr">
        <is>
          <t>NORRTÄLJE</t>
        </is>
      </c>
      <c r="G606" t="n">
        <v>3.7</v>
      </c>
      <c r="H606" t="n">
        <v>0</v>
      </c>
      <c r="I606" t="n">
        <v>0</v>
      </c>
      <c r="J606" t="n">
        <v>0</v>
      </c>
      <c r="K606" t="n">
        <v>0</v>
      </c>
      <c r="L606" t="n">
        <v>0</v>
      </c>
      <c r="M606" t="n">
        <v>0</v>
      </c>
      <c r="N606" t="n">
        <v>0</v>
      </c>
      <c r="O606" t="n">
        <v>0</v>
      </c>
      <c r="P606" t="n">
        <v>0</v>
      </c>
      <c r="Q606" t="n">
        <v>0</v>
      </c>
      <c r="R606" s="2" t="inlineStr"/>
    </row>
    <row r="607" ht="15" customHeight="1">
      <c r="A607" t="inlineStr">
        <is>
          <t>A 44075-2023</t>
        </is>
      </c>
      <c r="B607" s="1" t="n">
        <v>45188.41637731482</v>
      </c>
      <c r="C607" s="1" t="n">
        <v>46094</v>
      </c>
      <c r="D607" t="inlineStr">
        <is>
          <t>STOCKHOLMS LÄN</t>
        </is>
      </c>
      <c r="E607" t="inlineStr">
        <is>
          <t>NORRTÄLJE</t>
        </is>
      </c>
      <c r="F607" t="inlineStr">
        <is>
          <t>Holmen skog AB</t>
        </is>
      </c>
      <c r="G607" t="n">
        <v>2.4</v>
      </c>
      <c r="H607" t="n">
        <v>0</v>
      </c>
      <c r="I607" t="n">
        <v>0</v>
      </c>
      <c r="J607" t="n">
        <v>0</v>
      </c>
      <c r="K607" t="n">
        <v>0</v>
      </c>
      <c r="L607" t="n">
        <v>0</v>
      </c>
      <c r="M607" t="n">
        <v>0</v>
      </c>
      <c r="N607" t="n">
        <v>0</v>
      </c>
      <c r="O607" t="n">
        <v>0</v>
      </c>
      <c r="P607" t="n">
        <v>0</v>
      </c>
      <c r="Q607" t="n">
        <v>0</v>
      </c>
      <c r="R607" s="2" t="inlineStr"/>
    </row>
    <row r="608" ht="15" customHeight="1">
      <c r="A608" t="inlineStr">
        <is>
          <t>A 37550-2022</t>
        </is>
      </c>
      <c r="B608" s="1" t="n">
        <v>44809</v>
      </c>
      <c r="C608" s="1" t="n">
        <v>46094</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20473-2021</t>
        </is>
      </c>
      <c r="B609" s="1" t="n">
        <v>44315</v>
      </c>
      <c r="C609" s="1" t="n">
        <v>46094</v>
      </c>
      <c r="D609" t="inlineStr">
        <is>
          <t>STOCKHOLMS LÄN</t>
        </is>
      </c>
      <c r="E609" t="inlineStr">
        <is>
          <t>NORRTÄLJE</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54273-2021</t>
        </is>
      </c>
      <c r="B610" s="1" t="n">
        <v>44470.72987268519</v>
      </c>
      <c r="C610" s="1" t="n">
        <v>46094</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48161-2022</t>
        </is>
      </c>
      <c r="B611" s="1" t="n">
        <v>44858</v>
      </c>
      <c r="C611" s="1" t="n">
        <v>46094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46094</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39149-2025</t>
        </is>
      </c>
      <c r="B613" s="1" t="n">
        <v>45888.60714120371</v>
      </c>
      <c r="C613" s="1" t="n">
        <v>46094</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54776-2023</t>
        </is>
      </c>
      <c r="B614" s="1" t="n">
        <v>45236.46369212963</v>
      </c>
      <c r="C614" s="1" t="n">
        <v>46094</v>
      </c>
      <c r="D614" t="inlineStr">
        <is>
          <t>STOCKHOLMS LÄN</t>
        </is>
      </c>
      <c r="E614" t="inlineStr">
        <is>
          <t>NORRTÄLJE</t>
        </is>
      </c>
      <c r="G614" t="n">
        <v>0.3</v>
      </c>
      <c r="H614" t="n">
        <v>0</v>
      </c>
      <c r="I614" t="n">
        <v>0</v>
      </c>
      <c r="J614" t="n">
        <v>0</v>
      </c>
      <c r="K614" t="n">
        <v>0</v>
      </c>
      <c r="L614" t="n">
        <v>0</v>
      </c>
      <c r="M614" t="n">
        <v>0</v>
      </c>
      <c r="N614" t="n">
        <v>0</v>
      </c>
      <c r="O614" t="n">
        <v>0</v>
      </c>
      <c r="P614" t="n">
        <v>0</v>
      </c>
      <c r="Q614" t="n">
        <v>0</v>
      </c>
      <c r="R614" s="2" t="inlineStr"/>
    </row>
    <row r="615" ht="15" customHeight="1">
      <c r="A615" t="inlineStr">
        <is>
          <t>A 57442-2021</t>
        </is>
      </c>
      <c r="B615" s="1" t="n">
        <v>44483</v>
      </c>
      <c r="C615" s="1" t="n">
        <v>46094</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7806-2025</t>
        </is>
      </c>
      <c r="B616" s="1" t="n">
        <v>45706.61178240741</v>
      </c>
      <c r="C616" s="1" t="n">
        <v>46094</v>
      </c>
      <c r="D616" t="inlineStr">
        <is>
          <t>STOCKHOLMS LÄN</t>
        </is>
      </c>
      <c r="E616" t="inlineStr">
        <is>
          <t>NORRTÄLJE</t>
        </is>
      </c>
      <c r="F616" t="inlineStr">
        <is>
          <t>Holmen skog AB</t>
        </is>
      </c>
      <c r="G616" t="n">
        <v>3.5</v>
      </c>
      <c r="H616" t="n">
        <v>0</v>
      </c>
      <c r="I616" t="n">
        <v>0</v>
      </c>
      <c r="J616" t="n">
        <v>0</v>
      </c>
      <c r="K616" t="n">
        <v>0</v>
      </c>
      <c r="L616" t="n">
        <v>0</v>
      </c>
      <c r="M616" t="n">
        <v>0</v>
      </c>
      <c r="N616" t="n">
        <v>0</v>
      </c>
      <c r="O616" t="n">
        <v>0</v>
      </c>
      <c r="P616" t="n">
        <v>0</v>
      </c>
      <c r="Q616" t="n">
        <v>0</v>
      </c>
      <c r="R616" s="2" t="inlineStr"/>
    </row>
    <row r="617" ht="15" customHeight="1">
      <c r="A617" t="inlineStr">
        <is>
          <t>A 29250-2025</t>
        </is>
      </c>
      <c r="B617" s="1" t="n">
        <v>45824.37275462963</v>
      </c>
      <c r="C617" s="1" t="n">
        <v>46094</v>
      </c>
      <c r="D617" t="inlineStr">
        <is>
          <t>STOCKHOLMS LÄN</t>
        </is>
      </c>
      <c r="E617" t="inlineStr">
        <is>
          <t>NORRTÄLJE</t>
        </is>
      </c>
      <c r="F617" t="inlineStr">
        <is>
          <t>Sveaskog</t>
        </is>
      </c>
      <c r="G617" t="n">
        <v>6.4</v>
      </c>
      <c r="H617" t="n">
        <v>0</v>
      </c>
      <c r="I617" t="n">
        <v>0</v>
      </c>
      <c r="J617" t="n">
        <v>0</v>
      </c>
      <c r="K617" t="n">
        <v>0</v>
      </c>
      <c r="L617" t="n">
        <v>0</v>
      </c>
      <c r="M617" t="n">
        <v>0</v>
      </c>
      <c r="N617" t="n">
        <v>0</v>
      </c>
      <c r="O617" t="n">
        <v>0</v>
      </c>
      <c r="P617" t="n">
        <v>0</v>
      </c>
      <c r="Q617" t="n">
        <v>0</v>
      </c>
      <c r="R617" s="2" t="inlineStr"/>
    </row>
    <row r="618" ht="15" customHeight="1">
      <c r="A618" t="inlineStr">
        <is>
          <t>A 55952-2024</t>
        </is>
      </c>
      <c r="B618" s="1" t="n">
        <v>45623.62563657408</v>
      </c>
      <c r="C618" s="1" t="n">
        <v>46094</v>
      </c>
      <c r="D618" t="inlineStr">
        <is>
          <t>STOCKHOLMS LÄN</t>
        </is>
      </c>
      <c r="E618" t="inlineStr">
        <is>
          <t>NORRTÄLJE</t>
        </is>
      </c>
      <c r="F618" t="inlineStr">
        <is>
          <t>Holmen skog AB</t>
        </is>
      </c>
      <c r="G618" t="n">
        <v>2.8</v>
      </c>
      <c r="H618" t="n">
        <v>0</v>
      </c>
      <c r="I618" t="n">
        <v>0</v>
      </c>
      <c r="J618" t="n">
        <v>0</v>
      </c>
      <c r="K618" t="n">
        <v>0</v>
      </c>
      <c r="L618" t="n">
        <v>0</v>
      </c>
      <c r="M618" t="n">
        <v>0</v>
      </c>
      <c r="N618" t="n">
        <v>0</v>
      </c>
      <c r="O618" t="n">
        <v>0</v>
      </c>
      <c r="P618" t="n">
        <v>0</v>
      </c>
      <c r="Q618" t="n">
        <v>0</v>
      </c>
      <c r="R618" s="2" t="inlineStr"/>
    </row>
    <row r="619" ht="15" customHeight="1">
      <c r="A619" t="inlineStr">
        <is>
          <t>A 8135-2025</t>
        </is>
      </c>
      <c r="B619" s="1" t="n">
        <v>45707.84997685185</v>
      </c>
      <c r="C619" s="1" t="n">
        <v>46094</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3383-2023</t>
        </is>
      </c>
      <c r="B620" s="1" t="n">
        <v>44949</v>
      </c>
      <c r="C620" s="1" t="n">
        <v>46094</v>
      </c>
      <c r="D620" t="inlineStr">
        <is>
          <t>STOCKHOLMS LÄN</t>
        </is>
      </c>
      <c r="E620" t="inlineStr">
        <is>
          <t>NORRTÄLJE</t>
        </is>
      </c>
      <c r="G620" t="n">
        <v>14.6</v>
      </c>
      <c r="H620" t="n">
        <v>0</v>
      </c>
      <c r="I620" t="n">
        <v>0</v>
      </c>
      <c r="J620" t="n">
        <v>0</v>
      </c>
      <c r="K620" t="n">
        <v>0</v>
      </c>
      <c r="L620" t="n">
        <v>0</v>
      </c>
      <c r="M620" t="n">
        <v>0</v>
      </c>
      <c r="N620" t="n">
        <v>0</v>
      </c>
      <c r="O620" t="n">
        <v>0</v>
      </c>
      <c r="P620" t="n">
        <v>0</v>
      </c>
      <c r="Q620" t="n">
        <v>0</v>
      </c>
      <c r="R620" s="2" t="inlineStr"/>
    </row>
    <row r="621" ht="15" customHeight="1">
      <c r="A621" t="inlineStr">
        <is>
          <t>A 53792-2023</t>
        </is>
      </c>
      <c r="B621" s="1" t="n">
        <v>45231.34144675926</v>
      </c>
      <c r="C621" s="1" t="n">
        <v>46094</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13148-2021</t>
        </is>
      </c>
      <c r="B622" s="1" t="n">
        <v>44272</v>
      </c>
      <c r="C622" s="1" t="n">
        <v>46094</v>
      </c>
      <c r="D622" t="inlineStr">
        <is>
          <t>STOCKHOLMS LÄN</t>
        </is>
      </c>
      <c r="E622" t="inlineStr">
        <is>
          <t>NORRTÄLJE</t>
        </is>
      </c>
      <c r="G622" t="n">
        <v>12.4</v>
      </c>
      <c r="H622" t="n">
        <v>0</v>
      </c>
      <c r="I622" t="n">
        <v>0</v>
      </c>
      <c r="J622" t="n">
        <v>0</v>
      </c>
      <c r="K622" t="n">
        <v>0</v>
      </c>
      <c r="L622" t="n">
        <v>0</v>
      </c>
      <c r="M622" t="n">
        <v>0</v>
      </c>
      <c r="N622" t="n">
        <v>0</v>
      </c>
      <c r="O622" t="n">
        <v>0</v>
      </c>
      <c r="P622" t="n">
        <v>0</v>
      </c>
      <c r="Q622" t="n">
        <v>0</v>
      </c>
      <c r="R622" s="2" t="inlineStr"/>
    </row>
    <row r="623" ht="15" customHeight="1">
      <c r="A623" t="inlineStr">
        <is>
          <t>A 21329-2022</t>
        </is>
      </c>
      <c r="B623" s="1" t="n">
        <v>44705.60626157407</v>
      </c>
      <c r="C623" s="1" t="n">
        <v>46094</v>
      </c>
      <c r="D623" t="inlineStr">
        <is>
          <t>STOCKHOLMS LÄN</t>
        </is>
      </c>
      <c r="E623" t="inlineStr">
        <is>
          <t>NORRTÄLJE</t>
        </is>
      </c>
      <c r="G623" t="n">
        <v>4.1</v>
      </c>
      <c r="H623" t="n">
        <v>0</v>
      </c>
      <c r="I623" t="n">
        <v>0</v>
      </c>
      <c r="J623" t="n">
        <v>0</v>
      </c>
      <c r="K623" t="n">
        <v>0</v>
      </c>
      <c r="L623" t="n">
        <v>0</v>
      </c>
      <c r="M623" t="n">
        <v>0</v>
      </c>
      <c r="N623" t="n">
        <v>0</v>
      </c>
      <c r="O623" t="n">
        <v>0</v>
      </c>
      <c r="P623" t="n">
        <v>0</v>
      </c>
      <c r="Q623" t="n">
        <v>0</v>
      </c>
      <c r="R623" s="2" t="inlineStr"/>
    </row>
    <row r="624" ht="15" customHeight="1">
      <c r="A624" t="inlineStr">
        <is>
          <t>A 21732-2023</t>
        </is>
      </c>
      <c r="B624" s="1" t="n">
        <v>45063</v>
      </c>
      <c r="C624" s="1" t="n">
        <v>46094</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23307-2024</t>
        </is>
      </c>
      <c r="B625" s="1" t="n">
        <v>45453</v>
      </c>
      <c r="C625" s="1" t="n">
        <v>46094</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50569-2022</t>
        </is>
      </c>
      <c r="B626" s="1" t="n">
        <v>44866.63775462963</v>
      </c>
      <c r="C626" s="1" t="n">
        <v>46094</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24501-2023</t>
        </is>
      </c>
      <c r="B627" s="1" t="n">
        <v>45082</v>
      </c>
      <c r="C627" s="1" t="n">
        <v>46094</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24520-2023</t>
        </is>
      </c>
      <c r="B628" s="1" t="n">
        <v>45082.68922453704</v>
      </c>
      <c r="C628" s="1" t="n">
        <v>46094</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60654-2023</t>
        </is>
      </c>
      <c r="B629" s="1" t="n">
        <v>45260.43225694444</v>
      </c>
      <c r="C629" s="1" t="n">
        <v>46094</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60656-2023</t>
        </is>
      </c>
      <c r="B630" s="1" t="n">
        <v>45260.4333449074</v>
      </c>
      <c r="C630" s="1" t="n">
        <v>46094</v>
      </c>
      <c r="D630" t="inlineStr">
        <is>
          <t>STOCKHOLMS LÄN</t>
        </is>
      </c>
      <c r="E630" t="inlineStr">
        <is>
          <t>NORRTÄLJE</t>
        </is>
      </c>
      <c r="G630" t="n">
        <v>4.8</v>
      </c>
      <c r="H630" t="n">
        <v>0</v>
      </c>
      <c r="I630" t="n">
        <v>0</v>
      </c>
      <c r="J630" t="n">
        <v>0</v>
      </c>
      <c r="K630" t="n">
        <v>0</v>
      </c>
      <c r="L630" t="n">
        <v>0</v>
      </c>
      <c r="M630" t="n">
        <v>0</v>
      </c>
      <c r="N630" t="n">
        <v>0</v>
      </c>
      <c r="O630" t="n">
        <v>0</v>
      </c>
      <c r="P630" t="n">
        <v>0</v>
      </c>
      <c r="Q630" t="n">
        <v>0</v>
      </c>
      <c r="R630" s="2" t="inlineStr"/>
    </row>
    <row r="631" ht="15" customHeight="1">
      <c r="A631" t="inlineStr">
        <is>
          <t>A 54496-2024</t>
        </is>
      </c>
      <c r="B631" s="1" t="n">
        <v>45617.57439814815</v>
      </c>
      <c r="C631" s="1" t="n">
        <v>46094</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21386-2023</t>
        </is>
      </c>
      <c r="B632" s="1" t="n">
        <v>45063.35880787037</v>
      </c>
      <c r="C632" s="1" t="n">
        <v>46094</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10642-2025</t>
        </is>
      </c>
      <c r="B633" s="1" t="n">
        <v>45721.65858796296</v>
      </c>
      <c r="C633" s="1" t="n">
        <v>46094</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37085-2021</t>
        </is>
      </c>
      <c r="B634" s="1" t="n">
        <v>44395</v>
      </c>
      <c r="C634" s="1" t="n">
        <v>46094</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56428-2023</t>
        </is>
      </c>
      <c r="B635" s="1" t="n">
        <v>45243.45289351852</v>
      </c>
      <c r="C635" s="1" t="n">
        <v>46094</v>
      </c>
      <c r="D635" t="inlineStr">
        <is>
          <t>STOCKHOLMS LÄN</t>
        </is>
      </c>
      <c r="E635" t="inlineStr">
        <is>
          <t>NORRTÄLJE</t>
        </is>
      </c>
      <c r="F635" t="inlineStr">
        <is>
          <t>Kyrkan</t>
        </is>
      </c>
      <c r="G635" t="n">
        <v>1.3</v>
      </c>
      <c r="H635" t="n">
        <v>0</v>
      </c>
      <c r="I635" t="n">
        <v>0</v>
      </c>
      <c r="J635" t="n">
        <v>0</v>
      </c>
      <c r="K635" t="n">
        <v>0</v>
      </c>
      <c r="L635" t="n">
        <v>0</v>
      </c>
      <c r="M635" t="n">
        <v>0</v>
      </c>
      <c r="N635" t="n">
        <v>0</v>
      </c>
      <c r="O635" t="n">
        <v>0</v>
      </c>
      <c r="P635" t="n">
        <v>0</v>
      </c>
      <c r="Q635" t="n">
        <v>0</v>
      </c>
      <c r="R635" s="2" t="inlineStr"/>
    </row>
    <row r="636" ht="15" customHeight="1">
      <c r="A636" t="inlineStr">
        <is>
          <t>A 20144-2023</t>
        </is>
      </c>
      <c r="B636" s="1" t="n">
        <v>45055.43509259259</v>
      </c>
      <c r="C636" s="1" t="n">
        <v>46094</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53312-2024</t>
        </is>
      </c>
      <c r="B637" s="1" t="n">
        <v>45614.39627314815</v>
      </c>
      <c r="C637" s="1" t="n">
        <v>46094</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30639-2025</t>
        </is>
      </c>
      <c r="B638" s="1" t="n">
        <v>45831.4844212963</v>
      </c>
      <c r="C638" s="1" t="n">
        <v>46094</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30668-2025</t>
        </is>
      </c>
      <c r="B639" s="1" t="n">
        <v>45831.51659722222</v>
      </c>
      <c r="C639" s="1" t="n">
        <v>46094</v>
      </c>
      <c r="D639" t="inlineStr">
        <is>
          <t>STOCKHOLMS LÄN</t>
        </is>
      </c>
      <c r="E639" t="inlineStr">
        <is>
          <t>NORRTÄLJE</t>
        </is>
      </c>
      <c r="G639" t="n">
        <v>4.9</v>
      </c>
      <c r="H639" t="n">
        <v>0</v>
      </c>
      <c r="I639" t="n">
        <v>0</v>
      </c>
      <c r="J639" t="n">
        <v>0</v>
      </c>
      <c r="K639" t="n">
        <v>0</v>
      </c>
      <c r="L639" t="n">
        <v>0</v>
      </c>
      <c r="M639" t="n">
        <v>0</v>
      </c>
      <c r="N639" t="n">
        <v>0</v>
      </c>
      <c r="O639" t="n">
        <v>0</v>
      </c>
      <c r="P639" t="n">
        <v>0</v>
      </c>
      <c r="Q639" t="n">
        <v>0</v>
      </c>
      <c r="R639" s="2" t="inlineStr"/>
    </row>
    <row r="640" ht="15" customHeight="1">
      <c r="A640" t="inlineStr">
        <is>
          <t>A 39202-2024</t>
        </is>
      </c>
      <c r="B640" s="1" t="n">
        <v>45548.72306712963</v>
      </c>
      <c r="C640" s="1" t="n">
        <v>46094</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17556-2025</t>
        </is>
      </c>
      <c r="B641" s="1" t="n">
        <v>45757.62482638889</v>
      </c>
      <c r="C641" s="1" t="n">
        <v>46094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22756-2022</t>
        </is>
      </c>
      <c r="B642" s="1" t="n">
        <v>44714.92253472222</v>
      </c>
      <c r="C642" s="1" t="n">
        <v>46094</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4581-2025</t>
        </is>
      </c>
      <c r="B643" s="1" t="n">
        <v>45687</v>
      </c>
      <c r="C643" s="1" t="n">
        <v>46094</v>
      </c>
      <c r="D643" t="inlineStr">
        <is>
          <t>STOCKHOLMS LÄN</t>
        </is>
      </c>
      <c r="E643" t="inlineStr">
        <is>
          <t>NORRTÄLJE</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42094-2023</t>
        </is>
      </c>
      <c r="B644" s="1" t="n">
        <v>45177.61498842593</v>
      </c>
      <c r="C644" s="1" t="n">
        <v>46094</v>
      </c>
      <c r="D644" t="inlineStr">
        <is>
          <t>STOCKHOLMS LÄN</t>
        </is>
      </c>
      <c r="E644" t="inlineStr">
        <is>
          <t>NORRTÄLJE</t>
        </is>
      </c>
      <c r="G644" t="n">
        <v>0.3</v>
      </c>
      <c r="H644" t="n">
        <v>0</v>
      </c>
      <c r="I644" t="n">
        <v>0</v>
      </c>
      <c r="J644" t="n">
        <v>0</v>
      </c>
      <c r="K644" t="n">
        <v>0</v>
      </c>
      <c r="L644" t="n">
        <v>0</v>
      </c>
      <c r="M644" t="n">
        <v>0</v>
      </c>
      <c r="N644" t="n">
        <v>0</v>
      </c>
      <c r="O644" t="n">
        <v>0</v>
      </c>
      <c r="P644" t="n">
        <v>0</v>
      </c>
      <c r="Q644" t="n">
        <v>0</v>
      </c>
      <c r="R644" s="2" t="inlineStr"/>
    </row>
    <row r="645" ht="15" customHeight="1">
      <c r="A645" t="inlineStr">
        <is>
          <t>A 60765-2023</t>
        </is>
      </c>
      <c r="B645" s="1" t="n">
        <v>45260</v>
      </c>
      <c r="C645" s="1" t="n">
        <v>46094</v>
      </c>
      <c r="D645" t="inlineStr">
        <is>
          <t>STOCKHOLMS LÄN</t>
        </is>
      </c>
      <c r="E645" t="inlineStr">
        <is>
          <t>NORRTÄLJE</t>
        </is>
      </c>
      <c r="G645" t="n">
        <v>3.7</v>
      </c>
      <c r="H645" t="n">
        <v>0</v>
      </c>
      <c r="I645" t="n">
        <v>0</v>
      </c>
      <c r="J645" t="n">
        <v>0</v>
      </c>
      <c r="K645" t="n">
        <v>0</v>
      </c>
      <c r="L645" t="n">
        <v>0</v>
      </c>
      <c r="M645" t="n">
        <v>0</v>
      </c>
      <c r="N645" t="n">
        <v>0</v>
      </c>
      <c r="O645" t="n">
        <v>0</v>
      </c>
      <c r="P645" t="n">
        <v>0</v>
      </c>
      <c r="Q645" t="n">
        <v>0</v>
      </c>
      <c r="R645" s="2" t="inlineStr"/>
    </row>
    <row r="646" ht="15" customHeight="1">
      <c r="A646" t="inlineStr">
        <is>
          <t>A 31170-2025</t>
        </is>
      </c>
      <c r="B646" s="1" t="n">
        <v>45832.66385416667</v>
      </c>
      <c r="C646" s="1" t="n">
        <v>46094</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23801-2022</t>
        </is>
      </c>
      <c r="B647" s="1" t="n">
        <v>44722</v>
      </c>
      <c r="C647" s="1" t="n">
        <v>46094</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59276-2023</t>
        </is>
      </c>
      <c r="B648" s="1" t="n">
        <v>45253.55641203704</v>
      </c>
      <c r="C648" s="1" t="n">
        <v>46094</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46914-2022</t>
        </is>
      </c>
      <c r="B649" s="1" t="n">
        <v>44851</v>
      </c>
      <c r="C649" s="1" t="n">
        <v>46094</v>
      </c>
      <c r="D649" t="inlineStr">
        <is>
          <t>STOCKHOLMS LÄN</t>
        </is>
      </c>
      <c r="E649" t="inlineStr">
        <is>
          <t>NORRTÄLJE</t>
        </is>
      </c>
      <c r="G649" t="n">
        <v>2.4</v>
      </c>
      <c r="H649" t="n">
        <v>0</v>
      </c>
      <c r="I649" t="n">
        <v>0</v>
      </c>
      <c r="J649" t="n">
        <v>0</v>
      </c>
      <c r="K649" t="n">
        <v>0</v>
      </c>
      <c r="L649" t="n">
        <v>0</v>
      </c>
      <c r="M649" t="n">
        <v>0</v>
      </c>
      <c r="N649" t="n">
        <v>0</v>
      </c>
      <c r="O649" t="n">
        <v>0</v>
      </c>
      <c r="P649" t="n">
        <v>0</v>
      </c>
      <c r="Q649" t="n">
        <v>0</v>
      </c>
      <c r="R649" s="2" t="inlineStr"/>
    </row>
    <row r="650" ht="15" customHeight="1">
      <c r="A650" t="inlineStr">
        <is>
          <t>A 18541-2023</t>
        </is>
      </c>
      <c r="B650" s="1" t="n">
        <v>45042.74291666667</v>
      </c>
      <c r="C650" s="1" t="n">
        <v>46094</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31880-2025</t>
        </is>
      </c>
      <c r="B651" s="1" t="n">
        <v>45834.65538194445</v>
      </c>
      <c r="C651" s="1" t="n">
        <v>46094</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8370-2025</t>
        </is>
      </c>
      <c r="B652" s="1" t="n">
        <v>45708</v>
      </c>
      <c r="C652" s="1" t="n">
        <v>46094</v>
      </c>
      <c r="D652" t="inlineStr">
        <is>
          <t>STOCKHOLMS LÄN</t>
        </is>
      </c>
      <c r="E652" t="inlineStr">
        <is>
          <t>NORRTÄLJE</t>
        </is>
      </c>
      <c r="F652" t="inlineStr">
        <is>
          <t>Övriga Aktiebolag</t>
        </is>
      </c>
      <c r="G652" t="n">
        <v>5.6</v>
      </c>
      <c r="H652" t="n">
        <v>0</v>
      </c>
      <c r="I652" t="n">
        <v>0</v>
      </c>
      <c r="J652" t="n">
        <v>0</v>
      </c>
      <c r="K652" t="n">
        <v>0</v>
      </c>
      <c r="L652" t="n">
        <v>0</v>
      </c>
      <c r="M652" t="n">
        <v>0</v>
      </c>
      <c r="N652" t="n">
        <v>0</v>
      </c>
      <c r="O652" t="n">
        <v>0</v>
      </c>
      <c r="P652" t="n">
        <v>0</v>
      </c>
      <c r="Q652" t="n">
        <v>0</v>
      </c>
      <c r="R652" s="2" t="inlineStr"/>
    </row>
    <row r="653" ht="15" customHeight="1">
      <c r="A653" t="inlineStr">
        <is>
          <t>A 32122-2025</t>
        </is>
      </c>
      <c r="B653" s="1" t="n">
        <v>45835.4928125</v>
      </c>
      <c r="C653" s="1" t="n">
        <v>46094</v>
      </c>
      <c r="D653" t="inlineStr">
        <is>
          <t>STOCKHOLMS LÄN</t>
        </is>
      </c>
      <c r="E653" t="inlineStr">
        <is>
          <t>NORRTÄLJE</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3299-2022</t>
        </is>
      </c>
      <c r="B654" s="1" t="n">
        <v>44584.91001157407</v>
      </c>
      <c r="C654" s="1" t="n">
        <v>46094</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31868-2025</t>
        </is>
      </c>
      <c r="B655" s="1" t="n">
        <v>45834.6447337963</v>
      </c>
      <c r="C655" s="1" t="n">
        <v>46094</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6413-2025</t>
        </is>
      </c>
      <c r="B656" s="1" t="n">
        <v>45699.46283564815</v>
      </c>
      <c r="C656" s="1" t="n">
        <v>46094</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3509-2022</t>
        </is>
      </c>
      <c r="B657" s="1" t="n">
        <v>44585</v>
      </c>
      <c r="C657" s="1" t="n">
        <v>46094</v>
      </c>
      <c r="D657" t="inlineStr">
        <is>
          <t>STOCKHOLMS LÄN</t>
        </is>
      </c>
      <c r="E657" t="inlineStr">
        <is>
          <t>NORRTÄLJE</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26407-2024</t>
        </is>
      </c>
      <c r="B658" s="1" t="n">
        <v>45469</v>
      </c>
      <c r="C658" s="1" t="n">
        <v>46094</v>
      </c>
      <c r="D658" t="inlineStr">
        <is>
          <t>STOCKHOLMS LÄN</t>
        </is>
      </c>
      <c r="E658" t="inlineStr">
        <is>
          <t>NORRTÄLJE</t>
        </is>
      </c>
      <c r="G658" t="n">
        <v>3.5</v>
      </c>
      <c r="H658" t="n">
        <v>0</v>
      </c>
      <c r="I658" t="n">
        <v>0</v>
      </c>
      <c r="J658" t="n">
        <v>0</v>
      </c>
      <c r="K658" t="n">
        <v>0</v>
      </c>
      <c r="L658" t="n">
        <v>0</v>
      </c>
      <c r="M658" t="n">
        <v>0</v>
      </c>
      <c r="N658" t="n">
        <v>0</v>
      </c>
      <c r="O658" t="n">
        <v>0</v>
      </c>
      <c r="P658" t="n">
        <v>0</v>
      </c>
      <c r="Q658" t="n">
        <v>0</v>
      </c>
      <c r="R658" s="2" t="inlineStr"/>
    </row>
    <row r="659" ht="15" customHeight="1">
      <c r="A659" t="inlineStr">
        <is>
          <t>A 12890-2024</t>
        </is>
      </c>
      <c r="B659" s="1" t="n">
        <v>45385.36243055556</v>
      </c>
      <c r="C659" s="1" t="n">
        <v>46094</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12348-2025</t>
        </is>
      </c>
      <c r="B660" s="1" t="n">
        <v>45730.35026620371</v>
      </c>
      <c r="C660" s="1" t="n">
        <v>46094</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32016-2025</t>
        </is>
      </c>
      <c r="B661" s="1" t="n">
        <v>45835</v>
      </c>
      <c r="C661" s="1" t="n">
        <v>46094</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17545-2025</t>
        </is>
      </c>
      <c r="B662" s="1" t="n">
        <v>45757.60658564815</v>
      </c>
      <c r="C662" s="1" t="n">
        <v>46094</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32283-2025</t>
        </is>
      </c>
      <c r="B663" s="1" t="n">
        <v>45835.68076388889</v>
      </c>
      <c r="C663" s="1" t="n">
        <v>46094</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47419-2023</t>
        </is>
      </c>
      <c r="B664" s="1" t="n">
        <v>45202.65660879629</v>
      </c>
      <c r="C664" s="1" t="n">
        <v>46094</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23070-2023</t>
        </is>
      </c>
      <c r="B665" s="1" t="n">
        <v>45075</v>
      </c>
      <c r="C665" s="1" t="n">
        <v>46094</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25094-2023</t>
        </is>
      </c>
      <c r="B666" s="1" t="n">
        <v>45086.3629050926</v>
      </c>
      <c r="C666" s="1" t="n">
        <v>46094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31874-2025</t>
        </is>
      </c>
      <c r="B667" s="1" t="n">
        <v>45834</v>
      </c>
      <c r="C667" s="1" t="n">
        <v>46094</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36157-2024</t>
        </is>
      </c>
      <c r="B668" s="1" t="n">
        <v>45534.38240740741</v>
      </c>
      <c r="C668" s="1" t="n">
        <v>46094</v>
      </c>
      <c r="D668" t="inlineStr">
        <is>
          <t>STOCKHOLMS LÄN</t>
        </is>
      </c>
      <c r="E668" t="inlineStr">
        <is>
          <t>NORRTÄLJE</t>
        </is>
      </c>
      <c r="F668" t="inlineStr">
        <is>
          <t>Övriga Aktiebolag</t>
        </is>
      </c>
      <c r="G668" t="n">
        <v>1.1</v>
      </c>
      <c r="H668" t="n">
        <v>0</v>
      </c>
      <c r="I668" t="n">
        <v>0</v>
      </c>
      <c r="J668" t="n">
        <v>0</v>
      </c>
      <c r="K668" t="n">
        <v>0</v>
      </c>
      <c r="L668" t="n">
        <v>0</v>
      </c>
      <c r="M668" t="n">
        <v>0</v>
      </c>
      <c r="N668" t="n">
        <v>0</v>
      </c>
      <c r="O668" t="n">
        <v>0</v>
      </c>
      <c r="P668" t="n">
        <v>0</v>
      </c>
      <c r="Q668" t="n">
        <v>0</v>
      </c>
      <c r="R668" s="2" t="inlineStr"/>
    </row>
    <row r="669" ht="15" customHeight="1">
      <c r="A669" t="inlineStr">
        <is>
          <t>A 27824-2022</t>
        </is>
      </c>
      <c r="B669" s="1" t="n">
        <v>44743.59331018518</v>
      </c>
      <c r="C669" s="1" t="n">
        <v>46094</v>
      </c>
      <c r="D669" t="inlineStr">
        <is>
          <t>STOCKHOLMS LÄN</t>
        </is>
      </c>
      <c r="E669" t="inlineStr">
        <is>
          <t>NORRTÄLJE</t>
        </is>
      </c>
      <c r="F669" t="inlineStr">
        <is>
          <t>Kommuner</t>
        </is>
      </c>
      <c r="G669" t="n">
        <v>3.1</v>
      </c>
      <c r="H669" t="n">
        <v>0</v>
      </c>
      <c r="I669" t="n">
        <v>0</v>
      </c>
      <c r="J669" t="n">
        <v>0</v>
      </c>
      <c r="K669" t="n">
        <v>0</v>
      </c>
      <c r="L669" t="n">
        <v>0</v>
      </c>
      <c r="M669" t="n">
        <v>0</v>
      </c>
      <c r="N669" t="n">
        <v>0</v>
      </c>
      <c r="O669" t="n">
        <v>0</v>
      </c>
      <c r="P669" t="n">
        <v>0</v>
      </c>
      <c r="Q669" t="n">
        <v>0</v>
      </c>
      <c r="R669" s="2" t="inlineStr"/>
    </row>
    <row r="670" ht="15" customHeight="1">
      <c r="A670" t="inlineStr">
        <is>
          <t>A 32094-2025</t>
        </is>
      </c>
      <c r="B670" s="1" t="n">
        <v>45835.46034722222</v>
      </c>
      <c r="C670" s="1" t="n">
        <v>46094</v>
      </c>
      <c r="D670" t="inlineStr">
        <is>
          <t>STOCKHOLMS LÄN</t>
        </is>
      </c>
      <c r="E670" t="inlineStr">
        <is>
          <t>NORRTÄLJE</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25619-2022</t>
        </is>
      </c>
      <c r="B671" s="1" t="n">
        <v>44732</v>
      </c>
      <c r="C671" s="1" t="n">
        <v>46094</v>
      </c>
      <c r="D671" t="inlineStr">
        <is>
          <t>STOCKHOLMS LÄN</t>
        </is>
      </c>
      <c r="E671" t="inlineStr">
        <is>
          <t>NORRTÄLJE</t>
        </is>
      </c>
      <c r="G671" t="n">
        <v>3.9</v>
      </c>
      <c r="H671" t="n">
        <v>0</v>
      </c>
      <c r="I671" t="n">
        <v>0</v>
      </c>
      <c r="J671" t="n">
        <v>0</v>
      </c>
      <c r="K671" t="n">
        <v>0</v>
      </c>
      <c r="L671" t="n">
        <v>0</v>
      </c>
      <c r="M671" t="n">
        <v>0</v>
      </c>
      <c r="N671" t="n">
        <v>0</v>
      </c>
      <c r="O671" t="n">
        <v>0</v>
      </c>
      <c r="P671" t="n">
        <v>0</v>
      </c>
      <c r="Q671" t="n">
        <v>0</v>
      </c>
      <c r="R671" s="2" t="inlineStr"/>
    </row>
    <row r="672" ht="15" customHeight="1">
      <c r="A672" t="inlineStr">
        <is>
          <t>A 47694-2023</t>
        </is>
      </c>
      <c r="B672" s="1" t="n">
        <v>45203.63303240741</v>
      </c>
      <c r="C672" s="1" t="n">
        <v>46094</v>
      </c>
      <c r="D672" t="inlineStr">
        <is>
          <t>STOCKHOLMS LÄN</t>
        </is>
      </c>
      <c r="E672" t="inlineStr">
        <is>
          <t>NORRTÄLJE</t>
        </is>
      </c>
      <c r="G672" t="n">
        <v>5.2</v>
      </c>
      <c r="H672" t="n">
        <v>0</v>
      </c>
      <c r="I672" t="n">
        <v>0</v>
      </c>
      <c r="J672" t="n">
        <v>0</v>
      </c>
      <c r="K672" t="n">
        <v>0</v>
      </c>
      <c r="L672" t="n">
        <v>0</v>
      </c>
      <c r="M672" t="n">
        <v>0</v>
      </c>
      <c r="N672" t="n">
        <v>0</v>
      </c>
      <c r="O672" t="n">
        <v>0</v>
      </c>
      <c r="P672" t="n">
        <v>0</v>
      </c>
      <c r="Q672" t="n">
        <v>0</v>
      </c>
      <c r="R672" s="2" t="inlineStr"/>
    </row>
    <row r="673" ht="15" customHeight="1">
      <c r="A673" t="inlineStr">
        <is>
          <t>A 35532-2024</t>
        </is>
      </c>
      <c r="B673" s="1" t="n">
        <v>45531</v>
      </c>
      <c r="C673" s="1" t="n">
        <v>46094</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32480-2025</t>
        </is>
      </c>
      <c r="B674" s="1" t="n">
        <v>45838.43261574074</v>
      </c>
      <c r="C674" s="1" t="n">
        <v>46094</v>
      </c>
      <c r="D674" t="inlineStr">
        <is>
          <t>STOCKHOLMS LÄN</t>
        </is>
      </c>
      <c r="E674" t="inlineStr">
        <is>
          <t>NORRTÄLJE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32872-2025</t>
        </is>
      </c>
      <c r="B675" s="1" t="n">
        <v>45839</v>
      </c>
      <c r="C675" s="1" t="n">
        <v>46094</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32903-2025</t>
        </is>
      </c>
      <c r="B676" s="1" t="n">
        <v>45839.62398148148</v>
      </c>
      <c r="C676" s="1" t="n">
        <v>46094</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36246-2021</t>
        </is>
      </c>
      <c r="B677" s="1" t="n">
        <v>44390</v>
      </c>
      <c r="C677" s="1" t="n">
        <v>46094</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1654-2025</t>
        </is>
      </c>
      <c r="B678" s="1" t="n">
        <v>45670.65921296296</v>
      </c>
      <c r="C678" s="1" t="n">
        <v>46094</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62644-2023</t>
        </is>
      </c>
      <c r="B679" s="1" t="n">
        <v>45271</v>
      </c>
      <c r="C679" s="1" t="n">
        <v>46094</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32395-2025</t>
        </is>
      </c>
      <c r="B680" s="1" t="n">
        <v>45837.93730324074</v>
      </c>
      <c r="C680" s="1" t="n">
        <v>46094</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32396-2025</t>
        </is>
      </c>
      <c r="B681" s="1" t="n">
        <v>45837</v>
      </c>
      <c r="C681" s="1" t="n">
        <v>46094</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32397-2025</t>
        </is>
      </c>
      <c r="B682" s="1" t="n">
        <v>45837.94081018519</v>
      </c>
      <c r="C682" s="1" t="n">
        <v>46094</v>
      </c>
      <c r="D682" t="inlineStr">
        <is>
          <t>STOCKHOLMS LÄN</t>
        </is>
      </c>
      <c r="E682" t="inlineStr">
        <is>
          <t>NORRTÄLJE</t>
        </is>
      </c>
      <c r="G682" t="n">
        <v>5.9</v>
      </c>
      <c r="H682" t="n">
        <v>0</v>
      </c>
      <c r="I682" t="n">
        <v>0</v>
      </c>
      <c r="J682" t="n">
        <v>0</v>
      </c>
      <c r="K682" t="n">
        <v>0</v>
      </c>
      <c r="L682" t="n">
        <v>0</v>
      </c>
      <c r="M682" t="n">
        <v>0</v>
      </c>
      <c r="N682" t="n">
        <v>0</v>
      </c>
      <c r="O682" t="n">
        <v>0</v>
      </c>
      <c r="P682" t="n">
        <v>0</v>
      </c>
      <c r="Q682" t="n">
        <v>0</v>
      </c>
      <c r="R682" s="2" t="inlineStr"/>
    </row>
    <row r="683" ht="15" customHeight="1">
      <c r="A683" t="inlineStr">
        <is>
          <t>A 19952-2023</t>
        </is>
      </c>
      <c r="B683" s="1" t="n">
        <v>45054.54091435186</v>
      </c>
      <c r="C683" s="1" t="n">
        <v>46094</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19994-2023</t>
        </is>
      </c>
      <c r="B684" s="1" t="n">
        <v>45054</v>
      </c>
      <c r="C684" s="1" t="n">
        <v>46094</v>
      </c>
      <c r="D684" t="inlineStr">
        <is>
          <t>STOCKHOLMS LÄN</t>
        </is>
      </c>
      <c r="E684" t="inlineStr">
        <is>
          <t>NORRTÄLJE</t>
        </is>
      </c>
      <c r="G684" t="n">
        <v>4.3</v>
      </c>
      <c r="H684" t="n">
        <v>0</v>
      </c>
      <c r="I684" t="n">
        <v>0</v>
      </c>
      <c r="J684" t="n">
        <v>0</v>
      </c>
      <c r="K684" t="n">
        <v>0</v>
      </c>
      <c r="L684" t="n">
        <v>0</v>
      </c>
      <c r="M684" t="n">
        <v>0</v>
      </c>
      <c r="N684" t="n">
        <v>0</v>
      </c>
      <c r="O684" t="n">
        <v>0</v>
      </c>
      <c r="P684" t="n">
        <v>0</v>
      </c>
      <c r="Q684" t="n">
        <v>0</v>
      </c>
      <c r="R684" s="2" t="inlineStr"/>
    </row>
    <row r="685" ht="15" customHeight="1">
      <c r="A685" t="inlineStr">
        <is>
          <t>A 39692-2025</t>
        </is>
      </c>
      <c r="B685" s="1" t="n">
        <v>45890.68083333333</v>
      </c>
      <c r="C685" s="1" t="n">
        <v>46094</v>
      </c>
      <c r="D685" t="inlineStr">
        <is>
          <t>STOCKHOLMS LÄN</t>
        </is>
      </c>
      <c r="E685" t="inlineStr">
        <is>
          <t>NORRTÄLJE</t>
        </is>
      </c>
      <c r="G685" t="n">
        <v>10.5</v>
      </c>
      <c r="H685" t="n">
        <v>0</v>
      </c>
      <c r="I685" t="n">
        <v>0</v>
      </c>
      <c r="J685" t="n">
        <v>0</v>
      </c>
      <c r="K685" t="n">
        <v>0</v>
      </c>
      <c r="L685" t="n">
        <v>0</v>
      </c>
      <c r="M685" t="n">
        <v>0</v>
      </c>
      <c r="N685" t="n">
        <v>0</v>
      </c>
      <c r="O685" t="n">
        <v>0</v>
      </c>
      <c r="P685" t="n">
        <v>0</v>
      </c>
      <c r="Q685" t="n">
        <v>0</v>
      </c>
      <c r="R685" s="2" t="inlineStr"/>
    </row>
    <row r="686" ht="15" customHeight="1">
      <c r="A686" t="inlineStr">
        <is>
          <t>A 14130-2025</t>
        </is>
      </c>
      <c r="B686" s="1" t="n">
        <v>45740.47288194444</v>
      </c>
      <c r="C686" s="1" t="n">
        <v>46094</v>
      </c>
      <c r="D686" t="inlineStr">
        <is>
          <t>STOCKHOLMS LÄN</t>
        </is>
      </c>
      <c r="E686" t="inlineStr">
        <is>
          <t>NORRTÄLJE</t>
        </is>
      </c>
      <c r="G686" t="n">
        <v>2.1</v>
      </c>
      <c r="H686" t="n">
        <v>0</v>
      </c>
      <c r="I686" t="n">
        <v>0</v>
      </c>
      <c r="J686" t="n">
        <v>0</v>
      </c>
      <c r="K686" t="n">
        <v>0</v>
      </c>
      <c r="L686" t="n">
        <v>0</v>
      </c>
      <c r="M686" t="n">
        <v>0</v>
      </c>
      <c r="N686" t="n">
        <v>0</v>
      </c>
      <c r="O686" t="n">
        <v>0</v>
      </c>
      <c r="P686" t="n">
        <v>0</v>
      </c>
      <c r="Q686" t="n">
        <v>0</v>
      </c>
      <c r="R686" s="2" t="inlineStr"/>
    </row>
    <row r="687" ht="15" customHeight="1">
      <c r="A687" t="inlineStr">
        <is>
          <t>A 11229-2022</t>
        </is>
      </c>
      <c r="B687" s="1" t="n">
        <v>44629</v>
      </c>
      <c r="C687" s="1" t="n">
        <v>46094</v>
      </c>
      <c r="D687" t="inlineStr">
        <is>
          <t>STOCKHOLMS LÄN</t>
        </is>
      </c>
      <c r="E687" t="inlineStr">
        <is>
          <t>NORRTÄLJE</t>
        </is>
      </c>
      <c r="F687" t="inlineStr">
        <is>
          <t>Övriga Aktiebolag</t>
        </is>
      </c>
      <c r="G687" t="n">
        <v>4.1</v>
      </c>
      <c r="H687" t="n">
        <v>0</v>
      </c>
      <c r="I687" t="n">
        <v>0</v>
      </c>
      <c r="J687" t="n">
        <v>0</v>
      </c>
      <c r="K687" t="n">
        <v>0</v>
      </c>
      <c r="L687" t="n">
        <v>0</v>
      </c>
      <c r="M687" t="n">
        <v>0</v>
      </c>
      <c r="N687" t="n">
        <v>0</v>
      </c>
      <c r="O687" t="n">
        <v>0</v>
      </c>
      <c r="P687" t="n">
        <v>0</v>
      </c>
      <c r="Q687" t="n">
        <v>0</v>
      </c>
      <c r="R687" s="2" t="inlineStr"/>
    </row>
    <row r="688" ht="15" customHeight="1">
      <c r="A688" t="inlineStr">
        <is>
          <t>A 574-2023</t>
        </is>
      </c>
      <c r="B688" s="1" t="n">
        <v>44925</v>
      </c>
      <c r="C688" s="1" t="n">
        <v>46094</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30283-2022</t>
        </is>
      </c>
      <c r="B689" s="1" t="n">
        <v>44760</v>
      </c>
      <c r="C689" s="1" t="n">
        <v>46094</v>
      </c>
      <c r="D689" t="inlineStr">
        <is>
          <t>STOCKHOLMS LÄN</t>
        </is>
      </c>
      <c r="E689" t="inlineStr">
        <is>
          <t>NORRTÄLJE</t>
        </is>
      </c>
      <c r="G689" t="n">
        <v>6.2</v>
      </c>
      <c r="H689" t="n">
        <v>0</v>
      </c>
      <c r="I689" t="n">
        <v>0</v>
      </c>
      <c r="J689" t="n">
        <v>0</v>
      </c>
      <c r="K689" t="n">
        <v>0</v>
      </c>
      <c r="L689" t="n">
        <v>0</v>
      </c>
      <c r="M689" t="n">
        <v>0</v>
      </c>
      <c r="N689" t="n">
        <v>0</v>
      </c>
      <c r="O689" t="n">
        <v>0</v>
      </c>
      <c r="P689" t="n">
        <v>0</v>
      </c>
      <c r="Q689" t="n">
        <v>0</v>
      </c>
      <c r="R689" s="2" t="inlineStr"/>
    </row>
    <row r="690" ht="15" customHeight="1">
      <c r="A690" t="inlineStr">
        <is>
          <t>A 30290-2022</t>
        </is>
      </c>
      <c r="B690" s="1" t="n">
        <v>44760</v>
      </c>
      <c r="C690" s="1" t="n">
        <v>46094</v>
      </c>
      <c r="D690" t="inlineStr">
        <is>
          <t>STOCKHOLMS LÄN</t>
        </is>
      </c>
      <c r="E690" t="inlineStr">
        <is>
          <t>NORRTÄLJE</t>
        </is>
      </c>
      <c r="G690" t="n">
        <v>4.8</v>
      </c>
      <c r="H690" t="n">
        <v>0</v>
      </c>
      <c r="I690" t="n">
        <v>0</v>
      </c>
      <c r="J690" t="n">
        <v>0</v>
      </c>
      <c r="K690" t="n">
        <v>0</v>
      </c>
      <c r="L690" t="n">
        <v>0</v>
      </c>
      <c r="M690" t="n">
        <v>0</v>
      </c>
      <c r="N690" t="n">
        <v>0</v>
      </c>
      <c r="O690" t="n">
        <v>0</v>
      </c>
      <c r="P690" t="n">
        <v>0</v>
      </c>
      <c r="Q690" t="n">
        <v>0</v>
      </c>
      <c r="R690" s="2" t="inlineStr"/>
    </row>
    <row r="691" ht="15" customHeight="1">
      <c r="A691" t="inlineStr">
        <is>
          <t>A 29684-2021</t>
        </is>
      </c>
      <c r="B691" s="1" t="n">
        <v>44362.37172453704</v>
      </c>
      <c r="C691" s="1" t="n">
        <v>46094</v>
      </c>
      <c r="D691" t="inlineStr">
        <is>
          <t>STOCKHOLMS LÄN</t>
        </is>
      </c>
      <c r="E691" t="inlineStr">
        <is>
          <t>NORRTÄLJE</t>
        </is>
      </c>
      <c r="F691" t="inlineStr">
        <is>
          <t>Holmen skog AB</t>
        </is>
      </c>
      <c r="G691" t="n">
        <v>1.5</v>
      </c>
      <c r="H691" t="n">
        <v>0</v>
      </c>
      <c r="I691" t="n">
        <v>0</v>
      </c>
      <c r="J691" t="n">
        <v>0</v>
      </c>
      <c r="K691" t="n">
        <v>0</v>
      </c>
      <c r="L691" t="n">
        <v>0</v>
      </c>
      <c r="M691" t="n">
        <v>0</v>
      </c>
      <c r="N691" t="n">
        <v>0</v>
      </c>
      <c r="O691" t="n">
        <v>0</v>
      </c>
      <c r="P691" t="n">
        <v>0</v>
      </c>
      <c r="Q691" t="n">
        <v>0</v>
      </c>
      <c r="R691" s="2" t="inlineStr"/>
    </row>
    <row r="692" ht="15" customHeight="1">
      <c r="A692" t="inlineStr">
        <is>
          <t>A 60884-2024</t>
        </is>
      </c>
      <c r="B692" s="1" t="n">
        <v>45644.90815972222</v>
      </c>
      <c r="C692" s="1" t="n">
        <v>46094</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57353-2024</t>
        </is>
      </c>
      <c r="B693" s="1" t="n">
        <v>45629.65143518519</v>
      </c>
      <c r="C693" s="1" t="n">
        <v>46094</v>
      </c>
      <c r="D693" t="inlineStr">
        <is>
          <t>STOCKHOLMS LÄN</t>
        </is>
      </c>
      <c r="E693" t="inlineStr">
        <is>
          <t>NORRTÄLJE</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33702-2025</t>
        </is>
      </c>
      <c r="B694" s="1" t="n">
        <v>45841.74596064815</v>
      </c>
      <c r="C694" s="1" t="n">
        <v>46094</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38610-2022</t>
        </is>
      </c>
      <c r="B695" s="1" t="n">
        <v>44813.59915509259</v>
      </c>
      <c r="C695" s="1" t="n">
        <v>46094</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48587-2023</t>
        </is>
      </c>
      <c r="B696" s="1" t="n">
        <v>45208</v>
      </c>
      <c r="C696" s="1" t="n">
        <v>46094</v>
      </c>
      <c r="D696" t="inlineStr">
        <is>
          <t>STOCKHOLMS LÄN</t>
        </is>
      </c>
      <c r="E696" t="inlineStr">
        <is>
          <t>NORRTÄLJE</t>
        </is>
      </c>
      <c r="G696" t="n">
        <v>7</v>
      </c>
      <c r="H696" t="n">
        <v>0</v>
      </c>
      <c r="I696" t="n">
        <v>0</v>
      </c>
      <c r="J696" t="n">
        <v>0</v>
      </c>
      <c r="K696" t="n">
        <v>0</v>
      </c>
      <c r="L696" t="n">
        <v>0</v>
      </c>
      <c r="M696" t="n">
        <v>0</v>
      </c>
      <c r="N696" t="n">
        <v>0</v>
      </c>
      <c r="O696" t="n">
        <v>0</v>
      </c>
      <c r="P696" t="n">
        <v>0</v>
      </c>
      <c r="Q696" t="n">
        <v>0</v>
      </c>
      <c r="R696" s="2" t="inlineStr"/>
    </row>
    <row r="697" ht="15" customHeight="1">
      <c r="A697" t="inlineStr">
        <is>
          <t>A 10090-2022</t>
        </is>
      </c>
      <c r="B697" s="1" t="n">
        <v>44621</v>
      </c>
      <c r="C697" s="1" t="n">
        <v>46094</v>
      </c>
      <c r="D697" t="inlineStr">
        <is>
          <t>STOCKHOLMS LÄN</t>
        </is>
      </c>
      <c r="E697" t="inlineStr">
        <is>
          <t>NORRTÄLJE</t>
        </is>
      </c>
      <c r="G697" t="n">
        <v>5.2</v>
      </c>
      <c r="H697" t="n">
        <v>0</v>
      </c>
      <c r="I697" t="n">
        <v>0</v>
      </c>
      <c r="J697" t="n">
        <v>0</v>
      </c>
      <c r="K697" t="n">
        <v>0</v>
      </c>
      <c r="L697" t="n">
        <v>0</v>
      </c>
      <c r="M697" t="n">
        <v>0</v>
      </c>
      <c r="N697" t="n">
        <v>0</v>
      </c>
      <c r="O697" t="n">
        <v>0</v>
      </c>
      <c r="P697" t="n">
        <v>0</v>
      </c>
      <c r="Q697" t="n">
        <v>0</v>
      </c>
      <c r="R697" s="2" t="inlineStr"/>
    </row>
    <row r="698" ht="15" customHeight="1">
      <c r="A698" t="inlineStr">
        <is>
          <t>A 14724-2022</t>
        </is>
      </c>
      <c r="B698" s="1" t="n">
        <v>44656</v>
      </c>
      <c r="C698" s="1" t="n">
        <v>46094</v>
      </c>
      <c r="D698" t="inlineStr">
        <is>
          <t>STOCKHOLMS LÄN</t>
        </is>
      </c>
      <c r="E698" t="inlineStr">
        <is>
          <t>NORRTÄLJE</t>
        </is>
      </c>
      <c r="F698" t="inlineStr">
        <is>
          <t>Sveaskog</t>
        </is>
      </c>
      <c r="G698" t="n">
        <v>9</v>
      </c>
      <c r="H698" t="n">
        <v>0</v>
      </c>
      <c r="I698" t="n">
        <v>0</v>
      </c>
      <c r="J698" t="n">
        <v>0</v>
      </c>
      <c r="K698" t="n">
        <v>0</v>
      </c>
      <c r="L698" t="n">
        <v>0</v>
      </c>
      <c r="M698" t="n">
        <v>0</v>
      </c>
      <c r="N698" t="n">
        <v>0</v>
      </c>
      <c r="O698" t="n">
        <v>0</v>
      </c>
      <c r="P698" t="n">
        <v>0</v>
      </c>
      <c r="Q698" t="n">
        <v>0</v>
      </c>
      <c r="R698" s="2" t="inlineStr"/>
    </row>
    <row r="699" ht="15" customHeight="1">
      <c r="A699" t="inlineStr">
        <is>
          <t>A 33211-2025</t>
        </is>
      </c>
      <c r="B699" s="1" t="n">
        <v>45840.62755787037</v>
      </c>
      <c r="C699" s="1" t="n">
        <v>46094</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2549-2022</t>
        </is>
      </c>
      <c r="B700" s="1" t="n">
        <v>44580</v>
      </c>
      <c r="C700" s="1" t="n">
        <v>46094</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18846-2022</t>
        </is>
      </c>
      <c r="B701" s="1" t="n">
        <v>44690</v>
      </c>
      <c r="C701" s="1" t="n">
        <v>46094</v>
      </c>
      <c r="D701" t="inlineStr">
        <is>
          <t>STOCKHOLMS LÄN</t>
        </is>
      </c>
      <c r="E701" t="inlineStr">
        <is>
          <t>NORRTÄLJE</t>
        </is>
      </c>
      <c r="G701" t="n">
        <v>7</v>
      </c>
      <c r="H701" t="n">
        <v>0</v>
      </c>
      <c r="I701" t="n">
        <v>0</v>
      </c>
      <c r="J701" t="n">
        <v>0</v>
      </c>
      <c r="K701" t="n">
        <v>0</v>
      </c>
      <c r="L701" t="n">
        <v>0</v>
      </c>
      <c r="M701" t="n">
        <v>0</v>
      </c>
      <c r="N701" t="n">
        <v>0</v>
      </c>
      <c r="O701" t="n">
        <v>0</v>
      </c>
      <c r="P701" t="n">
        <v>0</v>
      </c>
      <c r="Q701" t="n">
        <v>0</v>
      </c>
      <c r="R701" s="2" t="inlineStr"/>
    </row>
    <row r="702" ht="15" customHeight="1">
      <c r="A702" t="inlineStr">
        <is>
          <t>A 43300-2023</t>
        </is>
      </c>
      <c r="B702" s="1" t="n">
        <v>45183</v>
      </c>
      <c r="C702" s="1" t="n">
        <v>46094</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4438-2023</t>
        </is>
      </c>
      <c r="B703" s="1" t="n">
        <v>44956</v>
      </c>
      <c r="C703" s="1" t="n">
        <v>46094</v>
      </c>
      <c r="D703" t="inlineStr">
        <is>
          <t>STOCKHOLMS LÄN</t>
        </is>
      </c>
      <c r="E703" t="inlineStr">
        <is>
          <t>NORRTÄLJE</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25654-2023</t>
        </is>
      </c>
      <c r="B704" s="1" t="n">
        <v>45089</v>
      </c>
      <c r="C704" s="1" t="n">
        <v>46094</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35639-2025</t>
        </is>
      </c>
      <c r="B705" s="1" t="n">
        <v>45859</v>
      </c>
      <c r="C705" s="1" t="n">
        <v>46094</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47758-2023</t>
        </is>
      </c>
      <c r="B706" s="1" t="n">
        <v>45203.83891203703</v>
      </c>
      <c r="C706" s="1" t="n">
        <v>46094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33265-2025</t>
        </is>
      </c>
      <c r="B707" s="1" t="n">
        <v>45840.67829861111</v>
      </c>
      <c r="C707" s="1" t="n">
        <v>46094</v>
      </c>
      <c r="D707" t="inlineStr">
        <is>
          <t>STOCKHOLMS LÄN</t>
        </is>
      </c>
      <c r="E707" t="inlineStr">
        <is>
          <t>NORRTÄLJE</t>
        </is>
      </c>
      <c r="G707" t="n">
        <v>5.5</v>
      </c>
      <c r="H707" t="n">
        <v>0</v>
      </c>
      <c r="I707" t="n">
        <v>0</v>
      </c>
      <c r="J707" t="n">
        <v>0</v>
      </c>
      <c r="K707" t="n">
        <v>0</v>
      </c>
      <c r="L707" t="n">
        <v>0</v>
      </c>
      <c r="M707" t="n">
        <v>0</v>
      </c>
      <c r="N707" t="n">
        <v>0</v>
      </c>
      <c r="O707" t="n">
        <v>0</v>
      </c>
      <c r="P707" t="n">
        <v>0</v>
      </c>
      <c r="Q707" t="n">
        <v>0</v>
      </c>
      <c r="R707" s="2" t="inlineStr"/>
    </row>
    <row r="708" ht="15" customHeight="1">
      <c r="A708" t="inlineStr">
        <is>
          <t>A 23125-2022</t>
        </is>
      </c>
      <c r="B708" s="1" t="n">
        <v>44719</v>
      </c>
      <c r="C708" s="1" t="n">
        <v>46094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51061-2023</t>
        </is>
      </c>
      <c r="B709" s="1" t="n">
        <v>45218.65849537037</v>
      </c>
      <c r="C709" s="1" t="n">
        <v>46094</v>
      </c>
      <c r="D709" t="inlineStr">
        <is>
          <t>STOCKHOLMS LÄN</t>
        </is>
      </c>
      <c r="E709" t="inlineStr">
        <is>
          <t>NORRTÄLJE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20121-2022</t>
        </is>
      </c>
      <c r="B710" s="1" t="n">
        <v>44698</v>
      </c>
      <c r="C710" s="1" t="n">
        <v>46094</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22697-2022</t>
        </is>
      </c>
      <c r="B711" s="1" t="n">
        <v>44714.56040509259</v>
      </c>
      <c r="C711" s="1" t="n">
        <v>46094</v>
      </c>
      <c r="D711" t="inlineStr">
        <is>
          <t>STOCKHOLMS LÄN</t>
        </is>
      </c>
      <c r="E711" t="inlineStr">
        <is>
          <t>NORRTÄLJE</t>
        </is>
      </c>
      <c r="G711" t="n">
        <v>5.6</v>
      </c>
      <c r="H711" t="n">
        <v>0</v>
      </c>
      <c r="I711" t="n">
        <v>0</v>
      </c>
      <c r="J711" t="n">
        <v>0</v>
      </c>
      <c r="K711" t="n">
        <v>0</v>
      </c>
      <c r="L711" t="n">
        <v>0</v>
      </c>
      <c r="M711" t="n">
        <v>0</v>
      </c>
      <c r="N711" t="n">
        <v>0</v>
      </c>
      <c r="O711" t="n">
        <v>0</v>
      </c>
      <c r="P711" t="n">
        <v>0</v>
      </c>
      <c r="Q711" t="n">
        <v>0</v>
      </c>
      <c r="R711" s="2" t="inlineStr"/>
    </row>
    <row r="712" ht="15" customHeight="1">
      <c r="A712" t="inlineStr">
        <is>
          <t>A 33552-2025</t>
        </is>
      </c>
      <c r="B712" s="1" t="n">
        <v>45841.5737962963</v>
      </c>
      <c r="C712" s="1" t="n">
        <v>46094</v>
      </c>
      <c r="D712" t="inlineStr">
        <is>
          <t>STOCKHOLMS LÄN</t>
        </is>
      </c>
      <c r="E712" t="inlineStr">
        <is>
          <t>NORRTÄLJE</t>
        </is>
      </c>
      <c r="G712" t="n">
        <v>8.9</v>
      </c>
      <c r="H712" t="n">
        <v>0</v>
      </c>
      <c r="I712" t="n">
        <v>0</v>
      </c>
      <c r="J712" t="n">
        <v>0</v>
      </c>
      <c r="K712" t="n">
        <v>0</v>
      </c>
      <c r="L712" t="n">
        <v>0</v>
      </c>
      <c r="M712" t="n">
        <v>0</v>
      </c>
      <c r="N712" t="n">
        <v>0</v>
      </c>
      <c r="O712" t="n">
        <v>0</v>
      </c>
      <c r="P712" t="n">
        <v>0</v>
      </c>
      <c r="Q712" t="n">
        <v>0</v>
      </c>
      <c r="R712" s="2" t="inlineStr"/>
    </row>
    <row r="713" ht="15" customHeight="1">
      <c r="A713" t="inlineStr">
        <is>
          <t>A 33336-2025</t>
        </is>
      </c>
      <c r="B713" s="1" t="n">
        <v>45841.35611111111</v>
      </c>
      <c r="C713" s="1" t="n">
        <v>46094</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33824-2025</t>
        </is>
      </c>
      <c r="B714" s="1" t="n">
        <v>45842.46885416667</v>
      </c>
      <c r="C714" s="1" t="n">
        <v>46094</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45549-2022</t>
        </is>
      </c>
      <c r="B715" s="1" t="n">
        <v>44845.48064814815</v>
      </c>
      <c r="C715" s="1" t="n">
        <v>46094</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33385-2024</t>
        </is>
      </c>
      <c r="B716" s="1" t="n">
        <v>45519</v>
      </c>
      <c r="C716" s="1" t="n">
        <v>46094</v>
      </c>
      <c r="D716" t="inlineStr">
        <is>
          <t>STOCKHOLMS LÄN</t>
        </is>
      </c>
      <c r="E716" t="inlineStr">
        <is>
          <t>NORRTÄLJE</t>
        </is>
      </c>
      <c r="G716" t="n">
        <v>1.7</v>
      </c>
      <c r="H716" t="n">
        <v>0</v>
      </c>
      <c r="I716" t="n">
        <v>0</v>
      </c>
      <c r="J716" t="n">
        <v>0</v>
      </c>
      <c r="K716" t="n">
        <v>0</v>
      </c>
      <c r="L716" t="n">
        <v>0</v>
      </c>
      <c r="M716" t="n">
        <v>0</v>
      </c>
      <c r="N716" t="n">
        <v>0</v>
      </c>
      <c r="O716" t="n">
        <v>0</v>
      </c>
      <c r="P716" t="n">
        <v>0</v>
      </c>
      <c r="Q716" t="n">
        <v>0</v>
      </c>
      <c r="R716" s="2" t="inlineStr"/>
    </row>
    <row r="717" ht="15" customHeight="1">
      <c r="A717" t="inlineStr">
        <is>
          <t>A 54396-2021</t>
        </is>
      </c>
      <c r="B717" s="1" t="n">
        <v>44472</v>
      </c>
      <c r="C717" s="1" t="n">
        <v>46094</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41172-2023</t>
        </is>
      </c>
      <c r="B718" s="1" t="n">
        <v>45170</v>
      </c>
      <c r="C718" s="1" t="n">
        <v>46094</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24727-2023</t>
        </is>
      </c>
      <c r="B719" s="1" t="n">
        <v>45084.57695601852</v>
      </c>
      <c r="C719" s="1" t="n">
        <v>46094</v>
      </c>
      <c r="D719" t="inlineStr">
        <is>
          <t>STOCKHOLMS LÄN</t>
        </is>
      </c>
      <c r="E719" t="inlineStr">
        <is>
          <t>NORRTÄLJE</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73307-2021</t>
        </is>
      </c>
      <c r="B720" s="1" t="n">
        <v>44549</v>
      </c>
      <c r="C720" s="1" t="n">
        <v>46094</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48722-2023</t>
        </is>
      </c>
      <c r="B721" s="1" t="n">
        <v>45208.70996527778</v>
      </c>
      <c r="C721" s="1" t="n">
        <v>46094</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50534-2024</t>
        </is>
      </c>
      <c r="B722" s="1" t="n">
        <v>45601.56726851852</v>
      </c>
      <c r="C722" s="1" t="n">
        <v>46094</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34006-2025</t>
        </is>
      </c>
      <c r="B723" s="1" t="n">
        <v>45844.62609953704</v>
      </c>
      <c r="C723" s="1" t="n">
        <v>46094</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34139-2025</t>
        </is>
      </c>
      <c r="B724" s="1" t="n">
        <v>45845</v>
      </c>
      <c r="C724" s="1" t="n">
        <v>46094</v>
      </c>
      <c r="D724" t="inlineStr">
        <is>
          <t>STOCKHOLMS LÄN</t>
        </is>
      </c>
      <c r="E724" t="inlineStr">
        <is>
          <t>NORRTÄLJE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35235-2024</t>
        </is>
      </c>
      <c r="B725" s="1" t="n">
        <v>45530</v>
      </c>
      <c r="C725" s="1" t="n">
        <v>46094</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34010-2025</t>
        </is>
      </c>
      <c r="B726" s="1" t="n">
        <v>45844.91234953704</v>
      </c>
      <c r="C726" s="1" t="n">
        <v>46094</v>
      </c>
      <c r="D726" t="inlineStr">
        <is>
          <t>STOCKHOLMS LÄN</t>
        </is>
      </c>
      <c r="E726" t="inlineStr">
        <is>
          <t>NORRTÄLJE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1448-2023</t>
        </is>
      </c>
      <c r="B727" s="1" t="n">
        <v>44937</v>
      </c>
      <c r="C727" s="1" t="n">
        <v>46094</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65499-2021</t>
        </is>
      </c>
      <c r="B728" s="1" t="n">
        <v>44516</v>
      </c>
      <c r="C728" s="1" t="n">
        <v>46094</v>
      </c>
      <c r="D728" t="inlineStr">
        <is>
          <t>STOCKHOLMS LÄN</t>
        </is>
      </c>
      <c r="E728" t="inlineStr">
        <is>
          <t>NORRTÄLJE</t>
        </is>
      </c>
      <c r="F728" t="inlineStr">
        <is>
          <t>Kommuner</t>
        </is>
      </c>
      <c r="G728" t="n">
        <v>5.2</v>
      </c>
      <c r="H728" t="n">
        <v>0</v>
      </c>
      <c r="I728" t="n">
        <v>0</v>
      </c>
      <c r="J728" t="n">
        <v>0</v>
      </c>
      <c r="K728" t="n">
        <v>0</v>
      </c>
      <c r="L728" t="n">
        <v>0</v>
      </c>
      <c r="M728" t="n">
        <v>0</v>
      </c>
      <c r="N728" t="n">
        <v>0</v>
      </c>
      <c r="O728" t="n">
        <v>0</v>
      </c>
      <c r="P728" t="n">
        <v>0</v>
      </c>
      <c r="Q728" t="n">
        <v>0</v>
      </c>
      <c r="R728" s="2" t="inlineStr"/>
    </row>
    <row r="729" ht="15" customHeight="1">
      <c r="A729" t="inlineStr">
        <is>
          <t>A 65511-2021</t>
        </is>
      </c>
      <c r="B729" s="1" t="n">
        <v>44516.40674768519</v>
      </c>
      <c r="C729" s="1" t="n">
        <v>46094</v>
      </c>
      <c r="D729" t="inlineStr">
        <is>
          <t>STOCKHOLMS LÄN</t>
        </is>
      </c>
      <c r="E729" t="inlineStr">
        <is>
          <t>NORRTÄLJE</t>
        </is>
      </c>
      <c r="F729" t="inlineStr">
        <is>
          <t>Kommuner</t>
        </is>
      </c>
      <c r="G729" t="n">
        <v>2.8</v>
      </c>
      <c r="H729" t="n">
        <v>0</v>
      </c>
      <c r="I729" t="n">
        <v>0</v>
      </c>
      <c r="J729" t="n">
        <v>0</v>
      </c>
      <c r="K729" t="n">
        <v>0</v>
      </c>
      <c r="L729" t="n">
        <v>0</v>
      </c>
      <c r="M729" t="n">
        <v>0</v>
      </c>
      <c r="N729" t="n">
        <v>0</v>
      </c>
      <c r="O729" t="n">
        <v>0</v>
      </c>
      <c r="P729" t="n">
        <v>0</v>
      </c>
      <c r="Q729" t="n">
        <v>0</v>
      </c>
      <c r="R729" s="2" t="inlineStr"/>
    </row>
    <row r="730" ht="15" customHeight="1">
      <c r="A730" t="inlineStr">
        <is>
          <t>A 36689-2023</t>
        </is>
      </c>
      <c r="B730" s="1" t="n">
        <v>45152</v>
      </c>
      <c r="C730" s="1" t="n">
        <v>46094</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46073-2024</t>
        </is>
      </c>
      <c r="B731" s="1" t="n">
        <v>45581</v>
      </c>
      <c r="C731" s="1" t="n">
        <v>46094</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8736-2024</t>
        </is>
      </c>
      <c r="B732" s="1" t="n">
        <v>45356.4722800926</v>
      </c>
      <c r="C732" s="1" t="n">
        <v>46094</v>
      </c>
      <c r="D732" t="inlineStr">
        <is>
          <t>STOCKHOLMS LÄN</t>
        </is>
      </c>
      <c r="E732" t="inlineStr">
        <is>
          <t>NORRTÄLJE</t>
        </is>
      </c>
      <c r="G732" t="n">
        <v>8.9</v>
      </c>
      <c r="H732" t="n">
        <v>0</v>
      </c>
      <c r="I732" t="n">
        <v>0</v>
      </c>
      <c r="J732" t="n">
        <v>0</v>
      </c>
      <c r="K732" t="n">
        <v>0</v>
      </c>
      <c r="L732" t="n">
        <v>0</v>
      </c>
      <c r="M732" t="n">
        <v>0</v>
      </c>
      <c r="N732" t="n">
        <v>0</v>
      </c>
      <c r="O732" t="n">
        <v>0</v>
      </c>
      <c r="P732" t="n">
        <v>0</v>
      </c>
      <c r="Q732" t="n">
        <v>0</v>
      </c>
      <c r="R732" s="2" t="inlineStr"/>
    </row>
    <row r="733" ht="15" customHeight="1">
      <c r="A733" t="inlineStr">
        <is>
          <t>A 22833-2024</t>
        </is>
      </c>
      <c r="B733" s="1" t="n">
        <v>45448.56746527777</v>
      </c>
      <c r="C733" s="1" t="n">
        <v>46094</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33149-2022</t>
        </is>
      </c>
      <c r="B734" s="1" t="n">
        <v>44785</v>
      </c>
      <c r="C734" s="1" t="n">
        <v>46094</v>
      </c>
      <c r="D734" t="inlineStr">
        <is>
          <t>STOCKHOLMS LÄN</t>
        </is>
      </c>
      <c r="E734" t="inlineStr">
        <is>
          <t>NORRTÄLJE</t>
        </is>
      </c>
      <c r="F734" t="inlineStr">
        <is>
          <t>Holmen skog AB</t>
        </is>
      </c>
      <c r="G734" t="n">
        <v>4.4</v>
      </c>
      <c r="H734" t="n">
        <v>0</v>
      </c>
      <c r="I734" t="n">
        <v>0</v>
      </c>
      <c r="J734" t="n">
        <v>0</v>
      </c>
      <c r="K734" t="n">
        <v>0</v>
      </c>
      <c r="L734" t="n">
        <v>0</v>
      </c>
      <c r="M734" t="n">
        <v>0</v>
      </c>
      <c r="N734" t="n">
        <v>0</v>
      </c>
      <c r="O734" t="n">
        <v>0</v>
      </c>
      <c r="P734" t="n">
        <v>0</v>
      </c>
      <c r="Q734" t="n">
        <v>0</v>
      </c>
      <c r="R734" s="2" t="inlineStr"/>
    </row>
    <row r="735" ht="15" customHeight="1">
      <c r="A735" t="inlineStr">
        <is>
          <t>A 32514-2022</t>
        </is>
      </c>
      <c r="B735" s="1" t="n">
        <v>44782</v>
      </c>
      <c r="C735" s="1" t="n">
        <v>46094</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29362-2022</t>
        </is>
      </c>
      <c r="B736" s="1" t="n">
        <v>44753</v>
      </c>
      <c r="C736" s="1" t="n">
        <v>46094</v>
      </c>
      <c r="D736" t="inlineStr">
        <is>
          <t>STOCKHOLMS LÄN</t>
        </is>
      </c>
      <c r="E736" t="inlineStr">
        <is>
          <t>NORRTÄLJE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35636-2025</t>
        </is>
      </c>
      <c r="B737" s="1" t="n">
        <v>45859</v>
      </c>
      <c r="C737" s="1" t="n">
        <v>46094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58492-2022</t>
        </is>
      </c>
      <c r="B738" s="1" t="n">
        <v>44902</v>
      </c>
      <c r="C738" s="1" t="n">
        <v>46094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51315-2021</t>
        </is>
      </c>
      <c r="B739" s="1" t="n">
        <v>44461</v>
      </c>
      <c r="C739" s="1" t="n">
        <v>46094</v>
      </c>
      <c r="D739" t="inlineStr">
        <is>
          <t>STOCKHOLMS LÄN</t>
        </is>
      </c>
      <c r="E739" t="inlineStr">
        <is>
          <t>NORRTÄLJE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14873-2025</t>
        </is>
      </c>
      <c r="B740" s="1" t="n">
        <v>45743.44953703704</v>
      </c>
      <c r="C740" s="1" t="n">
        <v>46094</v>
      </c>
      <c r="D740" t="inlineStr">
        <is>
          <t>STOCKHOLMS LÄN</t>
        </is>
      </c>
      <c r="E740" t="inlineStr">
        <is>
          <t>NORRTÄLJE</t>
        </is>
      </c>
      <c r="G740" t="n">
        <v>10.2</v>
      </c>
      <c r="H740" t="n">
        <v>0</v>
      </c>
      <c r="I740" t="n">
        <v>0</v>
      </c>
      <c r="J740" t="n">
        <v>0</v>
      </c>
      <c r="K740" t="n">
        <v>0</v>
      </c>
      <c r="L740" t="n">
        <v>0</v>
      </c>
      <c r="M740" t="n">
        <v>0</v>
      </c>
      <c r="N740" t="n">
        <v>0</v>
      </c>
      <c r="O740" t="n">
        <v>0</v>
      </c>
      <c r="P740" t="n">
        <v>0</v>
      </c>
      <c r="Q740" t="n">
        <v>0</v>
      </c>
      <c r="R740" s="2" t="inlineStr"/>
    </row>
    <row r="741" ht="15" customHeight="1">
      <c r="A741" t="inlineStr">
        <is>
          <t>A 34773-2022</t>
        </is>
      </c>
      <c r="B741" s="1" t="n">
        <v>44795</v>
      </c>
      <c r="C741" s="1" t="n">
        <v>46094</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33173-2024</t>
        </is>
      </c>
      <c r="B742" s="1" t="n">
        <v>45518</v>
      </c>
      <c r="C742" s="1" t="n">
        <v>46094</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35110-2025</t>
        </is>
      </c>
      <c r="B743" s="1" t="n">
        <v>45852.58030092593</v>
      </c>
      <c r="C743" s="1" t="n">
        <v>46094</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6537-2024</t>
        </is>
      </c>
      <c r="B744" s="1" t="n">
        <v>45341.39853009259</v>
      </c>
      <c r="C744" s="1" t="n">
        <v>46094</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40175-2024</t>
        </is>
      </c>
      <c r="B745" s="1" t="n">
        <v>45554.55707175926</v>
      </c>
      <c r="C745" s="1" t="n">
        <v>46094</v>
      </c>
      <c r="D745" t="inlineStr">
        <is>
          <t>STOCKHOLMS LÄN</t>
        </is>
      </c>
      <c r="E745" t="inlineStr">
        <is>
          <t>NORRTÄLJE</t>
        </is>
      </c>
      <c r="G745" t="n">
        <v>7.7</v>
      </c>
      <c r="H745" t="n">
        <v>0</v>
      </c>
      <c r="I745" t="n">
        <v>0</v>
      </c>
      <c r="J745" t="n">
        <v>0</v>
      </c>
      <c r="K745" t="n">
        <v>0</v>
      </c>
      <c r="L745" t="n">
        <v>0</v>
      </c>
      <c r="M745" t="n">
        <v>0</v>
      </c>
      <c r="N745" t="n">
        <v>0</v>
      </c>
      <c r="O745" t="n">
        <v>0</v>
      </c>
      <c r="P745" t="n">
        <v>0</v>
      </c>
      <c r="Q745" t="n">
        <v>0</v>
      </c>
      <c r="R745" s="2" t="inlineStr"/>
    </row>
    <row r="746" ht="15" customHeight="1">
      <c r="A746" t="inlineStr">
        <is>
          <t>A 35254-2025</t>
        </is>
      </c>
      <c r="B746" s="1" t="n">
        <v>45853</v>
      </c>
      <c r="C746" s="1" t="n">
        <v>46094</v>
      </c>
      <c r="D746" t="inlineStr">
        <is>
          <t>STOCKHOLMS LÄN</t>
        </is>
      </c>
      <c r="E746" t="inlineStr">
        <is>
          <t>NORRTÄLJE</t>
        </is>
      </c>
      <c r="G746" t="n">
        <v>6.5</v>
      </c>
      <c r="H746" t="n">
        <v>0</v>
      </c>
      <c r="I746" t="n">
        <v>0</v>
      </c>
      <c r="J746" t="n">
        <v>0</v>
      </c>
      <c r="K746" t="n">
        <v>0</v>
      </c>
      <c r="L746" t="n">
        <v>0</v>
      </c>
      <c r="M746" t="n">
        <v>0</v>
      </c>
      <c r="N746" t="n">
        <v>0</v>
      </c>
      <c r="O746" t="n">
        <v>0</v>
      </c>
      <c r="P746" t="n">
        <v>0</v>
      </c>
      <c r="Q746" t="n">
        <v>0</v>
      </c>
      <c r="R746" s="2" t="inlineStr"/>
    </row>
    <row r="747" ht="15" customHeight="1">
      <c r="A747" t="inlineStr">
        <is>
          <t>A 54558-2024</t>
        </is>
      </c>
      <c r="B747" s="1" t="n">
        <v>45617.62358796296</v>
      </c>
      <c r="C747" s="1" t="n">
        <v>46094</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4484-2025</t>
        </is>
      </c>
      <c r="B748" s="1" t="n">
        <v>45686.65545138889</v>
      </c>
      <c r="C748" s="1" t="n">
        <v>46094</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23056-2023</t>
        </is>
      </c>
      <c r="B749" s="1" t="n">
        <v>45075</v>
      </c>
      <c r="C749" s="1" t="n">
        <v>46094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33878-2024</t>
        </is>
      </c>
      <c r="B750" s="1" t="n">
        <v>45522.44414351852</v>
      </c>
      <c r="C750" s="1" t="n">
        <v>46094</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47431-2023</t>
        </is>
      </c>
      <c r="B751" s="1" t="n">
        <v>45202</v>
      </c>
      <c r="C751" s="1" t="n">
        <v>46094</v>
      </c>
      <c r="D751" t="inlineStr">
        <is>
          <t>STOCKHOLMS LÄN</t>
        </is>
      </c>
      <c r="E751" t="inlineStr">
        <is>
          <t>NORRTÄLJE</t>
        </is>
      </c>
      <c r="F751" t="inlineStr">
        <is>
          <t>Naturvårdsverket</t>
        </is>
      </c>
      <c r="G751" t="n">
        <v>1.2</v>
      </c>
      <c r="H751" t="n">
        <v>0</v>
      </c>
      <c r="I751" t="n">
        <v>0</v>
      </c>
      <c r="J751" t="n">
        <v>0</v>
      </c>
      <c r="K751" t="n">
        <v>0</v>
      </c>
      <c r="L751" t="n">
        <v>0</v>
      </c>
      <c r="M751" t="n">
        <v>0</v>
      </c>
      <c r="N751" t="n">
        <v>0</v>
      </c>
      <c r="O751" t="n">
        <v>0</v>
      </c>
      <c r="P751" t="n">
        <v>0</v>
      </c>
      <c r="Q751" t="n">
        <v>0</v>
      </c>
      <c r="R751" s="2" t="inlineStr"/>
    </row>
    <row r="752" ht="15" customHeight="1">
      <c r="A752" t="inlineStr">
        <is>
          <t>A 35479-2025</t>
        </is>
      </c>
      <c r="B752" s="1" t="n">
        <v>45855.69387731481</v>
      </c>
      <c r="C752" s="1" t="n">
        <v>46094</v>
      </c>
      <c r="D752" t="inlineStr">
        <is>
          <t>STOCKHOLMS LÄN</t>
        </is>
      </c>
      <c r="E752" t="inlineStr">
        <is>
          <t>NORRTÄLJE</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59499-2023</t>
        </is>
      </c>
      <c r="B753" s="1" t="n">
        <v>45254</v>
      </c>
      <c r="C753" s="1" t="n">
        <v>46094</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9246-2024</t>
        </is>
      </c>
      <c r="B754" s="1" t="n">
        <v>45357</v>
      </c>
      <c r="C754" s="1" t="n">
        <v>46094</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59468-2023</t>
        </is>
      </c>
      <c r="B755" s="1" t="n">
        <v>45254.41509259259</v>
      </c>
      <c r="C755" s="1" t="n">
        <v>46094</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35698-2023</t>
        </is>
      </c>
      <c r="B756" s="1" t="n">
        <v>45147</v>
      </c>
      <c r="C756" s="1" t="n">
        <v>46094</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62398-2022</t>
        </is>
      </c>
      <c r="B757" s="1" t="n">
        <v>44923.90159722222</v>
      </c>
      <c r="C757" s="1" t="n">
        <v>46094</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35451-2025</t>
        </is>
      </c>
      <c r="B758" s="1" t="n">
        <v>45855.57033564815</v>
      </c>
      <c r="C758" s="1" t="n">
        <v>46094</v>
      </c>
      <c r="D758" t="inlineStr">
        <is>
          <t>STOCKHOLMS LÄN</t>
        </is>
      </c>
      <c r="E758" t="inlineStr">
        <is>
          <t>NORRTÄLJE</t>
        </is>
      </c>
      <c r="F758" t="inlineStr">
        <is>
          <t>Holmen skog AB</t>
        </is>
      </c>
      <c r="G758" t="n">
        <v>7.4</v>
      </c>
      <c r="H758" t="n">
        <v>0</v>
      </c>
      <c r="I758" t="n">
        <v>0</v>
      </c>
      <c r="J758" t="n">
        <v>0</v>
      </c>
      <c r="K758" t="n">
        <v>0</v>
      </c>
      <c r="L758" t="n">
        <v>0</v>
      </c>
      <c r="M758" t="n">
        <v>0</v>
      </c>
      <c r="N758" t="n">
        <v>0</v>
      </c>
      <c r="O758" t="n">
        <v>0</v>
      </c>
      <c r="P758" t="n">
        <v>0</v>
      </c>
      <c r="Q758" t="n">
        <v>0</v>
      </c>
      <c r="R758" s="2" t="inlineStr"/>
    </row>
    <row r="759" ht="15" customHeight="1">
      <c r="A759" t="inlineStr">
        <is>
          <t>A 35478-2025</t>
        </is>
      </c>
      <c r="B759" s="1" t="n">
        <v>45855.68413194444</v>
      </c>
      <c r="C759" s="1" t="n">
        <v>46094</v>
      </c>
      <c r="D759" t="inlineStr">
        <is>
          <t>STOCKHOLMS LÄN</t>
        </is>
      </c>
      <c r="E759" t="inlineStr">
        <is>
          <t>NORRTÄLJE</t>
        </is>
      </c>
      <c r="F759" t="inlineStr">
        <is>
          <t>Holmen skog AB</t>
        </is>
      </c>
      <c r="G759" t="n">
        <v>2.7</v>
      </c>
      <c r="H759" t="n">
        <v>0</v>
      </c>
      <c r="I759" t="n">
        <v>0</v>
      </c>
      <c r="J759" t="n">
        <v>0</v>
      </c>
      <c r="K759" t="n">
        <v>0</v>
      </c>
      <c r="L759" t="n">
        <v>0</v>
      </c>
      <c r="M759" t="n">
        <v>0</v>
      </c>
      <c r="N759" t="n">
        <v>0</v>
      </c>
      <c r="O759" t="n">
        <v>0</v>
      </c>
      <c r="P759" t="n">
        <v>0</v>
      </c>
      <c r="Q759" t="n">
        <v>0</v>
      </c>
      <c r="R759" s="2" t="inlineStr"/>
    </row>
    <row r="760" ht="15" customHeight="1">
      <c r="A760" t="inlineStr">
        <is>
          <t>A 12532-2025</t>
        </is>
      </c>
      <c r="B760" s="1" t="n">
        <v>45730.69143518519</v>
      </c>
      <c r="C760" s="1" t="n">
        <v>46094</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5732-2023</t>
        </is>
      </c>
      <c r="B761" s="1" t="n">
        <v>44962</v>
      </c>
      <c r="C761" s="1" t="n">
        <v>46094</v>
      </c>
      <c r="D761" t="inlineStr">
        <is>
          <t>STOCKHOLMS LÄN</t>
        </is>
      </c>
      <c r="E761" t="inlineStr">
        <is>
          <t>NORRTÄLJE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49700-2023</t>
        </is>
      </c>
      <c r="B762" s="1" t="n">
        <v>45212</v>
      </c>
      <c r="C762" s="1" t="n">
        <v>46094</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32071-2023</t>
        </is>
      </c>
      <c r="B763" s="1" t="n">
        <v>45119.57728009259</v>
      </c>
      <c r="C763" s="1" t="n">
        <v>46094</v>
      </c>
      <c r="D763" t="inlineStr">
        <is>
          <t>STOCKHOLMS LÄN</t>
        </is>
      </c>
      <c r="E763" t="inlineStr">
        <is>
          <t>NORRTÄLJE</t>
        </is>
      </c>
      <c r="G763" t="n">
        <v>6.5</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44624.59434027778</v>
      </c>
      <c r="C764" s="1" t="n">
        <v>46094</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40172-2025</t>
        </is>
      </c>
      <c r="B765" s="1" t="n">
        <v>45894.6353125</v>
      </c>
      <c r="C765" s="1" t="n">
        <v>46094</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1425-2025</t>
        </is>
      </c>
      <c r="B766" s="1" t="n">
        <v>45668.67446759259</v>
      </c>
      <c r="C766" s="1" t="n">
        <v>46094</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21729-2024</t>
        </is>
      </c>
      <c r="B767" s="1" t="n">
        <v>45442</v>
      </c>
      <c r="C767" s="1" t="n">
        <v>46094</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40033-2025</t>
        </is>
      </c>
      <c r="B768" s="1" t="n">
        <v>45893</v>
      </c>
      <c r="C768" s="1" t="n">
        <v>46094</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17775-2022</t>
        </is>
      </c>
      <c r="B769" s="1" t="n">
        <v>44682.78430555556</v>
      </c>
      <c r="C769" s="1" t="n">
        <v>46094</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40032-2025</t>
        </is>
      </c>
      <c r="B770" s="1" t="n">
        <v>45893</v>
      </c>
      <c r="C770" s="1" t="n">
        <v>46094</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40292-2025</t>
        </is>
      </c>
      <c r="B771" s="1" t="n">
        <v>45895.3867824074</v>
      </c>
      <c r="C771" s="1" t="n">
        <v>46094</v>
      </c>
      <c r="D771" t="inlineStr">
        <is>
          <t>STOCKHOLMS LÄN</t>
        </is>
      </c>
      <c r="E771" t="inlineStr">
        <is>
          <t>NORRTÄLJE</t>
        </is>
      </c>
      <c r="G771" t="n">
        <v>3.5</v>
      </c>
      <c r="H771" t="n">
        <v>0</v>
      </c>
      <c r="I771" t="n">
        <v>0</v>
      </c>
      <c r="J771" t="n">
        <v>0</v>
      </c>
      <c r="K771" t="n">
        <v>0</v>
      </c>
      <c r="L771" t="n">
        <v>0</v>
      </c>
      <c r="M771" t="n">
        <v>0</v>
      </c>
      <c r="N771" t="n">
        <v>0</v>
      </c>
      <c r="O771" t="n">
        <v>0</v>
      </c>
      <c r="P771" t="n">
        <v>0</v>
      </c>
      <c r="Q771" t="n">
        <v>0</v>
      </c>
      <c r="R771" s="2" t="inlineStr"/>
    </row>
    <row r="772" ht="15" customHeight="1">
      <c r="A772" t="inlineStr">
        <is>
          <t>A 40294-2025</t>
        </is>
      </c>
      <c r="B772" s="1" t="n">
        <v>45895.38778935185</v>
      </c>
      <c r="C772" s="1" t="n">
        <v>46094</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40228-2025</t>
        </is>
      </c>
      <c r="B773" s="1" t="n">
        <v>45894.70854166667</v>
      </c>
      <c r="C773" s="1" t="n">
        <v>46094</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11854-2025</t>
        </is>
      </c>
      <c r="B774" s="1" t="n">
        <v>45728.38924768518</v>
      </c>
      <c r="C774" s="1" t="n">
        <v>46094</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38720-2022</t>
        </is>
      </c>
      <c r="B775" s="1" t="n">
        <v>44815.74539351852</v>
      </c>
      <c r="C775" s="1" t="n">
        <v>46094</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14762-2024</t>
        </is>
      </c>
      <c r="B776" s="1" t="n">
        <v>45397</v>
      </c>
      <c r="C776" s="1" t="n">
        <v>46094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10215-2023</t>
        </is>
      </c>
      <c r="B777" s="1" t="n">
        <v>44986.5887962963</v>
      </c>
      <c r="C777" s="1" t="n">
        <v>46094</v>
      </c>
      <c r="D777" t="inlineStr">
        <is>
          <t>STOCKHOLMS LÄN</t>
        </is>
      </c>
      <c r="E777" t="inlineStr">
        <is>
          <t>NORRTÄLJE</t>
        </is>
      </c>
      <c r="G777" t="n">
        <v>6.5</v>
      </c>
      <c r="H777" t="n">
        <v>0</v>
      </c>
      <c r="I777" t="n">
        <v>0</v>
      </c>
      <c r="J777" t="n">
        <v>0</v>
      </c>
      <c r="K777" t="n">
        <v>0</v>
      </c>
      <c r="L777" t="n">
        <v>0</v>
      </c>
      <c r="M777" t="n">
        <v>0</v>
      </c>
      <c r="N777" t="n">
        <v>0</v>
      </c>
      <c r="O777" t="n">
        <v>0</v>
      </c>
      <c r="P777" t="n">
        <v>0</v>
      </c>
      <c r="Q777" t="n">
        <v>0</v>
      </c>
      <c r="R777" s="2" t="inlineStr"/>
    </row>
    <row r="778" ht="15" customHeight="1">
      <c r="A778" t="inlineStr">
        <is>
          <t>A 25609-2023</t>
        </is>
      </c>
      <c r="B778" s="1" t="n">
        <v>45089</v>
      </c>
      <c r="C778" s="1" t="n">
        <v>46094</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20014-2025</t>
        </is>
      </c>
      <c r="B779" s="1" t="n">
        <v>45772.3078125</v>
      </c>
      <c r="C779" s="1" t="n">
        <v>46094</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20136-2025</t>
        </is>
      </c>
      <c r="B780" s="1" t="n">
        <v>45772.51127314815</v>
      </c>
      <c r="C780" s="1" t="n">
        <v>46094</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59712-2024</t>
        </is>
      </c>
      <c r="B781" s="1" t="n">
        <v>45639.45166666667</v>
      </c>
      <c r="C781" s="1" t="n">
        <v>46094</v>
      </c>
      <c r="D781" t="inlineStr">
        <is>
          <t>STOCKHOLMS LÄN</t>
        </is>
      </c>
      <c r="E781" t="inlineStr">
        <is>
          <t>NORRTÄLJE</t>
        </is>
      </c>
      <c r="G781" t="n">
        <v>4.4</v>
      </c>
      <c r="H781" t="n">
        <v>0</v>
      </c>
      <c r="I781" t="n">
        <v>0</v>
      </c>
      <c r="J781" t="n">
        <v>0</v>
      </c>
      <c r="K781" t="n">
        <v>0</v>
      </c>
      <c r="L781" t="n">
        <v>0</v>
      </c>
      <c r="M781" t="n">
        <v>0</v>
      </c>
      <c r="N781" t="n">
        <v>0</v>
      </c>
      <c r="O781" t="n">
        <v>0</v>
      </c>
      <c r="P781" t="n">
        <v>0</v>
      </c>
      <c r="Q781" t="n">
        <v>0</v>
      </c>
      <c r="R781" s="2" t="inlineStr"/>
    </row>
    <row r="782" ht="15" customHeight="1">
      <c r="A782" t="inlineStr">
        <is>
          <t>A 35127-2023</t>
        </is>
      </c>
      <c r="B782" s="1" t="n">
        <v>45145.51</v>
      </c>
      <c r="C782" s="1" t="n">
        <v>46094</v>
      </c>
      <c r="D782" t="inlineStr">
        <is>
          <t>STOCKHOLMS LÄN</t>
        </is>
      </c>
      <c r="E782" t="inlineStr">
        <is>
          <t>NORRTÄLJE</t>
        </is>
      </c>
      <c r="G782" t="n">
        <v>4.7</v>
      </c>
      <c r="H782" t="n">
        <v>0</v>
      </c>
      <c r="I782" t="n">
        <v>0</v>
      </c>
      <c r="J782" t="n">
        <v>0</v>
      </c>
      <c r="K782" t="n">
        <v>0</v>
      </c>
      <c r="L782" t="n">
        <v>0</v>
      </c>
      <c r="M782" t="n">
        <v>0</v>
      </c>
      <c r="N782" t="n">
        <v>0</v>
      </c>
      <c r="O782" t="n">
        <v>0</v>
      </c>
      <c r="P782" t="n">
        <v>0</v>
      </c>
      <c r="Q782" t="n">
        <v>0</v>
      </c>
      <c r="R782" s="2" t="inlineStr"/>
    </row>
    <row r="783" ht="15" customHeight="1">
      <c r="A783" t="inlineStr">
        <is>
          <t>A 34444-2024</t>
        </is>
      </c>
      <c r="B783" s="1" t="n">
        <v>45525</v>
      </c>
      <c r="C783" s="1" t="n">
        <v>46094</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20698-2025</t>
        </is>
      </c>
      <c r="B784" s="1" t="n">
        <v>45776.47122685185</v>
      </c>
      <c r="C784" s="1" t="n">
        <v>46094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2287-2024</t>
        </is>
      </c>
      <c r="B785" s="1" t="n">
        <v>45310</v>
      </c>
      <c r="C785" s="1" t="n">
        <v>46094</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13785-2024</t>
        </is>
      </c>
      <c r="B786" s="1" t="n">
        <v>45391.3395949074</v>
      </c>
      <c r="C786" s="1" t="n">
        <v>46094</v>
      </c>
      <c r="D786" t="inlineStr">
        <is>
          <t>STOCKHOLMS LÄN</t>
        </is>
      </c>
      <c r="E786" t="inlineStr">
        <is>
          <t>NORRTÄLJE</t>
        </is>
      </c>
      <c r="G786" t="n">
        <v>5</v>
      </c>
      <c r="H786" t="n">
        <v>0</v>
      </c>
      <c r="I786" t="n">
        <v>0</v>
      </c>
      <c r="J786" t="n">
        <v>0</v>
      </c>
      <c r="K786" t="n">
        <v>0</v>
      </c>
      <c r="L786" t="n">
        <v>0</v>
      </c>
      <c r="M786" t="n">
        <v>0</v>
      </c>
      <c r="N786" t="n">
        <v>0</v>
      </c>
      <c r="O786" t="n">
        <v>0</v>
      </c>
      <c r="P786" t="n">
        <v>0</v>
      </c>
      <c r="Q786" t="n">
        <v>0</v>
      </c>
      <c r="R786" s="2" t="inlineStr"/>
    </row>
    <row r="787" ht="15" customHeight="1">
      <c r="A787" t="inlineStr">
        <is>
          <t>A 50469-2022</t>
        </is>
      </c>
      <c r="B787" s="1" t="n">
        <v>44866.49827546296</v>
      </c>
      <c r="C787" s="1" t="n">
        <v>46094</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51116-2022</t>
        </is>
      </c>
      <c r="B788" s="1" t="n">
        <v>44868.45741898148</v>
      </c>
      <c r="C788" s="1" t="n">
        <v>46094</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45255-2022</t>
        </is>
      </c>
      <c r="B789" s="1" t="n">
        <v>44840</v>
      </c>
      <c r="C789" s="1" t="n">
        <v>46094</v>
      </c>
      <c r="D789" t="inlineStr">
        <is>
          <t>STOCKHOLMS LÄN</t>
        </is>
      </c>
      <c r="E789" t="inlineStr">
        <is>
          <t>NORRTÄLJE</t>
        </is>
      </c>
      <c r="G789" t="n">
        <v>4.1</v>
      </c>
      <c r="H789" t="n">
        <v>0</v>
      </c>
      <c r="I789" t="n">
        <v>0</v>
      </c>
      <c r="J789" t="n">
        <v>0</v>
      </c>
      <c r="K789" t="n">
        <v>0</v>
      </c>
      <c r="L789" t="n">
        <v>0</v>
      </c>
      <c r="M789" t="n">
        <v>0</v>
      </c>
      <c r="N789" t="n">
        <v>0</v>
      </c>
      <c r="O789" t="n">
        <v>0</v>
      </c>
      <c r="P789" t="n">
        <v>0</v>
      </c>
      <c r="Q789" t="n">
        <v>0</v>
      </c>
      <c r="R789" s="2" t="inlineStr"/>
    </row>
    <row r="790" ht="15" customHeight="1">
      <c r="A790" t="inlineStr">
        <is>
          <t>A 59893-2022</t>
        </is>
      </c>
      <c r="B790" s="1" t="n">
        <v>44908.77368055555</v>
      </c>
      <c r="C790" s="1" t="n">
        <v>46094</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60217-2021</t>
        </is>
      </c>
      <c r="B791" s="1" t="n">
        <v>44495.5893287037</v>
      </c>
      <c r="C791" s="1" t="n">
        <v>46094</v>
      </c>
      <c r="D791" t="inlineStr">
        <is>
          <t>STOCKHOLMS LÄN</t>
        </is>
      </c>
      <c r="E791" t="inlineStr">
        <is>
          <t>NORRTÄLJE</t>
        </is>
      </c>
      <c r="G791" t="n">
        <v>4.3</v>
      </c>
      <c r="H791" t="n">
        <v>0</v>
      </c>
      <c r="I791" t="n">
        <v>0</v>
      </c>
      <c r="J791" t="n">
        <v>0</v>
      </c>
      <c r="K791" t="n">
        <v>0</v>
      </c>
      <c r="L791" t="n">
        <v>0</v>
      </c>
      <c r="M791" t="n">
        <v>0</v>
      </c>
      <c r="N791" t="n">
        <v>0</v>
      </c>
      <c r="O791" t="n">
        <v>0</v>
      </c>
      <c r="P791" t="n">
        <v>0</v>
      </c>
      <c r="Q791" t="n">
        <v>0</v>
      </c>
      <c r="R791" s="2" t="inlineStr"/>
    </row>
    <row r="792" ht="15" customHeight="1">
      <c r="A792" t="inlineStr">
        <is>
          <t>A 5839-2023</t>
        </is>
      </c>
      <c r="B792" s="1" t="n">
        <v>44963</v>
      </c>
      <c r="C792" s="1" t="n">
        <v>46094</v>
      </c>
      <c r="D792" t="inlineStr">
        <is>
          <t>STOCKHOLMS LÄN</t>
        </is>
      </c>
      <c r="E792" t="inlineStr">
        <is>
          <t>NORRTÄLJE</t>
        </is>
      </c>
      <c r="G792" t="n">
        <v>3.6</v>
      </c>
      <c r="H792" t="n">
        <v>0</v>
      </c>
      <c r="I792" t="n">
        <v>0</v>
      </c>
      <c r="J792" t="n">
        <v>0</v>
      </c>
      <c r="K792" t="n">
        <v>0</v>
      </c>
      <c r="L792" t="n">
        <v>0</v>
      </c>
      <c r="M792" t="n">
        <v>0</v>
      </c>
      <c r="N792" t="n">
        <v>0</v>
      </c>
      <c r="O792" t="n">
        <v>0</v>
      </c>
      <c r="P792" t="n">
        <v>0</v>
      </c>
      <c r="Q792" t="n">
        <v>0</v>
      </c>
      <c r="R792" s="2" t="inlineStr"/>
    </row>
    <row r="793" ht="15" customHeight="1">
      <c r="A793" t="inlineStr">
        <is>
          <t>A 22232-2024</t>
        </is>
      </c>
      <c r="B793" s="1" t="n">
        <v>45446.4287962963</v>
      </c>
      <c r="C793" s="1" t="n">
        <v>46094</v>
      </c>
      <c r="D793" t="inlineStr">
        <is>
          <t>STOCKHOLMS LÄN</t>
        </is>
      </c>
      <c r="E793" t="inlineStr">
        <is>
          <t>NORRTÄLJE</t>
        </is>
      </c>
      <c r="G793" t="n">
        <v>12.8</v>
      </c>
      <c r="H793" t="n">
        <v>0</v>
      </c>
      <c r="I793" t="n">
        <v>0</v>
      </c>
      <c r="J793" t="n">
        <v>0</v>
      </c>
      <c r="K793" t="n">
        <v>0</v>
      </c>
      <c r="L793" t="n">
        <v>0</v>
      </c>
      <c r="M793" t="n">
        <v>0</v>
      </c>
      <c r="N793" t="n">
        <v>0</v>
      </c>
      <c r="O793" t="n">
        <v>0</v>
      </c>
      <c r="P793" t="n">
        <v>0</v>
      </c>
      <c r="Q793" t="n">
        <v>0</v>
      </c>
      <c r="R793" s="2" t="inlineStr"/>
    </row>
    <row r="794" ht="15" customHeight="1">
      <c r="A794" t="inlineStr">
        <is>
          <t>A 39905-2023</t>
        </is>
      </c>
      <c r="B794" s="1" t="n">
        <v>45168.44489583333</v>
      </c>
      <c r="C794" s="1" t="n">
        <v>46094</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5645-2023</t>
        </is>
      </c>
      <c r="B795" s="1" t="n">
        <v>44960.60469907407</v>
      </c>
      <c r="C795" s="1" t="n">
        <v>46094</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68361-2021</t>
        </is>
      </c>
      <c r="B796" s="1" t="n">
        <v>44528.91494212963</v>
      </c>
      <c r="C796" s="1" t="n">
        <v>46094</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36396-2025</t>
        </is>
      </c>
      <c r="B797" s="1" t="n">
        <v>45868.62267361111</v>
      </c>
      <c r="C797" s="1" t="n">
        <v>46094</v>
      </c>
      <c r="D797" t="inlineStr">
        <is>
          <t>STOCKHOLMS LÄN</t>
        </is>
      </c>
      <c r="E797" t="inlineStr">
        <is>
          <t>NORRTÄLJE</t>
        </is>
      </c>
      <c r="G797" t="n">
        <v>4.1</v>
      </c>
      <c r="H797" t="n">
        <v>0</v>
      </c>
      <c r="I797" t="n">
        <v>0</v>
      </c>
      <c r="J797" t="n">
        <v>0</v>
      </c>
      <c r="K797" t="n">
        <v>0</v>
      </c>
      <c r="L797" t="n">
        <v>0</v>
      </c>
      <c r="M797" t="n">
        <v>0</v>
      </c>
      <c r="N797" t="n">
        <v>0</v>
      </c>
      <c r="O797" t="n">
        <v>0</v>
      </c>
      <c r="P797" t="n">
        <v>0</v>
      </c>
      <c r="Q797" t="n">
        <v>0</v>
      </c>
      <c r="R797" s="2" t="inlineStr"/>
    </row>
    <row r="798" ht="15" customHeight="1">
      <c r="A798" t="inlineStr">
        <is>
          <t>A 60529-2023</t>
        </is>
      </c>
      <c r="B798" s="1" t="n">
        <v>45259</v>
      </c>
      <c r="C798" s="1" t="n">
        <v>46094</v>
      </c>
      <c r="D798" t="inlineStr">
        <is>
          <t>STOCKHOLMS LÄN</t>
        </is>
      </c>
      <c r="E798" t="inlineStr">
        <is>
          <t>NORRTÄLJE</t>
        </is>
      </c>
      <c r="G798" t="n">
        <v>2.6</v>
      </c>
      <c r="H798" t="n">
        <v>0</v>
      </c>
      <c r="I798" t="n">
        <v>0</v>
      </c>
      <c r="J798" t="n">
        <v>0</v>
      </c>
      <c r="K798" t="n">
        <v>0</v>
      </c>
      <c r="L798" t="n">
        <v>0</v>
      </c>
      <c r="M798" t="n">
        <v>0</v>
      </c>
      <c r="N798" t="n">
        <v>0</v>
      </c>
      <c r="O798" t="n">
        <v>0</v>
      </c>
      <c r="P798" t="n">
        <v>0</v>
      </c>
      <c r="Q798" t="n">
        <v>0</v>
      </c>
      <c r="R798" s="2" t="inlineStr"/>
    </row>
    <row r="799" ht="15" customHeight="1">
      <c r="A799" t="inlineStr">
        <is>
          <t>A 38985-2022</t>
        </is>
      </c>
      <c r="B799" s="1" t="n">
        <v>44816</v>
      </c>
      <c r="C799" s="1" t="n">
        <v>46094</v>
      </c>
      <c r="D799" t="inlineStr">
        <is>
          <t>STOCKHOLMS LÄN</t>
        </is>
      </c>
      <c r="E799" t="inlineStr">
        <is>
          <t>NORRTÄLJE</t>
        </is>
      </c>
      <c r="G799" t="n">
        <v>10.1</v>
      </c>
      <c r="H799" t="n">
        <v>0</v>
      </c>
      <c r="I799" t="n">
        <v>0</v>
      </c>
      <c r="J799" t="n">
        <v>0</v>
      </c>
      <c r="K799" t="n">
        <v>0</v>
      </c>
      <c r="L799" t="n">
        <v>0</v>
      </c>
      <c r="M799" t="n">
        <v>0</v>
      </c>
      <c r="N799" t="n">
        <v>0</v>
      </c>
      <c r="O799" t="n">
        <v>0</v>
      </c>
      <c r="P799" t="n">
        <v>0</v>
      </c>
      <c r="Q799" t="n">
        <v>0</v>
      </c>
      <c r="R799" s="2" t="inlineStr"/>
    </row>
    <row r="800" ht="15" customHeight="1">
      <c r="A800" t="inlineStr">
        <is>
          <t>A 19706-2023</t>
        </is>
      </c>
      <c r="B800" s="1" t="n">
        <v>45051.455</v>
      </c>
      <c r="C800" s="1" t="n">
        <v>46094</v>
      </c>
      <c r="D800" t="inlineStr">
        <is>
          <t>STOCKHOLMS LÄN</t>
        </is>
      </c>
      <c r="E800" t="inlineStr">
        <is>
          <t>NORRTÄLJE</t>
        </is>
      </c>
      <c r="G800" t="n">
        <v>0.2</v>
      </c>
      <c r="H800" t="n">
        <v>0</v>
      </c>
      <c r="I800" t="n">
        <v>0</v>
      </c>
      <c r="J800" t="n">
        <v>0</v>
      </c>
      <c r="K800" t="n">
        <v>0</v>
      </c>
      <c r="L800" t="n">
        <v>0</v>
      </c>
      <c r="M800" t="n">
        <v>0</v>
      </c>
      <c r="N800" t="n">
        <v>0</v>
      </c>
      <c r="O800" t="n">
        <v>0</v>
      </c>
      <c r="P800" t="n">
        <v>0</v>
      </c>
      <c r="Q800" t="n">
        <v>0</v>
      </c>
      <c r="R800" s="2" t="inlineStr"/>
    </row>
    <row r="801" ht="15" customHeight="1">
      <c r="A801" t="inlineStr">
        <is>
          <t>A 5665-2025</t>
        </is>
      </c>
      <c r="B801" s="1" t="n">
        <v>45693</v>
      </c>
      <c r="C801" s="1" t="n">
        <v>46094</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3426-2025</t>
        </is>
      </c>
      <c r="B802" s="1" t="n">
        <v>45680.42665509259</v>
      </c>
      <c r="C802" s="1" t="n">
        <v>46094</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18539-2021</t>
        </is>
      </c>
      <c r="B803" s="1" t="n">
        <v>44306</v>
      </c>
      <c r="C803" s="1" t="n">
        <v>46094</v>
      </c>
      <c r="D803" t="inlineStr">
        <is>
          <t>STOCKHOLMS LÄN</t>
        </is>
      </c>
      <c r="E803" t="inlineStr">
        <is>
          <t>NORRTÄLJE</t>
        </is>
      </c>
      <c r="F803" t="inlineStr">
        <is>
          <t>Holmen skog AB</t>
        </is>
      </c>
      <c r="G803" t="n">
        <v>5.5</v>
      </c>
      <c r="H803" t="n">
        <v>0</v>
      </c>
      <c r="I803" t="n">
        <v>0</v>
      </c>
      <c r="J803" t="n">
        <v>0</v>
      </c>
      <c r="K803" t="n">
        <v>0</v>
      </c>
      <c r="L803" t="n">
        <v>0</v>
      </c>
      <c r="M803" t="n">
        <v>0</v>
      </c>
      <c r="N803" t="n">
        <v>0</v>
      </c>
      <c r="O803" t="n">
        <v>0</v>
      </c>
      <c r="P803" t="n">
        <v>0</v>
      </c>
      <c r="Q803" t="n">
        <v>0</v>
      </c>
      <c r="R803" s="2" t="inlineStr"/>
    </row>
    <row r="804" ht="15" customHeight="1">
      <c r="A804" t="inlineStr">
        <is>
          <t>A 17612-2022</t>
        </is>
      </c>
      <c r="B804" s="1" t="n">
        <v>44680</v>
      </c>
      <c r="C804" s="1" t="n">
        <v>46094</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16835-2022</t>
        </is>
      </c>
      <c r="B805" s="1" t="n">
        <v>44673</v>
      </c>
      <c r="C805" s="1" t="n">
        <v>46094</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62765-2022</t>
        </is>
      </c>
      <c r="B806" s="1" t="n">
        <v>44637</v>
      </c>
      <c r="C806" s="1" t="n">
        <v>46094</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58530-2024</t>
        </is>
      </c>
      <c r="B807" s="1" t="n">
        <v>45635.44788194444</v>
      </c>
      <c r="C807" s="1" t="n">
        <v>46094</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22421-2021</t>
        </is>
      </c>
      <c r="B808" s="1" t="n">
        <v>44326</v>
      </c>
      <c r="C808" s="1" t="n">
        <v>46094</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58404-2023</t>
        </is>
      </c>
      <c r="B809" s="1" t="n">
        <v>45245</v>
      </c>
      <c r="C809" s="1" t="n">
        <v>46094</v>
      </c>
      <c r="D809" t="inlineStr">
        <is>
          <t>STOCKHOLMS LÄN</t>
        </is>
      </c>
      <c r="E809" t="inlineStr">
        <is>
          <t>NORRTÄLJE</t>
        </is>
      </c>
      <c r="G809" t="n">
        <v>53.5</v>
      </c>
      <c r="H809" t="n">
        <v>0</v>
      </c>
      <c r="I809" t="n">
        <v>0</v>
      </c>
      <c r="J809" t="n">
        <v>0</v>
      </c>
      <c r="K809" t="n">
        <v>0</v>
      </c>
      <c r="L809" t="n">
        <v>0</v>
      </c>
      <c r="M809" t="n">
        <v>0</v>
      </c>
      <c r="N809" t="n">
        <v>0</v>
      </c>
      <c r="O809" t="n">
        <v>0</v>
      </c>
      <c r="P809" t="n">
        <v>0</v>
      </c>
      <c r="Q809" t="n">
        <v>0</v>
      </c>
      <c r="R809" s="2" t="inlineStr"/>
    </row>
    <row r="810" ht="15" customHeight="1">
      <c r="A810" t="inlineStr">
        <is>
          <t>A 8586-2023</t>
        </is>
      </c>
      <c r="B810" s="1" t="n">
        <v>44977</v>
      </c>
      <c r="C810" s="1" t="n">
        <v>46094</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40761-2024</t>
        </is>
      </c>
      <c r="B811" s="1" t="n">
        <v>45558.46283564815</v>
      </c>
      <c r="C811" s="1" t="n">
        <v>46094</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40230-2025</t>
        </is>
      </c>
      <c r="B812" s="1" t="n">
        <v>45894.71101851852</v>
      </c>
      <c r="C812" s="1" t="n">
        <v>46094</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16202-2022</t>
        </is>
      </c>
      <c r="B813" s="1" t="n">
        <v>44670</v>
      </c>
      <c r="C813" s="1" t="n">
        <v>46094</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55018-2024</t>
        </is>
      </c>
      <c r="B814" s="1" t="n">
        <v>45621.35712962963</v>
      </c>
      <c r="C814" s="1" t="n">
        <v>46094</v>
      </c>
      <c r="D814" t="inlineStr">
        <is>
          <t>STOCKHOLMS LÄN</t>
        </is>
      </c>
      <c r="E814" t="inlineStr">
        <is>
          <t>NORRTÄLJE</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50136-2023</t>
        </is>
      </c>
      <c r="B815" s="1" t="n">
        <v>45215</v>
      </c>
      <c r="C815" s="1" t="n">
        <v>46094</v>
      </c>
      <c r="D815" t="inlineStr">
        <is>
          <t>STOCKHOLMS LÄN</t>
        </is>
      </c>
      <c r="E815" t="inlineStr">
        <is>
          <t>NORRTÄLJE</t>
        </is>
      </c>
      <c r="G815" t="n">
        <v>5.2</v>
      </c>
      <c r="H815" t="n">
        <v>0</v>
      </c>
      <c r="I815" t="n">
        <v>0</v>
      </c>
      <c r="J815" t="n">
        <v>0</v>
      </c>
      <c r="K815" t="n">
        <v>0</v>
      </c>
      <c r="L815" t="n">
        <v>0</v>
      </c>
      <c r="M815" t="n">
        <v>0</v>
      </c>
      <c r="N815" t="n">
        <v>0</v>
      </c>
      <c r="O815" t="n">
        <v>0</v>
      </c>
      <c r="P815" t="n">
        <v>0</v>
      </c>
      <c r="Q815" t="n">
        <v>0</v>
      </c>
      <c r="R815" s="2" t="inlineStr"/>
    </row>
    <row r="816" ht="15" customHeight="1">
      <c r="A816" t="inlineStr">
        <is>
          <t>A 25656-2023</t>
        </is>
      </c>
      <c r="B816" s="1" t="n">
        <v>45089</v>
      </c>
      <c r="C816" s="1" t="n">
        <v>46094</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6003-2025</t>
        </is>
      </c>
      <c r="B817" s="1" t="n">
        <v>45695.57881944445</v>
      </c>
      <c r="C817" s="1" t="n">
        <v>46094</v>
      </c>
      <c r="D817" t="inlineStr">
        <is>
          <t>STOCKHOLMS LÄN</t>
        </is>
      </c>
      <c r="E817" t="inlineStr">
        <is>
          <t>NORRTÄLJE</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4553-2023</t>
        </is>
      </c>
      <c r="B818" s="1" t="n">
        <v>44956.65920138889</v>
      </c>
      <c r="C818" s="1" t="n">
        <v>46094</v>
      </c>
      <c r="D818" t="inlineStr">
        <is>
          <t>STOCKHOLMS LÄN</t>
        </is>
      </c>
      <c r="E818" t="inlineStr">
        <is>
          <t>NORRTÄLJE</t>
        </is>
      </c>
      <c r="G818" t="n">
        <v>7.5</v>
      </c>
      <c r="H818" t="n">
        <v>0</v>
      </c>
      <c r="I818" t="n">
        <v>0</v>
      </c>
      <c r="J818" t="n">
        <v>0</v>
      </c>
      <c r="K818" t="n">
        <v>0</v>
      </c>
      <c r="L818" t="n">
        <v>0</v>
      </c>
      <c r="M818" t="n">
        <v>0</v>
      </c>
      <c r="N818" t="n">
        <v>0</v>
      </c>
      <c r="O818" t="n">
        <v>0</v>
      </c>
      <c r="P818" t="n">
        <v>0</v>
      </c>
      <c r="Q818" t="n">
        <v>0</v>
      </c>
      <c r="R818" s="2" t="inlineStr"/>
    </row>
    <row r="819" ht="15" customHeight="1">
      <c r="A819" t="inlineStr">
        <is>
          <t>A 4593-2023</t>
        </is>
      </c>
      <c r="B819" s="1" t="n">
        <v>44956</v>
      </c>
      <c r="C819" s="1" t="n">
        <v>46094</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13171-2025</t>
        </is>
      </c>
      <c r="B820" s="1" t="n">
        <v>45735.36594907408</v>
      </c>
      <c r="C820" s="1" t="n">
        <v>46094</v>
      </c>
      <c r="D820" t="inlineStr">
        <is>
          <t>STOCKHOLMS LÄN</t>
        </is>
      </c>
      <c r="E820" t="inlineStr">
        <is>
          <t>NORRTÄLJE</t>
        </is>
      </c>
      <c r="G820" t="n">
        <v>5.1</v>
      </c>
      <c r="H820" t="n">
        <v>0</v>
      </c>
      <c r="I820" t="n">
        <v>0</v>
      </c>
      <c r="J820" t="n">
        <v>0</v>
      </c>
      <c r="K820" t="n">
        <v>0</v>
      </c>
      <c r="L820" t="n">
        <v>0</v>
      </c>
      <c r="M820" t="n">
        <v>0</v>
      </c>
      <c r="N820" t="n">
        <v>0</v>
      </c>
      <c r="O820" t="n">
        <v>0</v>
      </c>
      <c r="P820" t="n">
        <v>0</v>
      </c>
      <c r="Q820" t="n">
        <v>0</v>
      </c>
      <c r="R820" s="2" t="inlineStr"/>
    </row>
    <row r="821" ht="15" customHeight="1">
      <c r="A821" t="inlineStr">
        <is>
          <t>A 37261-2025</t>
        </is>
      </c>
      <c r="B821" s="1" t="n">
        <v>45876.45253472222</v>
      </c>
      <c r="C821" s="1" t="n">
        <v>46094</v>
      </c>
      <c r="D821" t="inlineStr">
        <is>
          <t>STOCKHOLMS LÄN</t>
        </is>
      </c>
      <c r="E821" t="inlineStr">
        <is>
          <t>NORRTÄLJE</t>
        </is>
      </c>
      <c r="F821" t="inlineStr">
        <is>
          <t>Kommuner</t>
        </is>
      </c>
      <c r="G821" t="n">
        <v>2.2</v>
      </c>
      <c r="H821" t="n">
        <v>0</v>
      </c>
      <c r="I821" t="n">
        <v>0</v>
      </c>
      <c r="J821" t="n">
        <v>0</v>
      </c>
      <c r="K821" t="n">
        <v>0</v>
      </c>
      <c r="L821" t="n">
        <v>0</v>
      </c>
      <c r="M821" t="n">
        <v>0</v>
      </c>
      <c r="N821" t="n">
        <v>0</v>
      </c>
      <c r="O821" t="n">
        <v>0</v>
      </c>
      <c r="P821" t="n">
        <v>0</v>
      </c>
      <c r="Q821" t="n">
        <v>0</v>
      </c>
      <c r="R821" s="2" t="inlineStr"/>
    </row>
    <row r="822" ht="15" customHeight="1">
      <c r="A822" t="inlineStr">
        <is>
          <t>A 11902-2024</t>
        </is>
      </c>
      <c r="B822" s="1" t="n">
        <v>45376.55704861111</v>
      </c>
      <c r="C822" s="1" t="n">
        <v>46094</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38049-2023</t>
        </is>
      </c>
      <c r="B823" s="1" t="n">
        <v>45159</v>
      </c>
      <c r="C823" s="1" t="n">
        <v>46094</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59535-2024</t>
        </is>
      </c>
      <c r="B824" s="1" t="n">
        <v>45638.59979166667</v>
      </c>
      <c r="C824" s="1" t="n">
        <v>46094</v>
      </c>
      <c r="D824" t="inlineStr">
        <is>
          <t>STOCKHOLMS LÄN</t>
        </is>
      </c>
      <c r="E824" t="inlineStr">
        <is>
          <t>NORRTÄLJE</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51978-2023</t>
        </is>
      </c>
      <c r="B825" s="1" t="n">
        <v>45223</v>
      </c>
      <c r="C825" s="1" t="n">
        <v>46094</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18092-2022</t>
        </is>
      </c>
      <c r="B826" s="1" t="n">
        <v>44684</v>
      </c>
      <c r="C826" s="1" t="n">
        <v>46094</v>
      </c>
      <c r="D826" t="inlineStr">
        <is>
          <t>STOCKHOLMS LÄN</t>
        </is>
      </c>
      <c r="E826" t="inlineStr">
        <is>
          <t>NORRTÄLJE</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59310-2023</t>
        </is>
      </c>
      <c r="B827" s="1" t="n">
        <v>45253.61146990741</v>
      </c>
      <c r="C827" s="1" t="n">
        <v>46094</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40217-2025</t>
        </is>
      </c>
      <c r="B828" s="1" t="n">
        <v>45894.68864583333</v>
      </c>
      <c r="C828" s="1" t="n">
        <v>46094</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9329-2023</t>
        </is>
      </c>
      <c r="B829" s="1" t="n">
        <v>44980</v>
      </c>
      <c r="C829" s="1" t="n">
        <v>46094</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59878-2024</t>
        </is>
      </c>
      <c r="B830" s="1" t="n">
        <v>45640.60240740741</v>
      </c>
      <c r="C830" s="1" t="n">
        <v>46094</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40097-2025</t>
        </is>
      </c>
      <c r="B831" s="1" t="n">
        <v>45894.48322916667</v>
      </c>
      <c r="C831" s="1" t="n">
        <v>46094</v>
      </c>
      <c r="D831" t="inlineStr">
        <is>
          <t>STOCKHOLMS LÄN</t>
        </is>
      </c>
      <c r="E831" t="inlineStr">
        <is>
          <t>NORRTÄLJE</t>
        </is>
      </c>
      <c r="G831" t="n">
        <v>3</v>
      </c>
      <c r="H831" t="n">
        <v>0</v>
      </c>
      <c r="I831" t="n">
        <v>0</v>
      </c>
      <c r="J831" t="n">
        <v>0</v>
      </c>
      <c r="K831" t="n">
        <v>0</v>
      </c>
      <c r="L831" t="n">
        <v>0</v>
      </c>
      <c r="M831" t="n">
        <v>0</v>
      </c>
      <c r="N831" t="n">
        <v>0</v>
      </c>
      <c r="O831" t="n">
        <v>0</v>
      </c>
      <c r="P831" t="n">
        <v>0</v>
      </c>
      <c r="Q831" t="n">
        <v>0</v>
      </c>
      <c r="R831" s="2" t="inlineStr"/>
    </row>
    <row r="832" ht="15" customHeight="1">
      <c r="A832" t="inlineStr">
        <is>
          <t>A 37628-2025</t>
        </is>
      </c>
      <c r="B832" s="1" t="n">
        <v>45880.46189814815</v>
      </c>
      <c r="C832" s="1" t="n">
        <v>46094</v>
      </c>
      <c r="D832" t="inlineStr">
        <is>
          <t>STOCKHOLMS LÄN</t>
        </is>
      </c>
      <c r="E832" t="inlineStr">
        <is>
          <t>NORRTÄLJE</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41335-2023</t>
        </is>
      </c>
      <c r="B833" s="1" t="n">
        <v>45174.68702546296</v>
      </c>
      <c r="C833" s="1" t="n">
        <v>46094</v>
      </c>
      <c r="D833" t="inlineStr">
        <is>
          <t>STOCKHOLMS LÄN</t>
        </is>
      </c>
      <c r="E833" t="inlineStr">
        <is>
          <t>NORRTÄLJE</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29369-2024</t>
        </is>
      </c>
      <c r="B834" s="1" t="n">
        <v>45483.57244212963</v>
      </c>
      <c r="C834" s="1" t="n">
        <v>46094</v>
      </c>
      <c r="D834" t="inlineStr">
        <is>
          <t>STOCKHOLMS LÄN</t>
        </is>
      </c>
      <c r="E834" t="inlineStr">
        <is>
          <t>NORRTÄLJE</t>
        </is>
      </c>
      <c r="G834" t="n">
        <v>15.9</v>
      </c>
      <c r="H834" t="n">
        <v>0</v>
      </c>
      <c r="I834" t="n">
        <v>0</v>
      </c>
      <c r="J834" t="n">
        <v>0</v>
      </c>
      <c r="K834" t="n">
        <v>0</v>
      </c>
      <c r="L834" t="n">
        <v>0</v>
      </c>
      <c r="M834" t="n">
        <v>0</v>
      </c>
      <c r="N834" t="n">
        <v>0</v>
      </c>
      <c r="O834" t="n">
        <v>0</v>
      </c>
      <c r="P834" t="n">
        <v>0</v>
      </c>
      <c r="Q834" t="n">
        <v>0</v>
      </c>
      <c r="R834" s="2" t="inlineStr"/>
    </row>
    <row r="835" ht="15" customHeight="1">
      <c r="A835" t="inlineStr">
        <is>
          <t>A 37632-2025</t>
        </is>
      </c>
      <c r="B835" s="1" t="n">
        <v>45880.46524305556</v>
      </c>
      <c r="C835" s="1" t="n">
        <v>46094</v>
      </c>
      <c r="D835" t="inlineStr">
        <is>
          <t>STOCKHOLMS LÄN</t>
        </is>
      </c>
      <c r="E835" t="inlineStr">
        <is>
          <t>NORRTÄLJE</t>
        </is>
      </c>
      <c r="F835" t="inlineStr">
        <is>
          <t>Sveaskog</t>
        </is>
      </c>
      <c r="G835" t="n">
        <v>6.4</v>
      </c>
      <c r="H835" t="n">
        <v>0</v>
      </c>
      <c r="I835" t="n">
        <v>0</v>
      </c>
      <c r="J835" t="n">
        <v>0</v>
      </c>
      <c r="K835" t="n">
        <v>0</v>
      </c>
      <c r="L835" t="n">
        <v>0</v>
      </c>
      <c r="M835" t="n">
        <v>0</v>
      </c>
      <c r="N835" t="n">
        <v>0</v>
      </c>
      <c r="O835" t="n">
        <v>0</v>
      </c>
      <c r="P835" t="n">
        <v>0</v>
      </c>
      <c r="Q835" t="n">
        <v>0</v>
      </c>
      <c r="R835" s="2" t="inlineStr"/>
    </row>
    <row r="836" ht="15" customHeight="1">
      <c r="A836" t="inlineStr">
        <is>
          <t>A 33040-2021</t>
        </is>
      </c>
      <c r="B836" s="1" t="n">
        <v>44376.50728009259</v>
      </c>
      <c r="C836" s="1" t="n">
        <v>46094</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33053-2021</t>
        </is>
      </c>
      <c r="B837" s="1" t="n">
        <v>44376</v>
      </c>
      <c r="C837" s="1" t="n">
        <v>46094</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29841-2024</t>
        </is>
      </c>
      <c r="B838" s="1" t="n">
        <v>45485.60261574074</v>
      </c>
      <c r="C838" s="1" t="n">
        <v>46094</v>
      </c>
      <c r="D838" t="inlineStr">
        <is>
          <t>STOCKHOLMS LÄN</t>
        </is>
      </c>
      <c r="E838" t="inlineStr">
        <is>
          <t>NORRTÄLJE</t>
        </is>
      </c>
      <c r="G838" t="n">
        <v>15.9</v>
      </c>
      <c r="H838" t="n">
        <v>0</v>
      </c>
      <c r="I838" t="n">
        <v>0</v>
      </c>
      <c r="J838" t="n">
        <v>0</v>
      </c>
      <c r="K838" t="n">
        <v>0</v>
      </c>
      <c r="L838" t="n">
        <v>0</v>
      </c>
      <c r="M838" t="n">
        <v>0</v>
      </c>
      <c r="N838" t="n">
        <v>0</v>
      </c>
      <c r="O838" t="n">
        <v>0</v>
      </c>
      <c r="P838" t="n">
        <v>0</v>
      </c>
      <c r="Q838" t="n">
        <v>0</v>
      </c>
      <c r="R838" s="2" t="inlineStr"/>
    </row>
    <row r="839" ht="15" customHeight="1">
      <c r="A839" t="inlineStr">
        <is>
          <t>A 4183-2025</t>
        </is>
      </c>
      <c r="B839" s="1" t="n">
        <v>45685.44592592592</v>
      </c>
      <c r="C839" s="1" t="n">
        <v>46094</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20692-2025</t>
        </is>
      </c>
      <c r="B840" s="1" t="n">
        <v>45776.46369212963</v>
      </c>
      <c r="C840" s="1" t="n">
        <v>46094</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37630-2025</t>
        </is>
      </c>
      <c r="B841" s="1" t="n">
        <v>45880.46372685185</v>
      </c>
      <c r="C841" s="1" t="n">
        <v>46094</v>
      </c>
      <c r="D841" t="inlineStr">
        <is>
          <t>STOCKHOLMS LÄN</t>
        </is>
      </c>
      <c r="E841" t="inlineStr">
        <is>
          <t>NORRTÄLJE</t>
        </is>
      </c>
      <c r="F841" t="inlineStr">
        <is>
          <t>Sveaskog</t>
        </is>
      </c>
      <c r="G841" t="n">
        <v>12.9</v>
      </c>
      <c r="H841" t="n">
        <v>0</v>
      </c>
      <c r="I841" t="n">
        <v>0</v>
      </c>
      <c r="J841" t="n">
        <v>0</v>
      </c>
      <c r="K841" t="n">
        <v>0</v>
      </c>
      <c r="L841" t="n">
        <v>0</v>
      </c>
      <c r="M841" t="n">
        <v>0</v>
      </c>
      <c r="N841" t="n">
        <v>0</v>
      </c>
      <c r="O841" t="n">
        <v>0</v>
      </c>
      <c r="P841" t="n">
        <v>0</v>
      </c>
      <c r="Q841" t="n">
        <v>0</v>
      </c>
      <c r="R841" s="2" t="inlineStr"/>
    </row>
    <row r="842" ht="15" customHeight="1">
      <c r="A842" t="inlineStr">
        <is>
          <t>A 9480-2025</t>
        </is>
      </c>
      <c r="B842" s="1" t="n">
        <v>45715</v>
      </c>
      <c r="C842" s="1" t="n">
        <v>46094</v>
      </c>
      <c r="D842" t="inlineStr">
        <is>
          <t>STOCKHOLMS LÄN</t>
        </is>
      </c>
      <c r="E842" t="inlineStr">
        <is>
          <t>NORRTÄLJE</t>
        </is>
      </c>
      <c r="F842" t="inlineStr">
        <is>
          <t>Övriga Aktiebolag</t>
        </is>
      </c>
      <c r="G842" t="n">
        <v>3.9</v>
      </c>
      <c r="H842" t="n">
        <v>0</v>
      </c>
      <c r="I842" t="n">
        <v>0</v>
      </c>
      <c r="J842" t="n">
        <v>0</v>
      </c>
      <c r="K842" t="n">
        <v>0</v>
      </c>
      <c r="L842" t="n">
        <v>0</v>
      </c>
      <c r="M842" t="n">
        <v>0</v>
      </c>
      <c r="N842" t="n">
        <v>0</v>
      </c>
      <c r="O842" t="n">
        <v>0</v>
      </c>
      <c r="P842" t="n">
        <v>0</v>
      </c>
      <c r="Q842" t="n">
        <v>0</v>
      </c>
      <c r="R842" s="2" t="inlineStr"/>
    </row>
    <row r="843" ht="15" customHeight="1">
      <c r="A843" t="inlineStr">
        <is>
          <t>A 43150-2023</t>
        </is>
      </c>
      <c r="B843" s="1" t="n">
        <v>45183</v>
      </c>
      <c r="C843" s="1" t="n">
        <v>46094</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54259-2023</t>
        </is>
      </c>
      <c r="B844" s="1" t="n">
        <v>45232</v>
      </c>
      <c r="C844" s="1" t="n">
        <v>46094</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40829-2025</t>
        </is>
      </c>
      <c r="B845" s="1" t="n">
        <v>45897.50802083333</v>
      </c>
      <c r="C845" s="1" t="n">
        <v>46094</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40837-2025</t>
        </is>
      </c>
      <c r="B846" s="1" t="n">
        <v>45897.51328703704</v>
      </c>
      <c r="C846" s="1" t="n">
        <v>46094</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60822-2023</t>
        </is>
      </c>
      <c r="B847" s="1" t="n">
        <v>45259</v>
      </c>
      <c r="C847" s="1" t="n">
        <v>46094</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46071-2024</t>
        </is>
      </c>
      <c r="B848" s="1" t="n">
        <v>45581</v>
      </c>
      <c r="C848" s="1" t="n">
        <v>46094</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24522-2023</t>
        </is>
      </c>
      <c r="B849" s="1" t="n">
        <v>45082.69179398148</v>
      </c>
      <c r="C849" s="1" t="n">
        <v>46094</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25625-2023</t>
        </is>
      </c>
      <c r="B850" s="1" t="n">
        <v>45089</v>
      </c>
      <c r="C850" s="1" t="n">
        <v>46094</v>
      </c>
      <c r="D850" t="inlineStr">
        <is>
          <t>STOCKHOLMS LÄN</t>
        </is>
      </c>
      <c r="E850" t="inlineStr">
        <is>
          <t>NORRTÄLJE</t>
        </is>
      </c>
      <c r="G850" t="n">
        <v>5.5</v>
      </c>
      <c r="H850" t="n">
        <v>0</v>
      </c>
      <c r="I850" t="n">
        <v>0</v>
      </c>
      <c r="J850" t="n">
        <v>0</v>
      </c>
      <c r="K850" t="n">
        <v>0</v>
      </c>
      <c r="L850" t="n">
        <v>0</v>
      </c>
      <c r="M850" t="n">
        <v>0</v>
      </c>
      <c r="N850" t="n">
        <v>0</v>
      </c>
      <c r="O850" t="n">
        <v>0</v>
      </c>
      <c r="P850" t="n">
        <v>0</v>
      </c>
      <c r="Q850" t="n">
        <v>0</v>
      </c>
      <c r="R850" s="2" t="inlineStr"/>
    </row>
    <row r="851" ht="15" customHeight="1">
      <c r="A851" t="inlineStr">
        <is>
          <t>A 37147-2023</t>
        </is>
      </c>
      <c r="B851" s="1" t="n">
        <v>45155</v>
      </c>
      <c r="C851" s="1" t="n">
        <v>46094</v>
      </c>
      <c r="D851" t="inlineStr">
        <is>
          <t>STOCKHOLMS LÄN</t>
        </is>
      </c>
      <c r="E851" t="inlineStr">
        <is>
          <t>NORRTÄLJE</t>
        </is>
      </c>
      <c r="G851" t="n">
        <v>8</v>
      </c>
      <c r="H851" t="n">
        <v>0</v>
      </c>
      <c r="I851" t="n">
        <v>0</v>
      </c>
      <c r="J851" t="n">
        <v>0</v>
      </c>
      <c r="K851" t="n">
        <v>0</v>
      </c>
      <c r="L851" t="n">
        <v>0</v>
      </c>
      <c r="M851" t="n">
        <v>0</v>
      </c>
      <c r="N851" t="n">
        <v>0</v>
      </c>
      <c r="O851" t="n">
        <v>0</v>
      </c>
      <c r="P851" t="n">
        <v>0</v>
      </c>
      <c r="Q851" t="n">
        <v>0</v>
      </c>
      <c r="R851" s="2" t="inlineStr"/>
    </row>
    <row r="852" ht="15" customHeight="1">
      <c r="A852" t="inlineStr">
        <is>
          <t>A 7186-2024</t>
        </is>
      </c>
      <c r="B852" s="1" t="n">
        <v>45344</v>
      </c>
      <c r="C852" s="1" t="n">
        <v>46094</v>
      </c>
      <c r="D852" t="inlineStr">
        <is>
          <t>STOCKHOLMS LÄN</t>
        </is>
      </c>
      <c r="E852" t="inlineStr">
        <is>
          <t>NORRTÄLJE</t>
        </is>
      </c>
      <c r="G852" t="n">
        <v>4.9</v>
      </c>
      <c r="H852" t="n">
        <v>0</v>
      </c>
      <c r="I852" t="n">
        <v>0</v>
      </c>
      <c r="J852" t="n">
        <v>0</v>
      </c>
      <c r="K852" t="n">
        <v>0</v>
      </c>
      <c r="L852" t="n">
        <v>0</v>
      </c>
      <c r="M852" t="n">
        <v>0</v>
      </c>
      <c r="N852" t="n">
        <v>0</v>
      </c>
      <c r="O852" t="n">
        <v>0</v>
      </c>
      <c r="P852" t="n">
        <v>0</v>
      </c>
      <c r="Q852" t="n">
        <v>0</v>
      </c>
      <c r="R852" s="2" t="inlineStr"/>
    </row>
    <row r="853" ht="15" customHeight="1">
      <c r="A853" t="inlineStr">
        <is>
          <t>A 57602-2024</t>
        </is>
      </c>
      <c r="B853" s="1" t="n">
        <v>45630.52866898148</v>
      </c>
      <c r="C853" s="1" t="n">
        <v>46094</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40529-2025</t>
        </is>
      </c>
      <c r="B854" s="1" t="n">
        <v>45896.38466435186</v>
      </c>
      <c r="C854" s="1" t="n">
        <v>46094</v>
      </c>
      <c r="D854" t="inlineStr">
        <is>
          <t>STOCKHOLMS LÄN</t>
        </is>
      </c>
      <c r="E854" t="inlineStr">
        <is>
          <t>NORRTÄLJE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13137-2024</t>
        </is>
      </c>
      <c r="B855" s="1" t="n">
        <v>45386.34175925926</v>
      </c>
      <c r="C855" s="1" t="n">
        <v>46094</v>
      </c>
      <c r="D855" t="inlineStr">
        <is>
          <t>STOCKHOLMS LÄN</t>
        </is>
      </c>
      <c r="E855" t="inlineStr">
        <is>
          <t>NORRTÄLJE</t>
        </is>
      </c>
      <c r="G855" t="n">
        <v>5</v>
      </c>
      <c r="H855" t="n">
        <v>0</v>
      </c>
      <c r="I855" t="n">
        <v>0</v>
      </c>
      <c r="J855" t="n">
        <v>0</v>
      </c>
      <c r="K855" t="n">
        <v>0</v>
      </c>
      <c r="L855" t="n">
        <v>0</v>
      </c>
      <c r="M855" t="n">
        <v>0</v>
      </c>
      <c r="N855" t="n">
        <v>0</v>
      </c>
      <c r="O855" t="n">
        <v>0</v>
      </c>
      <c r="P855" t="n">
        <v>0</v>
      </c>
      <c r="Q855" t="n">
        <v>0</v>
      </c>
      <c r="R855" s="2" t="inlineStr"/>
    </row>
    <row r="856" ht="15" customHeight="1">
      <c r="A856" t="inlineStr">
        <is>
          <t>A 64600-2021</t>
        </is>
      </c>
      <c r="B856" s="1" t="n">
        <v>44511.70518518519</v>
      </c>
      <c r="C856" s="1" t="n">
        <v>46094</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40831-2025</t>
        </is>
      </c>
      <c r="B857" s="1" t="n">
        <v>45897.51077546296</v>
      </c>
      <c r="C857" s="1" t="n">
        <v>46094</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50602-2021</t>
        </is>
      </c>
      <c r="B858" s="1" t="n">
        <v>44459</v>
      </c>
      <c r="C858" s="1" t="n">
        <v>46094</v>
      </c>
      <c r="D858" t="inlineStr">
        <is>
          <t>STOCKHOLMS LÄN</t>
        </is>
      </c>
      <c r="E858" t="inlineStr">
        <is>
          <t>NORRTÄLJE</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26365-2024</t>
        </is>
      </c>
      <c r="B859" s="1" t="n">
        <v>45469</v>
      </c>
      <c r="C859" s="1" t="n">
        <v>46094</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27381-2024</t>
        </is>
      </c>
      <c r="B860" s="1" t="n">
        <v>45473.94501157408</v>
      </c>
      <c r="C860" s="1" t="n">
        <v>46094</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24350-2025</t>
        </is>
      </c>
      <c r="B861" s="1" t="n">
        <v>45797.58350694444</v>
      </c>
      <c r="C861" s="1" t="n">
        <v>46094</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26703-2025</t>
        </is>
      </c>
      <c r="B862" s="1" t="n">
        <v>45810.45263888889</v>
      </c>
      <c r="C862" s="1" t="n">
        <v>46094</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26640-2023</t>
        </is>
      </c>
      <c r="B863" s="1" t="n">
        <v>45092</v>
      </c>
      <c r="C863" s="1" t="n">
        <v>46094</v>
      </c>
      <c r="D863" t="inlineStr">
        <is>
          <t>STOCKHOLMS LÄN</t>
        </is>
      </c>
      <c r="E863" t="inlineStr">
        <is>
          <t>NORRTÄLJE</t>
        </is>
      </c>
      <c r="G863" t="n">
        <v>5.7</v>
      </c>
      <c r="H863" t="n">
        <v>0</v>
      </c>
      <c r="I863" t="n">
        <v>0</v>
      </c>
      <c r="J863" t="n">
        <v>0</v>
      </c>
      <c r="K863" t="n">
        <v>0</v>
      </c>
      <c r="L863" t="n">
        <v>0</v>
      </c>
      <c r="M863" t="n">
        <v>0</v>
      </c>
      <c r="N863" t="n">
        <v>0</v>
      </c>
      <c r="O863" t="n">
        <v>0</v>
      </c>
      <c r="P863" t="n">
        <v>0</v>
      </c>
      <c r="Q863" t="n">
        <v>0</v>
      </c>
      <c r="R863" s="2" t="inlineStr"/>
    </row>
    <row r="864" ht="15" customHeight="1">
      <c r="A864" t="inlineStr">
        <is>
          <t>A 23265-2023</t>
        </is>
      </c>
      <c r="B864" s="1" t="n">
        <v>45075.90703703704</v>
      </c>
      <c r="C864" s="1" t="n">
        <v>46094</v>
      </c>
      <c r="D864" t="inlineStr">
        <is>
          <t>STOCKHOLMS LÄN</t>
        </is>
      </c>
      <c r="E864" t="inlineStr">
        <is>
          <t>NORRTÄLJE</t>
        </is>
      </c>
      <c r="G864" t="n">
        <v>2.6</v>
      </c>
      <c r="H864" t="n">
        <v>0</v>
      </c>
      <c r="I864" t="n">
        <v>0</v>
      </c>
      <c r="J864" t="n">
        <v>0</v>
      </c>
      <c r="K864" t="n">
        <v>0</v>
      </c>
      <c r="L864" t="n">
        <v>0</v>
      </c>
      <c r="M864" t="n">
        <v>0</v>
      </c>
      <c r="N864" t="n">
        <v>0</v>
      </c>
      <c r="O864" t="n">
        <v>0</v>
      </c>
      <c r="P864" t="n">
        <v>0</v>
      </c>
      <c r="Q864" t="n">
        <v>0</v>
      </c>
      <c r="R864" s="2" t="inlineStr"/>
    </row>
    <row r="865" ht="15" customHeight="1">
      <c r="A865" t="inlineStr">
        <is>
          <t>A 31827-2023</t>
        </is>
      </c>
      <c r="B865" s="1" t="n">
        <v>45118</v>
      </c>
      <c r="C865" s="1" t="n">
        <v>46094</v>
      </c>
      <c r="D865" t="inlineStr">
        <is>
          <t>STOCKHOLMS LÄN</t>
        </is>
      </c>
      <c r="E865" t="inlineStr">
        <is>
          <t>NORRTÄLJE</t>
        </is>
      </c>
      <c r="F865" t="inlineStr">
        <is>
          <t>Kyrkan</t>
        </is>
      </c>
      <c r="G865" t="n">
        <v>4.9</v>
      </c>
      <c r="H865" t="n">
        <v>0</v>
      </c>
      <c r="I865" t="n">
        <v>0</v>
      </c>
      <c r="J865" t="n">
        <v>0</v>
      </c>
      <c r="K865" t="n">
        <v>0</v>
      </c>
      <c r="L865" t="n">
        <v>0</v>
      </c>
      <c r="M865" t="n">
        <v>0</v>
      </c>
      <c r="N865" t="n">
        <v>0</v>
      </c>
      <c r="O865" t="n">
        <v>0</v>
      </c>
      <c r="P865" t="n">
        <v>0</v>
      </c>
      <c r="Q865" t="n">
        <v>0</v>
      </c>
      <c r="R865" s="2" t="inlineStr"/>
    </row>
    <row r="866" ht="15" customHeight="1">
      <c r="A866" t="inlineStr">
        <is>
          <t>A 58993-2022</t>
        </is>
      </c>
      <c r="B866" s="1" t="n">
        <v>44903</v>
      </c>
      <c r="C866" s="1" t="n">
        <v>46094</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26117-2024</t>
        </is>
      </c>
      <c r="B867" s="1" t="n">
        <v>45468.45877314815</v>
      </c>
      <c r="C867" s="1" t="n">
        <v>46094</v>
      </c>
      <c r="D867" t="inlineStr">
        <is>
          <t>STOCKHOLMS LÄN</t>
        </is>
      </c>
      <c r="E867" t="inlineStr">
        <is>
          <t>NORRTÄLJE</t>
        </is>
      </c>
      <c r="G867" t="n">
        <v>2.4</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44749.55258101852</v>
      </c>
      <c r="C868" s="1" t="n">
        <v>46094</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17574-2025</t>
        </is>
      </c>
      <c r="B869" s="1" t="n">
        <v>45757.65178240741</v>
      </c>
      <c r="C869" s="1" t="n">
        <v>46094</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38153-2025</t>
        </is>
      </c>
      <c r="B870" s="1" t="n">
        <v>45882.59722222222</v>
      </c>
      <c r="C870" s="1" t="n">
        <v>46094</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58297-2023</t>
        </is>
      </c>
      <c r="B871" s="1" t="n">
        <v>45245</v>
      </c>
      <c r="C871" s="1" t="n">
        <v>46094</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20336-2024</t>
        </is>
      </c>
      <c r="B872" s="1" t="n">
        <v>45435.43123842592</v>
      </c>
      <c r="C872" s="1" t="n">
        <v>46094</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20304-2023</t>
        </is>
      </c>
      <c r="B873" s="1" t="n">
        <v>45056</v>
      </c>
      <c r="C873" s="1" t="n">
        <v>46094</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12299-2025</t>
        </is>
      </c>
      <c r="B874" s="1" t="n">
        <v>45729.71065972222</v>
      </c>
      <c r="C874" s="1" t="n">
        <v>46094</v>
      </c>
      <c r="D874" t="inlineStr">
        <is>
          <t>STOCKHOLMS LÄN</t>
        </is>
      </c>
      <c r="E874" t="inlineStr">
        <is>
          <t>NORRTÄLJE</t>
        </is>
      </c>
      <c r="F874" t="inlineStr">
        <is>
          <t>Holmen skog AB</t>
        </is>
      </c>
      <c r="G874" t="n">
        <v>6.9</v>
      </c>
      <c r="H874" t="n">
        <v>0</v>
      </c>
      <c r="I874" t="n">
        <v>0</v>
      </c>
      <c r="J874" t="n">
        <v>0</v>
      </c>
      <c r="K874" t="n">
        <v>0</v>
      </c>
      <c r="L874" t="n">
        <v>0</v>
      </c>
      <c r="M874" t="n">
        <v>0</v>
      </c>
      <c r="N874" t="n">
        <v>0</v>
      </c>
      <c r="O874" t="n">
        <v>0</v>
      </c>
      <c r="P874" t="n">
        <v>0</v>
      </c>
      <c r="Q874" t="n">
        <v>0</v>
      </c>
      <c r="R874" s="2" t="inlineStr"/>
    </row>
    <row r="875" ht="15" customHeight="1">
      <c r="A875" t="inlineStr">
        <is>
          <t>A 22157-2023</t>
        </is>
      </c>
      <c r="B875" s="1" t="n">
        <v>45069</v>
      </c>
      <c r="C875" s="1" t="n">
        <v>46094</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c r="U875">
        <f>HYPERLINK("https://klasma.github.io/Logging_0188/knärot/A 22157-2023 karta knärot.png", "A 22157-2023")</f>
        <v/>
      </c>
      <c r="V875">
        <f>HYPERLINK("https://klasma.github.io/Logging_0188/klagomål/A 22157-2023 FSC-klagomål.docx", "A 22157-2023")</f>
        <v/>
      </c>
      <c r="W875">
        <f>HYPERLINK("https://klasma.github.io/Logging_0188/klagomålsmail/A 22157-2023 FSC-klagomål mail.docx", "A 22157-2023")</f>
        <v/>
      </c>
      <c r="X875">
        <f>HYPERLINK("https://klasma.github.io/Logging_0188/tillsyn/A 22157-2023 tillsynsbegäran.docx", "A 22157-2023")</f>
        <v/>
      </c>
      <c r="Y875">
        <f>HYPERLINK("https://klasma.github.io/Logging_0188/tillsynsmail/A 22157-2023 tillsynsbegäran mail.docx", "A 22157-2023")</f>
        <v/>
      </c>
    </row>
    <row r="876" ht="15" customHeight="1">
      <c r="A876" t="inlineStr">
        <is>
          <t>A 22816-2021</t>
        </is>
      </c>
      <c r="B876" s="1" t="n">
        <v>44325</v>
      </c>
      <c r="C876" s="1" t="n">
        <v>46094</v>
      </c>
      <c r="D876" t="inlineStr">
        <is>
          <t>STOCKHOLMS LÄN</t>
        </is>
      </c>
      <c r="E876" t="inlineStr">
        <is>
          <t>NORRTÄLJE</t>
        </is>
      </c>
      <c r="G876" t="n">
        <v>4.5</v>
      </c>
      <c r="H876" t="n">
        <v>0</v>
      </c>
      <c r="I876" t="n">
        <v>0</v>
      </c>
      <c r="J876" t="n">
        <v>0</v>
      </c>
      <c r="K876" t="n">
        <v>0</v>
      </c>
      <c r="L876" t="n">
        <v>0</v>
      </c>
      <c r="M876" t="n">
        <v>0</v>
      </c>
      <c r="N876" t="n">
        <v>0</v>
      </c>
      <c r="O876" t="n">
        <v>0</v>
      </c>
      <c r="P876" t="n">
        <v>0</v>
      </c>
      <c r="Q876" t="n">
        <v>0</v>
      </c>
      <c r="R876" s="2" t="inlineStr"/>
    </row>
    <row r="877" ht="15" customHeight="1">
      <c r="A877" t="inlineStr">
        <is>
          <t>A 1847-2023</t>
        </is>
      </c>
      <c r="B877" s="1" t="n">
        <v>44938</v>
      </c>
      <c r="C877" s="1" t="n">
        <v>46094</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11929-2024</t>
        </is>
      </c>
      <c r="B878" s="1" t="n">
        <v>45376.64532407407</v>
      </c>
      <c r="C878" s="1" t="n">
        <v>46094</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59721-2024</t>
        </is>
      </c>
      <c r="B879" s="1" t="n">
        <v>45639.47385416667</v>
      </c>
      <c r="C879" s="1" t="n">
        <v>46094</v>
      </c>
      <c r="D879" t="inlineStr">
        <is>
          <t>STOCKHOLMS LÄN</t>
        </is>
      </c>
      <c r="E879" t="inlineStr">
        <is>
          <t>NORRTÄLJE</t>
        </is>
      </c>
      <c r="G879" t="n">
        <v>4.6</v>
      </c>
      <c r="H879" t="n">
        <v>0</v>
      </c>
      <c r="I879" t="n">
        <v>0</v>
      </c>
      <c r="J879" t="n">
        <v>0</v>
      </c>
      <c r="K879" t="n">
        <v>0</v>
      </c>
      <c r="L879" t="n">
        <v>0</v>
      </c>
      <c r="M879" t="n">
        <v>0</v>
      </c>
      <c r="N879" t="n">
        <v>0</v>
      </c>
      <c r="O879" t="n">
        <v>0</v>
      </c>
      <c r="P879" t="n">
        <v>0</v>
      </c>
      <c r="Q879" t="n">
        <v>0</v>
      </c>
      <c r="R879" s="2" t="inlineStr"/>
    </row>
    <row r="880" ht="15" customHeight="1">
      <c r="A880" t="inlineStr">
        <is>
          <t>A 8296-2023</t>
        </is>
      </c>
      <c r="B880" s="1" t="n">
        <v>44974</v>
      </c>
      <c r="C880" s="1" t="n">
        <v>46094</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24575-2024</t>
        </is>
      </c>
      <c r="B881" s="1" t="n">
        <v>45460.45523148148</v>
      </c>
      <c r="C881" s="1" t="n">
        <v>46094</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64899-2023</t>
        </is>
      </c>
      <c r="B882" s="1" t="n">
        <v>45282</v>
      </c>
      <c r="C882" s="1" t="n">
        <v>46094</v>
      </c>
      <c r="D882" t="inlineStr">
        <is>
          <t>STOCKHOLMS LÄN</t>
        </is>
      </c>
      <c r="E882" t="inlineStr">
        <is>
          <t>NORRTÄLJE</t>
        </is>
      </c>
      <c r="G882" t="n">
        <v>6.3</v>
      </c>
      <c r="H882" t="n">
        <v>0</v>
      </c>
      <c r="I882" t="n">
        <v>0</v>
      </c>
      <c r="J882" t="n">
        <v>0</v>
      </c>
      <c r="K882" t="n">
        <v>0</v>
      </c>
      <c r="L882" t="n">
        <v>0</v>
      </c>
      <c r="M882" t="n">
        <v>0</v>
      </c>
      <c r="N882" t="n">
        <v>0</v>
      </c>
      <c r="O882" t="n">
        <v>0</v>
      </c>
      <c r="P882" t="n">
        <v>0</v>
      </c>
      <c r="Q882" t="n">
        <v>0</v>
      </c>
      <c r="R882" s="2" t="inlineStr"/>
    </row>
    <row r="883" ht="15" customHeight="1">
      <c r="A883" t="inlineStr">
        <is>
          <t>A 41158-2025</t>
        </is>
      </c>
      <c r="B883" s="1" t="n">
        <v>45898.5315625</v>
      </c>
      <c r="C883" s="1" t="n">
        <v>46094</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52593-2024</t>
        </is>
      </c>
      <c r="B884" s="1" t="n">
        <v>45609.70778935185</v>
      </c>
      <c r="C884" s="1" t="n">
        <v>46094</v>
      </c>
      <c r="D884" t="inlineStr">
        <is>
          <t>STOCKHOLMS LÄN</t>
        </is>
      </c>
      <c r="E884" t="inlineStr">
        <is>
          <t>NORRTÄLJE</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52617-2024</t>
        </is>
      </c>
      <c r="B885" s="1" t="n">
        <v>45609.85146990741</v>
      </c>
      <c r="C885" s="1" t="n">
        <v>46094</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37010-2022</t>
        </is>
      </c>
      <c r="B886" s="1" t="n">
        <v>44806.41576388889</v>
      </c>
      <c r="C886" s="1" t="n">
        <v>46094</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951-2023</t>
        </is>
      </c>
      <c r="B887" s="1" t="n">
        <v>44934</v>
      </c>
      <c r="C887" s="1" t="n">
        <v>46094</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15733-2025</t>
        </is>
      </c>
      <c r="B888" s="1" t="n">
        <v>45748</v>
      </c>
      <c r="C888" s="1" t="n">
        <v>46094</v>
      </c>
      <c r="D888" t="inlineStr">
        <is>
          <t>STOCKHOLMS LÄN</t>
        </is>
      </c>
      <c r="E888" t="inlineStr">
        <is>
          <t>NORRTÄLJE</t>
        </is>
      </c>
      <c r="G888" t="n">
        <v>13.3</v>
      </c>
      <c r="H888" t="n">
        <v>0</v>
      </c>
      <c r="I888" t="n">
        <v>0</v>
      </c>
      <c r="J888" t="n">
        <v>0</v>
      </c>
      <c r="K888" t="n">
        <v>0</v>
      </c>
      <c r="L888" t="n">
        <v>0</v>
      </c>
      <c r="M888" t="n">
        <v>0</v>
      </c>
      <c r="N888" t="n">
        <v>0</v>
      </c>
      <c r="O888" t="n">
        <v>0</v>
      </c>
      <c r="P888" t="n">
        <v>0</v>
      </c>
      <c r="Q888" t="n">
        <v>0</v>
      </c>
      <c r="R888" s="2" t="inlineStr"/>
    </row>
    <row r="889" ht="15" customHeight="1">
      <c r="A889" t="inlineStr">
        <is>
          <t>A 5423-2023</t>
        </is>
      </c>
      <c r="B889" s="1" t="n">
        <v>44959.74533564815</v>
      </c>
      <c r="C889" s="1" t="n">
        <v>46094</v>
      </c>
      <c r="D889" t="inlineStr">
        <is>
          <t>STOCKHOLMS LÄN</t>
        </is>
      </c>
      <c r="E889" t="inlineStr">
        <is>
          <t>NORRTÄLJE</t>
        </is>
      </c>
      <c r="G889" t="n">
        <v>2</v>
      </c>
      <c r="H889" t="n">
        <v>0</v>
      </c>
      <c r="I889" t="n">
        <v>0</v>
      </c>
      <c r="J889" t="n">
        <v>0</v>
      </c>
      <c r="K889" t="n">
        <v>0</v>
      </c>
      <c r="L889" t="n">
        <v>0</v>
      </c>
      <c r="M889" t="n">
        <v>0</v>
      </c>
      <c r="N889" t="n">
        <v>0</v>
      </c>
      <c r="O889" t="n">
        <v>0</v>
      </c>
      <c r="P889" t="n">
        <v>0</v>
      </c>
      <c r="Q889" t="n">
        <v>0</v>
      </c>
      <c r="R889" s="2" t="inlineStr"/>
    </row>
    <row r="890" ht="15" customHeight="1">
      <c r="A890" t="inlineStr">
        <is>
          <t>A 22816-2021</t>
        </is>
      </c>
      <c r="B890" s="1" t="n">
        <v>44325</v>
      </c>
      <c r="C890" s="1" t="n">
        <v>46094</v>
      </c>
      <c r="D890" t="inlineStr">
        <is>
          <t>STOCKHOLMS LÄN</t>
        </is>
      </c>
      <c r="E890" t="inlineStr">
        <is>
          <t>NORRTÄLJE</t>
        </is>
      </c>
      <c r="G890" t="n">
        <v>4.5</v>
      </c>
      <c r="H890" t="n">
        <v>0</v>
      </c>
      <c r="I890" t="n">
        <v>0</v>
      </c>
      <c r="J890" t="n">
        <v>0</v>
      </c>
      <c r="K890" t="n">
        <v>0</v>
      </c>
      <c r="L890" t="n">
        <v>0</v>
      </c>
      <c r="M890" t="n">
        <v>0</v>
      </c>
      <c r="N890" t="n">
        <v>0</v>
      </c>
      <c r="O890" t="n">
        <v>0</v>
      </c>
      <c r="P890" t="n">
        <v>0</v>
      </c>
      <c r="Q890" t="n">
        <v>0</v>
      </c>
      <c r="R890" s="2" t="inlineStr"/>
    </row>
    <row r="891" ht="15" customHeight="1">
      <c r="A891" t="inlineStr">
        <is>
          <t>A 50182-2024</t>
        </is>
      </c>
      <c r="B891" s="1" t="n">
        <v>45600.47275462963</v>
      </c>
      <c r="C891" s="1" t="n">
        <v>46094</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59904-2023</t>
        </is>
      </c>
      <c r="B892" s="1" t="n">
        <v>45257</v>
      </c>
      <c r="C892" s="1" t="n">
        <v>46094</v>
      </c>
      <c r="D892" t="inlineStr">
        <is>
          <t>STOCKHOLMS LÄN</t>
        </is>
      </c>
      <c r="E892" t="inlineStr">
        <is>
          <t>NORRTÄLJE</t>
        </is>
      </c>
      <c r="G892" t="n">
        <v>17.4</v>
      </c>
      <c r="H892" t="n">
        <v>0</v>
      </c>
      <c r="I892" t="n">
        <v>0</v>
      </c>
      <c r="J892" t="n">
        <v>0</v>
      </c>
      <c r="K892" t="n">
        <v>0</v>
      </c>
      <c r="L892" t="n">
        <v>0</v>
      </c>
      <c r="M892" t="n">
        <v>0</v>
      </c>
      <c r="N892" t="n">
        <v>0</v>
      </c>
      <c r="O892" t="n">
        <v>0</v>
      </c>
      <c r="P892" t="n">
        <v>0</v>
      </c>
      <c r="Q892" t="n">
        <v>0</v>
      </c>
      <c r="R892" s="2" t="inlineStr"/>
    </row>
    <row r="893" ht="15" customHeight="1">
      <c r="A893" t="inlineStr">
        <is>
          <t>A 9914-2023</t>
        </is>
      </c>
      <c r="B893" s="1" t="n">
        <v>44985</v>
      </c>
      <c r="C893" s="1" t="n">
        <v>46094</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12629-2024</t>
        </is>
      </c>
      <c r="B894" s="1" t="n">
        <v>45383</v>
      </c>
      <c r="C894" s="1" t="n">
        <v>46094</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11062-2024</t>
        </is>
      </c>
      <c r="B895" s="1" t="n">
        <v>45370</v>
      </c>
      <c r="C895" s="1" t="n">
        <v>46094</v>
      </c>
      <c r="D895" t="inlineStr">
        <is>
          <t>STOCKHOLMS LÄN</t>
        </is>
      </c>
      <c r="E895" t="inlineStr">
        <is>
          <t>NORRTÄLJE</t>
        </is>
      </c>
      <c r="G895" t="n">
        <v>3.2</v>
      </c>
      <c r="H895" t="n">
        <v>0</v>
      </c>
      <c r="I895" t="n">
        <v>0</v>
      </c>
      <c r="J895" t="n">
        <v>0</v>
      </c>
      <c r="K895" t="n">
        <v>0</v>
      </c>
      <c r="L895" t="n">
        <v>0</v>
      </c>
      <c r="M895" t="n">
        <v>0</v>
      </c>
      <c r="N895" t="n">
        <v>0</v>
      </c>
      <c r="O895" t="n">
        <v>0</v>
      </c>
      <c r="P895" t="n">
        <v>0</v>
      </c>
      <c r="Q895" t="n">
        <v>0</v>
      </c>
      <c r="R895" s="2" t="inlineStr"/>
    </row>
    <row r="896" ht="15" customHeight="1">
      <c r="A896" t="inlineStr">
        <is>
          <t>A 35708-2022</t>
        </is>
      </c>
      <c r="B896" s="1" t="n">
        <v>44799.65013888889</v>
      </c>
      <c r="C896" s="1" t="n">
        <v>46094</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33569-2023</t>
        </is>
      </c>
      <c r="B897" s="1" t="n">
        <v>45131.666875</v>
      </c>
      <c r="C897" s="1" t="n">
        <v>46094</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15905-2023</t>
        </is>
      </c>
      <c r="B898" s="1" t="n">
        <v>45022</v>
      </c>
      <c r="C898" s="1" t="n">
        <v>46094</v>
      </c>
      <c r="D898" t="inlineStr">
        <is>
          <t>STOCKHOLMS LÄN</t>
        </is>
      </c>
      <c r="E898" t="inlineStr">
        <is>
          <t>NORRTÄLJE</t>
        </is>
      </c>
      <c r="G898" t="n">
        <v>3.2</v>
      </c>
      <c r="H898" t="n">
        <v>0</v>
      </c>
      <c r="I898" t="n">
        <v>0</v>
      </c>
      <c r="J898" t="n">
        <v>0</v>
      </c>
      <c r="K898" t="n">
        <v>0</v>
      </c>
      <c r="L898" t="n">
        <v>0</v>
      </c>
      <c r="M898" t="n">
        <v>0</v>
      </c>
      <c r="N898" t="n">
        <v>0</v>
      </c>
      <c r="O898" t="n">
        <v>0</v>
      </c>
      <c r="P898" t="n">
        <v>0</v>
      </c>
      <c r="Q898" t="n">
        <v>0</v>
      </c>
      <c r="R898" s="2" t="inlineStr"/>
    </row>
    <row r="899" ht="15" customHeight="1">
      <c r="A899" t="inlineStr">
        <is>
          <t>A 19058-2024</t>
        </is>
      </c>
      <c r="B899" s="1" t="n">
        <v>45427.89121527778</v>
      </c>
      <c r="C899" s="1" t="n">
        <v>46094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45220-2024</t>
        </is>
      </c>
      <c r="B900" s="1" t="n">
        <v>45575</v>
      </c>
      <c r="C900" s="1" t="n">
        <v>46094</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21731-2023</t>
        </is>
      </c>
      <c r="B901" s="1" t="n">
        <v>45063</v>
      </c>
      <c r="C901" s="1" t="n">
        <v>46094</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15956-2023</t>
        </is>
      </c>
      <c r="B902" s="1" t="n">
        <v>45022.61003472222</v>
      </c>
      <c r="C902" s="1" t="n">
        <v>46094</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23266-2023</t>
        </is>
      </c>
      <c r="B903" s="1" t="n">
        <v>45075.90817129629</v>
      </c>
      <c r="C903" s="1" t="n">
        <v>46094</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41053-2025</t>
        </is>
      </c>
      <c r="B904" s="1" t="n">
        <v>45898.40480324074</v>
      </c>
      <c r="C904" s="1" t="n">
        <v>46094</v>
      </c>
      <c r="D904" t="inlineStr">
        <is>
          <t>STOCKHOLMS LÄN</t>
        </is>
      </c>
      <c r="E904" t="inlineStr">
        <is>
          <t>NORRTÄLJE</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47626-2022</t>
        </is>
      </c>
      <c r="B905" s="1" t="n">
        <v>44854</v>
      </c>
      <c r="C905" s="1" t="n">
        <v>46094</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41275-2025</t>
        </is>
      </c>
      <c r="B906" s="1" t="n">
        <v>45898.62625</v>
      </c>
      <c r="C906" s="1" t="n">
        <v>46094</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41272-2025</t>
        </is>
      </c>
      <c r="B907" s="1" t="n">
        <v>45898.62373842593</v>
      </c>
      <c r="C907" s="1" t="n">
        <v>46094</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47521-2024</t>
        </is>
      </c>
      <c r="B908" s="1" t="n">
        <v>45587.62565972222</v>
      </c>
      <c r="C908" s="1" t="n">
        <v>46094</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58260-2023</t>
        </is>
      </c>
      <c r="B909" s="1" t="n">
        <v>45245</v>
      </c>
      <c r="C909" s="1" t="n">
        <v>46094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58261-2023</t>
        </is>
      </c>
      <c r="B910" s="1" t="n">
        <v>45245</v>
      </c>
      <c r="C910" s="1" t="n">
        <v>46094</v>
      </c>
      <c r="D910" t="inlineStr">
        <is>
          <t>STOCKHOLMS LÄN</t>
        </is>
      </c>
      <c r="E910" t="inlineStr">
        <is>
          <t>NORRTÄLJE</t>
        </is>
      </c>
      <c r="G910" t="n">
        <v>53.5</v>
      </c>
      <c r="H910" t="n">
        <v>0</v>
      </c>
      <c r="I910" t="n">
        <v>0</v>
      </c>
      <c r="J910" t="n">
        <v>0</v>
      </c>
      <c r="K910" t="n">
        <v>0</v>
      </c>
      <c r="L910" t="n">
        <v>0</v>
      </c>
      <c r="M910" t="n">
        <v>0</v>
      </c>
      <c r="N910" t="n">
        <v>0</v>
      </c>
      <c r="O910" t="n">
        <v>0</v>
      </c>
      <c r="P910" t="n">
        <v>0</v>
      </c>
      <c r="Q910" t="n">
        <v>0</v>
      </c>
      <c r="R910" s="2" t="inlineStr"/>
    </row>
    <row r="911" ht="15" customHeight="1">
      <c r="A911" t="inlineStr">
        <is>
          <t>A 62206-2022</t>
        </is>
      </c>
      <c r="B911" s="1" t="n">
        <v>44922</v>
      </c>
      <c r="C911" s="1" t="n">
        <v>46094</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20618-2022</t>
        </is>
      </c>
      <c r="B912" s="1" t="n">
        <v>44700.50659722222</v>
      </c>
      <c r="C912" s="1" t="n">
        <v>46094</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40192-2023</t>
        </is>
      </c>
      <c r="B913" s="1" t="n">
        <v>45169</v>
      </c>
      <c r="C913" s="1" t="n">
        <v>46094</v>
      </c>
      <c r="D913" t="inlineStr">
        <is>
          <t>STOCKHOLMS LÄN</t>
        </is>
      </c>
      <c r="E913" t="inlineStr">
        <is>
          <t>NORRTÄLJE</t>
        </is>
      </c>
      <c r="F913" t="inlineStr">
        <is>
          <t>Kyrkan</t>
        </is>
      </c>
      <c r="G913" t="n">
        <v>0.7</v>
      </c>
      <c r="H913" t="n">
        <v>0</v>
      </c>
      <c r="I913" t="n">
        <v>0</v>
      </c>
      <c r="J913" t="n">
        <v>0</v>
      </c>
      <c r="K913" t="n">
        <v>0</v>
      </c>
      <c r="L913" t="n">
        <v>0</v>
      </c>
      <c r="M913" t="n">
        <v>0</v>
      </c>
      <c r="N913" t="n">
        <v>0</v>
      </c>
      <c r="O913" t="n">
        <v>0</v>
      </c>
      <c r="P913" t="n">
        <v>0</v>
      </c>
      <c r="Q913" t="n">
        <v>0</v>
      </c>
      <c r="R913" s="2" t="inlineStr"/>
    </row>
    <row r="914" ht="15" customHeight="1">
      <c r="A914" t="inlineStr">
        <is>
          <t>A 11900-2022</t>
        </is>
      </c>
      <c r="B914" s="1" t="n">
        <v>44635</v>
      </c>
      <c r="C914" s="1" t="n">
        <v>46094</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10973-2025</t>
        </is>
      </c>
      <c r="B915" s="1" t="n">
        <v>45723</v>
      </c>
      <c r="C915" s="1" t="n">
        <v>46094</v>
      </c>
      <c r="D915" t="inlineStr">
        <is>
          <t>STOCKHOLMS LÄN</t>
        </is>
      </c>
      <c r="E915" t="inlineStr">
        <is>
          <t>NORRTÄLJE</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27885-2022</t>
        </is>
      </c>
      <c r="B916" s="1" t="n">
        <v>44743.67418981482</v>
      </c>
      <c r="C916" s="1" t="n">
        <v>46094</v>
      </c>
      <c r="D916" t="inlineStr">
        <is>
          <t>STOCKHOLMS LÄN</t>
        </is>
      </c>
      <c r="E916" t="inlineStr">
        <is>
          <t>NORRTÄLJE</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41301-2025</t>
        </is>
      </c>
      <c r="B917" s="1" t="n">
        <v>45898.68826388889</v>
      </c>
      <c r="C917" s="1" t="n">
        <v>46094</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29266-2022</t>
        </is>
      </c>
      <c r="B918" s="1" t="n">
        <v>44750.66068287037</v>
      </c>
      <c r="C918" s="1" t="n">
        <v>46094</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29278-2022</t>
        </is>
      </c>
      <c r="B919" s="1" t="n">
        <v>44750</v>
      </c>
      <c r="C919" s="1" t="n">
        <v>46094</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37273-2024</t>
        </is>
      </c>
      <c r="B920" s="1" t="n">
        <v>45540</v>
      </c>
      <c r="C920" s="1" t="n">
        <v>46094</v>
      </c>
      <c r="D920" t="inlineStr">
        <is>
          <t>STOCKHOLMS LÄN</t>
        </is>
      </c>
      <c r="E920" t="inlineStr">
        <is>
          <t>NORRTÄLJE</t>
        </is>
      </c>
      <c r="F920" t="inlineStr">
        <is>
          <t>Sveaskog</t>
        </is>
      </c>
      <c r="G920" t="n">
        <v>12.5</v>
      </c>
      <c r="H920" t="n">
        <v>0</v>
      </c>
      <c r="I920" t="n">
        <v>0</v>
      </c>
      <c r="J920" t="n">
        <v>0</v>
      </c>
      <c r="K920" t="n">
        <v>0</v>
      </c>
      <c r="L920" t="n">
        <v>0</v>
      </c>
      <c r="M920" t="n">
        <v>0</v>
      </c>
      <c r="N920" t="n">
        <v>0</v>
      </c>
      <c r="O920" t="n">
        <v>0</v>
      </c>
      <c r="P920" t="n">
        <v>0</v>
      </c>
      <c r="Q920" t="n">
        <v>0</v>
      </c>
      <c r="R920" s="2" t="inlineStr"/>
    </row>
    <row r="921" ht="15" customHeight="1">
      <c r="A921" t="inlineStr">
        <is>
          <t>A 12908-2025</t>
        </is>
      </c>
      <c r="B921" s="1" t="n">
        <v>45733.82105324074</v>
      </c>
      <c r="C921" s="1" t="n">
        <v>46094</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41174-2025</t>
        </is>
      </c>
      <c r="B922" s="1" t="n">
        <v>45898.54921296296</v>
      </c>
      <c r="C922" s="1" t="n">
        <v>46094</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41030-2025</t>
        </is>
      </c>
      <c r="B923" s="1" t="n">
        <v>45898.37636574074</v>
      </c>
      <c r="C923" s="1" t="n">
        <v>46094</v>
      </c>
      <c r="D923" t="inlineStr">
        <is>
          <t>STOCKHOLMS LÄN</t>
        </is>
      </c>
      <c r="E923" t="inlineStr">
        <is>
          <t>NORRTÄLJE</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23060-2023</t>
        </is>
      </c>
      <c r="B924" s="1" t="n">
        <v>45075</v>
      </c>
      <c r="C924" s="1" t="n">
        <v>46094</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41036-2025</t>
        </is>
      </c>
      <c r="B925" s="1" t="n">
        <v>45898.38552083333</v>
      </c>
      <c r="C925" s="1" t="n">
        <v>46094</v>
      </c>
      <c r="D925" t="inlineStr">
        <is>
          <t>STOCKHOLMS LÄN</t>
        </is>
      </c>
      <c r="E925" t="inlineStr">
        <is>
          <t>NORRTÄLJE</t>
        </is>
      </c>
      <c r="F925" t="inlineStr">
        <is>
          <t>Holmen skog AB</t>
        </is>
      </c>
      <c r="G925" t="n">
        <v>2.7</v>
      </c>
      <c r="H925" t="n">
        <v>0</v>
      </c>
      <c r="I925" t="n">
        <v>0</v>
      </c>
      <c r="J925" t="n">
        <v>0</v>
      </c>
      <c r="K925" t="n">
        <v>0</v>
      </c>
      <c r="L925" t="n">
        <v>0</v>
      </c>
      <c r="M925" t="n">
        <v>0</v>
      </c>
      <c r="N925" t="n">
        <v>0</v>
      </c>
      <c r="O925" t="n">
        <v>0</v>
      </c>
      <c r="P925" t="n">
        <v>0</v>
      </c>
      <c r="Q925" t="n">
        <v>0</v>
      </c>
      <c r="R925" s="2" t="inlineStr"/>
    </row>
    <row r="926" ht="15" customHeight="1">
      <c r="A926" t="inlineStr">
        <is>
          <t>A 41106-2025</t>
        </is>
      </c>
      <c r="B926" s="1" t="n">
        <v>45898.45636574074</v>
      </c>
      <c r="C926" s="1" t="n">
        <v>46094</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41110-2025</t>
        </is>
      </c>
      <c r="B927" s="1" t="n">
        <v>45898.45976851852</v>
      </c>
      <c r="C927" s="1" t="n">
        <v>46094</v>
      </c>
      <c r="D927" t="inlineStr">
        <is>
          <t>STOCKHOLMS LÄN</t>
        </is>
      </c>
      <c r="E927" t="inlineStr">
        <is>
          <t>NORRTÄLJE</t>
        </is>
      </c>
      <c r="F927" t="inlineStr">
        <is>
          <t>Holmen skog AB</t>
        </is>
      </c>
      <c r="G927" t="n">
        <v>6.7</v>
      </c>
      <c r="H927" t="n">
        <v>0</v>
      </c>
      <c r="I927" t="n">
        <v>0</v>
      </c>
      <c r="J927" t="n">
        <v>0</v>
      </c>
      <c r="K927" t="n">
        <v>0</v>
      </c>
      <c r="L927" t="n">
        <v>0</v>
      </c>
      <c r="M927" t="n">
        <v>0</v>
      </c>
      <c r="N927" t="n">
        <v>0</v>
      </c>
      <c r="O927" t="n">
        <v>0</v>
      </c>
      <c r="P927" t="n">
        <v>0</v>
      </c>
      <c r="Q927" t="n">
        <v>0</v>
      </c>
      <c r="R927" s="2" t="inlineStr"/>
    </row>
    <row r="928" ht="15" customHeight="1">
      <c r="A928" t="inlineStr">
        <is>
          <t>A 41259-2025</t>
        </is>
      </c>
      <c r="B928" s="1" t="n">
        <v>45898.61054398148</v>
      </c>
      <c r="C928" s="1" t="n">
        <v>46094</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10511-2025</t>
        </is>
      </c>
      <c r="B929" s="1" t="n">
        <v>45721.40780092592</v>
      </c>
      <c r="C929" s="1" t="n">
        <v>46094</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32103-2022</t>
        </is>
      </c>
      <c r="B930" s="1" t="n">
        <v>44778</v>
      </c>
      <c r="C930" s="1" t="n">
        <v>46094</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6401-2024</t>
        </is>
      </c>
      <c r="B931" s="1" t="n">
        <v>45338</v>
      </c>
      <c r="C931" s="1" t="n">
        <v>46094</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59504-2023</t>
        </is>
      </c>
      <c r="B932" s="1" t="n">
        <v>45254</v>
      </c>
      <c r="C932" s="1" t="n">
        <v>46094</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19057-2024</t>
        </is>
      </c>
      <c r="B933" s="1" t="n">
        <v>45427.88731481481</v>
      </c>
      <c r="C933" s="1" t="n">
        <v>46094</v>
      </c>
      <c r="D933" t="inlineStr">
        <is>
          <t>STOCKHOLMS LÄN</t>
        </is>
      </c>
      <c r="E933" t="inlineStr">
        <is>
          <t>NORRTÄLJE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60224-2023</t>
        </is>
      </c>
      <c r="B934" s="1" t="n">
        <v>45257</v>
      </c>
      <c r="C934" s="1" t="n">
        <v>46094</v>
      </c>
      <c r="D934" t="inlineStr">
        <is>
          <t>STOCKHOLMS LÄN</t>
        </is>
      </c>
      <c r="E934" t="inlineStr">
        <is>
          <t>NORRTÄLJE</t>
        </is>
      </c>
      <c r="G934" t="n">
        <v>8.1</v>
      </c>
      <c r="H934" t="n">
        <v>0</v>
      </c>
      <c r="I934" t="n">
        <v>0</v>
      </c>
      <c r="J934" t="n">
        <v>0</v>
      </c>
      <c r="K934" t="n">
        <v>0</v>
      </c>
      <c r="L934" t="n">
        <v>0</v>
      </c>
      <c r="M934" t="n">
        <v>0</v>
      </c>
      <c r="N934" t="n">
        <v>0</v>
      </c>
      <c r="O934" t="n">
        <v>0</v>
      </c>
      <c r="P934" t="n">
        <v>0</v>
      </c>
      <c r="Q934" t="n">
        <v>0</v>
      </c>
      <c r="R934" s="2" t="inlineStr"/>
    </row>
    <row r="935" ht="15" customHeight="1">
      <c r="A935" t="inlineStr">
        <is>
          <t>A 5158-2024</t>
        </is>
      </c>
      <c r="B935" s="1" t="n">
        <v>45330.50098379629</v>
      </c>
      <c r="C935" s="1" t="n">
        <v>46094</v>
      </c>
      <c r="D935" t="inlineStr">
        <is>
          <t>STOCKHOLMS LÄN</t>
        </is>
      </c>
      <c r="E935" t="inlineStr">
        <is>
          <t>NORRTÄLJE</t>
        </is>
      </c>
      <c r="G935" t="n">
        <v>0.8</v>
      </c>
      <c r="H935" t="n">
        <v>0</v>
      </c>
      <c r="I935" t="n">
        <v>0</v>
      </c>
      <c r="J935" t="n">
        <v>0</v>
      </c>
      <c r="K935" t="n">
        <v>0</v>
      </c>
      <c r="L935" t="n">
        <v>0</v>
      </c>
      <c r="M935" t="n">
        <v>0</v>
      </c>
      <c r="N935" t="n">
        <v>0</v>
      </c>
      <c r="O935" t="n">
        <v>0</v>
      </c>
      <c r="P935" t="n">
        <v>0</v>
      </c>
      <c r="Q935" t="n">
        <v>0</v>
      </c>
      <c r="R935" s="2" t="inlineStr"/>
    </row>
    <row r="936" ht="15" customHeight="1">
      <c r="A936" t="inlineStr">
        <is>
          <t>A 41966-2025</t>
        </is>
      </c>
      <c r="B936" s="1" t="n">
        <v>45903.47456018518</v>
      </c>
      <c r="C936" s="1" t="n">
        <v>46094</v>
      </c>
      <c r="D936" t="inlineStr">
        <is>
          <t>STOCKHOLMS LÄN</t>
        </is>
      </c>
      <c r="E936" t="inlineStr">
        <is>
          <t>NORRTÄLJE</t>
        </is>
      </c>
      <c r="F936" t="inlineStr">
        <is>
          <t>Sveaskog</t>
        </is>
      </c>
      <c r="G936" t="n">
        <v>3.7</v>
      </c>
      <c r="H936" t="n">
        <v>0</v>
      </c>
      <c r="I936" t="n">
        <v>0</v>
      </c>
      <c r="J936" t="n">
        <v>0</v>
      </c>
      <c r="K936" t="n">
        <v>0</v>
      </c>
      <c r="L936" t="n">
        <v>0</v>
      </c>
      <c r="M936" t="n">
        <v>0</v>
      </c>
      <c r="N936" t="n">
        <v>0</v>
      </c>
      <c r="O936" t="n">
        <v>0</v>
      </c>
      <c r="P936" t="n">
        <v>0</v>
      </c>
      <c r="Q936" t="n">
        <v>0</v>
      </c>
      <c r="R936" s="2" t="inlineStr"/>
    </row>
    <row r="937" ht="15" customHeight="1">
      <c r="A937" t="inlineStr">
        <is>
          <t>A 52321-2024</t>
        </is>
      </c>
      <c r="B937" s="1" t="n">
        <v>45608</v>
      </c>
      <c r="C937" s="1" t="n">
        <v>46094</v>
      </c>
      <c r="D937" t="inlineStr">
        <is>
          <t>STOCKHOLMS LÄN</t>
        </is>
      </c>
      <c r="E937" t="inlineStr">
        <is>
          <t>NORRTÄLJE</t>
        </is>
      </c>
      <c r="G937" t="n">
        <v>18.1</v>
      </c>
      <c r="H937" t="n">
        <v>0</v>
      </c>
      <c r="I937" t="n">
        <v>0</v>
      </c>
      <c r="J937" t="n">
        <v>0</v>
      </c>
      <c r="K937" t="n">
        <v>0</v>
      </c>
      <c r="L937" t="n">
        <v>0</v>
      </c>
      <c r="M937" t="n">
        <v>0</v>
      </c>
      <c r="N937" t="n">
        <v>0</v>
      </c>
      <c r="O937" t="n">
        <v>0</v>
      </c>
      <c r="P937" t="n">
        <v>0</v>
      </c>
      <c r="Q937" t="n">
        <v>0</v>
      </c>
      <c r="R937" s="2" t="inlineStr"/>
    </row>
    <row r="938" ht="15" customHeight="1">
      <c r="A938" t="inlineStr">
        <is>
          <t>A 42038-2025</t>
        </is>
      </c>
      <c r="B938" s="1" t="n">
        <v>45903.61431712963</v>
      </c>
      <c r="C938" s="1" t="n">
        <v>46094</v>
      </c>
      <c r="D938" t="inlineStr">
        <is>
          <t>STOCKHOLMS LÄN</t>
        </is>
      </c>
      <c r="E938" t="inlineStr">
        <is>
          <t>NORRTÄLJE</t>
        </is>
      </c>
      <c r="F938" t="inlineStr">
        <is>
          <t>Sveaskog</t>
        </is>
      </c>
      <c r="G938" t="n">
        <v>6.4</v>
      </c>
      <c r="H938" t="n">
        <v>0</v>
      </c>
      <c r="I938" t="n">
        <v>0</v>
      </c>
      <c r="J938" t="n">
        <v>0</v>
      </c>
      <c r="K938" t="n">
        <v>0</v>
      </c>
      <c r="L938" t="n">
        <v>0</v>
      </c>
      <c r="M938" t="n">
        <v>0</v>
      </c>
      <c r="N938" t="n">
        <v>0</v>
      </c>
      <c r="O938" t="n">
        <v>0</v>
      </c>
      <c r="P938" t="n">
        <v>0</v>
      </c>
      <c r="Q938" t="n">
        <v>0</v>
      </c>
      <c r="R938" s="2" t="inlineStr"/>
    </row>
    <row r="939" ht="15" customHeight="1">
      <c r="A939" t="inlineStr">
        <is>
          <t>A 48151-2024</t>
        </is>
      </c>
      <c r="B939" s="1" t="n">
        <v>45589.68289351852</v>
      </c>
      <c r="C939" s="1" t="n">
        <v>46094</v>
      </c>
      <c r="D939" t="inlineStr">
        <is>
          <t>STOCKHOLMS LÄN</t>
        </is>
      </c>
      <c r="E939" t="inlineStr">
        <is>
          <t>NORRTÄLJE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9130-2025</t>
        </is>
      </c>
      <c r="B940" s="1" t="n">
        <v>45713.92623842593</v>
      </c>
      <c r="C940" s="1" t="n">
        <v>46094</v>
      </c>
      <c r="D940" t="inlineStr">
        <is>
          <t>STOCKHOLMS LÄN</t>
        </is>
      </c>
      <c r="E940" t="inlineStr">
        <is>
          <t>NORRTÄLJE</t>
        </is>
      </c>
      <c r="G940" t="n">
        <v>16</v>
      </c>
      <c r="H940" t="n">
        <v>0</v>
      </c>
      <c r="I940" t="n">
        <v>0</v>
      </c>
      <c r="J940" t="n">
        <v>0</v>
      </c>
      <c r="K940" t="n">
        <v>0</v>
      </c>
      <c r="L940" t="n">
        <v>0</v>
      </c>
      <c r="M940" t="n">
        <v>0</v>
      </c>
      <c r="N940" t="n">
        <v>0</v>
      </c>
      <c r="O940" t="n">
        <v>0</v>
      </c>
      <c r="P940" t="n">
        <v>0</v>
      </c>
      <c r="Q940" t="n">
        <v>0</v>
      </c>
      <c r="R940" s="2" t="inlineStr"/>
    </row>
    <row r="941" ht="15" customHeight="1">
      <c r="A941" t="inlineStr">
        <is>
          <t>A 17551-2025</t>
        </is>
      </c>
      <c r="B941" s="1" t="n">
        <v>45757.61421296297</v>
      </c>
      <c r="C941" s="1" t="n">
        <v>46094</v>
      </c>
      <c r="D941" t="inlineStr">
        <is>
          <t>STOCKHOLMS LÄN</t>
        </is>
      </c>
      <c r="E941" t="inlineStr">
        <is>
          <t>NORRTÄLJE</t>
        </is>
      </c>
      <c r="G941" t="n">
        <v>2.8</v>
      </c>
      <c r="H941" t="n">
        <v>0</v>
      </c>
      <c r="I941" t="n">
        <v>0</v>
      </c>
      <c r="J941" t="n">
        <v>0</v>
      </c>
      <c r="K941" t="n">
        <v>0</v>
      </c>
      <c r="L941" t="n">
        <v>0</v>
      </c>
      <c r="M941" t="n">
        <v>0</v>
      </c>
      <c r="N941" t="n">
        <v>0</v>
      </c>
      <c r="O941" t="n">
        <v>0</v>
      </c>
      <c r="P941" t="n">
        <v>0</v>
      </c>
      <c r="Q941" t="n">
        <v>0</v>
      </c>
      <c r="R941" s="2" t="inlineStr"/>
    </row>
    <row r="942" ht="15" customHeight="1">
      <c r="A942" t="inlineStr">
        <is>
          <t>A 55010-2024</t>
        </is>
      </c>
      <c r="B942" s="1" t="n">
        <v>45621.34425925926</v>
      </c>
      <c r="C942" s="1" t="n">
        <v>46094</v>
      </c>
      <c r="D942" t="inlineStr">
        <is>
          <t>STOCKHOLMS LÄN</t>
        </is>
      </c>
      <c r="E942" t="inlineStr">
        <is>
          <t>NORRTÄLJE</t>
        </is>
      </c>
      <c r="F942" t="inlineStr">
        <is>
          <t>Sveaskog</t>
        </is>
      </c>
      <c r="G942" t="n">
        <v>5.7</v>
      </c>
      <c r="H942" t="n">
        <v>0</v>
      </c>
      <c r="I942" t="n">
        <v>0</v>
      </c>
      <c r="J942" t="n">
        <v>0</v>
      </c>
      <c r="K942" t="n">
        <v>0</v>
      </c>
      <c r="L942" t="n">
        <v>0</v>
      </c>
      <c r="M942" t="n">
        <v>0</v>
      </c>
      <c r="N942" t="n">
        <v>0</v>
      </c>
      <c r="O942" t="n">
        <v>0</v>
      </c>
      <c r="P942" t="n">
        <v>0</v>
      </c>
      <c r="Q942" t="n">
        <v>0</v>
      </c>
      <c r="R942" s="2" t="inlineStr"/>
    </row>
    <row r="943" ht="15" customHeight="1">
      <c r="A943" t="inlineStr">
        <is>
          <t>A 20370-2025</t>
        </is>
      </c>
      <c r="B943" s="1" t="n">
        <v>45775.41451388889</v>
      </c>
      <c r="C943" s="1" t="n">
        <v>46094</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31105-2022</t>
        </is>
      </c>
      <c r="B944" s="1" t="n">
        <v>44769.66039351852</v>
      </c>
      <c r="C944" s="1" t="n">
        <v>46094</v>
      </c>
      <c r="D944" t="inlineStr">
        <is>
          <t>STOCKHOLMS LÄN</t>
        </is>
      </c>
      <c r="E944" t="inlineStr">
        <is>
          <t>NORRTÄLJE</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19580-2022</t>
        </is>
      </c>
      <c r="B945" s="1" t="n">
        <v>44693</v>
      </c>
      <c r="C945" s="1" t="n">
        <v>46094</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41964-2025</t>
        </is>
      </c>
      <c r="B946" s="1" t="n">
        <v>45903.47270833333</v>
      </c>
      <c r="C946" s="1" t="n">
        <v>46094</v>
      </c>
      <c r="D946" t="inlineStr">
        <is>
          <t>STOCKHOLMS LÄN</t>
        </is>
      </c>
      <c r="E946" t="inlineStr">
        <is>
          <t>NORRTÄLJE</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30731-2023</t>
        </is>
      </c>
      <c r="B947" s="1" t="n">
        <v>45112</v>
      </c>
      <c r="C947" s="1" t="n">
        <v>46094</v>
      </c>
      <c r="D947" t="inlineStr">
        <is>
          <t>STOCKHOLMS LÄN</t>
        </is>
      </c>
      <c r="E947" t="inlineStr">
        <is>
          <t>NORRTÄLJE</t>
        </is>
      </c>
      <c r="G947" t="n">
        <v>1.6</v>
      </c>
      <c r="H947" t="n">
        <v>0</v>
      </c>
      <c r="I947" t="n">
        <v>0</v>
      </c>
      <c r="J947" t="n">
        <v>0</v>
      </c>
      <c r="K947" t="n">
        <v>0</v>
      </c>
      <c r="L947" t="n">
        <v>0</v>
      </c>
      <c r="M947" t="n">
        <v>0</v>
      </c>
      <c r="N947" t="n">
        <v>0</v>
      </c>
      <c r="O947" t="n">
        <v>0</v>
      </c>
      <c r="P947" t="n">
        <v>0</v>
      </c>
      <c r="Q947" t="n">
        <v>0</v>
      </c>
      <c r="R947" s="2" t="inlineStr"/>
    </row>
    <row r="948" ht="15" customHeight="1">
      <c r="A948" t="inlineStr">
        <is>
          <t>A 4580-2025</t>
        </is>
      </c>
      <c r="B948" s="1" t="n">
        <v>45687.5038425926</v>
      </c>
      <c r="C948" s="1" t="n">
        <v>46094</v>
      </c>
      <c r="D948" t="inlineStr">
        <is>
          <t>STOCKHOLMS LÄN</t>
        </is>
      </c>
      <c r="E948" t="inlineStr">
        <is>
          <t>NORRTÄLJE</t>
        </is>
      </c>
      <c r="F948" t="inlineStr">
        <is>
          <t>Holmen skog AB</t>
        </is>
      </c>
      <c r="G948" t="n">
        <v>4.8</v>
      </c>
      <c r="H948" t="n">
        <v>0</v>
      </c>
      <c r="I948" t="n">
        <v>0</v>
      </c>
      <c r="J948" t="n">
        <v>0</v>
      </c>
      <c r="K948" t="n">
        <v>0</v>
      </c>
      <c r="L948" t="n">
        <v>0</v>
      </c>
      <c r="M948" t="n">
        <v>0</v>
      </c>
      <c r="N948" t="n">
        <v>0</v>
      </c>
      <c r="O948" t="n">
        <v>0</v>
      </c>
      <c r="P948" t="n">
        <v>0</v>
      </c>
      <c r="Q948" t="n">
        <v>0</v>
      </c>
      <c r="R948" s="2" t="inlineStr"/>
    </row>
    <row r="949" ht="15" customHeight="1">
      <c r="A949" t="inlineStr">
        <is>
          <t>A 31057-2022</t>
        </is>
      </c>
      <c r="B949" s="1" t="n">
        <v>44769</v>
      </c>
      <c r="C949" s="1" t="n">
        <v>46094</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30620-2022</t>
        </is>
      </c>
      <c r="B950" s="1" t="n">
        <v>44763.40914351852</v>
      </c>
      <c r="C950" s="1" t="n">
        <v>46094</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50113-2024</t>
        </is>
      </c>
      <c r="B951" s="1" t="n">
        <v>45600.411875</v>
      </c>
      <c r="C951" s="1" t="n">
        <v>46094</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28365-2022</t>
        </is>
      </c>
      <c r="B952" s="1" t="n">
        <v>44747</v>
      </c>
      <c r="C952" s="1" t="n">
        <v>46094</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44833.40876157407</v>
      </c>
      <c r="C953" s="1" t="n">
        <v>46094</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1283-2025</t>
        </is>
      </c>
      <c r="B954" s="1" t="n">
        <v>45667.49878472222</v>
      </c>
      <c r="C954" s="1" t="n">
        <v>46094</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31140-2023</t>
        </is>
      </c>
      <c r="B955" s="1" t="n">
        <v>45113</v>
      </c>
      <c r="C955" s="1" t="n">
        <v>46094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31149-2023</t>
        </is>
      </c>
      <c r="B956" s="1" t="n">
        <v>45113</v>
      </c>
      <c r="C956" s="1" t="n">
        <v>46094</v>
      </c>
      <c r="D956" t="inlineStr">
        <is>
          <t>STOCKHOLMS LÄN</t>
        </is>
      </c>
      <c r="E956" t="inlineStr">
        <is>
          <t>NORRTÄLJE</t>
        </is>
      </c>
      <c r="G956" t="n">
        <v>7.1</v>
      </c>
      <c r="H956" t="n">
        <v>0</v>
      </c>
      <c r="I956" t="n">
        <v>0</v>
      </c>
      <c r="J956" t="n">
        <v>0</v>
      </c>
      <c r="K956" t="n">
        <v>0</v>
      </c>
      <c r="L956" t="n">
        <v>0</v>
      </c>
      <c r="M956" t="n">
        <v>0</v>
      </c>
      <c r="N956" t="n">
        <v>0</v>
      </c>
      <c r="O956" t="n">
        <v>0</v>
      </c>
      <c r="P956" t="n">
        <v>0</v>
      </c>
      <c r="Q956" t="n">
        <v>0</v>
      </c>
      <c r="R956" s="2" t="inlineStr"/>
    </row>
    <row r="957" ht="15" customHeight="1">
      <c r="A957" t="inlineStr">
        <is>
          <t>A 30699-2025</t>
        </is>
      </c>
      <c r="B957" s="1" t="n">
        <v>45831.54618055555</v>
      </c>
      <c r="C957" s="1" t="n">
        <v>46094</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4658-2024</t>
        </is>
      </c>
      <c r="B958" s="1" t="n">
        <v>45328.46336805556</v>
      </c>
      <c r="C958" s="1" t="n">
        <v>46094</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19131-2025</t>
        </is>
      </c>
      <c r="B959" s="1" t="n">
        <v>45769</v>
      </c>
      <c r="C959" s="1" t="n">
        <v>46094</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13767-2025</t>
        </is>
      </c>
      <c r="B960" s="1" t="n">
        <v>45737.43347222222</v>
      </c>
      <c r="C960" s="1" t="n">
        <v>46094</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20013-2025</t>
        </is>
      </c>
      <c r="B961" s="1" t="n">
        <v>45772.30436342592</v>
      </c>
      <c r="C961" s="1" t="n">
        <v>46094</v>
      </c>
      <c r="D961" t="inlineStr">
        <is>
          <t>STOCKHOLMS LÄN</t>
        </is>
      </c>
      <c r="E961" t="inlineStr">
        <is>
          <t>NORRTÄLJE</t>
        </is>
      </c>
      <c r="G961" t="n">
        <v>2.3</v>
      </c>
      <c r="H961" t="n">
        <v>0</v>
      </c>
      <c r="I961" t="n">
        <v>0</v>
      </c>
      <c r="J961" t="n">
        <v>0</v>
      </c>
      <c r="K961" t="n">
        <v>0</v>
      </c>
      <c r="L961" t="n">
        <v>0</v>
      </c>
      <c r="M961" t="n">
        <v>0</v>
      </c>
      <c r="N961" t="n">
        <v>0</v>
      </c>
      <c r="O961" t="n">
        <v>0</v>
      </c>
      <c r="P961" t="n">
        <v>0</v>
      </c>
      <c r="Q961" t="n">
        <v>0</v>
      </c>
      <c r="R961" s="2" t="inlineStr"/>
    </row>
    <row r="962" ht="15" customHeight="1">
      <c r="A962" t="inlineStr">
        <is>
          <t>A 53362-2023</t>
        </is>
      </c>
      <c r="B962" s="1" t="n">
        <v>45223</v>
      </c>
      <c r="C962" s="1" t="n">
        <v>46094</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15422-2024</t>
        </is>
      </c>
      <c r="B963" s="1" t="n">
        <v>45401.3653125</v>
      </c>
      <c r="C963" s="1" t="n">
        <v>46094</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20011-2025</t>
        </is>
      </c>
      <c r="B964" s="1" t="n">
        <v>45772.29622685185</v>
      </c>
      <c r="C964" s="1" t="n">
        <v>46094</v>
      </c>
      <c r="D964" t="inlineStr">
        <is>
          <t>STOCKHOLMS LÄN</t>
        </is>
      </c>
      <c r="E964" t="inlineStr">
        <is>
          <t>NORRTÄLJE</t>
        </is>
      </c>
      <c r="G964" t="n">
        <v>3.5</v>
      </c>
      <c r="H964" t="n">
        <v>0</v>
      </c>
      <c r="I964" t="n">
        <v>0</v>
      </c>
      <c r="J964" t="n">
        <v>0</v>
      </c>
      <c r="K964" t="n">
        <v>0</v>
      </c>
      <c r="L964" t="n">
        <v>0</v>
      </c>
      <c r="M964" t="n">
        <v>0</v>
      </c>
      <c r="N964" t="n">
        <v>0</v>
      </c>
      <c r="O964" t="n">
        <v>0</v>
      </c>
      <c r="P964" t="n">
        <v>0</v>
      </c>
      <c r="Q964" t="n">
        <v>0</v>
      </c>
      <c r="R964" s="2" t="inlineStr"/>
    </row>
    <row r="965" ht="15" customHeight="1">
      <c r="A965" t="inlineStr">
        <is>
          <t>A 42856-2025</t>
        </is>
      </c>
      <c r="B965" s="1" t="n">
        <v>45908</v>
      </c>
      <c r="C965" s="1" t="n">
        <v>46094</v>
      </c>
      <c r="D965" t="inlineStr">
        <is>
          <t>STOCKHOLMS LÄN</t>
        </is>
      </c>
      <c r="E965" t="inlineStr">
        <is>
          <t>NORRTÄLJE</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30508-2023</t>
        </is>
      </c>
      <c r="B966" s="1" t="n">
        <v>45111</v>
      </c>
      <c r="C966" s="1" t="n">
        <v>46094</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16008-2025</t>
        </is>
      </c>
      <c r="B967" s="1" t="n">
        <v>45749</v>
      </c>
      <c r="C967" s="1" t="n">
        <v>46094</v>
      </c>
      <c r="D967" t="inlineStr">
        <is>
          <t>STOCKHOLMS LÄN</t>
        </is>
      </c>
      <c r="E967" t="inlineStr">
        <is>
          <t>NORRTÄLJE</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21158-2022</t>
        </is>
      </c>
      <c r="B968" s="1" t="n">
        <v>44704</v>
      </c>
      <c r="C968" s="1" t="n">
        <v>46094</v>
      </c>
      <c r="D968" t="inlineStr">
        <is>
          <t>STOCKHOLMS LÄN</t>
        </is>
      </c>
      <c r="E968" t="inlineStr">
        <is>
          <t>NORRTÄLJE</t>
        </is>
      </c>
      <c r="G968" t="n">
        <v>17.8</v>
      </c>
      <c r="H968" t="n">
        <v>0</v>
      </c>
      <c r="I968" t="n">
        <v>0</v>
      </c>
      <c r="J968" t="n">
        <v>0</v>
      </c>
      <c r="K968" t="n">
        <v>0</v>
      </c>
      <c r="L968" t="n">
        <v>0</v>
      </c>
      <c r="M968" t="n">
        <v>0</v>
      </c>
      <c r="N968" t="n">
        <v>0</v>
      </c>
      <c r="O968" t="n">
        <v>0</v>
      </c>
      <c r="P968" t="n">
        <v>0</v>
      </c>
      <c r="Q968" t="n">
        <v>0</v>
      </c>
      <c r="R968" s="2" t="inlineStr"/>
    </row>
    <row r="969" ht="15" customHeight="1">
      <c r="A969" t="inlineStr">
        <is>
          <t>A 32101-2022</t>
        </is>
      </c>
      <c r="B969" s="1" t="n">
        <v>44778.69210648148</v>
      </c>
      <c r="C969" s="1" t="n">
        <v>46094</v>
      </c>
      <c r="D969" t="inlineStr">
        <is>
          <t>STOCKHOLMS LÄN</t>
        </is>
      </c>
      <c r="E969" t="inlineStr">
        <is>
          <t>NORRTÄLJE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23150-2024</t>
        </is>
      </c>
      <c r="B970" s="1" t="n">
        <v>45450.64643518518</v>
      </c>
      <c r="C970" s="1" t="n">
        <v>46094</v>
      </c>
      <c r="D970" t="inlineStr">
        <is>
          <t>STOCKHOLMS LÄN</t>
        </is>
      </c>
      <c r="E970" t="inlineStr">
        <is>
          <t>NORRTÄLJE</t>
        </is>
      </c>
      <c r="F970" t="inlineStr">
        <is>
          <t>Kommuner</t>
        </is>
      </c>
      <c r="G970" t="n">
        <v>2.7</v>
      </c>
      <c r="H970" t="n">
        <v>0</v>
      </c>
      <c r="I970" t="n">
        <v>0</v>
      </c>
      <c r="J970" t="n">
        <v>0</v>
      </c>
      <c r="K970" t="n">
        <v>0</v>
      </c>
      <c r="L970" t="n">
        <v>0</v>
      </c>
      <c r="M970" t="n">
        <v>0</v>
      </c>
      <c r="N970" t="n">
        <v>0</v>
      </c>
      <c r="O970" t="n">
        <v>0</v>
      </c>
      <c r="P970" t="n">
        <v>0</v>
      </c>
      <c r="Q970" t="n">
        <v>0</v>
      </c>
      <c r="R970" s="2" t="inlineStr"/>
    </row>
    <row r="971" ht="15" customHeight="1">
      <c r="A971" t="inlineStr">
        <is>
          <t>A 24933-2023</t>
        </is>
      </c>
      <c r="B971" s="1" t="n">
        <v>45085.5309375</v>
      </c>
      <c r="C971" s="1" t="n">
        <v>46094</v>
      </c>
      <c r="D971" t="inlineStr">
        <is>
          <t>STOCKHOLMS LÄN</t>
        </is>
      </c>
      <c r="E971" t="inlineStr">
        <is>
          <t>NORRTÄLJE</t>
        </is>
      </c>
      <c r="F971" t="inlineStr">
        <is>
          <t>Holmen skog AB</t>
        </is>
      </c>
      <c r="G971" t="n">
        <v>1.8</v>
      </c>
      <c r="H971" t="n">
        <v>0</v>
      </c>
      <c r="I971" t="n">
        <v>0</v>
      </c>
      <c r="J971" t="n">
        <v>0</v>
      </c>
      <c r="K971" t="n">
        <v>0</v>
      </c>
      <c r="L971" t="n">
        <v>0</v>
      </c>
      <c r="M971" t="n">
        <v>0</v>
      </c>
      <c r="N971" t="n">
        <v>0</v>
      </c>
      <c r="O971" t="n">
        <v>0</v>
      </c>
      <c r="P971" t="n">
        <v>0</v>
      </c>
      <c r="Q971" t="n">
        <v>0</v>
      </c>
      <c r="R971" s="2" t="inlineStr"/>
    </row>
    <row r="972" ht="15" customHeight="1">
      <c r="A972" t="inlineStr">
        <is>
          <t>A 24835-2025</t>
        </is>
      </c>
      <c r="B972" s="1" t="n">
        <v>45799</v>
      </c>
      <c r="C972" s="1" t="n">
        <v>46094</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56631-2024</t>
        </is>
      </c>
      <c r="B973" s="1" t="n">
        <v>45625</v>
      </c>
      <c r="C973" s="1" t="n">
        <v>46094</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652-2025</t>
        </is>
      </c>
      <c r="B974" s="1" t="n">
        <v>45664</v>
      </c>
      <c r="C974" s="1" t="n">
        <v>46094</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43169-2025</t>
        </is>
      </c>
      <c r="B975" s="1" t="n">
        <v>45910</v>
      </c>
      <c r="C975" s="1" t="n">
        <v>46094</v>
      </c>
      <c r="D975" t="inlineStr">
        <is>
          <t>STOCKHOLMS LÄN</t>
        </is>
      </c>
      <c r="E975" t="inlineStr">
        <is>
          <t>NORRTÄLJE</t>
        </is>
      </c>
      <c r="G975" t="n">
        <v>6.9</v>
      </c>
      <c r="H975" t="n">
        <v>0</v>
      </c>
      <c r="I975" t="n">
        <v>0</v>
      </c>
      <c r="J975" t="n">
        <v>0</v>
      </c>
      <c r="K975" t="n">
        <v>0</v>
      </c>
      <c r="L975" t="n">
        <v>0</v>
      </c>
      <c r="M975" t="n">
        <v>0</v>
      </c>
      <c r="N975" t="n">
        <v>0</v>
      </c>
      <c r="O975" t="n">
        <v>0</v>
      </c>
      <c r="P975" t="n">
        <v>0</v>
      </c>
      <c r="Q975" t="n">
        <v>0</v>
      </c>
      <c r="R975" s="2" t="inlineStr"/>
    </row>
    <row r="976" ht="15" customHeight="1">
      <c r="A976" t="inlineStr">
        <is>
          <t>A 30719-2025</t>
        </is>
      </c>
      <c r="B976" s="1" t="n">
        <v>45831</v>
      </c>
      <c r="C976" s="1" t="n">
        <v>46094</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43269-2025</t>
        </is>
      </c>
      <c r="B977" s="1" t="n">
        <v>45910.5819212963</v>
      </c>
      <c r="C977" s="1" t="n">
        <v>46094</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5389-2025</t>
        </is>
      </c>
      <c r="B978" s="1" t="n">
        <v>45692</v>
      </c>
      <c r="C978" s="1" t="n">
        <v>46094</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13051-2021</t>
        </is>
      </c>
      <c r="B979" s="1" t="n">
        <v>44272</v>
      </c>
      <c r="C979" s="1" t="n">
        <v>46094</v>
      </c>
      <c r="D979" t="inlineStr">
        <is>
          <t>STOCKHOLMS LÄN</t>
        </is>
      </c>
      <c r="E979" t="inlineStr">
        <is>
          <t>NORRTÄLJE</t>
        </is>
      </c>
      <c r="G979" t="n">
        <v>9.1</v>
      </c>
      <c r="H979" t="n">
        <v>0</v>
      </c>
      <c r="I979" t="n">
        <v>0</v>
      </c>
      <c r="J979" t="n">
        <v>0</v>
      </c>
      <c r="K979" t="n">
        <v>0</v>
      </c>
      <c r="L979" t="n">
        <v>0</v>
      </c>
      <c r="M979" t="n">
        <v>0</v>
      </c>
      <c r="N979" t="n">
        <v>0</v>
      </c>
      <c r="O979" t="n">
        <v>0</v>
      </c>
      <c r="P979" t="n">
        <v>0</v>
      </c>
      <c r="Q979" t="n">
        <v>0</v>
      </c>
      <c r="R979" s="2" t="inlineStr"/>
    </row>
    <row r="980" ht="15" customHeight="1">
      <c r="A980" t="inlineStr">
        <is>
          <t>A 43916-2025</t>
        </is>
      </c>
      <c r="B980" s="1" t="n">
        <v>45914.78884259259</v>
      </c>
      <c r="C980" s="1" t="n">
        <v>46094</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11499-2023</t>
        </is>
      </c>
      <c r="B981" s="1" t="n">
        <v>44993.66707175926</v>
      </c>
      <c r="C981" s="1" t="n">
        <v>46094</v>
      </c>
      <c r="D981" t="inlineStr">
        <is>
          <t>STOCKHOLMS LÄN</t>
        </is>
      </c>
      <c r="E981" t="inlineStr">
        <is>
          <t>NORRTÄLJE</t>
        </is>
      </c>
      <c r="F981" t="inlineStr">
        <is>
          <t>Holmen skog AB</t>
        </is>
      </c>
      <c r="G981" t="n">
        <v>2.8</v>
      </c>
      <c r="H981" t="n">
        <v>0</v>
      </c>
      <c r="I981" t="n">
        <v>0</v>
      </c>
      <c r="J981" t="n">
        <v>0</v>
      </c>
      <c r="K981" t="n">
        <v>0</v>
      </c>
      <c r="L981" t="n">
        <v>0</v>
      </c>
      <c r="M981" t="n">
        <v>0</v>
      </c>
      <c r="N981" t="n">
        <v>0</v>
      </c>
      <c r="O981" t="n">
        <v>0</v>
      </c>
      <c r="P981" t="n">
        <v>0</v>
      </c>
      <c r="Q981" t="n">
        <v>0</v>
      </c>
      <c r="R981" s="2" t="inlineStr"/>
    </row>
    <row r="982" ht="15" customHeight="1">
      <c r="A982" t="inlineStr">
        <is>
          <t>A 576-2023</t>
        </is>
      </c>
      <c r="B982" s="1" t="n">
        <v>44925</v>
      </c>
      <c r="C982" s="1" t="n">
        <v>46094</v>
      </c>
      <c r="D982" t="inlineStr">
        <is>
          <t>STOCKHOLMS LÄN</t>
        </is>
      </c>
      <c r="E982" t="inlineStr">
        <is>
          <t>NORRTÄLJE</t>
        </is>
      </c>
      <c r="G982" t="n">
        <v>7.2</v>
      </c>
      <c r="H982" t="n">
        <v>0</v>
      </c>
      <c r="I982" t="n">
        <v>0</v>
      </c>
      <c r="J982" t="n">
        <v>0</v>
      </c>
      <c r="K982" t="n">
        <v>0</v>
      </c>
      <c r="L982" t="n">
        <v>0</v>
      </c>
      <c r="M982" t="n">
        <v>0</v>
      </c>
      <c r="N982" t="n">
        <v>0</v>
      </c>
      <c r="O982" t="n">
        <v>0</v>
      </c>
      <c r="P982" t="n">
        <v>0</v>
      </c>
      <c r="Q982" t="n">
        <v>0</v>
      </c>
      <c r="R982" s="2" t="inlineStr"/>
    </row>
    <row r="983" ht="15" customHeight="1">
      <c r="A983" t="inlineStr">
        <is>
          <t>A 10678-2025</t>
        </is>
      </c>
      <c r="B983" s="1" t="n">
        <v>45721.89123842592</v>
      </c>
      <c r="C983" s="1" t="n">
        <v>46094</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31936-2022</t>
        </is>
      </c>
      <c r="B984" s="1" t="n">
        <v>44777</v>
      </c>
      <c r="C984" s="1" t="n">
        <v>46094</v>
      </c>
      <c r="D984" t="inlineStr">
        <is>
          <t>STOCKHOLMS LÄN</t>
        </is>
      </c>
      <c r="E984" t="inlineStr">
        <is>
          <t>NORRTÄLJE</t>
        </is>
      </c>
      <c r="G984" t="n">
        <v>5.2</v>
      </c>
      <c r="H984" t="n">
        <v>0</v>
      </c>
      <c r="I984" t="n">
        <v>0</v>
      </c>
      <c r="J984" t="n">
        <v>0</v>
      </c>
      <c r="K984" t="n">
        <v>0</v>
      </c>
      <c r="L984" t="n">
        <v>0</v>
      </c>
      <c r="M984" t="n">
        <v>0</v>
      </c>
      <c r="N984" t="n">
        <v>0</v>
      </c>
      <c r="O984" t="n">
        <v>0</v>
      </c>
      <c r="P984" t="n">
        <v>0</v>
      </c>
      <c r="Q984" t="n">
        <v>0</v>
      </c>
      <c r="R984" s="2" t="inlineStr"/>
    </row>
    <row r="985" ht="15" customHeight="1">
      <c r="A985" t="inlineStr">
        <is>
          <t>A 44354-2025</t>
        </is>
      </c>
      <c r="B985" s="1" t="n">
        <v>45916.44655092592</v>
      </c>
      <c r="C985" s="1" t="n">
        <v>46094</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59873-2024</t>
        </is>
      </c>
      <c r="B986" s="1" t="n">
        <v>45640.57305555556</v>
      </c>
      <c r="C986" s="1" t="n">
        <v>46094</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35916-2024</t>
        </is>
      </c>
      <c r="B987" s="1" t="n">
        <v>45533</v>
      </c>
      <c r="C987" s="1" t="n">
        <v>46094</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10098-2022</t>
        </is>
      </c>
      <c r="B988" s="1" t="n">
        <v>44621</v>
      </c>
      <c r="C988" s="1" t="n">
        <v>46094</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44306-2025</t>
        </is>
      </c>
      <c r="B989" s="1" t="n">
        <v>45916.37736111111</v>
      </c>
      <c r="C989" s="1" t="n">
        <v>46094</v>
      </c>
      <c r="D989" t="inlineStr">
        <is>
          <t>STOCKHOLMS LÄN</t>
        </is>
      </c>
      <c r="E989" t="inlineStr">
        <is>
          <t>NORRTÄLJE</t>
        </is>
      </c>
      <c r="G989" t="n">
        <v>2.8</v>
      </c>
      <c r="H989" t="n">
        <v>0</v>
      </c>
      <c r="I989" t="n">
        <v>0</v>
      </c>
      <c r="J989" t="n">
        <v>0</v>
      </c>
      <c r="K989" t="n">
        <v>0</v>
      </c>
      <c r="L989" t="n">
        <v>0</v>
      </c>
      <c r="M989" t="n">
        <v>0</v>
      </c>
      <c r="N989" t="n">
        <v>0</v>
      </c>
      <c r="O989" t="n">
        <v>0</v>
      </c>
      <c r="P989" t="n">
        <v>0</v>
      </c>
      <c r="Q989" t="n">
        <v>0</v>
      </c>
      <c r="R989" s="2" t="inlineStr"/>
    </row>
    <row r="990" ht="15" customHeight="1">
      <c r="A990" t="inlineStr">
        <is>
          <t>A 44343-2025</t>
        </is>
      </c>
      <c r="B990" s="1" t="n">
        <v>45916.43378472222</v>
      </c>
      <c r="C990" s="1" t="n">
        <v>46094</v>
      </c>
      <c r="D990" t="inlineStr">
        <is>
          <t>STOCKHOLMS LÄN</t>
        </is>
      </c>
      <c r="E990" t="inlineStr">
        <is>
          <t>NORRTÄLJE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44349-2025</t>
        </is>
      </c>
      <c r="B991" s="1" t="n">
        <v>45916.43929398148</v>
      </c>
      <c r="C991" s="1" t="n">
        <v>46094</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44311-2025</t>
        </is>
      </c>
      <c r="B992" s="1" t="n">
        <v>45916.38394675926</v>
      </c>
      <c r="C992" s="1" t="n">
        <v>46094</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63161-2023</t>
        </is>
      </c>
      <c r="B993" s="1" t="n">
        <v>45273</v>
      </c>
      <c r="C993" s="1" t="n">
        <v>46094</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44333-2025</t>
        </is>
      </c>
      <c r="B994" s="1" t="n">
        <v>45916.42293981482</v>
      </c>
      <c r="C994" s="1" t="n">
        <v>46094</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7796-2025</t>
        </is>
      </c>
      <c r="B995" s="1" t="n">
        <v>45706.60130787037</v>
      </c>
      <c r="C995" s="1" t="n">
        <v>46094</v>
      </c>
      <c r="D995" t="inlineStr">
        <is>
          <t>STOCKHOLMS LÄN</t>
        </is>
      </c>
      <c r="E995" t="inlineStr">
        <is>
          <t>NORRTÄLJE</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15552-2021</t>
        </is>
      </c>
      <c r="B996" s="1" t="n">
        <v>44285</v>
      </c>
      <c r="C996" s="1" t="n">
        <v>46094</v>
      </c>
      <c r="D996" t="inlineStr">
        <is>
          <t>STOCKHOLMS LÄN</t>
        </is>
      </c>
      <c r="E996" t="inlineStr">
        <is>
          <t>NORRTÄLJE</t>
        </is>
      </c>
      <c r="G996" t="n">
        <v>10</v>
      </c>
      <c r="H996" t="n">
        <v>0</v>
      </c>
      <c r="I996" t="n">
        <v>0</v>
      </c>
      <c r="J996" t="n">
        <v>0</v>
      </c>
      <c r="K996" t="n">
        <v>0</v>
      </c>
      <c r="L996" t="n">
        <v>0</v>
      </c>
      <c r="M996" t="n">
        <v>0</v>
      </c>
      <c r="N996" t="n">
        <v>0</v>
      </c>
      <c r="O996" t="n">
        <v>0</v>
      </c>
      <c r="P996" t="n">
        <v>0</v>
      </c>
      <c r="Q996" t="n">
        <v>0</v>
      </c>
      <c r="R996" s="2" t="inlineStr"/>
    </row>
    <row r="997" ht="15" customHeight="1">
      <c r="A997" t="inlineStr">
        <is>
          <t>A 58040-2024</t>
        </is>
      </c>
      <c r="B997" s="1" t="n">
        <v>45631.73952546297</v>
      </c>
      <c r="C997" s="1" t="n">
        <v>46094</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58041-2024</t>
        </is>
      </c>
      <c r="B998" s="1" t="n">
        <v>45631.74673611111</v>
      </c>
      <c r="C998" s="1" t="n">
        <v>46094</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30268-2024</t>
        </is>
      </c>
      <c r="B999" s="1" t="n">
        <v>45490.60572916667</v>
      </c>
      <c r="C999" s="1" t="n">
        <v>46094</v>
      </c>
      <c r="D999" t="inlineStr">
        <is>
          <t>STOCKHOLMS LÄN</t>
        </is>
      </c>
      <c r="E999" t="inlineStr">
        <is>
          <t>NORRTÄLJE</t>
        </is>
      </c>
      <c r="G999" t="n">
        <v>5.6</v>
      </c>
      <c r="H999" t="n">
        <v>0</v>
      </c>
      <c r="I999" t="n">
        <v>0</v>
      </c>
      <c r="J999" t="n">
        <v>0</v>
      </c>
      <c r="K999" t="n">
        <v>0</v>
      </c>
      <c r="L999" t="n">
        <v>0</v>
      </c>
      <c r="M999" t="n">
        <v>0</v>
      </c>
      <c r="N999" t="n">
        <v>0</v>
      </c>
      <c r="O999" t="n">
        <v>0</v>
      </c>
      <c r="P999" t="n">
        <v>0</v>
      </c>
      <c r="Q999" t="n">
        <v>0</v>
      </c>
      <c r="R999" s="2" t="inlineStr"/>
    </row>
    <row r="1000" ht="15" customHeight="1">
      <c r="A1000" t="inlineStr">
        <is>
          <t>A 12407-2025</t>
        </is>
      </c>
      <c r="B1000" s="1" t="n">
        <v>45730.42851851852</v>
      </c>
      <c r="C1000" s="1" t="n">
        <v>46094</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19025-2025</t>
        </is>
      </c>
      <c r="B1001" s="1" t="n">
        <v>45764.6359837963</v>
      </c>
      <c r="C1001" s="1" t="n">
        <v>46094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54276-2021</t>
        </is>
      </c>
      <c r="B1002" s="1" t="n">
        <v>44470</v>
      </c>
      <c r="C1002" s="1" t="n">
        <v>46094</v>
      </c>
      <c r="D1002" t="inlineStr">
        <is>
          <t>STOCKHOLMS LÄN</t>
        </is>
      </c>
      <c r="E1002" t="inlineStr">
        <is>
          <t>NORRTÄLJE</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4316-2023</t>
        </is>
      </c>
      <c r="B1003" s="1" t="n">
        <v>44953.67443287037</v>
      </c>
      <c r="C1003" s="1" t="n">
        <v>46094</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41587-2023</t>
        </is>
      </c>
      <c r="B1004" s="1" t="n">
        <v>45175</v>
      </c>
      <c r="C1004" s="1" t="n">
        <v>46094</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44937-2025</t>
        </is>
      </c>
      <c r="B1005" s="1" t="n">
        <v>45918</v>
      </c>
      <c r="C1005" s="1" t="n">
        <v>46094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17304-2024</t>
        </is>
      </c>
      <c r="B1006" s="1" t="n">
        <v>45414</v>
      </c>
      <c r="C1006" s="1" t="n">
        <v>46094</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11280-2023</t>
        </is>
      </c>
      <c r="B1007" s="1" t="n">
        <v>44992</v>
      </c>
      <c r="C1007" s="1" t="n">
        <v>46094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26668-2024</t>
        </is>
      </c>
      <c r="B1008" s="1" t="n">
        <v>45469</v>
      </c>
      <c r="C1008" s="1" t="n">
        <v>46094</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22359-2025</t>
        </is>
      </c>
      <c r="B1009" s="1" t="n">
        <v>45786</v>
      </c>
      <c r="C1009" s="1" t="n">
        <v>46094</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45697-2025</t>
        </is>
      </c>
      <c r="B1010" s="1" t="n">
        <v>45923.39877314815</v>
      </c>
      <c r="C1010" s="1" t="n">
        <v>46094</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46415-2025</t>
        </is>
      </c>
      <c r="B1011" s="1" t="n">
        <v>45925.58636574074</v>
      </c>
      <c r="C1011" s="1" t="n">
        <v>46094</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46900-2025</t>
        </is>
      </c>
      <c r="B1012" s="1" t="n">
        <v>45929.38712962963</v>
      </c>
      <c r="C1012" s="1" t="n">
        <v>46094</v>
      </c>
      <c r="D1012" t="inlineStr">
        <is>
          <t>STOCKHOLMS LÄN</t>
        </is>
      </c>
      <c r="E1012" t="inlineStr">
        <is>
          <t>NORRTÄLJE</t>
        </is>
      </c>
      <c r="F1012" t="inlineStr">
        <is>
          <t>Holmen skog AB</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35256-2025</t>
        </is>
      </c>
      <c r="B1013" s="1" t="n">
        <v>45853</v>
      </c>
      <c r="C1013" s="1" t="n">
        <v>46094</v>
      </c>
      <c r="D1013" t="inlineStr">
        <is>
          <t>STOCKHOLMS LÄN</t>
        </is>
      </c>
      <c r="E1013" t="inlineStr">
        <is>
          <t>NORRTÄLJE</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47498-2025</t>
        </is>
      </c>
      <c r="B1014" s="1" t="n">
        <v>45930.8134375</v>
      </c>
      <c r="C1014" s="1" t="n">
        <v>46094</v>
      </c>
      <c r="D1014" t="inlineStr">
        <is>
          <t>STOCKHOLMS LÄN</t>
        </is>
      </c>
      <c r="E1014" t="inlineStr">
        <is>
          <t>NORRTÄLJE</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47460-2025</t>
        </is>
      </c>
      <c r="B1015" s="1" t="n">
        <v>45930.66012731481</v>
      </c>
      <c r="C1015" s="1" t="n">
        <v>46094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47496-2025</t>
        </is>
      </c>
      <c r="B1016" s="1" t="n">
        <v>45930.79252314815</v>
      </c>
      <c r="C1016" s="1" t="n">
        <v>46094</v>
      </c>
      <c r="D1016" t="inlineStr">
        <is>
          <t>STOCKHOLMS LÄN</t>
        </is>
      </c>
      <c r="E1016" t="inlineStr">
        <is>
          <t>NORRTÄLJE</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47497-2025</t>
        </is>
      </c>
      <c r="B1017" s="1" t="n">
        <v>45930.80217592593</v>
      </c>
      <c r="C1017" s="1" t="n">
        <v>46094</v>
      </c>
      <c r="D1017" t="inlineStr">
        <is>
          <t>STOCKHOLMS LÄN</t>
        </is>
      </c>
      <c r="E1017" t="inlineStr">
        <is>
          <t>NORRTÄLJE</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48360-2025</t>
        </is>
      </c>
      <c r="B1018" s="1" t="n">
        <v>45933.66253472222</v>
      </c>
      <c r="C1018" s="1" t="n">
        <v>46094</v>
      </c>
      <c r="D1018" t="inlineStr">
        <is>
          <t>STOCKHOLMS LÄN</t>
        </is>
      </c>
      <c r="E1018" t="inlineStr">
        <is>
          <t>NORRTÄLJE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48370-2025</t>
        </is>
      </c>
      <c r="B1019" s="1" t="n">
        <v>45933.67854166667</v>
      </c>
      <c r="C1019" s="1" t="n">
        <v>46094</v>
      </c>
      <c r="D1019" t="inlineStr">
        <is>
          <t>STOCKHOLMS LÄN</t>
        </is>
      </c>
      <c r="E1019" t="inlineStr">
        <is>
          <t>NORRTÄLJE</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48364-2025</t>
        </is>
      </c>
      <c r="B1020" s="1" t="n">
        <v>45933.66796296297</v>
      </c>
      <c r="C1020" s="1" t="n">
        <v>46094</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48174-2025</t>
        </is>
      </c>
      <c r="B1021" s="1" t="n">
        <v>45933.44230324074</v>
      </c>
      <c r="C1021" s="1" t="n">
        <v>46094</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48127-2025</t>
        </is>
      </c>
      <c r="B1022" s="1" t="n">
        <v>45933.36621527778</v>
      </c>
      <c r="C1022" s="1" t="n">
        <v>46094</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48179-2025</t>
        </is>
      </c>
      <c r="B1023" s="1" t="n">
        <v>45933.44907407407</v>
      </c>
      <c r="C1023" s="1" t="n">
        <v>46094</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48718-2025</t>
        </is>
      </c>
      <c r="B1024" s="1" t="n">
        <v>45936</v>
      </c>
      <c r="C1024" s="1" t="n">
        <v>46094</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48593-2025</t>
        </is>
      </c>
      <c r="B1025" s="1" t="n">
        <v>45936.4627662037</v>
      </c>
      <c r="C1025" s="1" t="n">
        <v>46094</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48443-2025</t>
        </is>
      </c>
      <c r="B1026" s="1" t="n">
        <v>45935.55326388889</v>
      </c>
      <c r="C1026" s="1" t="n">
        <v>46094</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48780-2025</t>
        </is>
      </c>
      <c r="B1027" s="1" t="n">
        <v>45937.30377314815</v>
      </c>
      <c r="C1027" s="1" t="n">
        <v>46094</v>
      </c>
      <c r="D1027" t="inlineStr">
        <is>
          <t>STOCKHOLMS LÄN</t>
        </is>
      </c>
      <c r="E1027" t="inlineStr">
        <is>
          <t>NORRTÄLJE</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49129-2025</t>
        </is>
      </c>
      <c r="B1028" s="1" t="n">
        <v>45937.89517361111</v>
      </c>
      <c r="C1028" s="1" t="n">
        <v>46094</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50097-2025</t>
        </is>
      </c>
      <c r="B1029" s="1" t="n">
        <v>45943.50207175926</v>
      </c>
      <c r="C1029" s="1" t="n">
        <v>46094</v>
      </c>
      <c r="D1029" t="inlineStr">
        <is>
          <t>STOCKHOLMS LÄN</t>
        </is>
      </c>
      <c r="E1029" t="inlineStr">
        <is>
          <t>NORRTÄLJE</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49836-2025</t>
        </is>
      </c>
      <c r="B1030" s="1" t="n">
        <v>45940.46862268518</v>
      </c>
      <c r="C1030" s="1" t="n">
        <v>46094</v>
      </c>
      <c r="D1030" t="inlineStr">
        <is>
          <t>STOCKHOLMS LÄN</t>
        </is>
      </c>
      <c r="E1030" t="inlineStr">
        <is>
          <t>NORRTÄLJE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50327-2025</t>
        </is>
      </c>
      <c r="B1031" s="1" t="n">
        <v>45944.46387731482</v>
      </c>
      <c r="C1031" s="1" t="n">
        <v>46094</v>
      </c>
      <c r="D1031" t="inlineStr">
        <is>
          <t>STOCKHOLMS LÄN</t>
        </is>
      </c>
      <c r="E1031" t="inlineStr">
        <is>
          <t>NORRTÄLJE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50563-2025</t>
        </is>
      </c>
      <c r="B1032" s="1" t="n">
        <v>45944</v>
      </c>
      <c r="C1032" s="1" t="n">
        <v>46094</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50333-2025</t>
        </is>
      </c>
      <c r="B1033" s="1" t="n">
        <v>45944.47178240741</v>
      </c>
      <c r="C1033" s="1" t="n">
        <v>46094</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51122-2025</t>
        </is>
      </c>
      <c r="B1034" s="1" t="n">
        <v>45947.53693287037</v>
      </c>
      <c r="C1034" s="1" t="n">
        <v>46094</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51233-2025</t>
        </is>
      </c>
      <c r="B1035" s="1" t="n">
        <v>45947.68232638889</v>
      </c>
      <c r="C1035" s="1" t="n">
        <v>46094</v>
      </c>
      <c r="D1035" t="inlineStr">
        <is>
          <t>STOCKHOLMS LÄN</t>
        </is>
      </c>
      <c r="E1035" t="inlineStr">
        <is>
          <t>NORRTÄLJE</t>
        </is>
      </c>
      <c r="F1035" t="inlineStr">
        <is>
          <t>Naturvårdsverket</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51236-2025</t>
        </is>
      </c>
      <c r="B1036" s="1" t="n">
        <v>45947.69078703703</v>
      </c>
      <c r="C1036" s="1" t="n">
        <v>46094</v>
      </c>
      <c r="D1036" t="inlineStr">
        <is>
          <t>STOCKHOLMS LÄN</t>
        </is>
      </c>
      <c r="E1036" t="inlineStr">
        <is>
          <t>NORRTÄLJE</t>
        </is>
      </c>
      <c r="F1036" t="inlineStr">
        <is>
          <t>Naturvårdsverket</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51241-2025</t>
        </is>
      </c>
      <c r="B1037" s="1" t="n">
        <v>45947.71726851852</v>
      </c>
      <c r="C1037" s="1" t="n">
        <v>46094</v>
      </c>
      <c r="D1037" t="inlineStr">
        <is>
          <t>STOCKHOLMS LÄN</t>
        </is>
      </c>
      <c r="E1037" t="inlineStr">
        <is>
          <t>NORRTÄLJE</t>
        </is>
      </c>
      <c r="F1037" t="inlineStr">
        <is>
          <t>Naturvårdsverket</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51240-2025</t>
        </is>
      </c>
      <c r="B1038" s="1" t="n">
        <v>45947.70420138889</v>
      </c>
      <c r="C1038" s="1" t="n">
        <v>46094</v>
      </c>
      <c r="D1038" t="inlineStr">
        <is>
          <t>STOCKHOLMS LÄN</t>
        </is>
      </c>
      <c r="E1038" t="inlineStr">
        <is>
          <t>NORRTÄLJE</t>
        </is>
      </c>
      <c r="F1038" t="inlineStr">
        <is>
          <t>Naturvårdsverket</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51121-2025</t>
        </is>
      </c>
      <c r="B1039" s="1" t="n">
        <v>45947.53293981482</v>
      </c>
      <c r="C1039" s="1" t="n">
        <v>46094</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59477-2025</t>
        </is>
      </c>
      <c r="B1040" s="1" t="n">
        <v>45989.58679398148</v>
      </c>
      <c r="C1040" s="1" t="n">
        <v>46094</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51532-2025</t>
        </is>
      </c>
      <c r="B1041" s="1" t="n">
        <v>45950.68297453703</v>
      </c>
      <c r="C1041" s="1" t="n">
        <v>46094</v>
      </c>
      <c r="D1041" t="inlineStr">
        <is>
          <t>STOCKHOLMS LÄN</t>
        </is>
      </c>
      <c r="E1041" t="inlineStr">
        <is>
          <t>NORRTÄLJE</t>
        </is>
      </c>
      <c r="F1041" t="inlineStr">
        <is>
          <t>Naturvårdsverket</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51789-2025</t>
        </is>
      </c>
      <c r="B1042" s="1" t="n">
        <v>45951.68046296296</v>
      </c>
      <c r="C1042" s="1" t="n">
        <v>46094</v>
      </c>
      <c r="D1042" t="inlineStr">
        <is>
          <t>STOCKHOLMS LÄN</t>
        </is>
      </c>
      <c r="E1042" t="inlineStr">
        <is>
          <t>NORRTÄLJE</t>
        </is>
      </c>
      <c r="F1042" t="inlineStr">
        <is>
          <t>Naturvårdsverket</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51960-2025</t>
        </is>
      </c>
      <c r="B1043" s="1" t="n">
        <v>45952.54755787037</v>
      </c>
      <c r="C1043" s="1" t="n">
        <v>46094</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51941-2025</t>
        </is>
      </c>
      <c r="B1044" s="1" t="n">
        <v>45952.52261574074</v>
      </c>
      <c r="C1044" s="1" t="n">
        <v>46094</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52061-2025</t>
        </is>
      </c>
      <c r="B1045" s="1" t="n">
        <v>45952.63679398148</v>
      </c>
      <c r="C1045" s="1" t="n">
        <v>46094</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51945-2025</t>
        </is>
      </c>
      <c r="B1046" s="1" t="n">
        <v>45952.52679398148</v>
      </c>
      <c r="C1046" s="1" t="n">
        <v>46094</v>
      </c>
      <c r="D1046" t="inlineStr">
        <is>
          <t>STOCKHOLMS LÄN</t>
        </is>
      </c>
      <c r="E1046" t="inlineStr">
        <is>
          <t>NORRTÄLJE</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52251-2025</t>
        </is>
      </c>
      <c r="B1047" s="1" t="n">
        <v>45953.49185185185</v>
      </c>
      <c r="C1047" s="1" t="n">
        <v>46094</v>
      </c>
      <c r="D1047" t="inlineStr">
        <is>
          <t>STOCKHOLMS LÄN</t>
        </is>
      </c>
      <c r="E1047" t="inlineStr">
        <is>
          <t>NORRTÄLJE</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52254-2025</t>
        </is>
      </c>
      <c r="B1048" s="1" t="n">
        <v>45953.49519675926</v>
      </c>
      <c r="C1048" s="1" t="n">
        <v>46094</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52773-2025</t>
        </is>
      </c>
      <c r="B1049" s="1" t="n">
        <v>45957.41457175926</v>
      </c>
      <c r="C1049" s="1" t="n">
        <v>46094</v>
      </c>
      <c r="D1049" t="inlineStr">
        <is>
          <t>STOCKHOLMS LÄN</t>
        </is>
      </c>
      <c r="E1049" t="inlineStr">
        <is>
          <t>NORRTÄLJE</t>
        </is>
      </c>
      <c r="F1049" t="inlineStr">
        <is>
          <t>Sveaskog</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52777-2025</t>
        </is>
      </c>
      <c r="B1050" s="1" t="n">
        <v>45957.41832175926</v>
      </c>
      <c r="C1050" s="1" t="n">
        <v>46094</v>
      </c>
      <c r="D1050" t="inlineStr">
        <is>
          <t>STOCKHOLMS LÄN</t>
        </is>
      </c>
      <c r="E1050" t="inlineStr">
        <is>
          <t>NORRTÄLJE</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52526-2025</t>
        </is>
      </c>
      <c r="B1051" s="1" t="n">
        <v>45954.53061342592</v>
      </c>
      <c r="C1051" s="1" t="n">
        <v>46094</v>
      </c>
      <c r="D1051" t="inlineStr">
        <is>
          <t>STOCKHOLMS LÄN</t>
        </is>
      </c>
      <c r="E1051" t="inlineStr">
        <is>
          <t>NORRTÄLJE</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53000-2025</t>
        </is>
      </c>
      <c r="B1052" s="1" t="n">
        <v>45957.74357638889</v>
      </c>
      <c r="C1052" s="1" t="n">
        <v>46094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52703-2025</t>
        </is>
      </c>
      <c r="B1053" s="1" t="n">
        <v>45956.88643518519</v>
      </c>
      <c r="C1053" s="1" t="n">
        <v>46094</v>
      </c>
      <c r="D1053" t="inlineStr">
        <is>
          <t>STOCKHOLMS LÄN</t>
        </is>
      </c>
      <c r="E1053" t="inlineStr">
        <is>
          <t>NORRTÄLJE</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52729-2025</t>
        </is>
      </c>
      <c r="B1054" s="1" t="n">
        <v>45957.3636574074</v>
      </c>
      <c r="C1054" s="1" t="n">
        <v>46094</v>
      </c>
      <c r="D1054" t="inlineStr">
        <is>
          <t>STOCKHOLMS LÄN</t>
        </is>
      </c>
      <c r="E1054" t="inlineStr">
        <is>
          <t>NORRTÄLJE</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52734-2025</t>
        </is>
      </c>
      <c r="B1055" s="1" t="n">
        <v>45957.3710300926</v>
      </c>
      <c r="C1055" s="1" t="n">
        <v>46094</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52776-2025</t>
        </is>
      </c>
      <c r="B1056" s="1" t="n">
        <v>45957.41724537037</v>
      </c>
      <c r="C1056" s="1" t="n">
        <v>46094</v>
      </c>
      <c r="D1056" t="inlineStr">
        <is>
          <t>STOCKHOLMS LÄN</t>
        </is>
      </c>
      <c r="E1056" t="inlineStr">
        <is>
          <t>NORRTÄLJE</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52529-2025</t>
        </is>
      </c>
      <c r="B1057" s="1" t="n">
        <v>45954.53229166667</v>
      </c>
      <c r="C1057" s="1" t="n">
        <v>46094</v>
      </c>
      <c r="D1057" t="inlineStr">
        <is>
          <t>STOCKHOLMS LÄN</t>
        </is>
      </c>
      <c r="E1057" t="inlineStr">
        <is>
          <t>NORRTÄLJE</t>
        </is>
      </c>
      <c r="F1057" t="inlineStr">
        <is>
          <t>Sveaskog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52704-2025</t>
        </is>
      </c>
      <c r="B1058" s="1" t="n">
        <v>45956.89097222222</v>
      </c>
      <c r="C1058" s="1" t="n">
        <v>46094</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52553-2025</t>
        </is>
      </c>
      <c r="B1059" s="1" t="n">
        <v>45954.5624537037</v>
      </c>
      <c r="C1059" s="1" t="n">
        <v>46094</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53299-2025</t>
        </is>
      </c>
      <c r="B1060" s="1" t="n">
        <v>45959.31901620371</v>
      </c>
      <c r="C1060" s="1" t="n">
        <v>46094</v>
      </c>
      <c r="D1060" t="inlineStr">
        <is>
          <t>STOCKHOLMS LÄN</t>
        </is>
      </c>
      <c r="E1060" t="inlineStr">
        <is>
          <t>NORRTÄLJE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53087-2025</t>
        </is>
      </c>
      <c r="B1061" s="1" t="n">
        <v>45958.41065972222</v>
      </c>
      <c r="C1061" s="1" t="n">
        <v>46094</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53115-2025</t>
        </is>
      </c>
      <c r="B1062" s="1" t="n">
        <v>45958.44614583333</v>
      </c>
      <c r="C1062" s="1" t="n">
        <v>46094</v>
      </c>
      <c r="D1062" t="inlineStr">
        <is>
          <t>STOCKHOLMS LÄN</t>
        </is>
      </c>
      <c r="E1062" t="inlineStr">
        <is>
          <t>NORRTÄLJE</t>
        </is>
      </c>
      <c r="F1062" t="inlineStr">
        <is>
          <t>Kyrkan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53629-2025</t>
        </is>
      </c>
      <c r="B1063" s="1" t="n">
        <v>45960.49570601852</v>
      </c>
      <c r="C1063" s="1" t="n">
        <v>46094</v>
      </c>
      <c r="D1063" t="inlineStr">
        <is>
          <t>STOCKHOLMS LÄN</t>
        </is>
      </c>
      <c r="E1063" t="inlineStr">
        <is>
          <t>NORRTÄLJE</t>
        </is>
      </c>
      <c r="F1063" t="inlineStr">
        <is>
          <t>Naturvårdsverket</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53747-2025</t>
        </is>
      </c>
      <c r="B1064" s="1" t="n">
        <v>45960.65415509259</v>
      </c>
      <c r="C1064" s="1" t="n">
        <v>46094</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54907-2025</t>
        </is>
      </c>
      <c r="B1065" s="1" t="n">
        <v>45967.37137731481</v>
      </c>
      <c r="C1065" s="1" t="n">
        <v>46094</v>
      </c>
      <c r="D1065" t="inlineStr">
        <is>
          <t>STOCKHOLMS LÄN</t>
        </is>
      </c>
      <c r="E1065" t="inlineStr">
        <is>
          <t>NORRTÄLJE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55503-2025</t>
        </is>
      </c>
      <c r="B1066" s="1" t="n">
        <v>45971</v>
      </c>
      <c r="C1066" s="1" t="n">
        <v>46094</v>
      </c>
      <c r="D1066" t="inlineStr">
        <is>
          <t>STOCKHOLMS LÄN</t>
        </is>
      </c>
      <c r="E1066" t="inlineStr">
        <is>
          <t>NORRTÄLJE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55599-2025</t>
        </is>
      </c>
      <c r="B1067" s="1" t="n">
        <v>45971.76810185185</v>
      </c>
      <c r="C1067" s="1" t="n">
        <v>46094</v>
      </c>
      <c r="D1067" t="inlineStr">
        <is>
          <t>STOCKHOLMS LÄN</t>
        </is>
      </c>
      <c r="E1067" t="inlineStr">
        <is>
          <t>NORRTÄLJE</t>
        </is>
      </c>
      <c r="F1067" t="inlineStr">
        <is>
          <t>Holmen skog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56114-2025</t>
        </is>
      </c>
      <c r="B1068" s="1" t="n">
        <v>45973.74474537037</v>
      </c>
      <c r="C1068" s="1" t="n">
        <v>46094</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56207-2025</t>
        </is>
      </c>
      <c r="B1069" s="1" t="n">
        <v>45974.47329861111</v>
      </c>
      <c r="C1069" s="1" t="n">
        <v>46094</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58403-2025</t>
        </is>
      </c>
      <c r="B1070" s="1" t="n">
        <v>45985.56777777777</v>
      </c>
      <c r="C1070" s="1" t="n">
        <v>46094</v>
      </c>
      <c r="D1070" t="inlineStr">
        <is>
          <t>STOCKHOLMS LÄN</t>
        </is>
      </c>
      <c r="E1070" t="inlineStr">
        <is>
          <t>NORRTÄLJE</t>
        </is>
      </c>
      <c r="F1070" t="inlineStr">
        <is>
          <t>Naturvårdsverket</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58142-2025</t>
        </is>
      </c>
      <c r="B1071" s="1" t="n">
        <v>45982.63791666667</v>
      </c>
      <c r="C1071" s="1" t="n">
        <v>46094</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57953-2025</t>
        </is>
      </c>
      <c r="B1072" s="1" t="n">
        <v>45982.35016203704</v>
      </c>
      <c r="C1072" s="1" t="n">
        <v>46094</v>
      </c>
      <c r="D1072" t="inlineStr">
        <is>
          <t>STOCKHOLMS LÄN</t>
        </is>
      </c>
      <c r="E1072" t="inlineStr">
        <is>
          <t>NORRTÄLJE</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58939-2025</t>
        </is>
      </c>
      <c r="B1073" s="1" t="n">
        <v>45987.5681712963</v>
      </c>
      <c r="C1073" s="1" t="n">
        <v>46094</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59041-2025</t>
        </is>
      </c>
      <c r="B1074" s="1" t="n">
        <v>45988</v>
      </c>
      <c r="C1074" s="1" t="n">
        <v>46094</v>
      </c>
      <c r="D1074" t="inlineStr">
        <is>
          <t>STOCKHOLMS LÄN</t>
        </is>
      </c>
      <c r="E1074" t="inlineStr">
        <is>
          <t>NORRTÄLJE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59914-2025</t>
        </is>
      </c>
      <c r="B1075" s="1" t="n">
        <v>45993.37056712963</v>
      </c>
      <c r="C1075" s="1" t="n">
        <v>46094</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59672-2025</t>
        </is>
      </c>
      <c r="B1076" s="1" t="n">
        <v>45992.45884259259</v>
      </c>
      <c r="C1076" s="1" t="n">
        <v>46094</v>
      </c>
      <c r="D1076" t="inlineStr">
        <is>
          <t>STOCKHOLMS LÄN</t>
        </is>
      </c>
      <c r="E1076" t="inlineStr">
        <is>
          <t>NORRTÄLJE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57788-2025</t>
        </is>
      </c>
      <c r="B1077" s="1" t="n">
        <v>45981.5778125</v>
      </c>
      <c r="C1077" s="1" t="n">
        <v>46094</v>
      </c>
      <c r="D1077" t="inlineStr">
        <is>
          <t>STOCKHOLMS LÄN</t>
        </is>
      </c>
      <c r="E1077" t="inlineStr">
        <is>
          <t>NORRTÄLJE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59907-2025</t>
        </is>
      </c>
      <c r="B1078" s="1" t="n">
        <v>45993.35350694445</v>
      </c>
      <c r="C1078" s="1" t="n">
        <v>46094</v>
      </c>
      <c r="D1078" t="inlineStr">
        <is>
          <t>STOCKHOLMS LÄN</t>
        </is>
      </c>
      <c r="E1078" t="inlineStr">
        <is>
          <t>NORRTÄLJE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59924-2025</t>
        </is>
      </c>
      <c r="B1079" s="1" t="n">
        <v>45993.38928240741</v>
      </c>
      <c r="C1079" s="1" t="n">
        <v>46094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60253-2025</t>
        </is>
      </c>
      <c r="B1080" s="1" t="n">
        <v>45994.59827546297</v>
      </c>
      <c r="C1080" s="1" t="n">
        <v>46094</v>
      </c>
      <c r="D1080" t="inlineStr">
        <is>
          <t>STOCKHOLMS LÄN</t>
        </is>
      </c>
      <c r="E1080" t="inlineStr">
        <is>
          <t>NORRTÄLJE</t>
        </is>
      </c>
      <c r="F1080" t="inlineStr">
        <is>
          <t>Holmen skog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60214-2025</t>
        </is>
      </c>
      <c r="B1081" s="1" t="n">
        <v>45994.53761574074</v>
      </c>
      <c r="C1081" s="1" t="n">
        <v>46094</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60223-2025</t>
        </is>
      </c>
      <c r="B1082" s="1" t="n">
        <v>45994.54497685185</v>
      </c>
      <c r="C1082" s="1" t="n">
        <v>46094</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60745-2025</t>
        </is>
      </c>
      <c r="B1083" s="1" t="n">
        <v>45999.37753472223</v>
      </c>
      <c r="C1083" s="1" t="n">
        <v>46094</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60649-2025</t>
        </is>
      </c>
      <c r="B1084" s="1" t="n">
        <v>45996.4560300926</v>
      </c>
      <c r="C1084" s="1" t="n">
        <v>46094</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60948-2025</t>
        </is>
      </c>
      <c r="B1085" s="1" t="n">
        <v>45999.650625</v>
      </c>
      <c r="C1085" s="1" t="n">
        <v>46094</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60928-2025</t>
        </is>
      </c>
      <c r="B1086" s="1" t="n">
        <v>45999.633125</v>
      </c>
      <c r="C1086" s="1" t="n">
        <v>46094</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61160-2025</t>
        </is>
      </c>
      <c r="B1087" s="1" t="n">
        <v>46000.55262731481</v>
      </c>
      <c r="C1087" s="1" t="n">
        <v>46094</v>
      </c>
      <c r="D1087" t="inlineStr">
        <is>
          <t>STOCKHOLMS LÄN</t>
        </is>
      </c>
      <c r="E1087" t="inlineStr">
        <is>
          <t>NORRTÄLJE</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61419-2025</t>
        </is>
      </c>
      <c r="B1088" s="1" t="n">
        <v>46001.54137731482</v>
      </c>
      <c r="C1088" s="1" t="n">
        <v>46094</v>
      </c>
      <c r="D1088" t="inlineStr">
        <is>
          <t>STOCKHOLMS LÄN</t>
        </is>
      </c>
      <c r="E1088" t="inlineStr">
        <is>
          <t>NORRTÄLJE</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61430-2025</t>
        </is>
      </c>
      <c r="B1089" s="1" t="n">
        <v>46001.55583333333</v>
      </c>
      <c r="C1089" s="1" t="n">
        <v>46094</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61452-2025</t>
        </is>
      </c>
      <c r="B1090" s="1" t="n">
        <v>46001.58043981482</v>
      </c>
      <c r="C1090" s="1" t="n">
        <v>46094</v>
      </c>
      <c r="D1090" t="inlineStr">
        <is>
          <t>STOCKHOLMS LÄN</t>
        </is>
      </c>
      <c r="E1090" t="inlineStr">
        <is>
          <t>NORRTÄLJE</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61289-2025</t>
        </is>
      </c>
      <c r="B1091" s="1" t="n">
        <v>46000.73659722223</v>
      </c>
      <c r="C1091" s="1" t="n">
        <v>46094</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61769-2025</t>
        </is>
      </c>
      <c r="B1092" s="1" t="n">
        <v>46002.64556712963</v>
      </c>
      <c r="C1092" s="1" t="n">
        <v>46094</v>
      </c>
      <c r="D1092" t="inlineStr">
        <is>
          <t>STOCKHOLMS LÄN</t>
        </is>
      </c>
      <c r="E1092" t="inlineStr">
        <is>
          <t>NORRTÄLJE</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61764-2025</t>
        </is>
      </c>
      <c r="B1093" s="1" t="n">
        <v>46002.62763888889</v>
      </c>
      <c r="C1093" s="1" t="n">
        <v>46094</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33279-2025</t>
        </is>
      </c>
      <c r="B1094" s="1" t="n">
        <v>45840</v>
      </c>
      <c r="C1094" s="1" t="n">
        <v>46094</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53499-2025</t>
        </is>
      </c>
      <c r="B1095" s="1" t="n">
        <v>45960</v>
      </c>
      <c r="C1095" s="1" t="n">
        <v>46094</v>
      </c>
      <c r="D1095" t="inlineStr">
        <is>
          <t>STOCKHOLMS LÄN</t>
        </is>
      </c>
      <c r="E1095" t="inlineStr">
        <is>
          <t>NORRTÄLJE</t>
        </is>
      </c>
      <c r="G1095" t="n">
        <v>23.8</v>
      </c>
      <c r="H1095" t="n">
        <v>0</v>
      </c>
      <c r="I1095" t="n">
        <v>0</v>
      </c>
      <c r="J1095" t="n">
        <v>0</v>
      </c>
      <c r="K1095" t="n">
        <v>0</v>
      </c>
      <c r="L1095" t="n">
        <v>0</v>
      </c>
      <c r="M1095" t="n">
        <v>0</v>
      </c>
      <c r="N1095" t="n">
        <v>0</v>
      </c>
      <c r="O1095" t="n">
        <v>0</v>
      </c>
      <c r="P1095" t="n">
        <v>0</v>
      </c>
      <c r="Q1095" t="n">
        <v>0</v>
      </c>
      <c r="R1095" s="2" t="inlineStr"/>
    </row>
    <row r="1096" ht="15" customHeight="1">
      <c r="A1096" t="inlineStr">
        <is>
          <t>A 62708-2025</t>
        </is>
      </c>
      <c r="B1096" s="1" t="n">
        <v>46008.50986111111</v>
      </c>
      <c r="C1096" s="1" t="n">
        <v>46094</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34478-2025</t>
        </is>
      </c>
      <c r="B1097" s="1" t="n">
        <v>45847</v>
      </c>
      <c r="C1097" s="1" t="n">
        <v>46094</v>
      </c>
      <c r="D1097" t="inlineStr">
        <is>
          <t>STOCKHOLMS LÄN</t>
        </is>
      </c>
      <c r="E1097" t="inlineStr">
        <is>
          <t>NORRTÄLJE</t>
        </is>
      </c>
      <c r="F1097" t="inlineStr">
        <is>
          <t>Övriga Aktiebolag</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62681-2025</t>
        </is>
      </c>
      <c r="B1098" s="1" t="n">
        <v>46008.45534722223</v>
      </c>
      <c r="C1098" s="1" t="n">
        <v>46094</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62922-2025</t>
        </is>
      </c>
      <c r="B1099" s="1" t="n">
        <v>46009.38064814815</v>
      </c>
      <c r="C1099" s="1" t="n">
        <v>46094</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62689-2025</t>
        </is>
      </c>
      <c r="B1100" s="1" t="n">
        <v>46008.47171296296</v>
      </c>
      <c r="C1100" s="1" t="n">
        <v>46094</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5934-2026</t>
        </is>
      </c>
      <c r="B1101" s="1" t="n">
        <v>46052.47082175926</v>
      </c>
      <c r="C1101" s="1" t="n">
        <v>46094</v>
      </c>
      <c r="D1101" t="inlineStr">
        <is>
          <t>STOCKHOLMS LÄN</t>
        </is>
      </c>
      <c r="E1101" t="inlineStr">
        <is>
          <t>NORRTÄLJE</t>
        </is>
      </c>
      <c r="F1101" t="inlineStr">
        <is>
          <t>Holmen skog AB</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6724-2026</t>
        </is>
      </c>
      <c r="B1102" s="1" t="n">
        <v>46056.67717592593</v>
      </c>
      <c r="C1102" s="1" t="n">
        <v>46094</v>
      </c>
      <c r="D1102" t="inlineStr">
        <is>
          <t>STOCKHOLMS LÄN</t>
        </is>
      </c>
      <c r="E1102" t="inlineStr">
        <is>
          <t>NORRTÄLJE</t>
        </is>
      </c>
      <c r="F1102" t="inlineStr">
        <is>
          <t>Holmen skog AB</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6838-2026</t>
        </is>
      </c>
      <c r="B1103" s="1" t="n">
        <v>46057.41151620371</v>
      </c>
      <c r="C1103" s="1" t="n">
        <v>46094</v>
      </c>
      <c r="D1103" t="inlineStr">
        <is>
          <t>STOCKHOLMS LÄN</t>
        </is>
      </c>
      <c r="E1103" t="inlineStr">
        <is>
          <t>NORRTÄLJE</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6532-2026</t>
        </is>
      </c>
      <c r="B1104" s="1" t="n">
        <v>46056.41300925926</v>
      </c>
      <c r="C1104" s="1" t="n">
        <v>46094</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6874-2026</t>
        </is>
      </c>
      <c r="B1105" s="1" t="n">
        <v>46057.45295138889</v>
      </c>
      <c r="C1105" s="1" t="n">
        <v>46094</v>
      </c>
      <c r="D1105" t="inlineStr">
        <is>
          <t>STOCKHOLMS LÄN</t>
        </is>
      </c>
      <c r="E1105" t="inlineStr">
        <is>
          <t>NORRTÄLJE</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7308-2026</t>
        </is>
      </c>
      <c r="B1106" s="1" t="n">
        <v>46058.66025462963</v>
      </c>
      <c r="C1106" s="1" t="n">
        <v>46094</v>
      </c>
      <c r="D1106" t="inlineStr">
        <is>
          <t>STOCKHOLMS LÄN</t>
        </is>
      </c>
      <c r="E1106" t="inlineStr">
        <is>
          <t>NORRTÄLJE</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8091-2026</t>
        </is>
      </c>
      <c r="B1107" s="1" t="n">
        <v>46063.70944444444</v>
      </c>
      <c r="C1107" s="1" t="n">
        <v>46094</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7793-2026</t>
        </is>
      </c>
      <c r="B1108" s="1" t="n">
        <v>46062.59496527778</v>
      </c>
      <c r="C1108" s="1" t="n">
        <v>46094</v>
      </c>
      <c r="D1108" t="inlineStr">
        <is>
          <t>STOCKHOLMS LÄN</t>
        </is>
      </c>
      <c r="E1108" t="inlineStr">
        <is>
          <t>NORRTÄLJE</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7723-2026</t>
        </is>
      </c>
      <c r="B1109" s="1" t="n">
        <v>46062.49905092592</v>
      </c>
      <c r="C1109" s="1" t="n">
        <v>46094</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8096-2026</t>
        </is>
      </c>
      <c r="B1110" s="1" t="n">
        <v>46063.714375</v>
      </c>
      <c r="C1110" s="1" t="n">
        <v>46094</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8055-2026</t>
        </is>
      </c>
      <c r="B1111" s="1" t="n">
        <v>46063.62002314815</v>
      </c>
      <c r="C1111" s="1" t="n">
        <v>46094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7729-2026</t>
        </is>
      </c>
      <c r="B1112" s="1" t="n">
        <v>46062.51100694444</v>
      </c>
      <c r="C1112" s="1" t="n">
        <v>46094</v>
      </c>
      <c r="D1112" t="inlineStr">
        <is>
          <t>STOCKHOLMS LÄN</t>
        </is>
      </c>
      <c r="E1112" t="inlineStr">
        <is>
          <t>NORRTÄLJE</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8489-2026</t>
        </is>
      </c>
      <c r="B1113" s="1" t="n">
        <v>46065.48268518518</v>
      </c>
      <c r="C1113" s="1" t="n">
        <v>46094</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8410-2026</t>
        </is>
      </c>
      <c r="B1114" s="1" t="n">
        <v>46065.34261574074</v>
      </c>
      <c r="C1114" s="1" t="n">
        <v>46094</v>
      </c>
      <c r="D1114" t="inlineStr">
        <is>
          <t>STOCKHOLMS LÄN</t>
        </is>
      </c>
      <c r="E1114" t="inlineStr">
        <is>
          <t>NORRTÄLJE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8454-2026</t>
        </is>
      </c>
      <c r="B1115" s="1" t="n">
        <v>46065.42506944444</v>
      </c>
      <c r="C1115" s="1" t="n">
        <v>46094</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8465-2026</t>
        </is>
      </c>
      <c r="B1116" s="1" t="n">
        <v>46065.44141203703</v>
      </c>
      <c r="C1116" s="1" t="n">
        <v>46094</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197-2026</t>
        </is>
      </c>
      <c r="B1117" s="1" t="n">
        <v>46026</v>
      </c>
      <c r="C1117" s="1" t="n">
        <v>46094</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124-2026</t>
        </is>
      </c>
      <c r="B1118" s="1" t="n">
        <v>46024.58378472222</v>
      </c>
      <c r="C1118" s="1" t="n">
        <v>46094</v>
      </c>
      <c r="D1118" t="inlineStr">
        <is>
          <t>STOCKHOLMS LÄN</t>
        </is>
      </c>
      <c r="E1118" t="inlineStr">
        <is>
          <t>NORRTÄLJE</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9103-2026</t>
        </is>
      </c>
      <c r="B1119" s="1" t="n">
        <v>46069.65039351852</v>
      </c>
      <c r="C1119" s="1" t="n">
        <v>46094</v>
      </c>
      <c r="D1119" t="inlineStr">
        <is>
          <t>STOCKHOLMS LÄN</t>
        </is>
      </c>
      <c r="E1119" t="inlineStr">
        <is>
          <t>NORRTÄLJE</t>
        </is>
      </c>
      <c r="F1119" t="inlineStr">
        <is>
          <t>Holmen skog AB</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8962-2026</t>
        </is>
      </c>
      <c r="B1120" s="1" t="n">
        <v>46069.41644675926</v>
      </c>
      <c r="C1120" s="1" t="n">
        <v>46094</v>
      </c>
      <c r="D1120" t="inlineStr">
        <is>
          <t>STOCKHOLMS LÄN</t>
        </is>
      </c>
      <c r="E1120" t="inlineStr">
        <is>
          <t>NORRTÄLJE</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8989-2026</t>
        </is>
      </c>
      <c r="B1121" s="1" t="n">
        <v>46069.45789351852</v>
      </c>
      <c r="C1121" s="1" t="n">
        <v>46094</v>
      </c>
      <c r="D1121" t="inlineStr">
        <is>
          <t>STOCKHOLMS LÄN</t>
        </is>
      </c>
      <c r="E1121" t="inlineStr">
        <is>
          <t>NORRTÄLJE</t>
        </is>
      </c>
      <c r="F1121" t="inlineStr">
        <is>
          <t>Holmen skog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8985-2026</t>
        </is>
      </c>
      <c r="B1122" s="1" t="n">
        <v>46069.45234953704</v>
      </c>
      <c r="C1122" s="1" t="n">
        <v>46094</v>
      </c>
      <c r="D1122" t="inlineStr">
        <is>
          <t>STOCKHOLMS LÄN</t>
        </is>
      </c>
      <c r="E1122" t="inlineStr">
        <is>
          <t>NORRTÄLJE</t>
        </is>
      </c>
      <c r="F1122" t="inlineStr">
        <is>
          <t>Holmen skog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718-2026</t>
        </is>
      </c>
      <c r="B1123" s="1" t="n">
        <v>46029.63174768518</v>
      </c>
      <c r="C1123" s="1" t="n">
        <v>46094</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694-2026</t>
        </is>
      </c>
      <c r="B1124" s="1" t="n">
        <v>46029.61375</v>
      </c>
      <c r="C1124" s="1" t="n">
        <v>46094</v>
      </c>
      <c r="D1124" t="inlineStr">
        <is>
          <t>STOCKHOLMS LÄN</t>
        </is>
      </c>
      <c r="E1124" t="inlineStr">
        <is>
          <t>NORRTÄLJE</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693-2026</t>
        </is>
      </c>
      <c r="B1125" s="1" t="n">
        <v>46029.6133449074</v>
      </c>
      <c r="C1125" s="1" t="n">
        <v>46094</v>
      </c>
      <c r="D1125" t="inlineStr">
        <is>
          <t>STOCKHOLMS LÄN</t>
        </is>
      </c>
      <c r="E1125" t="inlineStr">
        <is>
          <t>NORRTÄLJE</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475-2026</t>
        </is>
      </c>
      <c r="B1126" s="1" t="n">
        <v>46029.39351851852</v>
      </c>
      <c r="C1126" s="1" t="n">
        <v>46094</v>
      </c>
      <c r="D1126" t="inlineStr">
        <is>
          <t>STOCKHOLMS LÄN</t>
        </is>
      </c>
      <c r="E1126" t="inlineStr">
        <is>
          <t>NORRTÄLJE</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717-2026</t>
        </is>
      </c>
      <c r="B1127" s="1" t="n">
        <v>46029.63028935185</v>
      </c>
      <c r="C1127" s="1" t="n">
        <v>46094</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812-2026</t>
        </is>
      </c>
      <c r="B1128" s="1" t="n">
        <v>46030.33358796296</v>
      </c>
      <c r="C1128" s="1" t="n">
        <v>46094</v>
      </c>
      <c r="D1128" t="inlineStr">
        <is>
          <t>STOCKHOLMS LÄN</t>
        </is>
      </c>
      <c r="E1128" t="inlineStr">
        <is>
          <t>NORRTÄLJE</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39610-2025</t>
        </is>
      </c>
      <c r="B1129" s="1" t="n">
        <v>45890</v>
      </c>
      <c r="C1129" s="1" t="n">
        <v>46094</v>
      </c>
      <c r="D1129" t="inlineStr">
        <is>
          <t>STOCKHOLMS LÄN</t>
        </is>
      </c>
      <c r="E1129" t="inlineStr">
        <is>
          <t>NORRTÄLJE</t>
        </is>
      </c>
      <c r="G1129" t="n">
        <v>28.6</v>
      </c>
      <c r="H1129" t="n">
        <v>0</v>
      </c>
      <c r="I1129" t="n">
        <v>0</v>
      </c>
      <c r="J1129" t="n">
        <v>0</v>
      </c>
      <c r="K1129" t="n">
        <v>0</v>
      </c>
      <c r="L1129" t="n">
        <v>0</v>
      </c>
      <c r="M1129" t="n">
        <v>0</v>
      </c>
      <c r="N1129" t="n">
        <v>0</v>
      </c>
      <c r="O1129" t="n">
        <v>0</v>
      </c>
      <c r="P1129" t="n">
        <v>0</v>
      </c>
      <c r="Q1129" t="n">
        <v>0</v>
      </c>
      <c r="R1129" s="2" t="inlineStr"/>
    </row>
    <row r="1130" ht="15" customHeight="1">
      <c r="A1130" t="inlineStr">
        <is>
          <t>A 9720-2026</t>
        </is>
      </c>
      <c r="B1130" s="1" t="n">
        <v>46072.45061342593</v>
      </c>
      <c r="C1130" s="1" t="n">
        <v>46094</v>
      </c>
      <c r="D1130" t="inlineStr">
        <is>
          <t>STOCKHOLMS LÄN</t>
        </is>
      </c>
      <c r="E1130" t="inlineStr">
        <is>
          <t>NORRTÄLJE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10399-2026</t>
        </is>
      </c>
      <c r="B1131" s="1" t="n">
        <v>46077</v>
      </c>
      <c r="C1131" s="1" t="n">
        <v>46094</v>
      </c>
      <c r="D1131" t="inlineStr">
        <is>
          <t>STOCKHOLMS LÄN</t>
        </is>
      </c>
      <c r="E1131" t="inlineStr">
        <is>
          <t>NORRTÄLJE</t>
        </is>
      </c>
      <c r="F1131" t="inlineStr">
        <is>
          <t>Övriga Aktiebolag</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1755-2026</t>
        </is>
      </c>
      <c r="B1132" s="1" t="n">
        <v>46034.66230324074</v>
      </c>
      <c r="C1132" s="1" t="n">
        <v>46094</v>
      </c>
      <c r="D1132" t="inlineStr">
        <is>
          <t>STOCKHOLMS LÄN</t>
        </is>
      </c>
      <c r="E1132" t="inlineStr">
        <is>
          <t>NORRTÄLJE</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1789-2026</t>
        </is>
      </c>
      <c r="B1133" s="1" t="n">
        <v>46034</v>
      </c>
      <c r="C1133" s="1" t="n">
        <v>46094</v>
      </c>
      <c r="D1133" t="inlineStr">
        <is>
          <t>STOCKHOLMS LÄN</t>
        </is>
      </c>
      <c r="E1133" t="inlineStr">
        <is>
          <t>NORRTÄLJE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10429-2026</t>
        </is>
      </c>
      <c r="B1134" s="1" t="n">
        <v>46077.3822337963</v>
      </c>
      <c r="C1134" s="1" t="n">
        <v>46094</v>
      </c>
      <c r="D1134" t="inlineStr">
        <is>
          <t>STOCKHOLMS LÄN</t>
        </is>
      </c>
      <c r="E1134" t="inlineStr">
        <is>
          <t>NORRTÄLJE</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10444-2026</t>
        </is>
      </c>
      <c r="B1135" s="1" t="n">
        <v>46077.42230324074</v>
      </c>
      <c r="C1135" s="1" t="n">
        <v>46094</v>
      </c>
      <c r="D1135" t="inlineStr">
        <is>
          <t>STOCKHOLMS LÄN</t>
        </is>
      </c>
      <c r="E1135" t="inlineStr">
        <is>
          <t>NORRTÄLJE</t>
        </is>
      </c>
      <c r="F1135" t="inlineStr">
        <is>
          <t>Holmen skog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10586-2026</t>
        </is>
      </c>
      <c r="B1136" s="1" t="n">
        <v>46077.68192129629</v>
      </c>
      <c r="C1136" s="1" t="n">
        <v>46094</v>
      </c>
      <c r="D1136" t="inlineStr">
        <is>
          <t>STOCKHOLMS LÄN</t>
        </is>
      </c>
      <c r="E1136" t="inlineStr">
        <is>
          <t>NORRTÄLJE</t>
        </is>
      </c>
      <c r="F1136" t="inlineStr">
        <is>
          <t>Holmen skog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10553-2026</t>
        </is>
      </c>
      <c r="B1137" s="1" t="n">
        <v>46077.62944444444</v>
      </c>
      <c r="C1137" s="1" t="n">
        <v>46094</v>
      </c>
      <c r="D1137" t="inlineStr">
        <is>
          <t>STOCKHOLMS LÄN</t>
        </is>
      </c>
      <c r="E1137" t="inlineStr">
        <is>
          <t>NORRTÄLJE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2088-2026</t>
        </is>
      </c>
      <c r="B1138" s="1" t="n">
        <v>46036.35909722222</v>
      </c>
      <c r="C1138" s="1" t="n">
        <v>46094</v>
      </c>
      <c r="D1138" t="inlineStr">
        <is>
          <t>STOCKHOLMS LÄN</t>
        </is>
      </c>
      <c r="E1138" t="inlineStr">
        <is>
          <t>NORRTÄLJE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7582-2026</t>
        </is>
      </c>
      <c r="B1139" s="1" t="n">
        <v>46061</v>
      </c>
      <c r="C1139" s="1" t="n">
        <v>46094</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2116-2026</t>
        </is>
      </c>
      <c r="B1140" s="1" t="n">
        <v>46036.38108796296</v>
      </c>
      <c r="C1140" s="1" t="n">
        <v>46094</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6828-2026</t>
        </is>
      </c>
      <c r="B1141" s="1" t="n">
        <v>46057</v>
      </c>
      <c r="C1141" s="1" t="n">
        <v>46094</v>
      </c>
      <c r="D1141" t="inlineStr">
        <is>
          <t>STOCKHOLMS LÄN</t>
        </is>
      </c>
      <c r="E1141" t="inlineStr">
        <is>
          <t>NORRTÄLJE</t>
        </is>
      </c>
      <c r="F1141" t="inlineStr">
        <is>
          <t>Holmen skog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7532-2026</t>
        </is>
      </c>
      <c r="B1142" s="1" t="n">
        <v>46059</v>
      </c>
      <c r="C1142" s="1" t="n">
        <v>46094</v>
      </c>
      <c r="D1142" t="inlineStr">
        <is>
          <t>STOCKHOLMS LÄN</t>
        </is>
      </c>
      <c r="E1142" t="inlineStr">
        <is>
          <t>NORRTÄLJE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10646-2026</t>
        </is>
      </c>
      <c r="B1143" s="1" t="n">
        <v>46078.34157407407</v>
      </c>
      <c r="C1143" s="1" t="n">
        <v>46094</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3549-2026</t>
        </is>
      </c>
      <c r="B1144" s="1" t="n">
        <v>46042</v>
      </c>
      <c r="C1144" s="1" t="n">
        <v>46094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11648-2026</t>
        </is>
      </c>
      <c r="B1145" s="1" t="n">
        <v>46084.51575231482</v>
      </c>
      <c r="C1145" s="1" t="n">
        <v>46094</v>
      </c>
      <c r="D1145" t="inlineStr">
        <is>
          <t>STOCKHOLMS LÄN</t>
        </is>
      </c>
      <c r="E1145" t="inlineStr">
        <is>
          <t>NORRTÄLJE</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4227-2026</t>
        </is>
      </c>
      <c r="B1146" s="1" t="n">
        <v>46044</v>
      </c>
      <c r="C1146" s="1" t="n">
        <v>46094</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12234-2026</t>
        </is>
      </c>
      <c r="B1147" s="1" t="n">
        <v>46087.4091087963</v>
      </c>
      <c r="C1147" s="1" t="n">
        <v>46094</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4230-2026</t>
        </is>
      </c>
      <c r="B1148" s="1" t="n">
        <v>46044.89366898148</v>
      </c>
      <c r="C1148" s="1" t="n">
        <v>46094</v>
      </c>
      <c r="D1148" t="inlineStr">
        <is>
          <t>STOCKHOLMS LÄN</t>
        </is>
      </c>
      <c r="E1148" t="inlineStr">
        <is>
          <t>NORRTÄLJE</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4231-2026</t>
        </is>
      </c>
      <c r="B1149" s="1" t="n">
        <v>46044</v>
      </c>
      <c r="C1149" s="1" t="n">
        <v>46094</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4232-2026</t>
        </is>
      </c>
      <c r="B1150" s="1" t="n">
        <v>46044.89594907407</v>
      </c>
      <c r="C1150" s="1" t="n">
        <v>46094</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3933-2026</t>
        </is>
      </c>
      <c r="B1151" s="1" t="n">
        <v>46043.79916666666</v>
      </c>
      <c r="C1151" s="1" t="n">
        <v>46094</v>
      </c>
      <c r="D1151" t="inlineStr">
        <is>
          <t>STOCKHOLMS LÄN</t>
        </is>
      </c>
      <c r="E1151" t="inlineStr">
        <is>
          <t>NORRTÄLJE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4235-2026</t>
        </is>
      </c>
      <c r="B1152" s="1" t="n">
        <v>46044</v>
      </c>
      <c r="C1152" s="1" t="n">
        <v>46094</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12718-2026</t>
        </is>
      </c>
      <c r="B1153" s="1" t="n">
        <v>46091.60412037037</v>
      </c>
      <c r="C1153" s="1" t="n">
        <v>46094</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12703-2026</t>
        </is>
      </c>
      <c r="B1154" s="1" t="n">
        <v>46091.58175925926</v>
      </c>
      <c r="C1154" s="1" t="n">
        <v>46094</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4549-2026</t>
        </is>
      </c>
      <c r="B1155" s="1" t="n">
        <v>46047</v>
      </c>
      <c r="C1155" s="1" t="n">
        <v>46094</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4886-2026</t>
        </is>
      </c>
      <c r="B1156" s="1" t="n">
        <v>46048.66328703704</v>
      </c>
      <c r="C1156" s="1" t="n">
        <v>46094</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13109-2026</t>
        </is>
      </c>
      <c r="B1157" s="1" t="n">
        <v>46093.42730324074</v>
      </c>
      <c r="C1157" s="1" t="n">
        <v>46094</v>
      </c>
      <c r="D1157" t="inlineStr">
        <is>
          <t>STOCKHOLMS LÄN</t>
        </is>
      </c>
      <c r="E1157" t="inlineStr">
        <is>
          <t>NORRTÄLJE</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13204-2026</t>
        </is>
      </c>
      <c r="B1158" s="1" t="n">
        <v>46093.60788194444</v>
      </c>
      <c r="C1158" s="1" t="n">
        <v>46094</v>
      </c>
      <c r="D1158" t="inlineStr">
        <is>
          <t>STOCKHOLMS LÄN</t>
        </is>
      </c>
      <c r="E1158" t="inlineStr">
        <is>
          <t>NORRTÄLJE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5226-2026</t>
        </is>
      </c>
      <c r="B1159" s="1" t="n">
        <v>46049.79961805556</v>
      </c>
      <c r="C1159" s="1" t="n">
        <v>46094</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13122-2026</t>
        </is>
      </c>
      <c r="B1160" s="1" t="n">
        <v>46093.45657407407</v>
      </c>
      <c r="C1160" s="1" t="n">
        <v>46094</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6701-2026</t>
        </is>
      </c>
      <c r="B1161" s="1" t="n">
        <v>46056</v>
      </c>
      <c r="C1161" s="1" t="n">
        <v>46094</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5224-2026</t>
        </is>
      </c>
      <c r="B1162" s="1" t="n">
        <v>46049.79521990741</v>
      </c>
      <c r="C1162" s="1" t="n">
        <v>46094</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5227-2026</t>
        </is>
      </c>
      <c r="B1163" s="1" t="n">
        <v>46049.80460648148</v>
      </c>
      <c r="C1163" s="1" t="n">
        <v>46094</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c r="A1164" t="inlineStr">
        <is>
          <t>A 5241-2026</t>
        </is>
      </c>
      <c r="B1164" s="1" t="n">
        <v>46049.86471064815</v>
      </c>
      <c r="C1164" s="1" t="n">
        <v>46094</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2026-03-13T11:22:02Z</dcterms:created>
  <dcterms:modified xmlns:dcterms="http://purl.org/dc/terms/" xmlns:xsi="http://www.w3.org/2001/XMLSchema-instance" xsi:type="dcterms:W3CDTF">2026-03-13T11:22:03Z</dcterms:modified>
</cp:coreProperties>
</file>