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45513</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45513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45513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45513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45513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45513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45513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45513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45513</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45513</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45513</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45513</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45513</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45513</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45513</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45513</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45513</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45513</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45513</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45513</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45513</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45513</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45513</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45513</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45513</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45513</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45513</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45513</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45513</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45513</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45513</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45513</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45513</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45513</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45513</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45513</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45513</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45513</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45513</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45513</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45513</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45513</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45513</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45513</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45513</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45513</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45513</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45513</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45513</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45513</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45513</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45513</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45513</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2803-2020</t>
        </is>
      </c>
      <c r="B55" s="1" t="n">
        <v>43850</v>
      </c>
      <c r="C55" s="1" t="n">
        <v>45513</v>
      </c>
      <c r="D55" t="inlineStr">
        <is>
          <t>STOCKHOLMS LÄN</t>
        </is>
      </c>
      <c r="E55" t="inlineStr">
        <is>
          <t>NORRTÄLJE</t>
        </is>
      </c>
      <c r="G55" t="n">
        <v>1.2</v>
      </c>
      <c r="H55" t="n">
        <v>2</v>
      </c>
      <c r="I55" t="n">
        <v>2</v>
      </c>
      <c r="J55" t="n">
        <v>0</v>
      </c>
      <c r="K55" t="n">
        <v>1</v>
      </c>
      <c r="L55" t="n">
        <v>0</v>
      </c>
      <c r="M55" t="n">
        <v>0</v>
      </c>
      <c r="N55" t="n">
        <v>0</v>
      </c>
      <c r="O55" t="n">
        <v>1</v>
      </c>
      <c r="P55" t="n">
        <v>1</v>
      </c>
      <c r="Q55" t="n">
        <v>4</v>
      </c>
      <c r="R55" s="2" t="inlineStr">
        <is>
          <t>Knärot
Brandticka
Tibast
Tjäder</t>
        </is>
      </c>
      <c r="S55">
        <f>HYPERLINK("https://klasma.github.io/Logging_0188/artfynd/A 2803-2020 artfynd.xlsx", "A 2803-2020")</f>
        <v/>
      </c>
      <c r="T55">
        <f>HYPERLINK("https://klasma.github.io/Logging_0188/kartor/A 2803-2020 karta.png", "A 2803-2020")</f>
        <v/>
      </c>
      <c r="U55">
        <f>HYPERLINK("https://klasma.github.io/Logging_0188/knärot/A 2803-2020 karta knärot.png", "A 2803-2020")</f>
        <v/>
      </c>
      <c r="V55">
        <f>HYPERLINK("https://klasma.github.io/Logging_0188/klagomål/A 2803-2020 FSC-klagomål.docx", "A 2803-2020")</f>
        <v/>
      </c>
      <c r="W55">
        <f>HYPERLINK("https://klasma.github.io/Logging_0188/klagomålsmail/A 2803-2020 FSC-klagomål mail.docx", "A 2803-2020")</f>
        <v/>
      </c>
      <c r="X55">
        <f>HYPERLINK("https://klasma.github.io/Logging_0188/tillsyn/A 2803-2020 tillsynsbegäran.docx", "A 2803-2020")</f>
        <v/>
      </c>
      <c r="Y55">
        <f>HYPERLINK("https://klasma.github.io/Logging_0188/tillsynsmail/A 2803-2020 tillsynsbegäran mail.docx", "A 2803-2020")</f>
        <v/>
      </c>
      <c r="Z55">
        <f>HYPERLINK("https://klasma.github.io/Logging_0188/fåglar/A 2803-2020 prioriterade fågelarter.docx", "A 2803-2020")</f>
        <v/>
      </c>
    </row>
    <row r="56" ht="15" customHeight="1">
      <c r="A56" t="inlineStr">
        <is>
          <t>A 5732-2020</t>
        </is>
      </c>
      <c r="B56" s="1" t="n">
        <v>43863</v>
      </c>
      <c r="C56" s="1" t="n">
        <v>45513</v>
      </c>
      <c r="D56" t="inlineStr">
        <is>
          <t>STOCKHOLMS LÄN</t>
        </is>
      </c>
      <c r="E56" t="inlineStr">
        <is>
          <t>NORRTÄLJE</t>
        </is>
      </c>
      <c r="G56" t="n">
        <v>1.8</v>
      </c>
      <c r="H56" t="n">
        <v>0</v>
      </c>
      <c r="I56" t="n">
        <v>2</v>
      </c>
      <c r="J56" t="n">
        <v>2</v>
      </c>
      <c r="K56" t="n">
        <v>0</v>
      </c>
      <c r="L56" t="n">
        <v>0</v>
      </c>
      <c r="M56" t="n">
        <v>0</v>
      </c>
      <c r="N56" t="n">
        <v>0</v>
      </c>
      <c r="O56" t="n">
        <v>2</v>
      </c>
      <c r="P56" t="n">
        <v>0</v>
      </c>
      <c r="Q56" t="n">
        <v>4</v>
      </c>
      <c r="R56" s="2" t="inlineStr">
        <is>
          <t>Svart taggsvamp
Äggspindling
Kryddspindling
Strimspindling</t>
        </is>
      </c>
      <c r="S56">
        <f>HYPERLINK("https://klasma.github.io/Logging_0188/artfynd/A 5732-2020 artfynd.xlsx", "A 5732-2020")</f>
        <v/>
      </c>
      <c r="T56">
        <f>HYPERLINK("https://klasma.github.io/Logging_0188/kartor/A 5732-2020 karta.png", "A 5732-2020")</f>
        <v/>
      </c>
      <c r="V56">
        <f>HYPERLINK("https://klasma.github.io/Logging_0188/klagomål/A 5732-2020 FSC-klagomål.docx", "A 5732-2020")</f>
        <v/>
      </c>
      <c r="W56">
        <f>HYPERLINK("https://klasma.github.io/Logging_0188/klagomålsmail/A 5732-2020 FSC-klagomål mail.docx", "A 5732-2020")</f>
        <v/>
      </c>
      <c r="X56">
        <f>HYPERLINK("https://klasma.github.io/Logging_0188/tillsyn/A 5732-2020 tillsynsbegäran.docx", "A 5732-2020")</f>
        <v/>
      </c>
      <c r="Y56">
        <f>HYPERLINK("https://klasma.github.io/Logging_0188/tillsynsmail/A 5732-2020 tillsynsbegäran mail.docx", "A 5732-2020")</f>
        <v/>
      </c>
    </row>
    <row r="57" ht="15" customHeight="1">
      <c r="A57" t="inlineStr">
        <is>
          <t>A 24052-2021</t>
        </is>
      </c>
      <c r="B57" s="1" t="n">
        <v>44336</v>
      </c>
      <c r="C57" s="1" t="n">
        <v>45513</v>
      </c>
      <c r="D57" t="inlineStr">
        <is>
          <t>STOCKHOLMS LÄN</t>
        </is>
      </c>
      <c r="E57" t="inlineStr">
        <is>
          <t>NORRTÄLJE</t>
        </is>
      </c>
      <c r="G57" t="n">
        <v>8.6</v>
      </c>
      <c r="H57" t="n">
        <v>4</v>
      </c>
      <c r="I57" t="n">
        <v>0</v>
      </c>
      <c r="J57" t="n">
        <v>2</v>
      </c>
      <c r="K57" t="n">
        <v>0</v>
      </c>
      <c r="L57" t="n">
        <v>0</v>
      </c>
      <c r="M57" t="n">
        <v>0</v>
      </c>
      <c r="N57" t="n">
        <v>0</v>
      </c>
      <c r="O57" t="n">
        <v>2</v>
      </c>
      <c r="P57" t="n">
        <v>0</v>
      </c>
      <c r="Q57" t="n">
        <v>4</v>
      </c>
      <c r="R57" s="2" t="inlineStr">
        <is>
          <t>Brunlångöra
Nordfladdermus
Dvärgpipistrell
Större brunfladdermus</t>
        </is>
      </c>
      <c r="S57">
        <f>HYPERLINK("https://klasma.github.io/Logging_0188/artfynd/A 24052-2021 artfynd.xlsx", "A 24052-2021")</f>
        <v/>
      </c>
      <c r="T57">
        <f>HYPERLINK("https://klasma.github.io/Logging_0188/kartor/A 24052-2021 karta.png", "A 24052-2021")</f>
        <v/>
      </c>
      <c r="V57">
        <f>HYPERLINK("https://klasma.github.io/Logging_0188/klagomål/A 24052-2021 FSC-klagomål.docx", "A 24052-2021")</f>
        <v/>
      </c>
      <c r="W57">
        <f>HYPERLINK("https://klasma.github.io/Logging_0188/klagomålsmail/A 24052-2021 FSC-klagomål mail.docx", "A 24052-2021")</f>
        <v/>
      </c>
      <c r="X57">
        <f>HYPERLINK("https://klasma.github.io/Logging_0188/tillsyn/A 24052-2021 tillsynsbegäran.docx", "A 24052-2021")</f>
        <v/>
      </c>
      <c r="Y57">
        <f>HYPERLINK("https://klasma.github.io/Logging_0188/tillsynsmail/A 24052-2021 tillsynsbegäran mail.docx", "A 24052-2021")</f>
        <v/>
      </c>
    </row>
    <row r="58" ht="15" customHeight="1">
      <c r="A58" t="inlineStr">
        <is>
          <t>A 72305-2021</t>
        </is>
      </c>
      <c r="B58" s="1" t="n">
        <v>44545</v>
      </c>
      <c r="C58" s="1" t="n">
        <v>45513</v>
      </c>
      <c r="D58" t="inlineStr">
        <is>
          <t>STOCKHOLMS LÄN</t>
        </is>
      </c>
      <c r="E58" t="inlineStr">
        <is>
          <t>NORRTÄLJE</t>
        </is>
      </c>
      <c r="G58" t="n">
        <v>1.5</v>
      </c>
      <c r="H58" t="n">
        <v>1</v>
      </c>
      <c r="I58" t="n">
        <v>3</v>
      </c>
      <c r="J58" t="n">
        <v>0</v>
      </c>
      <c r="K58" t="n">
        <v>0</v>
      </c>
      <c r="L58" t="n">
        <v>0</v>
      </c>
      <c r="M58" t="n">
        <v>0</v>
      </c>
      <c r="N58" t="n">
        <v>0</v>
      </c>
      <c r="O58" t="n">
        <v>0</v>
      </c>
      <c r="P58" t="n">
        <v>0</v>
      </c>
      <c r="Q58" t="n">
        <v>4</v>
      </c>
      <c r="R58" s="2" t="inlineStr">
        <is>
          <t>Svart trolldruva
Sårläka
Vårärt
Blåsippa</t>
        </is>
      </c>
      <c r="S58">
        <f>HYPERLINK("https://klasma.github.io/Logging_0188/artfynd/A 72305-2021 artfynd.xlsx", "A 72305-2021")</f>
        <v/>
      </c>
      <c r="T58">
        <f>HYPERLINK("https://klasma.github.io/Logging_0188/kartor/A 72305-2021 karta.png", "A 72305-2021")</f>
        <v/>
      </c>
      <c r="V58">
        <f>HYPERLINK("https://klasma.github.io/Logging_0188/klagomål/A 72305-2021 FSC-klagomål.docx", "A 72305-2021")</f>
        <v/>
      </c>
      <c r="W58">
        <f>HYPERLINK("https://klasma.github.io/Logging_0188/klagomålsmail/A 72305-2021 FSC-klagomål mail.docx", "A 72305-2021")</f>
        <v/>
      </c>
      <c r="X58">
        <f>HYPERLINK("https://klasma.github.io/Logging_0188/tillsyn/A 72305-2021 tillsynsbegäran.docx", "A 72305-2021")</f>
        <v/>
      </c>
      <c r="Y58">
        <f>HYPERLINK("https://klasma.github.io/Logging_0188/tillsynsmail/A 72305-2021 tillsynsbegäran mail.docx", "A 72305-2021")</f>
        <v/>
      </c>
    </row>
    <row r="59" ht="15" customHeight="1">
      <c r="A59" t="inlineStr">
        <is>
          <t>A 56785-2023</t>
        </is>
      </c>
      <c r="B59" s="1" t="n">
        <v>45244</v>
      </c>
      <c r="C59" s="1" t="n">
        <v>45513</v>
      </c>
      <c r="D59" t="inlineStr">
        <is>
          <t>STOCKHOLMS LÄN</t>
        </is>
      </c>
      <c r="E59" t="inlineStr">
        <is>
          <t>NORRTÄLJE</t>
        </is>
      </c>
      <c r="G59" t="n">
        <v>7.7</v>
      </c>
      <c r="H59" t="n">
        <v>0</v>
      </c>
      <c r="I59" t="n">
        <v>1</v>
      </c>
      <c r="J59" t="n">
        <v>3</v>
      </c>
      <c r="K59" t="n">
        <v>0</v>
      </c>
      <c r="L59" t="n">
        <v>0</v>
      </c>
      <c r="M59" t="n">
        <v>0</v>
      </c>
      <c r="N59" t="n">
        <v>0</v>
      </c>
      <c r="O59" t="n">
        <v>3</v>
      </c>
      <c r="P59" t="n">
        <v>0</v>
      </c>
      <c r="Q59" t="n">
        <v>4</v>
      </c>
      <c r="R59" s="2" t="inlineStr">
        <is>
          <t>Plattad lövvedborre
Skeppsvarvsfluga
Triplax rufipes
Dorcatoma chrysomelina</t>
        </is>
      </c>
      <c r="S59">
        <f>HYPERLINK("https://klasma.github.io/Logging_0188/artfynd/A 56785-2023 artfynd.xlsx", "A 56785-2023")</f>
        <v/>
      </c>
      <c r="T59">
        <f>HYPERLINK("https://klasma.github.io/Logging_0188/kartor/A 56785-2023 karta.png", "A 56785-2023")</f>
        <v/>
      </c>
      <c r="V59">
        <f>HYPERLINK("https://klasma.github.io/Logging_0188/klagomål/A 56785-2023 FSC-klagomål.docx", "A 56785-2023")</f>
        <v/>
      </c>
      <c r="W59">
        <f>HYPERLINK("https://klasma.github.io/Logging_0188/klagomålsmail/A 56785-2023 FSC-klagomål mail.docx", "A 56785-2023")</f>
        <v/>
      </c>
      <c r="X59">
        <f>HYPERLINK("https://klasma.github.io/Logging_0188/tillsyn/A 56785-2023 tillsynsbegäran.docx", "A 56785-2023")</f>
        <v/>
      </c>
      <c r="Y59">
        <f>HYPERLINK("https://klasma.github.io/Logging_0188/tillsynsmail/A 56785-2023 tillsynsbegäran mail.docx", "A 56785-2023")</f>
        <v/>
      </c>
    </row>
    <row r="60" ht="15" customHeight="1">
      <c r="A60" t="inlineStr">
        <is>
          <t>A 24218-2024</t>
        </is>
      </c>
      <c r="B60" s="1" t="n">
        <v>45457</v>
      </c>
      <c r="C60" s="1" t="n">
        <v>45513</v>
      </c>
      <c r="D60" t="inlineStr">
        <is>
          <t>STOCKHOLMS LÄN</t>
        </is>
      </c>
      <c r="E60" t="inlineStr">
        <is>
          <t>NORRTÄLJE</t>
        </is>
      </c>
      <c r="G60" t="n">
        <v>3.4</v>
      </c>
      <c r="H60" t="n">
        <v>0</v>
      </c>
      <c r="I60" t="n">
        <v>4</v>
      </c>
      <c r="J60" t="n">
        <v>0</v>
      </c>
      <c r="K60" t="n">
        <v>0</v>
      </c>
      <c r="L60" t="n">
        <v>0</v>
      </c>
      <c r="M60" t="n">
        <v>0</v>
      </c>
      <c r="N60" t="n">
        <v>0</v>
      </c>
      <c r="O60" t="n">
        <v>0</v>
      </c>
      <c r="P60" t="n">
        <v>0</v>
      </c>
      <c r="Q60" t="n">
        <v>4</v>
      </c>
      <c r="R60" s="2" t="inlineStr">
        <is>
          <t>Fjällig taggsvamp s.str.
Olivspindling
Rökmusseron
Tjockfotad fingersvamp</t>
        </is>
      </c>
      <c r="S60">
        <f>HYPERLINK("https://klasma.github.io/Logging_0188/artfynd/A 24218-2024 artfynd.xlsx", "A 24218-2024")</f>
        <v/>
      </c>
      <c r="T60">
        <f>HYPERLINK("https://klasma.github.io/Logging_0188/kartor/A 24218-2024 karta.png", "A 24218-2024")</f>
        <v/>
      </c>
      <c r="V60">
        <f>HYPERLINK("https://klasma.github.io/Logging_0188/klagomål/A 24218-2024 FSC-klagomål.docx", "A 24218-2024")</f>
        <v/>
      </c>
      <c r="W60">
        <f>HYPERLINK("https://klasma.github.io/Logging_0188/klagomålsmail/A 24218-2024 FSC-klagomål mail.docx", "A 24218-2024")</f>
        <v/>
      </c>
      <c r="X60">
        <f>HYPERLINK("https://klasma.github.io/Logging_0188/tillsyn/A 24218-2024 tillsynsbegäran.docx", "A 24218-2024")</f>
        <v/>
      </c>
      <c r="Y60">
        <f>HYPERLINK("https://klasma.github.io/Logging_0188/tillsynsmail/A 24218-2024 tillsynsbegäran mail.docx", "A 24218-2024")</f>
        <v/>
      </c>
    </row>
    <row r="61" ht="15" customHeight="1">
      <c r="A61" t="inlineStr">
        <is>
          <t>A 19617-2019</t>
        </is>
      </c>
      <c r="B61" s="1" t="n">
        <v>43566</v>
      </c>
      <c r="C61" s="1" t="n">
        <v>45513</v>
      </c>
      <c r="D61" t="inlineStr">
        <is>
          <t>STOCKHOLMS LÄN</t>
        </is>
      </c>
      <c r="E61" t="inlineStr">
        <is>
          <t>NORRTÄLJE</t>
        </is>
      </c>
      <c r="G61" t="n">
        <v>16.1</v>
      </c>
      <c r="H61" t="n">
        <v>2</v>
      </c>
      <c r="I61" t="n">
        <v>1</v>
      </c>
      <c r="J61" t="n">
        <v>1</v>
      </c>
      <c r="K61" t="n">
        <v>0</v>
      </c>
      <c r="L61" t="n">
        <v>0</v>
      </c>
      <c r="M61" t="n">
        <v>0</v>
      </c>
      <c r="N61" t="n">
        <v>0</v>
      </c>
      <c r="O61" t="n">
        <v>1</v>
      </c>
      <c r="P61" t="n">
        <v>0</v>
      </c>
      <c r="Q61" t="n">
        <v>3</v>
      </c>
      <c r="R61" s="2" t="inlineStr">
        <is>
          <t>Havsörn
Myskbock
Blåsippa</t>
        </is>
      </c>
      <c r="S61">
        <f>HYPERLINK("https://klasma.github.io/Logging_0188/artfynd/A 19617-2019 artfynd.xlsx", "A 19617-2019")</f>
        <v/>
      </c>
      <c r="T61">
        <f>HYPERLINK("https://klasma.github.io/Logging_0188/kartor/A 19617-2019 karta.png", "A 19617-2019")</f>
        <v/>
      </c>
      <c r="V61">
        <f>HYPERLINK("https://klasma.github.io/Logging_0188/klagomål/A 19617-2019 FSC-klagomål.docx", "A 19617-2019")</f>
        <v/>
      </c>
      <c r="W61">
        <f>HYPERLINK("https://klasma.github.io/Logging_0188/klagomålsmail/A 19617-2019 FSC-klagomål mail.docx", "A 19617-2019")</f>
        <v/>
      </c>
      <c r="X61">
        <f>HYPERLINK("https://klasma.github.io/Logging_0188/tillsyn/A 19617-2019 tillsynsbegäran.docx", "A 19617-2019")</f>
        <v/>
      </c>
      <c r="Y61">
        <f>HYPERLINK("https://klasma.github.io/Logging_0188/tillsynsmail/A 19617-2019 tillsynsbegäran mail.docx", "A 19617-2019")</f>
        <v/>
      </c>
      <c r="Z61">
        <f>HYPERLINK("https://klasma.github.io/Logging_0188/fåglar/A 19617-2019 prioriterade fågelarter.docx", "A 19617-2019")</f>
        <v/>
      </c>
    </row>
    <row r="62" ht="15" customHeight="1">
      <c r="A62" t="inlineStr">
        <is>
          <t>A 14560-2021</t>
        </is>
      </c>
      <c r="B62" s="1" t="n">
        <v>44279</v>
      </c>
      <c r="C62" s="1" t="n">
        <v>45513</v>
      </c>
      <c r="D62" t="inlineStr">
        <is>
          <t>STOCKHOLMS LÄN</t>
        </is>
      </c>
      <c r="E62" t="inlineStr">
        <is>
          <t>NORRTÄLJE</t>
        </is>
      </c>
      <c r="G62" t="n">
        <v>1.8</v>
      </c>
      <c r="H62" t="n">
        <v>0</v>
      </c>
      <c r="I62" t="n">
        <v>2</v>
      </c>
      <c r="J62" t="n">
        <v>1</v>
      </c>
      <c r="K62" t="n">
        <v>0</v>
      </c>
      <c r="L62" t="n">
        <v>0</v>
      </c>
      <c r="M62" t="n">
        <v>0</v>
      </c>
      <c r="N62" t="n">
        <v>0</v>
      </c>
      <c r="O62" t="n">
        <v>1</v>
      </c>
      <c r="P62" t="n">
        <v>0</v>
      </c>
      <c r="Q62" t="n">
        <v>3</v>
      </c>
      <c r="R62" s="2" t="inlineStr">
        <is>
          <t>Vit vedfingersvamp
Stor aspticka
Vedticka</t>
        </is>
      </c>
      <c r="S62">
        <f>HYPERLINK("https://klasma.github.io/Logging_0188/artfynd/A 14560-2021 artfynd.xlsx", "A 14560-2021")</f>
        <v/>
      </c>
      <c r="T62">
        <f>HYPERLINK("https://klasma.github.io/Logging_0188/kartor/A 14560-2021 karta.png", "A 14560-2021")</f>
        <v/>
      </c>
      <c r="V62">
        <f>HYPERLINK("https://klasma.github.io/Logging_0188/klagomål/A 14560-2021 FSC-klagomål.docx", "A 14560-2021")</f>
        <v/>
      </c>
      <c r="W62">
        <f>HYPERLINK("https://klasma.github.io/Logging_0188/klagomålsmail/A 14560-2021 FSC-klagomål mail.docx", "A 14560-2021")</f>
        <v/>
      </c>
      <c r="X62">
        <f>HYPERLINK("https://klasma.github.io/Logging_0188/tillsyn/A 14560-2021 tillsynsbegäran.docx", "A 14560-2021")</f>
        <v/>
      </c>
      <c r="Y62">
        <f>HYPERLINK("https://klasma.github.io/Logging_0188/tillsynsmail/A 14560-2021 tillsynsbegäran mail.docx", "A 14560-2021")</f>
        <v/>
      </c>
    </row>
    <row r="63" ht="15" customHeight="1">
      <c r="A63" t="inlineStr">
        <is>
          <t>A 17673-2021</t>
        </is>
      </c>
      <c r="B63" s="1" t="n">
        <v>44300</v>
      </c>
      <c r="C63" s="1" t="n">
        <v>45513</v>
      </c>
      <c r="D63" t="inlineStr">
        <is>
          <t>STOCKHOLMS LÄN</t>
        </is>
      </c>
      <c r="E63" t="inlineStr">
        <is>
          <t>NORRTÄLJE</t>
        </is>
      </c>
      <c r="G63" t="n">
        <v>10.4</v>
      </c>
      <c r="H63" t="n">
        <v>3</v>
      </c>
      <c r="I63" t="n">
        <v>0</v>
      </c>
      <c r="J63" t="n">
        <v>2</v>
      </c>
      <c r="K63" t="n">
        <v>0</v>
      </c>
      <c r="L63" t="n">
        <v>0</v>
      </c>
      <c r="M63" t="n">
        <v>0</v>
      </c>
      <c r="N63" t="n">
        <v>0</v>
      </c>
      <c r="O63" t="n">
        <v>2</v>
      </c>
      <c r="P63" t="n">
        <v>0</v>
      </c>
      <c r="Q63" t="n">
        <v>3</v>
      </c>
      <c r="R63" s="2" t="inlineStr">
        <is>
          <t>Grönsångare
Havsörn
Blåsippa</t>
        </is>
      </c>
      <c r="S63">
        <f>HYPERLINK("https://klasma.github.io/Logging_0188/artfynd/A 17673-2021 artfynd.xlsx", "A 17673-2021")</f>
        <v/>
      </c>
      <c r="T63">
        <f>HYPERLINK("https://klasma.github.io/Logging_0188/kartor/A 17673-2021 karta.png", "A 17673-2021")</f>
        <v/>
      </c>
      <c r="V63">
        <f>HYPERLINK("https://klasma.github.io/Logging_0188/klagomål/A 17673-2021 FSC-klagomål.docx", "A 17673-2021")</f>
        <v/>
      </c>
      <c r="W63">
        <f>HYPERLINK("https://klasma.github.io/Logging_0188/klagomålsmail/A 17673-2021 FSC-klagomål mail.docx", "A 17673-2021")</f>
        <v/>
      </c>
      <c r="X63">
        <f>HYPERLINK("https://klasma.github.io/Logging_0188/tillsyn/A 17673-2021 tillsynsbegäran.docx", "A 17673-2021")</f>
        <v/>
      </c>
      <c r="Y63">
        <f>HYPERLINK("https://klasma.github.io/Logging_0188/tillsynsmail/A 17673-2021 tillsynsbegäran mail.docx", "A 17673-2021")</f>
        <v/>
      </c>
      <c r="Z63">
        <f>HYPERLINK("https://klasma.github.io/Logging_0188/fåglar/A 17673-2021 prioriterade fågelarter.docx", "A 17673-2021")</f>
        <v/>
      </c>
    </row>
    <row r="64" ht="15" customHeight="1">
      <c r="A64" t="inlineStr">
        <is>
          <t>A 65629-2021</t>
        </is>
      </c>
      <c r="B64" s="1" t="n">
        <v>44516</v>
      </c>
      <c r="C64" s="1" t="n">
        <v>45513</v>
      </c>
      <c r="D64" t="inlineStr">
        <is>
          <t>STOCKHOLMS LÄN</t>
        </is>
      </c>
      <c r="E64" t="inlineStr">
        <is>
          <t>NORRTÄLJE</t>
        </is>
      </c>
      <c r="G64" t="n">
        <v>3</v>
      </c>
      <c r="H64" t="n">
        <v>0</v>
      </c>
      <c r="I64" t="n">
        <v>1</v>
      </c>
      <c r="J64" t="n">
        <v>2</v>
      </c>
      <c r="K64" t="n">
        <v>0</v>
      </c>
      <c r="L64" t="n">
        <v>0</v>
      </c>
      <c r="M64" t="n">
        <v>0</v>
      </c>
      <c r="N64" t="n">
        <v>0</v>
      </c>
      <c r="O64" t="n">
        <v>2</v>
      </c>
      <c r="P64" t="n">
        <v>0</v>
      </c>
      <c r="Q64" t="n">
        <v>3</v>
      </c>
      <c r="R64" s="2" t="inlineStr">
        <is>
          <t>Granticka
Ullticka
Granbarkgnagare</t>
        </is>
      </c>
      <c r="S64">
        <f>HYPERLINK("https://klasma.github.io/Logging_0188/artfynd/A 65629-2021 artfynd.xlsx", "A 65629-2021")</f>
        <v/>
      </c>
      <c r="T64">
        <f>HYPERLINK("https://klasma.github.io/Logging_0188/kartor/A 65629-2021 karta.png", "A 65629-2021")</f>
        <v/>
      </c>
      <c r="V64">
        <f>HYPERLINK("https://klasma.github.io/Logging_0188/klagomål/A 65629-2021 FSC-klagomål.docx", "A 65629-2021")</f>
        <v/>
      </c>
      <c r="W64">
        <f>HYPERLINK("https://klasma.github.io/Logging_0188/klagomålsmail/A 65629-2021 FSC-klagomål mail.docx", "A 65629-2021")</f>
        <v/>
      </c>
      <c r="X64">
        <f>HYPERLINK("https://klasma.github.io/Logging_0188/tillsyn/A 65629-2021 tillsynsbegäran.docx", "A 65629-2021")</f>
        <v/>
      </c>
      <c r="Y64">
        <f>HYPERLINK("https://klasma.github.io/Logging_0188/tillsynsmail/A 65629-2021 tillsynsbegäran mail.docx", "A 65629-2021")</f>
        <v/>
      </c>
    </row>
    <row r="65" ht="15" customHeight="1">
      <c r="A65" t="inlineStr">
        <is>
          <t>A 12215-2022</t>
        </is>
      </c>
      <c r="B65" s="1" t="n">
        <v>44637</v>
      </c>
      <c r="C65" s="1" t="n">
        <v>45513</v>
      </c>
      <c r="D65" t="inlineStr">
        <is>
          <t>STOCKHOLMS LÄN</t>
        </is>
      </c>
      <c r="E65" t="inlineStr">
        <is>
          <t>NORRTÄLJE</t>
        </is>
      </c>
      <c r="G65" t="n">
        <v>3.1</v>
      </c>
      <c r="H65" t="n">
        <v>3</v>
      </c>
      <c r="I65" t="n">
        <v>3</v>
      </c>
      <c r="J65" t="n">
        <v>0</v>
      </c>
      <c r="K65" t="n">
        <v>0</v>
      </c>
      <c r="L65" t="n">
        <v>0</v>
      </c>
      <c r="M65" t="n">
        <v>0</v>
      </c>
      <c r="N65" t="n">
        <v>0</v>
      </c>
      <c r="O65" t="n">
        <v>0</v>
      </c>
      <c r="P65" t="n">
        <v>0</v>
      </c>
      <c r="Q65" t="n">
        <v>3</v>
      </c>
      <c r="R65" s="2" t="inlineStr">
        <is>
          <t>Guckusko
Skogsknipprot
Tvåblad</t>
        </is>
      </c>
      <c r="S65">
        <f>HYPERLINK("https://klasma.github.io/Logging_0188/artfynd/A 12215-2022 artfynd.xlsx", "A 12215-2022")</f>
        <v/>
      </c>
      <c r="T65">
        <f>HYPERLINK("https://klasma.github.io/Logging_0188/kartor/A 12215-2022 karta.png", "A 12215-2022")</f>
        <v/>
      </c>
      <c r="V65">
        <f>HYPERLINK("https://klasma.github.io/Logging_0188/klagomål/A 12215-2022 FSC-klagomål.docx", "A 12215-2022")</f>
        <v/>
      </c>
      <c r="W65">
        <f>HYPERLINK("https://klasma.github.io/Logging_0188/klagomålsmail/A 12215-2022 FSC-klagomål mail.docx", "A 12215-2022")</f>
        <v/>
      </c>
      <c r="X65">
        <f>HYPERLINK("https://klasma.github.io/Logging_0188/tillsyn/A 12215-2022 tillsynsbegäran.docx", "A 12215-2022")</f>
        <v/>
      </c>
      <c r="Y65">
        <f>HYPERLINK("https://klasma.github.io/Logging_0188/tillsynsmail/A 12215-2022 tillsynsbegäran mail.docx", "A 12215-2022")</f>
        <v/>
      </c>
    </row>
    <row r="66" ht="15" customHeight="1">
      <c r="A66" t="inlineStr">
        <is>
          <t>A 20185-2022</t>
        </is>
      </c>
      <c r="B66" s="1" t="n">
        <v>44698</v>
      </c>
      <c r="C66" s="1" t="n">
        <v>45513</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28836-2022</t>
        </is>
      </c>
      <c r="B67" s="1" t="n">
        <v>44749</v>
      </c>
      <c r="C67" s="1" t="n">
        <v>45513</v>
      </c>
      <c r="D67" t="inlineStr">
        <is>
          <t>STOCKHOLMS LÄN</t>
        </is>
      </c>
      <c r="E67" t="inlineStr">
        <is>
          <t>NORRTÄLJE</t>
        </is>
      </c>
      <c r="G67" t="n">
        <v>25</v>
      </c>
      <c r="H67" t="n">
        <v>2</v>
      </c>
      <c r="I67" t="n">
        <v>0</v>
      </c>
      <c r="J67" t="n">
        <v>2</v>
      </c>
      <c r="K67" t="n">
        <v>0</v>
      </c>
      <c r="L67" t="n">
        <v>0</v>
      </c>
      <c r="M67" t="n">
        <v>0</v>
      </c>
      <c r="N67" t="n">
        <v>0</v>
      </c>
      <c r="O67" t="n">
        <v>2</v>
      </c>
      <c r="P67" t="n">
        <v>0</v>
      </c>
      <c r="Q67" t="n">
        <v>3</v>
      </c>
      <c r="R67" s="2" t="inlineStr">
        <is>
          <t>Backklöver
Svartvit flugsnappare
Skogsödla</t>
        </is>
      </c>
      <c r="S67">
        <f>HYPERLINK("https://klasma.github.io/Logging_0188/artfynd/A 28836-2022 artfynd.xlsx", "A 28836-2022")</f>
        <v/>
      </c>
      <c r="T67">
        <f>HYPERLINK("https://klasma.github.io/Logging_0188/kartor/A 28836-2022 karta.png", "A 28836-2022")</f>
        <v/>
      </c>
      <c r="V67">
        <f>HYPERLINK("https://klasma.github.io/Logging_0188/klagomål/A 28836-2022 FSC-klagomål.docx", "A 28836-2022")</f>
        <v/>
      </c>
      <c r="W67">
        <f>HYPERLINK("https://klasma.github.io/Logging_0188/klagomålsmail/A 28836-2022 FSC-klagomål mail.docx", "A 28836-2022")</f>
        <v/>
      </c>
      <c r="X67">
        <f>HYPERLINK("https://klasma.github.io/Logging_0188/tillsyn/A 28836-2022 tillsynsbegäran.docx", "A 28836-2022")</f>
        <v/>
      </c>
      <c r="Y67">
        <f>HYPERLINK("https://klasma.github.io/Logging_0188/tillsynsmail/A 28836-2022 tillsynsbegäran mail.docx", "A 28836-2022")</f>
        <v/>
      </c>
      <c r="Z67">
        <f>HYPERLINK("https://klasma.github.io/Logging_0188/fåglar/A 28836-2022 prioriterade fågelarter.docx", "A 28836-2022")</f>
        <v/>
      </c>
    </row>
    <row r="68" ht="15" customHeight="1">
      <c r="A68" t="inlineStr">
        <is>
          <t>A 45113-2022</t>
        </is>
      </c>
      <c r="B68" s="1" t="n">
        <v>44843</v>
      </c>
      <c r="C68" s="1" t="n">
        <v>45513</v>
      </c>
      <c r="D68" t="inlineStr">
        <is>
          <t>STOCKHOLMS LÄN</t>
        </is>
      </c>
      <c r="E68" t="inlineStr">
        <is>
          <t>NORRTÄLJE</t>
        </is>
      </c>
      <c r="G68" t="n">
        <v>1.7</v>
      </c>
      <c r="H68" t="n">
        <v>0</v>
      </c>
      <c r="I68" t="n">
        <v>1</v>
      </c>
      <c r="J68" t="n">
        <v>1</v>
      </c>
      <c r="K68" t="n">
        <v>1</v>
      </c>
      <c r="L68" t="n">
        <v>0</v>
      </c>
      <c r="M68" t="n">
        <v>0</v>
      </c>
      <c r="N68" t="n">
        <v>0</v>
      </c>
      <c r="O68" t="n">
        <v>2</v>
      </c>
      <c r="P68" t="n">
        <v>1</v>
      </c>
      <c r="Q68" t="n">
        <v>3</v>
      </c>
      <c r="R68" s="2" t="inlineStr">
        <is>
          <t>Violett fingersvamp
Kandelabersvamp
Slät lönnlav</t>
        </is>
      </c>
      <c r="S68">
        <f>HYPERLINK("https://klasma.github.io/Logging_0188/artfynd/A 45113-2022 artfynd.xlsx", "A 45113-2022")</f>
        <v/>
      </c>
      <c r="T68">
        <f>HYPERLINK("https://klasma.github.io/Logging_0188/kartor/A 45113-2022 karta.png", "A 45113-2022")</f>
        <v/>
      </c>
      <c r="V68">
        <f>HYPERLINK("https://klasma.github.io/Logging_0188/klagomål/A 45113-2022 FSC-klagomål.docx", "A 45113-2022")</f>
        <v/>
      </c>
      <c r="W68">
        <f>HYPERLINK("https://klasma.github.io/Logging_0188/klagomålsmail/A 45113-2022 FSC-klagomål mail.docx", "A 45113-2022")</f>
        <v/>
      </c>
      <c r="X68">
        <f>HYPERLINK("https://klasma.github.io/Logging_0188/tillsyn/A 45113-2022 tillsynsbegäran.docx", "A 45113-2022")</f>
        <v/>
      </c>
      <c r="Y68">
        <f>HYPERLINK("https://klasma.github.io/Logging_0188/tillsynsmail/A 45113-2022 tillsynsbegäran mail.docx", "A 45113-2022")</f>
        <v/>
      </c>
    </row>
    <row r="69" ht="15" customHeight="1">
      <c r="A69" t="inlineStr">
        <is>
          <t>A 50618-2022</t>
        </is>
      </c>
      <c r="B69" s="1" t="n">
        <v>44866</v>
      </c>
      <c r="C69" s="1" t="n">
        <v>45513</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2851-2023</t>
        </is>
      </c>
      <c r="B70" s="1" t="n">
        <v>44945</v>
      </c>
      <c r="C70" s="1" t="n">
        <v>45513</v>
      </c>
      <c r="D70" t="inlineStr">
        <is>
          <t>STOCKHOLMS LÄN</t>
        </is>
      </c>
      <c r="E70" t="inlineStr">
        <is>
          <t>NORRTÄLJE</t>
        </is>
      </c>
      <c r="G70" t="n">
        <v>5.8</v>
      </c>
      <c r="H70" t="n">
        <v>1</v>
      </c>
      <c r="I70" t="n">
        <v>1</v>
      </c>
      <c r="J70" t="n">
        <v>2</v>
      </c>
      <c r="K70" t="n">
        <v>0</v>
      </c>
      <c r="L70" t="n">
        <v>0</v>
      </c>
      <c r="M70" t="n">
        <v>0</v>
      </c>
      <c r="N70" t="n">
        <v>0</v>
      </c>
      <c r="O70" t="n">
        <v>2</v>
      </c>
      <c r="P70" t="n">
        <v>0</v>
      </c>
      <c r="Q70" t="n">
        <v>3</v>
      </c>
      <c r="R70" s="2" t="inlineStr">
        <is>
          <t>Gulsparv
Vedflikmossa
Terpentinmossa</t>
        </is>
      </c>
      <c r="S70">
        <f>HYPERLINK("https://klasma.github.io/Logging_0188/artfynd/A 2851-2023 artfynd.xlsx", "A 2851-2023")</f>
        <v/>
      </c>
      <c r="T70">
        <f>HYPERLINK("https://klasma.github.io/Logging_0188/kartor/A 2851-2023 karta.png", "A 2851-2023")</f>
        <v/>
      </c>
      <c r="V70">
        <f>HYPERLINK("https://klasma.github.io/Logging_0188/klagomål/A 2851-2023 FSC-klagomål.docx", "A 2851-2023")</f>
        <v/>
      </c>
      <c r="W70">
        <f>HYPERLINK("https://klasma.github.io/Logging_0188/klagomålsmail/A 2851-2023 FSC-klagomål mail.docx", "A 2851-2023")</f>
        <v/>
      </c>
      <c r="X70">
        <f>HYPERLINK("https://klasma.github.io/Logging_0188/tillsyn/A 2851-2023 tillsynsbegäran.docx", "A 2851-2023")</f>
        <v/>
      </c>
      <c r="Y70">
        <f>HYPERLINK("https://klasma.github.io/Logging_0188/tillsynsmail/A 2851-2023 tillsynsbegäran mail.docx", "A 2851-2023")</f>
        <v/>
      </c>
      <c r="Z70">
        <f>HYPERLINK("https://klasma.github.io/Logging_0188/fåglar/A 2851-2023 prioriterade fågelarter.docx", "A 2851-2023")</f>
        <v/>
      </c>
    </row>
    <row r="71" ht="15" customHeight="1">
      <c r="A71" t="inlineStr">
        <is>
          <t>A 17916-2023</t>
        </is>
      </c>
      <c r="B71" s="1" t="n">
        <v>45040</v>
      </c>
      <c r="C71" s="1" t="n">
        <v>45513</v>
      </c>
      <c r="D71" t="inlineStr">
        <is>
          <t>STOCKHOLMS LÄN</t>
        </is>
      </c>
      <c r="E71" t="inlineStr">
        <is>
          <t>NORRTÄLJE</t>
        </is>
      </c>
      <c r="G71" t="n">
        <v>9.1</v>
      </c>
      <c r="H71" t="n">
        <v>1</v>
      </c>
      <c r="I71" t="n">
        <v>2</v>
      </c>
      <c r="J71" t="n">
        <v>0</v>
      </c>
      <c r="K71" t="n">
        <v>0</v>
      </c>
      <c r="L71" t="n">
        <v>0</v>
      </c>
      <c r="M71" t="n">
        <v>0</v>
      </c>
      <c r="N71" t="n">
        <v>0</v>
      </c>
      <c r="O71" t="n">
        <v>0</v>
      </c>
      <c r="P71" t="n">
        <v>0</v>
      </c>
      <c r="Q71" t="n">
        <v>3</v>
      </c>
      <c r="R71" s="2" t="inlineStr">
        <is>
          <t>Skarp dropptaggsvamp
Sårläka
Blåsippa</t>
        </is>
      </c>
      <c r="S71">
        <f>HYPERLINK("https://klasma.github.io/Logging_0188/artfynd/A 17916-2023 artfynd.xlsx", "A 17916-2023")</f>
        <v/>
      </c>
      <c r="T71">
        <f>HYPERLINK("https://klasma.github.io/Logging_0188/kartor/A 17916-2023 karta.png", "A 17916-2023")</f>
        <v/>
      </c>
      <c r="V71">
        <f>HYPERLINK("https://klasma.github.io/Logging_0188/klagomål/A 17916-2023 FSC-klagomål.docx", "A 17916-2023")</f>
        <v/>
      </c>
      <c r="W71">
        <f>HYPERLINK("https://klasma.github.io/Logging_0188/klagomålsmail/A 17916-2023 FSC-klagomål mail.docx", "A 17916-2023")</f>
        <v/>
      </c>
      <c r="X71">
        <f>HYPERLINK("https://klasma.github.io/Logging_0188/tillsyn/A 17916-2023 tillsynsbegäran.docx", "A 17916-2023")</f>
        <v/>
      </c>
      <c r="Y71">
        <f>HYPERLINK("https://klasma.github.io/Logging_0188/tillsynsmail/A 17916-2023 tillsynsbegäran mail.docx", "A 17916-2023")</f>
        <v/>
      </c>
    </row>
    <row r="72" ht="15" customHeight="1">
      <c r="A72" t="inlineStr">
        <is>
          <t>A 36662-2023</t>
        </is>
      </c>
      <c r="B72" s="1" t="n">
        <v>45153</v>
      </c>
      <c r="C72" s="1" t="n">
        <v>45513</v>
      </c>
      <c r="D72" t="inlineStr">
        <is>
          <t>STOCKHOLMS LÄN</t>
        </is>
      </c>
      <c r="E72" t="inlineStr">
        <is>
          <t>NORRTÄLJE</t>
        </is>
      </c>
      <c r="G72" t="n">
        <v>3.1</v>
      </c>
      <c r="H72" t="n">
        <v>1</v>
      </c>
      <c r="I72" t="n">
        <v>2</v>
      </c>
      <c r="J72" t="n">
        <v>1</v>
      </c>
      <c r="K72" t="n">
        <v>0</v>
      </c>
      <c r="L72" t="n">
        <v>0</v>
      </c>
      <c r="M72" t="n">
        <v>0</v>
      </c>
      <c r="N72" t="n">
        <v>0</v>
      </c>
      <c r="O72" t="n">
        <v>1</v>
      </c>
      <c r="P72" t="n">
        <v>0</v>
      </c>
      <c r="Q72" t="n">
        <v>3</v>
      </c>
      <c r="R72" s="2" t="inlineStr">
        <is>
          <t>Svartvit taggsvamp
Skogsknipprot
Svavelriska</t>
        </is>
      </c>
      <c r="S72">
        <f>HYPERLINK("https://klasma.github.io/Logging_0188/artfynd/A 36662-2023 artfynd.xlsx", "A 36662-2023")</f>
        <v/>
      </c>
      <c r="T72">
        <f>HYPERLINK("https://klasma.github.io/Logging_0188/kartor/A 36662-2023 karta.png", "A 36662-2023")</f>
        <v/>
      </c>
      <c r="V72">
        <f>HYPERLINK("https://klasma.github.io/Logging_0188/klagomål/A 36662-2023 FSC-klagomål.docx", "A 36662-2023")</f>
        <v/>
      </c>
      <c r="W72">
        <f>HYPERLINK("https://klasma.github.io/Logging_0188/klagomålsmail/A 36662-2023 FSC-klagomål mail.docx", "A 36662-2023")</f>
        <v/>
      </c>
      <c r="X72">
        <f>HYPERLINK("https://klasma.github.io/Logging_0188/tillsyn/A 36662-2023 tillsynsbegäran.docx", "A 36662-2023")</f>
        <v/>
      </c>
      <c r="Y72">
        <f>HYPERLINK("https://klasma.github.io/Logging_0188/tillsynsmail/A 36662-2023 tillsynsbegäran mail.docx", "A 36662-2023")</f>
        <v/>
      </c>
    </row>
    <row r="73" ht="15" customHeight="1">
      <c r="A73" t="inlineStr">
        <is>
          <t>A 43304-2023</t>
        </is>
      </c>
      <c r="B73" s="1" t="n">
        <v>45183</v>
      </c>
      <c r="C73" s="1" t="n">
        <v>45513</v>
      </c>
      <c r="D73" t="inlineStr">
        <is>
          <t>STOCKHOLMS LÄN</t>
        </is>
      </c>
      <c r="E73" t="inlineStr">
        <is>
          <t>NORRTÄLJE</t>
        </is>
      </c>
      <c r="G73" t="n">
        <v>1.5</v>
      </c>
      <c r="H73" t="n">
        <v>0</v>
      </c>
      <c r="I73" t="n">
        <v>0</v>
      </c>
      <c r="J73" t="n">
        <v>2</v>
      </c>
      <c r="K73" t="n">
        <v>1</v>
      </c>
      <c r="L73" t="n">
        <v>0</v>
      </c>
      <c r="M73" t="n">
        <v>0</v>
      </c>
      <c r="N73" t="n">
        <v>0</v>
      </c>
      <c r="O73" t="n">
        <v>3</v>
      </c>
      <c r="P73" t="n">
        <v>1</v>
      </c>
      <c r="Q73" t="n">
        <v>3</v>
      </c>
      <c r="R73" s="2" t="inlineStr">
        <is>
          <t>Spricktaggsvamp
Kungsspindling
Persiljespindling</t>
        </is>
      </c>
      <c r="S73">
        <f>HYPERLINK("https://klasma.github.io/Logging_0188/artfynd/A 43304-2023 artfynd.xlsx", "A 43304-2023")</f>
        <v/>
      </c>
      <c r="T73">
        <f>HYPERLINK("https://klasma.github.io/Logging_0188/kartor/A 43304-2023 karta.png", "A 43304-2023")</f>
        <v/>
      </c>
      <c r="V73">
        <f>HYPERLINK("https://klasma.github.io/Logging_0188/klagomål/A 43304-2023 FSC-klagomål.docx", "A 43304-2023")</f>
        <v/>
      </c>
      <c r="W73">
        <f>HYPERLINK("https://klasma.github.io/Logging_0188/klagomålsmail/A 43304-2023 FSC-klagomål mail.docx", "A 43304-2023")</f>
        <v/>
      </c>
      <c r="X73">
        <f>HYPERLINK("https://klasma.github.io/Logging_0188/tillsyn/A 43304-2023 tillsynsbegäran.docx", "A 43304-2023")</f>
        <v/>
      </c>
      <c r="Y73">
        <f>HYPERLINK("https://klasma.github.io/Logging_0188/tillsynsmail/A 43304-2023 tillsynsbegäran mail.docx", "A 43304-2023")</f>
        <v/>
      </c>
    </row>
    <row r="74" ht="15" customHeight="1">
      <c r="A74" t="inlineStr">
        <is>
          <t>A 52011-2023</t>
        </is>
      </c>
      <c r="B74" s="1" t="n">
        <v>45223</v>
      </c>
      <c r="C74" s="1" t="n">
        <v>45513</v>
      </c>
      <c r="D74" t="inlineStr">
        <is>
          <t>STOCKHOLMS LÄN</t>
        </is>
      </c>
      <c r="E74" t="inlineStr">
        <is>
          <t>NORRTÄLJE</t>
        </is>
      </c>
      <c r="F74" t="inlineStr">
        <is>
          <t>Övriga Aktiebolag</t>
        </is>
      </c>
      <c r="G74" t="n">
        <v>16.6</v>
      </c>
      <c r="H74" t="n">
        <v>0</v>
      </c>
      <c r="I74" t="n">
        <v>2</v>
      </c>
      <c r="J74" t="n">
        <v>1</v>
      </c>
      <c r="K74" t="n">
        <v>0</v>
      </c>
      <c r="L74" t="n">
        <v>0</v>
      </c>
      <c r="M74" t="n">
        <v>0</v>
      </c>
      <c r="N74" t="n">
        <v>0</v>
      </c>
      <c r="O74" t="n">
        <v>1</v>
      </c>
      <c r="P74" t="n">
        <v>0</v>
      </c>
      <c r="Q74" t="n">
        <v>3</v>
      </c>
      <c r="R74" s="2" t="inlineStr">
        <is>
          <t>Vedtrappmossa
Mörk husmossa
Skogshakmossa</t>
        </is>
      </c>
      <c r="S74">
        <f>HYPERLINK("https://klasma.github.io/Logging_0188/artfynd/A 52011-2023 artfynd.xlsx", "A 52011-2023")</f>
        <v/>
      </c>
      <c r="T74">
        <f>HYPERLINK("https://klasma.github.io/Logging_0188/kartor/A 52011-2023 karta.png", "A 52011-2023")</f>
        <v/>
      </c>
      <c r="V74">
        <f>HYPERLINK("https://klasma.github.io/Logging_0188/klagomål/A 52011-2023 FSC-klagomål.docx", "A 52011-2023")</f>
        <v/>
      </c>
      <c r="W74">
        <f>HYPERLINK("https://klasma.github.io/Logging_0188/klagomålsmail/A 52011-2023 FSC-klagomål mail.docx", "A 52011-2023")</f>
        <v/>
      </c>
      <c r="X74">
        <f>HYPERLINK("https://klasma.github.io/Logging_0188/tillsyn/A 52011-2023 tillsynsbegäran.docx", "A 52011-2023")</f>
        <v/>
      </c>
      <c r="Y74">
        <f>HYPERLINK("https://klasma.github.io/Logging_0188/tillsynsmail/A 52011-2023 tillsynsbegäran mail.docx", "A 52011-2023")</f>
        <v/>
      </c>
    </row>
    <row r="75" ht="15" customHeight="1">
      <c r="A75" t="inlineStr">
        <is>
          <t>A 23830-2019</t>
        </is>
      </c>
      <c r="B75" s="1" t="n">
        <v>43595</v>
      </c>
      <c r="C75" s="1" t="n">
        <v>45513</v>
      </c>
      <c r="D75" t="inlineStr">
        <is>
          <t>STOCKHOLMS LÄN</t>
        </is>
      </c>
      <c r="E75" t="inlineStr">
        <is>
          <t>NORRTÄLJE</t>
        </is>
      </c>
      <c r="G75" t="n">
        <v>3</v>
      </c>
      <c r="H75" t="n">
        <v>2</v>
      </c>
      <c r="I75" t="n">
        <v>1</v>
      </c>
      <c r="J75" t="n">
        <v>0</v>
      </c>
      <c r="K75" t="n">
        <v>0</v>
      </c>
      <c r="L75" t="n">
        <v>0</v>
      </c>
      <c r="M75" t="n">
        <v>0</v>
      </c>
      <c r="N75" t="n">
        <v>0</v>
      </c>
      <c r="O75" t="n">
        <v>0</v>
      </c>
      <c r="P75" t="n">
        <v>0</v>
      </c>
      <c r="Q75" t="n">
        <v>2</v>
      </c>
      <c r="R75" s="2" t="inlineStr">
        <is>
          <t>Guckusko
Grönvit nattviol</t>
        </is>
      </c>
      <c r="S75">
        <f>HYPERLINK("https://klasma.github.io/Logging_0188/artfynd/A 23830-2019 artfynd.xlsx", "A 23830-2019")</f>
        <v/>
      </c>
      <c r="T75">
        <f>HYPERLINK("https://klasma.github.io/Logging_0188/kartor/A 23830-2019 karta.png", "A 23830-2019")</f>
        <v/>
      </c>
      <c r="V75">
        <f>HYPERLINK("https://klasma.github.io/Logging_0188/klagomål/A 23830-2019 FSC-klagomål.docx", "A 23830-2019")</f>
        <v/>
      </c>
      <c r="W75">
        <f>HYPERLINK("https://klasma.github.io/Logging_0188/klagomålsmail/A 23830-2019 FSC-klagomål mail.docx", "A 23830-2019")</f>
        <v/>
      </c>
      <c r="X75">
        <f>HYPERLINK("https://klasma.github.io/Logging_0188/tillsyn/A 23830-2019 tillsynsbegäran.docx", "A 23830-2019")</f>
        <v/>
      </c>
      <c r="Y75">
        <f>HYPERLINK("https://klasma.github.io/Logging_0188/tillsynsmail/A 23830-2019 tillsynsbegäran mail.docx", "A 23830-2019")</f>
        <v/>
      </c>
    </row>
    <row r="76" ht="15" customHeight="1">
      <c r="A76" t="inlineStr">
        <is>
          <t>A 47875-2019</t>
        </is>
      </c>
      <c r="B76" s="1" t="n">
        <v>43725</v>
      </c>
      <c r="C76" s="1" t="n">
        <v>45513</v>
      </c>
      <c r="D76" t="inlineStr">
        <is>
          <t>STOCKHOLMS LÄN</t>
        </is>
      </c>
      <c r="E76" t="inlineStr">
        <is>
          <t>NORRTÄLJE</t>
        </is>
      </c>
      <c r="G76" t="n">
        <v>10.9</v>
      </c>
      <c r="H76" t="n">
        <v>1</v>
      </c>
      <c r="I76" t="n">
        <v>0</v>
      </c>
      <c r="J76" t="n">
        <v>1</v>
      </c>
      <c r="K76" t="n">
        <v>0</v>
      </c>
      <c r="L76" t="n">
        <v>0</v>
      </c>
      <c r="M76" t="n">
        <v>0</v>
      </c>
      <c r="N76" t="n">
        <v>0</v>
      </c>
      <c r="O76" t="n">
        <v>1</v>
      </c>
      <c r="P76" t="n">
        <v>0</v>
      </c>
      <c r="Q76" t="n">
        <v>2</v>
      </c>
      <c r="R76" s="2" t="inlineStr">
        <is>
          <t>Vippärt
Mattlummer</t>
        </is>
      </c>
      <c r="S76">
        <f>HYPERLINK("https://klasma.github.io/Logging_0188/artfynd/A 47875-2019 artfynd.xlsx", "A 47875-2019")</f>
        <v/>
      </c>
      <c r="T76">
        <f>HYPERLINK("https://klasma.github.io/Logging_0188/kartor/A 47875-2019 karta.png", "A 47875-2019")</f>
        <v/>
      </c>
      <c r="V76">
        <f>HYPERLINK("https://klasma.github.io/Logging_0188/klagomål/A 47875-2019 FSC-klagomål.docx", "A 47875-2019")</f>
        <v/>
      </c>
      <c r="W76">
        <f>HYPERLINK("https://klasma.github.io/Logging_0188/klagomålsmail/A 47875-2019 FSC-klagomål mail.docx", "A 47875-2019")</f>
        <v/>
      </c>
      <c r="X76">
        <f>HYPERLINK("https://klasma.github.io/Logging_0188/tillsyn/A 47875-2019 tillsynsbegäran.docx", "A 47875-2019")</f>
        <v/>
      </c>
      <c r="Y76">
        <f>HYPERLINK("https://klasma.github.io/Logging_0188/tillsynsmail/A 47875-2019 tillsynsbegäran mail.docx", "A 47875-2019")</f>
        <v/>
      </c>
    </row>
    <row r="77" ht="15" customHeight="1">
      <c r="A77" t="inlineStr">
        <is>
          <t>A 2810-2020</t>
        </is>
      </c>
      <c r="B77" s="1" t="n">
        <v>43850</v>
      </c>
      <c r="C77" s="1" t="n">
        <v>45513</v>
      </c>
      <c r="D77" t="inlineStr">
        <is>
          <t>STOCKHOLMS LÄN</t>
        </is>
      </c>
      <c r="E77" t="inlineStr">
        <is>
          <t>NORRTÄLJE</t>
        </is>
      </c>
      <c r="G77" t="n">
        <v>0.9</v>
      </c>
      <c r="H77" t="n">
        <v>1</v>
      </c>
      <c r="I77" t="n">
        <v>1</v>
      </c>
      <c r="J77" t="n">
        <v>0</v>
      </c>
      <c r="K77" t="n">
        <v>1</v>
      </c>
      <c r="L77" t="n">
        <v>0</v>
      </c>
      <c r="M77" t="n">
        <v>0</v>
      </c>
      <c r="N77" t="n">
        <v>0</v>
      </c>
      <c r="O77" t="n">
        <v>1</v>
      </c>
      <c r="P77" t="n">
        <v>1</v>
      </c>
      <c r="Q77" t="n">
        <v>2</v>
      </c>
      <c r="R77" s="2" t="inlineStr">
        <is>
          <t>Knärot
Grönpyrola</t>
        </is>
      </c>
      <c r="S77">
        <f>HYPERLINK("https://klasma.github.io/Logging_0188/artfynd/A 2810-2020 artfynd.xlsx", "A 2810-2020")</f>
        <v/>
      </c>
      <c r="T77">
        <f>HYPERLINK("https://klasma.github.io/Logging_0188/kartor/A 2810-2020 karta.png", "A 2810-2020")</f>
        <v/>
      </c>
      <c r="U77">
        <f>HYPERLINK("https://klasma.github.io/Logging_0188/knärot/A 2810-2020 karta knärot.png", "A 2810-2020")</f>
        <v/>
      </c>
      <c r="V77">
        <f>HYPERLINK("https://klasma.github.io/Logging_0188/klagomål/A 2810-2020 FSC-klagomål.docx", "A 2810-2020")</f>
        <v/>
      </c>
      <c r="W77">
        <f>HYPERLINK("https://klasma.github.io/Logging_0188/klagomålsmail/A 2810-2020 FSC-klagomål mail.docx", "A 2810-2020")</f>
        <v/>
      </c>
      <c r="X77">
        <f>HYPERLINK("https://klasma.github.io/Logging_0188/tillsyn/A 2810-2020 tillsynsbegäran.docx", "A 2810-2020")</f>
        <v/>
      </c>
      <c r="Y77">
        <f>HYPERLINK("https://klasma.github.io/Logging_0188/tillsynsmail/A 2810-2020 tillsynsbegäran mail.docx", "A 2810-2020")</f>
        <v/>
      </c>
    </row>
    <row r="78" ht="15" customHeight="1">
      <c r="A78" t="inlineStr">
        <is>
          <t>A 6272-2020</t>
        </is>
      </c>
      <c r="B78" s="1" t="n">
        <v>43866</v>
      </c>
      <c r="C78" s="1" t="n">
        <v>45513</v>
      </c>
      <c r="D78" t="inlineStr">
        <is>
          <t>STOCKHOLMS LÄN</t>
        </is>
      </c>
      <c r="E78" t="inlineStr">
        <is>
          <t>NORRTÄLJE</t>
        </is>
      </c>
      <c r="F78" t="inlineStr">
        <is>
          <t>Övriga statliga verk och myndigheter</t>
        </is>
      </c>
      <c r="G78" t="n">
        <v>1.9</v>
      </c>
      <c r="H78" t="n">
        <v>1</v>
      </c>
      <c r="I78" t="n">
        <v>1</v>
      </c>
      <c r="J78" t="n">
        <v>1</v>
      </c>
      <c r="K78" t="n">
        <v>0</v>
      </c>
      <c r="L78" t="n">
        <v>0</v>
      </c>
      <c r="M78" t="n">
        <v>0</v>
      </c>
      <c r="N78" t="n">
        <v>0</v>
      </c>
      <c r="O78" t="n">
        <v>1</v>
      </c>
      <c r="P78" t="n">
        <v>0</v>
      </c>
      <c r="Q78" t="n">
        <v>2</v>
      </c>
      <c r="R78" s="2" t="inlineStr">
        <is>
          <t>Silversmygare
Nästrot</t>
        </is>
      </c>
      <c r="S78">
        <f>HYPERLINK("https://klasma.github.io/Logging_0188/artfynd/A 6272-2020 artfynd.xlsx", "A 6272-2020")</f>
        <v/>
      </c>
      <c r="T78">
        <f>HYPERLINK("https://klasma.github.io/Logging_0188/kartor/A 6272-2020 karta.png", "A 6272-2020")</f>
        <v/>
      </c>
      <c r="V78">
        <f>HYPERLINK("https://klasma.github.io/Logging_0188/klagomål/A 6272-2020 FSC-klagomål.docx", "A 6272-2020")</f>
        <v/>
      </c>
      <c r="W78">
        <f>HYPERLINK("https://klasma.github.io/Logging_0188/klagomålsmail/A 6272-2020 FSC-klagomål mail.docx", "A 6272-2020")</f>
        <v/>
      </c>
      <c r="X78">
        <f>HYPERLINK("https://klasma.github.io/Logging_0188/tillsyn/A 6272-2020 tillsynsbegäran.docx", "A 6272-2020")</f>
        <v/>
      </c>
      <c r="Y78">
        <f>HYPERLINK("https://klasma.github.io/Logging_0188/tillsynsmail/A 6272-2020 tillsynsbegäran mail.docx", "A 6272-2020")</f>
        <v/>
      </c>
    </row>
    <row r="79" ht="15" customHeight="1">
      <c r="A79" t="inlineStr">
        <is>
          <t>A 19565-2020</t>
        </is>
      </c>
      <c r="B79" s="1" t="n">
        <v>43936</v>
      </c>
      <c r="C79" s="1" t="n">
        <v>45513</v>
      </c>
      <c r="D79" t="inlineStr">
        <is>
          <t>STOCKHOLMS LÄN</t>
        </is>
      </c>
      <c r="E79" t="inlineStr">
        <is>
          <t>NORRTÄLJE</t>
        </is>
      </c>
      <c r="G79" t="n">
        <v>2.4</v>
      </c>
      <c r="H79" t="n">
        <v>0</v>
      </c>
      <c r="I79" t="n">
        <v>2</v>
      </c>
      <c r="J79" t="n">
        <v>0</v>
      </c>
      <c r="K79" t="n">
        <v>0</v>
      </c>
      <c r="L79" t="n">
        <v>0</v>
      </c>
      <c r="M79" t="n">
        <v>0</v>
      </c>
      <c r="N79" t="n">
        <v>0</v>
      </c>
      <c r="O79" t="n">
        <v>0</v>
      </c>
      <c r="P79" t="n">
        <v>0</v>
      </c>
      <c r="Q79" t="n">
        <v>2</v>
      </c>
      <c r="R79" s="2" t="inlineStr">
        <is>
          <t>Mörk husmossa
Rödgul trumpetsvamp</t>
        </is>
      </c>
      <c r="S79">
        <f>HYPERLINK("https://klasma.github.io/Logging_0188/artfynd/A 19565-2020 artfynd.xlsx", "A 19565-2020")</f>
        <v/>
      </c>
      <c r="T79">
        <f>HYPERLINK("https://klasma.github.io/Logging_0188/kartor/A 19565-2020 karta.png", "A 19565-2020")</f>
        <v/>
      </c>
      <c r="V79">
        <f>HYPERLINK("https://klasma.github.io/Logging_0188/klagomål/A 19565-2020 FSC-klagomål.docx", "A 19565-2020")</f>
        <v/>
      </c>
      <c r="W79">
        <f>HYPERLINK("https://klasma.github.io/Logging_0188/klagomålsmail/A 19565-2020 FSC-klagomål mail.docx", "A 19565-2020")</f>
        <v/>
      </c>
      <c r="X79">
        <f>HYPERLINK("https://klasma.github.io/Logging_0188/tillsyn/A 19565-2020 tillsynsbegäran.docx", "A 19565-2020")</f>
        <v/>
      </c>
      <c r="Y79">
        <f>HYPERLINK("https://klasma.github.io/Logging_0188/tillsynsmail/A 19565-2020 tillsynsbegäran mail.docx", "A 19565-2020")</f>
        <v/>
      </c>
    </row>
    <row r="80" ht="15" customHeight="1">
      <c r="A80" t="inlineStr">
        <is>
          <t>A 31803-2021</t>
        </is>
      </c>
      <c r="B80" s="1" t="n">
        <v>44370</v>
      </c>
      <c r="C80" s="1" t="n">
        <v>45513</v>
      </c>
      <c r="D80" t="inlineStr">
        <is>
          <t>STOCKHOLMS LÄN</t>
        </is>
      </c>
      <c r="E80" t="inlineStr">
        <is>
          <t>NORRTÄLJE</t>
        </is>
      </c>
      <c r="G80" t="n">
        <v>4.6</v>
      </c>
      <c r="H80" t="n">
        <v>0</v>
      </c>
      <c r="I80" t="n">
        <v>1</v>
      </c>
      <c r="J80" t="n">
        <v>1</v>
      </c>
      <c r="K80" t="n">
        <v>0</v>
      </c>
      <c r="L80" t="n">
        <v>0</v>
      </c>
      <c r="M80" t="n">
        <v>0</v>
      </c>
      <c r="N80" t="n">
        <v>0</v>
      </c>
      <c r="O80" t="n">
        <v>1</v>
      </c>
      <c r="P80" t="n">
        <v>0</v>
      </c>
      <c r="Q80" t="n">
        <v>2</v>
      </c>
      <c r="R80" s="2" t="inlineStr">
        <is>
          <t>Slåtterfibbla
Vårärt</t>
        </is>
      </c>
      <c r="S80">
        <f>HYPERLINK("https://klasma.github.io/Logging_0188/artfynd/A 31803-2021 artfynd.xlsx", "A 31803-2021")</f>
        <v/>
      </c>
      <c r="T80">
        <f>HYPERLINK("https://klasma.github.io/Logging_0188/kartor/A 31803-2021 karta.png", "A 31803-2021")</f>
        <v/>
      </c>
      <c r="V80">
        <f>HYPERLINK("https://klasma.github.io/Logging_0188/klagomål/A 31803-2021 FSC-klagomål.docx", "A 31803-2021")</f>
        <v/>
      </c>
      <c r="W80">
        <f>HYPERLINK("https://klasma.github.io/Logging_0188/klagomålsmail/A 31803-2021 FSC-klagomål mail.docx", "A 31803-2021")</f>
        <v/>
      </c>
      <c r="X80">
        <f>HYPERLINK("https://klasma.github.io/Logging_0188/tillsyn/A 31803-2021 tillsynsbegäran.docx", "A 31803-2021")</f>
        <v/>
      </c>
      <c r="Y80">
        <f>HYPERLINK("https://klasma.github.io/Logging_0188/tillsynsmail/A 31803-2021 tillsynsbegäran mail.docx", "A 31803-2021")</f>
        <v/>
      </c>
    </row>
    <row r="81" ht="15" customHeight="1">
      <c r="A81" t="inlineStr">
        <is>
          <t>A 40072-2021</t>
        </is>
      </c>
      <c r="B81" s="1" t="n">
        <v>44418</v>
      </c>
      <c r="C81" s="1" t="n">
        <v>45513</v>
      </c>
      <c r="D81" t="inlineStr">
        <is>
          <t>STOCKHOLMS LÄN</t>
        </is>
      </c>
      <c r="E81" t="inlineStr">
        <is>
          <t>NORRTÄLJE</t>
        </is>
      </c>
      <c r="G81" t="n">
        <v>1.1</v>
      </c>
      <c r="H81" t="n">
        <v>2</v>
      </c>
      <c r="I81" t="n">
        <v>0</v>
      </c>
      <c r="J81" t="n">
        <v>2</v>
      </c>
      <c r="K81" t="n">
        <v>0</v>
      </c>
      <c r="L81" t="n">
        <v>0</v>
      </c>
      <c r="M81" t="n">
        <v>0</v>
      </c>
      <c r="N81" t="n">
        <v>0</v>
      </c>
      <c r="O81" t="n">
        <v>2</v>
      </c>
      <c r="P81" t="n">
        <v>0</v>
      </c>
      <c r="Q81" t="n">
        <v>2</v>
      </c>
      <c r="R81" s="2" t="inlineStr">
        <is>
          <t>Rördrom
Slaguggla</t>
        </is>
      </c>
      <c r="S81">
        <f>HYPERLINK("https://klasma.github.io/Logging_0188/artfynd/A 40072-2021 artfynd.xlsx", "A 40072-2021")</f>
        <v/>
      </c>
      <c r="T81">
        <f>HYPERLINK("https://klasma.github.io/Logging_0188/kartor/A 40072-2021 karta.png", "A 40072-2021")</f>
        <v/>
      </c>
      <c r="V81">
        <f>HYPERLINK("https://klasma.github.io/Logging_0188/klagomål/A 40072-2021 FSC-klagomål.docx", "A 40072-2021")</f>
        <v/>
      </c>
      <c r="W81">
        <f>HYPERLINK("https://klasma.github.io/Logging_0188/klagomålsmail/A 40072-2021 FSC-klagomål mail.docx", "A 40072-2021")</f>
        <v/>
      </c>
      <c r="X81">
        <f>HYPERLINK("https://klasma.github.io/Logging_0188/tillsyn/A 40072-2021 tillsynsbegäran.docx", "A 40072-2021")</f>
        <v/>
      </c>
      <c r="Y81">
        <f>HYPERLINK("https://klasma.github.io/Logging_0188/tillsynsmail/A 40072-2021 tillsynsbegäran mail.docx", "A 40072-2021")</f>
        <v/>
      </c>
      <c r="Z81">
        <f>HYPERLINK("https://klasma.github.io/Logging_0188/fåglar/A 40072-2021 prioriterade fågelarter.docx", "A 40072-2021")</f>
        <v/>
      </c>
    </row>
    <row r="82" ht="15" customHeight="1">
      <c r="A82" t="inlineStr">
        <is>
          <t>A 58676-2021</t>
        </is>
      </c>
      <c r="B82" s="1" t="n">
        <v>44489</v>
      </c>
      <c r="C82" s="1" t="n">
        <v>45513</v>
      </c>
      <c r="D82" t="inlineStr">
        <is>
          <t>STOCKHOLMS LÄN</t>
        </is>
      </c>
      <c r="E82" t="inlineStr">
        <is>
          <t>NORRTÄLJE</t>
        </is>
      </c>
      <c r="G82" t="n">
        <v>0.6</v>
      </c>
      <c r="H82" t="n">
        <v>2</v>
      </c>
      <c r="I82" t="n">
        <v>0</v>
      </c>
      <c r="J82" t="n">
        <v>0</v>
      </c>
      <c r="K82" t="n">
        <v>0</v>
      </c>
      <c r="L82" t="n">
        <v>0</v>
      </c>
      <c r="M82" t="n">
        <v>0</v>
      </c>
      <c r="N82" t="n">
        <v>0</v>
      </c>
      <c r="O82" t="n">
        <v>0</v>
      </c>
      <c r="P82" t="n">
        <v>0</v>
      </c>
      <c r="Q82" t="n">
        <v>2</v>
      </c>
      <c r="R82" s="2" t="inlineStr">
        <is>
          <t>Nattviol
Blåsippa</t>
        </is>
      </c>
      <c r="S82">
        <f>HYPERLINK("https://klasma.github.io/Logging_0188/artfynd/A 58676-2021 artfynd.xlsx", "A 58676-2021")</f>
        <v/>
      </c>
      <c r="T82">
        <f>HYPERLINK("https://klasma.github.io/Logging_0188/kartor/A 58676-2021 karta.png", "A 58676-2021")</f>
        <v/>
      </c>
      <c r="V82">
        <f>HYPERLINK("https://klasma.github.io/Logging_0188/klagomål/A 58676-2021 FSC-klagomål.docx", "A 58676-2021")</f>
        <v/>
      </c>
      <c r="W82">
        <f>HYPERLINK("https://klasma.github.io/Logging_0188/klagomålsmail/A 58676-2021 FSC-klagomål mail.docx", "A 58676-2021")</f>
        <v/>
      </c>
      <c r="X82">
        <f>HYPERLINK("https://klasma.github.io/Logging_0188/tillsyn/A 58676-2021 tillsynsbegäran.docx", "A 58676-2021")</f>
        <v/>
      </c>
      <c r="Y82">
        <f>HYPERLINK("https://klasma.github.io/Logging_0188/tillsynsmail/A 58676-2021 tillsynsbegäran mail.docx", "A 58676-2021")</f>
        <v/>
      </c>
    </row>
    <row r="83" ht="15" customHeight="1">
      <c r="A83" t="inlineStr">
        <is>
          <t>A 16260-2022</t>
        </is>
      </c>
      <c r="B83" s="1" t="n">
        <v>44670</v>
      </c>
      <c r="C83" s="1" t="n">
        <v>45513</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19862-2022</t>
        </is>
      </c>
      <c r="B84" s="1" t="n">
        <v>44696</v>
      </c>
      <c r="C84" s="1" t="n">
        <v>45513</v>
      </c>
      <c r="D84" t="inlineStr">
        <is>
          <t>STOCKHOLMS LÄN</t>
        </is>
      </c>
      <c r="E84" t="inlineStr">
        <is>
          <t>NORRTÄLJE</t>
        </is>
      </c>
      <c r="G84" t="n">
        <v>6</v>
      </c>
      <c r="H84" t="n">
        <v>1</v>
      </c>
      <c r="I84" t="n">
        <v>0</v>
      </c>
      <c r="J84" t="n">
        <v>1</v>
      </c>
      <c r="K84" t="n">
        <v>0</v>
      </c>
      <c r="L84" t="n">
        <v>0</v>
      </c>
      <c r="M84" t="n">
        <v>0</v>
      </c>
      <c r="N84" t="n">
        <v>0</v>
      </c>
      <c r="O84" t="n">
        <v>1</v>
      </c>
      <c r="P84" t="n">
        <v>0</v>
      </c>
      <c r="Q84" t="n">
        <v>2</v>
      </c>
      <c r="R84" s="2" t="inlineStr">
        <is>
          <t>Granticka
Blåsippa</t>
        </is>
      </c>
      <c r="S84">
        <f>HYPERLINK("https://klasma.github.io/Logging_0188/artfynd/A 19862-2022 artfynd.xlsx", "A 19862-2022")</f>
        <v/>
      </c>
      <c r="T84">
        <f>HYPERLINK("https://klasma.github.io/Logging_0188/kartor/A 19862-2022 karta.png", "A 19862-2022")</f>
        <v/>
      </c>
      <c r="V84">
        <f>HYPERLINK("https://klasma.github.io/Logging_0188/klagomål/A 19862-2022 FSC-klagomål.docx", "A 19862-2022")</f>
        <v/>
      </c>
      <c r="W84">
        <f>HYPERLINK("https://klasma.github.io/Logging_0188/klagomålsmail/A 19862-2022 FSC-klagomål mail.docx", "A 19862-2022")</f>
        <v/>
      </c>
      <c r="X84">
        <f>HYPERLINK("https://klasma.github.io/Logging_0188/tillsyn/A 19862-2022 tillsynsbegäran.docx", "A 19862-2022")</f>
        <v/>
      </c>
      <c r="Y84">
        <f>HYPERLINK("https://klasma.github.io/Logging_0188/tillsynsmail/A 19862-2022 tillsynsbegäran mail.docx", "A 19862-2022")</f>
        <v/>
      </c>
    </row>
    <row r="85" ht="15" customHeight="1">
      <c r="A85" t="inlineStr">
        <is>
          <t>A 27742-2022</t>
        </is>
      </c>
      <c r="B85" s="1" t="n">
        <v>44743</v>
      </c>
      <c r="C85" s="1" t="n">
        <v>45513</v>
      </c>
      <c r="D85" t="inlineStr">
        <is>
          <t>STOCKHOLMS LÄN</t>
        </is>
      </c>
      <c r="E85" t="inlineStr">
        <is>
          <t>NORRTÄLJE</t>
        </is>
      </c>
      <c r="G85" t="n">
        <v>3.9</v>
      </c>
      <c r="H85" t="n">
        <v>1</v>
      </c>
      <c r="I85" t="n">
        <v>1</v>
      </c>
      <c r="J85" t="n">
        <v>0</v>
      </c>
      <c r="K85" t="n">
        <v>0</v>
      </c>
      <c r="L85" t="n">
        <v>0</v>
      </c>
      <c r="M85" t="n">
        <v>0</v>
      </c>
      <c r="N85" t="n">
        <v>0</v>
      </c>
      <c r="O85" t="n">
        <v>0</v>
      </c>
      <c r="P85" t="n">
        <v>0</v>
      </c>
      <c r="Q85" t="n">
        <v>2</v>
      </c>
      <c r="R85" s="2" t="inlineStr">
        <is>
          <t>Svavelriska
Blåsippa</t>
        </is>
      </c>
      <c r="S85">
        <f>HYPERLINK("https://klasma.github.io/Logging_0188/artfynd/A 27742-2022 artfynd.xlsx", "A 27742-2022")</f>
        <v/>
      </c>
      <c r="T85">
        <f>HYPERLINK("https://klasma.github.io/Logging_0188/kartor/A 27742-2022 karta.png", "A 27742-2022")</f>
        <v/>
      </c>
      <c r="V85">
        <f>HYPERLINK("https://klasma.github.io/Logging_0188/klagomål/A 27742-2022 FSC-klagomål.docx", "A 27742-2022")</f>
        <v/>
      </c>
      <c r="W85">
        <f>HYPERLINK("https://klasma.github.io/Logging_0188/klagomålsmail/A 27742-2022 FSC-klagomål mail.docx", "A 27742-2022")</f>
        <v/>
      </c>
      <c r="X85">
        <f>HYPERLINK("https://klasma.github.io/Logging_0188/tillsyn/A 27742-2022 tillsynsbegäran.docx", "A 27742-2022")</f>
        <v/>
      </c>
      <c r="Y85">
        <f>HYPERLINK("https://klasma.github.io/Logging_0188/tillsynsmail/A 27742-2022 tillsynsbegäran mail.docx", "A 27742-2022")</f>
        <v/>
      </c>
    </row>
    <row r="86" ht="15" customHeight="1">
      <c r="A86" t="inlineStr">
        <is>
          <t>A 38597-2022</t>
        </is>
      </c>
      <c r="B86" s="1" t="n">
        <v>44813</v>
      </c>
      <c r="C86" s="1" t="n">
        <v>45513</v>
      </c>
      <c r="D86" t="inlineStr">
        <is>
          <t>STOCKHOLMS LÄN</t>
        </is>
      </c>
      <c r="E86" t="inlineStr">
        <is>
          <t>NORRTÄLJE</t>
        </is>
      </c>
      <c r="G86" t="n">
        <v>13.2</v>
      </c>
      <c r="H86" t="n">
        <v>1</v>
      </c>
      <c r="I86" t="n">
        <v>1</v>
      </c>
      <c r="J86" t="n">
        <v>0</v>
      </c>
      <c r="K86" t="n">
        <v>0</v>
      </c>
      <c r="L86" t="n">
        <v>1</v>
      </c>
      <c r="M86" t="n">
        <v>0</v>
      </c>
      <c r="N86" t="n">
        <v>0</v>
      </c>
      <c r="O86" t="n">
        <v>1</v>
      </c>
      <c r="P86" t="n">
        <v>1</v>
      </c>
      <c r="Q86" t="n">
        <v>2</v>
      </c>
      <c r="R86" s="2" t="inlineStr">
        <is>
          <t>Asknätfjäril
Scharlakansvårskål agg.</t>
        </is>
      </c>
      <c r="S86">
        <f>HYPERLINK("https://klasma.github.io/Logging_0188/artfynd/A 38597-2022 artfynd.xlsx", "A 38597-2022")</f>
        <v/>
      </c>
      <c r="T86">
        <f>HYPERLINK("https://klasma.github.io/Logging_0188/kartor/A 38597-2022 karta.png", "A 38597-2022")</f>
        <v/>
      </c>
      <c r="V86">
        <f>HYPERLINK("https://klasma.github.io/Logging_0188/klagomål/A 38597-2022 FSC-klagomål.docx", "A 38597-2022")</f>
        <v/>
      </c>
      <c r="W86">
        <f>HYPERLINK("https://klasma.github.io/Logging_0188/klagomålsmail/A 38597-2022 FSC-klagomål mail.docx", "A 38597-2022")</f>
        <v/>
      </c>
      <c r="X86">
        <f>HYPERLINK("https://klasma.github.io/Logging_0188/tillsyn/A 38597-2022 tillsynsbegäran.docx", "A 38597-2022")</f>
        <v/>
      </c>
      <c r="Y86">
        <f>HYPERLINK("https://klasma.github.io/Logging_0188/tillsynsmail/A 38597-2022 tillsynsbegäran mail.docx", "A 38597-2022")</f>
        <v/>
      </c>
    </row>
    <row r="87" ht="15" customHeight="1">
      <c r="A87" t="inlineStr">
        <is>
          <t>A 52124-2022</t>
        </is>
      </c>
      <c r="B87" s="1" t="n">
        <v>44868</v>
      </c>
      <c r="C87" s="1" t="n">
        <v>45513</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45513</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7341-2023</t>
        </is>
      </c>
      <c r="B89" s="1" t="n">
        <v>44971</v>
      </c>
      <c r="C89" s="1" t="n">
        <v>45513</v>
      </c>
      <c r="D89" t="inlineStr">
        <is>
          <t>STOCKHOLMS LÄN</t>
        </is>
      </c>
      <c r="E89" t="inlineStr">
        <is>
          <t>NORRTÄLJE</t>
        </is>
      </c>
      <c r="F89" t="inlineStr">
        <is>
          <t>Holmen skog AB</t>
        </is>
      </c>
      <c r="G89" t="n">
        <v>10.7</v>
      </c>
      <c r="H89" t="n">
        <v>0</v>
      </c>
      <c r="I89" t="n">
        <v>0</v>
      </c>
      <c r="J89" t="n">
        <v>2</v>
      </c>
      <c r="K89" t="n">
        <v>0</v>
      </c>
      <c r="L89" t="n">
        <v>0</v>
      </c>
      <c r="M89" t="n">
        <v>0</v>
      </c>
      <c r="N89" t="n">
        <v>0</v>
      </c>
      <c r="O89" t="n">
        <v>2</v>
      </c>
      <c r="P89" t="n">
        <v>0</v>
      </c>
      <c r="Q89" t="n">
        <v>2</v>
      </c>
      <c r="R89" s="2" t="inlineStr">
        <is>
          <t>Mindre bastardsvärmare
Smalsprötad bastardsvärmare</t>
        </is>
      </c>
      <c r="S89">
        <f>HYPERLINK("https://klasma.github.io/Logging_0188/artfynd/A 7341-2023 artfynd.xlsx", "A 7341-2023")</f>
        <v/>
      </c>
      <c r="T89">
        <f>HYPERLINK("https://klasma.github.io/Logging_0188/kartor/A 7341-2023 karta.png", "A 7341-2023")</f>
        <v/>
      </c>
      <c r="V89">
        <f>HYPERLINK("https://klasma.github.io/Logging_0188/klagomål/A 7341-2023 FSC-klagomål.docx", "A 7341-2023")</f>
        <v/>
      </c>
      <c r="W89">
        <f>HYPERLINK("https://klasma.github.io/Logging_0188/klagomålsmail/A 7341-2023 FSC-klagomål mail.docx", "A 7341-2023")</f>
        <v/>
      </c>
      <c r="X89">
        <f>HYPERLINK("https://klasma.github.io/Logging_0188/tillsyn/A 7341-2023 tillsynsbegäran.docx", "A 7341-2023")</f>
        <v/>
      </c>
      <c r="Y89">
        <f>HYPERLINK("https://klasma.github.io/Logging_0188/tillsynsmail/A 7341-2023 tillsynsbegäran mail.docx", "A 7341-2023")</f>
        <v/>
      </c>
    </row>
    <row r="90" ht="15" customHeight="1">
      <c r="A90" t="inlineStr">
        <is>
          <t>A 10136-2023</t>
        </is>
      </c>
      <c r="B90" s="1" t="n">
        <v>44986</v>
      </c>
      <c r="C90" s="1" t="n">
        <v>45513</v>
      </c>
      <c r="D90" t="inlineStr">
        <is>
          <t>STOCKHOLMS LÄN</t>
        </is>
      </c>
      <c r="E90" t="inlineStr">
        <is>
          <t>NORRTÄLJE</t>
        </is>
      </c>
      <c r="F90" t="inlineStr">
        <is>
          <t>Övriga statliga verk och myndigheter</t>
        </is>
      </c>
      <c r="G90" t="n">
        <v>3.6</v>
      </c>
      <c r="H90" t="n">
        <v>0</v>
      </c>
      <c r="I90" t="n">
        <v>0</v>
      </c>
      <c r="J90" t="n">
        <v>1</v>
      </c>
      <c r="K90" t="n">
        <v>1</v>
      </c>
      <c r="L90" t="n">
        <v>0</v>
      </c>
      <c r="M90" t="n">
        <v>0</v>
      </c>
      <c r="N90" t="n">
        <v>0</v>
      </c>
      <c r="O90" t="n">
        <v>2</v>
      </c>
      <c r="P90" t="n">
        <v>1</v>
      </c>
      <c r="Q90" t="n">
        <v>2</v>
      </c>
      <c r="R90" s="2" t="inlineStr">
        <is>
          <t>Svartfjällig musseron
Persiljespindling</t>
        </is>
      </c>
      <c r="S90">
        <f>HYPERLINK("https://klasma.github.io/Logging_0188/artfynd/A 10136-2023 artfynd.xlsx", "A 10136-2023")</f>
        <v/>
      </c>
      <c r="T90">
        <f>HYPERLINK("https://klasma.github.io/Logging_0188/kartor/A 10136-2023 karta.png", "A 10136-2023")</f>
        <v/>
      </c>
      <c r="V90">
        <f>HYPERLINK("https://klasma.github.io/Logging_0188/klagomål/A 10136-2023 FSC-klagomål.docx", "A 10136-2023")</f>
        <v/>
      </c>
      <c r="W90">
        <f>HYPERLINK("https://klasma.github.io/Logging_0188/klagomålsmail/A 10136-2023 FSC-klagomål mail.docx", "A 10136-2023")</f>
        <v/>
      </c>
      <c r="X90">
        <f>HYPERLINK("https://klasma.github.io/Logging_0188/tillsyn/A 10136-2023 tillsynsbegäran.docx", "A 10136-2023")</f>
        <v/>
      </c>
      <c r="Y90">
        <f>HYPERLINK("https://klasma.github.io/Logging_0188/tillsynsmail/A 10136-2023 tillsynsbegäran mail.docx", "A 10136-2023")</f>
        <v/>
      </c>
    </row>
    <row r="91" ht="15" customHeight="1">
      <c r="A91" t="inlineStr">
        <is>
          <t>A 21748-2023</t>
        </is>
      </c>
      <c r="B91" s="1" t="n">
        <v>45065</v>
      </c>
      <c r="C91" s="1" t="n">
        <v>45513</v>
      </c>
      <c r="D91" t="inlineStr">
        <is>
          <t>STOCKHOLMS LÄN</t>
        </is>
      </c>
      <c r="E91" t="inlineStr">
        <is>
          <t>NORRTÄLJE</t>
        </is>
      </c>
      <c r="F91" t="inlineStr">
        <is>
          <t>Holmen skog AB</t>
        </is>
      </c>
      <c r="G91" t="n">
        <v>2.4</v>
      </c>
      <c r="H91" t="n">
        <v>0</v>
      </c>
      <c r="I91" t="n">
        <v>2</v>
      </c>
      <c r="J91" t="n">
        <v>0</v>
      </c>
      <c r="K91" t="n">
        <v>0</v>
      </c>
      <c r="L91" t="n">
        <v>0</v>
      </c>
      <c r="M91" t="n">
        <v>0</v>
      </c>
      <c r="N91" t="n">
        <v>0</v>
      </c>
      <c r="O91" t="n">
        <v>0</v>
      </c>
      <c r="P91" t="n">
        <v>0</v>
      </c>
      <c r="Q91" t="n">
        <v>2</v>
      </c>
      <c r="R91" s="2" t="inlineStr">
        <is>
          <t>Aspvedgnagare
Tibast</t>
        </is>
      </c>
      <c r="S91">
        <f>HYPERLINK("https://klasma.github.io/Logging_0188/artfynd/A 21748-2023 artfynd.xlsx", "A 21748-2023")</f>
        <v/>
      </c>
      <c r="T91">
        <f>HYPERLINK("https://klasma.github.io/Logging_0188/kartor/A 21748-2023 karta.png", "A 21748-2023")</f>
        <v/>
      </c>
      <c r="V91">
        <f>HYPERLINK("https://klasma.github.io/Logging_0188/klagomål/A 21748-2023 FSC-klagomål.docx", "A 21748-2023")</f>
        <v/>
      </c>
      <c r="W91">
        <f>HYPERLINK("https://klasma.github.io/Logging_0188/klagomålsmail/A 21748-2023 FSC-klagomål mail.docx", "A 21748-2023")</f>
        <v/>
      </c>
      <c r="X91">
        <f>HYPERLINK("https://klasma.github.io/Logging_0188/tillsyn/A 21748-2023 tillsynsbegäran.docx", "A 21748-2023")</f>
        <v/>
      </c>
      <c r="Y91">
        <f>HYPERLINK("https://klasma.github.io/Logging_0188/tillsynsmail/A 21748-2023 tillsynsbegäran mail.docx", "A 21748-2023")</f>
        <v/>
      </c>
    </row>
    <row r="92" ht="15" customHeight="1">
      <c r="A92" t="inlineStr">
        <is>
          <t>A 23861-2023</t>
        </is>
      </c>
      <c r="B92" s="1" t="n">
        <v>45078</v>
      </c>
      <c r="C92" s="1" t="n">
        <v>45513</v>
      </c>
      <c r="D92" t="inlineStr">
        <is>
          <t>STOCKHOLMS LÄN</t>
        </is>
      </c>
      <c r="E92" t="inlineStr">
        <is>
          <t>NORRTÄLJE</t>
        </is>
      </c>
      <c r="G92" t="n">
        <v>3.3</v>
      </c>
      <c r="H92" t="n">
        <v>1</v>
      </c>
      <c r="I92" t="n">
        <v>1</v>
      </c>
      <c r="J92" t="n">
        <v>0</v>
      </c>
      <c r="K92" t="n">
        <v>0</v>
      </c>
      <c r="L92" t="n">
        <v>0</v>
      </c>
      <c r="M92" t="n">
        <v>0</v>
      </c>
      <c r="N92" t="n">
        <v>0</v>
      </c>
      <c r="O92" t="n">
        <v>0</v>
      </c>
      <c r="P92" t="n">
        <v>0</v>
      </c>
      <c r="Q92" t="n">
        <v>2</v>
      </c>
      <c r="R92" s="2" t="inlineStr">
        <is>
          <t>Tibast
Blåsippa</t>
        </is>
      </c>
      <c r="S92">
        <f>HYPERLINK("https://klasma.github.io/Logging_0188/artfynd/A 23861-2023 artfynd.xlsx", "A 23861-2023")</f>
        <v/>
      </c>
      <c r="T92">
        <f>HYPERLINK("https://klasma.github.io/Logging_0188/kartor/A 23861-2023 karta.png", "A 23861-2023")</f>
        <v/>
      </c>
      <c r="V92">
        <f>HYPERLINK("https://klasma.github.io/Logging_0188/klagomål/A 23861-2023 FSC-klagomål.docx", "A 23861-2023")</f>
        <v/>
      </c>
      <c r="W92">
        <f>HYPERLINK("https://klasma.github.io/Logging_0188/klagomålsmail/A 23861-2023 FSC-klagomål mail.docx", "A 23861-2023")</f>
        <v/>
      </c>
      <c r="X92">
        <f>HYPERLINK("https://klasma.github.io/Logging_0188/tillsyn/A 23861-2023 tillsynsbegäran.docx", "A 23861-2023")</f>
        <v/>
      </c>
      <c r="Y92">
        <f>HYPERLINK("https://klasma.github.io/Logging_0188/tillsynsmail/A 23861-2023 tillsynsbegäran mail.docx", "A 23861-2023")</f>
        <v/>
      </c>
    </row>
    <row r="93" ht="15" customHeight="1">
      <c r="A93" t="inlineStr">
        <is>
          <t>A 33287-2023</t>
        </is>
      </c>
      <c r="B93" s="1" t="n">
        <v>45127</v>
      </c>
      <c r="C93" s="1" t="n">
        <v>45513</v>
      </c>
      <c r="D93" t="inlineStr">
        <is>
          <t>STOCKHOLMS LÄN</t>
        </is>
      </c>
      <c r="E93" t="inlineStr">
        <is>
          <t>NORRTÄLJE</t>
        </is>
      </c>
      <c r="F93" t="inlineStr">
        <is>
          <t>Holmen skog AB</t>
        </is>
      </c>
      <c r="G93" t="n">
        <v>3.3</v>
      </c>
      <c r="H93" t="n">
        <v>0</v>
      </c>
      <c r="I93" t="n">
        <v>0</v>
      </c>
      <c r="J93" t="n">
        <v>2</v>
      </c>
      <c r="K93" t="n">
        <v>0</v>
      </c>
      <c r="L93" t="n">
        <v>0</v>
      </c>
      <c r="M93" t="n">
        <v>0</v>
      </c>
      <c r="N93" t="n">
        <v>0</v>
      </c>
      <c r="O93" t="n">
        <v>2</v>
      </c>
      <c r="P93" t="n">
        <v>0</v>
      </c>
      <c r="Q93" t="n">
        <v>2</v>
      </c>
      <c r="R93" s="2" t="inlineStr">
        <is>
          <t>Smalsprötad bastardsvärmare
Violettkantad guldvinge</t>
        </is>
      </c>
      <c r="S93">
        <f>HYPERLINK("https://klasma.github.io/Logging_0188/artfynd/A 33287-2023 artfynd.xlsx", "A 33287-2023")</f>
        <v/>
      </c>
      <c r="T93">
        <f>HYPERLINK("https://klasma.github.io/Logging_0188/kartor/A 33287-2023 karta.png", "A 33287-2023")</f>
        <v/>
      </c>
      <c r="V93">
        <f>HYPERLINK("https://klasma.github.io/Logging_0188/klagomål/A 33287-2023 FSC-klagomål.docx", "A 33287-2023")</f>
        <v/>
      </c>
      <c r="W93">
        <f>HYPERLINK("https://klasma.github.io/Logging_0188/klagomålsmail/A 33287-2023 FSC-klagomål mail.docx", "A 33287-2023")</f>
        <v/>
      </c>
      <c r="X93">
        <f>HYPERLINK("https://klasma.github.io/Logging_0188/tillsyn/A 33287-2023 tillsynsbegäran.docx", "A 33287-2023")</f>
        <v/>
      </c>
      <c r="Y93">
        <f>HYPERLINK("https://klasma.github.io/Logging_0188/tillsynsmail/A 33287-2023 tillsynsbegäran mail.docx", "A 33287-2023")</f>
        <v/>
      </c>
    </row>
    <row r="94" ht="15" customHeight="1">
      <c r="A94" t="inlineStr">
        <is>
          <t>A 51220-2023</t>
        </is>
      </c>
      <c r="B94" s="1" t="n">
        <v>45219</v>
      </c>
      <c r="C94" s="1" t="n">
        <v>45513</v>
      </c>
      <c r="D94" t="inlineStr">
        <is>
          <t>STOCKHOLMS LÄN</t>
        </is>
      </c>
      <c r="E94" t="inlineStr">
        <is>
          <t>NORRTÄLJE</t>
        </is>
      </c>
      <c r="G94" t="n">
        <v>7.7</v>
      </c>
      <c r="H94" t="n">
        <v>1</v>
      </c>
      <c r="I94" t="n">
        <v>0</v>
      </c>
      <c r="J94" t="n">
        <v>1</v>
      </c>
      <c r="K94" t="n">
        <v>0</v>
      </c>
      <c r="L94" t="n">
        <v>0</v>
      </c>
      <c r="M94" t="n">
        <v>0</v>
      </c>
      <c r="N94" t="n">
        <v>0</v>
      </c>
      <c r="O94" t="n">
        <v>1</v>
      </c>
      <c r="P94" t="n">
        <v>0</v>
      </c>
      <c r="Q94" t="n">
        <v>2</v>
      </c>
      <c r="R94" s="2" t="inlineStr">
        <is>
          <t>Ullticka
Blåsippa</t>
        </is>
      </c>
      <c r="S94">
        <f>HYPERLINK("https://klasma.github.io/Logging_0188/artfynd/A 51220-2023 artfynd.xlsx", "A 51220-2023")</f>
        <v/>
      </c>
      <c r="T94">
        <f>HYPERLINK("https://klasma.github.io/Logging_0188/kartor/A 51220-2023 karta.png", "A 51220-2023")</f>
        <v/>
      </c>
      <c r="V94">
        <f>HYPERLINK("https://klasma.github.io/Logging_0188/klagomål/A 51220-2023 FSC-klagomål.docx", "A 51220-2023")</f>
        <v/>
      </c>
      <c r="W94">
        <f>HYPERLINK("https://klasma.github.io/Logging_0188/klagomålsmail/A 51220-2023 FSC-klagomål mail.docx", "A 51220-2023")</f>
        <v/>
      </c>
      <c r="X94">
        <f>HYPERLINK("https://klasma.github.io/Logging_0188/tillsyn/A 51220-2023 tillsynsbegäran.docx", "A 51220-2023")</f>
        <v/>
      </c>
      <c r="Y94">
        <f>HYPERLINK("https://klasma.github.io/Logging_0188/tillsynsmail/A 51220-2023 tillsynsbegäran mail.docx", "A 51220-2023")</f>
        <v/>
      </c>
    </row>
    <row r="95" ht="15" customHeight="1">
      <c r="A95" t="inlineStr">
        <is>
          <t>A 52825-2023</t>
        </is>
      </c>
      <c r="B95" s="1" t="n">
        <v>45226</v>
      </c>
      <c r="C95" s="1" t="n">
        <v>45513</v>
      </c>
      <c r="D95" t="inlineStr">
        <is>
          <t>STOCKHOLMS LÄN</t>
        </is>
      </c>
      <c r="E95" t="inlineStr">
        <is>
          <t>NORRTÄLJE</t>
        </is>
      </c>
      <c r="G95" t="n">
        <v>1</v>
      </c>
      <c r="H95" t="n">
        <v>0</v>
      </c>
      <c r="I95" t="n">
        <v>2</v>
      </c>
      <c r="J95" t="n">
        <v>0</v>
      </c>
      <c r="K95" t="n">
        <v>0</v>
      </c>
      <c r="L95" t="n">
        <v>0</v>
      </c>
      <c r="M95" t="n">
        <v>0</v>
      </c>
      <c r="N95" t="n">
        <v>0</v>
      </c>
      <c r="O95" t="n">
        <v>0</v>
      </c>
      <c r="P95" t="n">
        <v>0</v>
      </c>
      <c r="Q95" t="n">
        <v>2</v>
      </c>
      <c r="R95" s="2" t="inlineStr">
        <is>
          <t>Fjällig taggsvamp s.str.
Strimspindling</t>
        </is>
      </c>
      <c r="S95">
        <f>HYPERLINK("https://klasma.github.io/Logging_0188/artfynd/A 52825-2023 artfynd.xlsx", "A 52825-2023")</f>
        <v/>
      </c>
      <c r="T95">
        <f>HYPERLINK("https://klasma.github.io/Logging_0188/kartor/A 52825-2023 karta.png", "A 52825-2023")</f>
        <v/>
      </c>
      <c r="V95">
        <f>HYPERLINK("https://klasma.github.io/Logging_0188/klagomål/A 52825-2023 FSC-klagomål.docx", "A 52825-2023")</f>
        <v/>
      </c>
      <c r="W95">
        <f>HYPERLINK("https://klasma.github.io/Logging_0188/klagomålsmail/A 52825-2023 FSC-klagomål mail.docx", "A 52825-2023")</f>
        <v/>
      </c>
      <c r="X95">
        <f>HYPERLINK("https://klasma.github.io/Logging_0188/tillsyn/A 52825-2023 tillsynsbegäran.docx", "A 52825-2023")</f>
        <v/>
      </c>
      <c r="Y95">
        <f>HYPERLINK("https://klasma.github.io/Logging_0188/tillsynsmail/A 52825-2023 tillsynsbegäran mail.docx", "A 52825-2023")</f>
        <v/>
      </c>
    </row>
    <row r="96" ht="15" customHeight="1">
      <c r="A96" t="inlineStr">
        <is>
          <t>A 4909-2024</t>
        </is>
      </c>
      <c r="B96" s="1" t="n">
        <v>45329</v>
      </c>
      <c r="C96" s="1" t="n">
        <v>45513</v>
      </c>
      <c r="D96" t="inlineStr">
        <is>
          <t>STOCKHOLMS LÄN</t>
        </is>
      </c>
      <c r="E96" t="inlineStr">
        <is>
          <t>NORRTÄLJE</t>
        </is>
      </c>
      <c r="G96" t="n">
        <v>4.1</v>
      </c>
      <c r="H96" t="n">
        <v>0</v>
      </c>
      <c r="I96" t="n">
        <v>2</v>
      </c>
      <c r="J96" t="n">
        <v>0</v>
      </c>
      <c r="K96" t="n">
        <v>0</v>
      </c>
      <c r="L96" t="n">
        <v>0</v>
      </c>
      <c r="M96" t="n">
        <v>0</v>
      </c>
      <c r="N96" t="n">
        <v>0</v>
      </c>
      <c r="O96" t="n">
        <v>0</v>
      </c>
      <c r="P96" t="n">
        <v>0</v>
      </c>
      <c r="Q96" t="n">
        <v>2</v>
      </c>
      <c r="R96" s="2" t="inlineStr">
        <is>
          <t>Fjällig taggsvamp s.str.
Rödgul trumpetsvamp</t>
        </is>
      </c>
      <c r="S96">
        <f>HYPERLINK("https://klasma.github.io/Logging_0188/artfynd/A 4909-2024 artfynd.xlsx", "A 4909-2024")</f>
        <v/>
      </c>
      <c r="T96">
        <f>HYPERLINK("https://klasma.github.io/Logging_0188/kartor/A 4909-2024 karta.png", "A 4909-2024")</f>
        <v/>
      </c>
      <c r="V96">
        <f>HYPERLINK("https://klasma.github.io/Logging_0188/klagomål/A 4909-2024 FSC-klagomål.docx", "A 4909-2024")</f>
        <v/>
      </c>
      <c r="W96">
        <f>HYPERLINK("https://klasma.github.io/Logging_0188/klagomålsmail/A 4909-2024 FSC-klagomål mail.docx", "A 4909-2024")</f>
        <v/>
      </c>
      <c r="X96">
        <f>HYPERLINK("https://klasma.github.io/Logging_0188/tillsyn/A 4909-2024 tillsynsbegäran.docx", "A 4909-2024")</f>
        <v/>
      </c>
      <c r="Y96">
        <f>HYPERLINK("https://klasma.github.io/Logging_0188/tillsynsmail/A 4909-2024 tillsynsbegäran mail.docx", "A 4909-2024")</f>
        <v/>
      </c>
    </row>
    <row r="97" ht="15" customHeight="1">
      <c r="A97" t="inlineStr">
        <is>
          <t>A 11995-2024</t>
        </is>
      </c>
      <c r="B97" s="1" t="n">
        <v>45377</v>
      </c>
      <c r="C97" s="1" t="n">
        <v>45513</v>
      </c>
      <c r="D97" t="inlineStr">
        <is>
          <t>STOCKHOLMS LÄN</t>
        </is>
      </c>
      <c r="E97" t="inlineStr">
        <is>
          <t>NORRTÄLJE</t>
        </is>
      </c>
      <c r="G97" t="n">
        <v>4.7</v>
      </c>
      <c r="H97" t="n">
        <v>0</v>
      </c>
      <c r="I97" t="n">
        <v>1</v>
      </c>
      <c r="J97" t="n">
        <v>1</v>
      </c>
      <c r="K97" t="n">
        <v>0</v>
      </c>
      <c r="L97" t="n">
        <v>0</v>
      </c>
      <c r="M97" t="n">
        <v>0</v>
      </c>
      <c r="N97" t="n">
        <v>0</v>
      </c>
      <c r="O97" t="n">
        <v>1</v>
      </c>
      <c r="P97" t="n">
        <v>0</v>
      </c>
      <c r="Q97" t="n">
        <v>2</v>
      </c>
      <c r="R97" s="2" t="inlineStr">
        <is>
          <t>Tallticka
Svavelriska</t>
        </is>
      </c>
      <c r="S97">
        <f>HYPERLINK("https://klasma.github.io/Logging_0188/artfynd/A 11995-2024 artfynd.xlsx", "A 11995-2024")</f>
        <v/>
      </c>
      <c r="T97">
        <f>HYPERLINK("https://klasma.github.io/Logging_0188/kartor/A 11995-2024 karta.png", "A 11995-2024")</f>
        <v/>
      </c>
      <c r="V97">
        <f>HYPERLINK("https://klasma.github.io/Logging_0188/klagomål/A 11995-2024 FSC-klagomål.docx", "A 11995-2024")</f>
        <v/>
      </c>
      <c r="W97">
        <f>HYPERLINK("https://klasma.github.io/Logging_0188/klagomålsmail/A 11995-2024 FSC-klagomål mail.docx", "A 11995-2024")</f>
        <v/>
      </c>
      <c r="X97">
        <f>HYPERLINK("https://klasma.github.io/Logging_0188/tillsyn/A 11995-2024 tillsynsbegäran.docx", "A 11995-2024")</f>
        <v/>
      </c>
      <c r="Y97">
        <f>HYPERLINK("https://klasma.github.io/Logging_0188/tillsynsmail/A 11995-2024 tillsynsbegäran mail.docx", "A 11995-2024")</f>
        <v/>
      </c>
    </row>
    <row r="98" ht="15" customHeight="1">
      <c r="A98" t="inlineStr">
        <is>
          <t>A 13150-2024</t>
        </is>
      </c>
      <c r="B98" s="1" t="n">
        <v>45386</v>
      </c>
      <c r="C98" s="1" t="n">
        <v>45513</v>
      </c>
      <c r="D98" t="inlineStr">
        <is>
          <t>STOCKHOLMS LÄN</t>
        </is>
      </c>
      <c r="E98" t="inlineStr">
        <is>
          <t>NORRTÄLJE</t>
        </is>
      </c>
      <c r="G98" t="n">
        <v>7.4</v>
      </c>
      <c r="H98" t="n">
        <v>0</v>
      </c>
      <c r="I98" t="n">
        <v>1</v>
      </c>
      <c r="J98" t="n">
        <v>1</v>
      </c>
      <c r="K98" t="n">
        <v>0</v>
      </c>
      <c r="L98" t="n">
        <v>0</v>
      </c>
      <c r="M98" t="n">
        <v>0</v>
      </c>
      <c r="N98" t="n">
        <v>0</v>
      </c>
      <c r="O98" t="n">
        <v>1</v>
      </c>
      <c r="P98" t="n">
        <v>0</v>
      </c>
      <c r="Q98" t="n">
        <v>2</v>
      </c>
      <c r="R98" s="2" t="inlineStr">
        <is>
          <t>Orange taggsvamp
Mönjevaxskivling</t>
        </is>
      </c>
      <c r="S98">
        <f>HYPERLINK("https://klasma.github.io/Logging_0188/artfynd/A 13150-2024 artfynd.xlsx", "A 13150-2024")</f>
        <v/>
      </c>
      <c r="T98">
        <f>HYPERLINK("https://klasma.github.io/Logging_0188/kartor/A 13150-2024 karta.png", "A 13150-2024")</f>
        <v/>
      </c>
      <c r="V98">
        <f>HYPERLINK("https://klasma.github.io/Logging_0188/klagomål/A 13150-2024 FSC-klagomål.docx", "A 13150-2024")</f>
        <v/>
      </c>
      <c r="W98">
        <f>HYPERLINK("https://klasma.github.io/Logging_0188/klagomålsmail/A 13150-2024 FSC-klagomål mail.docx", "A 13150-2024")</f>
        <v/>
      </c>
      <c r="X98">
        <f>HYPERLINK("https://klasma.github.io/Logging_0188/tillsyn/A 13150-2024 tillsynsbegäran.docx", "A 13150-2024")</f>
        <v/>
      </c>
      <c r="Y98">
        <f>HYPERLINK("https://klasma.github.io/Logging_0188/tillsynsmail/A 13150-2024 tillsynsbegäran mail.docx", "A 13150-2024")</f>
        <v/>
      </c>
    </row>
    <row r="99" ht="15" customHeight="1">
      <c r="A99" t="inlineStr">
        <is>
          <t>A 24025-2024</t>
        </is>
      </c>
      <c r="B99" s="1" t="n">
        <v>45456</v>
      </c>
      <c r="C99" s="1" t="n">
        <v>45513</v>
      </c>
      <c r="D99" t="inlineStr">
        <is>
          <t>STOCKHOLMS LÄN</t>
        </is>
      </c>
      <c r="E99" t="inlineStr">
        <is>
          <t>NORRTÄLJE</t>
        </is>
      </c>
      <c r="G99" t="n">
        <v>6</v>
      </c>
      <c r="H99" t="n">
        <v>0</v>
      </c>
      <c r="I99" t="n">
        <v>2</v>
      </c>
      <c r="J99" t="n">
        <v>0</v>
      </c>
      <c r="K99" t="n">
        <v>0</v>
      </c>
      <c r="L99" t="n">
        <v>0</v>
      </c>
      <c r="M99" t="n">
        <v>0</v>
      </c>
      <c r="N99" t="n">
        <v>0</v>
      </c>
      <c r="O99" t="n">
        <v>0</v>
      </c>
      <c r="P99" t="n">
        <v>0</v>
      </c>
      <c r="Q99" t="n">
        <v>2</v>
      </c>
      <c r="R99" s="2" t="inlineStr">
        <is>
          <t>Guldlockmossa
Platt fjädermossa</t>
        </is>
      </c>
      <c r="S99">
        <f>HYPERLINK("https://klasma.github.io/Logging_0188/artfynd/A 24025-2024 artfynd.xlsx", "A 24025-2024")</f>
        <v/>
      </c>
      <c r="T99">
        <f>HYPERLINK("https://klasma.github.io/Logging_0188/kartor/A 24025-2024 karta.png", "A 24025-2024")</f>
        <v/>
      </c>
      <c r="V99">
        <f>HYPERLINK("https://klasma.github.io/Logging_0188/klagomål/A 24025-2024 FSC-klagomål.docx", "A 24025-2024")</f>
        <v/>
      </c>
      <c r="W99">
        <f>HYPERLINK("https://klasma.github.io/Logging_0188/klagomålsmail/A 24025-2024 FSC-klagomål mail.docx", "A 24025-2024")</f>
        <v/>
      </c>
      <c r="X99">
        <f>HYPERLINK("https://klasma.github.io/Logging_0188/tillsyn/A 24025-2024 tillsynsbegäran.docx", "A 24025-2024")</f>
        <v/>
      </c>
      <c r="Y99">
        <f>HYPERLINK("https://klasma.github.io/Logging_0188/tillsynsmail/A 24025-2024 tillsynsbegäran mail.docx", "A 24025-2024")</f>
        <v/>
      </c>
    </row>
    <row r="100" ht="15" customHeight="1">
      <c r="A100" t="inlineStr">
        <is>
          <t>A 20740-2019</t>
        </is>
      </c>
      <c r="B100" s="1" t="n">
        <v>43573</v>
      </c>
      <c r="C100" s="1" t="n">
        <v>45513</v>
      </c>
      <c r="D100" t="inlineStr">
        <is>
          <t>STOCKHOLMS LÄN</t>
        </is>
      </c>
      <c r="E100" t="inlineStr">
        <is>
          <t>NORRTÄLJE</t>
        </is>
      </c>
      <c r="G100" t="n">
        <v>1.6</v>
      </c>
      <c r="H100" t="n">
        <v>0</v>
      </c>
      <c r="I100" t="n">
        <v>0</v>
      </c>
      <c r="J100" t="n">
        <v>1</v>
      </c>
      <c r="K100" t="n">
        <v>0</v>
      </c>
      <c r="L100" t="n">
        <v>0</v>
      </c>
      <c r="M100" t="n">
        <v>0</v>
      </c>
      <c r="N100" t="n">
        <v>0</v>
      </c>
      <c r="O100" t="n">
        <v>1</v>
      </c>
      <c r="P100" t="n">
        <v>0</v>
      </c>
      <c r="Q100" t="n">
        <v>1</v>
      </c>
      <c r="R100" s="2" t="inlineStr">
        <is>
          <t>Slåtterfibbla</t>
        </is>
      </c>
      <c r="S100">
        <f>HYPERLINK("https://klasma.github.io/Logging_0188/artfynd/A 20740-2019 artfynd.xlsx", "A 20740-2019")</f>
        <v/>
      </c>
      <c r="T100">
        <f>HYPERLINK("https://klasma.github.io/Logging_0188/kartor/A 20740-2019 karta.png", "A 20740-2019")</f>
        <v/>
      </c>
      <c r="V100">
        <f>HYPERLINK("https://klasma.github.io/Logging_0188/klagomål/A 20740-2019 FSC-klagomål.docx", "A 20740-2019")</f>
        <v/>
      </c>
      <c r="W100">
        <f>HYPERLINK("https://klasma.github.io/Logging_0188/klagomålsmail/A 20740-2019 FSC-klagomål mail.docx", "A 20740-2019")</f>
        <v/>
      </c>
      <c r="X100">
        <f>HYPERLINK("https://klasma.github.io/Logging_0188/tillsyn/A 20740-2019 tillsynsbegäran.docx", "A 20740-2019")</f>
        <v/>
      </c>
      <c r="Y100">
        <f>HYPERLINK("https://klasma.github.io/Logging_0188/tillsynsmail/A 20740-2019 tillsynsbegäran mail.docx", "A 20740-2019")</f>
        <v/>
      </c>
    </row>
    <row r="101" ht="15" customHeight="1">
      <c r="A101" t="inlineStr">
        <is>
          <t>A 26275-2019</t>
        </is>
      </c>
      <c r="B101" s="1" t="n">
        <v>43611</v>
      </c>
      <c r="C101" s="1" t="n">
        <v>45513</v>
      </c>
      <c r="D101" t="inlineStr">
        <is>
          <t>STOCKHOLMS LÄN</t>
        </is>
      </c>
      <c r="E101" t="inlineStr">
        <is>
          <t>NORRTÄLJE</t>
        </is>
      </c>
      <c r="G101" t="n">
        <v>0.5</v>
      </c>
      <c r="H101" t="n">
        <v>0</v>
      </c>
      <c r="I101" t="n">
        <v>1</v>
      </c>
      <c r="J101" t="n">
        <v>0</v>
      </c>
      <c r="K101" t="n">
        <v>0</v>
      </c>
      <c r="L101" t="n">
        <v>0</v>
      </c>
      <c r="M101" t="n">
        <v>0</v>
      </c>
      <c r="N101" t="n">
        <v>0</v>
      </c>
      <c r="O101" t="n">
        <v>0</v>
      </c>
      <c r="P101" t="n">
        <v>0</v>
      </c>
      <c r="Q101" t="n">
        <v>1</v>
      </c>
      <c r="R101" s="2" t="inlineStr">
        <is>
          <t>Blåmossa</t>
        </is>
      </c>
      <c r="S101">
        <f>HYPERLINK("https://klasma.github.io/Logging_0188/artfynd/A 26275-2019 artfynd.xlsx", "A 26275-2019")</f>
        <v/>
      </c>
      <c r="T101">
        <f>HYPERLINK("https://klasma.github.io/Logging_0188/kartor/A 26275-2019 karta.png", "A 26275-2019")</f>
        <v/>
      </c>
      <c r="V101">
        <f>HYPERLINK("https://klasma.github.io/Logging_0188/klagomål/A 26275-2019 FSC-klagomål.docx", "A 26275-2019")</f>
        <v/>
      </c>
      <c r="W101">
        <f>HYPERLINK("https://klasma.github.io/Logging_0188/klagomålsmail/A 26275-2019 FSC-klagomål mail.docx", "A 26275-2019")</f>
        <v/>
      </c>
      <c r="X101">
        <f>HYPERLINK("https://klasma.github.io/Logging_0188/tillsyn/A 26275-2019 tillsynsbegäran.docx", "A 26275-2019")</f>
        <v/>
      </c>
      <c r="Y101">
        <f>HYPERLINK("https://klasma.github.io/Logging_0188/tillsynsmail/A 26275-2019 tillsynsbegäran mail.docx", "A 26275-2019")</f>
        <v/>
      </c>
    </row>
    <row r="102" ht="15" customHeight="1">
      <c r="A102" t="inlineStr">
        <is>
          <t>A 30011-2019</t>
        </is>
      </c>
      <c r="B102" s="1" t="n">
        <v>43633</v>
      </c>
      <c r="C102" s="1" t="n">
        <v>45513</v>
      </c>
      <c r="D102" t="inlineStr">
        <is>
          <t>STOCKHOLMS LÄN</t>
        </is>
      </c>
      <c r="E102" t="inlineStr">
        <is>
          <t>NORRTÄLJE</t>
        </is>
      </c>
      <c r="G102" t="n">
        <v>2.6</v>
      </c>
      <c r="H102" t="n">
        <v>0</v>
      </c>
      <c r="I102" t="n">
        <v>1</v>
      </c>
      <c r="J102" t="n">
        <v>0</v>
      </c>
      <c r="K102" t="n">
        <v>0</v>
      </c>
      <c r="L102" t="n">
        <v>0</v>
      </c>
      <c r="M102" t="n">
        <v>0</v>
      </c>
      <c r="N102" t="n">
        <v>0</v>
      </c>
      <c r="O102" t="n">
        <v>0</v>
      </c>
      <c r="P102" t="n">
        <v>0</v>
      </c>
      <c r="Q102" t="n">
        <v>1</v>
      </c>
      <c r="R102" s="2" t="inlineStr">
        <is>
          <t>Tibast</t>
        </is>
      </c>
      <c r="S102">
        <f>HYPERLINK("https://klasma.github.io/Logging_0188/artfynd/A 30011-2019 artfynd.xlsx", "A 30011-2019")</f>
        <v/>
      </c>
      <c r="T102">
        <f>HYPERLINK("https://klasma.github.io/Logging_0188/kartor/A 30011-2019 karta.png", "A 30011-2019")</f>
        <v/>
      </c>
      <c r="V102">
        <f>HYPERLINK("https://klasma.github.io/Logging_0188/klagomål/A 30011-2019 FSC-klagomål.docx", "A 30011-2019")</f>
        <v/>
      </c>
      <c r="W102">
        <f>HYPERLINK("https://klasma.github.io/Logging_0188/klagomålsmail/A 30011-2019 FSC-klagomål mail.docx", "A 30011-2019")</f>
        <v/>
      </c>
      <c r="X102">
        <f>HYPERLINK("https://klasma.github.io/Logging_0188/tillsyn/A 30011-2019 tillsynsbegäran.docx", "A 30011-2019")</f>
        <v/>
      </c>
      <c r="Y102">
        <f>HYPERLINK("https://klasma.github.io/Logging_0188/tillsynsmail/A 30011-2019 tillsynsbegäran mail.docx", "A 30011-2019")</f>
        <v/>
      </c>
    </row>
    <row r="103" ht="15" customHeight="1">
      <c r="A103" t="inlineStr">
        <is>
          <t>A 38137-2019</t>
        </is>
      </c>
      <c r="B103" s="1" t="n">
        <v>43684</v>
      </c>
      <c r="C103" s="1" t="n">
        <v>45513</v>
      </c>
      <c r="D103" t="inlineStr">
        <is>
          <t>STOCKHOLMS LÄN</t>
        </is>
      </c>
      <c r="E103" t="inlineStr">
        <is>
          <t>NORRTÄLJE</t>
        </is>
      </c>
      <c r="G103" t="n">
        <v>12.9</v>
      </c>
      <c r="H103" t="n">
        <v>0</v>
      </c>
      <c r="I103" t="n">
        <v>0</v>
      </c>
      <c r="J103" t="n">
        <v>1</v>
      </c>
      <c r="K103" t="n">
        <v>0</v>
      </c>
      <c r="L103" t="n">
        <v>0</v>
      </c>
      <c r="M103" t="n">
        <v>0</v>
      </c>
      <c r="N103" t="n">
        <v>0</v>
      </c>
      <c r="O103" t="n">
        <v>1</v>
      </c>
      <c r="P103" t="n">
        <v>0</v>
      </c>
      <c r="Q103" t="n">
        <v>1</v>
      </c>
      <c r="R103" s="2" t="inlineStr">
        <is>
          <t>Rutskinn</t>
        </is>
      </c>
      <c r="S103">
        <f>HYPERLINK("https://klasma.github.io/Logging_0188/artfynd/A 38137-2019 artfynd.xlsx", "A 38137-2019")</f>
        <v/>
      </c>
      <c r="T103">
        <f>HYPERLINK("https://klasma.github.io/Logging_0188/kartor/A 38137-2019 karta.png", "A 38137-2019")</f>
        <v/>
      </c>
      <c r="V103">
        <f>HYPERLINK("https://klasma.github.io/Logging_0188/klagomål/A 38137-2019 FSC-klagomål.docx", "A 38137-2019")</f>
        <v/>
      </c>
      <c r="W103">
        <f>HYPERLINK("https://klasma.github.io/Logging_0188/klagomålsmail/A 38137-2019 FSC-klagomål mail.docx", "A 38137-2019")</f>
        <v/>
      </c>
      <c r="X103">
        <f>HYPERLINK("https://klasma.github.io/Logging_0188/tillsyn/A 38137-2019 tillsynsbegäran.docx", "A 38137-2019")</f>
        <v/>
      </c>
      <c r="Y103">
        <f>HYPERLINK("https://klasma.github.io/Logging_0188/tillsynsmail/A 38137-2019 tillsynsbegäran mail.docx", "A 38137-2019")</f>
        <v/>
      </c>
    </row>
    <row r="104" ht="15" customHeight="1">
      <c r="A104" t="inlineStr">
        <is>
          <t>A 64849-2019</t>
        </is>
      </c>
      <c r="B104" s="1" t="n">
        <v>43801</v>
      </c>
      <c r="C104" s="1" t="n">
        <v>45513</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Skogsklocka</t>
        </is>
      </c>
      <c r="S104">
        <f>HYPERLINK("https://klasma.github.io/Logging_0188/artfynd/A 64849-2019 artfynd.xlsx", "A 64849-2019")</f>
        <v/>
      </c>
      <c r="T104">
        <f>HYPERLINK("https://klasma.github.io/Logging_0188/kartor/A 64849-2019 karta.png", "A 64849-2019")</f>
        <v/>
      </c>
      <c r="V104">
        <f>HYPERLINK("https://klasma.github.io/Logging_0188/klagomål/A 64849-2019 FSC-klagomål.docx", "A 64849-2019")</f>
        <v/>
      </c>
      <c r="W104">
        <f>HYPERLINK("https://klasma.github.io/Logging_0188/klagomålsmail/A 64849-2019 FSC-klagomål mail.docx", "A 64849-2019")</f>
        <v/>
      </c>
      <c r="X104">
        <f>HYPERLINK("https://klasma.github.io/Logging_0188/tillsyn/A 64849-2019 tillsynsbegäran.docx", "A 64849-2019")</f>
        <v/>
      </c>
      <c r="Y104">
        <f>HYPERLINK("https://klasma.github.io/Logging_0188/tillsynsmail/A 64849-2019 tillsynsbegäran mail.docx", "A 64849-2019")</f>
        <v/>
      </c>
    </row>
    <row r="105" ht="15" customHeight="1">
      <c r="A105" t="inlineStr">
        <is>
          <t>A 2808-2020</t>
        </is>
      </c>
      <c r="B105" s="1" t="n">
        <v>43850</v>
      </c>
      <c r="C105" s="1" t="n">
        <v>45513</v>
      </c>
      <c r="D105" t="inlineStr">
        <is>
          <t>STOCKHOLMS LÄN</t>
        </is>
      </c>
      <c r="E105" t="inlineStr">
        <is>
          <t>NORRTÄLJE</t>
        </is>
      </c>
      <c r="G105" t="n">
        <v>1</v>
      </c>
      <c r="H105" t="n">
        <v>1</v>
      </c>
      <c r="I105" t="n">
        <v>0</v>
      </c>
      <c r="J105" t="n">
        <v>0</v>
      </c>
      <c r="K105" t="n">
        <v>1</v>
      </c>
      <c r="L105" t="n">
        <v>0</v>
      </c>
      <c r="M105" t="n">
        <v>0</v>
      </c>
      <c r="N105" t="n">
        <v>0</v>
      </c>
      <c r="O105" t="n">
        <v>1</v>
      </c>
      <c r="P105" t="n">
        <v>1</v>
      </c>
      <c r="Q105" t="n">
        <v>1</v>
      </c>
      <c r="R105" s="2" t="inlineStr">
        <is>
          <t>Knärot</t>
        </is>
      </c>
      <c r="S105">
        <f>HYPERLINK("https://klasma.github.io/Logging_0188/artfynd/A 2808-2020 artfynd.xlsx", "A 2808-2020")</f>
        <v/>
      </c>
      <c r="T105">
        <f>HYPERLINK("https://klasma.github.io/Logging_0188/kartor/A 2808-2020 karta.png", "A 2808-2020")</f>
        <v/>
      </c>
      <c r="U105">
        <f>HYPERLINK("https://klasma.github.io/Logging_0188/knärot/A 2808-2020 karta knärot.png", "A 2808-2020")</f>
        <v/>
      </c>
      <c r="V105">
        <f>HYPERLINK("https://klasma.github.io/Logging_0188/klagomål/A 2808-2020 FSC-klagomål.docx", "A 2808-2020")</f>
        <v/>
      </c>
      <c r="W105">
        <f>HYPERLINK("https://klasma.github.io/Logging_0188/klagomålsmail/A 2808-2020 FSC-klagomål mail.docx", "A 2808-2020")</f>
        <v/>
      </c>
      <c r="X105">
        <f>HYPERLINK("https://klasma.github.io/Logging_0188/tillsyn/A 2808-2020 tillsynsbegäran.docx", "A 2808-2020")</f>
        <v/>
      </c>
      <c r="Y105">
        <f>HYPERLINK("https://klasma.github.io/Logging_0188/tillsynsmail/A 2808-2020 tillsynsbegäran mail.docx", "A 2808-2020")</f>
        <v/>
      </c>
    </row>
    <row r="106" ht="15" customHeight="1">
      <c r="A106" t="inlineStr">
        <is>
          <t>A 2796-2020</t>
        </is>
      </c>
      <c r="B106" s="1" t="n">
        <v>43850</v>
      </c>
      <c r="C106" s="1" t="n">
        <v>45513</v>
      </c>
      <c r="D106" t="inlineStr">
        <is>
          <t>STOCKHOLMS LÄN</t>
        </is>
      </c>
      <c r="E106" t="inlineStr">
        <is>
          <t>NORRTÄLJE</t>
        </is>
      </c>
      <c r="G106" t="n">
        <v>5.6</v>
      </c>
      <c r="H106" t="n">
        <v>1</v>
      </c>
      <c r="I106" t="n">
        <v>1</v>
      </c>
      <c r="J106" t="n">
        <v>0</v>
      </c>
      <c r="K106" t="n">
        <v>0</v>
      </c>
      <c r="L106" t="n">
        <v>0</v>
      </c>
      <c r="M106" t="n">
        <v>0</v>
      </c>
      <c r="N106" t="n">
        <v>0</v>
      </c>
      <c r="O106" t="n">
        <v>0</v>
      </c>
      <c r="P106" t="n">
        <v>0</v>
      </c>
      <c r="Q106" t="n">
        <v>1</v>
      </c>
      <c r="R106" s="2" t="inlineStr">
        <is>
          <t>Spindelblomster</t>
        </is>
      </c>
      <c r="S106">
        <f>HYPERLINK("https://klasma.github.io/Logging_0188/artfynd/A 2796-2020 artfynd.xlsx", "A 2796-2020")</f>
        <v/>
      </c>
      <c r="T106">
        <f>HYPERLINK("https://klasma.github.io/Logging_0188/kartor/A 2796-2020 karta.png", "A 2796-2020")</f>
        <v/>
      </c>
      <c r="V106">
        <f>HYPERLINK("https://klasma.github.io/Logging_0188/klagomål/A 2796-2020 FSC-klagomål.docx", "A 2796-2020")</f>
        <v/>
      </c>
      <c r="W106">
        <f>HYPERLINK("https://klasma.github.io/Logging_0188/klagomålsmail/A 2796-2020 FSC-klagomål mail.docx", "A 2796-2020")</f>
        <v/>
      </c>
      <c r="X106">
        <f>HYPERLINK("https://klasma.github.io/Logging_0188/tillsyn/A 2796-2020 tillsynsbegäran.docx", "A 2796-2020")</f>
        <v/>
      </c>
      <c r="Y106">
        <f>HYPERLINK("https://klasma.github.io/Logging_0188/tillsynsmail/A 2796-2020 tillsynsbegäran mail.docx", "A 2796-2020")</f>
        <v/>
      </c>
    </row>
    <row r="107" ht="15" customHeight="1">
      <c r="A107" t="inlineStr">
        <is>
          <t>A 9051-2020</t>
        </is>
      </c>
      <c r="B107" s="1" t="n">
        <v>43879</v>
      </c>
      <c r="C107" s="1" t="n">
        <v>45513</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9051-2020 artfynd.xlsx", "A 9051-2020")</f>
        <v/>
      </c>
      <c r="T107">
        <f>HYPERLINK("https://klasma.github.io/Logging_0188/kartor/A 9051-2020 karta.png", "A 9051-2020")</f>
        <v/>
      </c>
      <c r="V107">
        <f>HYPERLINK("https://klasma.github.io/Logging_0188/klagomål/A 9051-2020 FSC-klagomål.docx", "A 9051-2020")</f>
        <v/>
      </c>
      <c r="W107">
        <f>HYPERLINK("https://klasma.github.io/Logging_0188/klagomålsmail/A 9051-2020 FSC-klagomål mail.docx", "A 9051-2020")</f>
        <v/>
      </c>
      <c r="X107">
        <f>HYPERLINK("https://klasma.github.io/Logging_0188/tillsyn/A 9051-2020 tillsynsbegäran.docx", "A 9051-2020")</f>
        <v/>
      </c>
      <c r="Y107">
        <f>HYPERLINK("https://klasma.github.io/Logging_0188/tillsynsmail/A 9051-2020 tillsynsbegäran mail.docx", "A 9051-2020")</f>
        <v/>
      </c>
    </row>
    <row r="108" ht="15" customHeight="1">
      <c r="A108" t="inlineStr">
        <is>
          <t>A 12843-2020</t>
        </is>
      </c>
      <c r="B108" s="1" t="n">
        <v>43899</v>
      </c>
      <c r="C108" s="1" t="n">
        <v>45513</v>
      </c>
      <c r="D108" t="inlineStr">
        <is>
          <t>STOCKHOLMS LÄN</t>
        </is>
      </c>
      <c r="E108" t="inlineStr">
        <is>
          <t>NORRTÄLJE</t>
        </is>
      </c>
      <c r="G108" t="n">
        <v>7.5</v>
      </c>
      <c r="H108" t="n">
        <v>1</v>
      </c>
      <c r="I108" t="n">
        <v>0</v>
      </c>
      <c r="J108" t="n">
        <v>1</v>
      </c>
      <c r="K108" t="n">
        <v>0</v>
      </c>
      <c r="L108" t="n">
        <v>0</v>
      </c>
      <c r="M108" t="n">
        <v>0</v>
      </c>
      <c r="N108" t="n">
        <v>0</v>
      </c>
      <c r="O108" t="n">
        <v>1</v>
      </c>
      <c r="P108" t="n">
        <v>0</v>
      </c>
      <c r="Q108" t="n">
        <v>1</v>
      </c>
      <c r="R108" s="2" t="inlineStr">
        <is>
          <t>Talltita</t>
        </is>
      </c>
      <c r="S108">
        <f>HYPERLINK("https://klasma.github.io/Logging_0188/artfynd/A 12843-2020 artfynd.xlsx", "A 12843-2020")</f>
        <v/>
      </c>
      <c r="T108">
        <f>HYPERLINK("https://klasma.github.io/Logging_0188/kartor/A 12843-2020 karta.png", "A 12843-2020")</f>
        <v/>
      </c>
      <c r="V108">
        <f>HYPERLINK("https://klasma.github.io/Logging_0188/klagomål/A 12843-2020 FSC-klagomål.docx", "A 12843-2020")</f>
        <v/>
      </c>
      <c r="W108">
        <f>HYPERLINK("https://klasma.github.io/Logging_0188/klagomålsmail/A 12843-2020 FSC-klagomål mail.docx", "A 12843-2020")</f>
        <v/>
      </c>
      <c r="X108">
        <f>HYPERLINK("https://klasma.github.io/Logging_0188/tillsyn/A 12843-2020 tillsynsbegäran.docx", "A 12843-2020")</f>
        <v/>
      </c>
      <c r="Y108">
        <f>HYPERLINK("https://klasma.github.io/Logging_0188/tillsynsmail/A 12843-2020 tillsynsbegäran mail.docx", "A 12843-2020")</f>
        <v/>
      </c>
      <c r="Z108">
        <f>HYPERLINK("https://klasma.github.io/Logging_0188/fåglar/A 12843-2020 prioriterade fågelarter.docx", "A 12843-2020")</f>
        <v/>
      </c>
    </row>
    <row r="109" ht="15" customHeight="1">
      <c r="A109" t="inlineStr">
        <is>
          <t>A 28380-2020</t>
        </is>
      </c>
      <c r="B109" s="1" t="n">
        <v>43998</v>
      </c>
      <c r="C109" s="1" t="n">
        <v>45513</v>
      </c>
      <c r="D109" t="inlineStr">
        <is>
          <t>STOCKHOLMS LÄN</t>
        </is>
      </c>
      <c r="E109" t="inlineStr">
        <is>
          <t>NORRTÄLJE</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28380-2020 artfynd.xlsx", "A 28380-2020")</f>
        <v/>
      </c>
      <c r="T109">
        <f>HYPERLINK("https://klasma.github.io/Logging_0188/kartor/A 28380-2020 karta.png", "A 28380-2020")</f>
        <v/>
      </c>
      <c r="V109">
        <f>HYPERLINK("https://klasma.github.io/Logging_0188/klagomål/A 28380-2020 FSC-klagomål.docx", "A 28380-2020")</f>
        <v/>
      </c>
      <c r="W109">
        <f>HYPERLINK("https://klasma.github.io/Logging_0188/klagomålsmail/A 28380-2020 FSC-klagomål mail.docx", "A 28380-2020")</f>
        <v/>
      </c>
      <c r="X109">
        <f>HYPERLINK("https://klasma.github.io/Logging_0188/tillsyn/A 28380-2020 tillsynsbegäran.docx", "A 28380-2020")</f>
        <v/>
      </c>
      <c r="Y109">
        <f>HYPERLINK("https://klasma.github.io/Logging_0188/tillsynsmail/A 28380-2020 tillsynsbegäran mail.docx", "A 28380-2020")</f>
        <v/>
      </c>
    </row>
    <row r="110" ht="15" customHeight="1">
      <c r="A110" t="inlineStr">
        <is>
          <t>A 48288-2020</t>
        </is>
      </c>
      <c r="B110" s="1" t="n">
        <v>44102</v>
      </c>
      <c r="C110" s="1" t="n">
        <v>45513</v>
      </c>
      <c r="D110" t="inlineStr">
        <is>
          <t>STOCKHOLMS LÄN</t>
        </is>
      </c>
      <c r="E110" t="inlineStr">
        <is>
          <t>NORRTÄLJE</t>
        </is>
      </c>
      <c r="F110" t="inlineStr">
        <is>
          <t>Holmen skog AB</t>
        </is>
      </c>
      <c r="G110" t="n">
        <v>2.9</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48288-2020 artfynd.xlsx", "A 48288-2020")</f>
        <v/>
      </c>
      <c r="T110">
        <f>HYPERLINK("https://klasma.github.io/Logging_0188/kartor/A 48288-2020 karta.png", "A 48288-2020")</f>
        <v/>
      </c>
      <c r="V110">
        <f>HYPERLINK("https://klasma.github.io/Logging_0188/klagomål/A 48288-2020 FSC-klagomål.docx", "A 48288-2020")</f>
        <v/>
      </c>
      <c r="W110">
        <f>HYPERLINK("https://klasma.github.io/Logging_0188/klagomålsmail/A 48288-2020 FSC-klagomål mail.docx", "A 48288-2020")</f>
        <v/>
      </c>
      <c r="X110">
        <f>HYPERLINK("https://klasma.github.io/Logging_0188/tillsyn/A 48288-2020 tillsynsbegäran.docx", "A 48288-2020")</f>
        <v/>
      </c>
      <c r="Y110">
        <f>HYPERLINK("https://klasma.github.io/Logging_0188/tillsynsmail/A 48288-2020 tillsynsbegäran mail.docx", "A 48288-2020")</f>
        <v/>
      </c>
    </row>
    <row r="111" ht="15" customHeight="1">
      <c r="A111" t="inlineStr">
        <is>
          <t>A 62846-2020</t>
        </is>
      </c>
      <c r="B111" s="1" t="n">
        <v>44161</v>
      </c>
      <c r="C111" s="1" t="n">
        <v>45513</v>
      </c>
      <c r="D111" t="inlineStr">
        <is>
          <t>STOCKHOLMS LÄN</t>
        </is>
      </c>
      <c r="E111" t="inlineStr">
        <is>
          <t>NORRTÄLJE</t>
        </is>
      </c>
      <c r="G111" t="n">
        <v>1.4</v>
      </c>
      <c r="H111" t="n">
        <v>1</v>
      </c>
      <c r="I111" t="n">
        <v>0</v>
      </c>
      <c r="J111" t="n">
        <v>0</v>
      </c>
      <c r="K111" t="n">
        <v>0</v>
      </c>
      <c r="L111" t="n">
        <v>0</v>
      </c>
      <c r="M111" t="n">
        <v>0</v>
      </c>
      <c r="N111" t="n">
        <v>0</v>
      </c>
      <c r="O111" t="n">
        <v>0</v>
      </c>
      <c r="P111" t="n">
        <v>0</v>
      </c>
      <c r="Q111" t="n">
        <v>1</v>
      </c>
      <c r="R111" s="2" t="inlineStr">
        <is>
          <t>Fläcknycklar</t>
        </is>
      </c>
      <c r="S111">
        <f>HYPERLINK("https://klasma.github.io/Logging_0188/artfynd/A 62846-2020 artfynd.xlsx", "A 62846-2020")</f>
        <v/>
      </c>
      <c r="T111">
        <f>HYPERLINK("https://klasma.github.io/Logging_0188/kartor/A 62846-2020 karta.png", "A 62846-2020")</f>
        <v/>
      </c>
      <c r="V111">
        <f>HYPERLINK("https://klasma.github.io/Logging_0188/klagomål/A 62846-2020 FSC-klagomål.docx", "A 62846-2020")</f>
        <v/>
      </c>
      <c r="W111">
        <f>HYPERLINK("https://klasma.github.io/Logging_0188/klagomålsmail/A 62846-2020 FSC-klagomål mail.docx", "A 62846-2020")</f>
        <v/>
      </c>
      <c r="X111">
        <f>HYPERLINK("https://klasma.github.io/Logging_0188/tillsyn/A 62846-2020 tillsynsbegäran.docx", "A 62846-2020")</f>
        <v/>
      </c>
      <c r="Y111">
        <f>HYPERLINK("https://klasma.github.io/Logging_0188/tillsynsmail/A 62846-2020 tillsynsbegäran mail.docx", "A 62846-2020")</f>
        <v/>
      </c>
    </row>
    <row r="112" ht="15" customHeight="1">
      <c r="A112" t="inlineStr">
        <is>
          <t>A 1162-2021</t>
        </is>
      </c>
      <c r="B112" s="1" t="n">
        <v>44207</v>
      </c>
      <c r="C112" s="1" t="n">
        <v>45513</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30138-2021</t>
        </is>
      </c>
      <c r="B113" s="1" t="n">
        <v>44363</v>
      </c>
      <c r="C113" s="1" t="n">
        <v>45513</v>
      </c>
      <c r="D113" t="inlineStr">
        <is>
          <t>STOCKHOLMS LÄN</t>
        </is>
      </c>
      <c r="E113" t="inlineStr">
        <is>
          <t>NORRTÄLJE</t>
        </is>
      </c>
      <c r="G113" t="n">
        <v>4.5</v>
      </c>
      <c r="H113" t="n">
        <v>0</v>
      </c>
      <c r="I113" t="n">
        <v>1</v>
      </c>
      <c r="J113" t="n">
        <v>0</v>
      </c>
      <c r="K113" t="n">
        <v>0</v>
      </c>
      <c r="L113" t="n">
        <v>0</v>
      </c>
      <c r="M113" t="n">
        <v>0</v>
      </c>
      <c r="N113" t="n">
        <v>0</v>
      </c>
      <c r="O113" t="n">
        <v>0</v>
      </c>
      <c r="P113" t="n">
        <v>0</v>
      </c>
      <c r="Q113" t="n">
        <v>1</v>
      </c>
      <c r="R113" s="2" t="inlineStr">
        <is>
          <t>Vårärt</t>
        </is>
      </c>
      <c r="S113">
        <f>HYPERLINK("https://klasma.github.io/Logging_0188/artfynd/A 30138-2021 artfynd.xlsx", "A 30138-2021")</f>
        <v/>
      </c>
      <c r="T113">
        <f>HYPERLINK("https://klasma.github.io/Logging_0188/kartor/A 30138-2021 karta.png", "A 30138-2021")</f>
        <v/>
      </c>
      <c r="V113">
        <f>HYPERLINK("https://klasma.github.io/Logging_0188/klagomål/A 30138-2021 FSC-klagomål.docx", "A 30138-2021")</f>
        <v/>
      </c>
      <c r="W113">
        <f>HYPERLINK("https://klasma.github.io/Logging_0188/klagomålsmail/A 30138-2021 FSC-klagomål mail.docx", "A 30138-2021")</f>
        <v/>
      </c>
      <c r="X113">
        <f>HYPERLINK("https://klasma.github.io/Logging_0188/tillsyn/A 30138-2021 tillsynsbegäran.docx", "A 30138-2021")</f>
        <v/>
      </c>
      <c r="Y113">
        <f>HYPERLINK("https://klasma.github.io/Logging_0188/tillsynsmail/A 30138-2021 tillsynsbegäran mail.docx", "A 30138-2021")</f>
        <v/>
      </c>
    </row>
    <row r="114" ht="15" customHeight="1">
      <c r="A114" t="inlineStr">
        <is>
          <t>A 33302-2021</t>
        </is>
      </c>
      <c r="B114" s="1" t="n">
        <v>44377</v>
      </c>
      <c r="C114" s="1" t="n">
        <v>45513</v>
      </c>
      <c r="D114" t="inlineStr">
        <is>
          <t>STOCKHOLMS LÄN</t>
        </is>
      </c>
      <c r="E114" t="inlineStr">
        <is>
          <t>NORRTÄLJE</t>
        </is>
      </c>
      <c r="G114" t="n">
        <v>12.5</v>
      </c>
      <c r="H114" t="n">
        <v>1</v>
      </c>
      <c r="I114" t="n">
        <v>0</v>
      </c>
      <c r="J114" t="n">
        <v>1</v>
      </c>
      <c r="K114" t="n">
        <v>0</v>
      </c>
      <c r="L114" t="n">
        <v>0</v>
      </c>
      <c r="M114" t="n">
        <v>0</v>
      </c>
      <c r="N114" t="n">
        <v>0</v>
      </c>
      <c r="O114" t="n">
        <v>1</v>
      </c>
      <c r="P114" t="n">
        <v>0</v>
      </c>
      <c r="Q114" t="n">
        <v>1</v>
      </c>
      <c r="R114" s="2" t="inlineStr">
        <is>
          <t>Spillkråka</t>
        </is>
      </c>
      <c r="S114">
        <f>HYPERLINK("https://klasma.github.io/Logging_0188/artfynd/A 33302-2021 artfynd.xlsx", "A 33302-2021")</f>
        <v/>
      </c>
      <c r="T114">
        <f>HYPERLINK("https://klasma.github.io/Logging_0188/kartor/A 33302-2021 karta.png", "A 33302-2021")</f>
        <v/>
      </c>
      <c r="V114">
        <f>HYPERLINK("https://klasma.github.io/Logging_0188/klagomål/A 33302-2021 FSC-klagomål.docx", "A 33302-2021")</f>
        <v/>
      </c>
      <c r="W114">
        <f>HYPERLINK("https://klasma.github.io/Logging_0188/klagomålsmail/A 33302-2021 FSC-klagomål mail.docx", "A 33302-2021")</f>
        <v/>
      </c>
      <c r="X114">
        <f>HYPERLINK("https://klasma.github.io/Logging_0188/tillsyn/A 33302-2021 tillsynsbegäran.docx", "A 33302-2021")</f>
        <v/>
      </c>
      <c r="Y114">
        <f>HYPERLINK("https://klasma.github.io/Logging_0188/tillsynsmail/A 33302-2021 tillsynsbegäran mail.docx", "A 33302-2021")</f>
        <v/>
      </c>
      <c r="Z114">
        <f>HYPERLINK("https://klasma.github.io/Logging_0188/fåglar/A 33302-2021 prioriterade fågelarter.docx", "A 33302-2021")</f>
        <v/>
      </c>
    </row>
    <row r="115" ht="15" customHeight="1">
      <c r="A115" t="inlineStr">
        <is>
          <t>A 58888-2021</t>
        </is>
      </c>
      <c r="B115" s="1" t="n">
        <v>44489</v>
      </c>
      <c r="C115" s="1" t="n">
        <v>45513</v>
      </c>
      <c r="D115" t="inlineStr">
        <is>
          <t>STOCKHOLMS LÄN</t>
        </is>
      </c>
      <c r="E115" t="inlineStr">
        <is>
          <t>NORRTÄLJE</t>
        </is>
      </c>
      <c r="F115" t="inlineStr">
        <is>
          <t>Holmen skog AB</t>
        </is>
      </c>
      <c r="G115" t="n">
        <v>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58888-2021 artfynd.xlsx", "A 58888-2021")</f>
        <v/>
      </c>
      <c r="T115">
        <f>HYPERLINK("https://klasma.github.io/Logging_0188/kartor/A 58888-2021 karta.png", "A 58888-2021")</f>
        <v/>
      </c>
      <c r="V115">
        <f>HYPERLINK("https://klasma.github.io/Logging_0188/klagomål/A 58888-2021 FSC-klagomål.docx", "A 58888-2021")</f>
        <v/>
      </c>
      <c r="W115">
        <f>HYPERLINK("https://klasma.github.io/Logging_0188/klagomålsmail/A 58888-2021 FSC-klagomål mail.docx", "A 58888-2021")</f>
        <v/>
      </c>
      <c r="X115">
        <f>HYPERLINK("https://klasma.github.io/Logging_0188/tillsyn/A 58888-2021 tillsynsbegäran.docx", "A 58888-2021")</f>
        <v/>
      </c>
      <c r="Y115">
        <f>HYPERLINK("https://klasma.github.io/Logging_0188/tillsynsmail/A 58888-2021 tillsynsbegäran mail.docx", "A 58888-2021")</f>
        <v/>
      </c>
    </row>
    <row r="116" ht="15" customHeight="1">
      <c r="A116" t="inlineStr">
        <is>
          <t>A 68692-2021</t>
        </is>
      </c>
      <c r="B116" s="1" t="n">
        <v>44529</v>
      </c>
      <c r="C116" s="1" t="n">
        <v>45513</v>
      </c>
      <c r="D116" t="inlineStr">
        <is>
          <t>STOCKHOLMS LÄN</t>
        </is>
      </c>
      <c r="E116" t="inlineStr">
        <is>
          <t>NORRTÄLJE</t>
        </is>
      </c>
      <c r="F116" t="inlineStr">
        <is>
          <t>Holmen skog AB</t>
        </is>
      </c>
      <c r="G116" t="n">
        <v>0.7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68692-2021 artfynd.xlsx", "A 68692-2021")</f>
        <v/>
      </c>
      <c r="T116">
        <f>HYPERLINK("https://klasma.github.io/Logging_0188/kartor/A 68692-2021 karta.png", "A 68692-2021")</f>
        <v/>
      </c>
      <c r="V116">
        <f>HYPERLINK("https://klasma.github.io/Logging_0188/klagomål/A 68692-2021 FSC-klagomål.docx", "A 68692-2021")</f>
        <v/>
      </c>
      <c r="W116">
        <f>HYPERLINK("https://klasma.github.io/Logging_0188/klagomålsmail/A 68692-2021 FSC-klagomål mail.docx", "A 68692-2021")</f>
        <v/>
      </c>
      <c r="X116">
        <f>HYPERLINK("https://klasma.github.io/Logging_0188/tillsyn/A 68692-2021 tillsynsbegäran.docx", "A 68692-2021")</f>
        <v/>
      </c>
      <c r="Y116">
        <f>HYPERLINK("https://klasma.github.io/Logging_0188/tillsynsmail/A 68692-2021 tillsynsbegäran mail.docx", "A 68692-2021")</f>
        <v/>
      </c>
    </row>
    <row r="117" ht="15" customHeight="1">
      <c r="A117" t="inlineStr">
        <is>
          <t>A 188-2022</t>
        </is>
      </c>
      <c r="B117" s="1" t="n">
        <v>44564</v>
      </c>
      <c r="C117" s="1" t="n">
        <v>45513</v>
      </c>
      <c r="D117" t="inlineStr">
        <is>
          <t>STOCKHOLMS LÄN</t>
        </is>
      </c>
      <c r="E117" t="inlineStr">
        <is>
          <t>NORRTÄLJE</t>
        </is>
      </c>
      <c r="G117" t="n">
        <v>4.1</v>
      </c>
      <c r="H117" t="n">
        <v>0</v>
      </c>
      <c r="I117" t="n">
        <v>1</v>
      </c>
      <c r="J117" t="n">
        <v>0</v>
      </c>
      <c r="K117" t="n">
        <v>0</v>
      </c>
      <c r="L117" t="n">
        <v>0</v>
      </c>
      <c r="M117" t="n">
        <v>0</v>
      </c>
      <c r="N117" t="n">
        <v>0</v>
      </c>
      <c r="O117" t="n">
        <v>0</v>
      </c>
      <c r="P117" t="n">
        <v>0</v>
      </c>
      <c r="Q117" t="n">
        <v>1</v>
      </c>
      <c r="R117" s="2" t="inlineStr">
        <is>
          <t>Svart trolldruva</t>
        </is>
      </c>
      <c r="S117">
        <f>HYPERLINK("https://klasma.github.io/Logging_0188/artfynd/A 188-2022 artfynd.xlsx", "A 188-2022")</f>
        <v/>
      </c>
      <c r="T117">
        <f>HYPERLINK("https://klasma.github.io/Logging_0188/kartor/A 188-2022 karta.png", "A 188-2022")</f>
        <v/>
      </c>
      <c r="V117">
        <f>HYPERLINK("https://klasma.github.io/Logging_0188/klagomål/A 188-2022 FSC-klagomål.docx", "A 188-2022")</f>
        <v/>
      </c>
      <c r="W117">
        <f>HYPERLINK("https://klasma.github.io/Logging_0188/klagomålsmail/A 188-2022 FSC-klagomål mail.docx", "A 188-2022")</f>
        <v/>
      </c>
      <c r="X117">
        <f>HYPERLINK("https://klasma.github.io/Logging_0188/tillsyn/A 188-2022 tillsynsbegäran.docx", "A 188-2022")</f>
        <v/>
      </c>
      <c r="Y117">
        <f>HYPERLINK("https://klasma.github.io/Logging_0188/tillsynsmail/A 188-2022 tillsynsbegäran mail.docx", "A 188-2022")</f>
        <v/>
      </c>
    </row>
    <row r="118" ht="15" customHeight="1">
      <c r="A118" t="inlineStr">
        <is>
          <t>A 1547-2022</t>
        </is>
      </c>
      <c r="B118" s="1" t="n">
        <v>44573</v>
      </c>
      <c r="C118" s="1" t="n">
        <v>45513</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7172-2022</t>
        </is>
      </c>
      <c r="B119" s="1" t="n">
        <v>44604</v>
      </c>
      <c r="C119" s="1" t="n">
        <v>45513</v>
      </c>
      <c r="D119" t="inlineStr">
        <is>
          <t>STOCKHOLMS LÄN</t>
        </is>
      </c>
      <c r="E119" t="inlineStr">
        <is>
          <t>NORRTÄLJE</t>
        </is>
      </c>
      <c r="G119" t="n">
        <v>4.8</v>
      </c>
      <c r="H119" t="n">
        <v>0</v>
      </c>
      <c r="I119" t="n">
        <v>1</v>
      </c>
      <c r="J119" t="n">
        <v>0</v>
      </c>
      <c r="K119" t="n">
        <v>0</v>
      </c>
      <c r="L119" t="n">
        <v>0</v>
      </c>
      <c r="M119" t="n">
        <v>0</v>
      </c>
      <c r="N119" t="n">
        <v>0</v>
      </c>
      <c r="O119" t="n">
        <v>0</v>
      </c>
      <c r="P119" t="n">
        <v>0</v>
      </c>
      <c r="Q119" t="n">
        <v>1</v>
      </c>
      <c r="R119" s="2" t="inlineStr">
        <is>
          <t>Trådticka</t>
        </is>
      </c>
      <c r="S119">
        <f>HYPERLINK("https://klasma.github.io/Logging_0188/artfynd/A 7172-2022 artfynd.xlsx", "A 7172-2022")</f>
        <v/>
      </c>
      <c r="T119">
        <f>HYPERLINK("https://klasma.github.io/Logging_0188/kartor/A 7172-2022 karta.png", "A 7172-2022")</f>
        <v/>
      </c>
      <c r="U119">
        <f>HYPERLINK("https://klasma.github.io/Logging_0188/knärot/A 7172-2022 karta knärot.png", "A 7172-2022")</f>
        <v/>
      </c>
      <c r="V119">
        <f>HYPERLINK("https://klasma.github.io/Logging_0188/klagomål/A 7172-2022 FSC-klagomål.docx", "A 7172-2022")</f>
        <v/>
      </c>
      <c r="W119">
        <f>HYPERLINK("https://klasma.github.io/Logging_0188/klagomålsmail/A 7172-2022 FSC-klagomål mail.docx", "A 7172-2022")</f>
        <v/>
      </c>
      <c r="X119">
        <f>HYPERLINK("https://klasma.github.io/Logging_0188/tillsyn/A 7172-2022 tillsynsbegäran.docx", "A 7172-2022")</f>
        <v/>
      </c>
      <c r="Y119">
        <f>HYPERLINK("https://klasma.github.io/Logging_0188/tillsynsmail/A 7172-2022 tillsynsbegäran mail.docx", "A 7172-2022")</f>
        <v/>
      </c>
    </row>
    <row r="120" ht="15" customHeight="1">
      <c r="A120" t="inlineStr">
        <is>
          <t>A 9955-2022</t>
        </is>
      </c>
      <c r="B120" s="1" t="n">
        <v>44620</v>
      </c>
      <c r="C120" s="1" t="n">
        <v>45513</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10712-2022</t>
        </is>
      </c>
      <c r="B121" s="1" t="n">
        <v>44626</v>
      </c>
      <c r="C121" s="1" t="n">
        <v>45513</v>
      </c>
      <c r="D121" t="inlineStr">
        <is>
          <t>STOCKHOLMS LÄN</t>
        </is>
      </c>
      <c r="E121" t="inlineStr">
        <is>
          <t>NORRTÄLJE</t>
        </is>
      </c>
      <c r="G121" t="n">
        <v>4.5</v>
      </c>
      <c r="H121" t="n">
        <v>1</v>
      </c>
      <c r="I121" t="n">
        <v>0</v>
      </c>
      <c r="J121" t="n">
        <v>0</v>
      </c>
      <c r="K121" t="n">
        <v>0</v>
      </c>
      <c r="L121" t="n">
        <v>0</v>
      </c>
      <c r="M121" t="n">
        <v>0</v>
      </c>
      <c r="N121" t="n">
        <v>0</v>
      </c>
      <c r="O121" t="n">
        <v>0</v>
      </c>
      <c r="P121" t="n">
        <v>0</v>
      </c>
      <c r="Q121" t="n">
        <v>1</v>
      </c>
      <c r="R121" s="2" t="inlineStr">
        <is>
          <t>Åkergroda</t>
        </is>
      </c>
      <c r="S121">
        <f>HYPERLINK("https://klasma.github.io/Logging_0188/artfynd/A 10712-2022 artfynd.xlsx", "A 10712-2022")</f>
        <v/>
      </c>
      <c r="T121">
        <f>HYPERLINK("https://klasma.github.io/Logging_0188/kartor/A 10712-2022 karta.png", "A 10712-2022")</f>
        <v/>
      </c>
      <c r="V121">
        <f>HYPERLINK("https://klasma.github.io/Logging_0188/klagomål/A 10712-2022 FSC-klagomål.docx", "A 10712-2022")</f>
        <v/>
      </c>
      <c r="W121">
        <f>HYPERLINK("https://klasma.github.io/Logging_0188/klagomålsmail/A 10712-2022 FSC-klagomål mail.docx", "A 10712-2022")</f>
        <v/>
      </c>
      <c r="X121">
        <f>HYPERLINK("https://klasma.github.io/Logging_0188/tillsyn/A 10712-2022 tillsynsbegäran.docx", "A 10712-2022")</f>
        <v/>
      </c>
      <c r="Y121">
        <f>HYPERLINK("https://klasma.github.io/Logging_0188/tillsynsmail/A 10712-2022 tillsynsbegäran mail.docx", "A 10712-2022")</f>
        <v/>
      </c>
    </row>
    <row r="122" ht="15" customHeight="1">
      <c r="A122" t="inlineStr">
        <is>
          <t>A 14720-2022</t>
        </is>
      </c>
      <c r="B122" s="1" t="n">
        <v>44656</v>
      </c>
      <c r="C122" s="1" t="n">
        <v>45513</v>
      </c>
      <c r="D122" t="inlineStr">
        <is>
          <t>STOCKHOLMS LÄN</t>
        </is>
      </c>
      <c r="E122" t="inlineStr">
        <is>
          <t>NORRTÄLJE</t>
        </is>
      </c>
      <c r="F122" t="inlineStr">
        <is>
          <t>Sveaskog</t>
        </is>
      </c>
      <c r="G122" t="n">
        <v>5.1</v>
      </c>
      <c r="H122" t="n">
        <v>0</v>
      </c>
      <c r="I122" t="n">
        <v>0</v>
      </c>
      <c r="J122" t="n">
        <v>1</v>
      </c>
      <c r="K122" t="n">
        <v>0</v>
      </c>
      <c r="L122" t="n">
        <v>0</v>
      </c>
      <c r="M122" t="n">
        <v>0</v>
      </c>
      <c r="N122" t="n">
        <v>0</v>
      </c>
      <c r="O122" t="n">
        <v>1</v>
      </c>
      <c r="P122" t="n">
        <v>0</v>
      </c>
      <c r="Q122" t="n">
        <v>1</v>
      </c>
      <c r="R122" s="2" t="inlineStr">
        <is>
          <t>Loppstarr</t>
        </is>
      </c>
      <c r="S122">
        <f>HYPERLINK("https://klasma.github.io/Logging_0188/artfynd/A 14720-2022 artfynd.xlsx", "A 14720-2022")</f>
        <v/>
      </c>
      <c r="T122">
        <f>HYPERLINK("https://klasma.github.io/Logging_0188/kartor/A 14720-2022 karta.png", "A 14720-2022")</f>
        <v/>
      </c>
      <c r="V122">
        <f>HYPERLINK("https://klasma.github.io/Logging_0188/klagomål/A 14720-2022 FSC-klagomål.docx", "A 14720-2022")</f>
        <v/>
      </c>
      <c r="W122">
        <f>HYPERLINK("https://klasma.github.io/Logging_0188/klagomålsmail/A 14720-2022 FSC-klagomål mail.docx", "A 14720-2022")</f>
        <v/>
      </c>
      <c r="X122">
        <f>HYPERLINK("https://klasma.github.io/Logging_0188/tillsyn/A 14720-2022 tillsynsbegäran.docx", "A 14720-2022")</f>
        <v/>
      </c>
      <c r="Y122">
        <f>HYPERLINK("https://klasma.github.io/Logging_0188/tillsynsmail/A 14720-2022 tillsynsbegäran mail.docx", "A 14720-2022")</f>
        <v/>
      </c>
    </row>
    <row r="123" ht="15" customHeight="1">
      <c r="A123" t="inlineStr">
        <is>
          <t>A 16539-2022</t>
        </is>
      </c>
      <c r="B123" s="1" t="n">
        <v>44672</v>
      </c>
      <c r="C123" s="1" t="n">
        <v>45513</v>
      </c>
      <c r="D123" t="inlineStr">
        <is>
          <t>STOCKHOLMS LÄN</t>
        </is>
      </c>
      <c r="E123" t="inlineStr">
        <is>
          <t>NORRTÄLJE</t>
        </is>
      </c>
      <c r="G123" t="n">
        <v>8.6</v>
      </c>
      <c r="H123" t="n">
        <v>1</v>
      </c>
      <c r="I123" t="n">
        <v>1</v>
      </c>
      <c r="J123" t="n">
        <v>0</v>
      </c>
      <c r="K123" t="n">
        <v>0</v>
      </c>
      <c r="L123" t="n">
        <v>0</v>
      </c>
      <c r="M123" t="n">
        <v>0</v>
      </c>
      <c r="N123" t="n">
        <v>0</v>
      </c>
      <c r="O123" t="n">
        <v>0</v>
      </c>
      <c r="P123" t="n">
        <v>0</v>
      </c>
      <c r="Q123" t="n">
        <v>1</v>
      </c>
      <c r="R123" s="2" t="inlineStr">
        <is>
          <t>Nästrot</t>
        </is>
      </c>
      <c r="S123">
        <f>HYPERLINK("https://klasma.github.io/Logging_0188/artfynd/A 16539-2022 artfynd.xlsx", "A 16539-2022")</f>
        <v/>
      </c>
      <c r="T123">
        <f>HYPERLINK("https://klasma.github.io/Logging_0188/kartor/A 16539-2022 karta.png", "A 16539-2022")</f>
        <v/>
      </c>
      <c r="V123">
        <f>HYPERLINK("https://klasma.github.io/Logging_0188/klagomål/A 16539-2022 FSC-klagomål.docx", "A 16539-2022")</f>
        <v/>
      </c>
      <c r="W123">
        <f>HYPERLINK("https://klasma.github.io/Logging_0188/klagomålsmail/A 16539-2022 FSC-klagomål mail.docx", "A 16539-2022")</f>
        <v/>
      </c>
      <c r="X123">
        <f>HYPERLINK("https://klasma.github.io/Logging_0188/tillsyn/A 16539-2022 tillsynsbegäran.docx", "A 16539-2022")</f>
        <v/>
      </c>
      <c r="Y123">
        <f>HYPERLINK("https://klasma.github.io/Logging_0188/tillsynsmail/A 16539-2022 tillsynsbegäran mail.docx", "A 16539-2022")</f>
        <v/>
      </c>
    </row>
    <row r="124" ht="15" customHeight="1">
      <c r="A124" t="inlineStr">
        <is>
          <t>A 19829-2022</t>
        </is>
      </c>
      <c r="B124" s="1" t="n">
        <v>44695</v>
      </c>
      <c r="C124" s="1" t="n">
        <v>45513</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21150-2022</t>
        </is>
      </c>
      <c r="B125" s="1" t="n">
        <v>44704</v>
      </c>
      <c r="C125" s="1" t="n">
        <v>45513</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30693-2022</t>
        </is>
      </c>
      <c r="B126" s="1" t="n">
        <v>44763</v>
      </c>
      <c r="C126" s="1" t="n">
        <v>45513</v>
      </c>
      <c r="D126" t="inlineStr">
        <is>
          <t>STOCKHOLMS LÄN</t>
        </is>
      </c>
      <c r="E126" t="inlineStr">
        <is>
          <t>NORRTÄLJE</t>
        </is>
      </c>
      <c r="F126" t="inlineStr">
        <is>
          <t>Sveaskog</t>
        </is>
      </c>
      <c r="G126" t="n">
        <v>3.4</v>
      </c>
      <c r="H126" t="n">
        <v>1</v>
      </c>
      <c r="I126" t="n">
        <v>0</v>
      </c>
      <c r="J126" t="n">
        <v>1</v>
      </c>
      <c r="K126" t="n">
        <v>0</v>
      </c>
      <c r="L126" t="n">
        <v>0</v>
      </c>
      <c r="M126" t="n">
        <v>0</v>
      </c>
      <c r="N126" t="n">
        <v>0</v>
      </c>
      <c r="O126" t="n">
        <v>1</v>
      </c>
      <c r="P126" t="n">
        <v>0</v>
      </c>
      <c r="Q126" t="n">
        <v>1</v>
      </c>
      <c r="R126" s="2" t="inlineStr">
        <is>
          <t>Gulsparv</t>
        </is>
      </c>
      <c r="S126">
        <f>HYPERLINK("https://klasma.github.io/Logging_0188/artfynd/A 30693-2022 artfynd.xlsx", "A 30693-2022")</f>
        <v/>
      </c>
      <c r="T126">
        <f>HYPERLINK("https://klasma.github.io/Logging_0188/kartor/A 30693-2022 karta.png", "A 30693-2022")</f>
        <v/>
      </c>
      <c r="V126">
        <f>HYPERLINK("https://klasma.github.io/Logging_0188/klagomål/A 30693-2022 FSC-klagomål.docx", "A 30693-2022")</f>
        <v/>
      </c>
      <c r="W126">
        <f>HYPERLINK("https://klasma.github.io/Logging_0188/klagomålsmail/A 30693-2022 FSC-klagomål mail.docx", "A 30693-2022")</f>
        <v/>
      </c>
      <c r="X126">
        <f>HYPERLINK("https://klasma.github.io/Logging_0188/tillsyn/A 30693-2022 tillsynsbegäran.docx", "A 30693-2022")</f>
        <v/>
      </c>
      <c r="Y126">
        <f>HYPERLINK("https://klasma.github.io/Logging_0188/tillsynsmail/A 30693-2022 tillsynsbegäran mail.docx", "A 30693-2022")</f>
        <v/>
      </c>
      <c r="Z126">
        <f>HYPERLINK("https://klasma.github.io/Logging_0188/fåglar/A 30693-2022 prioriterade fågelarter.docx", "A 30693-2022")</f>
        <v/>
      </c>
    </row>
    <row r="127" ht="15" customHeight="1">
      <c r="A127" t="inlineStr">
        <is>
          <t>A 31194-2022</t>
        </is>
      </c>
      <c r="B127" s="1" t="n">
        <v>44770</v>
      </c>
      <c r="C127" s="1" t="n">
        <v>45513</v>
      </c>
      <c r="D127" t="inlineStr">
        <is>
          <t>STOCKHOLMS LÄN</t>
        </is>
      </c>
      <c r="E127" t="inlineStr">
        <is>
          <t>NORRTÄLJE</t>
        </is>
      </c>
      <c r="G127" t="n">
        <v>2.7</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31194-2022 artfynd.xlsx", "A 31194-2022")</f>
        <v/>
      </c>
      <c r="T127">
        <f>HYPERLINK("https://klasma.github.io/Logging_0188/kartor/A 31194-2022 karta.png", "A 31194-2022")</f>
        <v/>
      </c>
      <c r="V127">
        <f>HYPERLINK("https://klasma.github.io/Logging_0188/klagomål/A 31194-2022 FSC-klagomål.docx", "A 31194-2022")</f>
        <v/>
      </c>
      <c r="W127">
        <f>HYPERLINK("https://klasma.github.io/Logging_0188/klagomålsmail/A 31194-2022 FSC-klagomål mail.docx", "A 31194-2022")</f>
        <v/>
      </c>
      <c r="X127">
        <f>HYPERLINK("https://klasma.github.io/Logging_0188/tillsyn/A 31194-2022 tillsynsbegäran.docx", "A 31194-2022")</f>
        <v/>
      </c>
      <c r="Y127">
        <f>HYPERLINK("https://klasma.github.io/Logging_0188/tillsynsmail/A 31194-2022 tillsynsbegäran mail.docx", "A 31194-2022")</f>
        <v/>
      </c>
    </row>
    <row r="128" ht="15" customHeight="1">
      <c r="A128" t="inlineStr">
        <is>
          <t>A 33477-2022</t>
        </is>
      </c>
      <c r="B128" s="1" t="n">
        <v>44788</v>
      </c>
      <c r="C128" s="1" t="n">
        <v>45513</v>
      </c>
      <c r="D128" t="inlineStr">
        <is>
          <t>STOCKHOLMS LÄN</t>
        </is>
      </c>
      <c r="E128" t="inlineStr">
        <is>
          <t>NORRTÄLJE</t>
        </is>
      </c>
      <c r="G128" t="n">
        <v>5.7</v>
      </c>
      <c r="H128" t="n">
        <v>1</v>
      </c>
      <c r="I128" t="n">
        <v>1</v>
      </c>
      <c r="J128" t="n">
        <v>0</v>
      </c>
      <c r="K128" t="n">
        <v>0</v>
      </c>
      <c r="L128" t="n">
        <v>0</v>
      </c>
      <c r="M128" t="n">
        <v>0</v>
      </c>
      <c r="N128" t="n">
        <v>0</v>
      </c>
      <c r="O128" t="n">
        <v>0</v>
      </c>
      <c r="P128" t="n">
        <v>0</v>
      </c>
      <c r="Q128" t="n">
        <v>1</v>
      </c>
      <c r="R128" s="2" t="inlineStr">
        <is>
          <t>Nästrot</t>
        </is>
      </c>
      <c r="S128">
        <f>HYPERLINK("https://klasma.github.io/Logging_0188/artfynd/A 33477-2022 artfynd.xlsx", "A 33477-2022")</f>
        <v/>
      </c>
      <c r="T128">
        <f>HYPERLINK("https://klasma.github.io/Logging_0188/kartor/A 33477-2022 karta.png", "A 33477-2022")</f>
        <v/>
      </c>
      <c r="V128">
        <f>HYPERLINK("https://klasma.github.io/Logging_0188/klagomål/A 33477-2022 FSC-klagomål.docx", "A 33477-2022")</f>
        <v/>
      </c>
      <c r="W128">
        <f>HYPERLINK("https://klasma.github.io/Logging_0188/klagomålsmail/A 33477-2022 FSC-klagomål mail.docx", "A 33477-2022")</f>
        <v/>
      </c>
      <c r="X128">
        <f>HYPERLINK("https://klasma.github.io/Logging_0188/tillsyn/A 33477-2022 tillsynsbegäran.docx", "A 33477-2022")</f>
        <v/>
      </c>
      <c r="Y128">
        <f>HYPERLINK("https://klasma.github.io/Logging_0188/tillsynsmail/A 33477-2022 tillsynsbegäran mail.docx", "A 33477-2022")</f>
        <v/>
      </c>
    </row>
    <row r="129" ht="15" customHeight="1">
      <c r="A129" t="inlineStr">
        <is>
          <t>A 37522-2022</t>
        </is>
      </c>
      <c r="B129" s="1" t="n">
        <v>44809</v>
      </c>
      <c r="C129" s="1" t="n">
        <v>45513</v>
      </c>
      <c r="D129" t="inlineStr">
        <is>
          <t>STOCKHOLMS LÄN</t>
        </is>
      </c>
      <c r="E129" t="inlineStr">
        <is>
          <t>NORRTÄLJE</t>
        </is>
      </c>
      <c r="G129" t="n">
        <v>2.4</v>
      </c>
      <c r="H129" t="n">
        <v>1</v>
      </c>
      <c r="I129" t="n">
        <v>0</v>
      </c>
      <c r="J129" t="n">
        <v>0</v>
      </c>
      <c r="K129" t="n">
        <v>0</v>
      </c>
      <c r="L129" t="n">
        <v>0</v>
      </c>
      <c r="M129" t="n">
        <v>0</v>
      </c>
      <c r="N129" t="n">
        <v>0</v>
      </c>
      <c r="O129" t="n">
        <v>0</v>
      </c>
      <c r="P129" t="n">
        <v>0</v>
      </c>
      <c r="Q129" t="n">
        <v>1</v>
      </c>
      <c r="R129" s="2" t="inlineStr">
        <is>
          <t>Blåsippa</t>
        </is>
      </c>
      <c r="S129">
        <f>HYPERLINK("https://klasma.github.io/Logging_0188/artfynd/A 37522-2022 artfynd.xlsx", "A 37522-2022")</f>
        <v/>
      </c>
      <c r="T129">
        <f>HYPERLINK("https://klasma.github.io/Logging_0188/kartor/A 37522-2022 karta.png", "A 37522-2022")</f>
        <v/>
      </c>
      <c r="V129">
        <f>HYPERLINK("https://klasma.github.io/Logging_0188/klagomål/A 37522-2022 FSC-klagomål.docx", "A 37522-2022")</f>
        <v/>
      </c>
      <c r="W129">
        <f>HYPERLINK("https://klasma.github.io/Logging_0188/klagomålsmail/A 37522-2022 FSC-klagomål mail.docx", "A 37522-2022")</f>
        <v/>
      </c>
      <c r="X129">
        <f>HYPERLINK("https://klasma.github.io/Logging_0188/tillsyn/A 37522-2022 tillsynsbegäran.docx", "A 37522-2022")</f>
        <v/>
      </c>
      <c r="Y129">
        <f>HYPERLINK("https://klasma.github.io/Logging_0188/tillsynsmail/A 37522-2022 tillsynsbegäran mail.docx", "A 37522-2022")</f>
        <v/>
      </c>
    </row>
    <row r="130" ht="15" customHeight="1">
      <c r="A130" t="inlineStr">
        <is>
          <t>A 40672-2022</t>
        </is>
      </c>
      <c r="B130" s="1" t="n">
        <v>44824</v>
      </c>
      <c r="C130" s="1" t="n">
        <v>45513</v>
      </c>
      <c r="D130" t="inlineStr">
        <is>
          <t>STOCKHOLMS LÄN</t>
        </is>
      </c>
      <c r="E130" t="inlineStr">
        <is>
          <t>NORRTÄLJE</t>
        </is>
      </c>
      <c r="F130" t="inlineStr">
        <is>
          <t>Övriga Aktiebolag</t>
        </is>
      </c>
      <c r="G130" t="n">
        <v>1.3</v>
      </c>
      <c r="H130" t="n">
        <v>0</v>
      </c>
      <c r="I130" t="n">
        <v>0</v>
      </c>
      <c r="J130" t="n">
        <v>1</v>
      </c>
      <c r="K130" t="n">
        <v>0</v>
      </c>
      <c r="L130" t="n">
        <v>0</v>
      </c>
      <c r="M130" t="n">
        <v>0</v>
      </c>
      <c r="N130" t="n">
        <v>0</v>
      </c>
      <c r="O130" t="n">
        <v>1</v>
      </c>
      <c r="P130" t="n">
        <v>0</v>
      </c>
      <c r="Q130" t="n">
        <v>1</v>
      </c>
      <c r="R130" s="2" t="inlineStr">
        <is>
          <t>Månlåsbräken</t>
        </is>
      </c>
      <c r="S130">
        <f>HYPERLINK("https://klasma.github.io/Logging_0188/artfynd/A 40672-2022 artfynd.xlsx", "A 40672-2022")</f>
        <v/>
      </c>
      <c r="T130">
        <f>HYPERLINK("https://klasma.github.io/Logging_0188/kartor/A 40672-2022 karta.png", "A 40672-2022")</f>
        <v/>
      </c>
      <c r="V130">
        <f>HYPERLINK("https://klasma.github.io/Logging_0188/klagomål/A 40672-2022 FSC-klagomål.docx", "A 40672-2022")</f>
        <v/>
      </c>
      <c r="W130">
        <f>HYPERLINK("https://klasma.github.io/Logging_0188/klagomålsmail/A 40672-2022 FSC-klagomål mail.docx", "A 40672-2022")</f>
        <v/>
      </c>
      <c r="X130">
        <f>HYPERLINK("https://klasma.github.io/Logging_0188/tillsyn/A 40672-2022 tillsynsbegäran.docx", "A 40672-2022")</f>
        <v/>
      </c>
      <c r="Y130">
        <f>HYPERLINK("https://klasma.github.io/Logging_0188/tillsynsmail/A 40672-2022 tillsynsbegäran mail.docx", "A 40672-2022")</f>
        <v/>
      </c>
    </row>
    <row r="131" ht="15" customHeight="1">
      <c r="A131" t="inlineStr">
        <is>
          <t>A 44709-2022</t>
        </is>
      </c>
      <c r="B131" s="1" t="n">
        <v>44839</v>
      </c>
      <c r="C131" s="1" t="n">
        <v>45513</v>
      </c>
      <c r="D131" t="inlineStr">
        <is>
          <t>STOCKHOLMS LÄN</t>
        </is>
      </c>
      <c r="E131" t="inlineStr">
        <is>
          <t>NORRTÄLJE</t>
        </is>
      </c>
      <c r="G131" t="n">
        <v>16.3</v>
      </c>
      <c r="H131" t="n">
        <v>0</v>
      </c>
      <c r="I131" t="n">
        <v>0</v>
      </c>
      <c r="J131" t="n">
        <v>1</v>
      </c>
      <c r="K131" t="n">
        <v>0</v>
      </c>
      <c r="L131" t="n">
        <v>0</v>
      </c>
      <c r="M131" t="n">
        <v>0</v>
      </c>
      <c r="N131" t="n">
        <v>0</v>
      </c>
      <c r="O131" t="n">
        <v>1</v>
      </c>
      <c r="P131" t="n">
        <v>0</v>
      </c>
      <c r="Q131" t="n">
        <v>1</v>
      </c>
      <c r="R131" s="2" t="inlineStr">
        <is>
          <t>Asppraktbagge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row>
    <row r="132" ht="15" customHeight="1">
      <c r="A132" t="inlineStr">
        <is>
          <t>A 47898-2022</t>
        </is>
      </c>
      <c r="B132" s="1" t="n">
        <v>44855</v>
      </c>
      <c r="C132" s="1" t="n">
        <v>45513</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50854-2022</t>
        </is>
      </c>
      <c r="B133" s="1" t="n">
        <v>44863</v>
      </c>
      <c r="C133" s="1" t="n">
        <v>45513</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52130-2022</t>
        </is>
      </c>
      <c r="B134" s="1" t="n">
        <v>44868</v>
      </c>
      <c r="C134" s="1" t="n">
        <v>45513</v>
      </c>
      <c r="D134" t="inlineStr">
        <is>
          <t>STOCKHOLMS LÄN</t>
        </is>
      </c>
      <c r="E134" t="inlineStr">
        <is>
          <t>NORRTÄLJE</t>
        </is>
      </c>
      <c r="G134" t="n">
        <v>3.7</v>
      </c>
      <c r="H134" t="n">
        <v>0</v>
      </c>
      <c r="I134" t="n">
        <v>0</v>
      </c>
      <c r="J134" t="n">
        <v>1</v>
      </c>
      <c r="K134" t="n">
        <v>0</v>
      </c>
      <c r="L134" t="n">
        <v>0</v>
      </c>
      <c r="M134" t="n">
        <v>0</v>
      </c>
      <c r="N134" t="n">
        <v>0</v>
      </c>
      <c r="O134" t="n">
        <v>1</v>
      </c>
      <c r="P134" t="n">
        <v>0</v>
      </c>
      <c r="Q134" t="n">
        <v>1</v>
      </c>
      <c r="R134" s="2" t="inlineStr">
        <is>
          <t>Flattoppad klubbsvamp</t>
        </is>
      </c>
      <c r="S134">
        <f>HYPERLINK("https://klasma.github.io/Logging_0188/artfynd/A 52130-2022 artfynd.xlsx", "A 52130-2022")</f>
        <v/>
      </c>
      <c r="T134">
        <f>HYPERLINK("https://klasma.github.io/Logging_0188/kartor/A 52130-2022 karta.png", "A 52130-2022")</f>
        <v/>
      </c>
      <c r="V134">
        <f>HYPERLINK("https://klasma.github.io/Logging_0188/klagomål/A 52130-2022 FSC-klagomål.docx", "A 52130-2022")</f>
        <v/>
      </c>
      <c r="W134">
        <f>HYPERLINK("https://klasma.github.io/Logging_0188/klagomålsmail/A 52130-2022 FSC-klagomål mail.docx", "A 52130-2022")</f>
        <v/>
      </c>
      <c r="X134">
        <f>HYPERLINK("https://klasma.github.io/Logging_0188/tillsyn/A 52130-2022 tillsynsbegäran.docx", "A 52130-2022")</f>
        <v/>
      </c>
      <c r="Y134">
        <f>HYPERLINK("https://klasma.github.io/Logging_0188/tillsynsmail/A 52130-2022 tillsynsbegäran mail.docx", "A 52130-2022")</f>
        <v/>
      </c>
    </row>
    <row r="135" ht="15" customHeight="1">
      <c r="A135" t="inlineStr">
        <is>
          <t>A 61011-2022</t>
        </is>
      </c>
      <c r="B135" s="1" t="n">
        <v>44914</v>
      </c>
      <c r="C135" s="1" t="n">
        <v>45513</v>
      </c>
      <c r="D135" t="inlineStr">
        <is>
          <t>STOCKHOLMS LÄN</t>
        </is>
      </c>
      <c r="E135" t="inlineStr">
        <is>
          <t>NORRTÄLJE</t>
        </is>
      </c>
      <c r="G135" t="n">
        <v>2.2</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61011-2022 artfynd.xlsx", "A 61011-2022")</f>
        <v/>
      </c>
      <c r="T135">
        <f>HYPERLINK("https://klasma.github.io/Logging_0188/kartor/A 61011-2022 karta.png", "A 61011-2022")</f>
        <v/>
      </c>
      <c r="V135">
        <f>HYPERLINK("https://klasma.github.io/Logging_0188/klagomål/A 61011-2022 FSC-klagomål.docx", "A 61011-2022")</f>
        <v/>
      </c>
      <c r="W135">
        <f>HYPERLINK("https://klasma.github.io/Logging_0188/klagomålsmail/A 61011-2022 FSC-klagomål mail.docx", "A 61011-2022")</f>
        <v/>
      </c>
      <c r="X135">
        <f>HYPERLINK("https://klasma.github.io/Logging_0188/tillsyn/A 61011-2022 tillsynsbegäran.docx", "A 61011-2022")</f>
        <v/>
      </c>
      <c r="Y135">
        <f>HYPERLINK("https://klasma.github.io/Logging_0188/tillsynsmail/A 61011-2022 tillsynsbegäran mail.docx", "A 61011-2022")</f>
        <v/>
      </c>
    </row>
    <row r="136" ht="15" customHeight="1">
      <c r="A136" t="inlineStr">
        <is>
          <t>A 4385-2023</t>
        </is>
      </c>
      <c r="B136" s="1" t="n">
        <v>44955</v>
      </c>
      <c r="C136" s="1" t="n">
        <v>45513</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4595-2023</t>
        </is>
      </c>
      <c r="B137" s="1" t="n">
        <v>44956</v>
      </c>
      <c r="C137" s="1" t="n">
        <v>45513</v>
      </c>
      <c r="D137" t="inlineStr">
        <is>
          <t>STOCKHOLMS LÄN</t>
        </is>
      </c>
      <c r="E137" t="inlineStr">
        <is>
          <t>NORRTÄLJE</t>
        </is>
      </c>
      <c r="G137" t="n">
        <v>0.6</v>
      </c>
      <c r="H137" t="n">
        <v>1</v>
      </c>
      <c r="I137" t="n">
        <v>0</v>
      </c>
      <c r="J137" t="n">
        <v>0</v>
      </c>
      <c r="K137" t="n">
        <v>0</v>
      </c>
      <c r="L137" t="n">
        <v>0</v>
      </c>
      <c r="M137" t="n">
        <v>0</v>
      </c>
      <c r="N137" t="n">
        <v>0</v>
      </c>
      <c r="O137" t="n">
        <v>0</v>
      </c>
      <c r="P137" t="n">
        <v>0</v>
      </c>
      <c r="Q137" t="n">
        <v>1</v>
      </c>
      <c r="R137" s="2" t="inlineStr">
        <is>
          <t>Blåsippa</t>
        </is>
      </c>
      <c r="S137">
        <f>HYPERLINK("https://klasma.github.io/Logging_0188/artfynd/A 4595-2023 artfynd.xlsx", "A 4595-2023")</f>
        <v/>
      </c>
      <c r="T137">
        <f>HYPERLINK("https://klasma.github.io/Logging_0188/kartor/A 4595-2023 karta.png", "A 4595-2023")</f>
        <v/>
      </c>
      <c r="V137">
        <f>HYPERLINK("https://klasma.github.io/Logging_0188/klagomål/A 4595-2023 FSC-klagomål.docx", "A 4595-2023")</f>
        <v/>
      </c>
      <c r="W137">
        <f>HYPERLINK("https://klasma.github.io/Logging_0188/klagomålsmail/A 4595-2023 FSC-klagomål mail.docx", "A 4595-2023")</f>
        <v/>
      </c>
      <c r="X137">
        <f>HYPERLINK("https://klasma.github.io/Logging_0188/tillsyn/A 4595-2023 tillsynsbegäran.docx", "A 4595-2023")</f>
        <v/>
      </c>
      <c r="Y137">
        <f>HYPERLINK("https://klasma.github.io/Logging_0188/tillsynsmail/A 4595-2023 tillsynsbegäran mail.docx", "A 4595-2023")</f>
        <v/>
      </c>
    </row>
    <row r="138" ht="15" customHeight="1">
      <c r="A138" t="inlineStr">
        <is>
          <t>A 6381-2023</t>
        </is>
      </c>
      <c r="B138" s="1" t="n">
        <v>44965</v>
      </c>
      <c r="C138" s="1" t="n">
        <v>45513</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9214-2023</t>
        </is>
      </c>
      <c r="B139" s="1" t="n">
        <v>44980</v>
      </c>
      <c r="C139" s="1" t="n">
        <v>45513</v>
      </c>
      <c r="D139" t="inlineStr">
        <is>
          <t>STOCKHOLMS LÄN</t>
        </is>
      </c>
      <c r="E139" t="inlineStr">
        <is>
          <t>NORRTÄLJE</t>
        </is>
      </c>
      <c r="G139" t="n">
        <v>10.6</v>
      </c>
      <c r="H139" t="n">
        <v>1</v>
      </c>
      <c r="I139" t="n">
        <v>1</v>
      </c>
      <c r="J139" t="n">
        <v>0</v>
      </c>
      <c r="K139" t="n">
        <v>0</v>
      </c>
      <c r="L139" t="n">
        <v>0</v>
      </c>
      <c r="M139" t="n">
        <v>0</v>
      </c>
      <c r="N139" t="n">
        <v>0</v>
      </c>
      <c r="O139" t="n">
        <v>0</v>
      </c>
      <c r="P139" t="n">
        <v>0</v>
      </c>
      <c r="Q139" t="n">
        <v>1</v>
      </c>
      <c r="R139" s="2" t="inlineStr">
        <is>
          <t>Guckusko</t>
        </is>
      </c>
      <c r="S139">
        <f>HYPERLINK("https://klasma.github.io/Logging_0188/artfynd/A 9214-2023 artfynd.xlsx", "A 9214-2023")</f>
        <v/>
      </c>
      <c r="T139">
        <f>HYPERLINK("https://klasma.github.io/Logging_0188/kartor/A 9214-2023 karta.png", "A 9214-2023")</f>
        <v/>
      </c>
      <c r="V139">
        <f>HYPERLINK("https://klasma.github.io/Logging_0188/klagomål/A 9214-2023 FSC-klagomål.docx", "A 9214-2023")</f>
        <v/>
      </c>
      <c r="W139">
        <f>HYPERLINK("https://klasma.github.io/Logging_0188/klagomålsmail/A 9214-2023 FSC-klagomål mail.docx", "A 9214-2023")</f>
        <v/>
      </c>
      <c r="X139">
        <f>HYPERLINK("https://klasma.github.io/Logging_0188/tillsyn/A 9214-2023 tillsynsbegäran.docx", "A 9214-2023")</f>
        <v/>
      </c>
      <c r="Y139">
        <f>HYPERLINK("https://klasma.github.io/Logging_0188/tillsynsmail/A 9214-2023 tillsynsbegäran mail.docx", "A 9214-2023")</f>
        <v/>
      </c>
    </row>
    <row r="140" ht="15" customHeight="1">
      <c r="A140" t="inlineStr">
        <is>
          <t>A 9271-2023</t>
        </is>
      </c>
      <c r="B140" s="1" t="n">
        <v>44980</v>
      </c>
      <c r="C140" s="1" t="n">
        <v>45513</v>
      </c>
      <c r="D140" t="inlineStr">
        <is>
          <t>STOCKHOLMS LÄN</t>
        </is>
      </c>
      <c r="E140" t="inlineStr">
        <is>
          <t>NORRTÄLJE</t>
        </is>
      </c>
      <c r="G140" t="n">
        <v>5.3</v>
      </c>
      <c r="H140" t="n">
        <v>1</v>
      </c>
      <c r="I140" t="n">
        <v>0</v>
      </c>
      <c r="J140" t="n">
        <v>0</v>
      </c>
      <c r="K140" t="n">
        <v>1</v>
      </c>
      <c r="L140" t="n">
        <v>0</v>
      </c>
      <c r="M140" t="n">
        <v>0</v>
      </c>
      <c r="N140" t="n">
        <v>0</v>
      </c>
      <c r="O140" t="n">
        <v>1</v>
      </c>
      <c r="P140" t="n">
        <v>1</v>
      </c>
      <c r="Q140" t="n">
        <v>1</v>
      </c>
      <c r="R140" s="2" t="inlineStr">
        <is>
          <t>Hällebräcka</t>
        </is>
      </c>
      <c r="S140">
        <f>HYPERLINK("https://klasma.github.io/Logging_0188/artfynd/A 9271-2023 artfynd.xlsx", "A 9271-2023")</f>
        <v/>
      </c>
      <c r="T140">
        <f>HYPERLINK("https://klasma.github.io/Logging_0188/kartor/A 9271-2023 karta.png", "A 9271-2023")</f>
        <v/>
      </c>
      <c r="V140">
        <f>HYPERLINK("https://klasma.github.io/Logging_0188/klagomål/A 9271-2023 FSC-klagomål.docx", "A 9271-2023")</f>
        <v/>
      </c>
      <c r="W140">
        <f>HYPERLINK("https://klasma.github.io/Logging_0188/klagomålsmail/A 9271-2023 FSC-klagomål mail.docx", "A 9271-2023")</f>
        <v/>
      </c>
      <c r="X140">
        <f>HYPERLINK("https://klasma.github.io/Logging_0188/tillsyn/A 9271-2023 tillsynsbegäran.docx", "A 9271-2023")</f>
        <v/>
      </c>
      <c r="Y140">
        <f>HYPERLINK("https://klasma.github.io/Logging_0188/tillsynsmail/A 9271-2023 tillsynsbegäran mail.docx", "A 9271-2023")</f>
        <v/>
      </c>
    </row>
    <row r="141" ht="15" customHeight="1">
      <c r="A141" t="inlineStr">
        <is>
          <t>A 9522-2023</t>
        </is>
      </c>
      <c r="B141" s="1" t="n">
        <v>44981</v>
      </c>
      <c r="C141" s="1" t="n">
        <v>45513</v>
      </c>
      <c r="D141" t="inlineStr">
        <is>
          <t>STOCKHOLMS LÄN</t>
        </is>
      </c>
      <c r="E141" t="inlineStr">
        <is>
          <t>NORRTÄLJE</t>
        </is>
      </c>
      <c r="F141" t="inlineStr">
        <is>
          <t>Holmen skog AB</t>
        </is>
      </c>
      <c r="G141" t="n">
        <v>7.5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9522-2023 artfynd.xlsx", "A 9522-2023")</f>
        <v/>
      </c>
      <c r="T141">
        <f>HYPERLINK("https://klasma.github.io/Logging_0188/kartor/A 9522-2023 karta.png", "A 9522-2023")</f>
        <v/>
      </c>
      <c r="V141">
        <f>HYPERLINK("https://klasma.github.io/Logging_0188/klagomål/A 9522-2023 FSC-klagomål.docx", "A 9522-2023")</f>
        <v/>
      </c>
      <c r="W141">
        <f>HYPERLINK("https://klasma.github.io/Logging_0188/klagomålsmail/A 9522-2023 FSC-klagomål mail.docx", "A 9522-2023")</f>
        <v/>
      </c>
      <c r="X141">
        <f>HYPERLINK("https://klasma.github.io/Logging_0188/tillsyn/A 9522-2023 tillsynsbegäran.docx", "A 9522-2023")</f>
        <v/>
      </c>
      <c r="Y141">
        <f>HYPERLINK("https://klasma.github.io/Logging_0188/tillsynsmail/A 9522-2023 tillsynsbegäran mail.docx", "A 9522-2023")</f>
        <v/>
      </c>
    </row>
    <row r="142" ht="15" customHeight="1">
      <c r="A142" t="inlineStr">
        <is>
          <t>A 10019-2023</t>
        </is>
      </c>
      <c r="B142" s="1" t="n">
        <v>44985</v>
      </c>
      <c r="C142" s="1" t="n">
        <v>45513</v>
      </c>
      <c r="D142" t="inlineStr">
        <is>
          <t>STOCKHOLMS LÄN</t>
        </is>
      </c>
      <c r="E142" t="inlineStr">
        <is>
          <t>NORRTÄLJE</t>
        </is>
      </c>
      <c r="G142" t="n">
        <v>8.4</v>
      </c>
      <c r="H142" t="n">
        <v>0</v>
      </c>
      <c r="I142" t="n">
        <v>1</v>
      </c>
      <c r="J142" t="n">
        <v>0</v>
      </c>
      <c r="K142" t="n">
        <v>0</v>
      </c>
      <c r="L142" t="n">
        <v>0</v>
      </c>
      <c r="M142" t="n">
        <v>0</v>
      </c>
      <c r="N142" t="n">
        <v>0</v>
      </c>
      <c r="O142" t="n">
        <v>0</v>
      </c>
      <c r="P142" t="n">
        <v>0</v>
      </c>
      <c r="Q142" t="n">
        <v>1</v>
      </c>
      <c r="R142" s="2" t="inlineStr">
        <is>
          <t>Underviol</t>
        </is>
      </c>
      <c r="S142">
        <f>HYPERLINK("https://klasma.github.io/Logging_0188/artfynd/A 10019-2023 artfynd.xlsx", "A 10019-2023")</f>
        <v/>
      </c>
      <c r="T142">
        <f>HYPERLINK("https://klasma.github.io/Logging_0188/kartor/A 10019-2023 karta.png", "A 10019-2023")</f>
        <v/>
      </c>
      <c r="V142">
        <f>HYPERLINK("https://klasma.github.io/Logging_0188/klagomål/A 10019-2023 FSC-klagomål.docx", "A 10019-2023")</f>
        <v/>
      </c>
      <c r="W142">
        <f>HYPERLINK("https://klasma.github.io/Logging_0188/klagomålsmail/A 10019-2023 FSC-klagomål mail.docx", "A 10019-2023")</f>
        <v/>
      </c>
      <c r="X142">
        <f>HYPERLINK("https://klasma.github.io/Logging_0188/tillsyn/A 10019-2023 tillsynsbegäran.docx", "A 10019-2023")</f>
        <v/>
      </c>
      <c r="Y142">
        <f>HYPERLINK("https://klasma.github.io/Logging_0188/tillsynsmail/A 10019-2023 tillsynsbegäran mail.docx", "A 10019-2023")</f>
        <v/>
      </c>
    </row>
    <row r="143" ht="15" customHeight="1">
      <c r="A143" t="inlineStr">
        <is>
          <t>A 11429-2023</t>
        </is>
      </c>
      <c r="B143" s="1" t="n">
        <v>44993</v>
      </c>
      <c r="C143" s="1" t="n">
        <v>45513</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12442-2023</t>
        </is>
      </c>
      <c r="B144" s="1" t="n">
        <v>44999</v>
      </c>
      <c r="C144" s="1" t="n">
        <v>45513</v>
      </c>
      <c r="D144" t="inlineStr">
        <is>
          <t>STOCKHOLMS LÄN</t>
        </is>
      </c>
      <c r="E144" t="inlineStr">
        <is>
          <t>NORRTÄLJE</t>
        </is>
      </c>
      <c r="G144" t="n">
        <v>1.9</v>
      </c>
      <c r="H144" t="n">
        <v>1</v>
      </c>
      <c r="I144" t="n">
        <v>0</v>
      </c>
      <c r="J144" t="n">
        <v>0</v>
      </c>
      <c r="K144" t="n">
        <v>0</v>
      </c>
      <c r="L144" t="n">
        <v>0</v>
      </c>
      <c r="M144" t="n">
        <v>0</v>
      </c>
      <c r="N144" t="n">
        <v>0</v>
      </c>
      <c r="O144" t="n">
        <v>0</v>
      </c>
      <c r="P144" t="n">
        <v>0</v>
      </c>
      <c r="Q144" t="n">
        <v>1</v>
      </c>
      <c r="R144" s="2" t="inlineStr">
        <is>
          <t>Gullviva</t>
        </is>
      </c>
      <c r="S144">
        <f>HYPERLINK("https://klasma.github.io/Logging_0188/artfynd/A 12442-2023 artfynd.xlsx", "A 12442-2023")</f>
        <v/>
      </c>
      <c r="T144">
        <f>HYPERLINK("https://klasma.github.io/Logging_0188/kartor/A 12442-2023 karta.png", "A 12442-2023")</f>
        <v/>
      </c>
      <c r="V144">
        <f>HYPERLINK("https://klasma.github.io/Logging_0188/klagomål/A 12442-2023 FSC-klagomål.docx", "A 12442-2023")</f>
        <v/>
      </c>
      <c r="W144">
        <f>HYPERLINK("https://klasma.github.io/Logging_0188/klagomålsmail/A 12442-2023 FSC-klagomål mail.docx", "A 12442-2023")</f>
        <v/>
      </c>
      <c r="X144">
        <f>HYPERLINK("https://klasma.github.io/Logging_0188/tillsyn/A 12442-2023 tillsynsbegäran.docx", "A 12442-2023")</f>
        <v/>
      </c>
      <c r="Y144">
        <f>HYPERLINK("https://klasma.github.io/Logging_0188/tillsynsmail/A 12442-2023 tillsynsbegäran mail.docx", "A 12442-2023")</f>
        <v/>
      </c>
    </row>
    <row r="145" ht="15" customHeight="1">
      <c r="A145" t="inlineStr">
        <is>
          <t>A 15644-2023</t>
        </is>
      </c>
      <c r="B145" s="1" t="n">
        <v>45021</v>
      </c>
      <c r="C145" s="1" t="n">
        <v>45513</v>
      </c>
      <c r="D145" t="inlineStr">
        <is>
          <t>STOCKHOLMS LÄN</t>
        </is>
      </c>
      <c r="E145" t="inlineStr">
        <is>
          <t>NORRTÄLJE</t>
        </is>
      </c>
      <c r="F145" t="inlineStr">
        <is>
          <t>Holmen skog AB</t>
        </is>
      </c>
      <c r="G145" t="n">
        <v>13</v>
      </c>
      <c r="H145" t="n">
        <v>1</v>
      </c>
      <c r="I145" t="n">
        <v>0</v>
      </c>
      <c r="J145" t="n">
        <v>0</v>
      </c>
      <c r="K145" t="n">
        <v>0</v>
      </c>
      <c r="L145" t="n">
        <v>1</v>
      </c>
      <c r="M145" t="n">
        <v>0</v>
      </c>
      <c r="N145" t="n">
        <v>0</v>
      </c>
      <c r="O145" t="n">
        <v>1</v>
      </c>
      <c r="P145" t="n">
        <v>1</v>
      </c>
      <c r="Q145" t="n">
        <v>1</v>
      </c>
      <c r="R145" s="2" t="inlineStr">
        <is>
          <t>Asknätfjäril</t>
        </is>
      </c>
      <c r="S145">
        <f>HYPERLINK("https://klasma.github.io/Logging_0188/artfynd/A 15644-2023 artfynd.xlsx", "A 15644-2023")</f>
        <v/>
      </c>
      <c r="T145">
        <f>HYPERLINK("https://klasma.github.io/Logging_0188/kartor/A 15644-2023 karta.png", "A 15644-2023")</f>
        <v/>
      </c>
      <c r="V145">
        <f>HYPERLINK("https://klasma.github.io/Logging_0188/klagomål/A 15644-2023 FSC-klagomål.docx", "A 15644-2023")</f>
        <v/>
      </c>
      <c r="W145">
        <f>HYPERLINK("https://klasma.github.io/Logging_0188/klagomålsmail/A 15644-2023 FSC-klagomål mail.docx", "A 15644-2023")</f>
        <v/>
      </c>
      <c r="X145">
        <f>HYPERLINK("https://klasma.github.io/Logging_0188/tillsyn/A 15644-2023 tillsynsbegäran.docx", "A 15644-2023")</f>
        <v/>
      </c>
      <c r="Y145">
        <f>HYPERLINK("https://klasma.github.io/Logging_0188/tillsynsmail/A 15644-2023 tillsynsbegäran mail.docx", "A 15644-2023")</f>
        <v/>
      </c>
    </row>
    <row r="146" ht="15" customHeight="1">
      <c r="A146" t="inlineStr">
        <is>
          <t>A 18216-2023</t>
        </is>
      </c>
      <c r="B146" s="1" t="n">
        <v>45041</v>
      </c>
      <c r="C146" s="1" t="n">
        <v>45513</v>
      </c>
      <c r="D146" t="inlineStr">
        <is>
          <t>STOCKHOLMS LÄN</t>
        </is>
      </c>
      <c r="E146" t="inlineStr">
        <is>
          <t>NORRTÄLJE</t>
        </is>
      </c>
      <c r="F146" t="inlineStr">
        <is>
          <t>Holmen skog AB</t>
        </is>
      </c>
      <c r="G146" t="n">
        <v>1.9</v>
      </c>
      <c r="H146" t="n">
        <v>0</v>
      </c>
      <c r="I146" t="n">
        <v>1</v>
      </c>
      <c r="J146" t="n">
        <v>0</v>
      </c>
      <c r="K146" t="n">
        <v>0</v>
      </c>
      <c r="L146" t="n">
        <v>0</v>
      </c>
      <c r="M146" t="n">
        <v>0</v>
      </c>
      <c r="N146" t="n">
        <v>0</v>
      </c>
      <c r="O146" t="n">
        <v>0</v>
      </c>
      <c r="P146" t="n">
        <v>0</v>
      </c>
      <c r="Q146" t="n">
        <v>1</v>
      </c>
      <c r="R146" s="2" t="inlineStr">
        <is>
          <t>Vårärt</t>
        </is>
      </c>
      <c r="S146">
        <f>HYPERLINK("https://klasma.github.io/Logging_0188/artfynd/A 18216-2023 artfynd.xlsx", "A 18216-2023")</f>
        <v/>
      </c>
      <c r="T146">
        <f>HYPERLINK("https://klasma.github.io/Logging_0188/kartor/A 18216-2023 karta.png", "A 18216-2023")</f>
        <v/>
      </c>
      <c r="V146">
        <f>HYPERLINK("https://klasma.github.io/Logging_0188/klagomål/A 18216-2023 FSC-klagomål.docx", "A 18216-2023")</f>
        <v/>
      </c>
      <c r="W146">
        <f>HYPERLINK("https://klasma.github.io/Logging_0188/klagomålsmail/A 18216-2023 FSC-klagomål mail.docx", "A 18216-2023")</f>
        <v/>
      </c>
      <c r="X146">
        <f>HYPERLINK("https://klasma.github.io/Logging_0188/tillsyn/A 18216-2023 tillsynsbegäran.docx", "A 18216-2023")</f>
        <v/>
      </c>
      <c r="Y146">
        <f>HYPERLINK("https://klasma.github.io/Logging_0188/tillsynsmail/A 18216-2023 tillsynsbegäran mail.docx", "A 18216-2023")</f>
        <v/>
      </c>
    </row>
    <row r="147" ht="15" customHeight="1">
      <c r="A147" t="inlineStr">
        <is>
          <t>A 21431-2023</t>
        </is>
      </c>
      <c r="B147" s="1" t="n">
        <v>45063</v>
      </c>
      <c r="C147" s="1" t="n">
        <v>45513</v>
      </c>
      <c r="D147" t="inlineStr">
        <is>
          <t>STOCKHOLMS LÄN</t>
        </is>
      </c>
      <c r="E147" t="inlineStr">
        <is>
          <t>NORRTÄLJE</t>
        </is>
      </c>
      <c r="F147" t="inlineStr">
        <is>
          <t>Holmen skog AB</t>
        </is>
      </c>
      <c r="G147" t="n">
        <v>4</v>
      </c>
      <c r="H147" t="n">
        <v>1</v>
      </c>
      <c r="I147" t="n">
        <v>1</v>
      </c>
      <c r="J147" t="n">
        <v>0</v>
      </c>
      <c r="K147" t="n">
        <v>0</v>
      </c>
      <c r="L147" t="n">
        <v>0</v>
      </c>
      <c r="M147" t="n">
        <v>0</v>
      </c>
      <c r="N147" t="n">
        <v>0</v>
      </c>
      <c r="O147" t="n">
        <v>0</v>
      </c>
      <c r="P147" t="n">
        <v>0</v>
      </c>
      <c r="Q147" t="n">
        <v>1</v>
      </c>
      <c r="R147" s="2" t="inlineStr">
        <is>
          <t>Nästrot</t>
        </is>
      </c>
      <c r="S147">
        <f>HYPERLINK("https://klasma.github.io/Logging_0188/artfynd/A 21431-2023 artfynd.xlsx", "A 21431-2023")</f>
        <v/>
      </c>
      <c r="T147">
        <f>HYPERLINK("https://klasma.github.io/Logging_0188/kartor/A 21431-2023 karta.png", "A 21431-2023")</f>
        <v/>
      </c>
      <c r="V147">
        <f>HYPERLINK("https://klasma.github.io/Logging_0188/klagomål/A 21431-2023 FSC-klagomål.docx", "A 21431-2023")</f>
        <v/>
      </c>
      <c r="W147">
        <f>HYPERLINK("https://klasma.github.io/Logging_0188/klagomålsmail/A 21431-2023 FSC-klagomål mail.docx", "A 21431-2023")</f>
        <v/>
      </c>
      <c r="X147">
        <f>HYPERLINK("https://klasma.github.io/Logging_0188/tillsyn/A 21431-2023 tillsynsbegäran.docx", "A 21431-2023")</f>
        <v/>
      </c>
      <c r="Y147">
        <f>HYPERLINK("https://klasma.github.io/Logging_0188/tillsynsmail/A 21431-2023 tillsynsbegäran mail.docx", "A 21431-2023")</f>
        <v/>
      </c>
    </row>
    <row r="148" ht="15" customHeight="1">
      <c r="A148" t="inlineStr">
        <is>
          <t>A 21744-2023</t>
        </is>
      </c>
      <c r="B148" s="1" t="n">
        <v>45065</v>
      </c>
      <c r="C148" s="1" t="n">
        <v>45513</v>
      </c>
      <c r="D148" t="inlineStr">
        <is>
          <t>STOCKHOLMS LÄN</t>
        </is>
      </c>
      <c r="E148" t="inlineStr">
        <is>
          <t>NORRTÄLJE</t>
        </is>
      </c>
      <c r="F148" t="inlineStr">
        <is>
          <t>Holmen skog AB</t>
        </is>
      </c>
      <c r="G148" t="n">
        <v>4.2</v>
      </c>
      <c r="H148" t="n">
        <v>0</v>
      </c>
      <c r="I148" t="n">
        <v>1</v>
      </c>
      <c r="J148" t="n">
        <v>0</v>
      </c>
      <c r="K148" t="n">
        <v>0</v>
      </c>
      <c r="L148" t="n">
        <v>0</v>
      </c>
      <c r="M148" t="n">
        <v>0</v>
      </c>
      <c r="N148" t="n">
        <v>0</v>
      </c>
      <c r="O148" t="n">
        <v>0</v>
      </c>
      <c r="P148" t="n">
        <v>0</v>
      </c>
      <c r="Q148" t="n">
        <v>1</v>
      </c>
      <c r="R148" s="2" t="inlineStr">
        <is>
          <t>Korallblylav</t>
        </is>
      </c>
      <c r="S148">
        <f>HYPERLINK("https://klasma.github.io/Logging_0188/artfynd/A 21744-2023 artfynd.xlsx", "A 21744-2023")</f>
        <v/>
      </c>
      <c r="T148">
        <f>HYPERLINK("https://klasma.github.io/Logging_0188/kartor/A 21744-2023 karta.png", "A 21744-2023")</f>
        <v/>
      </c>
      <c r="V148">
        <f>HYPERLINK("https://klasma.github.io/Logging_0188/klagomål/A 21744-2023 FSC-klagomål.docx", "A 21744-2023")</f>
        <v/>
      </c>
      <c r="W148">
        <f>HYPERLINK("https://klasma.github.io/Logging_0188/klagomålsmail/A 21744-2023 FSC-klagomål mail.docx", "A 21744-2023")</f>
        <v/>
      </c>
      <c r="X148">
        <f>HYPERLINK("https://klasma.github.io/Logging_0188/tillsyn/A 21744-2023 tillsynsbegäran.docx", "A 21744-2023")</f>
        <v/>
      </c>
      <c r="Y148">
        <f>HYPERLINK("https://klasma.github.io/Logging_0188/tillsynsmail/A 21744-2023 tillsynsbegäran mail.docx", "A 21744-2023")</f>
        <v/>
      </c>
    </row>
    <row r="149" ht="15" customHeight="1">
      <c r="A149" t="inlineStr">
        <is>
          <t>A 24535-2023</t>
        </is>
      </c>
      <c r="B149" s="1" t="n">
        <v>45082</v>
      </c>
      <c r="C149" s="1" t="n">
        <v>45513</v>
      </c>
      <c r="D149" t="inlineStr">
        <is>
          <t>STOCKHOLMS LÄN</t>
        </is>
      </c>
      <c r="E149" t="inlineStr">
        <is>
          <t>NORRTÄLJE</t>
        </is>
      </c>
      <c r="F149" t="inlineStr">
        <is>
          <t>Kommuner</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HYPERLINK("https://klasma.github.io/Logging_0188/artfynd/A 24535-2023 artfynd.xlsx", "A 24535-2023")</f>
        <v/>
      </c>
      <c r="T149">
        <f>HYPERLINK("https://klasma.github.io/Logging_0188/kartor/A 24535-2023 karta.png", "A 24535-2023")</f>
        <v/>
      </c>
      <c r="V149">
        <f>HYPERLINK("https://klasma.github.io/Logging_0188/klagomål/A 24535-2023 FSC-klagomål.docx", "A 24535-2023")</f>
        <v/>
      </c>
      <c r="W149">
        <f>HYPERLINK("https://klasma.github.io/Logging_0188/klagomålsmail/A 24535-2023 FSC-klagomål mail.docx", "A 24535-2023")</f>
        <v/>
      </c>
      <c r="X149">
        <f>HYPERLINK("https://klasma.github.io/Logging_0188/tillsyn/A 24535-2023 tillsynsbegäran.docx", "A 24535-2023")</f>
        <v/>
      </c>
      <c r="Y149">
        <f>HYPERLINK("https://klasma.github.io/Logging_0188/tillsynsmail/A 24535-2023 tillsynsbegäran mail.docx", "A 24535-2023")</f>
        <v/>
      </c>
    </row>
    <row r="150" ht="15" customHeight="1">
      <c r="A150" t="inlineStr">
        <is>
          <t>A 26635-2023</t>
        </is>
      </c>
      <c r="B150" s="1" t="n">
        <v>45092</v>
      </c>
      <c r="C150" s="1" t="n">
        <v>45513</v>
      </c>
      <c r="D150" t="inlineStr">
        <is>
          <t>STOCKHOLMS LÄN</t>
        </is>
      </c>
      <c r="E150" t="inlineStr">
        <is>
          <t>NORRTÄLJE</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HYPERLINK("https://klasma.github.io/Logging_0188/artfynd/A 26635-2023 artfynd.xlsx", "A 26635-2023")</f>
        <v/>
      </c>
      <c r="T150">
        <f>HYPERLINK("https://klasma.github.io/Logging_0188/kartor/A 26635-2023 karta.png", "A 26635-2023")</f>
        <v/>
      </c>
      <c r="V150">
        <f>HYPERLINK("https://klasma.github.io/Logging_0188/klagomål/A 26635-2023 FSC-klagomål.docx", "A 26635-2023")</f>
        <v/>
      </c>
      <c r="W150">
        <f>HYPERLINK("https://klasma.github.io/Logging_0188/klagomålsmail/A 26635-2023 FSC-klagomål mail.docx", "A 26635-2023")</f>
        <v/>
      </c>
      <c r="X150">
        <f>HYPERLINK("https://klasma.github.io/Logging_0188/tillsyn/A 26635-2023 tillsynsbegäran.docx", "A 26635-2023")</f>
        <v/>
      </c>
      <c r="Y150">
        <f>HYPERLINK("https://klasma.github.io/Logging_0188/tillsynsmail/A 26635-2023 tillsynsbegäran mail.docx", "A 26635-2023")</f>
        <v/>
      </c>
    </row>
    <row r="151" ht="15" customHeight="1">
      <c r="A151" t="inlineStr">
        <is>
          <t>A 35649-2023</t>
        </is>
      </c>
      <c r="B151" s="1" t="n">
        <v>45146</v>
      </c>
      <c r="C151" s="1" t="n">
        <v>45513</v>
      </c>
      <c r="D151" t="inlineStr">
        <is>
          <t>STOCKHOLMS LÄN</t>
        </is>
      </c>
      <c r="E151" t="inlineStr">
        <is>
          <t>NORRTÄLJE</t>
        </is>
      </c>
      <c r="G151" t="n">
        <v>25.1</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35649-2023 artfynd.xlsx", "A 35649-2023")</f>
        <v/>
      </c>
      <c r="T151">
        <f>HYPERLINK("https://klasma.github.io/Logging_0188/kartor/A 35649-2023 karta.png", "A 35649-2023")</f>
        <v/>
      </c>
      <c r="V151">
        <f>HYPERLINK("https://klasma.github.io/Logging_0188/klagomål/A 35649-2023 FSC-klagomål.docx", "A 35649-2023")</f>
        <v/>
      </c>
      <c r="W151">
        <f>HYPERLINK("https://klasma.github.io/Logging_0188/klagomålsmail/A 35649-2023 FSC-klagomål mail.docx", "A 35649-2023")</f>
        <v/>
      </c>
      <c r="X151">
        <f>HYPERLINK("https://klasma.github.io/Logging_0188/tillsyn/A 35649-2023 tillsynsbegäran.docx", "A 35649-2023")</f>
        <v/>
      </c>
      <c r="Y151">
        <f>HYPERLINK("https://klasma.github.io/Logging_0188/tillsynsmail/A 35649-2023 tillsynsbegäran mail.docx", "A 35649-2023")</f>
        <v/>
      </c>
    </row>
    <row r="152" ht="15" customHeight="1">
      <c r="A152" t="inlineStr">
        <is>
          <t>A 39255-2023</t>
        </is>
      </c>
      <c r="B152" s="1" t="n">
        <v>45166</v>
      </c>
      <c r="C152" s="1" t="n">
        <v>45513</v>
      </c>
      <c r="D152" t="inlineStr">
        <is>
          <t>STOCKHOLMS LÄN</t>
        </is>
      </c>
      <c r="E152" t="inlineStr">
        <is>
          <t>NORRTÄLJE</t>
        </is>
      </c>
      <c r="G152" t="n">
        <v>14.2</v>
      </c>
      <c r="H152" t="n">
        <v>1</v>
      </c>
      <c r="I152" t="n">
        <v>0</v>
      </c>
      <c r="J152" t="n">
        <v>0</v>
      </c>
      <c r="K152" t="n">
        <v>0</v>
      </c>
      <c r="L152" t="n">
        <v>0</v>
      </c>
      <c r="M152" t="n">
        <v>0</v>
      </c>
      <c r="N152" t="n">
        <v>0</v>
      </c>
      <c r="O152" t="n">
        <v>0</v>
      </c>
      <c r="P152" t="n">
        <v>0</v>
      </c>
      <c r="Q152" t="n">
        <v>1</v>
      </c>
      <c r="R152" s="2" t="inlineStr">
        <is>
          <t>Lopplummer</t>
        </is>
      </c>
      <c r="S152">
        <f>HYPERLINK("https://klasma.github.io/Logging_0188/artfynd/A 39255-2023 artfynd.xlsx", "A 39255-2023")</f>
        <v/>
      </c>
      <c r="T152">
        <f>HYPERLINK("https://klasma.github.io/Logging_0188/kartor/A 39255-2023 karta.png", "A 39255-2023")</f>
        <v/>
      </c>
      <c r="V152">
        <f>HYPERLINK("https://klasma.github.io/Logging_0188/klagomål/A 39255-2023 FSC-klagomål.docx", "A 39255-2023")</f>
        <v/>
      </c>
      <c r="W152">
        <f>HYPERLINK("https://klasma.github.io/Logging_0188/klagomålsmail/A 39255-2023 FSC-klagomål mail.docx", "A 39255-2023")</f>
        <v/>
      </c>
      <c r="X152">
        <f>HYPERLINK("https://klasma.github.io/Logging_0188/tillsyn/A 39255-2023 tillsynsbegäran.docx", "A 39255-2023")</f>
        <v/>
      </c>
      <c r="Y152">
        <f>HYPERLINK("https://klasma.github.io/Logging_0188/tillsynsmail/A 39255-2023 tillsynsbegäran mail.docx", "A 39255-2023")</f>
        <v/>
      </c>
    </row>
    <row r="153" ht="15" customHeight="1">
      <c r="A153" t="inlineStr">
        <is>
          <t>A 43178-2023</t>
        </is>
      </c>
      <c r="B153" s="1" t="n">
        <v>45183</v>
      </c>
      <c r="C153" s="1" t="n">
        <v>45513</v>
      </c>
      <c r="D153" t="inlineStr">
        <is>
          <t>STOCKHOLMS LÄN</t>
        </is>
      </c>
      <c r="E153" t="inlineStr">
        <is>
          <t>NORRTÄLJE</t>
        </is>
      </c>
      <c r="F153" t="inlineStr">
        <is>
          <t>Kyrkan</t>
        </is>
      </c>
      <c r="G153" t="n">
        <v>1.5</v>
      </c>
      <c r="H153" t="n">
        <v>0</v>
      </c>
      <c r="I153" t="n">
        <v>0</v>
      </c>
      <c r="J153" t="n">
        <v>1</v>
      </c>
      <c r="K153" t="n">
        <v>0</v>
      </c>
      <c r="L153" t="n">
        <v>0</v>
      </c>
      <c r="M153" t="n">
        <v>0</v>
      </c>
      <c r="N153" t="n">
        <v>0</v>
      </c>
      <c r="O153" t="n">
        <v>1</v>
      </c>
      <c r="P153" t="n">
        <v>0</v>
      </c>
      <c r="Q153" t="n">
        <v>1</v>
      </c>
      <c r="R153" s="2" t="inlineStr">
        <is>
          <t>Mindre bastardsvärmare</t>
        </is>
      </c>
      <c r="S153">
        <f>HYPERLINK("https://klasma.github.io/Logging_0188/artfynd/A 43178-2023 artfynd.xlsx", "A 43178-2023")</f>
        <v/>
      </c>
      <c r="T153">
        <f>HYPERLINK("https://klasma.github.io/Logging_0188/kartor/A 43178-2023 karta.png", "A 43178-2023")</f>
        <v/>
      </c>
      <c r="V153">
        <f>HYPERLINK("https://klasma.github.io/Logging_0188/klagomål/A 43178-2023 FSC-klagomål.docx", "A 43178-2023")</f>
        <v/>
      </c>
      <c r="W153">
        <f>HYPERLINK("https://klasma.github.io/Logging_0188/klagomålsmail/A 43178-2023 FSC-klagomål mail.docx", "A 43178-2023")</f>
        <v/>
      </c>
      <c r="X153">
        <f>HYPERLINK("https://klasma.github.io/Logging_0188/tillsyn/A 43178-2023 tillsynsbegäran.docx", "A 43178-2023")</f>
        <v/>
      </c>
      <c r="Y153">
        <f>HYPERLINK("https://klasma.github.io/Logging_0188/tillsynsmail/A 43178-2023 tillsynsbegäran mail.docx", "A 43178-2023")</f>
        <v/>
      </c>
    </row>
    <row r="154" ht="15" customHeight="1">
      <c r="A154" t="inlineStr">
        <is>
          <t>A 43171-2023</t>
        </is>
      </c>
      <c r="B154" s="1" t="n">
        <v>45183</v>
      </c>
      <c r="C154" s="1" t="n">
        <v>45513</v>
      </c>
      <c r="D154" t="inlineStr">
        <is>
          <t>STOCKHOLMS LÄN</t>
        </is>
      </c>
      <c r="E154" t="inlineStr">
        <is>
          <t>NORRTÄLJE</t>
        </is>
      </c>
      <c r="F154" t="inlineStr">
        <is>
          <t>Kyrkan</t>
        </is>
      </c>
      <c r="G154" t="n">
        <v>1.3</v>
      </c>
      <c r="H154" t="n">
        <v>0</v>
      </c>
      <c r="I154" t="n">
        <v>0</v>
      </c>
      <c r="J154" t="n">
        <v>0</v>
      </c>
      <c r="K154" t="n">
        <v>0</v>
      </c>
      <c r="L154" t="n">
        <v>1</v>
      </c>
      <c r="M154" t="n">
        <v>0</v>
      </c>
      <c r="N154" t="n">
        <v>0</v>
      </c>
      <c r="O154" t="n">
        <v>1</v>
      </c>
      <c r="P154" t="n">
        <v>1</v>
      </c>
      <c r="Q154" t="n">
        <v>1</v>
      </c>
      <c r="R154" s="2" t="inlineStr">
        <is>
          <t>Ryl</t>
        </is>
      </c>
      <c r="S154">
        <f>HYPERLINK("https://klasma.github.io/Logging_0188/artfynd/A 43171-2023 artfynd.xlsx", "A 43171-2023")</f>
        <v/>
      </c>
      <c r="T154">
        <f>HYPERLINK("https://klasma.github.io/Logging_0188/kartor/A 43171-2023 karta.png", "A 43171-2023")</f>
        <v/>
      </c>
      <c r="U154">
        <f>HYPERLINK("https://klasma.github.io/Logging_0188/knärot/A 43171-2023 karta knärot.png", "A 43171-2023")</f>
        <v/>
      </c>
      <c r="V154">
        <f>HYPERLINK("https://klasma.github.io/Logging_0188/klagomål/A 43171-2023 FSC-klagomål.docx", "A 43171-2023")</f>
        <v/>
      </c>
      <c r="W154">
        <f>HYPERLINK("https://klasma.github.io/Logging_0188/klagomålsmail/A 43171-2023 FSC-klagomål mail.docx", "A 43171-2023")</f>
        <v/>
      </c>
      <c r="X154">
        <f>HYPERLINK("https://klasma.github.io/Logging_0188/tillsyn/A 43171-2023 tillsynsbegäran.docx", "A 43171-2023")</f>
        <v/>
      </c>
      <c r="Y154">
        <f>HYPERLINK("https://klasma.github.io/Logging_0188/tillsynsmail/A 43171-2023 tillsynsbegäran mail.docx", "A 43171-2023")</f>
        <v/>
      </c>
    </row>
    <row r="155" ht="15" customHeight="1">
      <c r="A155" t="inlineStr">
        <is>
          <t>A 43350-2023</t>
        </is>
      </c>
      <c r="B155" s="1" t="n">
        <v>45183</v>
      </c>
      <c r="C155" s="1" t="n">
        <v>45513</v>
      </c>
      <c r="D155" t="inlineStr">
        <is>
          <t>STOCKHOLMS LÄN</t>
        </is>
      </c>
      <c r="E155" t="inlineStr">
        <is>
          <t>NORRTÄLJE</t>
        </is>
      </c>
      <c r="F155" t="inlineStr">
        <is>
          <t>Holmen skog AB</t>
        </is>
      </c>
      <c r="G155" t="n">
        <v>4.2</v>
      </c>
      <c r="H155" t="n">
        <v>1</v>
      </c>
      <c r="I155" t="n">
        <v>0</v>
      </c>
      <c r="J155" t="n">
        <v>0</v>
      </c>
      <c r="K155" t="n">
        <v>0</v>
      </c>
      <c r="L155" t="n">
        <v>0</v>
      </c>
      <c r="M155" t="n">
        <v>0</v>
      </c>
      <c r="N155" t="n">
        <v>0</v>
      </c>
      <c r="O155" t="n">
        <v>0</v>
      </c>
      <c r="P155" t="n">
        <v>0</v>
      </c>
      <c r="Q155" t="n">
        <v>1</v>
      </c>
      <c r="R155" s="2" t="inlineStr">
        <is>
          <t>Revlummer</t>
        </is>
      </c>
      <c r="S155">
        <f>HYPERLINK("https://klasma.github.io/Logging_0188/artfynd/A 43350-2023 artfynd.xlsx", "A 43350-2023")</f>
        <v/>
      </c>
      <c r="T155">
        <f>HYPERLINK("https://klasma.github.io/Logging_0188/kartor/A 43350-2023 karta.png", "A 43350-2023")</f>
        <v/>
      </c>
      <c r="V155">
        <f>HYPERLINK("https://klasma.github.io/Logging_0188/klagomål/A 43350-2023 FSC-klagomål.docx", "A 43350-2023")</f>
        <v/>
      </c>
      <c r="W155">
        <f>HYPERLINK("https://klasma.github.io/Logging_0188/klagomålsmail/A 43350-2023 FSC-klagomål mail.docx", "A 43350-2023")</f>
        <v/>
      </c>
      <c r="X155">
        <f>HYPERLINK("https://klasma.github.io/Logging_0188/tillsyn/A 43350-2023 tillsynsbegäran.docx", "A 43350-2023")</f>
        <v/>
      </c>
      <c r="Y155">
        <f>HYPERLINK("https://klasma.github.io/Logging_0188/tillsynsmail/A 43350-2023 tillsynsbegäran mail.docx", "A 43350-2023")</f>
        <v/>
      </c>
    </row>
    <row r="156" ht="15" customHeight="1">
      <c r="A156" t="inlineStr">
        <is>
          <t>A 43354-2023</t>
        </is>
      </c>
      <c r="B156" s="1" t="n">
        <v>45183</v>
      </c>
      <c r="C156" s="1" t="n">
        <v>45513</v>
      </c>
      <c r="D156" t="inlineStr">
        <is>
          <t>STOCKHOLMS LÄN</t>
        </is>
      </c>
      <c r="E156" t="inlineStr">
        <is>
          <t>NORRTÄLJE</t>
        </is>
      </c>
      <c r="F156" t="inlineStr">
        <is>
          <t>Holmen skog AB</t>
        </is>
      </c>
      <c r="G156" t="n">
        <v>9.9</v>
      </c>
      <c r="H156" t="n">
        <v>0</v>
      </c>
      <c r="I156" t="n">
        <v>1</v>
      </c>
      <c r="J156" t="n">
        <v>0</v>
      </c>
      <c r="K156" t="n">
        <v>0</v>
      </c>
      <c r="L156" t="n">
        <v>0</v>
      </c>
      <c r="M156" t="n">
        <v>0</v>
      </c>
      <c r="N156" t="n">
        <v>0</v>
      </c>
      <c r="O156" t="n">
        <v>0</v>
      </c>
      <c r="P156" t="n">
        <v>0</v>
      </c>
      <c r="Q156" t="n">
        <v>1</v>
      </c>
      <c r="R156" s="2" t="inlineStr">
        <is>
          <t>Tibast</t>
        </is>
      </c>
      <c r="S156">
        <f>HYPERLINK("https://klasma.github.io/Logging_0188/artfynd/A 43354-2023 artfynd.xlsx", "A 43354-2023")</f>
        <v/>
      </c>
      <c r="T156">
        <f>HYPERLINK("https://klasma.github.io/Logging_0188/kartor/A 43354-2023 karta.png", "A 43354-2023")</f>
        <v/>
      </c>
      <c r="V156">
        <f>HYPERLINK("https://klasma.github.io/Logging_0188/klagomål/A 43354-2023 FSC-klagomål.docx", "A 43354-2023")</f>
        <v/>
      </c>
      <c r="W156">
        <f>HYPERLINK("https://klasma.github.io/Logging_0188/klagomålsmail/A 43354-2023 FSC-klagomål mail.docx", "A 43354-2023")</f>
        <v/>
      </c>
      <c r="X156">
        <f>HYPERLINK("https://klasma.github.io/Logging_0188/tillsyn/A 43354-2023 tillsynsbegäran.docx", "A 43354-2023")</f>
        <v/>
      </c>
      <c r="Y156">
        <f>HYPERLINK("https://klasma.github.io/Logging_0188/tillsynsmail/A 43354-2023 tillsynsbegäran mail.docx", "A 43354-2023")</f>
        <v/>
      </c>
    </row>
    <row r="157" ht="15" customHeight="1">
      <c r="A157" t="inlineStr">
        <is>
          <t>A 45172-2023</t>
        </is>
      </c>
      <c r="B157" s="1" t="n">
        <v>45191</v>
      </c>
      <c r="C157" s="1" t="n">
        <v>45513</v>
      </c>
      <c r="D157" t="inlineStr">
        <is>
          <t>STOCKHOLMS LÄN</t>
        </is>
      </c>
      <c r="E157" t="inlineStr">
        <is>
          <t>NORRTÄLJE</t>
        </is>
      </c>
      <c r="F157" t="inlineStr">
        <is>
          <t>Sveaskog</t>
        </is>
      </c>
      <c r="G157" t="n">
        <v>3.8</v>
      </c>
      <c r="H157" t="n">
        <v>1</v>
      </c>
      <c r="I157" t="n">
        <v>0</v>
      </c>
      <c r="J157" t="n">
        <v>1</v>
      </c>
      <c r="K157" t="n">
        <v>0</v>
      </c>
      <c r="L157" t="n">
        <v>0</v>
      </c>
      <c r="M157" t="n">
        <v>0</v>
      </c>
      <c r="N157" t="n">
        <v>0</v>
      </c>
      <c r="O157" t="n">
        <v>1</v>
      </c>
      <c r="P157" t="n">
        <v>0</v>
      </c>
      <c r="Q157" t="n">
        <v>1</v>
      </c>
      <c r="R157" s="2" t="inlineStr">
        <is>
          <t>Slaguggla</t>
        </is>
      </c>
      <c r="S157">
        <f>HYPERLINK("https://klasma.github.io/Logging_0188/artfynd/A 45172-2023 artfynd.xlsx", "A 45172-2023")</f>
        <v/>
      </c>
      <c r="T157">
        <f>HYPERLINK("https://klasma.github.io/Logging_0188/kartor/A 45172-2023 karta.png", "A 45172-2023")</f>
        <v/>
      </c>
      <c r="V157">
        <f>HYPERLINK("https://klasma.github.io/Logging_0188/klagomål/A 45172-2023 FSC-klagomål.docx", "A 45172-2023")</f>
        <v/>
      </c>
      <c r="W157">
        <f>HYPERLINK("https://klasma.github.io/Logging_0188/klagomålsmail/A 45172-2023 FSC-klagomål mail.docx", "A 45172-2023")</f>
        <v/>
      </c>
      <c r="X157">
        <f>HYPERLINK("https://klasma.github.io/Logging_0188/tillsyn/A 45172-2023 tillsynsbegäran.docx", "A 45172-2023")</f>
        <v/>
      </c>
      <c r="Y157">
        <f>HYPERLINK("https://klasma.github.io/Logging_0188/tillsynsmail/A 45172-2023 tillsynsbegäran mail.docx", "A 45172-2023")</f>
        <v/>
      </c>
      <c r="Z157">
        <f>HYPERLINK("https://klasma.github.io/Logging_0188/fåglar/A 45172-2023 prioriterade fågelarter.docx", "A 45172-2023")</f>
        <v/>
      </c>
    </row>
    <row r="158" ht="15" customHeight="1">
      <c r="A158" t="inlineStr">
        <is>
          <t>A 48131-2023</t>
        </is>
      </c>
      <c r="B158" s="1" t="n">
        <v>45205</v>
      </c>
      <c r="C158" s="1" t="n">
        <v>45513</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48131-2023 artfynd.xlsx", "A 48131-2023")</f>
        <v/>
      </c>
      <c r="T158">
        <f>HYPERLINK("https://klasma.github.io/Logging_0188/kartor/A 48131-2023 karta.png", "A 48131-2023")</f>
        <v/>
      </c>
      <c r="V158">
        <f>HYPERLINK("https://klasma.github.io/Logging_0188/klagomål/A 48131-2023 FSC-klagomål.docx", "A 48131-2023")</f>
        <v/>
      </c>
      <c r="W158">
        <f>HYPERLINK("https://klasma.github.io/Logging_0188/klagomålsmail/A 48131-2023 FSC-klagomål mail.docx", "A 48131-2023")</f>
        <v/>
      </c>
      <c r="X158">
        <f>HYPERLINK("https://klasma.github.io/Logging_0188/tillsyn/A 48131-2023 tillsynsbegäran.docx", "A 48131-2023")</f>
        <v/>
      </c>
      <c r="Y158">
        <f>HYPERLINK("https://klasma.github.io/Logging_0188/tillsynsmail/A 48131-2023 tillsynsbegäran mail.docx", "A 48131-2023")</f>
        <v/>
      </c>
    </row>
    <row r="159" ht="15" customHeight="1">
      <c r="A159" t="inlineStr">
        <is>
          <t>A 51695-2023</t>
        </is>
      </c>
      <c r="B159" s="1" t="n">
        <v>45222</v>
      </c>
      <c r="C159" s="1" t="n">
        <v>45513</v>
      </c>
      <c r="D159" t="inlineStr">
        <is>
          <t>STOCKHOLMS LÄN</t>
        </is>
      </c>
      <c r="E159" t="inlineStr">
        <is>
          <t>NORRTÄLJE</t>
        </is>
      </c>
      <c r="G159" t="n">
        <v>4.9</v>
      </c>
      <c r="H159" t="n">
        <v>0</v>
      </c>
      <c r="I159" t="n">
        <v>1</v>
      </c>
      <c r="J159" t="n">
        <v>0</v>
      </c>
      <c r="K159" t="n">
        <v>0</v>
      </c>
      <c r="L159" t="n">
        <v>0</v>
      </c>
      <c r="M159" t="n">
        <v>0</v>
      </c>
      <c r="N159" t="n">
        <v>0</v>
      </c>
      <c r="O159" t="n">
        <v>0</v>
      </c>
      <c r="P159" t="n">
        <v>0</v>
      </c>
      <c r="Q159" t="n">
        <v>1</v>
      </c>
      <c r="R159" s="2" t="inlineStr">
        <is>
          <t>Fjällig taggsvamp s.str.</t>
        </is>
      </c>
      <c r="S159">
        <f>HYPERLINK("https://klasma.github.io/Logging_0188/artfynd/A 51695-2023 artfynd.xlsx", "A 51695-2023")</f>
        <v/>
      </c>
      <c r="T159">
        <f>HYPERLINK("https://klasma.github.io/Logging_0188/kartor/A 51695-2023 karta.png", "A 51695-2023")</f>
        <v/>
      </c>
      <c r="V159">
        <f>HYPERLINK("https://klasma.github.io/Logging_0188/klagomål/A 51695-2023 FSC-klagomål.docx", "A 51695-2023")</f>
        <v/>
      </c>
      <c r="W159">
        <f>HYPERLINK("https://klasma.github.io/Logging_0188/klagomålsmail/A 51695-2023 FSC-klagomål mail.docx", "A 51695-2023")</f>
        <v/>
      </c>
      <c r="X159">
        <f>HYPERLINK("https://klasma.github.io/Logging_0188/tillsyn/A 51695-2023 tillsynsbegäran.docx", "A 51695-2023")</f>
        <v/>
      </c>
      <c r="Y159">
        <f>HYPERLINK("https://klasma.github.io/Logging_0188/tillsynsmail/A 51695-2023 tillsynsbegäran mail.docx", "A 51695-2023")</f>
        <v/>
      </c>
    </row>
    <row r="160" ht="15" customHeight="1">
      <c r="A160" t="inlineStr">
        <is>
          <t>A 51909-2023</t>
        </is>
      </c>
      <c r="B160" s="1" t="n">
        <v>45223</v>
      </c>
      <c r="C160" s="1" t="n">
        <v>45513</v>
      </c>
      <c r="D160" t="inlineStr">
        <is>
          <t>STOCKHOLMS LÄN</t>
        </is>
      </c>
      <c r="E160" t="inlineStr">
        <is>
          <t>NORRTÄLJE</t>
        </is>
      </c>
      <c r="G160" t="n">
        <v>8.1</v>
      </c>
      <c r="H160" t="n">
        <v>1</v>
      </c>
      <c r="I160" t="n">
        <v>1</v>
      </c>
      <c r="J160" t="n">
        <v>0</v>
      </c>
      <c r="K160" t="n">
        <v>0</v>
      </c>
      <c r="L160" t="n">
        <v>0</v>
      </c>
      <c r="M160" t="n">
        <v>0</v>
      </c>
      <c r="N160" t="n">
        <v>0</v>
      </c>
      <c r="O160" t="n">
        <v>0</v>
      </c>
      <c r="P160" t="n">
        <v>0</v>
      </c>
      <c r="Q160" t="n">
        <v>1</v>
      </c>
      <c r="R160" s="2" t="inlineStr">
        <is>
          <t>Skogsknipprot</t>
        </is>
      </c>
      <c r="S160">
        <f>HYPERLINK("https://klasma.github.io/Logging_0188/artfynd/A 51909-2023 artfynd.xlsx", "A 51909-2023")</f>
        <v/>
      </c>
      <c r="T160">
        <f>HYPERLINK("https://klasma.github.io/Logging_0188/kartor/A 51909-2023 karta.png", "A 51909-2023")</f>
        <v/>
      </c>
      <c r="V160">
        <f>HYPERLINK("https://klasma.github.io/Logging_0188/klagomål/A 51909-2023 FSC-klagomål.docx", "A 51909-2023")</f>
        <v/>
      </c>
      <c r="W160">
        <f>HYPERLINK("https://klasma.github.io/Logging_0188/klagomålsmail/A 51909-2023 FSC-klagomål mail.docx", "A 51909-2023")</f>
        <v/>
      </c>
      <c r="X160">
        <f>HYPERLINK("https://klasma.github.io/Logging_0188/tillsyn/A 51909-2023 tillsynsbegäran.docx", "A 51909-2023")</f>
        <v/>
      </c>
      <c r="Y160">
        <f>HYPERLINK("https://klasma.github.io/Logging_0188/tillsynsmail/A 51909-2023 tillsynsbegäran mail.docx", "A 51909-2023")</f>
        <v/>
      </c>
    </row>
    <row r="161" ht="15" customHeight="1">
      <c r="A161" t="inlineStr">
        <is>
          <t>A 52508-2023</t>
        </is>
      </c>
      <c r="B161" s="1" t="n">
        <v>45225</v>
      </c>
      <c r="C161" s="1" t="n">
        <v>45513</v>
      </c>
      <c r="D161" t="inlineStr">
        <is>
          <t>STOCKHOLMS LÄN</t>
        </is>
      </c>
      <c r="E161" t="inlineStr">
        <is>
          <t>NORRTÄLJE</t>
        </is>
      </c>
      <c r="G161" t="n">
        <v>19.7</v>
      </c>
      <c r="H161" t="n">
        <v>1</v>
      </c>
      <c r="I161" t="n">
        <v>0</v>
      </c>
      <c r="J161" t="n">
        <v>0</v>
      </c>
      <c r="K161" t="n">
        <v>1</v>
      </c>
      <c r="L161" t="n">
        <v>0</v>
      </c>
      <c r="M161" t="n">
        <v>0</v>
      </c>
      <c r="N161" t="n">
        <v>0</v>
      </c>
      <c r="O161" t="n">
        <v>1</v>
      </c>
      <c r="P161" t="n">
        <v>1</v>
      </c>
      <c r="Q161" t="n">
        <v>1</v>
      </c>
      <c r="R161" s="2" t="inlineStr">
        <is>
          <t>Svärta</t>
        </is>
      </c>
      <c r="S161">
        <f>HYPERLINK("https://klasma.github.io/Logging_0188/artfynd/A 52508-2023 artfynd.xlsx", "A 52508-2023")</f>
        <v/>
      </c>
      <c r="T161">
        <f>HYPERLINK("https://klasma.github.io/Logging_0188/kartor/A 52508-2023 karta.png", "A 52508-2023")</f>
        <v/>
      </c>
      <c r="V161">
        <f>HYPERLINK("https://klasma.github.io/Logging_0188/klagomål/A 52508-2023 FSC-klagomål.docx", "A 52508-2023")</f>
        <v/>
      </c>
      <c r="W161">
        <f>HYPERLINK("https://klasma.github.io/Logging_0188/klagomålsmail/A 52508-2023 FSC-klagomål mail.docx", "A 52508-2023")</f>
        <v/>
      </c>
      <c r="X161">
        <f>HYPERLINK("https://klasma.github.io/Logging_0188/tillsyn/A 52508-2023 tillsynsbegäran.docx", "A 52508-2023")</f>
        <v/>
      </c>
      <c r="Y161">
        <f>HYPERLINK("https://klasma.github.io/Logging_0188/tillsynsmail/A 52508-2023 tillsynsbegäran mail.docx", "A 52508-2023")</f>
        <v/>
      </c>
    </row>
    <row r="162" ht="15" customHeight="1">
      <c r="A162" t="inlineStr">
        <is>
          <t>A 55767-2023</t>
        </is>
      </c>
      <c r="B162" s="1" t="n">
        <v>45239</v>
      </c>
      <c r="C162" s="1" t="n">
        <v>45513</v>
      </c>
      <c r="D162" t="inlineStr">
        <is>
          <t>STOCKHOLMS LÄN</t>
        </is>
      </c>
      <c r="E162" t="inlineStr">
        <is>
          <t>NORRTÄLJE</t>
        </is>
      </c>
      <c r="G162" t="n">
        <v>3.7</v>
      </c>
      <c r="H162" t="n">
        <v>0</v>
      </c>
      <c r="I162" t="n">
        <v>1</v>
      </c>
      <c r="J162" t="n">
        <v>0</v>
      </c>
      <c r="K162" t="n">
        <v>0</v>
      </c>
      <c r="L162" t="n">
        <v>0</v>
      </c>
      <c r="M162" t="n">
        <v>0</v>
      </c>
      <c r="N162" t="n">
        <v>0</v>
      </c>
      <c r="O162" t="n">
        <v>0</v>
      </c>
      <c r="P162" t="n">
        <v>0</v>
      </c>
      <c r="Q162" t="n">
        <v>1</v>
      </c>
      <c r="R162" s="2" t="inlineStr">
        <is>
          <t>Ögonpyrola</t>
        </is>
      </c>
      <c r="S162">
        <f>HYPERLINK("https://klasma.github.io/Logging_0188/artfynd/A 55767-2023 artfynd.xlsx", "A 55767-2023")</f>
        <v/>
      </c>
      <c r="T162">
        <f>HYPERLINK("https://klasma.github.io/Logging_0188/kartor/A 55767-2023 karta.png", "A 55767-2023")</f>
        <v/>
      </c>
      <c r="V162">
        <f>HYPERLINK("https://klasma.github.io/Logging_0188/klagomål/A 55767-2023 FSC-klagomål.docx", "A 55767-2023")</f>
        <v/>
      </c>
      <c r="W162">
        <f>HYPERLINK("https://klasma.github.io/Logging_0188/klagomålsmail/A 55767-2023 FSC-klagomål mail.docx", "A 55767-2023")</f>
        <v/>
      </c>
      <c r="X162">
        <f>HYPERLINK("https://klasma.github.io/Logging_0188/tillsyn/A 55767-2023 tillsynsbegäran.docx", "A 55767-2023")</f>
        <v/>
      </c>
      <c r="Y162">
        <f>HYPERLINK("https://klasma.github.io/Logging_0188/tillsynsmail/A 55767-2023 tillsynsbegäran mail.docx", "A 55767-2023")</f>
        <v/>
      </c>
    </row>
    <row r="163" ht="15" customHeight="1">
      <c r="A163" t="inlineStr">
        <is>
          <t>A 59580-2023</t>
        </is>
      </c>
      <c r="B163" s="1" t="n">
        <v>45254</v>
      </c>
      <c r="C163" s="1" t="n">
        <v>45513</v>
      </c>
      <c r="D163" t="inlineStr">
        <is>
          <t>STOCKHOLMS LÄN</t>
        </is>
      </c>
      <c r="E163" t="inlineStr">
        <is>
          <t>NORRTÄLJE</t>
        </is>
      </c>
      <c r="G163" t="n">
        <v>3.2</v>
      </c>
      <c r="H163" t="n">
        <v>0</v>
      </c>
      <c r="I163" t="n">
        <v>1</v>
      </c>
      <c r="J163" t="n">
        <v>0</v>
      </c>
      <c r="K163" t="n">
        <v>0</v>
      </c>
      <c r="L163" t="n">
        <v>0</v>
      </c>
      <c r="M163" t="n">
        <v>0</v>
      </c>
      <c r="N163" t="n">
        <v>0</v>
      </c>
      <c r="O163" t="n">
        <v>0</v>
      </c>
      <c r="P163" t="n">
        <v>0</v>
      </c>
      <c r="Q163" t="n">
        <v>1</v>
      </c>
      <c r="R163" s="2" t="inlineStr">
        <is>
          <t>Trådticka</t>
        </is>
      </c>
      <c r="S163">
        <f>HYPERLINK("https://klasma.github.io/Logging_0188/artfynd/A 59580-2023 artfynd.xlsx", "A 59580-2023")</f>
        <v/>
      </c>
      <c r="T163">
        <f>HYPERLINK("https://klasma.github.io/Logging_0188/kartor/A 59580-2023 karta.png", "A 59580-2023")</f>
        <v/>
      </c>
      <c r="V163">
        <f>HYPERLINK("https://klasma.github.io/Logging_0188/klagomål/A 59580-2023 FSC-klagomål.docx", "A 59580-2023")</f>
        <v/>
      </c>
      <c r="W163">
        <f>HYPERLINK("https://klasma.github.io/Logging_0188/klagomålsmail/A 59580-2023 FSC-klagomål mail.docx", "A 59580-2023")</f>
        <v/>
      </c>
      <c r="X163">
        <f>HYPERLINK("https://klasma.github.io/Logging_0188/tillsyn/A 59580-2023 tillsynsbegäran.docx", "A 59580-2023")</f>
        <v/>
      </c>
      <c r="Y163">
        <f>HYPERLINK("https://klasma.github.io/Logging_0188/tillsynsmail/A 59580-2023 tillsynsbegäran mail.docx", "A 59580-2023")</f>
        <v/>
      </c>
    </row>
    <row r="164" ht="15" customHeight="1">
      <c r="A164" t="inlineStr">
        <is>
          <t>A 63851-2023</t>
        </is>
      </c>
      <c r="B164" s="1" t="n">
        <v>45278</v>
      </c>
      <c r="C164" s="1" t="n">
        <v>45513</v>
      </c>
      <c r="D164" t="inlineStr">
        <is>
          <t>STOCKHOLMS LÄN</t>
        </is>
      </c>
      <c r="E164" t="inlineStr">
        <is>
          <t>NORRTÄLJE</t>
        </is>
      </c>
      <c r="G164" t="n">
        <v>5.6</v>
      </c>
      <c r="H164" t="n">
        <v>1</v>
      </c>
      <c r="I164" t="n">
        <v>0</v>
      </c>
      <c r="J164" t="n">
        <v>0</v>
      </c>
      <c r="K164" t="n">
        <v>0</v>
      </c>
      <c r="L164" t="n">
        <v>0</v>
      </c>
      <c r="M164" t="n">
        <v>0</v>
      </c>
      <c r="N164" t="n">
        <v>0</v>
      </c>
      <c r="O164" t="n">
        <v>0</v>
      </c>
      <c r="P164" t="n">
        <v>0</v>
      </c>
      <c r="Q164" t="n">
        <v>1</v>
      </c>
      <c r="R164" s="2" t="inlineStr">
        <is>
          <t>Tjäder</t>
        </is>
      </c>
      <c r="S164">
        <f>HYPERLINK("https://klasma.github.io/Logging_0188/artfynd/A 63851-2023 artfynd.xlsx", "A 63851-2023")</f>
        <v/>
      </c>
      <c r="T164">
        <f>HYPERLINK("https://klasma.github.io/Logging_0188/kartor/A 63851-2023 karta.png", "A 63851-2023")</f>
        <v/>
      </c>
      <c r="V164">
        <f>HYPERLINK("https://klasma.github.io/Logging_0188/klagomål/A 63851-2023 FSC-klagomål.docx", "A 63851-2023")</f>
        <v/>
      </c>
      <c r="W164">
        <f>HYPERLINK("https://klasma.github.io/Logging_0188/klagomålsmail/A 63851-2023 FSC-klagomål mail.docx", "A 63851-2023")</f>
        <v/>
      </c>
      <c r="X164">
        <f>HYPERLINK("https://klasma.github.io/Logging_0188/tillsyn/A 63851-2023 tillsynsbegäran.docx", "A 63851-2023")</f>
        <v/>
      </c>
      <c r="Y164">
        <f>HYPERLINK("https://klasma.github.io/Logging_0188/tillsynsmail/A 63851-2023 tillsynsbegäran mail.docx", "A 63851-2023")</f>
        <v/>
      </c>
      <c r="Z164">
        <f>HYPERLINK("https://klasma.github.io/Logging_0188/fåglar/A 63851-2023 prioriterade fågelarter.docx", "A 63851-2023")</f>
        <v/>
      </c>
    </row>
    <row r="165" ht="15" customHeight="1">
      <c r="A165" t="inlineStr">
        <is>
          <t>A 64456-2023</t>
        </is>
      </c>
      <c r="B165" s="1" t="n">
        <v>45280</v>
      </c>
      <c r="C165" s="1" t="n">
        <v>45513</v>
      </c>
      <c r="D165" t="inlineStr">
        <is>
          <t>STOCKHOLMS LÄN</t>
        </is>
      </c>
      <c r="E165" t="inlineStr">
        <is>
          <t>NORRTÄLJE</t>
        </is>
      </c>
      <c r="G165" t="n">
        <v>2.5</v>
      </c>
      <c r="H165" t="n">
        <v>0</v>
      </c>
      <c r="I165" t="n">
        <v>1</v>
      </c>
      <c r="J165" t="n">
        <v>0</v>
      </c>
      <c r="K165" t="n">
        <v>0</v>
      </c>
      <c r="L165" t="n">
        <v>0</v>
      </c>
      <c r="M165" t="n">
        <v>0</v>
      </c>
      <c r="N165" t="n">
        <v>0</v>
      </c>
      <c r="O165" t="n">
        <v>0</v>
      </c>
      <c r="P165" t="n">
        <v>0</v>
      </c>
      <c r="Q165" t="n">
        <v>1</v>
      </c>
      <c r="R165" s="2" t="inlineStr">
        <is>
          <t>Rödgul trumpetsvamp</t>
        </is>
      </c>
      <c r="S165">
        <f>HYPERLINK("https://klasma.github.io/Logging_0188/artfynd/A 64456-2023 artfynd.xlsx", "A 64456-2023")</f>
        <v/>
      </c>
      <c r="T165">
        <f>HYPERLINK("https://klasma.github.io/Logging_0188/kartor/A 64456-2023 karta.png", "A 64456-2023")</f>
        <v/>
      </c>
      <c r="V165">
        <f>HYPERLINK("https://klasma.github.io/Logging_0188/klagomål/A 64456-2023 FSC-klagomål.docx", "A 64456-2023")</f>
        <v/>
      </c>
      <c r="W165">
        <f>HYPERLINK("https://klasma.github.io/Logging_0188/klagomålsmail/A 64456-2023 FSC-klagomål mail.docx", "A 64456-2023")</f>
        <v/>
      </c>
      <c r="X165">
        <f>HYPERLINK("https://klasma.github.io/Logging_0188/tillsyn/A 64456-2023 tillsynsbegäran.docx", "A 64456-2023")</f>
        <v/>
      </c>
      <c r="Y165">
        <f>HYPERLINK("https://klasma.github.io/Logging_0188/tillsynsmail/A 64456-2023 tillsynsbegäran mail.docx", "A 64456-2023")</f>
        <v/>
      </c>
    </row>
    <row r="166" ht="15" customHeight="1">
      <c r="A166" t="inlineStr">
        <is>
          <t>A 6950-2024</t>
        </is>
      </c>
      <c r="B166" s="1" t="n">
        <v>45343</v>
      </c>
      <c r="C166" s="1" t="n">
        <v>45513</v>
      </c>
      <c r="D166" t="inlineStr">
        <is>
          <t>STOCKHOLMS LÄN</t>
        </is>
      </c>
      <c r="E166" t="inlineStr">
        <is>
          <t>NORRTÄLJE</t>
        </is>
      </c>
      <c r="G166" t="n">
        <v>26.8</v>
      </c>
      <c r="H166" t="n">
        <v>1</v>
      </c>
      <c r="I166" t="n">
        <v>0</v>
      </c>
      <c r="J166" t="n">
        <v>0</v>
      </c>
      <c r="K166" t="n">
        <v>0</v>
      </c>
      <c r="L166" t="n">
        <v>0</v>
      </c>
      <c r="M166" t="n">
        <v>0</v>
      </c>
      <c r="N166" t="n">
        <v>0</v>
      </c>
      <c r="O166" t="n">
        <v>0</v>
      </c>
      <c r="P166" t="n">
        <v>0</v>
      </c>
      <c r="Q166" t="n">
        <v>1</v>
      </c>
      <c r="R166" s="2" t="inlineStr">
        <is>
          <t>Blåsippa</t>
        </is>
      </c>
      <c r="S166">
        <f>HYPERLINK("https://klasma.github.io/Logging_0188/artfynd/A 6950-2024 artfynd.xlsx", "A 6950-2024")</f>
        <v/>
      </c>
      <c r="T166">
        <f>HYPERLINK("https://klasma.github.io/Logging_0188/kartor/A 6950-2024 karta.png", "A 6950-2024")</f>
        <v/>
      </c>
      <c r="V166">
        <f>HYPERLINK("https://klasma.github.io/Logging_0188/klagomål/A 6950-2024 FSC-klagomål.docx", "A 6950-2024")</f>
        <v/>
      </c>
      <c r="W166">
        <f>HYPERLINK("https://klasma.github.io/Logging_0188/klagomålsmail/A 6950-2024 FSC-klagomål mail.docx", "A 6950-2024")</f>
        <v/>
      </c>
      <c r="X166">
        <f>HYPERLINK("https://klasma.github.io/Logging_0188/tillsyn/A 6950-2024 tillsynsbegäran.docx", "A 6950-2024")</f>
        <v/>
      </c>
      <c r="Y166">
        <f>HYPERLINK("https://klasma.github.io/Logging_0188/tillsynsmail/A 6950-2024 tillsynsbegäran mail.docx", "A 6950-2024")</f>
        <v/>
      </c>
    </row>
    <row r="167" ht="15" customHeight="1">
      <c r="A167" t="inlineStr">
        <is>
          <t>A 20468-2024</t>
        </is>
      </c>
      <c r="B167" s="1" t="n">
        <v>45435</v>
      </c>
      <c r="C167" s="1" t="n">
        <v>45513</v>
      </c>
      <c r="D167" t="inlineStr">
        <is>
          <t>STOCKHOLMS LÄN</t>
        </is>
      </c>
      <c r="E167" t="inlineStr">
        <is>
          <t>NORRTÄLJE</t>
        </is>
      </c>
      <c r="G167" t="n">
        <v>2.2</v>
      </c>
      <c r="H167" t="n">
        <v>0</v>
      </c>
      <c r="I167" t="n">
        <v>0</v>
      </c>
      <c r="J167" t="n">
        <v>0</v>
      </c>
      <c r="K167" t="n">
        <v>0</v>
      </c>
      <c r="L167" t="n">
        <v>1</v>
      </c>
      <c r="M167" t="n">
        <v>0</v>
      </c>
      <c r="N167" t="n">
        <v>0</v>
      </c>
      <c r="O167" t="n">
        <v>1</v>
      </c>
      <c r="P167" t="n">
        <v>1</v>
      </c>
      <c r="Q167" t="n">
        <v>1</v>
      </c>
      <c r="R167" s="2" t="inlineStr">
        <is>
          <t>Fältgentiana</t>
        </is>
      </c>
      <c r="S167">
        <f>HYPERLINK("https://klasma.github.io/Logging_0188/artfynd/A 20468-2024 artfynd.xlsx", "A 20468-2024")</f>
        <v/>
      </c>
      <c r="T167">
        <f>HYPERLINK("https://klasma.github.io/Logging_0188/kartor/A 20468-2024 karta.png", "A 20468-2024")</f>
        <v/>
      </c>
      <c r="V167">
        <f>HYPERLINK("https://klasma.github.io/Logging_0188/klagomål/A 20468-2024 FSC-klagomål.docx", "A 20468-2024")</f>
        <v/>
      </c>
      <c r="W167">
        <f>HYPERLINK("https://klasma.github.io/Logging_0188/klagomålsmail/A 20468-2024 FSC-klagomål mail.docx", "A 20468-2024")</f>
        <v/>
      </c>
      <c r="X167">
        <f>HYPERLINK("https://klasma.github.io/Logging_0188/tillsyn/A 20468-2024 tillsynsbegäran.docx", "A 20468-2024")</f>
        <v/>
      </c>
      <c r="Y167">
        <f>HYPERLINK("https://klasma.github.io/Logging_0188/tillsynsmail/A 20468-2024 tillsynsbegäran mail.docx", "A 20468-2024")</f>
        <v/>
      </c>
    </row>
    <row r="168" ht="15" customHeight="1">
      <c r="A168" t="inlineStr">
        <is>
          <t>A 23146-2024</t>
        </is>
      </c>
      <c r="B168" s="1" t="n">
        <v>45450</v>
      </c>
      <c r="C168" s="1" t="n">
        <v>45513</v>
      </c>
      <c r="D168" t="inlineStr">
        <is>
          <t>STOCKHOLMS LÄN</t>
        </is>
      </c>
      <c r="E168" t="inlineStr">
        <is>
          <t>NORRTÄLJE</t>
        </is>
      </c>
      <c r="F168" t="inlineStr">
        <is>
          <t>Kommuner</t>
        </is>
      </c>
      <c r="G168" t="n">
        <v>6</v>
      </c>
      <c r="H168" t="n">
        <v>0</v>
      </c>
      <c r="I168" t="n">
        <v>0</v>
      </c>
      <c r="J168" t="n">
        <v>1</v>
      </c>
      <c r="K168" t="n">
        <v>0</v>
      </c>
      <c r="L168" t="n">
        <v>0</v>
      </c>
      <c r="M168" t="n">
        <v>0</v>
      </c>
      <c r="N168" t="n">
        <v>0</v>
      </c>
      <c r="O168" t="n">
        <v>1</v>
      </c>
      <c r="P168" t="n">
        <v>0</v>
      </c>
      <c r="Q168" t="n">
        <v>1</v>
      </c>
      <c r="R168" s="2" t="inlineStr">
        <is>
          <t>Motaggsvamp</t>
        </is>
      </c>
      <c r="S168">
        <f>HYPERLINK("https://klasma.github.io/Logging_0188/artfynd/A 23146-2024 artfynd.xlsx", "A 23146-2024")</f>
        <v/>
      </c>
      <c r="T168">
        <f>HYPERLINK("https://klasma.github.io/Logging_0188/kartor/A 23146-2024 karta.png", "A 23146-2024")</f>
        <v/>
      </c>
      <c r="V168">
        <f>HYPERLINK("https://klasma.github.io/Logging_0188/klagomål/A 23146-2024 FSC-klagomål.docx", "A 23146-2024")</f>
        <v/>
      </c>
      <c r="W168">
        <f>HYPERLINK("https://klasma.github.io/Logging_0188/klagomålsmail/A 23146-2024 FSC-klagomål mail.docx", "A 23146-2024")</f>
        <v/>
      </c>
      <c r="X168">
        <f>HYPERLINK("https://klasma.github.io/Logging_0188/tillsyn/A 23146-2024 tillsynsbegäran.docx", "A 23146-2024")</f>
        <v/>
      </c>
      <c r="Y168">
        <f>HYPERLINK("https://klasma.github.io/Logging_0188/tillsynsmail/A 23146-2024 tillsynsbegäran mail.docx", "A 23146-2024")</f>
        <v/>
      </c>
    </row>
    <row r="169" ht="15" customHeight="1">
      <c r="A169" t="inlineStr">
        <is>
          <t>A 24577-2024</t>
        </is>
      </c>
      <c r="B169" s="1" t="n">
        <v>45460</v>
      </c>
      <c r="C169" s="1" t="n">
        <v>45513</v>
      </c>
      <c r="D169" t="inlineStr">
        <is>
          <t>STOCKHOLMS LÄN</t>
        </is>
      </c>
      <c r="E169" t="inlineStr">
        <is>
          <t>NORRTÄLJE</t>
        </is>
      </c>
      <c r="G169" t="n">
        <v>3.8</v>
      </c>
      <c r="H169" t="n">
        <v>0</v>
      </c>
      <c r="I169" t="n">
        <v>1</v>
      </c>
      <c r="J169" t="n">
        <v>0</v>
      </c>
      <c r="K169" t="n">
        <v>0</v>
      </c>
      <c r="L169" t="n">
        <v>0</v>
      </c>
      <c r="M169" t="n">
        <v>0</v>
      </c>
      <c r="N169" t="n">
        <v>0</v>
      </c>
      <c r="O169" t="n">
        <v>0</v>
      </c>
      <c r="P169" t="n">
        <v>0</v>
      </c>
      <c r="Q169" t="n">
        <v>1</v>
      </c>
      <c r="R169" s="2" t="inlineStr">
        <is>
          <t>Rostfläck</t>
        </is>
      </c>
      <c r="S169">
        <f>HYPERLINK("https://klasma.github.io/Logging_0188/artfynd/A 24577-2024 artfynd.xlsx", "A 24577-2024")</f>
        <v/>
      </c>
      <c r="T169">
        <f>HYPERLINK("https://klasma.github.io/Logging_0188/kartor/A 24577-2024 karta.png", "A 24577-2024")</f>
        <v/>
      </c>
      <c r="V169">
        <f>HYPERLINK("https://klasma.github.io/Logging_0188/klagomål/A 24577-2024 FSC-klagomål.docx", "A 24577-2024")</f>
        <v/>
      </c>
      <c r="W169">
        <f>HYPERLINK("https://klasma.github.io/Logging_0188/klagomålsmail/A 24577-2024 FSC-klagomål mail.docx", "A 24577-2024")</f>
        <v/>
      </c>
      <c r="X169">
        <f>HYPERLINK("https://klasma.github.io/Logging_0188/tillsyn/A 24577-2024 tillsynsbegäran.docx", "A 24577-2024")</f>
        <v/>
      </c>
      <c r="Y169">
        <f>HYPERLINK("https://klasma.github.io/Logging_0188/tillsynsmail/A 24577-2024 tillsynsbegäran mail.docx", "A 24577-2024")</f>
        <v/>
      </c>
    </row>
    <row r="170" ht="15" customHeight="1">
      <c r="A170" t="inlineStr">
        <is>
          <t>A 24528-2024</t>
        </is>
      </c>
      <c r="B170" s="1" t="n">
        <v>45460</v>
      </c>
      <c r="C170" s="1" t="n">
        <v>45513</v>
      </c>
      <c r="D170" t="inlineStr">
        <is>
          <t>STOCKHOLMS LÄN</t>
        </is>
      </c>
      <c r="E170" t="inlineStr">
        <is>
          <t>NORRTÄLJE</t>
        </is>
      </c>
      <c r="G170" t="n">
        <v>1.4</v>
      </c>
      <c r="H170" t="n">
        <v>1</v>
      </c>
      <c r="I170" t="n">
        <v>0</v>
      </c>
      <c r="J170" t="n">
        <v>0</v>
      </c>
      <c r="K170" t="n">
        <v>1</v>
      </c>
      <c r="L170" t="n">
        <v>0</v>
      </c>
      <c r="M170" t="n">
        <v>0</v>
      </c>
      <c r="N170" t="n">
        <v>0</v>
      </c>
      <c r="O170" t="n">
        <v>1</v>
      </c>
      <c r="P170" t="n">
        <v>1</v>
      </c>
      <c r="Q170" t="n">
        <v>1</v>
      </c>
      <c r="R170" s="2" t="inlineStr">
        <is>
          <t>Hällebräcka</t>
        </is>
      </c>
      <c r="S170">
        <f>HYPERLINK("https://klasma.github.io/Logging_0188/artfynd/A 24528-2024 artfynd.xlsx", "A 24528-2024")</f>
        <v/>
      </c>
      <c r="T170">
        <f>HYPERLINK("https://klasma.github.io/Logging_0188/kartor/A 24528-2024 karta.png", "A 24528-2024")</f>
        <v/>
      </c>
      <c r="V170">
        <f>HYPERLINK("https://klasma.github.io/Logging_0188/klagomål/A 24528-2024 FSC-klagomål.docx", "A 24528-2024")</f>
        <v/>
      </c>
      <c r="W170">
        <f>HYPERLINK("https://klasma.github.io/Logging_0188/klagomålsmail/A 24528-2024 FSC-klagomål mail.docx", "A 24528-2024")</f>
        <v/>
      </c>
      <c r="X170">
        <f>HYPERLINK("https://klasma.github.io/Logging_0188/tillsyn/A 24528-2024 tillsynsbegäran.docx", "A 24528-2024")</f>
        <v/>
      </c>
      <c r="Y170">
        <f>HYPERLINK("https://klasma.github.io/Logging_0188/tillsynsmail/A 24528-2024 tillsynsbegäran mail.docx", "A 24528-2024")</f>
        <v/>
      </c>
    </row>
    <row r="171" ht="15" customHeight="1">
      <c r="A171" t="inlineStr">
        <is>
          <t>A 26120-2024</t>
        </is>
      </c>
      <c r="B171" s="1" t="n">
        <v>45468</v>
      </c>
      <c r="C171" s="1" t="n">
        <v>45513</v>
      </c>
      <c r="D171" t="inlineStr">
        <is>
          <t>STOCKHOLMS LÄN</t>
        </is>
      </c>
      <c r="E171" t="inlineStr">
        <is>
          <t>NORRTÄLJE</t>
        </is>
      </c>
      <c r="G171" t="n">
        <v>1.8</v>
      </c>
      <c r="H171" t="n">
        <v>0</v>
      </c>
      <c r="I171" t="n">
        <v>0</v>
      </c>
      <c r="J171" t="n">
        <v>1</v>
      </c>
      <c r="K171" t="n">
        <v>0</v>
      </c>
      <c r="L171" t="n">
        <v>0</v>
      </c>
      <c r="M171" t="n">
        <v>0</v>
      </c>
      <c r="N171" t="n">
        <v>0</v>
      </c>
      <c r="O171" t="n">
        <v>1</v>
      </c>
      <c r="P171" t="n">
        <v>0</v>
      </c>
      <c r="Q171" t="n">
        <v>1</v>
      </c>
      <c r="R171" s="2" t="inlineStr">
        <is>
          <t>Majviva</t>
        </is>
      </c>
      <c r="S171">
        <f>HYPERLINK("https://klasma.github.io/Logging_0188/artfynd/A 26120-2024 artfynd.xlsx", "A 26120-2024")</f>
        <v/>
      </c>
      <c r="T171">
        <f>HYPERLINK("https://klasma.github.io/Logging_0188/kartor/A 26120-2024 karta.png", "A 26120-2024")</f>
        <v/>
      </c>
      <c r="V171">
        <f>HYPERLINK("https://klasma.github.io/Logging_0188/klagomål/A 26120-2024 FSC-klagomål.docx", "A 26120-2024")</f>
        <v/>
      </c>
      <c r="W171">
        <f>HYPERLINK("https://klasma.github.io/Logging_0188/klagomålsmail/A 26120-2024 FSC-klagomål mail.docx", "A 26120-2024")</f>
        <v/>
      </c>
      <c r="X171">
        <f>HYPERLINK("https://klasma.github.io/Logging_0188/tillsyn/A 26120-2024 tillsynsbegäran.docx", "A 26120-2024")</f>
        <v/>
      </c>
      <c r="Y171">
        <f>HYPERLINK("https://klasma.github.io/Logging_0188/tillsynsmail/A 26120-2024 tillsynsbegäran mail.docx", "A 26120-2024")</f>
        <v/>
      </c>
    </row>
    <row r="172" ht="15" customHeight="1">
      <c r="A172" t="inlineStr">
        <is>
          <t>A 27538-2024</t>
        </is>
      </c>
      <c r="B172" s="1" t="n">
        <v>45474</v>
      </c>
      <c r="C172" s="1" t="n">
        <v>45513</v>
      </c>
      <c r="D172" t="inlineStr">
        <is>
          <t>STOCKHOLMS LÄN</t>
        </is>
      </c>
      <c r="E172" t="inlineStr">
        <is>
          <t>NORRTÄLJE</t>
        </is>
      </c>
      <c r="G172" t="n">
        <v>1.5</v>
      </c>
      <c r="H172" t="n">
        <v>1</v>
      </c>
      <c r="I172" t="n">
        <v>1</v>
      </c>
      <c r="J172" t="n">
        <v>0</v>
      </c>
      <c r="K172" t="n">
        <v>0</v>
      </c>
      <c r="L172" t="n">
        <v>0</v>
      </c>
      <c r="M172" t="n">
        <v>0</v>
      </c>
      <c r="N172" t="n">
        <v>0</v>
      </c>
      <c r="O172" t="n">
        <v>0</v>
      </c>
      <c r="P172" t="n">
        <v>0</v>
      </c>
      <c r="Q172" t="n">
        <v>1</v>
      </c>
      <c r="R172" s="2" t="inlineStr">
        <is>
          <t>Skogsknipprot</t>
        </is>
      </c>
      <c r="S172">
        <f>HYPERLINK("https://klasma.github.io/Logging_0188/artfynd/A 27538-2024 artfynd.xlsx", "A 27538-2024")</f>
        <v/>
      </c>
      <c r="T172">
        <f>HYPERLINK("https://klasma.github.io/Logging_0188/kartor/A 27538-2024 karta.png", "A 27538-2024")</f>
        <v/>
      </c>
      <c r="V172">
        <f>HYPERLINK("https://klasma.github.io/Logging_0188/klagomål/A 27538-2024 FSC-klagomål.docx", "A 27538-2024")</f>
        <v/>
      </c>
      <c r="W172">
        <f>HYPERLINK("https://klasma.github.io/Logging_0188/klagomålsmail/A 27538-2024 FSC-klagomål mail.docx", "A 27538-2024")</f>
        <v/>
      </c>
      <c r="X172">
        <f>HYPERLINK("https://klasma.github.io/Logging_0188/tillsyn/A 27538-2024 tillsynsbegäran.docx", "A 27538-2024")</f>
        <v/>
      </c>
      <c r="Y172">
        <f>HYPERLINK("https://klasma.github.io/Logging_0188/tillsynsmail/A 27538-2024 tillsynsbegäran mail.docx", "A 27538-2024")</f>
        <v/>
      </c>
    </row>
    <row r="173" ht="15" customHeight="1">
      <c r="A173" t="inlineStr">
        <is>
          <t>A 17752-2019</t>
        </is>
      </c>
      <c r="B173" s="1" t="n">
        <v>43556</v>
      </c>
      <c r="C173" s="1" t="n">
        <v>45513</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17795-2019</t>
        </is>
      </c>
      <c r="B174" s="1" t="n">
        <v>43556</v>
      </c>
      <c r="C174" s="1" t="n">
        <v>45513</v>
      </c>
      <c r="D174" t="inlineStr">
        <is>
          <t>STOCKHOLMS LÄN</t>
        </is>
      </c>
      <c r="E174" t="inlineStr">
        <is>
          <t>NORRTÄLJE</t>
        </is>
      </c>
      <c r="G174" t="n">
        <v>0.8</v>
      </c>
      <c r="H174" t="n">
        <v>0</v>
      </c>
      <c r="I174" t="n">
        <v>0</v>
      </c>
      <c r="J174" t="n">
        <v>0</v>
      </c>
      <c r="K174" t="n">
        <v>0</v>
      </c>
      <c r="L174" t="n">
        <v>0</v>
      </c>
      <c r="M174" t="n">
        <v>0</v>
      </c>
      <c r="N174" t="n">
        <v>0</v>
      </c>
      <c r="O174" t="n">
        <v>0</v>
      </c>
      <c r="P174" t="n">
        <v>0</v>
      </c>
      <c r="Q174" t="n">
        <v>0</v>
      </c>
      <c r="R174" s="2" t="inlineStr"/>
    </row>
    <row r="175" ht="15" customHeight="1">
      <c r="A175" t="inlineStr">
        <is>
          <t>A 17757-2019</t>
        </is>
      </c>
      <c r="B175" s="1" t="n">
        <v>43556</v>
      </c>
      <c r="C175" s="1" t="n">
        <v>45513</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17963-2019</t>
        </is>
      </c>
      <c r="B176" s="1" t="n">
        <v>43557</v>
      </c>
      <c r="C176" s="1" t="n">
        <v>45513</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18378-2019</t>
        </is>
      </c>
      <c r="B177" s="1" t="n">
        <v>43559</v>
      </c>
      <c r="C177" s="1" t="n">
        <v>45513</v>
      </c>
      <c r="D177" t="inlineStr">
        <is>
          <t>STOCKHOLMS LÄN</t>
        </is>
      </c>
      <c r="E177" t="inlineStr">
        <is>
          <t>NORRTÄLJE</t>
        </is>
      </c>
      <c r="G177" t="n">
        <v>5.8</v>
      </c>
      <c r="H177" t="n">
        <v>0</v>
      </c>
      <c r="I177" t="n">
        <v>0</v>
      </c>
      <c r="J177" t="n">
        <v>0</v>
      </c>
      <c r="K177" t="n">
        <v>0</v>
      </c>
      <c r="L177" t="n">
        <v>0</v>
      </c>
      <c r="M177" t="n">
        <v>0</v>
      </c>
      <c r="N177" t="n">
        <v>0</v>
      </c>
      <c r="O177" t="n">
        <v>0</v>
      </c>
      <c r="P177" t="n">
        <v>0</v>
      </c>
      <c r="Q177" t="n">
        <v>0</v>
      </c>
      <c r="R177" s="2" t="inlineStr"/>
    </row>
    <row r="178" ht="15" customHeight="1">
      <c r="A178" t="inlineStr">
        <is>
          <t>A 18664-2019</t>
        </is>
      </c>
      <c r="B178" s="1" t="n">
        <v>43560</v>
      </c>
      <c r="C178" s="1" t="n">
        <v>45513</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18767-2019</t>
        </is>
      </c>
      <c r="B179" s="1" t="n">
        <v>43560</v>
      </c>
      <c r="C179" s="1" t="n">
        <v>45513</v>
      </c>
      <c r="D179" t="inlineStr">
        <is>
          <t>STOCKHOLMS LÄN</t>
        </is>
      </c>
      <c r="E179" t="inlineStr">
        <is>
          <t>NORRTÄLJE</t>
        </is>
      </c>
      <c r="G179" t="n">
        <v>4</v>
      </c>
      <c r="H179" t="n">
        <v>0</v>
      </c>
      <c r="I179" t="n">
        <v>0</v>
      </c>
      <c r="J179" t="n">
        <v>0</v>
      </c>
      <c r="K179" t="n">
        <v>0</v>
      </c>
      <c r="L179" t="n">
        <v>0</v>
      </c>
      <c r="M179" t="n">
        <v>0</v>
      </c>
      <c r="N179" t="n">
        <v>0</v>
      </c>
      <c r="O179" t="n">
        <v>0</v>
      </c>
      <c r="P179" t="n">
        <v>0</v>
      </c>
      <c r="Q179" t="n">
        <v>0</v>
      </c>
      <c r="R179" s="2" t="inlineStr"/>
    </row>
    <row r="180" ht="15" customHeight="1">
      <c r="A180" t="inlineStr">
        <is>
          <t>A 18820-2019</t>
        </is>
      </c>
      <c r="B180" s="1" t="n">
        <v>43563</v>
      </c>
      <c r="C180" s="1" t="n">
        <v>45513</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18890-2019</t>
        </is>
      </c>
      <c r="B181" s="1" t="n">
        <v>43563</v>
      </c>
      <c r="C181" s="1" t="n">
        <v>45513</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18909-2019</t>
        </is>
      </c>
      <c r="B182" s="1" t="n">
        <v>43563</v>
      </c>
      <c r="C182" s="1" t="n">
        <v>45513</v>
      </c>
      <c r="D182" t="inlineStr">
        <is>
          <t>STOCKHOLMS LÄN</t>
        </is>
      </c>
      <c r="E182" t="inlineStr">
        <is>
          <t>NORRTÄLJE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19026-2019</t>
        </is>
      </c>
      <c r="B183" s="1" t="n">
        <v>43563</v>
      </c>
      <c r="C183" s="1" t="n">
        <v>45513</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19014-2019</t>
        </is>
      </c>
      <c r="B184" s="1" t="n">
        <v>43563</v>
      </c>
      <c r="C184" s="1" t="n">
        <v>45513</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19247-2019</t>
        </is>
      </c>
      <c r="B185" s="1" t="n">
        <v>43564</v>
      </c>
      <c r="C185" s="1" t="n">
        <v>45513</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19255-2019</t>
        </is>
      </c>
      <c r="B186" s="1" t="n">
        <v>43564</v>
      </c>
      <c r="C186" s="1" t="n">
        <v>45513</v>
      </c>
      <c r="D186" t="inlineStr">
        <is>
          <t>STOCKHOLMS LÄN</t>
        </is>
      </c>
      <c r="E186" t="inlineStr">
        <is>
          <t>NORRTÄLJE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19302-2019</t>
        </is>
      </c>
      <c r="B187" s="1" t="n">
        <v>43565</v>
      </c>
      <c r="C187" s="1" t="n">
        <v>45513</v>
      </c>
      <c r="D187" t="inlineStr">
        <is>
          <t>STOCKHOLMS LÄN</t>
        </is>
      </c>
      <c r="E187" t="inlineStr">
        <is>
          <t>NORRTÄLJE</t>
        </is>
      </c>
      <c r="F187" t="inlineStr">
        <is>
          <t>Kommuner</t>
        </is>
      </c>
      <c r="G187" t="n">
        <v>4.2</v>
      </c>
      <c r="H187" t="n">
        <v>0</v>
      </c>
      <c r="I187" t="n">
        <v>0</v>
      </c>
      <c r="J187" t="n">
        <v>0</v>
      </c>
      <c r="K187" t="n">
        <v>0</v>
      </c>
      <c r="L187" t="n">
        <v>0</v>
      </c>
      <c r="M187" t="n">
        <v>0</v>
      </c>
      <c r="N187" t="n">
        <v>0</v>
      </c>
      <c r="O187" t="n">
        <v>0</v>
      </c>
      <c r="P187" t="n">
        <v>0</v>
      </c>
      <c r="Q187" t="n">
        <v>0</v>
      </c>
      <c r="R187" s="2" t="inlineStr"/>
    </row>
    <row r="188" ht="15" customHeight="1">
      <c r="A188" t="inlineStr">
        <is>
          <t>A 19301-2019</t>
        </is>
      </c>
      <c r="B188" s="1" t="n">
        <v>43565</v>
      </c>
      <c r="C188" s="1" t="n">
        <v>45513</v>
      </c>
      <c r="D188" t="inlineStr">
        <is>
          <t>STOCKHOLMS LÄN</t>
        </is>
      </c>
      <c r="E188" t="inlineStr">
        <is>
          <t>NORRTÄLJE</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19297-2019</t>
        </is>
      </c>
      <c r="B189" s="1" t="n">
        <v>43565</v>
      </c>
      <c r="C189" s="1" t="n">
        <v>45513</v>
      </c>
      <c r="D189" t="inlineStr">
        <is>
          <t>STOCKHOLMS LÄN</t>
        </is>
      </c>
      <c r="E189" t="inlineStr">
        <is>
          <t>NORRTÄLJE</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19537-2019</t>
        </is>
      </c>
      <c r="B190" s="1" t="n">
        <v>43565</v>
      </c>
      <c r="C190" s="1" t="n">
        <v>45513</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19539-2019</t>
        </is>
      </c>
      <c r="B191" s="1" t="n">
        <v>43565</v>
      </c>
      <c r="C191" s="1" t="n">
        <v>45513</v>
      </c>
      <c r="D191" t="inlineStr">
        <is>
          <t>STOCKHOLMS LÄN</t>
        </is>
      </c>
      <c r="E191" t="inlineStr">
        <is>
          <t>NORRTÄLJE</t>
        </is>
      </c>
      <c r="G191" t="n">
        <v>2.4</v>
      </c>
      <c r="H191" t="n">
        <v>0</v>
      </c>
      <c r="I191" t="n">
        <v>0</v>
      </c>
      <c r="J191" t="n">
        <v>0</v>
      </c>
      <c r="K191" t="n">
        <v>0</v>
      </c>
      <c r="L191" t="n">
        <v>0</v>
      </c>
      <c r="M191" t="n">
        <v>0</v>
      </c>
      <c r="N191" t="n">
        <v>0</v>
      </c>
      <c r="O191" t="n">
        <v>0</v>
      </c>
      <c r="P191" t="n">
        <v>0</v>
      </c>
      <c r="Q191" t="n">
        <v>0</v>
      </c>
      <c r="R191" s="2" t="inlineStr"/>
    </row>
    <row r="192" ht="15" customHeight="1">
      <c r="A192" t="inlineStr">
        <is>
          <t>A 19540-2019</t>
        </is>
      </c>
      <c r="B192" s="1" t="n">
        <v>43565</v>
      </c>
      <c r="C192" s="1" t="n">
        <v>45513</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19638-2019</t>
        </is>
      </c>
      <c r="B193" s="1" t="n">
        <v>43566</v>
      </c>
      <c r="C193" s="1" t="n">
        <v>45513</v>
      </c>
      <c r="D193" t="inlineStr">
        <is>
          <t>STOCKHOLMS LÄN</t>
        </is>
      </c>
      <c r="E193" t="inlineStr">
        <is>
          <t>NORRTÄLJE</t>
        </is>
      </c>
      <c r="G193" t="n">
        <v>0.6</v>
      </c>
      <c r="H193" t="n">
        <v>0</v>
      </c>
      <c r="I193" t="n">
        <v>0</v>
      </c>
      <c r="J193" t="n">
        <v>0</v>
      </c>
      <c r="K193" t="n">
        <v>0</v>
      </c>
      <c r="L193" t="n">
        <v>0</v>
      </c>
      <c r="M193" t="n">
        <v>0</v>
      </c>
      <c r="N193" t="n">
        <v>0</v>
      </c>
      <c r="O193" t="n">
        <v>0</v>
      </c>
      <c r="P193" t="n">
        <v>0</v>
      </c>
      <c r="Q193" t="n">
        <v>0</v>
      </c>
      <c r="R193" s="2" t="inlineStr"/>
    </row>
    <row r="194" ht="15" customHeight="1">
      <c r="A194" t="inlineStr">
        <is>
          <t>A 19593-2019</t>
        </is>
      </c>
      <c r="B194" s="1" t="n">
        <v>43566</v>
      </c>
      <c r="C194" s="1" t="n">
        <v>45513</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19872-2019</t>
        </is>
      </c>
      <c r="B195" s="1" t="n">
        <v>43567</v>
      </c>
      <c r="C195" s="1" t="n">
        <v>45513</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19811-2019</t>
        </is>
      </c>
      <c r="B196" s="1" t="n">
        <v>43567</v>
      </c>
      <c r="C196" s="1" t="n">
        <v>45513</v>
      </c>
      <c r="D196" t="inlineStr">
        <is>
          <t>STOCKHOLMS LÄN</t>
        </is>
      </c>
      <c r="E196" t="inlineStr">
        <is>
          <t>NORRTÄLJE</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19812-2019</t>
        </is>
      </c>
      <c r="B197" s="1" t="n">
        <v>43567</v>
      </c>
      <c r="C197" s="1" t="n">
        <v>45513</v>
      </c>
      <c r="D197" t="inlineStr">
        <is>
          <t>STOCKHOLMS LÄN</t>
        </is>
      </c>
      <c r="E197" t="inlineStr">
        <is>
          <t>NORRTÄLJE</t>
        </is>
      </c>
      <c r="F197" t="inlineStr">
        <is>
          <t>Kommuner</t>
        </is>
      </c>
      <c r="G197" t="n">
        <v>1.5</v>
      </c>
      <c r="H197" t="n">
        <v>0</v>
      </c>
      <c r="I197" t="n">
        <v>0</v>
      </c>
      <c r="J197" t="n">
        <v>0</v>
      </c>
      <c r="K197" t="n">
        <v>0</v>
      </c>
      <c r="L197" t="n">
        <v>0</v>
      </c>
      <c r="M197" t="n">
        <v>0</v>
      </c>
      <c r="N197" t="n">
        <v>0</v>
      </c>
      <c r="O197" t="n">
        <v>0</v>
      </c>
      <c r="P197" t="n">
        <v>0</v>
      </c>
      <c r="Q197" t="n">
        <v>0</v>
      </c>
      <c r="R197" s="2" t="inlineStr"/>
    </row>
    <row r="198" ht="15" customHeight="1">
      <c r="A198" t="inlineStr">
        <is>
          <t>A 19931-2019</t>
        </is>
      </c>
      <c r="B198" s="1" t="n">
        <v>43568</v>
      </c>
      <c r="C198" s="1" t="n">
        <v>45513</v>
      </c>
      <c r="D198" t="inlineStr">
        <is>
          <t>STOCKHOLMS LÄN</t>
        </is>
      </c>
      <c r="E198" t="inlineStr">
        <is>
          <t>NORRTÄLJE</t>
        </is>
      </c>
      <c r="G198" t="n">
        <v>4.2</v>
      </c>
      <c r="H198" t="n">
        <v>0</v>
      </c>
      <c r="I198" t="n">
        <v>0</v>
      </c>
      <c r="J198" t="n">
        <v>0</v>
      </c>
      <c r="K198" t="n">
        <v>0</v>
      </c>
      <c r="L198" t="n">
        <v>0</v>
      </c>
      <c r="M198" t="n">
        <v>0</v>
      </c>
      <c r="N198" t="n">
        <v>0</v>
      </c>
      <c r="O198" t="n">
        <v>0</v>
      </c>
      <c r="P198" t="n">
        <v>0</v>
      </c>
      <c r="Q198" t="n">
        <v>0</v>
      </c>
      <c r="R198" s="2" t="inlineStr"/>
    </row>
    <row r="199" ht="15" customHeight="1">
      <c r="A199" t="inlineStr">
        <is>
          <t>A 20033-2019</t>
        </is>
      </c>
      <c r="B199" s="1" t="n">
        <v>43570</v>
      </c>
      <c r="C199" s="1" t="n">
        <v>45513</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20020-2019</t>
        </is>
      </c>
      <c r="B200" s="1" t="n">
        <v>43570</v>
      </c>
      <c r="C200" s="1" t="n">
        <v>45513</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20051-2019</t>
        </is>
      </c>
      <c r="B201" s="1" t="n">
        <v>43570</v>
      </c>
      <c r="C201" s="1" t="n">
        <v>45513</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20137-2019</t>
        </is>
      </c>
      <c r="B202" s="1" t="n">
        <v>43570</v>
      </c>
      <c r="C202" s="1" t="n">
        <v>45513</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20007-2019</t>
        </is>
      </c>
      <c r="B203" s="1" t="n">
        <v>43570</v>
      </c>
      <c r="C203" s="1" t="n">
        <v>45513</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20052-2019</t>
        </is>
      </c>
      <c r="B204" s="1" t="n">
        <v>43570</v>
      </c>
      <c r="C204" s="1" t="n">
        <v>45513</v>
      </c>
      <c r="D204" t="inlineStr">
        <is>
          <t>STOCKHOLMS LÄN</t>
        </is>
      </c>
      <c r="E204" t="inlineStr">
        <is>
          <t>NORRTÄLJE</t>
        </is>
      </c>
      <c r="G204" t="n">
        <v>0.5</v>
      </c>
      <c r="H204" t="n">
        <v>0</v>
      </c>
      <c r="I204" t="n">
        <v>0</v>
      </c>
      <c r="J204" t="n">
        <v>0</v>
      </c>
      <c r="K204" t="n">
        <v>0</v>
      </c>
      <c r="L204" t="n">
        <v>0</v>
      </c>
      <c r="M204" t="n">
        <v>0</v>
      </c>
      <c r="N204" t="n">
        <v>0</v>
      </c>
      <c r="O204" t="n">
        <v>0</v>
      </c>
      <c r="P204" t="n">
        <v>0</v>
      </c>
      <c r="Q204" t="n">
        <v>0</v>
      </c>
      <c r="R204" s="2" t="inlineStr"/>
    </row>
    <row r="205" ht="15" customHeight="1">
      <c r="A205" t="inlineStr">
        <is>
          <t>A 20159-2019</t>
        </is>
      </c>
      <c r="B205" s="1" t="n">
        <v>43570</v>
      </c>
      <c r="C205" s="1" t="n">
        <v>45513</v>
      </c>
      <c r="D205" t="inlineStr">
        <is>
          <t>STOCKHOLMS LÄN</t>
        </is>
      </c>
      <c r="E205" t="inlineStr">
        <is>
          <t>NORRTÄLJE</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20181-2019</t>
        </is>
      </c>
      <c r="B206" s="1" t="n">
        <v>43570</v>
      </c>
      <c r="C206" s="1" t="n">
        <v>45513</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20184-2019</t>
        </is>
      </c>
      <c r="B207" s="1" t="n">
        <v>43570</v>
      </c>
      <c r="C207" s="1" t="n">
        <v>45513</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20193-2019</t>
        </is>
      </c>
      <c r="B208" s="1" t="n">
        <v>43570</v>
      </c>
      <c r="C208" s="1" t="n">
        <v>45513</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20090-2019</t>
        </is>
      </c>
      <c r="B209" s="1" t="n">
        <v>43570</v>
      </c>
      <c r="C209" s="1" t="n">
        <v>45513</v>
      </c>
      <c r="D209" t="inlineStr">
        <is>
          <t>STOCKHOLMS LÄN</t>
        </is>
      </c>
      <c r="E209" t="inlineStr">
        <is>
          <t>NORRTÄLJE</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20165-2019</t>
        </is>
      </c>
      <c r="B210" s="1" t="n">
        <v>43570</v>
      </c>
      <c r="C210" s="1" t="n">
        <v>45513</v>
      </c>
      <c r="D210" t="inlineStr">
        <is>
          <t>STOCKHOLMS LÄN</t>
        </is>
      </c>
      <c r="E210" t="inlineStr">
        <is>
          <t>NORRTÄLJE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20023-2019</t>
        </is>
      </c>
      <c r="B211" s="1" t="n">
        <v>43570</v>
      </c>
      <c r="C211" s="1" t="n">
        <v>45513</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20531-2019</t>
        </is>
      </c>
      <c r="B212" s="1" t="n">
        <v>43572</v>
      </c>
      <c r="C212" s="1" t="n">
        <v>45513</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20743-2019</t>
        </is>
      </c>
      <c r="B213" s="1" t="n">
        <v>43573</v>
      </c>
      <c r="C213" s="1" t="n">
        <v>45513</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20809-2019</t>
        </is>
      </c>
      <c r="B214" s="1" t="n">
        <v>43573</v>
      </c>
      <c r="C214" s="1" t="n">
        <v>45513</v>
      </c>
      <c r="D214" t="inlineStr">
        <is>
          <t>STOCKHOLMS LÄN</t>
        </is>
      </c>
      <c r="E214" t="inlineStr">
        <is>
          <t>NORRTÄLJE</t>
        </is>
      </c>
      <c r="F214" t="inlineStr">
        <is>
          <t>Kommuner</t>
        </is>
      </c>
      <c r="G214" t="n">
        <v>2.2</v>
      </c>
      <c r="H214" t="n">
        <v>0</v>
      </c>
      <c r="I214" t="n">
        <v>0</v>
      </c>
      <c r="J214" t="n">
        <v>0</v>
      </c>
      <c r="K214" t="n">
        <v>0</v>
      </c>
      <c r="L214" t="n">
        <v>0</v>
      </c>
      <c r="M214" t="n">
        <v>0</v>
      </c>
      <c r="N214" t="n">
        <v>0</v>
      </c>
      <c r="O214" t="n">
        <v>0</v>
      </c>
      <c r="P214" t="n">
        <v>0</v>
      </c>
      <c r="Q214" t="n">
        <v>0</v>
      </c>
      <c r="R214" s="2" t="inlineStr"/>
    </row>
    <row r="215" ht="15" customHeight="1">
      <c r="A215" t="inlineStr">
        <is>
          <t>A 20925-2019</t>
        </is>
      </c>
      <c r="B215" s="1" t="n">
        <v>43578</v>
      </c>
      <c r="C215" s="1" t="n">
        <v>45513</v>
      </c>
      <c r="D215" t="inlineStr">
        <is>
          <t>STOCKHOLMS LÄN</t>
        </is>
      </c>
      <c r="E215" t="inlineStr">
        <is>
          <t>NORRTÄLJE</t>
        </is>
      </c>
      <c r="G215" t="n">
        <v>5</v>
      </c>
      <c r="H215" t="n">
        <v>0</v>
      </c>
      <c r="I215" t="n">
        <v>0</v>
      </c>
      <c r="J215" t="n">
        <v>0</v>
      </c>
      <c r="K215" t="n">
        <v>0</v>
      </c>
      <c r="L215" t="n">
        <v>0</v>
      </c>
      <c r="M215" t="n">
        <v>0</v>
      </c>
      <c r="N215" t="n">
        <v>0</v>
      </c>
      <c r="O215" t="n">
        <v>0</v>
      </c>
      <c r="P215" t="n">
        <v>0</v>
      </c>
      <c r="Q215" t="n">
        <v>0</v>
      </c>
      <c r="R215" s="2" t="inlineStr"/>
    </row>
    <row r="216" ht="15" customHeight="1">
      <c r="A216" t="inlineStr">
        <is>
          <t>A 21062-2019</t>
        </is>
      </c>
      <c r="B216" s="1" t="n">
        <v>43578</v>
      </c>
      <c r="C216" s="1" t="n">
        <v>45513</v>
      </c>
      <c r="D216" t="inlineStr">
        <is>
          <t>STOCKHOLMS LÄN</t>
        </is>
      </c>
      <c r="E216" t="inlineStr">
        <is>
          <t>NORRTÄLJE</t>
        </is>
      </c>
      <c r="G216" t="n">
        <v>2.7</v>
      </c>
      <c r="H216" t="n">
        <v>0</v>
      </c>
      <c r="I216" t="n">
        <v>0</v>
      </c>
      <c r="J216" t="n">
        <v>0</v>
      </c>
      <c r="K216" t="n">
        <v>0</v>
      </c>
      <c r="L216" t="n">
        <v>0</v>
      </c>
      <c r="M216" t="n">
        <v>0</v>
      </c>
      <c r="N216" t="n">
        <v>0</v>
      </c>
      <c r="O216" t="n">
        <v>0</v>
      </c>
      <c r="P216" t="n">
        <v>0</v>
      </c>
      <c r="Q216" t="n">
        <v>0</v>
      </c>
      <c r="R216" s="2" t="inlineStr"/>
    </row>
    <row r="217" ht="15" customHeight="1">
      <c r="A217" t="inlineStr">
        <is>
          <t>A 21441-2019</t>
        </is>
      </c>
      <c r="B217" s="1" t="n">
        <v>43580</v>
      </c>
      <c r="C217" s="1" t="n">
        <v>45513</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21521-2019</t>
        </is>
      </c>
      <c r="B218" s="1" t="n">
        <v>43580</v>
      </c>
      <c r="C218" s="1" t="n">
        <v>45513</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21508-2019</t>
        </is>
      </c>
      <c r="B219" s="1" t="n">
        <v>43580</v>
      </c>
      <c r="C219" s="1" t="n">
        <v>45513</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21457-2019</t>
        </is>
      </c>
      <c r="B220" s="1" t="n">
        <v>43580</v>
      </c>
      <c r="C220" s="1" t="n">
        <v>45513</v>
      </c>
      <c r="D220" t="inlineStr">
        <is>
          <t>STOCKHOLMS LÄN</t>
        </is>
      </c>
      <c r="E220" t="inlineStr">
        <is>
          <t>NORRTÄLJE</t>
        </is>
      </c>
      <c r="G220" t="n">
        <v>2.6</v>
      </c>
      <c r="H220" t="n">
        <v>0</v>
      </c>
      <c r="I220" t="n">
        <v>0</v>
      </c>
      <c r="J220" t="n">
        <v>0</v>
      </c>
      <c r="K220" t="n">
        <v>0</v>
      </c>
      <c r="L220" t="n">
        <v>0</v>
      </c>
      <c r="M220" t="n">
        <v>0</v>
      </c>
      <c r="N220" t="n">
        <v>0</v>
      </c>
      <c r="O220" t="n">
        <v>0</v>
      </c>
      <c r="P220" t="n">
        <v>0</v>
      </c>
      <c r="Q220" t="n">
        <v>0</v>
      </c>
      <c r="R220" s="2" t="inlineStr"/>
    </row>
    <row r="221" ht="15" customHeight="1">
      <c r="A221" t="inlineStr">
        <is>
          <t>A 21501-2019</t>
        </is>
      </c>
      <c r="B221" s="1" t="n">
        <v>43580</v>
      </c>
      <c r="C221" s="1" t="n">
        <v>45513</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21616-2019</t>
        </is>
      </c>
      <c r="B222" s="1" t="n">
        <v>43581</v>
      </c>
      <c r="C222" s="1" t="n">
        <v>45513</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21662-2019</t>
        </is>
      </c>
      <c r="B223" s="1" t="n">
        <v>43581</v>
      </c>
      <c r="C223" s="1" t="n">
        <v>45513</v>
      </c>
      <c r="D223" t="inlineStr">
        <is>
          <t>STOCKHOLMS LÄN</t>
        </is>
      </c>
      <c r="E223" t="inlineStr">
        <is>
          <t>NORRTÄLJE</t>
        </is>
      </c>
      <c r="G223" t="n">
        <v>1.5</v>
      </c>
      <c r="H223" t="n">
        <v>0</v>
      </c>
      <c r="I223" t="n">
        <v>0</v>
      </c>
      <c r="J223" t="n">
        <v>0</v>
      </c>
      <c r="K223" t="n">
        <v>0</v>
      </c>
      <c r="L223" t="n">
        <v>0</v>
      </c>
      <c r="M223" t="n">
        <v>0</v>
      </c>
      <c r="N223" t="n">
        <v>0</v>
      </c>
      <c r="O223" t="n">
        <v>0</v>
      </c>
      <c r="P223" t="n">
        <v>0</v>
      </c>
      <c r="Q223" t="n">
        <v>0</v>
      </c>
      <c r="R223" s="2" t="inlineStr"/>
    </row>
    <row r="224" ht="15" customHeight="1">
      <c r="A224" t="inlineStr">
        <is>
          <t>A 21720-2019</t>
        </is>
      </c>
      <c r="B224" s="1" t="n">
        <v>43581</v>
      </c>
      <c r="C224" s="1" t="n">
        <v>45513</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21692-2019</t>
        </is>
      </c>
      <c r="B225" s="1" t="n">
        <v>43581</v>
      </c>
      <c r="C225" s="1" t="n">
        <v>45513</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21811-2019</t>
        </is>
      </c>
      <c r="B226" s="1" t="n">
        <v>43582</v>
      </c>
      <c r="C226" s="1" t="n">
        <v>45513</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22207-2019</t>
        </is>
      </c>
      <c r="B227" s="1" t="n">
        <v>43585</v>
      </c>
      <c r="C227" s="1" t="n">
        <v>45513</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22211-2019</t>
        </is>
      </c>
      <c r="B228" s="1" t="n">
        <v>43585</v>
      </c>
      <c r="C228" s="1" t="n">
        <v>45513</v>
      </c>
      <c r="D228" t="inlineStr">
        <is>
          <t>STOCKHOLMS LÄN</t>
        </is>
      </c>
      <c r="E228" t="inlineStr">
        <is>
          <t>NORRTÄLJE</t>
        </is>
      </c>
      <c r="G228" t="n">
        <v>6.8</v>
      </c>
      <c r="H228" t="n">
        <v>0</v>
      </c>
      <c r="I228" t="n">
        <v>0</v>
      </c>
      <c r="J228" t="n">
        <v>0</v>
      </c>
      <c r="K228" t="n">
        <v>0</v>
      </c>
      <c r="L228" t="n">
        <v>0</v>
      </c>
      <c r="M228" t="n">
        <v>0</v>
      </c>
      <c r="N228" t="n">
        <v>0</v>
      </c>
      <c r="O228" t="n">
        <v>0</v>
      </c>
      <c r="P228" t="n">
        <v>0</v>
      </c>
      <c r="Q228" t="n">
        <v>0</v>
      </c>
      <c r="R228" s="2" t="inlineStr"/>
    </row>
    <row r="229" ht="15" customHeight="1">
      <c r="A229" t="inlineStr">
        <is>
          <t>A 22254-2019</t>
        </is>
      </c>
      <c r="B229" s="1" t="n">
        <v>43585</v>
      </c>
      <c r="C229" s="1" t="n">
        <v>45513</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22218-2019</t>
        </is>
      </c>
      <c r="B230" s="1" t="n">
        <v>43585</v>
      </c>
      <c r="C230" s="1" t="n">
        <v>45513</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22331-2019</t>
        </is>
      </c>
      <c r="B231" s="1" t="n">
        <v>43586</v>
      </c>
      <c r="C231" s="1" t="n">
        <v>45513</v>
      </c>
      <c r="D231" t="inlineStr">
        <is>
          <t>STOCKHOLMS LÄN</t>
        </is>
      </c>
      <c r="E231" t="inlineStr">
        <is>
          <t>NORRTÄLJE</t>
        </is>
      </c>
      <c r="G231" t="n">
        <v>2.6</v>
      </c>
      <c r="H231" t="n">
        <v>0</v>
      </c>
      <c r="I231" t="n">
        <v>0</v>
      </c>
      <c r="J231" t="n">
        <v>0</v>
      </c>
      <c r="K231" t="n">
        <v>0</v>
      </c>
      <c r="L231" t="n">
        <v>0</v>
      </c>
      <c r="M231" t="n">
        <v>0</v>
      </c>
      <c r="N231" t="n">
        <v>0</v>
      </c>
      <c r="O231" t="n">
        <v>0</v>
      </c>
      <c r="P231" t="n">
        <v>0</v>
      </c>
      <c r="Q231" t="n">
        <v>0</v>
      </c>
      <c r="R231" s="2" t="inlineStr"/>
    </row>
    <row r="232" ht="15" customHeight="1">
      <c r="A232" t="inlineStr">
        <is>
          <t>A 22359-2019</t>
        </is>
      </c>
      <c r="B232" s="1" t="n">
        <v>43587</v>
      </c>
      <c r="C232" s="1" t="n">
        <v>45513</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row>
    <row r="233" ht="15" customHeight="1">
      <c r="A233" t="inlineStr">
        <is>
          <t>A 22422-2019</t>
        </is>
      </c>
      <c r="B233" s="1" t="n">
        <v>43587</v>
      </c>
      <c r="C233" s="1" t="n">
        <v>45513</v>
      </c>
      <c r="D233" t="inlineStr">
        <is>
          <t>STOCKHOLMS LÄN</t>
        </is>
      </c>
      <c r="E233" t="inlineStr">
        <is>
          <t>NORRTÄLJE</t>
        </is>
      </c>
      <c r="G233" t="n">
        <v>1.5</v>
      </c>
      <c r="H233" t="n">
        <v>0</v>
      </c>
      <c r="I233" t="n">
        <v>0</v>
      </c>
      <c r="J233" t="n">
        <v>0</v>
      </c>
      <c r="K233" t="n">
        <v>0</v>
      </c>
      <c r="L233" t="n">
        <v>0</v>
      </c>
      <c r="M233" t="n">
        <v>0</v>
      </c>
      <c r="N233" t="n">
        <v>0</v>
      </c>
      <c r="O233" t="n">
        <v>0</v>
      </c>
      <c r="P233" t="n">
        <v>0</v>
      </c>
      <c r="Q233" t="n">
        <v>0</v>
      </c>
      <c r="R233" s="2" t="inlineStr"/>
    </row>
    <row r="234" ht="15" customHeight="1">
      <c r="A234" t="inlineStr">
        <is>
          <t>A 22490-2019</t>
        </is>
      </c>
      <c r="B234" s="1" t="n">
        <v>43587</v>
      </c>
      <c r="C234" s="1" t="n">
        <v>45513</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22496-2019</t>
        </is>
      </c>
      <c r="B235" s="1" t="n">
        <v>43587</v>
      </c>
      <c r="C235" s="1" t="n">
        <v>45513</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23711-2019</t>
        </is>
      </c>
      <c r="B236" s="1" t="n">
        <v>43594</v>
      </c>
      <c r="C236" s="1" t="n">
        <v>45513</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23710-2019</t>
        </is>
      </c>
      <c r="B237" s="1" t="n">
        <v>43594</v>
      </c>
      <c r="C237" s="1" t="n">
        <v>45513</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23862-2019</t>
        </is>
      </c>
      <c r="B238" s="1" t="n">
        <v>43595</v>
      </c>
      <c r="C238" s="1" t="n">
        <v>45513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23878-2019</t>
        </is>
      </c>
      <c r="B239" s="1" t="n">
        <v>43595</v>
      </c>
      <c r="C239" s="1" t="n">
        <v>45513</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23961-2019</t>
        </is>
      </c>
      <c r="B240" s="1" t="n">
        <v>43597</v>
      </c>
      <c r="C240" s="1" t="n">
        <v>45513</v>
      </c>
      <c r="D240" t="inlineStr">
        <is>
          <t>STOCKHOLMS LÄN</t>
        </is>
      </c>
      <c r="E240" t="inlineStr">
        <is>
          <t>NORRTÄLJE</t>
        </is>
      </c>
      <c r="G240" t="n">
        <v>17.6</v>
      </c>
      <c r="H240" t="n">
        <v>0</v>
      </c>
      <c r="I240" t="n">
        <v>0</v>
      </c>
      <c r="J240" t="n">
        <v>0</v>
      </c>
      <c r="K240" t="n">
        <v>0</v>
      </c>
      <c r="L240" t="n">
        <v>0</v>
      </c>
      <c r="M240" t="n">
        <v>0</v>
      </c>
      <c r="N240" t="n">
        <v>0</v>
      </c>
      <c r="O240" t="n">
        <v>0</v>
      </c>
      <c r="P240" t="n">
        <v>0</v>
      </c>
      <c r="Q240" t="n">
        <v>0</v>
      </c>
      <c r="R240" s="2" t="inlineStr"/>
    </row>
    <row r="241" ht="15" customHeight="1">
      <c r="A241" t="inlineStr">
        <is>
          <t>A 23965-2019</t>
        </is>
      </c>
      <c r="B241" s="1" t="n">
        <v>43597</v>
      </c>
      <c r="C241" s="1" t="n">
        <v>45513</v>
      </c>
      <c r="D241" t="inlineStr">
        <is>
          <t>STOCKHOLMS LÄN</t>
        </is>
      </c>
      <c r="E241" t="inlineStr">
        <is>
          <t>NORRTÄLJE</t>
        </is>
      </c>
      <c r="G241" t="n">
        <v>6.1</v>
      </c>
      <c r="H241" t="n">
        <v>0</v>
      </c>
      <c r="I241" t="n">
        <v>0</v>
      </c>
      <c r="J241" t="n">
        <v>0</v>
      </c>
      <c r="K241" t="n">
        <v>0</v>
      </c>
      <c r="L241" t="n">
        <v>0</v>
      </c>
      <c r="M241" t="n">
        <v>0</v>
      </c>
      <c r="N241" t="n">
        <v>0</v>
      </c>
      <c r="O241" t="n">
        <v>0</v>
      </c>
      <c r="P241" t="n">
        <v>0</v>
      </c>
      <c r="Q241" t="n">
        <v>0</v>
      </c>
      <c r="R241" s="2" t="inlineStr"/>
    </row>
    <row r="242" ht="15" customHeight="1">
      <c r="A242" t="inlineStr">
        <is>
          <t>A 23963-2019</t>
        </is>
      </c>
      <c r="B242" s="1" t="n">
        <v>43597</v>
      </c>
      <c r="C242" s="1" t="n">
        <v>45513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24124-2019</t>
        </is>
      </c>
      <c r="B243" s="1" t="n">
        <v>43598</v>
      </c>
      <c r="C243" s="1" t="n">
        <v>45513</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24058-2019</t>
        </is>
      </c>
      <c r="B244" s="1" t="n">
        <v>43598</v>
      </c>
      <c r="C244" s="1" t="n">
        <v>45513</v>
      </c>
      <c r="D244" t="inlineStr">
        <is>
          <t>STOCKHOLMS LÄN</t>
        </is>
      </c>
      <c r="E244" t="inlineStr">
        <is>
          <t>NORRTÄLJE</t>
        </is>
      </c>
      <c r="G244" t="n">
        <v>2.5</v>
      </c>
      <c r="H244" t="n">
        <v>0</v>
      </c>
      <c r="I244" t="n">
        <v>0</v>
      </c>
      <c r="J244" t="n">
        <v>0</v>
      </c>
      <c r="K244" t="n">
        <v>0</v>
      </c>
      <c r="L244" t="n">
        <v>0</v>
      </c>
      <c r="M244" t="n">
        <v>0</v>
      </c>
      <c r="N244" t="n">
        <v>0</v>
      </c>
      <c r="O244" t="n">
        <v>0</v>
      </c>
      <c r="P244" t="n">
        <v>0</v>
      </c>
      <c r="Q244" t="n">
        <v>0</v>
      </c>
      <c r="R244" s="2" t="inlineStr"/>
    </row>
    <row r="245" ht="15" customHeight="1">
      <c r="A245" t="inlineStr">
        <is>
          <t>A 24562-2019</t>
        </is>
      </c>
      <c r="B245" s="1" t="n">
        <v>43600</v>
      </c>
      <c r="C245" s="1" t="n">
        <v>45513</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24721-2019</t>
        </is>
      </c>
      <c r="B246" s="1" t="n">
        <v>43601</v>
      </c>
      <c r="C246" s="1" t="n">
        <v>45513</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25284-2019</t>
        </is>
      </c>
      <c r="B247" s="1" t="n">
        <v>43605</v>
      </c>
      <c r="C247" s="1" t="n">
        <v>45513</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25535-2019</t>
        </is>
      </c>
      <c r="B248" s="1" t="n">
        <v>43606</v>
      </c>
      <c r="C248" s="1" t="n">
        <v>45513</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25316-2019</t>
        </is>
      </c>
      <c r="B249" s="1" t="n">
        <v>43606</v>
      </c>
      <c r="C249" s="1" t="n">
        <v>45513</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26374-2019</t>
        </is>
      </c>
      <c r="B250" s="1" t="n">
        <v>43606</v>
      </c>
      <c r="C250" s="1" t="n">
        <v>45513</v>
      </c>
      <c r="D250" t="inlineStr">
        <is>
          <t>STOCKHOLMS LÄN</t>
        </is>
      </c>
      <c r="E250" t="inlineStr">
        <is>
          <t>NORRTÄLJE</t>
        </is>
      </c>
      <c r="G250" t="n">
        <v>11.6</v>
      </c>
      <c r="H250" t="n">
        <v>0</v>
      </c>
      <c r="I250" t="n">
        <v>0</v>
      </c>
      <c r="J250" t="n">
        <v>0</v>
      </c>
      <c r="K250" t="n">
        <v>0</v>
      </c>
      <c r="L250" t="n">
        <v>0</v>
      </c>
      <c r="M250" t="n">
        <v>0</v>
      </c>
      <c r="N250" t="n">
        <v>0</v>
      </c>
      <c r="O250" t="n">
        <v>0</v>
      </c>
      <c r="P250" t="n">
        <v>0</v>
      </c>
      <c r="Q250" t="n">
        <v>0</v>
      </c>
      <c r="R250" s="2" t="inlineStr"/>
    </row>
    <row r="251" ht="15" customHeight="1">
      <c r="A251" t="inlineStr">
        <is>
          <t>A 25315-2019</t>
        </is>
      </c>
      <c r="B251" s="1" t="n">
        <v>43606</v>
      </c>
      <c r="C251" s="1" t="n">
        <v>45513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25625-2019</t>
        </is>
      </c>
      <c r="B252" s="1" t="n">
        <v>43607</v>
      </c>
      <c r="C252" s="1" t="n">
        <v>45513</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26272-2019</t>
        </is>
      </c>
      <c r="B253" s="1" t="n">
        <v>43611</v>
      </c>
      <c r="C253" s="1" t="n">
        <v>45513</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26620-2019</t>
        </is>
      </c>
      <c r="B254" s="1" t="n">
        <v>43612</v>
      </c>
      <c r="C254" s="1" t="n">
        <v>45513</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26391-2019</t>
        </is>
      </c>
      <c r="B255" s="1" t="n">
        <v>43612</v>
      </c>
      <c r="C255" s="1" t="n">
        <v>45513</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26933-2019</t>
        </is>
      </c>
      <c r="B256" s="1" t="n">
        <v>43613</v>
      </c>
      <c r="C256" s="1" t="n">
        <v>45513</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26830-2019</t>
        </is>
      </c>
      <c r="B257" s="1" t="n">
        <v>43613</v>
      </c>
      <c r="C257" s="1" t="n">
        <v>45513</v>
      </c>
      <c r="D257" t="inlineStr">
        <is>
          <t>STOCKHOLMS LÄN</t>
        </is>
      </c>
      <c r="E257" t="inlineStr">
        <is>
          <t>NORRTÄLJE</t>
        </is>
      </c>
      <c r="G257" t="n">
        <v>2.1</v>
      </c>
      <c r="H257" t="n">
        <v>0</v>
      </c>
      <c r="I257" t="n">
        <v>0</v>
      </c>
      <c r="J257" t="n">
        <v>0</v>
      </c>
      <c r="K257" t="n">
        <v>0</v>
      </c>
      <c r="L257" t="n">
        <v>0</v>
      </c>
      <c r="M257" t="n">
        <v>0</v>
      </c>
      <c r="N257" t="n">
        <v>0</v>
      </c>
      <c r="O257" t="n">
        <v>0</v>
      </c>
      <c r="P257" t="n">
        <v>0</v>
      </c>
      <c r="Q257" t="n">
        <v>0</v>
      </c>
      <c r="R257" s="2" t="inlineStr"/>
    </row>
    <row r="258" ht="15" customHeight="1">
      <c r="A258" t="inlineStr">
        <is>
          <t>A 27095-2019</t>
        </is>
      </c>
      <c r="B258" s="1" t="n">
        <v>43614</v>
      </c>
      <c r="C258" s="1" t="n">
        <v>45513</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28157-2019</t>
        </is>
      </c>
      <c r="B259" s="1" t="n">
        <v>43614</v>
      </c>
      <c r="C259" s="1" t="n">
        <v>45513</v>
      </c>
      <c r="D259" t="inlineStr">
        <is>
          <t>STOCKHOLMS LÄN</t>
        </is>
      </c>
      <c r="E259" t="inlineStr">
        <is>
          <t>NORRTÄLJE</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27264-2019</t>
        </is>
      </c>
      <c r="B260" s="1" t="n">
        <v>43615</v>
      </c>
      <c r="C260" s="1" t="n">
        <v>45513</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27971-2019</t>
        </is>
      </c>
      <c r="B261" s="1" t="n">
        <v>43620</v>
      </c>
      <c r="C261" s="1" t="n">
        <v>45513</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27967-2019</t>
        </is>
      </c>
      <c r="B262" s="1" t="n">
        <v>43620</v>
      </c>
      <c r="C262" s="1" t="n">
        <v>45513</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28121-2019</t>
        </is>
      </c>
      <c r="B263" s="1" t="n">
        <v>43621</v>
      </c>
      <c r="C263" s="1" t="n">
        <v>45513</v>
      </c>
      <c r="D263" t="inlineStr">
        <is>
          <t>STOCKHOLMS LÄN</t>
        </is>
      </c>
      <c r="E263" t="inlineStr">
        <is>
          <t>NORRTÄLJE</t>
        </is>
      </c>
      <c r="F263" t="inlineStr">
        <is>
          <t>Kyrkan</t>
        </is>
      </c>
      <c r="G263" t="n">
        <v>2.5</v>
      </c>
      <c r="H263" t="n">
        <v>0</v>
      </c>
      <c r="I263" t="n">
        <v>0</v>
      </c>
      <c r="J263" t="n">
        <v>0</v>
      </c>
      <c r="K263" t="n">
        <v>0</v>
      </c>
      <c r="L263" t="n">
        <v>0</v>
      </c>
      <c r="M263" t="n">
        <v>0</v>
      </c>
      <c r="N263" t="n">
        <v>0</v>
      </c>
      <c r="O263" t="n">
        <v>0</v>
      </c>
      <c r="P263" t="n">
        <v>0</v>
      </c>
      <c r="Q263" t="n">
        <v>0</v>
      </c>
      <c r="R263" s="2" t="inlineStr"/>
    </row>
    <row r="264" ht="15" customHeight="1">
      <c r="A264" t="inlineStr">
        <is>
          <t>A 28289-2019</t>
        </is>
      </c>
      <c r="B264" s="1" t="n">
        <v>43623</v>
      </c>
      <c r="C264" s="1" t="n">
        <v>45513</v>
      </c>
      <c r="D264" t="inlineStr">
        <is>
          <t>STOCKHOLMS LÄN</t>
        </is>
      </c>
      <c r="E264" t="inlineStr">
        <is>
          <t>NORRTÄLJE</t>
        </is>
      </c>
      <c r="G264" t="n">
        <v>7.7</v>
      </c>
      <c r="H264" t="n">
        <v>0</v>
      </c>
      <c r="I264" t="n">
        <v>0</v>
      </c>
      <c r="J264" t="n">
        <v>0</v>
      </c>
      <c r="K264" t="n">
        <v>0</v>
      </c>
      <c r="L264" t="n">
        <v>0</v>
      </c>
      <c r="M264" t="n">
        <v>0</v>
      </c>
      <c r="N264" t="n">
        <v>0</v>
      </c>
      <c r="O264" t="n">
        <v>0</v>
      </c>
      <c r="P264" t="n">
        <v>0</v>
      </c>
      <c r="Q264" t="n">
        <v>0</v>
      </c>
      <c r="R264" s="2" t="inlineStr"/>
    </row>
    <row r="265" ht="15" customHeight="1">
      <c r="A265" t="inlineStr">
        <is>
          <t>A 28519-2019</t>
        </is>
      </c>
      <c r="B265" s="1" t="n">
        <v>43626</v>
      </c>
      <c r="C265" s="1" t="n">
        <v>45513</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28495-2019</t>
        </is>
      </c>
      <c r="B266" s="1" t="n">
        <v>43626</v>
      </c>
      <c r="C266" s="1" t="n">
        <v>45513</v>
      </c>
      <c r="D266" t="inlineStr">
        <is>
          <t>STOCKHOLMS LÄN</t>
        </is>
      </c>
      <c r="E266" t="inlineStr">
        <is>
          <t>NORRTÄLJE</t>
        </is>
      </c>
      <c r="G266" t="n">
        <v>14.7</v>
      </c>
      <c r="H266" t="n">
        <v>0</v>
      </c>
      <c r="I266" t="n">
        <v>0</v>
      </c>
      <c r="J266" t="n">
        <v>0</v>
      </c>
      <c r="K266" t="n">
        <v>0</v>
      </c>
      <c r="L266" t="n">
        <v>0</v>
      </c>
      <c r="M266" t="n">
        <v>0</v>
      </c>
      <c r="N266" t="n">
        <v>0</v>
      </c>
      <c r="O266" t="n">
        <v>0</v>
      </c>
      <c r="P266" t="n">
        <v>0</v>
      </c>
      <c r="Q266" t="n">
        <v>0</v>
      </c>
      <c r="R266" s="2" t="inlineStr"/>
    </row>
    <row r="267" ht="15" customHeight="1">
      <c r="A267" t="inlineStr">
        <is>
          <t>A 28394-2019</t>
        </is>
      </c>
      <c r="B267" s="1" t="n">
        <v>43626</v>
      </c>
      <c r="C267" s="1" t="n">
        <v>45513</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29260-2019</t>
        </is>
      </c>
      <c r="B268" s="1" t="n">
        <v>43629</v>
      </c>
      <c r="C268" s="1" t="n">
        <v>45513</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29312-2019</t>
        </is>
      </c>
      <c r="B269" s="1" t="n">
        <v>43629</v>
      </c>
      <c r="C269" s="1" t="n">
        <v>45513</v>
      </c>
      <c r="D269" t="inlineStr">
        <is>
          <t>STOCKHOLMS LÄN</t>
        </is>
      </c>
      <c r="E269" t="inlineStr">
        <is>
          <t>NORRTÄLJE</t>
        </is>
      </c>
      <c r="G269" t="n">
        <v>7.1</v>
      </c>
      <c r="H269" t="n">
        <v>0</v>
      </c>
      <c r="I269" t="n">
        <v>0</v>
      </c>
      <c r="J269" t="n">
        <v>0</v>
      </c>
      <c r="K269" t="n">
        <v>0</v>
      </c>
      <c r="L269" t="n">
        <v>0</v>
      </c>
      <c r="M269" t="n">
        <v>0</v>
      </c>
      <c r="N269" t="n">
        <v>0</v>
      </c>
      <c r="O269" t="n">
        <v>0</v>
      </c>
      <c r="P269" t="n">
        <v>0</v>
      </c>
      <c r="Q269" t="n">
        <v>0</v>
      </c>
      <c r="R269" s="2" t="inlineStr"/>
    </row>
    <row r="270" ht="15" customHeight="1">
      <c r="A270" t="inlineStr">
        <is>
          <t>A 29759-2019</t>
        </is>
      </c>
      <c r="B270" s="1" t="n">
        <v>43631</v>
      </c>
      <c r="C270" s="1" t="n">
        <v>45513</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30000-2019</t>
        </is>
      </c>
      <c r="B271" s="1" t="n">
        <v>43633</v>
      </c>
      <c r="C271" s="1" t="n">
        <v>45513</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30833-2019</t>
        </is>
      </c>
      <c r="B272" s="1" t="n">
        <v>43636</v>
      </c>
      <c r="C272" s="1" t="n">
        <v>45513</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31215-2019</t>
        </is>
      </c>
      <c r="B273" s="1" t="n">
        <v>43640</v>
      </c>
      <c r="C273" s="1" t="n">
        <v>45513</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31017-2019</t>
        </is>
      </c>
      <c r="B274" s="1" t="n">
        <v>43640</v>
      </c>
      <c r="C274" s="1" t="n">
        <v>45513</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31966-2019</t>
        </is>
      </c>
      <c r="B275" s="1" t="n">
        <v>43643</v>
      </c>
      <c r="C275" s="1" t="n">
        <v>45513</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32725-2019</t>
        </is>
      </c>
      <c r="B276" s="1" t="n">
        <v>43647</v>
      </c>
      <c r="C276" s="1" t="n">
        <v>45513</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32726-2019</t>
        </is>
      </c>
      <c r="B277" s="1" t="n">
        <v>43647</v>
      </c>
      <c r="C277" s="1" t="n">
        <v>45513</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33207-2019</t>
        </is>
      </c>
      <c r="B278" s="1" t="n">
        <v>43649</v>
      </c>
      <c r="C278" s="1" t="n">
        <v>45513</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33955-2019</t>
        </is>
      </c>
      <c r="B279" s="1" t="n">
        <v>43654</v>
      </c>
      <c r="C279" s="1" t="n">
        <v>45513</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33966-2019</t>
        </is>
      </c>
      <c r="B280" s="1" t="n">
        <v>43654</v>
      </c>
      <c r="C280" s="1" t="n">
        <v>45513</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35247-2019</t>
        </is>
      </c>
      <c r="B281" s="1" t="n">
        <v>43656</v>
      </c>
      <c r="C281" s="1" t="n">
        <v>45513</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35244-2019</t>
        </is>
      </c>
      <c r="B282" s="1" t="n">
        <v>43656</v>
      </c>
      <c r="C282" s="1" t="n">
        <v>45513</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35249-2019</t>
        </is>
      </c>
      <c r="B283" s="1" t="n">
        <v>43656</v>
      </c>
      <c r="C283" s="1" t="n">
        <v>45513</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35251-2019</t>
        </is>
      </c>
      <c r="B284" s="1" t="n">
        <v>43656</v>
      </c>
      <c r="C284" s="1" t="n">
        <v>45513</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35492-2019</t>
        </is>
      </c>
      <c r="B285" s="1" t="n">
        <v>43663</v>
      </c>
      <c r="C285" s="1" t="n">
        <v>45513</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35770-2019</t>
        </is>
      </c>
      <c r="B286" s="1" t="n">
        <v>43665</v>
      </c>
      <c r="C286" s="1" t="n">
        <v>45513</v>
      </c>
      <c r="D286" t="inlineStr">
        <is>
          <t>STOCKHOLMS LÄN</t>
        </is>
      </c>
      <c r="E286" t="inlineStr">
        <is>
          <t>NORRTÄLJE</t>
        </is>
      </c>
      <c r="G286" t="n">
        <v>6.3</v>
      </c>
      <c r="H286" t="n">
        <v>0</v>
      </c>
      <c r="I286" t="n">
        <v>0</v>
      </c>
      <c r="J286" t="n">
        <v>0</v>
      </c>
      <c r="K286" t="n">
        <v>0</v>
      </c>
      <c r="L286" t="n">
        <v>0</v>
      </c>
      <c r="M286" t="n">
        <v>0</v>
      </c>
      <c r="N286" t="n">
        <v>0</v>
      </c>
      <c r="O286" t="n">
        <v>0</v>
      </c>
      <c r="P286" t="n">
        <v>0</v>
      </c>
      <c r="Q286" t="n">
        <v>0</v>
      </c>
      <c r="R286" s="2" t="inlineStr"/>
    </row>
    <row r="287" ht="15" customHeight="1">
      <c r="A287" t="inlineStr">
        <is>
          <t>A 35766-2019</t>
        </is>
      </c>
      <c r="B287" s="1" t="n">
        <v>43665</v>
      </c>
      <c r="C287" s="1" t="n">
        <v>45513</v>
      </c>
      <c r="D287" t="inlineStr">
        <is>
          <t>STOCKHOLMS LÄN</t>
        </is>
      </c>
      <c r="E287" t="inlineStr">
        <is>
          <t>NORRTÄLJE</t>
        </is>
      </c>
      <c r="G287" t="n">
        <v>2.1</v>
      </c>
      <c r="H287" t="n">
        <v>0</v>
      </c>
      <c r="I287" t="n">
        <v>0</v>
      </c>
      <c r="J287" t="n">
        <v>0</v>
      </c>
      <c r="K287" t="n">
        <v>0</v>
      </c>
      <c r="L287" t="n">
        <v>0</v>
      </c>
      <c r="M287" t="n">
        <v>0</v>
      </c>
      <c r="N287" t="n">
        <v>0</v>
      </c>
      <c r="O287" t="n">
        <v>0</v>
      </c>
      <c r="P287" t="n">
        <v>0</v>
      </c>
      <c r="Q287" t="n">
        <v>0</v>
      </c>
      <c r="R287" s="2" t="inlineStr"/>
    </row>
    <row r="288" ht="15" customHeight="1">
      <c r="A288" t="inlineStr">
        <is>
          <t>A 36418-2019</t>
        </is>
      </c>
      <c r="B288" s="1" t="n">
        <v>43670</v>
      </c>
      <c r="C288" s="1" t="n">
        <v>45513</v>
      </c>
      <c r="D288" t="inlineStr">
        <is>
          <t>STOCKHOLMS LÄN</t>
        </is>
      </c>
      <c r="E288" t="inlineStr">
        <is>
          <t>NORRTÄLJE</t>
        </is>
      </c>
      <c r="G288" t="n">
        <v>16.8</v>
      </c>
      <c r="H288" t="n">
        <v>0</v>
      </c>
      <c r="I288" t="n">
        <v>0</v>
      </c>
      <c r="J288" t="n">
        <v>0</v>
      </c>
      <c r="K288" t="n">
        <v>0</v>
      </c>
      <c r="L288" t="n">
        <v>0</v>
      </c>
      <c r="M288" t="n">
        <v>0</v>
      </c>
      <c r="N288" t="n">
        <v>0</v>
      </c>
      <c r="O288" t="n">
        <v>0</v>
      </c>
      <c r="P288" t="n">
        <v>0</v>
      </c>
      <c r="Q288" t="n">
        <v>0</v>
      </c>
      <c r="R288" s="2" t="inlineStr"/>
    </row>
    <row r="289" ht="15" customHeight="1">
      <c r="A289" t="inlineStr">
        <is>
          <t>A 37401-2019</t>
        </is>
      </c>
      <c r="B289" s="1" t="n">
        <v>43678</v>
      </c>
      <c r="C289" s="1" t="n">
        <v>45513</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37662-2019</t>
        </is>
      </c>
      <c r="B290" s="1" t="n">
        <v>43682</v>
      </c>
      <c r="C290" s="1" t="n">
        <v>45513</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38144-2019</t>
        </is>
      </c>
      <c r="B291" s="1" t="n">
        <v>43684</v>
      </c>
      <c r="C291" s="1" t="n">
        <v>45513</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38139-2019</t>
        </is>
      </c>
      <c r="B292" s="1" t="n">
        <v>43684</v>
      </c>
      <c r="C292" s="1" t="n">
        <v>45513</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38145-2019</t>
        </is>
      </c>
      <c r="B293" s="1" t="n">
        <v>43684</v>
      </c>
      <c r="C293" s="1" t="n">
        <v>45513</v>
      </c>
      <c r="D293" t="inlineStr">
        <is>
          <t>STOCKHOLMS LÄN</t>
        </is>
      </c>
      <c r="E293" t="inlineStr">
        <is>
          <t>NORRTÄLJE</t>
        </is>
      </c>
      <c r="G293" t="n">
        <v>9.9</v>
      </c>
      <c r="H293" t="n">
        <v>0</v>
      </c>
      <c r="I293" t="n">
        <v>0</v>
      </c>
      <c r="J293" t="n">
        <v>0</v>
      </c>
      <c r="K293" t="n">
        <v>0</v>
      </c>
      <c r="L293" t="n">
        <v>0</v>
      </c>
      <c r="M293" t="n">
        <v>0</v>
      </c>
      <c r="N293" t="n">
        <v>0</v>
      </c>
      <c r="O293" t="n">
        <v>0</v>
      </c>
      <c r="P293" t="n">
        <v>0</v>
      </c>
      <c r="Q293" t="n">
        <v>0</v>
      </c>
      <c r="R293" s="2" t="inlineStr"/>
    </row>
    <row r="294" ht="15" customHeight="1">
      <c r="A294" t="inlineStr">
        <is>
          <t>A 38140-2019</t>
        </is>
      </c>
      <c r="B294" s="1" t="n">
        <v>43684</v>
      </c>
      <c r="C294" s="1" t="n">
        <v>45513</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38143-2019</t>
        </is>
      </c>
      <c r="B295" s="1" t="n">
        <v>43684</v>
      </c>
      <c r="C295" s="1" t="n">
        <v>45513</v>
      </c>
      <c r="D295" t="inlineStr">
        <is>
          <t>STOCKHOLMS LÄN</t>
        </is>
      </c>
      <c r="E295" t="inlineStr">
        <is>
          <t>NORRTÄLJE</t>
        </is>
      </c>
      <c r="G295" t="n">
        <v>12.7</v>
      </c>
      <c r="H295" t="n">
        <v>0</v>
      </c>
      <c r="I295" t="n">
        <v>0</v>
      </c>
      <c r="J295" t="n">
        <v>0</v>
      </c>
      <c r="K295" t="n">
        <v>0</v>
      </c>
      <c r="L295" t="n">
        <v>0</v>
      </c>
      <c r="M295" t="n">
        <v>0</v>
      </c>
      <c r="N295" t="n">
        <v>0</v>
      </c>
      <c r="O295" t="n">
        <v>0</v>
      </c>
      <c r="P295" t="n">
        <v>0</v>
      </c>
      <c r="Q295" t="n">
        <v>0</v>
      </c>
      <c r="R295" s="2" t="inlineStr"/>
    </row>
    <row r="296" ht="15" customHeight="1">
      <c r="A296" t="inlineStr">
        <is>
          <t>A 38506-2019</t>
        </is>
      </c>
      <c r="B296" s="1" t="n">
        <v>43685</v>
      </c>
      <c r="C296" s="1" t="n">
        <v>45513</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38605-2019</t>
        </is>
      </c>
      <c r="B297" s="1" t="n">
        <v>43686</v>
      </c>
      <c r="C297" s="1" t="n">
        <v>45513</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38737-2019</t>
        </is>
      </c>
      <c r="B298" s="1" t="n">
        <v>43686</v>
      </c>
      <c r="C298" s="1" t="n">
        <v>45513</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40571-2019</t>
        </is>
      </c>
      <c r="B299" s="1" t="n">
        <v>43696</v>
      </c>
      <c r="C299" s="1" t="n">
        <v>45513</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42330-2019</t>
        </is>
      </c>
      <c r="B300" s="1" t="n">
        <v>43703</v>
      </c>
      <c r="C300" s="1" t="n">
        <v>45513</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43379-2019</t>
        </is>
      </c>
      <c r="B301" s="1" t="n">
        <v>43703</v>
      </c>
      <c r="C301" s="1" t="n">
        <v>45513</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43296-2019</t>
        </is>
      </c>
      <c r="B302" s="1" t="n">
        <v>43706</v>
      </c>
      <c r="C302" s="1" t="n">
        <v>45513</v>
      </c>
      <c r="D302" t="inlineStr">
        <is>
          <t>STOCKHOLMS LÄN</t>
        </is>
      </c>
      <c r="E302" t="inlineStr">
        <is>
          <t>NORRTÄLJE</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44643-2019</t>
        </is>
      </c>
      <c r="B303" s="1" t="n">
        <v>43712</v>
      </c>
      <c r="C303" s="1" t="n">
        <v>45513</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45463-2019</t>
        </is>
      </c>
      <c r="B304" s="1" t="n">
        <v>43714</v>
      </c>
      <c r="C304" s="1" t="n">
        <v>45513</v>
      </c>
      <c r="D304" t="inlineStr">
        <is>
          <t>STOCKHOLMS LÄN</t>
        </is>
      </c>
      <c r="E304" t="inlineStr">
        <is>
          <t>NORRTÄLJE</t>
        </is>
      </c>
      <c r="F304" t="inlineStr">
        <is>
          <t>Övriga statliga verk och myndigheter</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45477-2019</t>
        </is>
      </c>
      <c r="B305" s="1" t="n">
        <v>43714</v>
      </c>
      <c r="C305" s="1" t="n">
        <v>45513</v>
      </c>
      <c r="D305" t="inlineStr">
        <is>
          <t>STOCKHOLMS LÄN</t>
        </is>
      </c>
      <c r="E305" t="inlineStr">
        <is>
          <t>NORRTÄLJE</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46327-2019</t>
        </is>
      </c>
      <c r="B306" s="1" t="n">
        <v>43718</v>
      </c>
      <c r="C306" s="1" t="n">
        <v>45513</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47876-2019</t>
        </is>
      </c>
      <c r="B307" s="1" t="n">
        <v>43725</v>
      </c>
      <c r="C307" s="1" t="n">
        <v>45513</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47877-2019</t>
        </is>
      </c>
      <c r="B308" s="1" t="n">
        <v>43725</v>
      </c>
      <c r="C308" s="1" t="n">
        <v>45513</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47903-2019</t>
        </is>
      </c>
      <c r="B309" s="1" t="n">
        <v>43725</v>
      </c>
      <c r="C309" s="1" t="n">
        <v>45513</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47901-2019</t>
        </is>
      </c>
      <c r="B310" s="1" t="n">
        <v>43725</v>
      </c>
      <c r="C310" s="1" t="n">
        <v>45513</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47939-2019</t>
        </is>
      </c>
      <c r="B311" s="1" t="n">
        <v>43725</v>
      </c>
      <c r="C311" s="1" t="n">
        <v>45513</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47941-2019</t>
        </is>
      </c>
      <c r="B312" s="1" t="n">
        <v>43725</v>
      </c>
      <c r="C312" s="1" t="n">
        <v>45513</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47879-2019</t>
        </is>
      </c>
      <c r="B313" s="1" t="n">
        <v>43725</v>
      </c>
      <c r="C313" s="1" t="n">
        <v>45513</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48730-2019</t>
        </is>
      </c>
      <c r="B314" s="1" t="n">
        <v>43728</v>
      </c>
      <c r="C314" s="1" t="n">
        <v>45513</v>
      </c>
      <c r="D314" t="inlineStr">
        <is>
          <t>STOCKHOLMS LÄN</t>
        </is>
      </c>
      <c r="E314" t="inlineStr">
        <is>
          <t>NORRTÄLJE</t>
        </is>
      </c>
      <c r="F314" t="inlineStr">
        <is>
          <t>Övriga statliga verk och myndigheter</t>
        </is>
      </c>
      <c r="G314" t="n">
        <v>1.3</v>
      </c>
      <c r="H314" t="n">
        <v>0</v>
      </c>
      <c r="I314" t="n">
        <v>0</v>
      </c>
      <c r="J314" t="n">
        <v>0</v>
      </c>
      <c r="K314" t="n">
        <v>0</v>
      </c>
      <c r="L314" t="n">
        <v>0</v>
      </c>
      <c r="M314" t="n">
        <v>0</v>
      </c>
      <c r="N314" t="n">
        <v>0</v>
      </c>
      <c r="O314" t="n">
        <v>0</v>
      </c>
      <c r="P314" t="n">
        <v>0</v>
      </c>
      <c r="Q314" t="n">
        <v>0</v>
      </c>
      <c r="R314" s="2" t="inlineStr"/>
    </row>
    <row r="315" ht="15" customHeight="1">
      <c r="A315" t="inlineStr">
        <is>
          <t>A 49252-2019</t>
        </is>
      </c>
      <c r="B315" s="1" t="n">
        <v>43731</v>
      </c>
      <c r="C315" s="1" t="n">
        <v>45513</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51940-2019</t>
        </is>
      </c>
      <c r="B316" s="1" t="n">
        <v>43741</v>
      </c>
      <c r="C316" s="1" t="n">
        <v>45513</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51942-2019</t>
        </is>
      </c>
      <c r="B317" s="1" t="n">
        <v>43741</v>
      </c>
      <c r="C317" s="1" t="n">
        <v>45513</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55481-2019</t>
        </is>
      </c>
      <c r="B318" s="1" t="n">
        <v>43759</v>
      </c>
      <c r="C318" s="1" t="n">
        <v>45513</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55891-2019</t>
        </is>
      </c>
      <c r="B319" s="1" t="n">
        <v>43761</v>
      </c>
      <c r="C319" s="1" t="n">
        <v>45513</v>
      </c>
      <c r="D319" t="inlineStr">
        <is>
          <t>STOCKHOLMS LÄN</t>
        </is>
      </c>
      <c r="E319" t="inlineStr">
        <is>
          <t>NORRTÄLJE</t>
        </is>
      </c>
      <c r="G319" t="n">
        <v>7.6</v>
      </c>
      <c r="H319" t="n">
        <v>0</v>
      </c>
      <c r="I319" t="n">
        <v>0</v>
      </c>
      <c r="J319" t="n">
        <v>0</v>
      </c>
      <c r="K319" t="n">
        <v>0</v>
      </c>
      <c r="L319" t="n">
        <v>0</v>
      </c>
      <c r="M319" t="n">
        <v>0</v>
      </c>
      <c r="N319" t="n">
        <v>0</v>
      </c>
      <c r="O319" t="n">
        <v>0</v>
      </c>
      <c r="P319" t="n">
        <v>0</v>
      </c>
      <c r="Q319" t="n">
        <v>0</v>
      </c>
      <c r="R319" s="2" t="inlineStr"/>
    </row>
    <row r="320" ht="15" customHeight="1">
      <c r="A320" t="inlineStr">
        <is>
          <t>A 56349-2019</t>
        </is>
      </c>
      <c r="B320" s="1" t="n">
        <v>43762</v>
      </c>
      <c r="C320" s="1" t="n">
        <v>45513</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57759-2019</t>
        </is>
      </c>
      <c r="B321" s="1" t="n">
        <v>43763</v>
      </c>
      <c r="C321" s="1" t="n">
        <v>45513</v>
      </c>
      <c r="D321" t="inlineStr">
        <is>
          <t>STOCKHOLMS LÄN</t>
        </is>
      </c>
      <c r="E321" t="inlineStr">
        <is>
          <t>NORRTÄLJE</t>
        </is>
      </c>
      <c r="F321" t="inlineStr">
        <is>
          <t>Övriga Aktiebolag</t>
        </is>
      </c>
      <c r="G321" t="n">
        <v>7.3</v>
      </c>
      <c r="H321" t="n">
        <v>0</v>
      </c>
      <c r="I321" t="n">
        <v>0</v>
      </c>
      <c r="J321" t="n">
        <v>0</v>
      </c>
      <c r="K321" t="n">
        <v>0</v>
      </c>
      <c r="L321" t="n">
        <v>0</v>
      </c>
      <c r="M321" t="n">
        <v>0</v>
      </c>
      <c r="N321" t="n">
        <v>0</v>
      </c>
      <c r="O321" t="n">
        <v>0</v>
      </c>
      <c r="P321" t="n">
        <v>0</v>
      </c>
      <c r="Q321" t="n">
        <v>0</v>
      </c>
      <c r="R321" s="2" t="inlineStr"/>
    </row>
    <row r="322" ht="15" customHeight="1">
      <c r="A322" t="inlineStr">
        <is>
          <t>A 57063-2019</t>
        </is>
      </c>
      <c r="B322" s="1" t="n">
        <v>43766</v>
      </c>
      <c r="C322" s="1" t="n">
        <v>45513</v>
      </c>
      <c r="D322" t="inlineStr">
        <is>
          <t>STOCKHOLMS LÄN</t>
        </is>
      </c>
      <c r="E322" t="inlineStr">
        <is>
          <t>NORRTÄLJE</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56950-2019</t>
        </is>
      </c>
      <c r="B323" s="1" t="n">
        <v>43766</v>
      </c>
      <c r="C323" s="1" t="n">
        <v>45513</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57605-2019</t>
        </is>
      </c>
      <c r="B324" s="1" t="n">
        <v>43768</v>
      </c>
      <c r="C324" s="1" t="n">
        <v>45513</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58064-2019</t>
        </is>
      </c>
      <c r="B325" s="1" t="n">
        <v>43769</v>
      </c>
      <c r="C325" s="1" t="n">
        <v>45513</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58631-2019</t>
        </is>
      </c>
      <c r="B326" s="1" t="n">
        <v>43773</v>
      </c>
      <c r="C326" s="1" t="n">
        <v>45513</v>
      </c>
      <c r="D326" t="inlineStr">
        <is>
          <t>STOCKHOLMS LÄN</t>
        </is>
      </c>
      <c r="E326" t="inlineStr">
        <is>
          <t>NORRTÄLJE</t>
        </is>
      </c>
      <c r="G326" t="n">
        <v>6</v>
      </c>
      <c r="H326" t="n">
        <v>0</v>
      </c>
      <c r="I326" t="n">
        <v>0</v>
      </c>
      <c r="J326" t="n">
        <v>0</v>
      </c>
      <c r="K326" t="n">
        <v>0</v>
      </c>
      <c r="L326" t="n">
        <v>0</v>
      </c>
      <c r="M326" t="n">
        <v>0</v>
      </c>
      <c r="N326" t="n">
        <v>0</v>
      </c>
      <c r="O326" t="n">
        <v>0</v>
      </c>
      <c r="P326" t="n">
        <v>0</v>
      </c>
      <c r="Q326" t="n">
        <v>0</v>
      </c>
      <c r="R326" s="2" t="inlineStr"/>
    </row>
    <row r="327" ht="15" customHeight="1">
      <c r="A327" t="inlineStr">
        <is>
          <t>A 60214-2019</t>
        </is>
      </c>
      <c r="B327" s="1" t="n">
        <v>43780</v>
      </c>
      <c r="C327" s="1" t="n">
        <v>45513</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60208-2019</t>
        </is>
      </c>
      <c r="B328" s="1" t="n">
        <v>43780</v>
      </c>
      <c r="C328" s="1" t="n">
        <v>45513</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60842-2019</t>
        </is>
      </c>
      <c r="B329" s="1" t="n">
        <v>43781</v>
      </c>
      <c r="C329" s="1" t="n">
        <v>45513</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60844-2019</t>
        </is>
      </c>
      <c r="B330" s="1" t="n">
        <v>43781</v>
      </c>
      <c r="C330" s="1" t="n">
        <v>45513</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61657-2019</t>
        </is>
      </c>
      <c r="B331" s="1" t="n">
        <v>43784</v>
      </c>
      <c r="C331" s="1" t="n">
        <v>45513</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62848-2019</t>
        </is>
      </c>
      <c r="B332" s="1" t="n">
        <v>43790</v>
      </c>
      <c r="C332" s="1" t="n">
        <v>45513</v>
      </c>
      <c r="D332" t="inlineStr">
        <is>
          <t>STOCKHOLMS LÄN</t>
        </is>
      </c>
      <c r="E332" t="inlineStr">
        <is>
          <t>NORRTÄLJE</t>
        </is>
      </c>
      <c r="F332" t="inlineStr">
        <is>
          <t>Holmen skog AB</t>
        </is>
      </c>
      <c r="G332" t="n">
        <v>6.6</v>
      </c>
      <c r="H332" t="n">
        <v>0</v>
      </c>
      <c r="I332" t="n">
        <v>0</v>
      </c>
      <c r="J332" t="n">
        <v>0</v>
      </c>
      <c r="K332" t="n">
        <v>0</v>
      </c>
      <c r="L332" t="n">
        <v>0</v>
      </c>
      <c r="M332" t="n">
        <v>0</v>
      </c>
      <c r="N332" t="n">
        <v>0</v>
      </c>
      <c r="O332" t="n">
        <v>0</v>
      </c>
      <c r="P332" t="n">
        <v>0</v>
      </c>
      <c r="Q332" t="n">
        <v>0</v>
      </c>
      <c r="R332" s="2" t="inlineStr"/>
    </row>
    <row r="333" ht="15" customHeight="1">
      <c r="A333" t="inlineStr">
        <is>
          <t>A 62980-2019</t>
        </is>
      </c>
      <c r="B333" s="1" t="n">
        <v>43790</v>
      </c>
      <c r="C333" s="1" t="n">
        <v>45513</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63513-2019</t>
        </is>
      </c>
      <c r="B334" s="1" t="n">
        <v>43794</v>
      </c>
      <c r="C334" s="1" t="n">
        <v>45513</v>
      </c>
      <c r="D334" t="inlineStr">
        <is>
          <t>STOCKHOLMS LÄN</t>
        </is>
      </c>
      <c r="E334" t="inlineStr">
        <is>
          <t>NORRTÄLJE</t>
        </is>
      </c>
      <c r="G334" t="n">
        <v>9</v>
      </c>
      <c r="H334" t="n">
        <v>0</v>
      </c>
      <c r="I334" t="n">
        <v>0</v>
      </c>
      <c r="J334" t="n">
        <v>0</v>
      </c>
      <c r="K334" t="n">
        <v>0</v>
      </c>
      <c r="L334" t="n">
        <v>0</v>
      </c>
      <c r="M334" t="n">
        <v>0</v>
      </c>
      <c r="N334" t="n">
        <v>0</v>
      </c>
      <c r="O334" t="n">
        <v>0</v>
      </c>
      <c r="P334" t="n">
        <v>0</v>
      </c>
      <c r="Q334" t="n">
        <v>0</v>
      </c>
      <c r="R334" s="2" t="inlineStr"/>
    </row>
    <row r="335" ht="15" customHeight="1">
      <c r="A335" t="inlineStr">
        <is>
          <t>A 63529-2019</t>
        </is>
      </c>
      <c r="B335" s="1" t="n">
        <v>43794</v>
      </c>
      <c r="C335" s="1" t="n">
        <v>45513</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63495-2019</t>
        </is>
      </c>
      <c r="B336" s="1" t="n">
        <v>43794</v>
      </c>
      <c r="C336" s="1" t="n">
        <v>45513</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63504-2019</t>
        </is>
      </c>
      <c r="B337" s="1" t="n">
        <v>43794</v>
      </c>
      <c r="C337" s="1" t="n">
        <v>45513</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63528-2019</t>
        </is>
      </c>
      <c r="B338" s="1" t="n">
        <v>43794</v>
      </c>
      <c r="C338" s="1" t="n">
        <v>45513</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63515-2019</t>
        </is>
      </c>
      <c r="B339" s="1" t="n">
        <v>43794</v>
      </c>
      <c r="C339" s="1" t="n">
        <v>45513</v>
      </c>
      <c r="D339" t="inlineStr">
        <is>
          <t>STOCKHOLMS LÄN</t>
        </is>
      </c>
      <c r="E339" t="inlineStr">
        <is>
          <t>NORRTÄLJE</t>
        </is>
      </c>
      <c r="G339" t="n">
        <v>7.1</v>
      </c>
      <c r="H339" t="n">
        <v>0</v>
      </c>
      <c r="I339" t="n">
        <v>0</v>
      </c>
      <c r="J339" t="n">
        <v>0</v>
      </c>
      <c r="K339" t="n">
        <v>0</v>
      </c>
      <c r="L339" t="n">
        <v>0</v>
      </c>
      <c r="M339" t="n">
        <v>0</v>
      </c>
      <c r="N339" t="n">
        <v>0</v>
      </c>
      <c r="O339" t="n">
        <v>0</v>
      </c>
      <c r="P339" t="n">
        <v>0</v>
      </c>
      <c r="Q339" t="n">
        <v>0</v>
      </c>
      <c r="R339" s="2" t="inlineStr"/>
    </row>
    <row r="340" ht="15" customHeight="1">
      <c r="A340" t="inlineStr">
        <is>
          <t>A 64293-2019</t>
        </is>
      </c>
      <c r="B340" s="1" t="n">
        <v>43797</v>
      </c>
      <c r="C340" s="1" t="n">
        <v>45513</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65640-2019</t>
        </is>
      </c>
      <c r="B341" s="1" t="n">
        <v>43804</v>
      </c>
      <c r="C341" s="1" t="n">
        <v>45513</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65998-2019</t>
        </is>
      </c>
      <c r="B342" s="1" t="n">
        <v>43805</v>
      </c>
      <c r="C342" s="1" t="n">
        <v>45513</v>
      </c>
      <c r="D342" t="inlineStr">
        <is>
          <t>STOCKHOLMS LÄN</t>
        </is>
      </c>
      <c r="E342" t="inlineStr">
        <is>
          <t>NORRTÄLJE</t>
        </is>
      </c>
      <c r="G342" t="n">
        <v>6.5</v>
      </c>
      <c r="H342" t="n">
        <v>0</v>
      </c>
      <c r="I342" t="n">
        <v>0</v>
      </c>
      <c r="J342" t="n">
        <v>0</v>
      </c>
      <c r="K342" t="n">
        <v>0</v>
      </c>
      <c r="L342" t="n">
        <v>0</v>
      </c>
      <c r="M342" t="n">
        <v>0</v>
      </c>
      <c r="N342" t="n">
        <v>0</v>
      </c>
      <c r="O342" t="n">
        <v>0</v>
      </c>
      <c r="P342" t="n">
        <v>0</v>
      </c>
      <c r="Q342" t="n">
        <v>0</v>
      </c>
      <c r="R342" s="2" t="inlineStr"/>
    </row>
    <row r="343" ht="15" customHeight="1">
      <c r="A343" t="inlineStr">
        <is>
          <t>A 66604-2019</t>
        </is>
      </c>
      <c r="B343" s="1" t="n">
        <v>43809</v>
      </c>
      <c r="C343" s="1" t="n">
        <v>45513</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67158-2019</t>
        </is>
      </c>
      <c r="B344" s="1" t="n">
        <v>43811</v>
      </c>
      <c r="C344" s="1" t="n">
        <v>45513</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67324-2019</t>
        </is>
      </c>
      <c r="B345" s="1" t="n">
        <v>43812</v>
      </c>
      <c r="C345" s="1" t="n">
        <v>45513</v>
      </c>
      <c r="D345" t="inlineStr">
        <is>
          <t>STOCKHOLMS LÄN</t>
        </is>
      </c>
      <c r="E345" t="inlineStr">
        <is>
          <t>NORRTÄLJE</t>
        </is>
      </c>
      <c r="G345" t="n">
        <v>7.7</v>
      </c>
      <c r="H345" t="n">
        <v>0</v>
      </c>
      <c r="I345" t="n">
        <v>0</v>
      </c>
      <c r="J345" t="n">
        <v>0</v>
      </c>
      <c r="K345" t="n">
        <v>0</v>
      </c>
      <c r="L345" t="n">
        <v>0</v>
      </c>
      <c r="M345" t="n">
        <v>0</v>
      </c>
      <c r="N345" t="n">
        <v>0</v>
      </c>
      <c r="O345" t="n">
        <v>0</v>
      </c>
      <c r="P345" t="n">
        <v>0</v>
      </c>
      <c r="Q345" t="n">
        <v>0</v>
      </c>
      <c r="R345" s="2" t="inlineStr"/>
    </row>
    <row r="346" ht="15" customHeight="1">
      <c r="A346" t="inlineStr">
        <is>
          <t>A 68865-2019</t>
        </is>
      </c>
      <c r="B346" s="1" t="n">
        <v>43821</v>
      </c>
      <c r="C346" s="1" t="n">
        <v>45513</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1099-2020</t>
        </is>
      </c>
      <c r="B347" s="1" t="n">
        <v>43822</v>
      </c>
      <c r="C347" s="1" t="n">
        <v>45513</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4475-2020</t>
        </is>
      </c>
      <c r="B348" s="1" t="n">
        <v>43849</v>
      </c>
      <c r="C348" s="1" t="n">
        <v>45513</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45513</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45513</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45513</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45513</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45513</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45513</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45513</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45513</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45513</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45513</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45513</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45513</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45513</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45513</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45513</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45513</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45513</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45513</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45513</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45513</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45513</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45513</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45513</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45513</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45513</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45513</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45513</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45513</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45513</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45513</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45513</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45513</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45513</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45513</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45513</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45513</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45513</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45513</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45513</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45513</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45513</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45513</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45513</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45513</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45513</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45513</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45513</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45513</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45513</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45513</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45513</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45513</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45513</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45513</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45513</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45513</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45513</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45513</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45513</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45513</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45513</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45513</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45513</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45513</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45513</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45513</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45513</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45513</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45513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45513</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45513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45513</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45513</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45513</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45513</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45513</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45513</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45513</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45513</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45513</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45513</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45513</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45513</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45513</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45513</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45513</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45513</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45513</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45513</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45513</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45513</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45513</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45513</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45513</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45513</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45513</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45513</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45513</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45513</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45513</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45513</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45513</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45513</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45513</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45513</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45513</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45513</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45513</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45513</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45513</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45513</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45513</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45513</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45513</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45513</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45513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45513</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45513</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45513</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45513</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45513</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45513</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45513</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45513</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45513</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45513</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45513</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45513</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45513</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45513</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45513</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45513</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45513</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45513</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45513</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45513</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45513</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45513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45513</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45513</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45513</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45513</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45513</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45513</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45513</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45513</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45513</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45513</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45513</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45513</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45513</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45513</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45513</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45513</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45513</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45513</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45513</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45513</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45513</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45513</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45513</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45513</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45513</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45513</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45513</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45513</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45513</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45513</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45513</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45513</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45513</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45513</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45513</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45513</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45513</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45513</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45513</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45513</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45513</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45513</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45513</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45513</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45513</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45513</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45513</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45513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45513</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45513</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45513</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45513</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45513</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45513</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45513</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45513</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45513</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45513</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45513</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45513</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45513</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45513</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45513</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45513</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45513</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45513</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45513</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45513</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45513</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45513</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45513</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45513</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45513</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45513</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45513</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45513</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45513</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45513</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45513</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45513</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45513</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45513</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45513</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45513</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45513</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45513</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45513</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45513</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45513</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45513</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45513</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45513</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45513</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45513</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45513</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45513</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45513</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45513</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45513</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45513</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45513</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45513</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45513</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45513</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45513</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45513</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45513</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45513</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45513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45513</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45513</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45513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45513</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45513</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45513</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45513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45513</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45513</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45513</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45513</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45513</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45513</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45513</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45513</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45513</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45513</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45513</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45513</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45513</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45513</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45513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45513</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45513</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45513</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45513</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45513</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45513</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45513</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45513</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45513</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45513</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45513</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45513</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45513</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45513</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45513</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45513</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45513</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45513</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45513</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45513</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45513</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45513</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45513</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45513</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45513</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45513</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45513</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45513</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45513</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45513</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45513</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45513</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45513</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45513</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45513</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45513</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45513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45513</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45513</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45513</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45513</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45513</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45513</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45513</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45513</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45513</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45513</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45513</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45513</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45513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45513</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45513</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45513</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45513</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45513</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45513</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45513</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45513</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45513</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45513</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45513</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45513</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45513</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45513</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45513</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45513</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45513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45513</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45513</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45513</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45513</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45513</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45513</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45513</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45513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45513</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45513</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45513</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45513</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45513</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45513</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45513</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45513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45513</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45513</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45513</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45513</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45513</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45513</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45513</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45513</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45513</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45513</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45513</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45513</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45513</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45513</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45513</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45513</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45513</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45513</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45513</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45513</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45513</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45513</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45513</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45513</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45513</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45513</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45513</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45513</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45513</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45513</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45513</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45513</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45513</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45513</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45513</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45513</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45513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45513</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45513</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45513</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45513</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45513</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45513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45513</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45513</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45513</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45513</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45513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45513</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45513</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45513</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45513</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45513</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45513</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45513</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45513</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45513</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45513</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45513</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45513</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45513</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45513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45513</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45513</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45513</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45513</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45513</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45513</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45513</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45513</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45513</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45513</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45513</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45513</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45513</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45513</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45513</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45513</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45513</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45513</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45513</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45513</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45513</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45513</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45513</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45513</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45513</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45513</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45513</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45513</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45513</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45513</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45513</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45513</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45513</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45513</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45513</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45513</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45513</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45513</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45513</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45513</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45513</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45513</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45513</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45513</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45513</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45513</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45513</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45513</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45513</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45513</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45513</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45513</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45513</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45513</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45513</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45513</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45513</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45513</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45513</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45513</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45513</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45513</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45513</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45513</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45513</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45513</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45513</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45513</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45513</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45513</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45513</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45513</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45513</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45513</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45513</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45513</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45513</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45513</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45513</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45513</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45513</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45513</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45513</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45513</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45513</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45513</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45513</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45513</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45513</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45513</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45513</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45513</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45513</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45513</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45513</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45513</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45513</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45513</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45513</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45513</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45513</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45513</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45513</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45513</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45513</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45513</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45513</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45513</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45513</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45513</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45513</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45513</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45513</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45513</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45513</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45513</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45513</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45513</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45513</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45513</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45513</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45513</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45513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45513</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45513</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45513</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45513</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45513</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45513</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45513</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45513</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45513</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45513</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45513</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45513</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45513</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45513</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45513</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45513</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45513</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45513</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45513</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45513</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45513</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45513</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45513</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45513</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45513</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45513</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45513</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45513</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45513</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45513</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45513</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45513</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45513</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45513</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45513</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45513</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45513</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45513</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45513</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45513</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45513</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45513</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45513</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45513</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45513</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45513</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45513</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45513</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45513</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45513</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45513</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45513</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45513</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45513</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45513</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45513</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45513</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45513</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45513</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45513</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45513</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45513</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45513</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45513</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45513</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45513</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45513</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45513</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45513</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45513</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45513</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45513</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45513</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45513</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45513</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45513</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45513</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45513</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45513</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45513</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45513</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45513</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45513</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45513</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45513</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45513</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45513</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45513</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45513</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45513</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45513</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45513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45513</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45513</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45513</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45513</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45513</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45513</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45513</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45513</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45513</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45513</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45513</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45513</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45513</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45513</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45513</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45513</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45513</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45513</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45513</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45513</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45513</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45513</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45513</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45513</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45513</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45513</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45513</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45513</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45513</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45513</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45513</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45513</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45513</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45513</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45513</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45513</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45513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45513</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45513</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45513</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45513</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45513</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45513</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45513</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45513</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45513</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45513</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45513</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45513</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45513</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45513</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45513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45513</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45513</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45513</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45513</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45513</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45513</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45513</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45513</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45513</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45513</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45513</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45513</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45513</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45513</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45513</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45513</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45513</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45513</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45513</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45513</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45513</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45513</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45513</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45513</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45513</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45513</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45513</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45513</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45513</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45513</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45513</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45513</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45513</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45513</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45513</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45513</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45513</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45513</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45513</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45513</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45513</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45513</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45513</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45513</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45513</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45513</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45513</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45513</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45513</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45513</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45513</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45513</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45513</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45513</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45513</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45513</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45513</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45513</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45513</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45513</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45513</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45513</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45513</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45513</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45513</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45513</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45513</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45513</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45513</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45513</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45513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45513</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45513</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45513</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45513</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45513</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45513</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45513</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45513</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45513</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45513</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45513</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45513</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45513</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45513</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45513</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45513</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45513</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45513</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45513</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45513</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45513</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45513</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45513</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45513</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45513</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45513</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45513</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45513</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45513</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45513</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45513</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45513</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45513</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45513</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45513</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45513</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45513</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45513</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45513</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45513</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45513</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45513</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45513</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45513</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45513</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45513</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45513</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45513</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45513</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45513</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45513</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45513</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45513</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45513</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45513</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45513</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45513</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45513</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45513</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45513</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45513</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45513</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45513</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45513</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45513</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45513</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45513</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45513</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45513</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45513</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45513</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45513</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45513</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45513</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45513</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45513</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45513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45513</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45513</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45513</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45513</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45513</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45513</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45513</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45513</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45513</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45513</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45513</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45513</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45513</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45513</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45513</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45513</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45513</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45513</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45513</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45513</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45513</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45513</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45513</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45513</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45513</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45513</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45513</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45513</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45513</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45513</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45513</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45513</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45513</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45513</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45513</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45513</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45513</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45513</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45513</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45513</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45513</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45513</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45513</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45513</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45513</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45513</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45513</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45513</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45513</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45513</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45513</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45513</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45513</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45513</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45513</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45513</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45513</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45513</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45513</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45513</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45513</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45513</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45513</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45513</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45513</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45513</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45513</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45513</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45513</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45513</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45513</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45513</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45513</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45513</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45513</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45513</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45513</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45513</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45513</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45513</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45513</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45513</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45513</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45513</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45513</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45513</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45513</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45513</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45513</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45513</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45513</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45513</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45513</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45513</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45513</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45513</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45513</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45513</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45513</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45513</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45513</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45513</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45513</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45513</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45513</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45513</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45513</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45513</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45513</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45513</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45513</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45513</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45513</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45513</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45513</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45513</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45513</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45513</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45513</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45513</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45513</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45513</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45513</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45513</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45513</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45513</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45513</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45513</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45513</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45513</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45513</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45513</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45513</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45513</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45513</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45513</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45513</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45513</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45513</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45513</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45513</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45513</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45513</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45513</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45513</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45513</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45513</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45513</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45513</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45513</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45513</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45513</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45513</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45513</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45513</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45513</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45513</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45513</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45513</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45513</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45513</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45513</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45513</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45513</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45513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45513</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45513</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45513</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45513</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45513</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45513</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45513</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45513</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45513</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45513</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45513</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45513</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45513</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45513</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45513</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45513</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45513</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45513</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45513</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45513</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45513</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45513</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45513</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45513</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45513</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45513</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45513</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45513</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45513</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45513</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45513</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45513</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45513</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45513</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45513</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45513</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45513</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45513</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45513</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45513</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45513</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45513</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45513</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45513</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45513</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45513</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45513</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45513</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45513</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45513</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45513</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45513</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45513</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45513</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45513</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45513</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45513</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45513</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45513</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45513</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45513</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45513</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45513</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45513</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45513</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45513</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45513</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45513</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45513</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45513</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45513</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45513</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45513</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45513</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45513</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45513</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45513</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45513</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45513</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45513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45513</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45513</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45513</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45513</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45513</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45513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45513</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45513</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45513</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45513</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45513</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45513</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45513</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45513</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45513</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45513</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45513</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45513</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45513</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45513</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45513</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45513</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45513</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45513</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45513</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45513</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45513</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45513</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45513</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45513</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45513</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45513</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45513</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45513</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45513</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45513</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45513</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45513</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45513</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45513</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45513</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45513</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45513</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45513</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45513</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45513</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45513</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45513</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45513</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45513</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45513</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45513</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45513</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45513</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45513</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45513</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45513</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45513</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45513</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45513</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45513</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45513</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45513</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45513</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45513</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45513</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45513</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45513</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45513</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45513</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45513</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45513</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45513</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45513</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45513</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45513</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45513</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45513</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45513</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45513</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45513</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45513</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45513</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45513</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45513</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45513</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45513</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45513</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45513</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45513</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45513</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45513</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45513</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45513</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45513</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45513</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45513</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45513</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45513</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45513</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45513</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45513</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45513</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45513</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45513</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45513</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45513</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45513</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45513</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45513</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45513</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45513</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45513</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45513</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45513</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45513</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45513</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45513</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45513</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45513</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45513</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45513</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45513</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45513</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45513</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45513</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45513</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45513</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45513</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45513</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45513</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45513</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45513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45513</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45513</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45513</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45513</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45513</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45513</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45513</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45513</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45513</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45513</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45513</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45513</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45513</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45513</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45513</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45513</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45513</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45513</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45513</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45513</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45513</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45513</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45513</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45513</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45513</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45513</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45513</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45513</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45513</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45513</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45513</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45513</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45513</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45513</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45513</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45513</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45513</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45513</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45513</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45513</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45513</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45513</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45513</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45513</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45513</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45513</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45513</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45513</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45513</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45513</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45513</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45513</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45513</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45513</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45513</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45513</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45513</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45513</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45513</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45513</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45513</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45513</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45513</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45513</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45513</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45513</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45513</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45513</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45513</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45513</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45513</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45513</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45513</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45513</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45513</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45513</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45513</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45513</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45513</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45513</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45513</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45513</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45513</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45513</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45513</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45513</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45513</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45513</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45513</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45513</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45513</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45513</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45513</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45513</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45513</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45513</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45513</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45513</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45513</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45513</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45513</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45513</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45513</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45513</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45513</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45513</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45513</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45513</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45513</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45513</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45513</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45513</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45513</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45513</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45513</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45513</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45513</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45513</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45513</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45513</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45513</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45513</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45513</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45513</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45513</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29210-2024</t>
        </is>
      </c>
      <c r="B1681" s="1" t="n">
        <v>45482</v>
      </c>
      <c r="C1681" s="1" t="n">
        <v>45513</v>
      </c>
      <c r="D1681" t="inlineStr">
        <is>
          <t>STOCKHOLMS LÄN</t>
        </is>
      </c>
      <c r="E1681" t="inlineStr">
        <is>
          <t>NORRTÄLJE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29176-2024</t>
        </is>
      </c>
      <c r="B1682" s="1" t="n">
        <v>45482</v>
      </c>
      <c r="C1682" s="1" t="n">
        <v>45513</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45513</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45513</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29505-2024</t>
        </is>
      </c>
      <c r="B1685" s="1" t="n">
        <v>45484</v>
      </c>
      <c r="C1685" s="1" t="n">
        <v>45513</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29578-2024</t>
        </is>
      </c>
      <c r="B1686" s="1" t="n">
        <v>45484</v>
      </c>
      <c r="C1686" s="1" t="n">
        <v>45513</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29504-2024</t>
        </is>
      </c>
      <c r="B1687" s="1" t="n">
        <v>45484</v>
      </c>
      <c r="C1687" s="1" t="n">
        <v>45513</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29589-2024</t>
        </is>
      </c>
      <c r="B1688" s="1" t="n">
        <v>45484</v>
      </c>
      <c r="C1688" s="1" t="n">
        <v>45513</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29583-2024</t>
        </is>
      </c>
      <c r="B1689" s="1" t="n">
        <v>45484</v>
      </c>
      <c r="C1689" s="1" t="n">
        <v>45513</v>
      </c>
      <c r="D1689" t="inlineStr">
        <is>
          <t>STOCKHOLMS LÄN</t>
        </is>
      </c>
      <c r="E1689" t="inlineStr">
        <is>
          <t>NORRTÄLJE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29841-2024</t>
        </is>
      </c>
      <c r="B1690" s="1" t="n">
        <v>45485</v>
      </c>
      <c r="C1690" s="1" t="n">
        <v>45513</v>
      </c>
      <c r="D1690" t="inlineStr">
        <is>
          <t>STOCKHOLMS LÄN</t>
        </is>
      </c>
      <c r="E1690" t="inlineStr">
        <is>
          <t>NORRTÄLJE</t>
        </is>
      </c>
      <c r="G1690" t="n">
        <v>15.9</v>
      </c>
      <c r="H1690" t="n">
        <v>0</v>
      </c>
      <c r="I1690" t="n">
        <v>0</v>
      </c>
      <c r="J1690" t="n">
        <v>0</v>
      </c>
      <c r="K1690" t="n">
        <v>0</v>
      </c>
      <c r="L1690" t="n">
        <v>0</v>
      </c>
      <c r="M1690" t="n">
        <v>0</v>
      </c>
      <c r="N1690" t="n">
        <v>0</v>
      </c>
      <c r="O1690" t="n">
        <v>0</v>
      </c>
      <c r="P1690" t="n">
        <v>0</v>
      </c>
      <c r="Q1690" t="n">
        <v>0</v>
      </c>
      <c r="R1690" s="2" t="inlineStr"/>
    </row>
    <row r="1691" ht="15" customHeight="1">
      <c r="A1691" t="inlineStr">
        <is>
          <t>A 29972-2024</t>
        </is>
      </c>
      <c r="B1691" s="1" t="n">
        <v>45485</v>
      </c>
      <c r="C1691" s="1" t="n">
        <v>45513</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45513</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45513</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45513</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45513</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45513</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45513</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45513</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45513</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45513</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45513</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45513</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45513</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45513</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45513</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45513</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31311-2024</t>
        </is>
      </c>
      <c r="B1707" s="1" t="n">
        <v>45504</v>
      </c>
      <c r="C1707" s="1" t="n">
        <v>45513</v>
      </c>
      <c r="D1707" t="inlineStr">
        <is>
          <t>STOCKHOLMS LÄN</t>
        </is>
      </c>
      <c r="E1707" t="inlineStr">
        <is>
          <t>NORRTÄLJE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31279-2024</t>
        </is>
      </c>
      <c r="B1708" s="1" t="n">
        <v>45504</v>
      </c>
      <c r="C1708" s="1" t="n">
        <v>45513</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45513</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2024-08-09T10:38:49Z</dcterms:created>
  <dcterms:modified xmlns:dcterms="http://purl.org/dc/terms/" xmlns:xsi="http://www.w3.org/2001/XMLSchema-instance" xsi:type="dcterms:W3CDTF">2024-08-09T10:38:50Z</dcterms:modified>
</cp:coreProperties>
</file>