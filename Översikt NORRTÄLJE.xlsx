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46033</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46033</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46033</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46033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60941-2025</t>
        </is>
      </c>
      <c r="B15" s="1" t="n">
        <v>45999.64359953703</v>
      </c>
      <c r="C15" s="1" t="n">
        <v>46033</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56024-2025</t>
        </is>
      </c>
      <c r="B16" s="1" t="n">
        <v>45973</v>
      </c>
      <c r="C16" s="1" t="n">
        <v>46033</v>
      </c>
      <c r="D16" t="inlineStr">
        <is>
          <t>STOCKHOLMS LÄN</t>
        </is>
      </c>
      <c r="E16" t="inlineStr">
        <is>
          <t>NORRTÄLJE</t>
        </is>
      </c>
      <c r="F16" t="inlineStr">
        <is>
          <t>Kommuner</t>
        </is>
      </c>
      <c r="G16" t="n">
        <v>10.6</v>
      </c>
      <c r="H16" t="n">
        <v>9</v>
      </c>
      <c r="I16" t="n">
        <v>3</v>
      </c>
      <c r="J16" t="n">
        <v>11</v>
      </c>
      <c r="K16" t="n">
        <v>1</v>
      </c>
      <c r="L16" t="n">
        <v>2</v>
      </c>
      <c r="M16" t="n">
        <v>0</v>
      </c>
      <c r="N16" t="n">
        <v>0</v>
      </c>
      <c r="O16" t="n">
        <v>14</v>
      </c>
      <c r="P16" t="n">
        <v>3</v>
      </c>
      <c r="Q16" t="n">
        <v>21</v>
      </c>
      <c r="R1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6">
        <f>HYPERLINK("https://klasma.github.io/Logging_0188/artfynd/A 56024-2025 artfynd.xlsx", "A 56024-2025")</f>
        <v/>
      </c>
      <c r="T16">
        <f>HYPERLINK("https://klasma.github.io/Logging_0188/kartor/A 56024-2025 karta.png", "A 56024-2025")</f>
        <v/>
      </c>
      <c r="V16">
        <f>HYPERLINK("https://klasma.github.io/Logging_0188/klagomål/A 56024-2025 FSC-klagomål.docx", "A 56024-2025")</f>
        <v/>
      </c>
      <c r="W16">
        <f>HYPERLINK("https://klasma.github.io/Logging_0188/klagomålsmail/A 56024-2025 FSC-klagomål mail.docx", "A 56024-2025")</f>
        <v/>
      </c>
      <c r="X16">
        <f>HYPERLINK("https://klasma.github.io/Logging_0188/tillsyn/A 56024-2025 tillsynsbegäran.docx", "A 56024-2025")</f>
        <v/>
      </c>
      <c r="Y16">
        <f>HYPERLINK("https://klasma.github.io/Logging_0188/tillsynsmail/A 56024-2025 tillsynsbegäran mail.docx", "A 56024-2025")</f>
        <v/>
      </c>
    </row>
    <row r="17" ht="15" customHeight="1">
      <c r="A17" t="inlineStr">
        <is>
          <t>A 10646-2024</t>
        </is>
      </c>
      <c r="B17" s="1" t="n">
        <v>45367</v>
      </c>
      <c r="C17" s="1" t="n">
        <v>46033</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46033</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46033</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46033</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46033</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46033</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46033</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46033</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61292-2025</t>
        </is>
      </c>
      <c r="B27" s="1" t="n">
        <v>46000.75015046296</v>
      </c>
      <c r="C27" s="1" t="n">
        <v>46033</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73093-2021</t>
        </is>
      </c>
      <c r="B28" s="1" t="n">
        <v>44550</v>
      </c>
      <c r="C28" s="1" t="n">
        <v>46033</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47274-2024</t>
        </is>
      </c>
      <c r="B29" s="1" t="n">
        <v>45586</v>
      </c>
      <c r="C29" s="1" t="n">
        <v>46033</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52815-2021</t>
        </is>
      </c>
      <c r="B30" s="1" t="n">
        <v>44467</v>
      </c>
      <c r="C30" s="1" t="n">
        <v>46033</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46033</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61099-2025</t>
        </is>
      </c>
      <c r="B32" s="1" t="n">
        <v>46000.44185185185</v>
      </c>
      <c r="C32" s="1" t="n">
        <v>46033</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59582-2024</t>
        </is>
      </c>
      <c r="B33" s="1" t="n">
        <v>45638</v>
      </c>
      <c r="C33" s="1" t="n">
        <v>46033</v>
      </c>
      <c r="D33" t="inlineStr">
        <is>
          <t>STOCKHOLMS LÄN</t>
        </is>
      </c>
      <c r="E33" t="inlineStr">
        <is>
          <t>NORRTÄLJE</t>
        </is>
      </c>
      <c r="F33" t="inlineStr">
        <is>
          <t>Holmen skog AB</t>
        </is>
      </c>
      <c r="G33" t="n">
        <v>2.7</v>
      </c>
      <c r="H33" t="n">
        <v>3</v>
      </c>
      <c r="I33" t="n">
        <v>4</v>
      </c>
      <c r="J33" t="n">
        <v>3</v>
      </c>
      <c r="K33" t="n">
        <v>0</v>
      </c>
      <c r="L33" t="n">
        <v>0</v>
      </c>
      <c r="M33" t="n">
        <v>0</v>
      </c>
      <c r="N33" t="n">
        <v>0</v>
      </c>
      <c r="O33" t="n">
        <v>3</v>
      </c>
      <c r="P33" t="n">
        <v>0</v>
      </c>
      <c r="Q33" t="n">
        <v>8</v>
      </c>
      <c r="R33" s="2" t="inlineStr">
        <is>
          <t>Duvhök
Skogshare
Spillkråka
Bronshjon
Granbräken
Spädstarr
Vågbandad barkbock
Revlummer</t>
        </is>
      </c>
      <c r="S33">
        <f>HYPERLINK("https://klasma.github.io/Logging_0188/artfynd/A 59582-2024 artfynd.xlsx", "A 59582-2024")</f>
        <v/>
      </c>
      <c r="T33">
        <f>HYPERLINK("https://klasma.github.io/Logging_0188/kartor/A 59582-2024 karta.png", "A 59582-2024")</f>
        <v/>
      </c>
      <c r="V33">
        <f>HYPERLINK("https://klasma.github.io/Logging_0188/klagomål/A 59582-2024 FSC-klagomål.docx", "A 59582-2024")</f>
        <v/>
      </c>
      <c r="W33">
        <f>HYPERLINK("https://klasma.github.io/Logging_0188/klagomålsmail/A 59582-2024 FSC-klagomål mail.docx", "A 59582-2024")</f>
        <v/>
      </c>
      <c r="X33">
        <f>HYPERLINK("https://klasma.github.io/Logging_0188/tillsyn/A 59582-2024 tillsynsbegäran.docx", "A 59582-2024")</f>
        <v/>
      </c>
      <c r="Y33">
        <f>HYPERLINK("https://klasma.github.io/Logging_0188/tillsynsmail/A 59582-2024 tillsynsbegäran mail.docx", "A 59582-2024")</f>
        <v/>
      </c>
      <c r="Z33">
        <f>HYPERLINK("https://klasma.github.io/Logging_0188/fåglar/A 59582-2024 prioriterade fågelarter.docx", "A 59582-2024")</f>
        <v/>
      </c>
    </row>
    <row r="34" ht="15" customHeight="1">
      <c r="A34" t="inlineStr">
        <is>
          <t>A 47951-2025</t>
        </is>
      </c>
      <c r="B34" s="1" t="n">
        <v>45932.58491898148</v>
      </c>
      <c r="C34" s="1" t="n">
        <v>46033</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46033</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46033</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46033</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46033</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46033</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46033</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46033</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46033</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46033</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46033</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46033</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46033</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46033</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46033</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46033</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46033</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25687-2025</t>
        </is>
      </c>
      <c r="B51" s="1" t="n">
        <v>45800</v>
      </c>
      <c r="C51" s="1" t="n">
        <v>46033</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10876-2025</t>
        </is>
      </c>
      <c r="B52" s="1" t="n">
        <v>45722</v>
      </c>
      <c r="C52" s="1" t="n">
        <v>46033</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46033</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72305-2021</t>
        </is>
      </c>
      <c r="B54" s="1" t="n">
        <v>44545</v>
      </c>
      <c r="C54" s="1" t="n">
        <v>46033</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34521-2025</t>
        </is>
      </c>
      <c r="B55" s="1" t="n">
        <v>45847.47052083333</v>
      </c>
      <c r="C55" s="1" t="n">
        <v>46033</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24052-2021</t>
        </is>
      </c>
      <c r="B56" s="1" t="n">
        <v>44336</v>
      </c>
      <c r="C56" s="1" t="n">
        <v>46033</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44709-2022</t>
        </is>
      </c>
      <c r="B57" s="1" t="n">
        <v>44839</v>
      </c>
      <c r="C57" s="1" t="n">
        <v>46033</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17673-2021</t>
        </is>
      </c>
      <c r="B58" s="1" t="n">
        <v>44300</v>
      </c>
      <c r="C58" s="1" t="n">
        <v>46033</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46033</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46033</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46033</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46033</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46033</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46033</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46033</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52726-2025</t>
        </is>
      </c>
      <c r="B66" s="1" t="n">
        <v>45957.34722222222</v>
      </c>
      <c r="C66" s="1" t="n">
        <v>46033</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34524-2025</t>
        </is>
      </c>
      <c r="B67" s="1" t="n">
        <v>45847.47685185185</v>
      </c>
      <c r="C67" s="1" t="n">
        <v>46033</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2851-2023</t>
        </is>
      </c>
      <c r="B68" s="1" t="n">
        <v>44945</v>
      </c>
      <c r="C68" s="1" t="n">
        <v>46033</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61288-2025</t>
        </is>
      </c>
      <c r="B69" s="1" t="n">
        <v>46000.73247685185</v>
      </c>
      <c r="C69" s="1" t="n">
        <v>46033</v>
      </c>
      <c r="D69" t="inlineStr">
        <is>
          <t>STOCKHOLMS LÄN</t>
        </is>
      </c>
      <c r="E69" t="inlineStr">
        <is>
          <t>NORRTÄLJE</t>
        </is>
      </c>
      <c r="G69" t="n">
        <v>2</v>
      </c>
      <c r="H69" t="n">
        <v>2</v>
      </c>
      <c r="I69" t="n">
        <v>1</v>
      </c>
      <c r="J69" t="n">
        <v>0</v>
      </c>
      <c r="K69" t="n">
        <v>1</v>
      </c>
      <c r="L69" t="n">
        <v>0</v>
      </c>
      <c r="M69" t="n">
        <v>0</v>
      </c>
      <c r="N69" t="n">
        <v>0</v>
      </c>
      <c r="O69" t="n">
        <v>1</v>
      </c>
      <c r="P69" t="n">
        <v>1</v>
      </c>
      <c r="Q69" t="n">
        <v>3</v>
      </c>
      <c r="R69" s="2" t="inlineStr">
        <is>
          <t>Knärot
Kattfotslav
Kungsfågel</t>
        </is>
      </c>
      <c r="S69">
        <f>HYPERLINK("https://klasma.github.io/Logging_0188/artfynd/A 61288-2025 artfynd.xlsx", "A 61288-2025")</f>
        <v/>
      </c>
      <c r="T69">
        <f>HYPERLINK("https://klasma.github.io/Logging_0188/kartor/A 61288-2025 karta.png", "A 61288-2025")</f>
        <v/>
      </c>
      <c r="U69">
        <f>HYPERLINK("https://klasma.github.io/Logging_0188/knärot/A 61288-2025 karta knärot.png", "A 61288-2025")</f>
        <v/>
      </c>
      <c r="V69">
        <f>HYPERLINK("https://klasma.github.io/Logging_0188/klagomål/A 61288-2025 FSC-klagomål.docx", "A 61288-2025")</f>
        <v/>
      </c>
      <c r="W69">
        <f>HYPERLINK("https://klasma.github.io/Logging_0188/klagomålsmail/A 61288-2025 FSC-klagomål mail.docx", "A 61288-2025")</f>
        <v/>
      </c>
      <c r="X69">
        <f>HYPERLINK("https://klasma.github.io/Logging_0188/tillsyn/A 61288-2025 tillsynsbegäran.docx", "A 61288-2025")</f>
        <v/>
      </c>
      <c r="Y69">
        <f>HYPERLINK("https://klasma.github.io/Logging_0188/tillsynsmail/A 61288-2025 tillsynsbegäran mail.docx", "A 61288-2025")</f>
        <v/>
      </c>
      <c r="Z69">
        <f>HYPERLINK("https://klasma.github.io/Logging_0188/fåglar/A 61288-2025 prioriterade fågelarter.docx", "A 61288-2025")</f>
        <v/>
      </c>
    </row>
    <row r="70" ht="15" customHeight="1">
      <c r="A70" t="inlineStr">
        <is>
          <t>A 27870-2022</t>
        </is>
      </c>
      <c r="B70" s="1" t="n">
        <v>44743.64592592593</v>
      </c>
      <c r="C70" s="1" t="n">
        <v>46033</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50618-2022</t>
        </is>
      </c>
      <c r="B71" s="1" t="n">
        <v>44866</v>
      </c>
      <c r="C71" s="1" t="n">
        <v>46033</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20185-2022</t>
        </is>
      </c>
      <c r="B72" s="1" t="n">
        <v>44698</v>
      </c>
      <c r="C72" s="1" t="n">
        <v>46033</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46033</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46033</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46033</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46033</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46033</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50697-2025</t>
        </is>
      </c>
      <c r="B78" s="1" t="n">
        <v>45945.90854166666</v>
      </c>
      <c r="C78" s="1" t="n">
        <v>46033</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30693-2022</t>
        </is>
      </c>
      <c r="B79" s="1" t="n">
        <v>44763</v>
      </c>
      <c r="C79" s="1" t="n">
        <v>46033</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46033</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22190-2024</t>
        </is>
      </c>
      <c r="B81" s="1" t="n">
        <v>45446.35888888889</v>
      </c>
      <c r="C81" s="1" t="n">
        <v>46033</v>
      </c>
      <c r="D81" t="inlineStr">
        <is>
          <t>STOCKHOLMS LÄN</t>
        </is>
      </c>
      <c r="E81" t="inlineStr">
        <is>
          <t>NORRTÄLJE</t>
        </is>
      </c>
      <c r="G81" t="n">
        <v>2.8</v>
      </c>
      <c r="H81" t="n">
        <v>2</v>
      </c>
      <c r="I81" t="n">
        <v>1</v>
      </c>
      <c r="J81" t="n">
        <v>0</v>
      </c>
      <c r="K81" t="n">
        <v>0</v>
      </c>
      <c r="L81" t="n">
        <v>0</v>
      </c>
      <c r="M81" t="n">
        <v>0</v>
      </c>
      <c r="N81" t="n">
        <v>0</v>
      </c>
      <c r="O81" t="n">
        <v>0</v>
      </c>
      <c r="P81" t="n">
        <v>0</v>
      </c>
      <c r="Q81" t="n">
        <v>2</v>
      </c>
      <c r="R81" s="2" t="inlineStr">
        <is>
          <t>Skogsknipprot
Vanlig groda</t>
        </is>
      </c>
      <c r="S81">
        <f>HYPERLINK("https://klasma.github.io/Logging_0188/artfynd/A 22190-2024 artfynd.xlsx", "A 22190-2024")</f>
        <v/>
      </c>
      <c r="T81">
        <f>HYPERLINK("https://klasma.github.io/Logging_0188/kartor/A 22190-2024 karta.png", "A 22190-2024")</f>
        <v/>
      </c>
      <c r="V81">
        <f>HYPERLINK("https://klasma.github.io/Logging_0188/klagomål/A 22190-2024 FSC-klagomål.docx", "A 22190-2024")</f>
        <v/>
      </c>
      <c r="W81">
        <f>HYPERLINK("https://klasma.github.io/Logging_0188/klagomålsmail/A 22190-2024 FSC-klagomål mail.docx", "A 22190-2024")</f>
        <v/>
      </c>
      <c r="X81">
        <f>HYPERLINK("https://klasma.github.io/Logging_0188/tillsyn/A 22190-2024 tillsynsbegäran.docx", "A 22190-2024")</f>
        <v/>
      </c>
      <c r="Y81">
        <f>HYPERLINK("https://klasma.github.io/Logging_0188/tillsynsmail/A 22190-2024 tillsynsbegäran mail.docx", "A 22190-2024")</f>
        <v/>
      </c>
    </row>
    <row r="82" ht="15" customHeight="1">
      <c r="A82" t="inlineStr">
        <is>
          <t>A 51980-2022</t>
        </is>
      </c>
      <c r="B82" s="1" t="n">
        <v>44872</v>
      </c>
      <c r="C82" s="1" t="n">
        <v>46033</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53608-2025</t>
        </is>
      </c>
      <c r="B83" s="1" t="n">
        <v>45960</v>
      </c>
      <c r="C83" s="1" t="n">
        <v>46033</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51220-2023</t>
        </is>
      </c>
      <c r="B84" s="1" t="n">
        <v>45219</v>
      </c>
      <c r="C84" s="1" t="n">
        <v>46033</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46033</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46033</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46033</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46033</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46033</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46033</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46033</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46033</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46033</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46033</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9955-2022</t>
        </is>
      </c>
      <c r="B95" s="1" t="n">
        <v>44620</v>
      </c>
      <c r="C95" s="1" t="n">
        <v>46033</v>
      </c>
      <c r="D95" t="inlineStr">
        <is>
          <t>STOCKHOLMS LÄN</t>
        </is>
      </c>
      <c r="E95" t="inlineStr">
        <is>
          <t>NORRTÄLJE</t>
        </is>
      </c>
      <c r="G95" t="n">
        <v>7.8</v>
      </c>
      <c r="H95" t="n">
        <v>1</v>
      </c>
      <c r="I95" t="n">
        <v>0</v>
      </c>
      <c r="J95" t="n">
        <v>0</v>
      </c>
      <c r="K95" t="n">
        <v>0</v>
      </c>
      <c r="L95" t="n">
        <v>0</v>
      </c>
      <c r="M95" t="n">
        <v>0</v>
      </c>
      <c r="N95" t="n">
        <v>0</v>
      </c>
      <c r="O95" t="n">
        <v>0</v>
      </c>
      <c r="P95" t="n">
        <v>0</v>
      </c>
      <c r="Q95" t="n">
        <v>1</v>
      </c>
      <c r="R95" s="2" t="inlineStr">
        <is>
          <t>Åkergroda</t>
        </is>
      </c>
      <c r="S95">
        <f>HYPERLINK("https://klasma.github.io/Logging_0188/artfynd/A 9955-2022 artfynd.xlsx", "A 9955-2022")</f>
        <v/>
      </c>
      <c r="T95">
        <f>HYPERLINK("https://klasma.github.io/Logging_0188/kartor/A 9955-2022 karta.png", "A 9955-2022")</f>
        <v/>
      </c>
      <c r="V95">
        <f>HYPERLINK("https://klasma.github.io/Logging_0188/klagomål/A 9955-2022 FSC-klagomål.docx", "A 9955-2022")</f>
        <v/>
      </c>
      <c r="W95">
        <f>HYPERLINK("https://klasma.github.io/Logging_0188/klagomålsmail/A 9955-2022 FSC-klagomål mail.docx", "A 9955-2022")</f>
        <v/>
      </c>
      <c r="X95">
        <f>HYPERLINK("https://klasma.github.io/Logging_0188/tillsyn/A 9955-2022 tillsynsbegäran.docx", "A 9955-2022")</f>
        <v/>
      </c>
      <c r="Y95">
        <f>HYPERLINK("https://klasma.github.io/Logging_0188/tillsynsmail/A 9955-2022 tillsynsbegäran mail.docx", "A 9955-2022")</f>
        <v/>
      </c>
    </row>
    <row r="96" ht="15" customHeight="1">
      <c r="A96" t="inlineStr">
        <is>
          <t>A 59682-2025</t>
        </is>
      </c>
      <c r="B96" s="1" t="n">
        <v>45992.47116898148</v>
      </c>
      <c r="C96" s="1" t="n">
        <v>46033</v>
      </c>
      <c r="D96" t="inlineStr">
        <is>
          <t>STOCKHOLMS LÄN</t>
        </is>
      </c>
      <c r="E96" t="inlineStr">
        <is>
          <t>NORRTÄLJE</t>
        </is>
      </c>
      <c r="G96" t="n">
        <v>1.6</v>
      </c>
      <c r="H96" t="n">
        <v>0</v>
      </c>
      <c r="I96" t="n">
        <v>1</v>
      </c>
      <c r="J96" t="n">
        <v>0</v>
      </c>
      <c r="K96" t="n">
        <v>0</v>
      </c>
      <c r="L96" t="n">
        <v>0</v>
      </c>
      <c r="M96" t="n">
        <v>0</v>
      </c>
      <c r="N96" t="n">
        <v>0</v>
      </c>
      <c r="O96" t="n">
        <v>0</v>
      </c>
      <c r="P96" t="n">
        <v>0</v>
      </c>
      <c r="Q96" t="n">
        <v>1</v>
      </c>
      <c r="R96" s="2" t="inlineStr">
        <is>
          <t>Grönpyrola</t>
        </is>
      </c>
      <c r="S96">
        <f>HYPERLINK("https://klasma.github.io/Logging_0188/artfynd/A 59682-2025 artfynd.xlsx", "A 59682-2025")</f>
        <v/>
      </c>
      <c r="T96">
        <f>HYPERLINK("https://klasma.github.io/Logging_0188/kartor/A 59682-2025 karta.png", "A 59682-2025")</f>
        <v/>
      </c>
      <c r="V96">
        <f>HYPERLINK("https://klasma.github.io/Logging_0188/klagomål/A 59682-2025 FSC-klagomål.docx", "A 59682-2025")</f>
        <v/>
      </c>
      <c r="W96">
        <f>HYPERLINK("https://klasma.github.io/Logging_0188/klagomålsmail/A 59682-2025 FSC-klagomål mail.docx", "A 59682-2025")</f>
        <v/>
      </c>
      <c r="X96">
        <f>HYPERLINK("https://klasma.github.io/Logging_0188/tillsyn/A 59682-2025 tillsynsbegäran.docx", "A 59682-2025")</f>
        <v/>
      </c>
      <c r="Y96">
        <f>HYPERLINK("https://klasma.github.io/Logging_0188/tillsynsmail/A 59682-2025 tillsynsbegäran mail.docx", "A 59682-2025")</f>
        <v/>
      </c>
    </row>
    <row r="97" ht="15" customHeight="1">
      <c r="A97" t="inlineStr">
        <is>
          <t>A 23905-2025</t>
        </is>
      </c>
      <c r="B97" s="1" t="n">
        <v>45794.63298611111</v>
      </c>
      <c r="C97" s="1" t="n">
        <v>46033</v>
      </c>
      <c r="D97" t="inlineStr">
        <is>
          <t>STOCKHOLMS LÄN</t>
        </is>
      </c>
      <c r="E97" t="inlineStr">
        <is>
          <t>NORRTÄLJE</t>
        </is>
      </c>
      <c r="G97" t="n">
        <v>8.4</v>
      </c>
      <c r="H97" t="n">
        <v>1</v>
      </c>
      <c r="I97" t="n">
        <v>0</v>
      </c>
      <c r="J97" t="n">
        <v>0</v>
      </c>
      <c r="K97" t="n">
        <v>0</v>
      </c>
      <c r="L97" t="n">
        <v>0</v>
      </c>
      <c r="M97" t="n">
        <v>0</v>
      </c>
      <c r="N97" t="n">
        <v>0</v>
      </c>
      <c r="O97" t="n">
        <v>0</v>
      </c>
      <c r="P97" t="n">
        <v>0</v>
      </c>
      <c r="Q97" t="n">
        <v>1</v>
      </c>
      <c r="R97" s="2" t="inlineStr">
        <is>
          <t>Blåsippa</t>
        </is>
      </c>
      <c r="S97">
        <f>HYPERLINK("https://klasma.github.io/Logging_0188/artfynd/A 23905-2025 artfynd.xlsx", "A 23905-2025")</f>
        <v/>
      </c>
      <c r="T97">
        <f>HYPERLINK("https://klasma.github.io/Logging_0188/kartor/A 23905-2025 karta.png", "A 23905-2025")</f>
        <v/>
      </c>
      <c r="V97">
        <f>HYPERLINK("https://klasma.github.io/Logging_0188/klagomål/A 23905-2025 FSC-klagomål.docx", "A 23905-2025")</f>
        <v/>
      </c>
      <c r="W97">
        <f>HYPERLINK("https://klasma.github.io/Logging_0188/klagomålsmail/A 23905-2025 FSC-klagomål mail.docx", "A 23905-2025")</f>
        <v/>
      </c>
      <c r="X97">
        <f>HYPERLINK("https://klasma.github.io/Logging_0188/tillsyn/A 23905-2025 tillsynsbegäran.docx", "A 23905-2025")</f>
        <v/>
      </c>
      <c r="Y97">
        <f>HYPERLINK("https://klasma.github.io/Logging_0188/tillsynsmail/A 23905-2025 tillsynsbegäran mail.docx", "A 23905-2025")</f>
        <v/>
      </c>
    </row>
    <row r="98" ht="15" customHeight="1">
      <c r="A98" t="inlineStr">
        <is>
          <t>A 40861-2025</t>
        </is>
      </c>
      <c r="B98" s="1" t="n">
        <v>45897.56356481482</v>
      </c>
      <c r="C98" s="1" t="n">
        <v>46033</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46033</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25669-2025</t>
        </is>
      </c>
      <c r="B100" s="1" t="n">
        <v>45803.62766203703</v>
      </c>
      <c r="C100" s="1" t="n">
        <v>46033</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35764-2024</t>
        </is>
      </c>
      <c r="B101" s="1" t="n">
        <v>45532</v>
      </c>
      <c r="C101" s="1" t="n">
        <v>46033</v>
      </c>
      <c r="D101" t="inlineStr">
        <is>
          <t>STOCKHOLMS LÄN</t>
        </is>
      </c>
      <c r="E101" t="inlineStr">
        <is>
          <t>NORRTÄLJE</t>
        </is>
      </c>
      <c r="G101" t="n">
        <v>14.2</v>
      </c>
      <c r="H101" t="n">
        <v>1</v>
      </c>
      <c r="I101" t="n">
        <v>0</v>
      </c>
      <c r="J101" t="n">
        <v>0</v>
      </c>
      <c r="K101" t="n">
        <v>1</v>
      </c>
      <c r="L101" t="n">
        <v>0</v>
      </c>
      <c r="M101" t="n">
        <v>0</v>
      </c>
      <c r="N101" t="n">
        <v>0</v>
      </c>
      <c r="O101" t="n">
        <v>1</v>
      </c>
      <c r="P101" t="n">
        <v>1</v>
      </c>
      <c r="Q101" t="n">
        <v>1</v>
      </c>
      <c r="R101" s="2" t="inlineStr">
        <is>
          <t>Knärot</t>
        </is>
      </c>
      <c r="S101">
        <f>HYPERLINK("https://klasma.github.io/Logging_0188/artfynd/A 35764-2024 artfynd.xlsx", "A 35764-2024")</f>
        <v/>
      </c>
      <c r="T101">
        <f>HYPERLINK("https://klasma.github.io/Logging_0188/kartor/A 35764-2024 karta.png", "A 35764-2024")</f>
        <v/>
      </c>
      <c r="U101">
        <f>HYPERLINK("https://klasma.github.io/Logging_0188/knärot/A 35764-2024 karta knärot.png", "A 35764-2024")</f>
        <v/>
      </c>
      <c r="V101">
        <f>HYPERLINK("https://klasma.github.io/Logging_0188/klagomål/A 35764-2024 FSC-klagomål.docx", "A 35764-2024")</f>
        <v/>
      </c>
      <c r="W101">
        <f>HYPERLINK("https://klasma.github.io/Logging_0188/klagomålsmail/A 35764-2024 FSC-klagomål mail.docx", "A 35764-2024")</f>
        <v/>
      </c>
      <c r="X101">
        <f>HYPERLINK("https://klasma.github.io/Logging_0188/tillsyn/A 35764-2024 tillsynsbegäran.docx", "A 35764-2024")</f>
        <v/>
      </c>
      <c r="Y101">
        <f>HYPERLINK("https://klasma.github.io/Logging_0188/tillsynsmail/A 35764-2024 tillsynsbegäran mail.docx", "A 35764-2024")</f>
        <v/>
      </c>
    </row>
    <row r="102" ht="15" customHeight="1">
      <c r="A102" t="inlineStr">
        <is>
          <t>A 25725-2025</t>
        </is>
      </c>
      <c r="B102" s="1" t="n">
        <v>45800</v>
      </c>
      <c r="C102" s="1" t="n">
        <v>46033</v>
      </c>
      <c r="D102" t="inlineStr">
        <is>
          <t>STOCKHOLMS LÄN</t>
        </is>
      </c>
      <c r="E102" t="inlineStr">
        <is>
          <t>NORRTÄLJE</t>
        </is>
      </c>
      <c r="G102" t="n">
        <v>5.2</v>
      </c>
      <c r="H102" t="n">
        <v>0</v>
      </c>
      <c r="I102" t="n">
        <v>0</v>
      </c>
      <c r="J102" t="n">
        <v>1</v>
      </c>
      <c r="K102" t="n">
        <v>0</v>
      </c>
      <c r="L102" t="n">
        <v>0</v>
      </c>
      <c r="M102" t="n">
        <v>0</v>
      </c>
      <c r="N102" t="n">
        <v>0</v>
      </c>
      <c r="O102" t="n">
        <v>1</v>
      </c>
      <c r="P102" t="n">
        <v>0</v>
      </c>
      <c r="Q102" t="n">
        <v>1</v>
      </c>
      <c r="R102" s="2" t="inlineStr">
        <is>
          <t>Tallticka</t>
        </is>
      </c>
      <c r="S102">
        <f>HYPERLINK("https://klasma.github.io/Logging_0188/artfynd/A 25725-2025 artfynd.xlsx", "A 25725-2025")</f>
        <v/>
      </c>
      <c r="T102">
        <f>HYPERLINK("https://klasma.github.io/Logging_0188/kartor/A 25725-2025 karta.png", "A 25725-2025")</f>
        <v/>
      </c>
      <c r="V102">
        <f>HYPERLINK("https://klasma.github.io/Logging_0188/klagomål/A 25725-2025 FSC-klagomål.docx", "A 25725-2025")</f>
        <v/>
      </c>
      <c r="W102">
        <f>HYPERLINK("https://klasma.github.io/Logging_0188/klagomålsmail/A 25725-2025 FSC-klagomål mail.docx", "A 25725-2025")</f>
        <v/>
      </c>
      <c r="X102">
        <f>HYPERLINK("https://klasma.github.io/Logging_0188/tillsyn/A 25725-2025 tillsynsbegäran.docx", "A 25725-2025")</f>
        <v/>
      </c>
      <c r="Y102">
        <f>HYPERLINK("https://klasma.github.io/Logging_0188/tillsynsmail/A 25725-2025 tillsynsbegäran mail.docx", "A 25725-2025")</f>
        <v/>
      </c>
    </row>
    <row r="103" ht="15" customHeight="1">
      <c r="A103" t="inlineStr">
        <is>
          <t>A 25709-2025</t>
        </is>
      </c>
      <c r="B103" s="1" t="n">
        <v>45800</v>
      </c>
      <c r="C103" s="1" t="n">
        <v>46033</v>
      </c>
      <c r="D103" t="inlineStr">
        <is>
          <t>STOCKHOLMS LÄN</t>
        </is>
      </c>
      <c r="E103" t="inlineStr">
        <is>
          <t>NORRTÄLJE</t>
        </is>
      </c>
      <c r="G103" t="n">
        <v>4.6</v>
      </c>
      <c r="H103" t="n">
        <v>0</v>
      </c>
      <c r="I103" t="n">
        <v>0</v>
      </c>
      <c r="J103" t="n">
        <v>1</v>
      </c>
      <c r="K103" t="n">
        <v>0</v>
      </c>
      <c r="L103" t="n">
        <v>0</v>
      </c>
      <c r="M103" t="n">
        <v>0</v>
      </c>
      <c r="N103" t="n">
        <v>0</v>
      </c>
      <c r="O103" t="n">
        <v>1</v>
      </c>
      <c r="P103" t="n">
        <v>0</v>
      </c>
      <c r="Q103" t="n">
        <v>1</v>
      </c>
      <c r="R103" s="2" t="inlineStr">
        <is>
          <t>Ullticka</t>
        </is>
      </c>
      <c r="S103">
        <f>HYPERLINK("https://klasma.github.io/Logging_0188/artfynd/A 25709-2025 artfynd.xlsx", "A 25709-2025")</f>
        <v/>
      </c>
      <c r="T103">
        <f>HYPERLINK("https://klasma.github.io/Logging_0188/kartor/A 25709-2025 karta.png", "A 25709-2025")</f>
        <v/>
      </c>
      <c r="V103">
        <f>HYPERLINK("https://klasma.github.io/Logging_0188/klagomål/A 25709-2025 FSC-klagomål.docx", "A 25709-2025")</f>
        <v/>
      </c>
      <c r="W103">
        <f>HYPERLINK("https://klasma.github.io/Logging_0188/klagomålsmail/A 25709-2025 FSC-klagomål mail.docx", "A 25709-2025")</f>
        <v/>
      </c>
      <c r="X103">
        <f>HYPERLINK("https://klasma.github.io/Logging_0188/tillsyn/A 25709-2025 tillsynsbegäran.docx", "A 25709-2025")</f>
        <v/>
      </c>
      <c r="Y103">
        <f>HYPERLINK("https://klasma.github.io/Logging_0188/tillsynsmail/A 25709-2025 tillsynsbegäran mail.docx", "A 25709-2025")</f>
        <v/>
      </c>
    </row>
    <row r="104" ht="15" customHeight="1">
      <c r="A104" t="inlineStr">
        <is>
          <t>A 4595-2023</t>
        </is>
      </c>
      <c r="B104" s="1" t="n">
        <v>44956</v>
      </c>
      <c r="C104" s="1" t="n">
        <v>46033</v>
      </c>
      <c r="D104" t="inlineStr">
        <is>
          <t>STOCKHOLMS LÄN</t>
        </is>
      </c>
      <c r="E104" t="inlineStr">
        <is>
          <t>NORRTÄLJE</t>
        </is>
      </c>
      <c r="G104" t="n">
        <v>0.6</v>
      </c>
      <c r="H104" t="n">
        <v>1</v>
      </c>
      <c r="I104" t="n">
        <v>0</v>
      </c>
      <c r="J104" t="n">
        <v>0</v>
      </c>
      <c r="K104" t="n">
        <v>0</v>
      </c>
      <c r="L104" t="n">
        <v>0</v>
      </c>
      <c r="M104" t="n">
        <v>0</v>
      </c>
      <c r="N104" t="n">
        <v>0</v>
      </c>
      <c r="O104" t="n">
        <v>0</v>
      </c>
      <c r="P104" t="n">
        <v>0</v>
      </c>
      <c r="Q104" t="n">
        <v>1</v>
      </c>
      <c r="R104" s="2" t="inlineStr">
        <is>
          <t>Blåsippa</t>
        </is>
      </c>
      <c r="S104">
        <f>HYPERLINK("https://klasma.github.io/Logging_0188/artfynd/A 4595-2023 artfynd.xlsx", "A 4595-2023")</f>
        <v/>
      </c>
      <c r="T104">
        <f>HYPERLINK("https://klasma.github.io/Logging_0188/kartor/A 4595-2023 karta.png", "A 4595-2023")</f>
        <v/>
      </c>
      <c r="V104">
        <f>HYPERLINK("https://klasma.github.io/Logging_0188/klagomål/A 4595-2023 FSC-klagomål.docx", "A 4595-2023")</f>
        <v/>
      </c>
      <c r="W104">
        <f>HYPERLINK("https://klasma.github.io/Logging_0188/klagomålsmail/A 4595-2023 FSC-klagomål mail.docx", "A 4595-2023")</f>
        <v/>
      </c>
      <c r="X104">
        <f>HYPERLINK("https://klasma.github.io/Logging_0188/tillsyn/A 4595-2023 tillsynsbegäran.docx", "A 4595-2023")</f>
        <v/>
      </c>
      <c r="Y104">
        <f>HYPERLINK("https://klasma.github.io/Logging_0188/tillsynsmail/A 4595-2023 tillsynsbegäran mail.docx", "A 4595-2023")</f>
        <v/>
      </c>
    </row>
    <row r="105" ht="15" customHeight="1">
      <c r="A105" t="inlineStr">
        <is>
          <t>A 35649-2023</t>
        </is>
      </c>
      <c r="B105" s="1" t="n">
        <v>45146</v>
      </c>
      <c r="C105" s="1" t="n">
        <v>46033</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42313-2025</t>
        </is>
      </c>
      <c r="B106" s="1" t="n">
        <v>45904.6575</v>
      </c>
      <c r="C106" s="1" t="n">
        <v>46033</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24535-2023</t>
        </is>
      </c>
      <c r="B107" s="1" t="n">
        <v>45082</v>
      </c>
      <c r="C107" s="1" t="n">
        <v>46033</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6381-2023</t>
        </is>
      </c>
      <c r="B108" s="1" t="n">
        <v>44965</v>
      </c>
      <c r="C108" s="1" t="n">
        <v>46033</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4532-2025</t>
        </is>
      </c>
      <c r="B109" s="1" t="n">
        <v>45687.34177083334</v>
      </c>
      <c r="C109" s="1" t="n">
        <v>46033</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29946-2025</t>
        </is>
      </c>
      <c r="B110" s="1" t="n">
        <v>45826.46392361111</v>
      </c>
      <c r="C110" s="1" t="n">
        <v>46033</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35691-2023</t>
        </is>
      </c>
      <c r="B111" s="1" t="n">
        <v>45147.65222222222</v>
      </c>
      <c r="C111" s="1" t="n">
        <v>46033</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46033</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39158-2025</t>
        </is>
      </c>
      <c r="B113" s="1" t="n">
        <v>45888</v>
      </c>
      <c r="C113" s="1" t="n">
        <v>46033</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50854-2022</t>
        </is>
      </c>
      <c r="B114" s="1" t="n">
        <v>44863</v>
      </c>
      <c r="C114" s="1" t="n">
        <v>46033</v>
      </c>
      <c r="D114" t="inlineStr">
        <is>
          <t>STOCKHOLMS LÄN</t>
        </is>
      </c>
      <c r="E114" t="inlineStr">
        <is>
          <t>NORRTÄLJE</t>
        </is>
      </c>
      <c r="G114" t="n">
        <v>2.9</v>
      </c>
      <c r="H114" t="n">
        <v>0</v>
      </c>
      <c r="I114" t="n">
        <v>1</v>
      </c>
      <c r="J114" t="n">
        <v>0</v>
      </c>
      <c r="K114" t="n">
        <v>0</v>
      </c>
      <c r="L114" t="n">
        <v>0</v>
      </c>
      <c r="M114" t="n">
        <v>0</v>
      </c>
      <c r="N114" t="n">
        <v>0</v>
      </c>
      <c r="O114" t="n">
        <v>0</v>
      </c>
      <c r="P114" t="n">
        <v>0</v>
      </c>
      <c r="Q114" t="n">
        <v>1</v>
      </c>
      <c r="R114" s="2" t="inlineStr">
        <is>
          <t>Tibast</t>
        </is>
      </c>
      <c r="S114">
        <f>HYPERLINK("https://klasma.github.io/Logging_0188/artfynd/A 50854-2022 artfynd.xlsx", "A 50854-2022")</f>
        <v/>
      </c>
      <c r="T114">
        <f>HYPERLINK("https://klasma.github.io/Logging_0188/kartor/A 50854-2022 karta.png", "A 50854-2022")</f>
        <v/>
      </c>
      <c r="V114">
        <f>HYPERLINK("https://klasma.github.io/Logging_0188/klagomål/A 50854-2022 FSC-klagomål.docx", "A 50854-2022")</f>
        <v/>
      </c>
      <c r="W114">
        <f>HYPERLINK("https://klasma.github.io/Logging_0188/klagomålsmail/A 50854-2022 FSC-klagomål mail.docx", "A 50854-2022")</f>
        <v/>
      </c>
      <c r="X114">
        <f>HYPERLINK("https://klasma.github.io/Logging_0188/tillsyn/A 50854-2022 tillsynsbegäran.docx", "A 50854-2022")</f>
        <v/>
      </c>
      <c r="Y114">
        <f>HYPERLINK("https://klasma.github.io/Logging_0188/tillsynsmail/A 50854-2022 tillsynsbegäran mail.docx", "A 50854-2022")</f>
        <v/>
      </c>
    </row>
    <row r="115" ht="15" customHeight="1">
      <c r="A115" t="inlineStr">
        <is>
          <t>A 33548-2025</t>
        </is>
      </c>
      <c r="B115" s="1" t="n">
        <v>45841.5721875</v>
      </c>
      <c r="C115" s="1" t="n">
        <v>46033</v>
      </c>
      <c r="D115" t="inlineStr">
        <is>
          <t>STOCKHOLMS LÄN</t>
        </is>
      </c>
      <c r="E115" t="inlineStr">
        <is>
          <t>NORRTÄLJE</t>
        </is>
      </c>
      <c r="G115" t="n">
        <v>12.2</v>
      </c>
      <c r="H115" t="n">
        <v>0</v>
      </c>
      <c r="I115" t="n">
        <v>0</v>
      </c>
      <c r="J115" t="n">
        <v>1</v>
      </c>
      <c r="K115" t="n">
        <v>0</v>
      </c>
      <c r="L115" t="n">
        <v>0</v>
      </c>
      <c r="M115" t="n">
        <v>0</v>
      </c>
      <c r="N115" t="n">
        <v>0</v>
      </c>
      <c r="O115" t="n">
        <v>1</v>
      </c>
      <c r="P115" t="n">
        <v>0</v>
      </c>
      <c r="Q115" t="n">
        <v>1</v>
      </c>
      <c r="R115" s="2" t="inlineStr">
        <is>
          <t>Dofttaggsvamp</t>
        </is>
      </c>
      <c r="S115">
        <f>HYPERLINK("https://klasma.github.io/Logging_0188/artfynd/A 33548-2025 artfynd.xlsx", "A 33548-2025")</f>
        <v/>
      </c>
      <c r="T115">
        <f>HYPERLINK("https://klasma.github.io/Logging_0188/kartor/A 33548-2025 karta.png", "A 33548-2025")</f>
        <v/>
      </c>
      <c r="V115">
        <f>HYPERLINK("https://klasma.github.io/Logging_0188/klagomål/A 33548-2025 FSC-klagomål.docx", "A 33548-2025")</f>
        <v/>
      </c>
      <c r="W115">
        <f>HYPERLINK("https://klasma.github.io/Logging_0188/klagomålsmail/A 33548-2025 FSC-klagomål mail.docx", "A 33548-2025")</f>
        <v/>
      </c>
      <c r="X115">
        <f>HYPERLINK("https://klasma.github.io/Logging_0188/tillsyn/A 33548-2025 tillsynsbegäran.docx", "A 33548-2025")</f>
        <v/>
      </c>
      <c r="Y115">
        <f>HYPERLINK("https://klasma.github.io/Logging_0188/tillsynsmail/A 33548-2025 tillsynsbegäran mail.docx", "A 33548-2025")</f>
        <v/>
      </c>
    </row>
    <row r="116" ht="15" customHeight="1">
      <c r="A116" t="inlineStr">
        <is>
          <t>A 33546-2025</t>
        </is>
      </c>
      <c r="B116" s="1" t="n">
        <v>45841.56996527778</v>
      </c>
      <c r="C116" s="1" t="n">
        <v>46033</v>
      </c>
      <c r="D116" t="inlineStr">
        <is>
          <t>STOCKHOLMS LÄN</t>
        </is>
      </c>
      <c r="E116" t="inlineStr">
        <is>
          <t>NORRTÄLJE</t>
        </is>
      </c>
      <c r="G116" t="n">
        <v>7.2</v>
      </c>
      <c r="H116" t="n">
        <v>1</v>
      </c>
      <c r="I116" t="n">
        <v>1</v>
      </c>
      <c r="J116" t="n">
        <v>0</v>
      </c>
      <c r="K116" t="n">
        <v>0</v>
      </c>
      <c r="L116" t="n">
        <v>0</v>
      </c>
      <c r="M116" t="n">
        <v>0</v>
      </c>
      <c r="N116" t="n">
        <v>0</v>
      </c>
      <c r="O116" t="n">
        <v>0</v>
      </c>
      <c r="P116" t="n">
        <v>0</v>
      </c>
      <c r="Q116" t="n">
        <v>1</v>
      </c>
      <c r="R116" s="2" t="inlineStr">
        <is>
          <t>Nästrot</t>
        </is>
      </c>
      <c r="S116">
        <f>HYPERLINK("https://klasma.github.io/Logging_0188/artfynd/A 33546-2025 artfynd.xlsx", "A 33546-2025")</f>
        <v/>
      </c>
      <c r="T116">
        <f>HYPERLINK("https://klasma.github.io/Logging_0188/kartor/A 33546-2025 karta.png", "A 33546-2025")</f>
        <v/>
      </c>
      <c r="V116">
        <f>HYPERLINK("https://klasma.github.io/Logging_0188/klagomål/A 33546-2025 FSC-klagomål.docx", "A 33546-2025")</f>
        <v/>
      </c>
      <c r="W116">
        <f>HYPERLINK("https://klasma.github.io/Logging_0188/klagomålsmail/A 33546-2025 FSC-klagomål mail.docx", "A 33546-2025")</f>
        <v/>
      </c>
      <c r="X116">
        <f>HYPERLINK("https://klasma.github.io/Logging_0188/tillsyn/A 33546-2025 tillsynsbegäran.docx", "A 33546-2025")</f>
        <v/>
      </c>
      <c r="Y116">
        <f>HYPERLINK("https://klasma.github.io/Logging_0188/tillsynsmail/A 33546-2025 tillsynsbegäran mail.docx", "A 33546-2025")</f>
        <v/>
      </c>
    </row>
    <row r="117" ht="15" customHeight="1">
      <c r="A117" t="inlineStr">
        <is>
          <t>A 52775-2025</t>
        </is>
      </c>
      <c r="B117" s="1" t="n">
        <v>45957.41608796296</v>
      </c>
      <c r="C117" s="1" t="n">
        <v>46033</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26120-2024</t>
        </is>
      </c>
      <c r="B118" s="1" t="n">
        <v>45468.45995370371</v>
      </c>
      <c r="C118" s="1" t="n">
        <v>46033</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46033</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64456-2023</t>
        </is>
      </c>
      <c r="B120" s="1" t="n">
        <v>45280</v>
      </c>
      <c r="C120" s="1" t="n">
        <v>46033</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8371-2025</t>
        </is>
      </c>
      <c r="B121" s="1" t="n">
        <v>45708</v>
      </c>
      <c r="C121" s="1" t="n">
        <v>46033</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53716-2025</t>
        </is>
      </c>
      <c r="B122" s="1" t="n">
        <v>45960.61782407408</v>
      </c>
      <c r="C122" s="1" t="n">
        <v>46033</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46033</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24330-2023</t>
        </is>
      </c>
      <c r="B124" s="1" t="n">
        <v>45081</v>
      </c>
      <c r="C124" s="1" t="n">
        <v>46033</v>
      </c>
      <c r="D124" t="inlineStr">
        <is>
          <t>STOCKHOLMS LÄN</t>
        </is>
      </c>
      <c r="E124" t="inlineStr">
        <is>
          <t>NORRTÄLJE</t>
        </is>
      </c>
      <c r="G124" t="n">
        <v>5</v>
      </c>
      <c r="H124" t="n">
        <v>1</v>
      </c>
      <c r="I124" t="n">
        <v>0</v>
      </c>
      <c r="J124" t="n">
        <v>1</v>
      </c>
      <c r="K124" t="n">
        <v>0</v>
      </c>
      <c r="L124" t="n">
        <v>0</v>
      </c>
      <c r="M124" t="n">
        <v>0</v>
      </c>
      <c r="N124" t="n">
        <v>0</v>
      </c>
      <c r="O124" t="n">
        <v>1</v>
      </c>
      <c r="P124" t="n">
        <v>0</v>
      </c>
      <c r="Q124" t="n">
        <v>1</v>
      </c>
      <c r="R124" s="2" t="inlineStr">
        <is>
          <t>Mindre hackspett</t>
        </is>
      </c>
      <c r="S124">
        <f>HYPERLINK("https://klasma.github.io/Logging_0188/artfynd/A 24330-2023 artfynd.xlsx", "A 24330-2023")</f>
        <v/>
      </c>
      <c r="T124">
        <f>HYPERLINK("https://klasma.github.io/Logging_0188/kartor/A 24330-2023 karta.png", "A 24330-2023")</f>
        <v/>
      </c>
      <c r="V124">
        <f>HYPERLINK("https://klasma.github.io/Logging_0188/klagomål/A 24330-2023 FSC-klagomål.docx", "A 24330-2023")</f>
        <v/>
      </c>
      <c r="W124">
        <f>HYPERLINK("https://klasma.github.io/Logging_0188/klagomålsmail/A 24330-2023 FSC-klagomål mail.docx", "A 24330-2023")</f>
        <v/>
      </c>
      <c r="X124">
        <f>HYPERLINK("https://klasma.github.io/Logging_0188/tillsyn/A 24330-2023 tillsynsbegäran.docx", "A 24330-2023")</f>
        <v/>
      </c>
      <c r="Y124">
        <f>HYPERLINK("https://klasma.github.io/Logging_0188/tillsynsmail/A 24330-2023 tillsynsbegäran mail.docx", "A 24330-2023")</f>
        <v/>
      </c>
      <c r="Z124">
        <f>HYPERLINK("https://klasma.github.io/Logging_0188/fåglar/A 24330-2023 prioriterade fågelarter.docx", "A 24330-2023")</f>
        <v/>
      </c>
    </row>
    <row r="125" ht="15" customHeight="1">
      <c r="A125" t="inlineStr">
        <is>
          <t>A 21744-2023</t>
        </is>
      </c>
      <c r="B125" s="1" t="n">
        <v>45065</v>
      </c>
      <c r="C125" s="1" t="n">
        <v>46033</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62715-2025</t>
        </is>
      </c>
      <c r="B126" s="1" t="n">
        <v>46008.52034722222</v>
      </c>
      <c r="C126" s="1" t="n">
        <v>46033</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1162-2021</t>
        </is>
      </c>
      <c r="B127" s="1" t="n">
        <v>44207</v>
      </c>
      <c r="C127" s="1" t="n">
        <v>46033</v>
      </c>
      <c r="D127" t="inlineStr">
        <is>
          <t>STOCKHOLMS LÄN</t>
        </is>
      </c>
      <c r="E127" t="inlineStr">
        <is>
          <t>NORRTÄLJE</t>
        </is>
      </c>
      <c r="G127" t="n">
        <v>2.2</v>
      </c>
      <c r="H127" t="n">
        <v>1</v>
      </c>
      <c r="I127" t="n">
        <v>0</v>
      </c>
      <c r="J127" t="n">
        <v>0</v>
      </c>
      <c r="K127" t="n">
        <v>1</v>
      </c>
      <c r="L127" t="n">
        <v>0</v>
      </c>
      <c r="M127" t="n">
        <v>0</v>
      </c>
      <c r="N127" t="n">
        <v>0</v>
      </c>
      <c r="O127" t="n">
        <v>1</v>
      </c>
      <c r="P127" t="n">
        <v>1</v>
      </c>
      <c r="Q127" t="n">
        <v>1</v>
      </c>
      <c r="R127" s="2" t="inlineStr">
        <is>
          <t>Hällebräcka</t>
        </is>
      </c>
      <c r="S127">
        <f>HYPERLINK("https://klasma.github.io/Logging_0188/artfynd/A 1162-2021 artfynd.xlsx", "A 1162-2021")</f>
        <v/>
      </c>
      <c r="T127">
        <f>HYPERLINK("https://klasma.github.io/Logging_0188/kartor/A 1162-2021 karta.png", "A 1162-2021")</f>
        <v/>
      </c>
      <c r="V127">
        <f>HYPERLINK("https://klasma.github.io/Logging_0188/klagomål/A 1162-2021 FSC-klagomål.docx", "A 1162-2021")</f>
        <v/>
      </c>
      <c r="W127">
        <f>HYPERLINK("https://klasma.github.io/Logging_0188/klagomålsmail/A 1162-2021 FSC-klagomål mail.docx", "A 1162-2021")</f>
        <v/>
      </c>
      <c r="X127">
        <f>HYPERLINK("https://klasma.github.io/Logging_0188/tillsyn/A 1162-2021 tillsynsbegäran.docx", "A 1162-2021")</f>
        <v/>
      </c>
      <c r="Y127">
        <f>HYPERLINK("https://klasma.github.io/Logging_0188/tillsynsmail/A 1162-2021 tillsynsbegäran mail.docx", "A 1162-2021")</f>
        <v/>
      </c>
    </row>
    <row r="128" ht="15" customHeight="1">
      <c r="A128" t="inlineStr">
        <is>
          <t>A 63292-2025</t>
        </is>
      </c>
      <c r="B128" s="1" t="n">
        <v>46010.59232638889</v>
      </c>
      <c r="C128" s="1" t="n">
        <v>46033</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52611-2024</t>
        </is>
      </c>
      <c r="B129" s="1" t="n">
        <v>45609.83747685186</v>
      </c>
      <c r="C129" s="1" t="n">
        <v>46033</v>
      </c>
      <c r="D129" t="inlineStr">
        <is>
          <t>STOCKHOLMS LÄN</t>
        </is>
      </c>
      <c r="E129" t="inlineStr">
        <is>
          <t>NORRTÄLJE</t>
        </is>
      </c>
      <c r="G129" t="n">
        <v>10.6</v>
      </c>
      <c r="H129" t="n">
        <v>1</v>
      </c>
      <c r="I129" t="n">
        <v>0</v>
      </c>
      <c r="J129" t="n">
        <v>0</v>
      </c>
      <c r="K129" t="n">
        <v>0</v>
      </c>
      <c r="L129" t="n">
        <v>0</v>
      </c>
      <c r="M129" t="n">
        <v>0</v>
      </c>
      <c r="N129" t="n">
        <v>0</v>
      </c>
      <c r="O129" t="n">
        <v>0</v>
      </c>
      <c r="P129" t="n">
        <v>0</v>
      </c>
      <c r="Q129" t="n">
        <v>1</v>
      </c>
      <c r="R129" s="2" t="inlineStr">
        <is>
          <t>Blåsippa</t>
        </is>
      </c>
      <c r="S129">
        <f>HYPERLINK("https://klasma.github.io/Logging_0188/artfynd/A 52611-2024 artfynd.xlsx", "A 52611-2024")</f>
        <v/>
      </c>
      <c r="T129">
        <f>HYPERLINK("https://klasma.github.io/Logging_0188/kartor/A 52611-2024 karta.png", "A 52611-2024")</f>
        <v/>
      </c>
      <c r="V129">
        <f>HYPERLINK("https://klasma.github.io/Logging_0188/klagomål/A 52611-2024 FSC-klagomål.docx", "A 52611-2024")</f>
        <v/>
      </c>
      <c r="W129">
        <f>HYPERLINK("https://klasma.github.io/Logging_0188/klagomålsmail/A 52611-2024 FSC-klagomål mail.docx", "A 52611-2024")</f>
        <v/>
      </c>
      <c r="X129">
        <f>HYPERLINK("https://klasma.github.io/Logging_0188/tillsyn/A 52611-2024 tillsynsbegäran.docx", "A 52611-2024")</f>
        <v/>
      </c>
      <c r="Y129">
        <f>HYPERLINK("https://klasma.github.io/Logging_0188/tillsynsmail/A 52611-2024 tillsynsbegäran mail.docx", "A 52611-2024")</f>
        <v/>
      </c>
    </row>
    <row r="130" ht="15" customHeight="1">
      <c r="A130" t="inlineStr">
        <is>
          <t>A 17952-2022</t>
        </is>
      </c>
      <c r="B130" s="1" t="n">
        <v>44683</v>
      </c>
      <c r="C130" s="1" t="n">
        <v>46033</v>
      </c>
      <c r="D130" t="inlineStr">
        <is>
          <t>STOCKHOLMS LÄN</t>
        </is>
      </c>
      <c r="E130" t="inlineStr">
        <is>
          <t>NORRTÄLJE</t>
        </is>
      </c>
      <c r="G130" t="n">
        <v>51.1</v>
      </c>
      <c r="H130" t="n">
        <v>0</v>
      </c>
      <c r="I130" t="n">
        <v>0</v>
      </c>
      <c r="J130" t="n">
        <v>0</v>
      </c>
      <c r="K130" t="n">
        <v>1</v>
      </c>
      <c r="L130" t="n">
        <v>0</v>
      </c>
      <c r="M130" t="n">
        <v>0</v>
      </c>
      <c r="N130" t="n">
        <v>0</v>
      </c>
      <c r="O130" t="n">
        <v>1</v>
      </c>
      <c r="P130" t="n">
        <v>1</v>
      </c>
      <c r="Q130" t="n">
        <v>1</v>
      </c>
      <c r="R130" s="2" t="inlineStr">
        <is>
          <t>Kattunvisslare</t>
        </is>
      </c>
      <c r="S130">
        <f>HYPERLINK("https://klasma.github.io/Logging_0188/artfynd/A 17952-2022 artfynd.xlsx", "A 17952-2022")</f>
        <v/>
      </c>
      <c r="T130">
        <f>HYPERLINK("https://klasma.github.io/Logging_0188/kartor/A 17952-2022 karta.png", "A 17952-2022")</f>
        <v/>
      </c>
      <c r="V130">
        <f>HYPERLINK("https://klasma.github.io/Logging_0188/klagomål/A 17952-2022 FSC-klagomål.docx", "A 17952-2022")</f>
        <v/>
      </c>
      <c r="W130">
        <f>HYPERLINK("https://klasma.github.io/Logging_0188/klagomålsmail/A 17952-2022 FSC-klagomål mail.docx", "A 17952-2022")</f>
        <v/>
      </c>
      <c r="X130">
        <f>HYPERLINK("https://klasma.github.io/Logging_0188/tillsyn/A 17952-2022 tillsynsbegäran.docx", "A 17952-2022")</f>
        <v/>
      </c>
      <c r="Y130">
        <f>HYPERLINK("https://klasma.github.io/Logging_0188/tillsynsmail/A 17952-2022 tillsynsbegäran mail.docx", "A 17952-2022")</f>
        <v/>
      </c>
    </row>
    <row r="131" ht="15" customHeight="1">
      <c r="A131" t="inlineStr">
        <is>
          <t>A 364-2026</t>
        </is>
      </c>
      <c r="B131" s="1" t="n">
        <v>46027.67134259259</v>
      </c>
      <c r="C131" s="1" t="n">
        <v>46033</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26635-2023</t>
        </is>
      </c>
      <c r="B132" s="1" t="n">
        <v>45092</v>
      </c>
      <c r="C132" s="1" t="n">
        <v>46033</v>
      </c>
      <c r="D132" t="inlineStr">
        <is>
          <t>STOCKHOLMS LÄN</t>
        </is>
      </c>
      <c r="E132" t="inlineStr">
        <is>
          <t>NORRTÄLJE</t>
        </is>
      </c>
      <c r="G132" t="n">
        <v>3.1</v>
      </c>
      <c r="H132" t="n">
        <v>1</v>
      </c>
      <c r="I132" t="n">
        <v>0</v>
      </c>
      <c r="J132" t="n">
        <v>0</v>
      </c>
      <c r="K132" t="n">
        <v>0</v>
      </c>
      <c r="L132" t="n">
        <v>0</v>
      </c>
      <c r="M132" t="n">
        <v>0</v>
      </c>
      <c r="N132" t="n">
        <v>0</v>
      </c>
      <c r="O132" t="n">
        <v>0</v>
      </c>
      <c r="P132" t="n">
        <v>0</v>
      </c>
      <c r="Q132" t="n">
        <v>1</v>
      </c>
      <c r="R132" s="2" t="inlineStr">
        <is>
          <t>Fläcknycklar</t>
        </is>
      </c>
      <c r="S132">
        <f>HYPERLINK("https://klasma.github.io/Logging_0188/artfynd/A 26635-2023 artfynd.xlsx", "A 26635-2023")</f>
        <v/>
      </c>
      <c r="T132">
        <f>HYPERLINK("https://klasma.github.io/Logging_0188/kartor/A 26635-2023 karta.png", "A 26635-2023")</f>
        <v/>
      </c>
      <c r="V132">
        <f>HYPERLINK("https://klasma.github.io/Logging_0188/klagomål/A 26635-2023 FSC-klagomål.docx", "A 26635-2023")</f>
        <v/>
      </c>
      <c r="W132">
        <f>HYPERLINK("https://klasma.github.io/Logging_0188/klagomålsmail/A 26635-2023 FSC-klagomål mail.docx", "A 26635-2023")</f>
        <v/>
      </c>
      <c r="X132">
        <f>HYPERLINK("https://klasma.github.io/Logging_0188/tillsyn/A 26635-2023 tillsynsbegäran.docx", "A 26635-2023")</f>
        <v/>
      </c>
      <c r="Y132">
        <f>HYPERLINK("https://klasma.github.io/Logging_0188/tillsynsmail/A 26635-2023 tillsynsbegäran mail.docx", "A 26635-2023")</f>
        <v/>
      </c>
    </row>
    <row r="133" ht="15" customHeight="1">
      <c r="A133" t="inlineStr">
        <is>
          <t>A 47898-2022</t>
        </is>
      </c>
      <c r="B133" s="1" t="n">
        <v>44855</v>
      </c>
      <c r="C133" s="1" t="n">
        <v>46033</v>
      </c>
      <c r="D133" t="inlineStr">
        <is>
          <t>STOCKHOLMS LÄN</t>
        </is>
      </c>
      <c r="E133" t="inlineStr">
        <is>
          <t>NORRTÄLJE</t>
        </is>
      </c>
      <c r="G133" t="n">
        <v>6.7</v>
      </c>
      <c r="H133" t="n">
        <v>1</v>
      </c>
      <c r="I133" t="n">
        <v>1</v>
      </c>
      <c r="J133" t="n">
        <v>0</v>
      </c>
      <c r="K133" t="n">
        <v>0</v>
      </c>
      <c r="L133" t="n">
        <v>0</v>
      </c>
      <c r="M133" t="n">
        <v>0</v>
      </c>
      <c r="N133" t="n">
        <v>0</v>
      </c>
      <c r="O133" t="n">
        <v>0</v>
      </c>
      <c r="P133" t="n">
        <v>0</v>
      </c>
      <c r="Q133" t="n">
        <v>1</v>
      </c>
      <c r="R133" s="2" t="inlineStr">
        <is>
          <t>Guckusko</t>
        </is>
      </c>
      <c r="S133">
        <f>HYPERLINK("https://klasma.github.io/Logging_0188/artfynd/A 47898-2022 artfynd.xlsx", "A 47898-2022")</f>
        <v/>
      </c>
      <c r="T133">
        <f>HYPERLINK("https://klasma.github.io/Logging_0188/kartor/A 47898-2022 karta.png", "A 47898-2022")</f>
        <v/>
      </c>
      <c r="V133">
        <f>HYPERLINK("https://klasma.github.io/Logging_0188/klagomål/A 47898-2022 FSC-klagomål.docx", "A 47898-2022")</f>
        <v/>
      </c>
      <c r="W133">
        <f>HYPERLINK("https://klasma.github.io/Logging_0188/klagomålsmail/A 47898-2022 FSC-klagomål mail.docx", "A 47898-2022")</f>
        <v/>
      </c>
      <c r="X133">
        <f>HYPERLINK("https://klasma.github.io/Logging_0188/tillsyn/A 47898-2022 tillsynsbegäran.docx", "A 47898-2022")</f>
        <v/>
      </c>
      <c r="Y133">
        <f>HYPERLINK("https://klasma.github.io/Logging_0188/tillsynsmail/A 47898-2022 tillsynsbegäran mail.docx", "A 47898-2022")</f>
        <v/>
      </c>
    </row>
    <row r="134" ht="15" customHeight="1">
      <c r="A134" t="inlineStr">
        <is>
          <t>A 14365-2025</t>
        </is>
      </c>
      <c r="B134" s="1" t="n">
        <v>45741.38688657407</v>
      </c>
      <c r="C134" s="1" t="n">
        <v>46033</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32111-2022</t>
        </is>
      </c>
      <c r="B135" s="1" t="n">
        <v>44778.92797453704</v>
      </c>
      <c r="C135" s="1" t="n">
        <v>46033</v>
      </c>
      <c r="D135" t="inlineStr">
        <is>
          <t>STOCKHOLMS LÄN</t>
        </is>
      </c>
      <c r="E135" t="inlineStr">
        <is>
          <t>NORRTÄLJE</t>
        </is>
      </c>
      <c r="G135" t="n">
        <v>3.1</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32111-2022 artfynd.xlsx", "A 32111-2022")</f>
        <v/>
      </c>
      <c r="T135">
        <f>HYPERLINK("https://klasma.github.io/Logging_0188/kartor/A 32111-2022 karta.png", "A 32111-2022")</f>
        <v/>
      </c>
      <c r="V135">
        <f>HYPERLINK("https://klasma.github.io/Logging_0188/klagomål/A 32111-2022 FSC-klagomål.docx", "A 32111-2022")</f>
        <v/>
      </c>
      <c r="W135">
        <f>HYPERLINK("https://klasma.github.io/Logging_0188/klagomålsmail/A 32111-2022 FSC-klagomål mail.docx", "A 32111-2022")</f>
        <v/>
      </c>
      <c r="X135">
        <f>HYPERLINK("https://klasma.github.io/Logging_0188/tillsyn/A 32111-2022 tillsynsbegäran.docx", "A 32111-2022")</f>
        <v/>
      </c>
      <c r="Y135">
        <f>HYPERLINK("https://klasma.github.io/Logging_0188/tillsynsmail/A 32111-2022 tillsynsbegäran mail.docx", "A 32111-2022")</f>
        <v/>
      </c>
    </row>
    <row r="136" ht="15" customHeight="1">
      <c r="A136" t="inlineStr">
        <is>
          <t>A 4385-2023</t>
        </is>
      </c>
      <c r="B136" s="1" t="n">
        <v>44955.71322916666</v>
      </c>
      <c r="C136" s="1" t="n">
        <v>46033</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4860-2022</t>
        </is>
      </c>
      <c r="B137" s="1" t="n">
        <v>44592</v>
      </c>
      <c r="C137" s="1" t="n">
        <v>46033</v>
      </c>
      <c r="D137" t="inlineStr">
        <is>
          <t>STOCKHOLMS LÄN</t>
        </is>
      </c>
      <c r="E137" t="inlineStr">
        <is>
          <t>NORRTÄLJE</t>
        </is>
      </c>
      <c r="G137" t="n">
        <v>22.3</v>
      </c>
      <c r="H137" t="n">
        <v>0</v>
      </c>
      <c r="I137" t="n">
        <v>0</v>
      </c>
      <c r="J137" t="n">
        <v>1</v>
      </c>
      <c r="K137" t="n">
        <v>0</v>
      </c>
      <c r="L137" t="n">
        <v>0</v>
      </c>
      <c r="M137" t="n">
        <v>0</v>
      </c>
      <c r="N137" t="n">
        <v>0</v>
      </c>
      <c r="O137" t="n">
        <v>1</v>
      </c>
      <c r="P137" t="n">
        <v>0</v>
      </c>
      <c r="Q137" t="n">
        <v>1</v>
      </c>
      <c r="R137" s="2" t="inlineStr">
        <is>
          <t>Igelkott</t>
        </is>
      </c>
      <c r="S137">
        <f>HYPERLINK("https://klasma.github.io/Logging_0188/artfynd/A 4860-2022 artfynd.xlsx", "A 4860-2022")</f>
        <v/>
      </c>
      <c r="T137">
        <f>HYPERLINK("https://klasma.github.io/Logging_0188/kartor/A 4860-2022 karta.png", "A 4860-2022")</f>
        <v/>
      </c>
      <c r="V137">
        <f>HYPERLINK("https://klasma.github.io/Logging_0188/klagomål/A 4860-2022 FSC-klagomål.docx", "A 4860-2022")</f>
        <v/>
      </c>
      <c r="W137">
        <f>HYPERLINK("https://klasma.github.io/Logging_0188/klagomålsmail/A 4860-2022 FSC-klagomål mail.docx", "A 4860-2022")</f>
        <v/>
      </c>
      <c r="X137">
        <f>HYPERLINK("https://klasma.github.io/Logging_0188/tillsyn/A 4860-2022 tillsynsbegäran.docx", "A 4860-2022")</f>
        <v/>
      </c>
      <c r="Y137">
        <f>HYPERLINK("https://klasma.github.io/Logging_0188/tillsynsmail/A 4860-2022 tillsynsbegäran mail.docx", "A 4860-2022")</f>
        <v/>
      </c>
    </row>
    <row r="138" ht="15" customHeight="1">
      <c r="A138" t="inlineStr">
        <is>
          <t>A 19829-2022</t>
        </is>
      </c>
      <c r="B138" s="1" t="n">
        <v>44695.43527777777</v>
      </c>
      <c r="C138" s="1" t="n">
        <v>46033</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52508-2023</t>
        </is>
      </c>
      <c r="B139" s="1" t="n">
        <v>45225</v>
      </c>
      <c r="C139" s="1" t="n">
        <v>46033</v>
      </c>
      <c r="D139" t="inlineStr">
        <is>
          <t>STOCKHOLMS LÄN</t>
        </is>
      </c>
      <c r="E139" t="inlineStr">
        <is>
          <t>NORRTÄLJE</t>
        </is>
      </c>
      <c r="G139" t="n">
        <v>19.7</v>
      </c>
      <c r="H139" t="n">
        <v>1</v>
      </c>
      <c r="I139" t="n">
        <v>0</v>
      </c>
      <c r="J139" t="n">
        <v>0</v>
      </c>
      <c r="K139" t="n">
        <v>1</v>
      </c>
      <c r="L139" t="n">
        <v>0</v>
      </c>
      <c r="M139" t="n">
        <v>0</v>
      </c>
      <c r="N139" t="n">
        <v>0</v>
      </c>
      <c r="O139" t="n">
        <v>1</v>
      </c>
      <c r="P139" t="n">
        <v>1</v>
      </c>
      <c r="Q139" t="n">
        <v>1</v>
      </c>
      <c r="R139" s="2" t="inlineStr">
        <is>
          <t>Svärta</t>
        </is>
      </c>
      <c r="S139">
        <f>HYPERLINK("https://klasma.github.io/Logging_0188/artfynd/A 52508-2023 artfynd.xlsx", "A 52508-2023")</f>
        <v/>
      </c>
      <c r="T139">
        <f>HYPERLINK("https://klasma.github.io/Logging_0188/kartor/A 52508-2023 karta.png", "A 52508-2023")</f>
        <v/>
      </c>
      <c r="V139">
        <f>HYPERLINK("https://klasma.github.io/Logging_0188/klagomål/A 52508-2023 FSC-klagomål.docx", "A 52508-2023")</f>
        <v/>
      </c>
      <c r="W139">
        <f>HYPERLINK("https://klasma.github.io/Logging_0188/klagomålsmail/A 52508-2023 FSC-klagomål mail.docx", "A 52508-2023")</f>
        <v/>
      </c>
      <c r="X139">
        <f>HYPERLINK("https://klasma.github.io/Logging_0188/tillsyn/A 52508-2023 tillsynsbegäran.docx", "A 52508-2023")</f>
        <v/>
      </c>
      <c r="Y139">
        <f>HYPERLINK("https://klasma.github.io/Logging_0188/tillsynsmail/A 52508-2023 tillsynsbegäran mail.docx", "A 52508-2023")</f>
        <v/>
      </c>
    </row>
    <row r="140" ht="15" customHeight="1">
      <c r="A140" t="inlineStr">
        <is>
          <t>A 27827-2022</t>
        </is>
      </c>
      <c r="B140" s="1" t="n">
        <v>44743.59504629629</v>
      </c>
      <c r="C140" s="1" t="n">
        <v>46033</v>
      </c>
      <c r="D140" t="inlineStr">
        <is>
          <t>STOCKHOLMS LÄN</t>
        </is>
      </c>
      <c r="E140" t="inlineStr">
        <is>
          <t>NORRTÄLJE</t>
        </is>
      </c>
      <c r="F140" t="inlineStr">
        <is>
          <t>Holmen skog AB</t>
        </is>
      </c>
      <c r="G140" t="n">
        <v>4.7</v>
      </c>
      <c r="H140" t="n">
        <v>1</v>
      </c>
      <c r="I140" t="n">
        <v>0</v>
      </c>
      <c r="J140" t="n">
        <v>1</v>
      </c>
      <c r="K140" t="n">
        <v>0</v>
      </c>
      <c r="L140" t="n">
        <v>0</v>
      </c>
      <c r="M140" t="n">
        <v>0</v>
      </c>
      <c r="N140" t="n">
        <v>0</v>
      </c>
      <c r="O140" t="n">
        <v>1</v>
      </c>
      <c r="P140" t="n">
        <v>0</v>
      </c>
      <c r="Q140" t="n">
        <v>1</v>
      </c>
      <c r="R140" s="2" t="inlineStr">
        <is>
          <t>Nordfladdermus</t>
        </is>
      </c>
      <c r="S140">
        <f>HYPERLINK("https://klasma.github.io/Logging_0188/artfynd/A 27827-2022 artfynd.xlsx", "A 27827-2022")</f>
        <v/>
      </c>
      <c r="T140">
        <f>HYPERLINK("https://klasma.github.io/Logging_0188/kartor/A 27827-2022 karta.png", "A 27827-2022")</f>
        <v/>
      </c>
      <c r="V140">
        <f>HYPERLINK("https://klasma.github.io/Logging_0188/klagomål/A 27827-2022 FSC-klagomål.docx", "A 27827-2022")</f>
        <v/>
      </c>
      <c r="W140">
        <f>HYPERLINK("https://klasma.github.io/Logging_0188/klagomålsmail/A 27827-2022 FSC-klagomål mail.docx", "A 27827-2022")</f>
        <v/>
      </c>
      <c r="X140">
        <f>HYPERLINK("https://klasma.github.io/Logging_0188/tillsyn/A 27827-2022 tillsynsbegäran.docx", "A 27827-2022")</f>
        <v/>
      </c>
      <c r="Y140">
        <f>HYPERLINK("https://klasma.github.io/Logging_0188/tillsynsmail/A 27827-2022 tillsynsbegäran mail.docx", "A 27827-2022")</f>
        <v/>
      </c>
    </row>
    <row r="141" ht="15" customHeight="1">
      <c r="A141" t="inlineStr">
        <is>
          <t>A 23146-2024</t>
        </is>
      </c>
      <c r="B141" s="1" t="n">
        <v>45450.63958333333</v>
      </c>
      <c r="C141" s="1" t="n">
        <v>46033</v>
      </c>
      <c r="D141" t="inlineStr">
        <is>
          <t>STOCKHOLMS LÄN</t>
        </is>
      </c>
      <c r="E141" t="inlineStr">
        <is>
          <t>NORRTÄLJE</t>
        </is>
      </c>
      <c r="F141" t="inlineStr">
        <is>
          <t>Kommuner</t>
        </is>
      </c>
      <c r="G141" t="n">
        <v>6</v>
      </c>
      <c r="H141" t="n">
        <v>0</v>
      </c>
      <c r="I141" t="n">
        <v>0</v>
      </c>
      <c r="J141" t="n">
        <v>1</v>
      </c>
      <c r="K141" t="n">
        <v>0</v>
      </c>
      <c r="L141" t="n">
        <v>0</v>
      </c>
      <c r="M141" t="n">
        <v>0</v>
      </c>
      <c r="N141" t="n">
        <v>0</v>
      </c>
      <c r="O141" t="n">
        <v>1</v>
      </c>
      <c r="P141" t="n">
        <v>0</v>
      </c>
      <c r="Q141" t="n">
        <v>1</v>
      </c>
      <c r="R141" s="2" t="inlineStr">
        <is>
          <t>Motaggsvamp</t>
        </is>
      </c>
      <c r="S141">
        <f>HYPERLINK("https://klasma.github.io/Logging_0188/artfynd/A 23146-2024 artfynd.xlsx", "A 23146-2024")</f>
        <v/>
      </c>
      <c r="T141">
        <f>HYPERLINK("https://klasma.github.io/Logging_0188/kartor/A 23146-2024 karta.png", "A 23146-2024")</f>
        <v/>
      </c>
      <c r="V141">
        <f>HYPERLINK("https://klasma.github.io/Logging_0188/klagomål/A 23146-2024 FSC-klagomål.docx", "A 23146-2024")</f>
        <v/>
      </c>
      <c r="W141">
        <f>HYPERLINK("https://klasma.github.io/Logging_0188/klagomålsmail/A 23146-2024 FSC-klagomål mail.docx", "A 23146-2024")</f>
        <v/>
      </c>
      <c r="X141">
        <f>HYPERLINK("https://klasma.github.io/Logging_0188/tillsyn/A 23146-2024 tillsynsbegäran.docx", "A 23146-2024")</f>
        <v/>
      </c>
      <c r="Y141">
        <f>HYPERLINK("https://klasma.github.io/Logging_0188/tillsynsmail/A 23146-2024 tillsynsbegäran mail.docx", "A 23146-2024")</f>
        <v/>
      </c>
    </row>
    <row r="142" ht="15" customHeight="1">
      <c r="A142" t="inlineStr">
        <is>
          <t>A 27538-2024</t>
        </is>
      </c>
      <c r="B142" s="1" t="n">
        <v>45474</v>
      </c>
      <c r="C142" s="1" t="n">
        <v>46033</v>
      </c>
      <c r="D142" t="inlineStr">
        <is>
          <t>STOCKHOLMS LÄN</t>
        </is>
      </c>
      <c r="E142" t="inlineStr">
        <is>
          <t>NORRTÄLJE</t>
        </is>
      </c>
      <c r="G142" t="n">
        <v>1.5</v>
      </c>
      <c r="H142" t="n">
        <v>1</v>
      </c>
      <c r="I142" t="n">
        <v>1</v>
      </c>
      <c r="J142" t="n">
        <v>0</v>
      </c>
      <c r="K142" t="n">
        <v>0</v>
      </c>
      <c r="L142" t="n">
        <v>0</v>
      </c>
      <c r="M142" t="n">
        <v>0</v>
      </c>
      <c r="N142" t="n">
        <v>0</v>
      </c>
      <c r="O142" t="n">
        <v>0</v>
      </c>
      <c r="P142" t="n">
        <v>0</v>
      </c>
      <c r="Q142" t="n">
        <v>1</v>
      </c>
      <c r="R142" s="2" t="inlineStr">
        <is>
          <t>Skogsknipprot</t>
        </is>
      </c>
      <c r="S142">
        <f>HYPERLINK("https://klasma.github.io/Logging_0188/artfynd/A 27538-2024 artfynd.xlsx", "A 27538-2024")</f>
        <v/>
      </c>
      <c r="T142">
        <f>HYPERLINK("https://klasma.github.io/Logging_0188/kartor/A 27538-2024 karta.png", "A 27538-2024")</f>
        <v/>
      </c>
      <c r="V142">
        <f>HYPERLINK("https://klasma.github.io/Logging_0188/klagomål/A 27538-2024 FSC-klagomål.docx", "A 27538-2024")</f>
        <v/>
      </c>
      <c r="W142">
        <f>HYPERLINK("https://klasma.github.io/Logging_0188/klagomålsmail/A 27538-2024 FSC-klagomål mail.docx", "A 27538-2024")</f>
        <v/>
      </c>
      <c r="X142">
        <f>HYPERLINK("https://klasma.github.io/Logging_0188/tillsyn/A 27538-2024 tillsynsbegäran.docx", "A 27538-2024")</f>
        <v/>
      </c>
      <c r="Y142">
        <f>HYPERLINK("https://klasma.github.io/Logging_0188/tillsynsmail/A 27538-2024 tillsynsbegäran mail.docx", "A 27538-2024")</f>
        <v/>
      </c>
    </row>
    <row r="143" ht="15" customHeight="1">
      <c r="A143" t="inlineStr">
        <is>
          <t>A 48131-2023</t>
        </is>
      </c>
      <c r="B143" s="1" t="n">
        <v>45205</v>
      </c>
      <c r="C143" s="1" t="n">
        <v>46033</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21150-2022</t>
        </is>
      </c>
      <c r="B144" s="1" t="n">
        <v>44704</v>
      </c>
      <c r="C144" s="1" t="n">
        <v>46033</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21150-2022 artfynd.xlsx", "A 21150-2022")</f>
        <v/>
      </c>
      <c r="T144">
        <f>HYPERLINK("https://klasma.github.io/Logging_0188/kartor/A 21150-2022 karta.png", "A 21150-2022")</f>
        <v/>
      </c>
      <c r="V144">
        <f>HYPERLINK("https://klasma.github.io/Logging_0188/klagomål/A 21150-2022 FSC-klagomål.docx", "A 21150-2022")</f>
        <v/>
      </c>
      <c r="W144">
        <f>HYPERLINK("https://klasma.github.io/Logging_0188/klagomålsmail/A 21150-2022 FSC-klagomål mail.docx", "A 21150-2022")</f>
        <v/>
      </c>
      <c r="X144">
        <f>HYPERLINK("https://klasma.github.io/Logging_0188/tillsyn/A 21150-2022 tillsynsbegäran.docx", "A 21150-2022")</f>
        <v/>
      </c>
      <c r="Y144">
        <f>HYPERLINK("https://klasma.github.io/Logging_0188/tillsynsmail/A 21150-2022 tillsynsbegäran mail.docx", "A 21150-2022")</f>
        <v/>
      </c>
    </row>
    <row r="145" ht="15" customHeight="1">
      <c r="A145" t="inlineStr">
        <is>
          <t>A 58888-2021</t>
        </is>
      </c>
      <c r="B145" s="1" t="n">
        <v>44489</v>
      </c>
      <c r="C145" s="1" t="n">
        <v>46033</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1970-2021</t>
        </is>
      </c>
      <c r="B146" s="1" t="n">
        <v>44210</v>
      </c>
      <c r="C146" s="1" t="n">
        <v>46033</v>
      </c>
      <c r="D146" t="inlineStr">
        <is>
          <t>STOCKHOLMS LÄN</t>
        </is>
      </c>
      <c r="E146" t="inlineStr">
        <is>
          <t>NORRTÄLJE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1637-2021</t>
        </is>
      </c>
      <c r="B147" s="1" t="n">
        <v>44209</v>
      </c>
      <c r="C147" s="1" t="n">
        <v>46033</v>
      </c>
      <c r="D147" t="inlineStr">
        <is>
          <t>STOCKHOLMS LÄN</t>
        </is>
      </c>
      <c r="E147" t="inlineStr">
        <is>
          <t>NORRTÄLJE</t>
        </is>
      </c>
      <c r="G147" t="n">
        <v>1.6</v>
      </c>
      <c r="H147" t="n">
        <v>0</v>
      </c>
      <c r="I147" t="n">
        <v>0</v>
      </c>
      <c r="J147" t="n">
        <v>0</v>
      </c>
      <c r="K147" t="n">
        <v>0</v>
      </c>
      <c r="L147" t="n">
        <v>0</v>
      </c>
      <c r="M147" t="n">
        <v>0</v>
      </c>
      <c r="N147" t="n">
        <v>0</v>
      </c>
      <c r="O147" t="n">
        <v>0</v>
      </c>
      <c r="P147" t="n">
        <v>0</v>
      </c>
      <c r="Q147" t="n">
        <v>0</v>
      </c>
      <c r="R147" s="2" t="inlineStr"/>
    </row>
    <row r="148" ht="15" customHeight="1">
      <c r="A148" t="inlineStr">
        <is>
          <t>A 18580-2021</t>
        </is>
      </c>
      <c r="B148" s="1" t="n">
        <v>44306</v>
      </c>
      <c r="C148" s="1" t="n">
        <v>46033</v>
      </c>
      <c r="D148" t="inlineStr">
        <is>
          <t>STOCKHOLMS LÄN</t>
        </is>
      </c>
      <c r="E148" t="inlineStr">
        <is>
          <t>NORRTÄLJE</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12877-2022</t>
        </is>
      </c>
      <c r="B149" s="1" t="n">
        <v>44642</v>
      </c>
      <c r="C149" s="1" t="n">
        <v>46033</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46033</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46033</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46033</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46033</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15289-2021</t>
        </is>
      </c>
      <c r="B154" s="1" t="n">
        <v>44284.59546296296</v>
      </c>
      <c r="C154" s="1" t="n">
        <v>46033</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40542-2021</t>
        </is>
      </c>
      <c r="B155" s="1" t="n">
        <v>44420</v>
      </c>
      <c r="C155" s="1" t="n">
        <v>46033</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40546-2021</t>
        </is>
      </c>
      <c r="B156" s="1" t="n">
        <v>44420</v>
      </c>
      <c r="C156" s="1" t="n">
        <v>46033</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23096-2021</t>
        </is>
      </c>
      <c r="B157" s="1" t="n">
        <v>44330</v>
      </c>
      <c r="C157" s="1" t="n">
        <v>46033</v>
      </c>
      <c r="D157" t="inlineStr">
        <is>
          <t>STOCKHOLMS LÄN</t>
        </is>
      </c>
      <c r="E157" t="inlineStr">
        <is>
          <t>NORRTÄLJE</t>
        </is>
      </c>
      <c r="G157" t="n">
        <v>0.3</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46033</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24977-2022</t>
        </is>
      </c>
      <c r="B159" s="1" t="n">
        <v>44728.73465277778</v>
      </c>
      <c r="C159" s="1" t="n">
        <v>46033</v>
      </c>
      <c r="D159" t="inlineStr">
        <is>
          <t>STOCKHOLMS LÄN</t>
        </is>
      </c>
      <c r="E159" t="inlineStr">
        <is>
          <t>NORRTÄLJE</t>
        </is>
      </c>
      <c r="F159" t="inlineStr">
        <is>
          <t>Kyrkan</t>
        </is>
      </c>
      <c r="G159" t="n">
        <v>1</v>
      </c>
      <c r="H159" t="n">
        <v>0</v>
      </c>
      <c r="I159" t="n">
        <v>0</v>
      </c>
      <c r="J159" t="n">
        <v>0</v>
      </c>
      <c r="K159" t="n">
        <v>0</v>
      </c>
      <c r="L159" t="n">
        <v>0</v>
      </c>
      <c r="M159" t="n">
        <v>0</v>
      </c>
      <c r="N159" t="n">
        <v>0</v>
      </c>
      <c r="O159" t="n">
        <v>0</v>
      </c>
      <c r="P159" t="n">
        <v>0</v>
      </c>
      <c r="Q159" t="n">
        <v>0</v>
      </c>
      <c r="R159" s="2" t="inlineStr"/>
    </row>
    <row r="160" ht="15" customHeight="1">
      <c r="A160" t="inlineStr">
        <is>
          <t>A 37815-2022</t>
        </is>
      </c>
      <c r="B160" s="1" t="n">
        <v>44810.85092592592</v>
      </c>
      <c r="C160" s="1" t="n">
        <v>46033</v>
      </c>
      <c r="D160" t="inlineStr">
        <is>
          <t>STOCKHOLMS LÄN</t>
        </is>
      </c>
      <c r="E160" t="inlineStr">
        <is>
          <t>NORRTÄLJE</t>
        </is>
      </c>
      <c r="G160" t="n">
        <v>1.3</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46033</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46033</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46033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74468-2021</t>
        </is>
      </c>
      <c r="B164" s="1" t="n">
        <v>44560</v>
      </c>
      <c r="C164" s="1" t="n">
        <v>46033</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46033</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46033</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56225-2021</t>
        </is>
      </c>
      <c r="B167" s="1" t="n">
        <v>44477.94327546296</v>
      </c>
      <c r="C167" s="1" t="n">
        <v>46033</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34436-2021</t>
        </is>
      </c>
      <c r="B168" s="1" t="n">
        <v>44380</v>
      </c>
      <c r="C168" s="1" t="n">
        <v>46033</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67525-2021</t>
        </is>
      </c>
      <c r="B169" s="1" t="n">
        <v>44524</v>
      </c>
      <c r="C169" s="1" t="n">
        <v>46033</v>
      </c>
      <c r="D169" t="inlineStr">
        <is>
          <t>STOCKHOLMS LÄN</t>
        </is>
      </c>
      <c r="E169" t="inlineStr">
        <is>
          <t>NORRTÄLJE</t>
        </is>
      </c>
      <c r="G169" t="n">
        <v>0.8</v>
      </c>
      <c r="H169" t="n">
        <v>0</v>
      </c>
      <c r="I169" t="n">
        <v>0</v>
      </c>
      <c r="J169" t="n">
        <v>0</v>
      </c>
      <c r="K169" t="n">
        <v>0</v>
      </c>
      <c r="L169" t="n">
        <v>0</v>
      </c>
      <c r="M169" t="n">
        <v>0</v>
      </c>
      <c r="N169" t="n">
        <v>0</v>
      </c>
      <c r="O169" t="n">
        <v>0</v>
      </c>
      <c r="P169" t="n">
        <v>0</v>
      </c>
      <c r="Q169" t="n">
        <v>0</v>
      </c>
      <c r="R169" s="2" t="inlineStr"/>
    </row>
    <row r="170" ht="15" customHeight="1">
      <c r="A170" t="inlineStr">
        <is>
          <t>A 65737-2021</t>
        </is>
      </c>
      <c r="B170" s="1" t="n">
        <v>44516.72827546296</v>
      </c>
      <c r="C170" s="1" t="n">
        <v>46033</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1704-2022</t>
        </is>
      </c>
      <c r="B171" s="1" t="n">
        <v>44574.42978009259</v>
      </c>
      <c r="C171" s="1" t="n">
        <v>46033</v>
      </c>
      <c r="D171" t="inlineStr">
        <is>
          <t>STOCKHOLMS LÄN</t>
        </is>
      </c>
      <c r="E171" t="inlineStr">
        <is>
          <t>NORRTÄLJE</t>
        </is>
      </c>
      <c r="G171" t="n">
        <v>6.2</v>
      </c>
      <c r="H171" t="n">
        <v>0</v>
      </c>
      <c r="I171" t="n">
        <v>0</v>
      </c>
      <c r="J171" t="n">
        <v>0</v>
      </c>
      <c r="K171" t="n">
        <v>0</v>
      </c>
      <c r="L171" t="n">
        <v>0</v>
      </c>
      <c r="M171" t="n">
        <v>0</v>
      </c>
      <c r="N171" t="n">
        <v>0</v>
      </c>
      <c r="O171" t="n">
        <v>0</v>
      </c>
      <c r="P171" t="n">
        <v>0</v>
      </c>
      <c r="Q171" t="n">
        <v>0</v>
      </c>
      <c r="R171" s="2" t="inlineStr"/>
    </row>
    <row r="172" ht="15" customHeight="1">
      <c r="A172" t="inlineStr">
        <is>
          <t>A 43374-2022</t>
        </is>
      </c>
      <c r="B172" s="1" t="n">
        <v>44834</v>
      </c>
      <c r="C172" s="1" t="n">
        <v>46033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19283-2021</t>
        </is>
      </c>
      <c r="B173" s="1" t="n">
        <v>44309.47061342592</v>
      </c>
      <c r="C173" s="1" t="n">
        <v>46033</v>
      </c>
      <c r="D173" t="inlineStr">
        <is>
          <t>STOCKHOLMS LÄN</t>
        </is>
      </c>
      <c r="E173" t="inlineStr">
        <is>
          <t>NORRTÄLJE</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46033</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9719-2021</t>
        </is>
      </c>
      <c r="B175" s="1" t="n">
        <v>44252</v>
      </c>
      <c r="C175" s="1" t="n">
        <v>46033</v>
      </c>
      <c r="D175" t="inlineStr">
        <is>
          <t>STOCKHOLMS LÄN</t>
        </is>
      </c>
      <c r="E175" t="inlineStr">
        <is>
          <t>NORRTÄLJE</t>
        </is>
      </c>
      <c r="F175" t="inlineStr">
        <is>
          <t>Holmen skog AB</t>
        </is>
      </c>
      <c r="G175" t="n">
        <v>2</v>
      </c>
      <c r="H175" t="n">
        <v>0</v>
      </c>
      <c r="I175" t="n">
        <v>0</v>
      </c>
      <c r="J175" t="n">
        <v>0</v>
      </c>
      <c r="K175" t="n">
        <v>0</v>
      </c>
      <c r="L175" t="n">
        <v>0</v>
      </c>
      <c r="M175" t="n">
        <v>0</v>
      </c>
      <c r="N175" t="n">
        <v>0</v>
      </c>
      <c r="O175" t="n">
        <v>0</v>
      </c>
      <c r="P175" t="n">
        <v>0</v>
      </c>
      <c r="Q175" t="n">
        <v>0</v>
      </c>
      <c r="R175" s="2" t="inlineStr"/>
    </row>
    <row r="176" ht="15" customHeight="1">
      <c r="A176" t="inlineStr">
        <is>
          <t>A 48384-2021</t>
        </is>
      </c>
      <c r="B176" s="1" t="n">
        <v>44451</v>
      </c>
      <c r="C176" s="1" t="n">
        <v>46033</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48492-2022</t>
        </is>
      </c>
      <c r="B177" s="1" t="n">
        <v>44858</v>
      </c>
      <c r="C177" s="1" t="n">
        <v>46033</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8338-2021</t>
        </is>
      </c>
      <c r="B178" s="1" t="n">
        <v>44244</v>
      </c>
      <c r="C178" s="1" t="n">
        <v>46033</v>
      </c>
      <c r="D178" t="inlineStr">
        <is>
          <t>STOCKHOLMS LÄN</t>
        </is>
      </c>
      <c r="E178" t="inlineStr">
        <is>
          <t>NORRTÄLJE</t>
        </is>
      </c>
      <c r="G178" t="n">
        <v>1.4</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46033</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60822-2021</t>
        </is>
      </c>
      <c r="B180" s="1" t="n">
        <v>44496</v>
      </c>
      <c r="C180" s="1" t="n">
        <v>46033</v>
      </c>
      <c r="D180" t="inlineStr">
        <is>
          <t>STOCKHOLMS LÄN</t>
        </is>
      </c>
      <c r="E180" t="inlineStr">
        <is>
          <t>NORRTÄLJE</t>
        </is>
      </c>
      <c r="G180" t="n">
        <v>7.6</v>
      </c>
      <c r="H180" t="n">
        <v>0</v>
      </c>
      <c r="I180" t="n">
        <v>0</v>
      </c>
      <c r="J180" t="n">
        <v>0</v>
      </c>
      <c r="K180" t="n">
        <v>0</v>
      </c>
      <c r="L180" t="n">
        <v>0</v>
      </c>
      <c r="M180" t="n">
        <v>0</v>
      </c>
      <c r="N180" t="n">
        <v>0</v>
      </c>
      <c r="O180" t="n">
        <v>0</v>
      </c>
      <c r="P180" t="n">
        <v>0</v>
      </c>
      <c r="Q180" t="n">
        <v>0</v>
      </c>
      <c r="R180" s="2" t="inlineStr"/>
    </row>
    <row r="181" ht="15" customHeight="1">
      <c r="A181" t="inlineStr">
        <is>
          <t>A 10711-2022</t>
        </is>
      </c>
      <c r="B181" s="1" t="n">
        <v>44626</v>
      </c>
      <c r="C181" s="1" t="n">
        <v>46033</v>
      </c>
      <c r="D181" t="inlineStr">
        <is>
          <t>STOCKHOLMS LÄN</t>
        </is>
      </c>
      <c r="E181" t="inlineStr">
        <is>
          <t>NORRTÄLJE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17777-2022</t>
        </is>
      </c>
      <c r="B182" s="1" t="n">
        <v>44682.79203703703</v>
      </c>
      <c r="C182" s="1" t="n">
        <v>46033</v>
      </c>
      <c r="D182" t="inlineStr">
        <is>
          <t>STOCKHOLMS LÄN</t>
        </is>
      </c>
      <c r="E182" t="inlineStr">
        <is>
          <t>NORRTÄLJE</t>
        </is>
      </c>
      <c r="G182" t="n">
        <v>3.7</v>
      </c>
      <c r="H182" t="n">
        <v>0</v>
      </c>
      <c r="I182" t="n">
        <v>0</v>
      </c>
      <c r="J182" t="n">
        <v>0</v>
      </c>
      <c r="K182" t="n">
        <v>0</v>
      </c>
      <c r="L182" t="n">
        <v>0</v>
      </c>
      <c r="M182" t="n">
        <v>0</v>
      </c>
      <c r="N182" t="n">
        <v>0</v>
      </c>
      <c r="O182" t="n">
        <v>0</v>
      </c>
      <c r="P182" t="n">
        <v>0</v>
      </c>
      <c r="Q182" t="n">
        <v>0</v>
      </c>
      <c r="R182" s="2" t="inlineStr"/>
    </row>
    <row r="183" ht="15" customHeight="1">
      <c r="A183" t="inlineStr">
        <is>
          <t>A 21723-2022</t>
        </is>
      </c>
      <c r="B183" s="1" t="n">
        <v>44708</v>
      </c>
      <c r="C183" s="1" t="n">
        <v>46033</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12816-2022</t>
        </is>
      </c>
      <c r="B184" s="1" t="n">
        <v>44642</v>
      </c>
      <c r="C184" s="1" t="n">
        <v>46033</v>
      </c>
      <c r="D184" t="inlineStr">
        <is>
          <t>STOCKHOLMS LÄN</t>
        </is>
      </c>
      <c r="E184" t="inlineStr">
        <is>
          <t>NORRTÄLJE</t>
        </is>
      </c>
      <c r="G184" t="n">
        <v>4.4</v>
      </c>
      <c r="H184" t="n">
        <v>0</v>
      </c>
      <c r="I184" t="n">
        <v>0</v>
      </c>
      <c r="J184" t="n">
        <v>0</v>
      </c>
      <c r="K184" t="n">
        <v>0</v>
      </c>
      <c r="L184" t="n">
        <v>0</v>
      </c>
      <c r="M184" t="n">
        <v>0</v>
      </c>
      <c r="N184" t="n">
        <v>0</v>
      </c>
      <c r="O184" t="n">
        <v>0</v>
      </c>
      <c r="P184" t="n">
        <v>0</v>
      </c>
      <c r="Q184" t="n">
        <v>0</v>
      </c>
      <c r="R184" s="2" t="inlineStr"/>
    </row>
    <row r="185" ht="15" customHeight="1">
      <c r="A185" t="inlineStr">
        <is>
          <t>A 31807-2022</t>
        </is>
      </c>
      <c r="B185" s="1" t="n">
        <v>44776</v>
      </c>
      <c r="C185" s="1" t="n">
        <v>46033</v>
      </c>
      <c r="D185" t="inlineStr">
        <is>
          <t>STOCKHOLMS LÄN</t>
        </is>
      </c>
      <c r="E185" t="inlineStr">
        <is>
          <t>NORRTÄLJE</t>
        </is>
      </c>
      <c r="G185" t="n">
        <v>2.5</v>
      </c>
      <c r="H185" t="n">
        <v>0</v>
      </c>
      <c r="I185" t="n">
        <v>0</v>
      </c>
      <c r="J185" t="n">
        <v>0</v>
      </c>
      <c r="K185" t="n">
        <v>0</v>
      </c>
      <c r="L185" t="n">
        <v>0</v>
      </c>
      <c r="M185" t="n">
        <v>0</v>
      </c>
      <c r="N185" t="n">
        <v>0</v>
      </c>
      <c r="O185" t="n">
        <v>0</v>
      </c>
      <c r="P185" t="n">
        <v>0</v>
      </c>
      <c r="Q185" t="n">
        <v>0</v>
      </c>
      <c r="R185" s="2" t="inlineStr"/>
    </row>
    <row r="186" ht="15" customHeight="1">
      <c r="A186" t="inlineStr">
        <is>
          <t>A 28209-2022</t>
        </is>
      </c>
      <c r="B186" s="1" t="n">
        <v>44746</v>
      </c>
      <c r="C186" s="1" t="n">
        <v>46033</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2447-2021</t>
        </is>
      </c>
      <c r="B187" s="1" t="n">
        <v>44214</v>
      </c>
      <c r="C187" s="1" t="n">
        <v>46033</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18609-2021</t>
        </is>
      </c>
      <c r="B188" s="1" t="n">
        <v>44306</v>
      </c>
      <c r="C188" s="1" t="n">
        <v>46033</v>
      </c>
      <c r="D188" t="inlineStr">
        <is>
          <t>STOCKHOLMS LÄN</t>
        </is>
      </c>
      <c r="E188" t="inlineStr">
        <is>
          <t>NORRTÄLJE</t>
        </is>
      </c>
      <c r="G188" t="n">
        <v>9.5</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46033</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46033</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46033</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46033</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60186-2021</t>
        </is>
      </c>
      <c r="B193" s="1" t="n">
        <v>44495</v>
      </c>
      <c r="C193" s="1" t="n">
        <v>46033</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28959-2022</t>
        </is>
      </c>
      <c r="B194" s="1" t="n">
        <v>44749.61980324074</v>
      </c>
      <c r="C194" s="1" t="n">
        <v>46033</v>
      </c>
      <c r="D194" t="inlineStr">
        <is>
          <t>STOCKHOLMS LÄN</t>
        </is>
      </c>
      <c r="E194" t="inlineStr">
        <is>
          <t>NORRTÄLJE</t>
        </is>
      </c>
      <c r="G194" t="n">
        <v>5.2</v>
      </c>
      <c r="H194" t="n">
        <v>0</v>
      </c>
      <c r="I194" t="n">
        <v>0</v>
      </c>
      <c r="J194" t="n">
        <v>0</v>
      </c>
      <c r="K194" t="n">
        <v>0</v>
      </c>
      <c r="L194" t="n">
        <v>0</v>
      </c>
      <c r="M194" t="n">
        <v>0</v>
      </c>
      <c r="N194" t="n">
        <v>0</v>
      </c>
      <c r="O194" t="n">
        <v>0</v>
      </c>
      <c r="P194" t="n">
        <v>0</v>
      </c>
      <c r="Q194" t="n">
        <v>0</v>
      </c>
      <c r="R194" s="2" t="inlineStr"/>
    </row>
    <row r="195" ht="15" customHeight="1">
      <c r="A195" t="inlineStr">
        <is>
          <t>A 54340-2022</t>
        </is>
      </c>
      <c r="B195" s="1" t="n">
        <v>44882.44732638889</v>
      </c>
      <c r="C195" s="1" t="n">
        <v>46033</v>
      </c>
      <c r="D195" t="inlineStr">
        <is>
          <t>STOCKHOLMS LÄN</t>
        </is>
      </c>
      <c r="E195" t="inlineStr">
        <is>
          <t>NORRTÄLJE</t>
        </is>
      </c>
      <c r="G195" t="n">
        <v>6.7</v>
      </c>
      <c r="H195" t="n">
        <v>0</v>
      </c>
      <c r="I195" t="n">
        <v>0</v>
      </c>
      <c r="J195" t="n">
        <v>0</v>
      </c>
      <c r="K195" t="n">
        <v>0</v>
      </c>
      <c r="L195" t="n">
        <v>0</v>
      </c>
      <c r="M195" t="n">
        <v>0</v>
      </c>
      <c r="N195" t="n">
        <v>0</v>
      </c>
      <c r="O195" t="n">
        <v>0</v>
      </c>
      <c r="P195" t="n">
        <v>0</v>
      </c>
      <c r="Q195" t="n">
        <v>0</v>
      </c>
      <c r="R195" s="2" t="inlineStr"/>
    </row>
    <row r="196" ht="15" customHeight="1">
      <c r="A196" t="inlineStr">
        <is>
          <t>A 54355-2022</t>
        </is>
      </c>
      <c r="B196" s="1" t="n">
        <v>44882</v>
      </c>
      <c r="C196" s="1" t="n">
        <v>46033</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72308-2021</t>
        </is>
      </c>
      <c r="B197" s="1" t="n">
        <v>44545.4189699074</v>
      </c>
      <c r="C197" s="1" t="n">
        <v>46033</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20073-2021</t>
        </is>
      </c>
      <c r="B198" s="1" t="n">
        <v>44314</v>
      </c>
      <c r="C198" s="1" t="n">
        <v>46033</v>
      </c>
      <c r="D198" t="inlineStr">
        <is>
          <t>STOCKHOLMS LÄN</t>
        </is>
      </c>
      <c r="E198" t="inlineStr">
        <is>
          <t>NORRTÄLJE</t>
        </is>
      </c>
      <c r="G198" t="n">
        <v>4.6</v>
      </c>
      <c r="H198" t="n">
        <v>0</v>
      </c>
      <c r="I198" t="n">
        <v>0</v>
      </c>
      <c r="J198" t="n">
        <v>0</v>
      </c>
      <c r="K198" t="n">
        <v>0</v>
      </c>
      <c r="L198" t="n">
        <v>0</v>
      </c>
      <c r="M198" t="n">
        <v>0</v>
      </c>
      <c r="N198" t="n">
        <v>0</v>
      </c>
      <c r="O198" t="n">
        <v>0</v>
      </c>
      <c r="P198" t="n">
        <v>0</v>
      </c>
      <c r="Q198" t="n">
        <v>0</v>
      </c>
      <c r="R198" s="2" t="inlineStr"/>
    </row>
    <row r="199" ht="15" customHeight="1">
      <c r="A199" t="inlineStr">
        <is>
          <t>A 14381-2021</t>
        </is>
      </c>
      <c r="B199" s="1" t="n">
        <v>44279</v>
      </c>
      <c r="C199" s="1" t="n">
        <v>46033</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17703-2021</t>
        </is>
      </c>
      <c r="B200" s="1" t="n">
        <v>44300</v>
      </c>
      <c r="C200" s="1" t="n">
        <v>46033</v>
      </c>
      <c r="D200" t="inlineStr">
        <is>
          <t>STOCKHOLMS LÄN</t>
        </is>
      </c>
      <c r="E200" t="inlineStr">
        <is>
          <t>NORRTÄLJE</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23770-2022</t>
        </is>
      </c>
      <c r="B201" s="1" t="n">
        <v>44722</v>
      </c>
      <c r="C201" s="1" t="n">
        <v>46033</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27538-2022</t>
        </is>
      </c>
      <c r="B202" s="1" t="n">
        <v>44742</v>
      </c>
      <c r="C202" s="1" t="n">
        <v>46033</v>
      </c>
      <c r="D202" t="inlineStr">
        <is>
          <t>STOCKHOLMS LÄN</t>
        </is>
      </c>
      <c r="E202" t="inlineStr">
        <is>
          <t>NORRTÄLJE</t>
        </is>
      </c>
      <c r="G202" t="n">
        <v>2.2</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46033</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46033</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36975-2022</t>
        </is>
      </c>
      <c r="B205" s="1" t="n">
        <v>44806.34577546296</v>
      </c>
      <c r="C205" s="1" t="n">
        <v>46033</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23122-2021</t>
        </is>
      </c>
      <c r="B206" s="1" t="n">
        <v>44330</v>
      </c>
      <c r="C206" s="1" t="n">
        <v>46033</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23123-2021</t>
        </is>
      </c>
      <c r="B207" s="1" t="n">
        <v>44330</v>
      </c>
      <c r="C207" s="1" t="n">
        <v>46033</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64599-2021</t>
        </is>
      </c>
      <c r="B208" s="1" t="n">
        <v>44511.69885416667</v>
      </c>
      <c r="C208" s="1" t="n">
        <v>46033</v>
      </c>
      <c r="D208" t="inlineStr">
        <is>
          <t>STOCKHOLMS LÄN</t>
        </is>
      </c>
      <c r="E208" t="inlineStr">
        <is>
          <t>NORRTÄLJE</t>
        </is>
      </c>
      <c r="G208" t="n">
        <v>1.1</v>
      </c>
      <c r="H208" t="n">
        <v>0</v>
      </c>
      <c r="I208" t="n">
        <v>0</v>
      </c>
      <c r="J208" t="n">
        <v>0</v>
      </c>
      <c r="K208" t="n">
        <v>0</v>
      </c>
      <c r="L208" t="n">
        <v>0</v>
      </c>
      <c r="M208" t="n">
        <v>0</v>
      </c>
      <c r="N208" t="n">
        <v>0</v>
      </c>
      <c r="O208" t="n">
        <v>0</v>
      </c>
      <c r="P208" t="n">
        <v>0</v>
      </c>
      <c r="Q208" t="n">
        <v>0</v>
      </c>
      <c r="R208" s="2" t="inlineStr"/>
    </row>
    <row r="209" ht="15" customHeight="1">
      <c r="A209" t="inlineStr">
        <is>
          <t>A 64212-2021</t>
        </is>
      </c>
      <c r="B209" s="1" t="n">
        <v>44510</v>
      </c>
      <c r="C209" s="1" t="n">
        <v>46033</v>
      </c>
      <c r="D209" t="inlineStr">
        <is>
          <t>STOCKHOLMS LÄN</t>
        </is>
      </c>
      <c r="E209" t="inlineStr">
        <is>
          <t>NORRTÄLJE</t>
        </is>
      </c>
      <c r="G209" t="n">
        <v>28.7</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46033</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36565-2021</t>
        </is>
      </c>
      <c r="B211" s="1" t="n">
        <v>44391.5580787037</v>
      </c>
      <c r="C211" s="1" t="n">
        <v>46033</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44274-2021</t>
        </is>
      </c>
      <c r="B212" s="1" t="n">
        <v>44435</v>
      </c>
      <c r="C212" s="1" t="n">
        <v>46033</v>
      </c>
      <c r="D212" t="inlineStr">
        <is>
          <t>STOCKHOLMS LÄN</t>
        </is>
      </c>
      <c r="E212" t="inlineStr">
        <is>
          <t>NORRTÄLJE</t>
        </is>
      </c>
      <c r="G212" t="n">
        <v>1</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46033</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49113-2021</t>
        </is>
      </c>
      <c r="B214" s="1" t="n">
        <v>44453</v>
      </c>
      <c r="C214" s="1" t="n">
        <v>46033</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64628-2021</t>
        </is>
      </c>
      <c r="B215" s="1" t="n">
        <v>44511</v>
      </c>
      <c r="C215" s="1" t="n">
        <v>46033</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60209-2021</t>
        </is>
      </c>
      <c r="B216" s="1" t="n">
        <v>44495</v>
      </c>
      <c r="C216" s="1" t="n">
        <v>46033</v>
      </c>
      <c r="D216" t="inlineStr">
        <is>
          <t>STOCKHOLMS LÄN</t>
        </is>
      </c>
      <c r="E216" t="inlineStr">
        <is>
          <t>NORRTÄLJE</t>
        </is>
      </c>
      <c r="G216" t="n">
        <v>4.3</v>
      </c>
      <c r="H216" t="n">
        <v>0</v>
      </c>
      <c r="I216" t="n">
        <v>0</v>
      </c>
      <c r="J216" t="n">
        <v>0</v>
      </c>
      <c r="K216" t="n">
        <v>0</v>
      </c>
      <c r="L216" t="n">
        <v>0</v>
      </c>
      <c r="M216" t="n">
        <v>0</v>
      </c>
      <c r="N216" t="n">
        <v>0</v>
      </c>
      <c r="O216" t="n">
        <v>0</v>
      </c>
      <c r="P216" t="n">
        <v>0</v>
      </c>
      <c r="Q216" t="n">
        <v>0</v>
      </c>
      <c r="R216" s="2" t="inlineStr"/>
    </row>
    <row r="217" ht="15" customHeight="1">
      <c r="A217" t="inlineStr">
        <is>
          <t>A 17803-2022</t>
        </is>
      </c>
      <c r="B217" s="1" t="n">
        <v>44683</v>
      </c>
      <c r="C217" s="1" t="n">
        <v>46033</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46033</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46033</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46033</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65611-2021</t>
        </is>
      </c>
      <c r="B221" s="1" t="n">
        <v>44516.5275462963</v>
      </c>
      <c r="C221" s="1" t="n">
        <v>46033</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46033</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17460-2021</t>
        </is>
      </c>
      <c r="B223" s="1" t="n">
        <v>44299</v>
      </c>
      <c r="C223" s="1" t="n">
        <v>46033</v>
      </c>
      <c r="D223" t="inlineStr">
        <is>
          <t>STOCKHOLMS LÄN</t>
        </is>
      </c>
      <c r="E223" t="inlineStr">
        <is>
          <t>NORRTÄLJE</t>
        </is>
      </c>
      <c r="G223" t="n">
        <v>3.2</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46033</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46033</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46033</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46033</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46033</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5351-2022</t>
        </is>
      </c>
      <c r="B229" s="1" t="n">
        <v>44594.75950231482</v>
      </c>
      <c r="C229" s="1" t="n">
        <v>46033</v>
      </c>
      <c r="D229" t="inlineStr">
        <is>
          <t>STOCKHOLMS LÄN</t>
        </is>
      </c>
      <c r="E229" t="inlineStr">
        <is>
          <t>NORRTÄLJE</t>
        </is>
      </c>
      <c r="G229" t="n">
        <v>4</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46033</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46033</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46033</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46033</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46033</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46033</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46033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46033</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12357-2022</t>
        </is>
      </c>
      <c r="B238" s="1" t="n">
        <v>44637</v>
      </c>
      <c r="C238" s="1" t="n">
        <v>46033</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46033</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46033</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46033</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46033</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46033</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46033</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46033</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46033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46033</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46033</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46033</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46033</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46033</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46033</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46033</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46033</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46033</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46033</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46033</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46033</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46033</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46033</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46033</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46033</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46033</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68273-2021</t>
        </is>
      </c>
      <c r="B264" s="1" t="n">
        <v>44526</v>
      </c>
      <c r="C264" s="1" t="n">
        <v>46033</v>
      </c>
      <c r="D264" t="inlineStr">
        <is>
          <t>STOCKHOLMS LÄN</t>
        </is>
      </c>
      <c r="E264" t="inlineStr">
        <is>
          <t>NORRTÄLJE</t>
        </is>
      </c>
      <c r="G264" t="n">
        <v>5.3</v>
      </c>
      <c r="H264" t="n">
        <v>0</v>
      </c>
      <c r="I264" t="n">
        <v>0</v>
      </c>
      <c r="J264" t="n">
        <v>0</v>
      </c>
      <c r="K264" t="n">
        <v>0</v>
      </c>
      <c r="L264" t="n">
        <v>0</v>
      </c>
      <c r="M264" t="n">
        <v>0</v>
      </c>
      <c r="N264" t="n">
        <v>0</v>
      </c>
      <c r="O264" t="n">
        <v>0</v>
      </c>
      <c r="P264" t="n">
        <v>0</v>
      </c>
      <c r="Q264" t="n">
        <v>0</v>
      </c>
      <c r="R264" s="2" t="inlineStr"/>
    </row>
    <row r="265" ht="15" customHeight="1">
      <c r="A265" t="inlineStr">
        <is>
          <t>A 5562-2021</t>
        </is>
      </c>
      <c r="B265" s="1" t="n">
        <v>44230</v>
      </c>
      <c r="C265" s="1" t="n">
        <v>46033</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5566-2021</t>
        </is>
      </c>
      <c r="B266" s="1" t="n">
        <v>44230</v>
      </c>
      <c r="C266" s="1" t="n">
        <v>46033</v>
      </c>
      <c r="D266" t="inlineStr">
        <is>
          <t>STOCKHOLMS LÄN</t>
        </is>
      </c>
      <c r="E266" t="inlineStr">
        <is>
          <t>NORRTÄLJE</t>
        </is>
      </c>
      <c r="G266" t="n">
        <v>3.1</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46033</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9446-2021</t>
        </is>
      </c>
      <c r="B268" s="1" t="n">
        <v>44251</v>
      </c>
      <c r="C268" s="1" t="n">
        <v>46033</v>
      </c>
      <c r="D268" t="inlineStr">
        <is>
          <t>STOCKHOLMS LÄN</t>
        </is>
      </c>
      <c r="E268" t="inlineStr">
        <is>
          <t>NORRTÄLJE</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46033</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46033</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46033</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46033</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46033</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46033</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46033</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46033</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27214-2021</t>
        </is>
      </c>
      <c r="B277" s="1" t="n">
        <v>44350</v>
      </c>
      <c r="C277" s="1" t="n">
        <v>46033</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7565-2022</t>
        </is>
      </c>
      <c r="B278" s="1" t="n">
        <v>44607</v>
      </c>
      <c r="C278" s="1" t="n">
        <v>46033</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46033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46033</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46033</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8160-2022</t>
        </is>
      </c>
      <c r="B282" s="1" t="n">
        <v>44609</v>
      </c>
      <c r="C282" s="1" t="n">
        <v>46033</v>
      </c>
      <c r="D282" t="inlineStr">
        <is>
          <t>STOCKHOLMS LÄN</t>
        </is>
      </c>
      <c r="E282" t="inlineStr">
        <is>
          <t>NORRTÄLJE</t>
        </is>
      </c>
      <c r="G282" t="n">
        <v>3.9</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46033</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46033</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46033</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46033</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46033</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10521-2022</t>
        </is>
      </c>
      <c r="B288" s="1" t="n">
        <v>44623</v>
      </c>
      <c r="C288" s="1" t="n">
        <v>46033</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17771-2022</t>
        </is>
      </c>
      <c r="B289" s="1" t="n">
        <v>44682.75924768519</v>
      </c>
      <c r="C289" s="1" t="n">
        <v>46033</v>
      </c>
      <c r="D289" t="inlineStr">
        <is>
          <t>STOCKHOLMS LÄN</t>
        </is>
      </c>
      <c r="E289" t="inlineStr">
        <is>
          <t>NORRTÄLJE</t>
        </is>
      </c>
      <c r="G289" t="n">
        <v>13.3</v>
      </c>
      <c r="H289" t="n">
        <v>0</v>
      </c>
      <c r="I289" t="n">
        <v>0</v>
      </c>
      <c r="J289" t="n">
        <v>0</v>
      </c>
      <c r="K289" t="n">
        <v>0</v>
      </c>
      <c r="L289" t="n">
        <v>0</v>
      </c>
      <c r="M289" t="n">
        <v>0</v>
      </c>
      <c r="N289" t="n">
        <v>0</v>
      </c>
      <c r="O289" t="n">
        <v>0</v>
      </c>
      <c r="P289" t="n">
        <v>0</v>
      </c>
      <c r="Q289" t="n">
        <v>0</v>
      </c>
      <c r="R289" s="2" t="inlineStr"/>
    </row>
    <row r="290" ht="15" customHeight="1">
      <c r="A290" t="inlineStr">
        <is>
          <t>A 17773-2022</t>
        </is>
      </c>
      <c r="B290" s="1" t="n">
        <v>44682.77616898148</v>
      </c>
      <c r="C290" s="1" t="n">
        <v>46033</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46033</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46033</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46033</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46033</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46033</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71880-2021</t>
        </is>
      </c>
      <c r="B296" s="1" t="n">
        <v>44543</v>
      </c>
      <c r="C296" s="1" t="n">
        <v>46033</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46033</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17772-2022</t>
        </is>
      </c>
      <c r="B298" s="1" t="n">
        <v>44682.76528935185</v>
      </c>
      <c r="C298" s="1" t="n">
        <v>46033</v>
      </c>
      <c r="D298" t="inlineStr">
        <is>
          <t>STOCKHOLMS LÄN</t>
        </is>
      </c>
      <c r="E298" t="inlineStr">
        <is>
          <t>NORRTÄLJE</t>
        </is>
      </c>
      <c r="G298" t="n">
        <v>4</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46033</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46033</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27828-2022</t>
        </is>
      </c>
      <c r="B301" s="1" t="n">
        <v>44743.59765046297</v>
      </c>
      <c r="C301" s="1" t="n">
        <v>46033</v>
      </c>
      <c r="D301" t="inlineStr">
        <is>
          <t>STOCKHOLMS LÄN</t>
        </is>
      </c>
      <c r="E301" t="inlineStr">
        <is>
          <t>NORRTÄLJE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16229-2022</t>
        </is>
      </c>
      <c r="B302" s="1" t="n">
        <v>44670.4190162037</v>
      </c>
      <c r="C302" s="1" t="n">
        <v>46033</v>
      </c>
      <c r="D302" t="inlineStr">
        <is>
          <t>STOCKHOLMS LÄN</t>
        </is>
      </c>
      <c r="E302" t="inlineStr">
        <is>
          <t>NORRTÄLJE</t>
        </is>
      </c>
      <c r="G302" t="n">
        <v>7.4</v>
      </c>
      <c r="H302" t="n">
        <v>0</v>
      </c>
      <c r="I302" t="n">
        <v>0</v>
      </c>
      <c r="J302" t="n">
        <v>0</v>
      </c>
      <c r="K302" t="n">
        <v>0</v>
      </c>
      <c r="L302" t="n">
        <v>0</v>
      </c>
      <c r="M302" t="n">
        <v>0</v>
      </c>
      <c r="N302" t="n">
        <v>0</v>
      </c>
      <c r="O302" t="n">
        <v>0</v>
      </c>
      <c r="P302" t="n">
        <v>0</v>
      </c>
      <c r="Q302" t="n">
        <v>0</v>
      </c>
      <c r="R302" s="2" t="inlineStr"/>
    </row>
    <row r="303" ht="15" customHeight="1">
      <c r="A303" t="inlineStr">
        <is>
          <t>A 67285-2021</t>
        </is>
      </c>
      <c r="B303" s="1" t="n">
        <v>44523.61635416667</v>
      </c>
      <c r="C303" s="1" t="n">
        <v>46033</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5611-2022</t>
        </is>
      </c>
      <c r="B304" s="1" t="n">
        <v>44595</v>
      </c>
      <c r="C304" s="1" t="n">
        <v>46033</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32055-2021</t>
        </is>
      </c>
      <c r="B305" s="1" t="n">
        <v>44370.72197916666</v>
      </c>
      <c r="C305" s="1" t="n">
        <v>46033</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46033</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46033</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55243-2023</t>
        </is>
      </c>
      <c r="B308" s="1" t="n">
        <v>45237</v>
      </c>
      <c r="C308" s="1" t="n">
        <v>46033</v>
      </c>
      <c r="D308" t="inlineStr">
        <is>
          <t>STOCKHOLMS LÄN</t>
        </is>
      </c>
      <c r="E308" t="inlineStr">
        <is>
          <t>NORRTÄLJE</t>
        </is>
      </c>
      <c r="G308" t="n">
        <v>6.5</v>
      </c>
      <c r="H308" t="n">
        <v>0</v>
      </c>
      <c r="I308" t="n">
        <v>0</v>
      </c>
      <c r="J308" t="n">
        <v>0</v>
      </c>
      <c r="K308" t="n">
        <v>0</v>
      </c>
      <c r="L308" t="n">
        <v>0</v>
      </c>
      <c r="M308" t="n">
        <v>0</v>
      </c>
      <c r="N308" t="n">
        <v>0</v>
      </c>
      <c r="O308" t="n">
        <v>0</v>
      </c>
      <c r="P308" t="n">
        <v>0</v>
      </c>
      <c r="Q308" t="n">
        <v>0</v>
      </c>
      <c r="R308" s="2" t="inlineStr"/>
    </row>
    <row r="309" ht="15" customHeight="1">
      <c r="A309" t="inlineStr">
        <is>
          <t>A 22412-2021</t>
        </is>
      </c>
      <c r="B309" s="1" t="n">
        <v>44326.61967592593</v>
      </c>
      <c r="C309" s="1" t="n">
        <v>46033</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22008-2024</t>
        </is>
      </c>
      <c r="B310" s="1" t="n">
        <v>45443</v>
      </c>
      <c r="C310" s="1" t="n">
        <v>46033</v>
      </c>
      <c r="D310" t="inlineStr">
        <is>
          <t>STOCKHOLMS LÄN</t>
        </is>
      </c>
      <c r="E310" t="inlineStr">
        <is>
          <t>NORRTÄLJE</t>
        </is>
      </c>
      <c r="G310" t="n">
        <v>2</v>
      </c>
      <c r="H310" t="n">
        <v>0</v>
      </c>
      <c r="I310" t="n">
        <v>0</v>
      </c>
      <c r="J310" t="n">
        <v>0</v>
      </c>
      <c r="K310" t="n">
        <v>0</v>
      </c>
      <c r="L310" t="n">
        <v>0</v>
      </c>
      <c r="M310" t="n">
        <v>0</v>
      </c>
      <c r="N310" t="n">
        <v>0</v>
      </c>
      <c r="O310" t="n">
        <v>0</v>
      </c>
      <c r="P310" t="n">
        <v>0</v>
      </c>
      <c r="Q310" t="n">
        <v>0</v>
      </c>
      <c r="R310" s="2" t="inlineStr"/>
    </row>
    <row r="311" ht="15" customHeight="1">
      <c r="A311" t="inlineStr">
        <is>
          <t>A 15915-2023</t>
        </is>
      </c>
      <c r="B311" s="1" t="n">
        <v>45022</v>
      </c>
      <c r="C311" s="1" t="n">
        <v>46033</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52260-2022</t>
        </is>
      </c>
      <c r="B312" s="1" t="n">
        <v>44869</v>
      </c>
      <c r="C312" s="1" t="n">
        <v>46033</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13053-2022</t>
        </is>
      </c>
      <c r="B313" s="1" t="n">
        <v>44643</v>
      </c>
      <c r="C313" s="1" t="n">
        <v>46033</v>
      </c>
      <c r="D313" t="inlineStr">
        <is>
          <t>STOCKHOLMS LÄN</t>
        </is>
      </c>
      <c r="E313" t="inlineStr">
        <is>
          <t>NORRTÄLJE</t>
        </is>
      </c>
      <c r="G313" t="n">
        <v>2.8</v>
      </c>
      <c r="H313" t="n">
        <v>0</v>
      </c>
      <c r="I313" t="n">
        <v>0</v>
      </c>
      <c r="J313" t="n">
        <v>0</v>
      </c>
      <c r="K313" t="n">
        <v>0</v>
      </c>
      <c r="L313" t="n">
        <v>0</v>
      </c>
      <c r="M313" t="n">
        <v>0</v>
      </c>
      <c r="N313" t="n">
        <v>0</v>
      </c>
      <c r="O313" t="n">
        <v>0</v>
      </c>
      <c r="P313" t="n">
        <v>0</v>
      </c>
      <c r="Q313" t="n">
        <v>0</v>
      </c>
      <c r="R313" s="2" t="inlineStr"/>
    </row>
    <row r="314" ht="15" customHeight="1">
      <c r="A314" t="inlineStr">
        <is>
          <t>A 25557-2023</t>
        </is>
      </c>
      <c r="B314" s="1" t="n">
        <v>45089</v>
      </c>
      <c r="C314" s="1" t="n">
        <v>46033</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27715-2022</t>
        </is>
      </c>
      <c r="B315" s="1" t="n">
        <v>44743.47407407407</v>
      </c>
      <c r="C315" s="1" t="n">
        <v>46033</v>
      </c>
      <c r="D315" t="inlineStr">
        <is>
          <t>STOCKHOLMS LÄN</t>
        </is>
      </c>
      <c r="E315" t="inlineStr">
        <is>
          <t>NORRTÄLJE</t>
        </is>
      </c>
      <c r="G315" t="n">
        <v>2.2</v>
      </c>
      <c r="H315" t="n">
        <v>0</v>
      </c>
      <c r="I315" t="n">
        <v>0</v>
      </c>
      <c r="J315" t="n">
        <v>0</v>
      </c>
      <c r="K315" t="n">
        <v>0</v>
      </c>
      <c r="L315" t="n">
        <v>0</v>
      </c>
      <c r="M315" t="n">
        <v>0</v>
      </c>
      <c r="N315" t="n">
        <v>0</v>
      </c>
      <c r="O315" t="n">
        <v>0</v>
      </c>
      <c r="P315" t="n">
        <v>0</v>
      </c>
      <c r="Q315" t="n">
        <v>0</v>
      </c>
      <c r="R315" s="2" t="inlineStr"/>
    </row>
    <row r="316" ht="15" customHeight="1">
      <c r="A316" t="inlineStr">
        <is>
          <t>A 29972-2024</t>
        </is>
      </c>
      <c r="B316" s="1" t="n">
        <v>45485</v>
      </c>
      <c r="C316" s="1" t="n">
        <v>46033</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64137-2021</t>
        </is>
      </c>
      <c r="B317" s="1" t="n">
        <v>44510.51422453704</v>
      </c>
      <c r="C317" s="1" t="n">
        <v>46033</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48716-2023</t>
        </is>
      </c>
      <c r="B318" s="1" t="n">
        <v>45208.69671296296</v>
      </c>
      <c r="C318" s="1" t="n">
        <v>46033</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5027-2025</t>
        </is>
      </c>
      <c r="B319" s="1" t="n">
        <v>45691.41101851852</v>
      </c>
      <c r="C319" s="1" t="n">
        <v>46033</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11122-2021</t>
        </is>
      </c>
      <c r="B320" s="1" t="n">
        <v>44260</v>
      </c>
      <c r="C320" s="1" t="n">
        <v>46033</v>
      </c>
      <c r="D320" t="inlineStr">
        <is>
          <t>STOCKHOLMS LÄN</t>
        </is>
      </c>
      <c r="E320" t="inlineStr">
        <is>
          <t>NORRTÄLJE</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12268-2022</t>
        </is>
      </c>
      <c r="B321" s="1" t="n">
        <v>44637</v>
      </c>
      <c r="C321" s="1" t="n">
        <v>46033</v>
      </c>
      <c r="D321" t="inlineStr">
        <is>
          <t>STOCKHOLMS LÄN</t>
        </is>
      </c>
      <c r="E321" t="inlineStr">
        <is>
          <t>NORRTÄLJE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20015-2023</t>
        </is>
      </c>
      <c r="B322" s="1" t="n">
        <v>45054</v>
      </c>
      <c r="C322" s="1" t="n">
        <v>46033</v>
      </c>
      <c r="D322" t="inlineStr">
        <is>
          <t>STOCKHOLMS LÄN</t>
        </is>
      </c>
      <c r="E322" t="inlineStr">
        <is>
          <t>NORRTÄLJE</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3273-2025</t>
        </is>
      </c>
      <c r="B323" s="1" t="n">
        <v>45679</v>
      </c>
      <c r="C323" s="1" t="n">
        <v>46033</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24245-2024</t>
        </is>
      </c>
      <c r="B324" s="1" t="n">
        <v>45457</v>
      </c>
      <c r="C324" s="1" t="n">
        <v>46033</v>
      </c>
      <c r="D324" t="inlineStr">
        <is>
          <t>STOCKHOLMS LÄN</t>
        </is>
      </c>
      <c r="E324" t="inlineStr">
        <is>
          <t>NORRTÄLJE</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46033</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15256-2023</t>
        </is>
      </c>
      <c r="B326" s="1" t="n">
        <v>45019.3959837963</v>
      </c>
      <c r="C326" s="1" t="n">
        <v>46033</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20428-2024</t>
        </is>
      </c>
      <c r="B327" s="1" t="n">
        <v>45435</v>
      </c>
      <c r="C327" s="1" t="n">
        <v>46033</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21778-2025</t>
        </is>
      </c>
      <c r="B328" s="1" t="n">
        <v>45783.66429398148</v>
      </c>
      <c r="C328" s="1" t="n">
        <v>46033</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13172-2025</t>
        </is>
      </c>
      <c r="B329" s="1" t="n">
        <v>45735.36873842592</v>
      </c>
      <c r="C329" s="1" t="n">
        <v>46033</v>
      </c>
      <c r="D329" t="inlineStr">
        <is>
          <t>STOCKHOLMS LÄN</t>
        </is>
      </c>
      <c r="E329" t="inlineStr">
        <is>
          <t>NORRTÄLJE</t>
        </is>
      </c>
      <c r="G329" t="n">
        <v>0.9</v>
      </c>
      <c r="H329" t="n">
        <v>0</v>
      </c>
      <c r="I329" t="n">
        <v>0</v>
      </c>
      <c r="J329" t="n">
        <v>0</v>
      </c>
      <c r="K329" t="n">
        <v>0</v>
      </c>
      <c r="L329" t="n">
        <v>0</v>
      </c>
      <c r="M329" t="n">
        <v>0</v>
      </c>
      <c r="N329" t="n">
        <v>0</v>
      </c>
      <c r="O329" t="n">
        <v>0</v>
      </c>
      <c r="P329" t="n">
        <v>0</v>
      </c>
      <c r="Q329" t="n">
        <v>0</v>
      </c>
      <c r="R329" s="2" t="inlineStr"/>
    </row>
    <row r="330" ht="15" customHeight="1">
      <c r="A330" t="inlineStr">
        <is>
          <t>A 51122-2025</t>
        </is>
      </c>
      <c r="B330" s="1" t="n">
        <v>45947.53693287037</v>
      </c>
      <c r="C330" s="1" t="n">
        <v>46033</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22202-2025</t>
        </is>
      </c>
      <c r="B331" s="1" t="n">
        <v>45785.65300925926</v>
      </c>
      <c r="C331" s="1" t="n">
        <v>46033</v>
      </c>
      <c r="D331" t="inlineStr">
        <is>
          <t>STOCKHOLMS LÄN</t>
        </is>
      </c>
      <c r="E331" t="inlineStr">
        <is>
          <t>NORRTÄLJE</t>
        </is>
      </c>
      <c r="G331" t="n">
        <v>10.2</v>
      </c>
      <c r="H331" t="n">
        <v>0</v>
      </c>
      <c r="I331" t="n">
        <v>0</v>
      </c>
      <c r="J331" t="n">
        <v>0</v>
      </c>
      <c r="K331" t="n">
        <v>0</v>
      </c>
      <c r="L331" t="n">
        <v>0</v>
      </c>
      <c r="M331" t="n">
        <v>0</v>
      </c>
      <c r="N331" t="n">
        <v>0</v>
      </c>
      <c r="O331" t="n">
        <v>0</v>
      </c>
      <c r="P331" t="n">
        <v>0</v>
      </c>
      <c r="Q331" t="n">
        <v>0</v>
      </c>
      <c r="R331" s="2" t="inlineStr"/>
    </row>
    <row r="332" ht="15" customHeight="1">
      <c r="A332" t="inlineStr">
        <is>
          <t>A 64145-2021</t>
        </is>
      </c>
      <c r="B332" s="1" t="n">
        <v>44510</v>
      </c>
      <c r="C332" s="1" t="n">
        <v>46033</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1740-2023</t>
        </is>
      </c>
      <c r="B333" s="1" t="n">
        <v>44938</v>
      </c>
      <c r="C333" s="1" t="n">
        <v>46033</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4596-2023</t>
        </is>
      </c>
      <c r="B334" s="1" t="n">
        <v>44956</v>
      </c>
      <c r="C334" s="1" t="n">
        <v>46033</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51233-2025</t>
        </is>
      </c>
      <c r="B335" s="1" t="n">
        <v>45947.68232638889</v>
      </c>
      <c r="C335" s="1" t="n">
        <v>46033</v>
      </c>
      <c r="D335" t="inlineStr">
        <is>
          <t>STOCKHOLMS LÄN</t>
        </is>
      </c>
      <c r="E335" t="inlineStr">
        <is>
          <t>NORRTÄLJE</t>
        </is>
      </c>
      <c r="F335" t="inlineStr">
        <is>
          <t>Naturvårdsverket</t>
        </is>
      </c>
      <c r="G335" t="n">
        <v>8.1</v>
      </c>
      <c r="H335" t="n">
        <v>0</v>
      </c>
      <c r="I335" t="n">
        <v>0</v>
      </c>
      <c r="J335" t="n">
        <v>0</v>
      </c>
      <c r="K335" t="n">
        <v>0</v>
      </c>
      <c r="L335" t="n">
        <v>0</v>
      </c>
      <c r="M335" t="n">
        <v>0</v>
      </c>
      <c r="N335" t="n">
        <v>0</v>
      </c>
      <c r="O335" t="n">
        <v>0</v>
      </c>
      <c r="P335" t="n">
        <v>0</v>
      </c>
      <c r="Q335" t="n">
        <v>0</v>
      </c>
      <c r="R335" s="2" t="inlineStr"/>
    </row>
    <row r="336" ht="15" customHeight="1">
      <c r="A336" t="inlineStr">
        <is>
          <t>A 51236-2025</t>
        </is>
      </c>
      <c r="B336" s="1" t="n">
        <v>45947.69078703703</v>
      </c>
      <c r="C336" s="1" t="n">
        <v>46033</v>
      </c>
      <c r="D336" t="inlineStr">
        <is>
          <t>STOCKHOLMS LÄN</t>
        </is>
      </c>
      <c r="E336" t="inlineStr">
        <is>
          <t>NORRTÄLJE</t>
        </is>
      </c>
      <c r="F336" t="inlineStr">
        <is>
          <t>Naturvårdsverket</t>
        </is>
      </c>
      <c r="G336" t="n">
        <v>6.3</v>
      </c>
      <c r="H336" t="n">
        <v>0</v>
      </c>
      <c r="I336" t="n">
        <v>0</v>
      </c>
      <c r="J336" t="n">
        <v>0</v>
      </c>
      <c r="K336" t="n">
        <v>0</v>
      </c>
      <c r="L336" t="n">
        <v>0</v>
      </c>
      <c r="M336" t="n">
        <v>0</v>
      </c>
      <c r="N336" t="n">
        <v>0</v>
      </c>
      <c r="O336" t="n">
        <v>0</v>
      </c>
      <c r="P336" t="n">
        <v>0</v>
      </c>
      <c r="Q336" t="n">
        <v>0</v>
      </c>
      <c r="R336" s="2" t="inlineStr"/>
    </row>
    <row r="337" ht="15" customHeight="1">
      <c r="A337" t="inlineStr">
        <is>
          <t>A 51241-2025</t>
        </is>
      </c>
      <c r="B337" s="1" t="n">
        <v>45947.71726851852</v>
      </c>
      <c r="C337" s="1" t="n">
        <v>46033</v>
      </c>
      <c r="D337" t="inlineStr">
        <is>
          <t>STOCKHOLMS LÄN</t>
        </is>
      </c>
      <c r="E337" t="inlineStr">
        <is>
          <t>NORRTÄLJE</t>
        </is>
      </c>
      <c r="F337" t="inlineStr">
        <is>
          <t>Naturvårdsverket</t>
        </is>
      </c>
      <c r="G337" t="n">
        <v>6.4</v>
      </c>
      <c r="H337" t="n">
        <v>0</v>
      </c>
      <c r="I337" t="n">
        <v>0</v>
      </c>
      <c r="J337" t="n">
        <v>0</v>
      </c>
      <c r="K337" t="n">
        <v>0</v>
      </c>
      <c r="L337" t="n">
        <v>0</v>
      </c>
      <c r="M337" t="n">
        <v>0</v>
      </c>
      <c r="N337" t="n">
        <v>0</v>
      </c>
      <c r="O337" t="n">
        <v>0</v>
      </c>
      <c r="P337" t="n">
        <v>0</v>
      </c>
      <c r="Q337" t="n">
        <v>0</v>
      </c>
      <c r="R337" s="2" t="inlineStr"/>
    </row>
    <row r="338" ht="15" customHeight="1">
      <c r="A338" t="inlineStr">
        <is>
          <t>A 38720-2025</t>
        </is>
      </c>
      <c r="B338" s="1" t="n">
        <v>45886</v>
      </c>
      <c r="C338" s="1" t="n">
        <v>46033</v>
      </c>
      <c r="D338" t="inlineStr">
        <is>
          <t>STOCKHOLMS LÄN</t>
        </is>
      </c>
      <c r="E338" t="inlineStr">
        <is>
          <t>NORRTÄLJE</t>
        </is>
      </c>
      <c r="G338" t="n">
        <v>1.6</v>
      </c>
      <c r="H338" t="n">
        <v>0</v>
      </c>
      <c r="I338" t="n">
        <v>0</v>
      </c>
      <c r="J338" t="n">
        <v>0</v>
      </c>
      <c r="K338" t="n">
        <v>0</v>
      </c>
      <c r="L338" t="n">
        <v>0</v>
      </c>
      <c r="M338" t="n">
        <v>0</v>
      </c>
      <c r="N338" t="n">
        <v>0</v>
      </c>
      <c r="O338" t="n">
        <v>0</v>
      </c>
      <c r="P338" t="n">
        <v>0</v>
      </c>
      <c r="Q338" t="n">
        <v>0</v>
      </c>
      <c r="R338" s="2" t="inlineStr"/>
    </row>
    <row r="339" ht="15" customHeight="1">
      <c r="A339" t="inlineStr">
        <is>
          <t>A 16620-2024</t>
        </is>
      </c>
      <c r="B339" s="1" t="n">
        <v>45408.57707175926</v>
      </c>
      <c r="C339" s="1" t="n">
        <v>46033</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10676-2025</t>
        </is>
      </c>
      <c r="B340" s="1" t="n">
        <v>45721.88684027778</v>
      </c>
      <c r="C340" s="1" t="n">
        <v>46033</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51240-2025</t>
        </is>
      </c>
      <c r="B341" s="1" t="n">
        <v>45947.70420138889</v>
      </c>
      <c r="C341" s="1" t="n">
        <v>46033</v>
      </c>
      <c r="D341" t="inlineStr">
        <is>
          <t>STOCKHOLMS LÄN</t>
        </is>
      </c>
      <c r="E341" t="inlineStr">
        <is>
          <t>NORRTÄLJE</t>
        </is>
      </c>
      <c r="F341" t="inlineStr">
        <is>
          <t>Naturvårdsverket</t>
        </is>
      </c>
      <c r="G341" t="n">
        <v>3</v>
      </c>
      <c r="H341" t="n">
        <v>0</v>
      </c>
      <c r="I341" t="n">
        <v>0</v>
      </c>
      <c r="J341" t="n">
        <v>0</v>
      </c>
      <c r="K341" t="n">
        <v>0</v>
      </c>
      <c r="L341" t="n">
        <v>0</v>
      </c>
      <c r="M341" t="n">
        <v>0</v>
      </c>
      <c r="N341" t="n">
        <v>0</v>
      </c>
      <c r="O341" t="n">
        <v>0</v>
      </c>
      <c r="P341" t="n">
        <v>0</v>
      </c>
      <c r="Q341" t="n">
        <v>0</v>
      </c>
      <c r="R341" s="2" t="inlineStr"/>
    </row>
    <row r="342" ht="15" customHeight="1">
      <c r="A342" t="inlineStr">
        <is>
          <t>A 20852-2023</t>
        </is>
      </c>
      <c r="B342" s="1" t="n">
        <v>45058.78607638889</v>
      </c>
      <c r="C342" s="1" t="n">
        <v>46033</v>
      </c>
      <c r="D342" t="inlineStr">
        <is>
          <t>STOCKHOLMS LÄN</t>
        </is>
      </c>
      <c r="E342" t="inlineStr">
        <is>
          <t>NORRTÄLJE</t>
        </is>
      </c>
      <c r="G342" t="n">
        <v>3.5</v>
      </c>
      <c r="H342" t="n">
        <v>0</v>
      </c>
      <c r="I342" t="n">
        <v>0</v>
      </c>
      <c r="J342" t="n">
        <v>0</v>
      </c>
      <c r="K342" t="n">
        <v>0</v>
      </c>
      <c r="L342" t="n">
        <v>0</v>
      </c>
      <c r="M342" t="n">
        <v>0</v>
      </c>
      <c r="N342" t="n">
        <v>0</v>
      </c>
      <c r="O342" t="n">
        <v>0</v>
      </c>
      <c r="P342" t="n">
        <v>0</v>
      </c>
      <c r="Q342" t="n">
        <v>0</v>
      </c>
      <c r="R342" s="2" t="inlineStr"/>
    </row>
    <row r="343" ht="15" customHeight="1">
      <c r="A343" t="inlineStr">
        <is>
          <t>A 22456-2023</t>
        </is>
      </c>
      <c r="B343" s="1" t="n">
        <v>45070</v>
      </c>
      <c r="C343" s="1" t="n">
        <v>46033</v>
      </c>
      <c r="D343" t="inlineStr">
        <is>
          <t>STOCKHOLMS LÄN</t>
        </is>
      </c>
      <c r="E343" t="inlineStr">
        <is>
          <t>NORRTÄLJE</t>
        </is>
      </c>
      <c r="G343" t="n">
        <v>3.1</v>
      </c>
      <c r="H343" t="n">
        <v>0</v>
      </c>
      <c r="I343" t="n">
        <v>0</v>
      </c>
      <c r="J343" t="n">
        <v>0</v>
      </c>
      <c r="K343" t="n">
        <v>0</v>
      </c>
      <c r="L343" t="n">
        <v>0</v>
      </c>
      <c r="M343" t="n">
        <v>0</v>
      </c>
      <c r="N343" t="n">
        <v>0</v>
      </c>
      <c r="O343" t="n">
        <v>0</v>
      </c>
      <c r="P343" t="n">
        <v>0</v>
      </c>
      <c r="Q343" t="n">
        <v>0</v>
      </c>
      <c r="R343" s="2" t="inlineStr"/>
    </row>
    <row r="344" ht="15" customHeight="1">
      <c r="A344" t="inlineStr">
        <is>
          <t>A 17785-2024</t>
        </is>
      </c>
      <c r="B344" s="1" t="n">
        <v>45418.6968287037</v>
      </c>
      <c r="C344" s="1" t="n">
        <v>46033</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22416-2025</t>
        </is>
      </c>
      <c r="B345" s="1" t="n">
        <v>45786.55645833333</v>
      </c>
      <c r="C345" s="1" t="n">
        <v>46033</v>
      </c>
      <c r="D345" t="inlineStr">
        <is>
          <t>STOCKHOLMS LÄN</t>
        </is>
      </c>
      <c r="E345" t="inlineStr">
        <is>
          <t>NORRTÄLJE</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51121-2025</t>
        </is>
      </c>
      <c r="B346" s="1" t="n">
        <v>45947.53293981482</v>
      </c>
      <c r="C346" s="1" t="n">
        <v>46033</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58785-2024</t>
        </is>
      </c>
      <c r="B347" s="1" t="n">
        <v>45635.88849537037</v>
      </c>
      <c r="C347" s="1" t="n">
        <v>46033</v>
      </c>
      <c r="D347" t="inlineStr">
        <is>
          <t>STOCKHOLMS LÄN</t>
        </is>
      </c>
      <c r="E347" t="inlineStr">
        <is>
          <t>NORRTÄLJE</t>
        </is>
      </c>
      <c r="G347" t="n">
        <v>3.3</v>
      </c>
      <c r="H347" t="n">
        <v>0</v>
      </c>
      <c r="I347" t="n">
        <v>0</v>
      </c>
      <c r="J347" t="n">
        <v>0</v>
      </c>
      <c r="K347" t="n">
        <v>0</v>
      </c>
      <c r="L347" t="n">
        <v>0</v>
      </c>
      <c r="M347" t="n">
        <v>0</v>
      </c>
      <c r="N347" t="n">
        <v>0</v>
      </c>
      <c r="O347" t="n">
        <v>0</v>
      </c>
      <c r="P347" t="n">
        <v>0</v>
      </c>
      <c r="Q347" t="n">
        <v>0</v>
      </c>
      <c r="R347" s="2" t="inlineStr"/>
    </row>
    <row r="348" ht="15" customHeight="1">
      <c r="A348" t="inlineStr">
        <is>
          <t>A 6678-2025</t>
        </is>
      </c>
      <c r="B348" s="1" t="n">
        <v>45700</v>
      </c>
      <c r="C348" s="1" t="n">
        <v>46033</v>
      </c>
      <c r="D348" t="inlineStr">
        <is>
          <t>STOCKHOLMS LÄN</t>
        </is>
      </c>
      <c r="E348" t="inlineStr">
        <is>
          <t>NORRTÄLJE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2182-2022</t>
        </is>
      </c>
      <c r="B349" s="1" t="n">
        <v>44578</v>
      </c>
      <c r="C349" s="1" t="n">
        <v>46033</v>
      </c>
      <c r="D349" t="inlineStr">
        <is>
          <t>STOCKHOLMS LÄN</t>
        </is>
      </c>
      <c r="E349" t="inlineStr">
        <is>
          <t>NORRTÄLJE</t>
        </is>
      </c>
      <c r="G349" t="n">
        <v>7.2</v>
      </c>
      <c r="H349" t="n">
        <v>0</v>
      </c>
      <c r="I349" t="n">
        <v>0</v>
      </c>
      <c r="J349" t="n">
        <v>0</v>
      </c>
      <c r="K349" t="n">
        <v>0</v>
      </c>
      <c r="L349" t="n">
        <v>0</v>
      </c>
      <c r="M349" t="n">
        <v>0</v>
      </c>
      <c r="N349" t="n">
        <v>0</v>
      </c>
      <c r="O349" t="n">
        <v>0</v>
      </c>
      <c r="P349" t="n">
        <v>0</v>
      </c>
      <c r="Q349" t="n">
        <v>0</v>
      </c>
      <c r="R349" s="2" t="inlineStr"/>
    </row>
    <row r="350" ht="15" customHeight="1">
      <c r="A350" t="inlineStr">
        <is>
          <t>A 59477-2025</t>
        </is>
      </c>
      <c r="B350" s="1" t="n">
        <v>45989.58679398148</v>
      </c>
      <c r="C350" s="1" t="n">
        <v>46033</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13268-2025</t>
        </is>
      </c>
      <c r="B351" s="1" t="n">
        <v>45735</v>
      </c>
      <c r="C351" s="1" t="n">
        <v>46033</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8414-2025</t>
        </is>
      </c>
      <c r="B352" s="1" t="n">
        <v>45709.39361111111</v>
      </c>
      <c r="C352" s="1" t="n">
        <v>46033</v>
      </c>
      <c r="D352" t="inlineStr">
        <is>
          <t>STOCKHOLMS LÄN</t>
        </is>
      </c>
      <c r="E352" t="inlineStr">
        <is>
          <t>NORRTÄLJE</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36625-2024</t>
        </is>
      </c>
      <c r="B353" s="1" t="n">
        <v>45537</v>
      </c>
      <c r="C353" s="1" t="n">
        <v>46033</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44891-2023</t>
        </is>
      </c>
      <c r="B354" s="1" t="n">
        <v>45187</v>
      </c>
      <c r="C354" s="1" t="n">
        <v>46033</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12902-2024</t>
        </is>
      </c>
      <c r="B355" s="1" t="n">
        <v>45385.38146990741</v>
      </c>
      <c r="C355" s="1" t="n">
        <v>46033</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44032-2024</t>
        </is>
      </c>
      <c r="B356" s="1" t="n">
        <v>45572.57828703704</v>
      </c>
      <c r="C356" s="1" t="n">
        <v>46033</v>
      </c>
      <c r="D356" t="inlineStr">
        <is>
          <t>STOCKHOLMS LÄN</t>
        </is>
      </c>
      <c r="E356" t="inlineStr">
        <is>
          <t>NORRTÄLJE</t>
        </is>
      </c>
      <c r="G356" t="n">
        <v>8.6</v>
      </c>
      <c r="H356" t="n">
        <v>0</v>
      </c>
      <c r="I356" t="n">
        <v>0</v>
      </c>
      <c r="J356" t="n">
        <v>0</v>
      </c>
      <c r="K356" t="n">
        <v>0</v>
      </c>
      <c r="L356" t="n">
        <v>0</v>
      </c>
      <c r="M356" t="n">
        <v>0</v>
      </c>
      <c r="N356" t="n">
        <v>0</v>
      </c>
      <c r="O356" t="n">
        <v>0</v>
      </c>
      <c r="P356" t="n">
        <v>0</v>
      </c>
      <c r="Q356" t="n">
        <v>0</v>
      </c>
      <c r="R356" s="2" t="inlineStr"/>
    </row>
    <row r="357" ht="15" customHeight="1">
      <c r="A357" t="inlineStr">
        <is>
          <t>A 24563-2024</t>
        </is>
      </c>
      <c r="B357" s="1" t="n">
        <v>45460.44347222222</v>
      </c>
      <c r="C357" s="1" t="n">
        <v>46033</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39237-2024</t>
        </is>
      </c>
      <c r="B358" s="1" t="n">
        <v>45549</v>
      </c>
      <c r="C358" s="1" t="n">
        <v>46033</v>
      </c>
      <c r="D358" t="inlineStr">
        <is>
          <t>STOCKHOLMS LÄN</t>
        </is>
      </c>
      <c r="E358" t="inlineStr">
        <is>
          <t>NORRTÄLJE</t>
        </is>
      </c>
      <c r="G358" t="n">
        <v>13.3</v>
      </c>
      <c r="H358" t="n">
        <v>0</v>
      </c>
      <c r="I358" t="n">
        <v>0</v>
      </c>
      <c r="J358" t="n">
        <v>0</v>
      </c>
      <c r="K358" t="n">
        <v>0</v>
      </c>
      <c r="L358" t="n">
        <v>0</v>
      </c>
      <c r="M358" t="n">
        <v>0</v>
      </c>
      <c r="N358" t="n">
        <v>0</v>
      </c>
      <c r="O358" t="n">
        <v>0</v>
      </c>
      <c r="P358" t="n">
        <v>0</v>
      </c>
      <c r="Q358" t="n">
        <v>0</v>
      </c>
      <c r="R358" s="2" t="inlineStr"/>
    </row>
    <row r="359" ht="15" customHeight="1">
      <c r="A359" t="inlineStr">
        <is>
          <t>A 45746-2024</t>
        </is>
      </c>
      <c r="B359" s="1" t="n">
        <v>45579</v>
      </c>
      <c r="C359" s="1" t="n">
        <v>46033</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8400-2024</t>
        </is>
      </c>
      <c r="B360" s="1" t="n">
        <v>45352.74090277778</v>
      </c>
      <c r="C360" s="1" t="n">
        <v>46033</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38593-2025</t>
        </is>
      </c>
      <c r="B361" s="1" t="n">
        <v>45884.48696759259</v>
      </c>
      <c r="C361" s="1" t="n">
        <v>46033</v>
      </c>
      <c r="D361" t="inlineStr">
        <is>
          <t>STOCKHOLMS LÄN</t>
        </is>
      </c>
      <c r="E361" t="inlineStr">
        <is>
          <t>NORRTÄLJE</t>
        </is>
      </c>
      <c r="G361" t="n">
        <v>3</v>
      </c>
      <c r="H361" t="n">
        <v>0</v>
      </c>
      <c r="I361" t="n">
        <v>0</v>
      </c>
      <c r="J361" t="n">
        <v>0</v>
      </c>
      <c r="K361" t="n">
        <v>0</v>
      </c>
      <c r="L361" t="n">
        <v>0</v>
      </c>
      <c r="M361" t="n">
        <v>0</v>
      </c>
      <c r="N361" t="n">
        <v>0</v>
      </c>
      <c r="O361" t="n">
        <v>0</v>
      </c>
      <c r="P361" t="n">
        <v>0</v>
      </c>
      <c r="Q361" t="n">
        <v>0</v>
      </c>
      <c r="R361" s="2" t="inlineStr"/>
    </row>
    <row r="362" ht="15" customHeight="1">
      <c r="A362" t="inlineStr">
        <is>
          <t>A 19982-2022</t>
        </is>
      </c>
      <c r="B362" s="1" t="n">
        <v>44697</v>
      </c>
      <c r="C362" s="1" t="n">
        <v>46033</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42075-2023</t>
        </is>
      </c>
      <c r="B363" s="1" t="n">
        <v>45177</v>
      </c>
      <c r="C363" s="1" t="n">
        <v>46033</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50108-2021</t>
        </is>
      </c>
      <c r="B364" s="1" t="n">
        <v>44456</v>
      </c>
      <c r="C364" s="1" t="n">
        <v>46033</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51532-2025</t>
        </is>
      </c>
      <c r="B365" s="1" t="n">
        <v>45950.68297453703</v>
      </c>
      <c r="C365" s="1" t="n">
        <v>46033</v>
      </c>
      <c r="D365" t="inlineStr">
        <is>
          <t>STOCKHOLMS LÄN</t>
        </is>
      </c>
      <c r="E365" t="inlineStr">
        <is>
          <t>NORRTÄLJE</t>
        </is>
      </c>
      <c r="F365" t="inlineStr">
        <is>
          <t>Naturvårdsverket</t>
        </is>
      </c>
      <c r="G365" t="n">
        <v>17.3</v>
      </c>
      <c r="H365" t="n">
        <v>0</v>
      </c>
      <c r="I365" t="n">
        <v>0</v>
      </c>
      <c r="J365" t="n">
        <v>0</v>
      </c>
      <c r="K365" t="n">
        <v>0</v>
      </c>
      <c r="L365" t="n">
        <v>0</v>
      </c>
      <c r="M365" t="n">
        <v>0</v>
      </c>
      <c r="N365" t="n">
        <v>0</v>
      </c>
      <c r="O365" t="n">
        <v>0</v>
      </c>
      <c r="P365" t="n">
        <v>0</v>
      </c>
      <c r="Q365" t="n">
        <v>0</v>
      </c>
      <c r="R365" s="2" t="inlineStr"/>
    </row>
    <row r="366" ht="15" customHeight="1">
      <c r="A366" t="inlineStr">
        <is>
          <t>A 51789-2025</t>
        </is>
      </c>
      <c r="B366" s="1" t="n">
        <v>45951.68046296296</v>
      </c>
      <c r="C366" s="1" t="n">
        <v>46033</v>
      </c>
      <c r="D366" t="inlineStr">
        <is>
          <t>STOCKHOLMS LÄN</t>
        </is>
      </c>
      <c r="E366" t="inlineStr">
        <is>
          <t>NORRTÄLJE</t>
        </is>
      </c>
      <c r="F366" t="inlineStr">
        <is>
          <t>Naturvårdsverket</t>
        </is>
      </c>
      <c r="G366" t="n">
        <v>8.9</v>
      </c>
      <c r="H366" t="n">
        <v>0</v>
      </c>
      <c r="I366" t="n">
        <v>0</v>
      </c>
      <c r="J366" t="n">
        <v>0</v>
      </c>
      <c r="K366" t="n">
        <v>0</v>
      </c>
      <c r="L366" t="n">
        <v>0</v>
      </c>
      <c r="M366" t="n">
        <v>0</v>
      </c>
      <c r="N366" t="n">
        <v>0</v>
      </c>
      <c r="O366" t="n">
        <v>0</v>
      </c>
      <c r="P366" t="n">
        <v>0</v>
      </c>
      <c r="Q366" t="n">
        <v>0</v>
      </c>
      <c r="R366" s="2" t="inlineStr"/>
    </row>
    <row r="367" ht="15" customHeight="1">
      <c r="A367" t="inlineStr">
        <is>
          <t>A 59907-2025</t>
        </is>
      </c>
      <c r="B367" s="1" t="n">
        <v>45993.35350694445</v>
      </c>
      <c r="C367" s="1" t="n">
        <v>46033</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59914-2025</t>
        </is>
      </c>
      <c r="B368" s="1" t="n">
        <v>45993.37056712963</v>
      </c>
      <c r="C368" s="1" t="n">
        <v>46033</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27677-2025</t>
        </is>
      </c>
      <c r="B369" s="1" t="n">
        <v>45813.63650462963</v>
      </c>
      <c r="C369" s="1" t="n">
        <v>46033</v>
      </c>
      <c r="D369" t="inlineStr">
        <is>
          <t>STOCKHOLMS LÄN</t>
        </is>
      </c>
      <c r="E369" t="inlineStr">
        <is>
          <t>NORRTÄLJE</t>
        </is>
      </c>
      <c r="G369" t="n">
        <v>2</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46033</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50355-2024</t>
        </is>
      </c>
      <c r="B371" s="1" t="n">
        <v>45600.86128472222</v>
      </c>
      <c r="C371" s="1" t="n">
        <v>46033</v>
      </c>
      <c r="D371" t="inlineStr">
        <is>
          <t>STOCKHOLMS LÄN</t>
        </is>
      </c>
      <c r="E371" t="inlineStr">
        <is>
          <t>NORRTÄLJE</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44917-2022</t>
        </is>
      </c>
      <c r="B372" s="1" t="n">
        <v>44841.52804398148</v>
      </c>
      <c r="C372" s="1" t="n">
        <v>46033</v>
      </c>
      <c r="D372" t="inlineStr">
        <is>
          <t>STOCKHOLMS LÄN</t>
        </is>
      </c>
      <c r="E372" t="inlineStr">
        <is>
          <t>NORRTÄLJE</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39149-2025</t>
        </is>
      </c>
      <c r="B373" s="1" t="n">
        <v>45888.60714120371</v>
      </c>
      <c r="C373" s="1" t="n">
        <v>46033</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55058-2021</t>
        </is>
      </c>
      <c r="B374" s="1" t="n">
        <v>44474.62141203704</v>
      </c>
      <c r="C374" s="1" t="n">
        <v>46033</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55012-2024</t>
        </is>
      </c>
      <c r="B375" s="1" t="n">
        <v>45621.34813657407</v>
      </c>
      <c r="C375" s="1" t="n">
        <v>46033</v>
      </c>
      <c r="D375" t="inlineStr">
        <is>
          <t>STOCKHOLMS LÄN</t>
        </is>
      </c>
      <c r="E375" t="inlineStr">
        <is>
          <t>NORRTÄLJE</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39692-2025</t>
        </is>
      </c>
      <c r="B376" s="1" t="n">
        <v>45890.68083333333</v>
      </c>
      <c r="C376" s="1" t="n">
        <v>46033</v>
      </c>
      <c r="D376" t="inlineStr">
        <is>
          <t>STOCKHOLMS LÄN</t>
        </is>
      </c>
      <c r="E376" t="inlineStr">
        <is>
          <t>NORRTÄLJE</t>
        </is>
      </c>
      <c r="G376" t="n">
        <v>10.5</v>
      </c>
      <c r="H376" t="n">
        <v>0</v>
      </c>
      <c r="I376" t="n">
        <v>0</v>
      </c>
      <c r="J376" t="n">
        <v>0</v>
      </c>
      <c r="K376" t="n">
        <v>0</v>
      </c>
      <c r="L376" t="n">
        <v>0</v>
      </c>
      <c r="M376" t="n">
        <v>0</v>
      </c>
      <c r="N376" t="n">
        <v>0</v>
      </c>
      <c r="O376" t="n">
        <v>0</v>
      </c>
      <c r="P376" t="n">
        <v>0</v>
      </c>
      <c r="Q376" t="n">
        <v>0</v>
      </c>
      <c r="R376" s="2" t="inlineStr"/>
    </row>
    <row r="377" ht="15" customHeight="1">
      <c r="A377" t="inlineStr">
        <is>
          <t>A 62998-2023</t>
        </is>
      </c>
      <c r="B377" s="1" t="n">
        <v>45272.64479166667</v>
      </c>
      <c r="C377" s="1" t="n">
        <v>46033</v>
      </c>
      <c r="D377" t="inlineStr">
        <is>
          <t>STOCKHOLMS LÄN</t>
        </is>
      </c>
      <c r="E377" t="inlineStr">
        <is>
          <t>NORRTÄLJE</t>
        </is>
      </c>
      <c r="G377" t="n">
        <v>16.3</v>
      </c>
      <c r="H377" t="n">
        <v>0</v>
      </c>
      <c r="I377" t="n">
        <v>0</v>
      </c>
      <c r="J377" t="n">
        <v>0</v>
      </c>
      <c r="K377" t="n">
        <v>0</v>
      </c>
      <c r="L377" t="n">
        <v>0</v>
      </c>
      <c r="M377" t="n">
        <v>0</v>
      </c>
      <c r="N377" t="n">
        <v>0</v>
      </c>
      <c r="O377" t="n">
        <v>0</v>
      </c>
      <c r="P377" t="n">
        <v>0</v>
      </c>
      <c r="Q377" t="n">
        <v>0</v>
      </c>
      <c r="R377" s="2" t="inlineStr"/>
    </row>
    <row r="378" ht="15" customHeight="1">
      <c r="A378" t="inlineStr">
        <is>
          <t>A 63015-2023</t>
        </is>
      </c>
      <c r="B378" s="1" t="n">
        <v>45272</v>
      </c>
      <c r="C378" s="1" t="n">
        <v>46033</v>
      </c>
      <c r="D378" t="inlineStr">
        <is>
          <t>STOCKHOLMS LÄN</t>
        </is>
      </c>
      <c r="E378" t="inlineStr">
        <is>
          <t>NORRTÄLJE</t>
        </is>
      </c>
      <c r="G378" t="n">
        <v>13.1</v>
      </c>
      <c r="H378" t="n">
        <v>0</v>
      </c>
      <c r="I378" t="n">
        <v>0</v>
      </c>
      <c r="J378" t="n">
        <v>0</v>
      </c>
      <c r="K378" t="n">
        <v>0</v>
      </c>
      <c r="L378" t="n">
        <v>0</v>
      </c>
      <c r="M378" t="n">
        <v>0</v>
      </c>
      <c r="N378" t="n">
        <v>0</v>
      </c>
      <c r="O378" t="n">
        <v>0</v>
      </c>
      <c r="P378" t="n">
        <v>0</v>
      </c>
      <c r="Q378" t="n">
        <v>0</v>
      </c>
      <c r="R378" s="2" t="inlineStr"/>
    </row>
    <row r="379" ht="15" customHeight="1">
      <c r="A379" t="inlineStr">
        <is>
          <t>A 27831-2024</t>
        </is>
      </c>
      <c r="B379" s="1" t="n">
        <v>45475.61896990741</v>
      </c>
      <c r="C379" s="1" t="n">
        <v>46033</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35639-2025</t>
        </is>
      </c>
      <c r="B380" s="1" t="n">
        <v>45859</v>
      </c>
      <c r="C380" s="1" t="n">
        <v>46033</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33175-2024</t>
        </is>
      </c>
      <c r="B381" s="1" t="n">
        <v>45518</v>
      </c>
      <c r="C381" s="1" t="n">
        <v>46033</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35636-2025</t>
        </is>
      </c>
      <c r="B382" s="1" t="n">
        <v>45859</v>
      </c>
      <c r="C382" s="1" t="n">
        <v>46033</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21803-2022</t>
        </is>
      </c>
      <c r="B383" s="1" t="n">
        <v>44708.67822916667</v>
      </c>
      <c r="C383" s="1" t="n">
        <v>46033</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20730-2024</t>
        </is>
      </c>
      <c r="B384" s="1" t="n">
        <v>45436</v>
      </c>
      <c r="C384" s="1" t="n">
        <v>46033</v>
      </c>
      <c r="D384" t="inlineStr">
        <is>
          <t>STOCKHOLMS LÄN</t>
        </is>
      </c>
      <c r="E384" t="inlineStr">
        <is>
          <t>NORRTÄLJE</t>
        </is>
      </c>
      <c r="G384" t="n">
        <v>7.3</v>
      </c>
      <c r="H384" t="n">
        <v>0</v>
      </c>
      <c r="I384" t="n">
        <v>0</v>
      </c>
      <c r="J384" t="n">
        <v>0</v>
      </c>
      <c r="K384" t="n">
        <v>0</v>
      </c>
      <c r="L384" t="n">
        <v>0</v>
      </c>
      <c r="M384" t="n">
        <v>0</v>
      </c>
      <c r="N384" t="n">
        <v>0</v>
      </c>
      <c r="O384" t="n">
        <v>0</v>
      </c>
      <c r="P384" t="n">
        <v>0</v>
      </c>
      <c r="Q384" t="n">
        <v>0</v>
      </c>
      <c r="R384" s="2" t="inlineStr"/>
    </row>
    <row r="385" ht="15" customHeight="1">
      <c r="A385" t="inlineStr">
        <is>
          <t>A 7413-2024</t>
        </is>
      </c>
      <c r="B385" s="1" t="n">
        <v>45345.6059837963</v>
      </c>
      <c r="C385" s="1" t="n">
        <v>46033</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12251-2025</t>
        </is>
      </c>
      <c r="B386" s="1" t="n">
        <v>45729.60859953704</v>
      </c>
      <c r="C386" s="1" t="n">
        <v>46033</v>
      </c>
      <c r="D386" t="inlineStr">
        <is>
          <t>STOCKHOLMS LÄN</t>
        </is>
      </c>
      <c r="E386" t="inlineStr">
        <is>
          <t>NORRTÄLJE</t>
        </is>
      </c>
      <c r="F386" t="inlineStr">
        <is>
          <t>Holmen skog AB</t>
        </is>
      </c>
      <c r="G386" t="n">
        <v>5.9</v>
      </c>
      <c r="H386" t="n">
        <v>0</v>
      </c>
      <c r="I386" t="n">
        <v>0</v>
      </c>
      <c r="J386" t="n">
        <v>0</v>
      </c>
      <c r="K386" t="n">
        <v>0</v>
      </c>
      <c r="L386" t="n">
        <v>0</v>
      </c>
      <c r="M386" t="n">
        <v>0</v>
      </c>
      <c r="N386" t="n">
        <v>0</v>
      </c>
      <c r="O386" t="n">
        <v>0</v>
      </c>
      <c r="P386" t="n">
        <v>0</v>
      </c>
      <c r="Q386" t="n">
        <v>0</v>
      </c>
      <c r="R386" s="2" t="inlineStr"/>
    </row>
    <row r="387" ht="15" customHeight="1">
      <c r="A387" t="inlineStr">
        <is>
          <t>A 58863-2024</t>
        </is>
      </c>
      <c r="B387" s="1" t="n">
        <v>45636.41572916666</v>
      </c>
      <c r="C387" s="1" t="n">
        <v>46033</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46033</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46033</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59924-2025</t>
        </is>
      </c>
      <c r="B390" s="1" t="n">
        <v>45993.38928240741</v>
      </c>
      <c r="C390" s="1" t="n">
        <v>46033</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40032-2025</t>
        </is>
      </c>
      <c r="B391" s="1" t="n">
        <v>45893</v>
      </c>
      <c r="C391" s="1" t="n">
        <v>46033</v>
      </c>
      <c r="D391" t="inlineStr">
        <is>
          <t>STOCKHOLMS LÄN</t>
        </is>
      </c>
      <c r="E391" t="inlineStr">
        <is>
          <t>NORRTÄLJE</t>
        </is>
      </c>
      <c r="G391" t="n">
        <v>2.6</v>
      </c>
      <c r="H391" t="n">
        <v>0</v>
      </c>
      <c r="I391" t="n">
        <v>0</v>
      </c>
      <c r="J391" t="n">
        <v>0</v>
      </c>
      <c r="K391" t="n">
        <v>0</v>
      </c>
      <c r="L391" t="n">
        <v>0</v>
      </c>
      <c r="M391" t="n">
        <v>0</v>
      </c>
      <c r="N391" t="n">
        <v>0</v>
      </c>
      <c r="O391" t="n">
        <v>0</v>
      </c>
      <c r="P391" t="n">
        <v>0</v>
      </c>
      <c r="Q391" t="n">
        <v>0</v>
      </c>
      <c r="R391" s="2" t="inlineStr"/>
    </row>
    <row r="392" ht="15" customHeight="1">
      <c r="A392" t="inlineStr">
        <is>
          <t>A 12901-2024</t>
        </is>
      </c>
      <c r="B392" s="1" t="n">
        <v>45385.37922453704</v>
      </c>
      <c r="C392" s="1" t="n">
        <v>46033</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40292-2025</t>
        </is>
      </c>
      <c r="B393" s="1" t="n">
        <v>45895.3867824074</v>
      </c>
      <c r="C393" s="1" t="n">
        <v>46033</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40294-2025</t>
        </is>
      </c>
      <c r="B394" s="1" t="n">
        <v>45895.38778935185</v>
      </c>
      <c r="C394" s="1" t="n">
        <v>46033</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8950-2025</t>
        </is>
      </c>
      <c r="B395" s="1" t="n">
        <v>45713</v>
      </c>
      <c r="C395" s="1" t="n">
        <v>46033</v>
      </c>
      <c r="D395" t="inlineStr">
        <is>
          <t>STOCKHOLMS LÄN</t>
        </is>
      </c>
      <c r="E395" t="inlineStr">
        <is>
          <t>NORRTÄLJE</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12301-2025</t>
        </is>
      </c>
      <c r="B396" s="1" t="n">
        <v>45729.7271875</v>
      </c>
      <c r="C396" s="1" t="n">
        <v>46033</v>
      </c>
      <c r="D396" t="inlineStr">
        <is>
          <t>STOCKHOLMS LÄN</t>
        </is>
      </c>
      <c r="E396" t="inlineStr">
        <is>
          <t>NORRTÄLJE</t>
        </is>
      </c>
      <c r="G396" t="n">
        <v>3.2</v>
      </c>
      <c r="H396" t="n">
        <v>0</v>
      </c>
      <c r="I396" t="n">
        <v>0</v>
      </c>
      <c r="J396" t="n">
        <v>0</v>
      </c>
      <c r="K396" t="n">
        <v>0</v>
      </c>
      <c r="L396" t="n">
        <v>0</v>
      </c>
      <c r="M396" t="n">
        <v>0</v>
      </c>
      <c r="N396" t="n">
        <v>0</v>
      </c>
      <c r="O396" t="n">
        <v>0</v>
      </c>
      <c r="P396" t="n">
        <v>0</v>
      </c>
      <c r="Q396" t="n">
        <v>0</v>
      </c>
      <c r="R396" s="2" t="inlineStr"/>
    </row>
    <row r="397" ht="15" customHeight="1">
      <c r="A397" t="inlineStr">
        <is>
          <t>A 40228-2025</t>
        </is>
      </c>
      <c r="B397" s="1" t="n">
        <v>45894.70854166667</v>
      </c>
      <c r="C397" s="1" t="n">
        <v>46033</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24351-2025</t>
        </is>
      </c>
      <c r="B398" s="1" t="n">
        <v>45797.58399305555</v>
      </c>
      <c r="C398" s="1" t="n">
        <v>46033</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13283-2025</t>
        </is>
      </c>
      <c r="B399" s="1" t="n">
        <v>45735</v>
      </c>
      <c r="C399" s="1" t="n">
        <v>46033</v>
      </c>
      <c r="D399" t="inlineStr">
        <is>
          <t>STOCKHOLMS LÄN</t>
        </is>
      </c>
      <c r="E399" t="inlineStr">
        <is>
          <t>NORRTÄLJE</t>
        </is>
      </c>
      <c r="G399" t="n">
        <v>4.9</v>
      </c>
      <c r="H399" t="n">
        <v>0</v>
      </c>
      <c r="I399" t="n">
        <v>0</v>
      </c>
      <c r="J399" t="n">
        <v>0</v>
      </c>
      <c r="K399" t="n">
        <v>0</v>
      </c>
      <c r="L399" t="n">
        <v>0</v>
      </c>
      <c r="M399" t="n">
        <v>0</v>
      </c>
      <c r="N399" t="n">
        <v>0</v>
      </c>
      <c r="O399" t="n">
        <v>0</v>
      </c>
      <c r="P399" t="n">
        <v>0</v>
      </c>
      <c r="Q399" t="n">
        <v>0</v>
      </c>
      <c r="R399" s="2" t="inlineStr"/>
    </row>
    <row r="400" ht="15" customHeight="1">
      <c r="A400" t="inlineStr">
        <is>
          <t>A 50154-2024</t>
        </is>
      </c>
      <c r="B400" s="1" t="n">
        <v>45600.4558912037</v>
      </c>
      <c r="C400" s="1" t="n">
        <v>46033</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40230-2025</t>
        </is>
      </c>
      <c r="B401" s="1" t="n">
        <v>45894.71101851852</v>
      </c>
      <c r="C401" s="1" t="n">
        <v>46033</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24687-2025</t>
        </is>
      </c>
      <c r="B402" s="1" t="n">
        <v>45798.66767361111</v>
      </c>
      <c r="C402" s="1" t="n">
        <v>46033</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11900-2024</t>
        </is>
      </c>
      <c r="B403" s="1" t="n">
        <v>45376.55484953704</v>
      </c>
      <c r="C403" s="1" t="n">
        <v>46033</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40217-2025</t>
        </is>
      </c>
      <c r="B404" s="1" t="n">
        <v>45894.68864583333</v>
      </c>
      <c r="C404" s="1" t="n">
        <v>46033</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40097-2025</t>
        </is>
      </c>
      <c r="B405" s="1" t="n">
        <v>45894.48322916667</v>
      </c>
      <c r="C405" s="1" t="n">
        <v>46033</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40829-2025</t>
        </is>
      </c>
      <c r="B406" s="1" t="n">
        <v>45897.50802083333</v>
      </c>
      <c r="C406" s="1" t="n">
        <v>46033</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40837-2025</t>
        </is>
      </c>
      <c r="B407" s="1" t="n">
        <v>45897.51328703704</v>
      </c>
      <c r="C407" s="1" t="n">
        <v>46033</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40529-2025</t>
        </is>
      </c>
      <c r="B408" s="1" t="n">
        <v>45896.38466435186</v>
      </c>
      <c r="C408" s="1" t="n">
        <v>46033</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40831-2025</t>
        </is>
      </c>
      <c r="B409" s="1" t="n">
        <v>45897.51077546296</v>
      </c>
      <c r="C409" s="1" t="n">
        <v>46033</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24638-2025</t>
        </is>
      </c>
      <c r="B410" s="1" t="n">
        <v>45798</v>
      </c>
      <c r="C410" s="1" t="n">
        <v>46033</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42867-2022</t>
        </is>
      </c>
      <c r="B411" s="1" t="n">
        <v>44832</v>
      </c>
      <c r="C411" s="1" t="n">
        <v>46033</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23749-2024</t>
        </is>
      </c>
      <c r="B412" s="1" t="n">
        <v>45455.33037037037</v>
      </c>
      <c r="C412" s="1" t="n">
        <v>46033</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28603-2024</t>
        </is>
      </c>
      <c r="B413" s="1" t="n">
        <v>45478.42887731481</v>
      </c>
      <c r="C413" s="1" t="n">
        <v>46033</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41158-2025</t>
        </is>
      </c>
      <c r="B414" s="1" t="n">
        <v>45898.5315625</v>
      </c>
      <c r="C414" s="1" t="n">
        <v>46033</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15733-2025</t>
        </is>
      </c>
      <c r="B415" s="1" t="n">
        <v>45748</v>
      </c>
      <c r="C415" s="1" t="n">
        <v>46033</v>
      </c>
      <c r="D415" t="inlineStr">
        <is>
          <t>STOCKHOLMS LÄN</t>
        </is>
      </c>
      <c r="E415" t="inlineStr">
        <is>
          <t>NORRTÄLJE</t>
        </is>
      </c>
      <c r="G415" t="n">
        <v>13.3</v>
      </c>
      <c r="H415" t="n">
        <v>0</v>
      </c>
      <c r="I415" t="n">
        <v>0</v>
      </c>
      <c r="J415" t="n">
        <v>0</v>
      </c>
      <c r="K415" t="n">
        <v>0</v>
      </c>
      <c r="L415" t="n">
        <v>0</v>
      </c>
      <c r="M415" t="n">
        <v>0</v>
      </c>
      <c r="N415" t="n">
        <v>0</v>
      </c>
      <c r="O415" t="n">
        <v>0</v>
      </c>
      <c r="P415" t="n">
        <v>0</v>
      </c>
      <c r="Q415" t="n">
        <v>0</v>
      </c>
      <c r="R415" s="2" t="inlineStr"/>
    </row>
    <row r="416" ht="15" customHeight="1">
      <c r="A416" t="inlineStr">
        <is>
          <t>A 58277-2023</t>
        </is>
      </c>
      <c r="B416" s="1" t="n">
        <v>45245</v>
      </c>
      <c r="C416" s="1" t="n">
        <v>46033</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19058-2024</t>
        </is>
      </c>
      <c r="B417" s="1" t="n">
        <v>45427.89121527778</v>
      </c>
      <c r="C417" s="1" t="n">
        <v>46033</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41053-2025</t>
        </is>
      </c>
      <c r="B418" s="1" t="n">
        <v>45898.40480324074</v>
      </c>
      <c r="C418" s="1" t="n">
        <v>46033</v>
      </c>
      <c r="D418" t="inlineStr">
        <is>
          <t>STOCKHOLMS LÄN</t>
        </is>
      </c>
      <c r="E418" t="inlineStr">
        <is>
          <t>NORRTÄLJE</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41275-2025</t>
        </is>
      </c>
      <c r="B419" s="1" t="n">
        <v>45898.62625</v>
      </c>
      <c r="C419" s="1" t="n">
        <v>46033</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41272-2025</t>
        </is>
      </c>
      <c r="B420" s="1" t="n">
        <v>45898.62373842593</v>
      </c>
      <c r="C420" s="1" t="n">
        <v>46033</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24690-2025</t>
        </is>
      </c>
      <c r="B421" s="1" t="n">
        <v>45798.67082175926</v>
      </c>
      <c r="C421" s="1" t="n">
        <v>46033</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32705-2022</t>
        </is>
      </c>
      <c r="B422" s="1" t="n">
        <v>44783</v>
      </c>
      <c r="C422" s="1" t="n">
        <v>46033</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47259-2024</t>
        </is>
      </c>
      <c r="B423" s="1" t="n">
        <v>45586</v>
      </c>
      <c r="C423" s="1" t="n">
        <v>46033</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25702-2025</t>
        </is>
      </c>
      <c r="B424" s="1" t="n">
        <v>45800</v>
      </c>
      <c r="C424" s="1" t="n">
        <v>46033</v>
      </c>
      <c r="D424" t="inlineStr">
        <is>
          <t>STOCKHOLMS LÄN</t>
        </is>
      </c>
      <c r="E424" t="inlineStr">
        <is>
          <t>NORRTÄLJE</t>
        </is>
      </c>
      <c r="G424" t="n">
        <v>5.3</v>
      </c>
      <c r="H424" t="n">
        <v>0</v>
      </c>
      <c r="I424" t="n">
        <v>0</v>
      </c>
      <c r="J424" t="n">
        <v>0</v>
      </c>
      <c r="K424" t="n">
        <v>0</v>
      </c>
      <c r="L424" t="n">
        <v>0</v>
      </c>
      <c r="M424" t="n">
        <v>0</v>
      </c>
      <c r="N424" t="n">
        <v>0</v>
      </c>
      <c r="O424" t="n">
        <v>0</v>
      </c>
      <c r="P424" t="n">
        <v>0</v>
      </c>
      <c r="Q424" t="n">
        <v>0</v>
      </c>
      <c r="R424" s="2" t="inlineStr"/>
    </row>
    <row r="425" ht="15" customHeight="1">
      <c r="A425" t="inlineStr">
        <is>
          <t>A 41301-2025</t>
        </is>
      </c>
      <c r="B425" s="1" t="n">
        <v>45898.68826388889</v>
      </c>
      <c r="C425" s="1" t="n">
        <v>46033</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47481-2024</t>
        </is>
      </c>
      <c r="B426" s="1" t="n">
        <v>45587</v>
      </c>
      <c r="C426" s="1" t="n">
        <v>46033</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57037-2022</t>
        </is>
      </c>
      <c r="B427" s="1" t="n">
        <v>44895</v>
      </c>
      <c r="C427" s="1" t="n">
        <v>46033</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25712-2025</t>
        </is>
      </c>
      <c r="B428" s="1" t="n">
        <v>45803.69228009259</v>
      </c>
      <c r="C428" s="1" t="n">
        <v>46033</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11940-2023</t>
        </is>
      </c>
      <c r="B429" s="1" t="n">
        <v>44995</v>
      </c>
      <c r="C429" s="1" t="n">
        <v>46033</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41174-2025</t>
        </is>
      </c>
      <c r="B430" s="1" t="n">
        <v>45898.54921296296</v>
      </c>
      <c r="C430" s="1" t="n">
        <v>46033</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41030-2025</t>
        </is>
      </c>
      <c r="B431" s="1" t="n">
        <v>45898.37636574074</v>
      </c>
      <c r="C431" s="1" t="n">
        <v>46033</v>
      </c>
      <c r="D431" t="inlineStr">
        <is>
          <t>STOCKHOLMS LÄN</t>
        </is>
      </c>
      <c r="E431" t="inlineStr">
        <is>
          <t>NORRTÄLJE</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25733-2025</t>
        </is>
      </c>
      <c r="B432" s="1" t="n">
        <v>45800</v>
      </c>
      <c r="C432" s="1" t="n">
        <v>46033</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41036-2025</t>
        </is>
      </c>
      <c r="B433" s="1" t="n">
        <v>45898.38552083333</v>
      </c>
      <c r="C433" s="1" t="n">
        <v>46033</v>
      </c>
      <c r="D433" t="inlineStr">
        <is>
          <t>STOCKHOLMS LÄN</t>
        </is>
      </c>
      <c r="E433" t="inlineStr">
        <is>
          <t>NORRTÄLJE</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39238-2024</t>
        </is>
      </c>
      <c r="B434" s="1" t="n">
        <v>45549</v>
      </c>
      <c r="C434" s="1" t="n">
        <v>46033</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2281-2024</t>
        </is>
      </c>
      <c r="B435" s="1" t="n">
        <v>45310.40628472222</v>
      </c>
      <c r="C435" s="1" t="n">
        <v>46033</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41106-2025</t>
        </is>
      </c>
      <c r="B436" s="1" t="n">
        <v>45898.45636574074</v>
      </c>
      <c r="C436" s="1" t="n">
        <v>46033</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41110-2025</t>
        </is>
      </c>
      <c r="B437" s="1" t="n">
        <v>45898.45976851852</v>
      </c>
      <c r="C437" s="1" t="n">
        <v>46033</v>
      </c>
      <c r="D437" t="inlineStr">
        <is>
          <t>STOCKHOLMS LÄN</t>
        </is>
      </c>
      <c r="E437" t="inlineStr">
        <is>
          <t>NORRTÄLJE</t>
        </is>
      </c>
      <c r="F437" t="inlineStr">
        <is>
          <t>Holmen skog AB</t>
        </is>
      </c>
      <c r="G437" t="n">
        <v>6.7</v>
      </c>
      <c r="H437" t="n">
        <v>0</v>
      </c>
      <c r="I437" t="n">
        <v>0</v>
      </c>
      <c r="J437" t="n">
        <v>0</v>
      </c>
      <c r="K437" t="n">
        <v>0</v>
      </c>
      <c r="L437" t="n">
        <v>0</v>
      </c>
      <c r="M437" t="n">
        <v>0</v>
      </c>
      <c r="N437" t="n">
        <v>0</v>
      </c>
      <c r="O437" t="n">
        <v>0</v>
      </c>
      <c r="P437" t="n">
        <v>0</v>
      </c>
      <c r="Q437" t="n">
        <v>0</v>
      </c>
      <c r="R437" s="2" t="inlineStr"/>
    </row>
    <row r="438" ht="15" customHeight="1">
      <c r="A438" t="inlineStr">
        <is>
          <t>A 25571-2025</t>
        </is>
      </c>
      <c r="B438" s="1" t="n">
        <v>45803.4675</v>
      </c>
      <c r="C438" s="1" t="n">
        <v>46033</v>
      </c>
      <c r="D438" t="inlineStr">
        <is>
          <t>STOCKHOLMS LÄN</t>
        </is>
      </c>
      <c r="E438" t="inlineStr">
        <is>
          <t>NORRTÄLJE</t>
        </is>
      </c>
      <c r="G438" t="n">
        <v>5.4</v>
      </c>
      <c r="H438" t="n">
        <v>0</v>
      </c>
      <c r="I438" t="n">
        <v>0</v>
      </c>
      <c r="J438" t="n">
        <v>0</v>
      </c>
      <c r="K438" t="n">
        <v>0</v>
      </c>
      <c r="L438" t="n">
        <v>0</v>
      </c>
      <c r="M438" t="n">
        <v>0</v>
      </c>
      <c r="N438" t="n">
        <v>0</v>
      </c>
      <c r="O438" t="n">
        <v>0</v>
      </c>
      <c r="P438" t="n">
        <v>0</v>
      </c>
      <c r="Q438" t="n">
        <v>0</v>
      </c>
      <c r="R438" s="2" t="inlineStr"/>
    </row>
    <row r="439" ht="15" customHeight="1">
      <c r="A439" t="inlineStr">
        <is>
          <t>A 41259-2025</t>
        </is>
      </c>
      <c r="B439" s="1" t="n">
        <v>45898.61054398148</v>
      </c>
      <c r="C439" s="1" t="n">
        <v>46033</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25721-2025</t>
        </is>
      </c>
      <c r="B440" s="1" t="n">
        <v>45800</v>
      </c>
      <c r="C440" s="1" t="n">
        <v>46033</v>
      </c>
      <c r="D440" t="inlineStr">
        <is>
          <t>STOCKHOLMS LÄN</t>
        </is>
      </c>
      <c r="E440" t="inlineStr">
        <is>
          <t>NORRTÄLJE</t>
        </is>
      </c>
      <c r="G440" t="n">
        <v>6</v>
      </c>
      <c r="H440" t="n">
        <v>0</v>
      </c>
      <c r="I440" t="n">
        <v>0</v>
      </c>
      <c r="J440" t="n">
        <v>0</v>
      </c>
      <c r="K440" t="n">
        <v>0</v>
      </c>
      <c r="L440" t="n">
        <v>0</v>
      </c>
      <c r="M440" t="n">
        <v>0</v>
      </c>
      <c r="N440" t="n">
        <v>0</v>
      </c>
      <c r="O440" t="n">
        <v>0</v>
      </c>
      <c r="P440" t="n">
        <v>0</v>
      </c>
      <c r="Q440" t="n">
        <v>0</v>
      </c>
      <c r="R440" s="2" t="inlineStr"/>
    </row>
    <row r="441" ht="15" customHeight="1">
      <c r="A441" t="inlineStr">
        <is>
          <t>A 10511-2025</t>
        </is>
      </c>
      <c r="B441" s="1" t="n">
        <v>45721.40780092592</v>
      </c>
      <c r="C441" s="1" t="n">
        <v>46033</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60525-2022</t>
        </is>
      </c>
      <c r="B442" s="1" t="n">
        <v>44904</v>
      </c>
      <c r="C442" s="1" t="n">
        <v>46033</v>
      </c>
      <c r="D442" t="inlineStr">
        <is>
          <t>STOCKHOLMS LÄN</t>
        </is>
      </c>
      <c r="E442" t="inlineStr">
        <is>
          <t>NORRTÄLJE</t>
        </is>
      </c>
      <c r="G442" t="n">
        <v>13.4</v>
      </c>
      <c r="H442" t="n">
        <v>0</v>
      </c>
      <c r="I442" t="n">
        <v>0</v>
      </c>
      <c r="J442" t="n">
        <v>0</v>
      </c>
      <c r="K442" t="n">
        <v>0</v>
      </c>
      <c r="L442" t="n">
        <v>0</v>
      </c>
      <c r="M442" t="n">
        <v>0</v>
      </c>
      <c r="N442" t="n">
        <v>0</v>
      </c>
      <c r="O442" t="n">
        <v>0</v>
      </c>
      <c r="P442" t="n">
        <v>0</v>
      </c>
      <c r="Q442" t="n">
        <v>0</v>
      </c>
      <c r="R442" s="2" t="inlineStr"/>
    </row>
    <row r="443" ht="15" customHeight="1">
      <c r="A443" t="inlineStr">
        <is>
          <t>A 25697-2025</t>
        </is>
      </c>
      <c r="B443" s="1" t="n">
        <v>45803.66587962963</v>
      </c>
      <c r="C443" s="1" t="n">
        <v>46033</v>
      </c>
      <c r="D443" t="inlineStr">
        <is>
          <t>STOCKHOLMS LÄN</t>
        </is>
      </c>
      <c r="E443" t="inlineStr">
        <is>
          <t>NORRTÄLJE</t>
        </is>
      </c>
      <c r="G443" t="n">
        <v>2.5</v>
      </c>
      <c r="H443" t="n">
        <v>0</v>
      </c>
      <c r="I443" t="n">
        <v>0</v>
      </c>
      <c r="J443" t="n">
        <v>0</v>
      </c>
      <c r="K443" t="n">
        <v>0</v>
      </c>
      <c r="L443" t="n">
        <v>0</v>
      </c>
      <c r="M443" t="n">
        <v>0</v>
      </c>
      <c r="N443" t="n">
        <v>0</v>
      </c>
      <c r="O443" t="n">
        <v>0</v>
      </c>
      <c r="P443" t="n">
        <v>0</v>
      </c>
      <c r="Q443" t="n">
        <v>0</v>
      </c>
      <c r="R443" s="2" t="inlineStr"/>
    </row>
    <row r="444" ht="15" customHeight="1">
      <c r="A444" t="inlineStr">
        <is>
          <t>A 41218-2024</t>
        </is>
      </c>
      <c r="B444" s="1" t="n">
        <v>45559.54706018518</v>
      </c>
      <c r="C444" s="1" t="n">
        <v>46033</v>
      </c>
      <c r="D444" t="inlineStr">
        <is>
          <t>STOCKHOLMS LÄN</t>
        </is>
      </c>
      <c r="E444" t="inlineStr">
        <is>
          <t>NORRTÄLJE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19057-2024</t>
        </is>
      </c>
      <c r="B445" s="1" t="n">
        <v>45427.88731481481</v>
      </c>
      <c r="C445" s="1" t="n">
        <v>46033</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38449-2022</t>
        </is>
      </c>
      <c r="B446" s="1" t="n">
        <v>44813</v>
      </c>
      <c r="C446" s="1" t="n">
        <v>46033</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41966-2025</t>
        </is>
      </c>
      <c r="B447" s="1" t="n">
        <v>45903.47456018518</v>
      </c>
      <c r="C447" s="1" t="n">
        <v>46033</v>
      </c>
      <c r="D447" t="inlineStr">
        <is>
          <t>STOCKHOLMS LÄN</t>
        </is>
      </c>
      <c r="E447" t="inlineStr">
        <is>
          <t>NORRTÄLJE</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34478-2025</t>
        </is>
      </c>
      <c r="B448" s="1" t="n">
        <v>45847.37414351852</v>
      </c>
      <c r="C448" s="1" t="n">
        <v>46033</v>
      </c>
      <c r="D448" t="inlineStr">
        <is>
          <t>STOCKHOLMS LÄN</t>
        </is>
      </c>
      <c r="E448" t="inlineStr">
        <is>
          <t>NORRTÄLJE</t>
        </is>
      </c>
      <c r="F448" t="inlineStr">
        <is>
          <t>Övriga Aktiebolag</t>
        </is>
      </c>
      <c r="G448" t="n">
        <v>10.8</v>
      </c>
      <c r="H448" t="n">
        <v>0</v>
      </c>
      <c r="I448" t="n">
        <v>0</v>
      </c>
      <c r="J448" t="n">
        <v>0</v>
      </c>
      <c r="K448" t="n">
        <v>0</v>
      </c>
      <c r="L448" t="n">
        <v>0</v>
      </c>
      <c r="M448" t="n">
        <v>0</v>
      </c>
      <c r="N448" t="n">
        <v>0</v>
      </c>
      <c r="O448" t="n">
        <v>0</v>
      </c>
      <c r="P448" t="n">
        <v>0</v>
      </c>
      <c r="Q448" t="n">
        <v>0</v>
      </c>
      <c r="R448" s="2" t="inlineStr"/>
    </row>
    <row r="449" ht="15" customHeight="1">
      <c r="A449" t="inlineStr">
        <is>
          <t>A 42038-2025</t>
        </is>
      </c>
      <c r="B449" s="1" t="n">
        <v>45903.61431712963</v>
      </c>
      <c r="C449" s="1" t="n">
        <v>46033</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7903-2021</t>
        </is>
      </c>
      <c r="B450" s="1" t="n">
        <v>44243.33587962963</v>
      </c>
      <c r="C450" s="1" t="n">
        <v>46033</v>
      </c>
      <c r="D450" t="inlineStr">
        <is>
          <t>STOCKHOLMS LÄN</t>
        </is>
      </c>
      <c r="E450" t="inlineStr">
        <is>
          <t>NORRTÄLJE</t>
        </is>
      </c>
      <c r="G450" t="n">
        <v>3.5</v>
      </c>
      <c r="H450" t="n">
        <v>0</v>
      </c>
      <c r="I450" t="n">
        <v>0</v>
      </c>
      <c r="J450" t="n">
        <v>0</v>
      </c>
      <c r="K450" t="n">
        <v>0</v>
      </c>
      <c r="L450" t="n">
        <v>0</v>
      </c>
      <c r="M450" t="n">
        <v>0</v>
      </c>
      <c r="N450" t="n">
        <v>0</v>
      </c>
      <c r="O450" t="n">
        <v>0</v>
      </c>
      <c r="P450" t="n">
        <v>0</v>
      </c>
      <c r="Q450" t="n">
        <v>0</v>
      </c>
      <c r="R450" s="2" t="inlineStr"/>
    </row>
    <row r="451" ht="15" customHeight="1">
      <c r="A451" t="inlineStr">
        <is>
          <t>A 39213-2022</t>
        </is>
      </c>
      <c r="B451" s="1" t="n">
        <v>44817.56120370371</v>
      </c>
      <c r="C451" s="1" t="n">
        <v>46033</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41976-2024</t>
        </is>
      </c>
      <c r="B452" s="1" t="n">
        <v>45561.62141203704</v>
      </c>
      <c r="C452" s="1" t="n">
        <v>46033</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53561-2023</t>
        </is>
      </c>
      <c r="B453" s="1" t="n">
        <v>45224</v>
      </c>
      <c r="C453" s="1" t="n">
        <v>46033</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41964-2025</t>
        </is>
      </c>
      <c r="B454" s="1" t="n">
        <v>45903.47270833333</v>
      </c>
      <c r="C454" s="1" t="n">
        <v>46033</v>
      </c>
      <c r="D454" t="inlineStr">
        <is>
          <t>STOCKHOLMS LÄN</t>
        </is>
      </c>
      <c r="E454" t="inlineStr">
        <is>
          <t>NORRTÄLJE</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51325-2023</t>
        </is>
      </c>
      <c r="B455" s="1" t="n">
        <v>45219</v>
      </c>
      <c r="C455" s="1" t="n">
        <v>46033</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59534-2024</t>
        </is>
      </c>
      <c r="B456" s="1" t="n">
        <v>45638.5987037037</v>
      </c>
      <c r="C456" s="1" t="n">
        <v>46033</v>
      </c>
      <c r="D456" t="inlineStr">
        <is>
          <t>STOCKHOLMS LÄN</t>
        </is>
      </c>
      <c r="E456" t="inlineStr">
        <is>
          <t>NORRTÄLJE</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31107-2022</t>
        </is>
      </c>
      <c r="B457" s="1" t="n">
        <v>44769.66864583334</v>
      </c>
      <c r="C457" s="1" t="n">
        <v>46033</v>
      </c>
      <c r="D457" t="inlineStr">
        <is>
          <t>STOCKHOLMS LÄN</t>
        </is>
      </c>
      <c r="E457" t="inlineStr">
        <is>
          <t>NORRTÄLJE</t>
        </is>
      </c>
      <c r="G457" t="n">
        <v>3.8</v>
      </c>
      <c r="H457" t="n">
        <v>0</v>
      </c>
      <c r="I457" t="n">
        <v>0</v>
      </c>
      <c r="J457" t="n">
        <v>0</v>
      </c>
      <c r="K457" t="n">
        <v>0</v>
      </c>
      <c r="L457" t="n">
        <v>0</v>
      </c>
      <c r="M457" t="n">
        <v>0</v>
      </c>
      <c r="N457" t="n">
        <v>0</v>
      </c>
      <c r="O457" t="n">
        <v>0</v>
      </c>
      <c r="P457" t="n">
        <v>0</v>
      </c>
      <c r="Q457" t="n">
        <v>0</v>
      </c>
      <c r="R457" s="2" t="inlineStr"/>
    </row>
    <row r="458" ht="15" customHeight="1">
      <c r="A458" t="inlineStr">
        <is>
          <t>A 13860-2023</t>
        </is>
      </c>
      <c r="B458" s="1" t="n">
        <v>45007</v>
      </c>
      <c r="C458" s="1" t="n">
        <v>46033</v>
      </c>
      <c r="D458" t="inlineStr">
        <is>
          <t>STOCKHOLMS LÄN</t>
        </is>
      </c>
      <c r="E458" t="inlineStr">
        <is>
          <t>NORRTÄLJE</t>
        </is>
      </c>
      <c r="G458" t="n">
        <v>1.6</v>
      </c>
      <c r="H458" t="n">
        <v>0</v>
      </c>
      <c r="I458" t="n">
        <v>0</v>
      </c>
      <c r="J458" t="n">
        <v>0</v>
      </c>
      <c r="K458" t="n">
        <v>0</v>
      </c>
      <c r="L458" t="n">
        <v>0</v>
      </c>
      <c r="M458" t="n">
        <v>0</v>
      </c>
      <c r="N458" t="n">
        <v>0</v>
      </c>
      <c r="O458" t="n">
        <v>0</v>
      </c>
      <c r="P458" t="n">
        <v>0</v>
      </c>
      <c r="Q458" t="n">
        <v>0</v>
      </c>
      <c r="R458" s="2" t="inlineStr"/>
    </row>
    <row r="459" ht="15" customHeight="1">
      <c r="A459" t="inlineStr">
        <is>
          <t>A 6855-2025</t>
        </is>
      </c>
      <c r="B459" s="1" t="n">
        <v>45700</v>
      </c>
      <c r="C459" s="1" t="n">
        <v>46033</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26051-2025</t>
        </is>
      </c>
      <c r="B460" s="1" t="n">
        <v>45804.74479166666</v>
      </c>
      <c r="C460" s="1" t="n">
        <v>46033</v>
      </c>
      <c r="D460" t="inlineStr">
        <is>
          <t>STOCKHOLMS LÄN</t>
        </is>
      </c>
      <c r="E460" t="inlineStr">
        <is>
          <t>NORRTÄLJE</t>
        </is>
      </c>
      <c r="G460" t="n">
        <v>3.2</v>
      </c>
      <c r="H460" t="n">
        <v>0</v>
      </c>
      <c r="I460" t="n">
        <v>0</v>
      </c>
      <c r="J460" t="n">
        <v>0</v>
      </c>
      <c r="K460" t="n">
        <v>0</v>
      </c>
      <c r="L460" t="n">
        <v>0</v>
      </c>
      <c r="M460" t="n">
        <v>0</v>
      </c>
      <c r="N460" t="n">
        <v>0</v>
      </c>
      <c r="O460" t="n">
        <v>0</v>
      </c>
      <c r="P460" t="n">
        <v>0</v>
      </c>
      <c r="Q460" t="n">
        <v>0</v>
      </c>
      <c r="R460" s="2" t="inlineStr"/>
    </row>
    <row r="461" ht="15" customHeight="1">
      <c r="A461" t="inlineStr">
        <is>
          <t>A 30699-2025</t>
        </is>
      </c>
      <c r="B461" s="1" t="n">
        <v>45831.54618055555</v>
      </c>
      <c r="C461" s="1" t="n">
        <v>46033</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13314-2025</t>
        </is>
      </c>
      <c r="B462" s="1" t="n">
        <v>45735.59287037037</v>
      </c>
      <c r="C462" s="1" t="n">
        <v>46033</v>
      </c>
      <c r="D462" t="inlineStr">
        <is>
          <t>STOCKHOLMS LÄN</t>
        </is>
      </c>
      <c r="E462" t="inlineStr">
        <is>
          <t>NORRTÄLJE</t>
        </is>
      </c>
      <c r="G462" t="n">
        <v>2.4</v>
      </c>
      <c r="H462" t="n">
        <v>0</v>
      </c>
      <c r="I462" t="n">
        <v>0</v>
      </c>
      <c r="J462" t="n">
        <v>0</v>
      </c>
      <c r="K462" t="n">
        <v>0</v>
      </c>
      <c r="L462" t="n">
        <v>0</v>
      </c>
      <c r="M462" t="n">
        <v>0</v>
      </c>
      <c r="N462" t="n">
        <v>0</v>
      </c>
      <c r="O462" t="n">
        <v>0</v>
      </c>
      <c r="P462" t="n">
        <v>0</v>
      </c>
      <c r="Q462" t="n">
        <v>0</v>
      </c>
      <c r="R462" s="2" t="inlineStr"/>
    </row>
    <row r="463" ht="15" customHeight="1">
      <c r="A463" t="inlineStr">
        <is>
          <t>A 34432-2021</t>
        </is>
      </c>
      <c r="B463" s="1" t="n">
        <v>44380.77346064815</v>
      </c>
      <c r="C463" s="1" t="n">
        <v>46033</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26708-2025</t>
        </is>
      </c>
      <c r="B464" s="1" t="n">
        <v>45810.45633101852</v>
      </c>
      <c r="C464" s="1" t="n">
        <v>46033</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59672-2025</t>
        </is>
      </c>
      <c r="B465" s="1" t="n">
        <v>45992.45884259259</v>
      </c>
      <c r="C465" s="1" t="n">
        <v>46033</v>
      </c>
      <c r="D465" t="inlineStr">
        <is>
          <t>STOCKHOLMS LÄN</t>
        </is>
      </c>
      <c r="E465" t="inlineStr">
        <is>
          <t>NORRTÄLJE</t>
        </is>
      </c>
      <c r="G465" t="n">
        <v>4</v>
      </c>
      <c r="H465" t="n">
        <v>0</v>
      </c>
      <c r="I465" t="n">
        <v>0</v>
      </c>
      <c r="J465" t="n">
        <v>0</v>
      </c>
      <c r="K465" t="n">
        <v>0</v>
      </c>
      <c r="L465" t="n">
        <v>0</v>
      </c>
      <c r="M465" t="n">
        <v>0</v>
      </c>
      <c r="N465" t="n">
        <v>0</v>
      </c>
      <c r="O465" t="n">
        <v>0</v>
      </c>
      <c r="P465" t="n">
        <v>0</v>
      </c>
      <c r="Q465" t="n">
        <v>0</v>
      </c>
      <c r="R465" s="2" t="inlineStr"/>
    </row>
    <row r="466" ht="15" customHeight="1">
      <c r="A466" t="inlineStr">
        <is>
          <t>A 20011-2025</t>
        </is>
      </c>
      <c r="B466" s="1" t="n">
        <v>45772.29622685185</v>
      </c>
      <c r="C466" s="1" t="n">
        <v>46033</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42856-2025</t>
        </is>
      </c>
      <c r="B467" s="1" t="n">
        <v>45908</v>
      </c>
      <c r="C467" s="1" t="n">
        <v>46033</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26702-2025</t>
        </is>
      </c>
      <c r="B468" s="1" t="n">
        <v>45810.45236111111</v>
      </c>
      <c r="C468" s="1" t="n">
        <v>46033</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23061-2025</t>
        </is>
      </c>
      <c r="B469" s="1" t="n">
        <v>45790.81410879629</v>
      </c>
      <c r="C469" s="1" t="n">
        <v>46033</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27040-2025</t>
        </is>
      </c>
      <c r="B470" s="1" t="n">
        <v>45811.60451388889</v>
      </c>
      <c r="C470" s="1" t="n">
        <v>46033</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26747-2025</t>
        </is>
      </c>
      <c r="B471" s="1" t="n">
        <v>45810.5333912037</v>
      </c>
      <c r="C471" s="1" t="n">
        <v>46033</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23149-2024</t>
        </is>
      </c>
      <c r="B472" s="1" t="n">
        <v>45450.64208333333</v>
      </c>
      <c r="C472" s="1" t="n">
        <v>46033</v>
      </c>
      <c r="D472" t="inlineStr">
        <is>
          <t>STOCKHOLMS LÄN</t>
        </is>
      </c>
      <c r="E472" t="inlineStr">
        <is>
          <t>NORRTÄLJE</t>
        </is>
      </c>
      <c r="F472" t="inlineStr">
        <is>
          <t>Kommuner</t>
        </is>
      </c>
      <c r="G472" t="n">
        <v>1.3</v>
      </c>
      <c r="H472" t="n">
        <v>0</v>
      </c>
      <c r="I472" t="n">
        <v>0</v>
      </c>
      <c r="J472" t="n">
        <v>0</v>
      </c>
      <c r="K472" t="n">
        <v>0</v>
      </c>
      <c r="L472" t="n">
        <v>0</v>
      </c>
      <c r="M472" t="n">
        <v>0</v>
      </c>
      <c r="N472" t="n">
        <v>0</v>
      </c>
      <c r="O472" t="n">
        <v>0</v>
      </c>
      <c r="P472" t="n">
        <v>0</v>
      </c>
      <c r="Q472" t="n">
        <v>0</v>
      </c>
      <c r="R472" s="2" t="inlineStr"/>
    </row>
    <row r="473" ht="15" customHeight="1">
      <c r="A473" t="inlineStr">
        <is>
          <t>A 23151-2024</t>
        </is>
      </c>
      <c r="B473" s="1" t="n">
        <v>45450</v>
      </c>
      <c r="C473" s="1" t="n">
        <v>46033</v>
      </c>
      <c r="D473" t="inlineStr">
        <is>
          <t>STOCKHOLMS LÄN</t>
        </is>
      </c>
      <c r="E473" t="inlineStr">
        <is>
          <t>NORRTÄLJE</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26675-2025</t>
        </is>
      </c>
      <c r="B474" s="1" t="n">
        <v>45810.42393518519</v>
      </c>
      <c r="C474" s="1" t="n">
        <v>46033</v>
      </c>
      <c r="D474" t="inlineStr">
        <is>
          <t>STOCKHOLMS LÄN</t>
        </is>
      </c>
      <c r="E474" t="inlineStr">
        <is>
          <t>NORRTÄLJE</t>
        </is>
      </c>
      <c r="G474" t="n">
        <v>2.7</v>
      </c>
      <c r="H474" t="n">
        <v>0</v>
      </c>
      <c r="I474" t="n">
        <v>0</v>
      </c>
      <c r="J474" t="n">
        <v>0</v>
      </c>
      <c r="K474" t="n">
        <v>0</v>
      </c>
      <c r="L474" t="n">
        <v>0</v>
      </c>
      <c r="M474" t="n">
        <v>0</v>
      </c>
      <c r="N474" t="n">
        <v>0</v>
      </c>
      <c r="O474" t="n">
        <v>0</v>
      </c>
      <c r="P474" t="n">
        <v>0</v>
      </c>
      <c r="Q474" t="n">
        <v>0</v>
      </c>
      <c r="R474" s="2" t="inlineStr"/>
    </row>
    <row r="475" ht="15" customHeight="1">
      <c r="A475" t="inlineStr">
        <is>
          <t>A 24835-2025</t>
        </is>
      </c>
      <c r="B475" s="1" t="n">
        <v>45799</v>
      </c>
      <c r="C475" s="1" t="n">
        <v>46033</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27554-2025</t>
        </is>
      </c>
      <c r="B476" s="1" t="n">
        <v>45813.4709375</v>
      </c>
      <c r="C476" s="1" t="n">
        <v>46033</v>
      </c>
      <c r="D476" t="inlineStr">
        <is>
          <t>STOCKHOLMS LÄN</t>
        </is>
      </c>
      <c r="E476" t="inlineStr">
        <is>
          <t>NORRTÄLJE</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52001-2023</t>
        </is>
      </c>
      <c r="B477" s="1" t="n">
        <v>45223</v>
      </c>
      <c r="C477" s="1" t="n">
        <v>46033</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43169-2025</t>
        </is>
      </c>
      <c r="B478" s="1" t="n">
        <v>45910</v>
      </c>
      <c r="C478" s="1" t="n">
        <v>46033</v>
      </c>
      <c r="D478" t="inlineStr">
        <is>
          <t>STOCKHOLMS LÄN</t>
        </is>
      </c>
      <c r="E478" t="inlineStr">
        <is>
          <t>NORRTÄLJE</t>
        </is>
      </c>
      <c r="G478" t="n">
        <v>6.9</v>
      </c>
      <c r="H478" t="n">
        <v>0</v>
      </c>
      <c r="I478" t="n">
        <v>0</v>
      </c>
      <c r="J478" t="n">
        <v>0</v>
      </c>
      <c r="K478" t="n">
        <v>0</v>
      </c>
      <c r="L478" t="n">
        <v>0</v>
      </c>
      <c r="M478" t="n">
        <v>0</v>
      </c>
      <c r="N478" t="n">
        <v>0</v>
      </c>
      <c r="O478" t="n">
        <v>0</v>
      </c>
      <c r="P478" t="n">
        <v>0</v>
      </c>
      <c r="Q478" t="n">
        <v>0</v>
      </c>
      <c r="R478" s="2" t="inlineStr"/>
    </row>
    <row r="479" ht="15" customHeight="1">
      <c r="A479" t="inlineStr">
        <is>
          <t>A 60185-2024</t>
        </is>
      </c>
      <c r="B479" s="1" t="n">
        <v>45642.64634259259</v>
      </c>
      <c r="C479" s="1" t="n">
        <v>46033</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48686-2023</t>
        </is>
      </c>
      <c r="B480" s="1" t="n">
        <v>45208</v>
      </c>
      <c r="C480" s="1" t="n">
        <v>46033</v>
      </c>
      <c r="D480" t="inlineStr">
        <is>
          <t>STOCKHOLMS LÄN</t>
        </is>
      </c>
      <c r="E480" t="inlineStr">
        <is>
          <t>NORRTÄLJE</t>
        </is>
      </c>
      <c r="G480" t="n">
        <v>6</v>
      </c>
      <c r="H480" t="n">
        <v>0</v>
      </c>
      <c r="I480" t="n">
        <v>0</v>
      </c>
      <c r="J480" t="n">
        <v>0</v>
      </c>
      <c r="K480" t="n">
        <v>0</v>
      </c>
      <c r="L480" t="n">
        <v>0</v>
      </c>
      <c r="M480" t="n">
        <v>0</v>
      </c>
      <c r="N480" t="n">
        <v>0</v>
      </c>
      <c r="O480" t="n">
        <v>0</v>
      </c>
      <c r="P480" t="n">
        <v>0</v>
      </c>
      <c r="Q480" t="n">
        <v>0</v>
      </c>
      <c r="R480" s="2" t="inlineStr"/>
    </row>
    <row r="481" ht="15" customHeight="1">
      <c r="A481" t="inlineStr">
        <is>
          <t>A 48691-2023</t>
        </is>
      </c>
      <c r="B481" s="1" t="n">
        <v>45208</v>
      </c>
      <c r="C481" s="1" t="n">
        <v>46033</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30719-2025</t>
        </is>
      </c>
      <c r="B482" s="1" t="n">
        <v>45831</v>
      </c>
      <c r="C482" s="1" t="n">
        <v>46033</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43269-2025</t>
        </is>
      </c>
      <c r="B483" s="1" t="n">
        <v>45910.5819212963</v>
      </c>
      <c r="C483" s="1" t="n">
        <v>46033</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27700-2025</t>
        </is>
      </c>
      <c r="B484" s="1" t="n">
        <v>45813.6799537037</v>
      </c>
      <c r="C484" s="1" t="n">
        <v>46033</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27697-2025</t>
        </is>
      </c>
      <c r="B485" s="1" t="n">
        <v>45813.66961805556</v>
      </c>
      <c r="C485" s="1" t="n">
        <v>46033</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27802-2025</t>
        </is>
      </c>
      <c r="B486" s="1" t="n">
        <v>45817.2565625</v>
      </c>
      <c r="C486" s="1" t="n">
        <v>46033</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27806-2025</t>
        </is>
      </c>
      <c r="B487" s="1" t="n">
        <v>45817.30329861111</v>
      </c>
      <c r="C487" s="1" t="n">
        <v>46033</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27808-2025</t>
        </is>
      </c>
      <c r="B488" s="1" t="n">
        <v>45817.31085648148</v>
      </c>
      <c r="C488" s="1" t="n">
        <v>46033</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27810-2025</t>
        </is>
      </c>
      <c r="B489" s="1" t="n">
        <v>45817.31708333334</v>
      </c>
      <c r="C489" s="1" t="n">
        <v>46033</v>
      </c>
      <c r="D489" t="inlineStr">
        <is>
          <t>STOCKHOLMS LÄN</t>
        </is>
      </c>
      <c r="E489" t="inlineStr">
        <is>
          <t>NORRTÄLJE</t>
        </is>
      </c>
      <c r="G489" t="n">
        <v>3.9</v>
      </c>
      <c r="H489" t="n">
        <v>0</v>
      </c>
      <c r="I489" t="n">
        <v>0</v>
      </c>
      <c r="J489" t="n">
        <v>0</v>
      </c>
      <c r="K489" t="n">
        <v>0</v>
      </c>
      <c r="L489" t="n">
        <v>0</v>
      </c>
      <c r="M489" t="n">
        <v>0</v>
      </c>
      <c r="N489" t="n">
        <v>0</v>
      </c>
      <c r="O489" t="n">
        <v>0</v>
      </c>
      <c r="P489" t="n">
        <v>0</v>
      </c>
      <c r="Q489" t="n">
        <v>0</v>
      </c>
      <c r="R489" s="2" t="inlineStr"/>
    </row>
    <row r="490" ht="15" customHeight="1">
      <c r="A490" t="inlineStr">
        <is>
          <t>A 27811-2025</t>
        </is>
      </c>
      <c r="B490" s="1" t="n">
        <v>45817.31986111111</v>
      </c>
      <c r="C490" s="1" t="n">
        <v>46033</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27818-2025</t>
        </is>
      </c>
      <c r="B491" s="1" t="n">
        <v>45817.33503472222</v>
      </c>
      <c r="C491" s="1" t="n">
        <v>46033</v>
      </c>
      <c r="D491" t="inlineStr">
        <is>
          <t>STOCKHOLMS LÄN</t>
        </is>
      </c>
      <c r="E491" t="inlineStr">
        <is>
          <t>NORRTÄLJE</t>
        </is>
      </c>
      <c r="F491" t="inlineStr">
        <is>
          <t>Sveaskog</t>
        </is>
      </c>
      <c r="G491" t="n">
        <v>0.3</v>
      </c>
      <c r="H491" t="n">
        <v>0</v>
      </c>
      <c r="I491" t="n">
        <v>0</v>
      </c>
      <c r="J491" t="n">
        <v>0</v>
      </c>
      <c r="K491" t="n">
        <v>0</v>
      </c>
      <c r="L491" t="n">
        <v>0</v>
      </c>
      <c r="M491" t="n">
        <v>0</v>
      </c>
      <c r="N491" t="n">
        <v>0</v>
      </c>
      <c r="O491" t="n">
        <v>0</v>
      </c>
      <c r="P491" t="n">
        <v>0</v>
      </c>
      <c r="Q491" t="n">
        <v>0</v>
      </c>
      <c r="R491" s="2" t="inlineStr"/>
    </row>
    <row r="492" ht="15" customHeight="1">
      <c r="A492" t="inlineStr">
        <is>
          <t>A 27801-2025</t>
        </is>
      </c>
      <c r="B492" s="1" t="n">
        <v>45817.25471064815</v>
      </c>
      <c r="C492" s="1" t="n">
        <v>46033</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21726-2022</t>
        </is>
      </c>
      <c r="B493" s="1" t="n">
        <v>44708</v>
      </c>
      <c r="C493" s="1" t="n">
        <v>46033</v>
      </c>
      <c r="D493" t="inlineStr">
        <is>
          <t>STOCKHOLMS LÄN</t>
        </is>
      </c>
      <c r="E493" t="inlineStr">
        <is>
          <t>NORRTÄLJE</t>
        </is>
      </c>
      <c r="G493" t="n">
        <v>0.2</v>
      </c>
      <c r="H493" t="n">
        <v>0</v>
      </c>
      <c r="I493" t="n">
        <v>0</v>
      </c>
      <c r="J493" t="n">
        <v>0</v>
      </c>
      <c r="K493" t="n">
        <v>0</v>
      </c>
      <c r="L493" t="n">
        <v>0</v>
      </c>
      <c r="M493" t="n">
        <v>0</v>
      </c>
      <c r="N493" t="n">
        <v>0</v>
      </c>
      <c r="O493" t="n">
        <v>0</v>
      </c>
      <c r="P493" t="n">
        <v>0</v>
      </c>
      <c r="Q493" t="n">
        <v>0</v>
      </c>
      <c r="R493" s="2" t="inlineStr"/>
    </row>
    <row r="494" ht="15" customHeight="1">
      <c r="A494" t="inlineStr">
        <is>
          <t>A 21739-2022</t>
        </is>
      </c>
      <c r="B494" s="1" t="n">
        <v>44708.36708333333</v>
      </c>
      <c r="C494" s="1" t="n">
        <v>46033</v>
      </c>
      <c r="D494" t="inlineStr">
        <is>
          <t>STOCKHOLMS LÄN</t>
        </is>
      </c>
      <c r="E494" t="inlineStr">
        <is>
          <t>NORRTÄLJE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35210-2023</t>
        </is>
      </c>
      <c r="B495" s="1" t="n">
        <v>45145.63584490741</v>
      </c>
      <c r="C495" s="1" t="n">
        <v>46033</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43916-2025</t>
        </is>
      </c>
      <c r="B496" s="1" t="n">
        <v>45914.78884259259</v>
      </c>
      <c r="C496" s="1" t="n">
        <v>46033</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51960-2025</t>
        </is>
      </c>
      <c r="B497" s="1" t="n">
        <v>45952.54755787037</v>
      </c>
      <c r="C497" s="1" t="n">
        <v>46033</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27803-2025</t>
        </is>
      </c>
      <c r="B498" s="1" t="n">
        <v>45817.291875</v>
      </c>
      <c r="C498" s="1" t="n">
        <v>46033</v>
      </c>
      <c r="D498" t="inlineStr">
        <is>
          <t>STOCKHOLMS LÄN</t>
        </is>
      </c>
      <c r="E498" t="inlineStr">
        <is>
          <t>NORRTÄLJE</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27813-2025</t>
        </is>
      </c>
      <c r="B499" s="1" t="n">
        <v>45817.32538194444</v>
      </c>
      <c r="C499" s="1" t="n">
        <v>46033</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59767-2022</t>
        </is>
      </c>
      <c r="B500" s="1" t="n">
        <v>44900</v>
      </c>
      <c r="C500" s="1" t="n">
        <v>46033</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27821-2025</t>
        </is>
      </c>
      <c r="B501" s="1" t="n">
        <v>45817.34083333334</v>
      </c>
      <c r="C501" s="1" t="n">
        <v>46033</v>
      </c>
      <c r="D501" t="inlineStr">
        <is>
          <t>STOCKHOLMS LÄN</t>
        </is>
      </c>
      <c r="E501" t="inlineStr">
        <is>
          <t>NORRTÄLJE</t>
        </is>
      </c>
      <c r="G501" t="n">
        <v>3.2</v>
      </c>
      <c r="H501" t="n">
        <v>0</v>
      </c>
      <c r="I501" t="n">
        <v>0</v>
      </c>
      <c r="J501" t="n">
        <v>0</v>
      </c>
      <c r="K501" t="n">
        <v>0</v>
      </c>
      <c r="L501" t="n">
        <v>0</v>
      </c>
      <c r="M501" t="n">
        <v>0</v>
      </c>
      <c r="N501" t="n">
        <v>0</v>
      </c>
      <c r="O501" t="n">
        <v>0</v>
      </c>
      <c r="P501" t="n">
        <v>0</v>
      </c>
      <c r="Q501" t="n">
        <v>0</v>
      </c>
      <c r="R501" s="2" t="inlineStr"/>
    </row>
    <row r="502" ht="15" customHeight="1">
      <c r="A502" t="inlineStr">
        <is>
          <t>A 5823-2023</t>
        </is>
      </c>
      <c r="B502" s="1" t="n">
        <v>44963</v>
      </c>
      <c r="C502" s="1" t="n">
        <v>46033</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19915-2024</t>
        </is>
      </c>
      <c r="B503" s="1" t="n">
        <v>45433.58431712963</v>
      </c>
      <c r="C503" s="1" t="n">
        <v>46033</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15217-2023</t>
        </is>
      </c>
      <c r="B504" s="1" t="n">
        <v>45019.28847222222</v>
      </c>
      <c r="C504" s="1" t="n">
        <v>46033</v>
      </c>
      <c r="D504" t="inlineStr">
        <is>
          <t>STOCKHOLMS LÄN</t>
        </is>
      </c>
      <c r="E504" t="inlineStr">
        <is>
          <t>NORRTÄLJE</t>
        </is>
      </c>
      <c r="G504" t="n">
        <v>3.6</v>
      </c>
      <c r="H504" t="n">
        <v>0</v>
      </c>
      <c r="I504" t="n">
        <v>0</v>
      </c>
      <c r="J504" t="n">
        <v>0</v>
      </c>
      <c r="K504" t="n">
        <v>0</v>
      </c>
      <c r="L504" t="n">
        <v>0</v>
      </c>
      <c r="M504" t="n">
        <v>0</v>
      </c>
      <c r="N504" t="n">
        <v>0</v>
      </c>
      <c r="O504" t="n">
        <v>0</v>
      </c>
      <c r="P504" t="n">
        <v>0</v>
      </c>
      <c r="Q504" t="n">
        <v>0</v>
      </c>
      <c r="R504" s="2" t="inlineStr"/>
    </row>
    <row r="505" ht="15" customHeight="1">
      <c r="A505" t="inlineStr">
        <is>
          <t>A 60253-2025</t>
        </is>
      </c>
      <c r="B505" s="1" t="n">
        <v>45994.59827546297</v>
      </c>
      <c r="C505" s="1" t="n">
        <v>46033</v>
      </c>
      <c r="D505" t="inlineStr">
        <is>
          <t>STOCKHOLMS LÄN</t>
        </is>
      </c>
      <c r="E505" t="inlineStr">
        <is>
          <t>NORRTÄLJE</t>
        </is>
      </c>
      <c r="F505" t="inlineStr">
        <is>
          <t>Holmen skog AB</t>
        </is>
      </c>
      <c r="G505" t="n">
        <v>3.6</v>
      </c>
      <c r="H505" t="n">
        <v>0</v>
      </c>
      <c r="I505" t="n">
        <v>0</v>
      </c>
      <c r="J505" t="n">
        <v>0</v>
      </c>
      <c r="K505" t="n">
        <v>0</v>
      </c>
      <c r="L505" t="n">
        <v>0</v>
      </c>
      <c r="M505" t="n">
        <v>0</v>
      </c>
      <c r="N505" t="n">
        <v>0</v>
      </c>
      <c r="O505" t="n">
        <v>0</v>
      </c>
      <c r="P505" t="n">
        <v>0</v>
      </c>
      <c r="Q505" t="n">
        <v>0</v>
      </c>
      <c r="R505" s="2" t="inlineStr"/>
    </row>
    <row r="506" ht="15" customHeight="1">
      <c r="A506" t="inlineStr">
        <is>
          <t>A 44354-2025</t>
        </is>
      </c>
      <c r="B506" s="1" t="n">
        <v>45916.44655092592</v>
      </c>
      <c r="C506" s="1" t="n">
        <v>46033</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50143-2023</t>
        </is>
      </c>
      <c r="B507" s="1" t="n">
        <v>45215</v>
      </c>
      <c r="C507" s="1" t="n">
        <v>46033</v>
      </c>
      <c r="D507" t="inlineStr">
        <is>
          <t>STOCKHOLMS LÄN</t>
        </is>
      </c>
      <c r="E507" t="inlineStr">
        <is>
          <t>NORRTÄLJE</t>
        </is>
      </c>
      <c r="G507" t="n">
        <v>10.3</v>
      </c>
      <c r="H507" t="n">
        <v>0</v>
      </c>
      <c r="I507" t="n">
        <v>0</v>
      </c>
      <c r="J507" t="n">
        <v>0</v>
      </c>
      <c r="K507" t="n">
        <v>0</v>
      </c>
      <c r="L507" t="n">
        <v>0</v>
      </c>
      <c r="M507" t="n">
        <v>0</v>
      </c>
      <c r="N507" t="n">
        <v>0</v>
      </c>
      <c r="O507" t="n">
        <v>0</v>
      </c>
      <c r="P507" t="n">
        <v>0</v>
      </c>
      <c r="Q507" t="n">
        <v>0</v>
      </c>
      <c r="R507" s="2" t="inlineStr"/>
    </row>
    <row r="508" ht="15" customHeight="1">
      <c r="A508" t="inlineStr">
        <is>
          <t>A 15528-2025</t>
        </is>
      </c>
      <c r="B508" s="1" t="n">
        <v>45747.63471064815</v>
      </c>
      <c r="C508" s="1" t="n">
        <v>46033</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11901-2024</t>
        </is>
      </c>
      <c r="B509" s="1" t="n">
        <v>45376.55638888889</v>
      </c>
      <c r="C509" s="1" t="n">
        <v>46033</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29176-2024</t>
        </is>
      </c>
      <c r="B510" s="1" t="n">
        <v>45482.53388888889</v>
      </c>
      <c r="C510" s="1" t="n">
        <v>46033</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36430-2024</t>
        </is>
      </c>
      <c r="B511" s="1" t="n">
        <v>45536</v>
      </c>
      <c r="C511" s="1" t="n">
        <v>46033</v>
      </c>
      <c r="D511" t="inlineStr">
        <is>
          <t>STOCKHOLMS LÄN</t>
        </is>
      </c>
      <c r="E511" t="inlineStr">
        <is>
          <t>NORRTÄLJE</t>
        </is>
      </c>
      <c r="G511" t="n">
        <v>1</v>
      </c>
      <c r="H511" t="n">
        <v>0</v>
      </c>
      <c r="I511" t="n">
        <v>0</v>
      </c>
      <c r="J511" t="n">
        <v>0</v>
      </c>
      <c r="K511" t="n">
        <v>0</v>
      </c>
      <c r="L511" t="n">
        <v>0</v>
      </c>
      <c r="M511" t="n">
        <v>0</v>
      </c>
      <c r="N511" t="n">
        <v>0</v>
      </c>
      <c r="O511" t="n">
        <v>0</v>
      </c>
      <c r="P511" t="n">
        <v>0</v>
      </c>
      <c r="Q511" t="n">
        <v>0</v>
      </c>
      <c r="R511" s="2" t="inlineStr"/>
    </row>
    <row r="512" ht="15" customHeight="1">
      <c r="A512" t="inlineStr">
        <is>
          <t>A 51312-2023</t>
        </is>
      </c>
      <c r="B512" s="1" t="n">
        <v>45219.56697916667</v>
      </c>
      <c r="C512" s="1" t="n">
        <v>46033</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35640-2024</t>
        </is>
      </c>
      <c r="B513" s="1" t="n">
        <v>45531</v>
      </c>
      <c r="C513" s="1" t="n">
        <v>46033</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44306-2025</t>
        </is>
      </c>
      <c r="B514" s="1" t="n">
        <v>45916.37736111111</v>
      </c>
      <c r="C514" s="1" t="n">
        <v>46033</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44343-2025</t>
        </is>
      </c>
      <c r="B515" s="1" t="n">
        <v>45916.43378472222</v>
      </c>
      <c r="C515" s="1" t="n">
        <v>46033</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44349-2025</t>
        </is>
      </c>
      <c r="B516" s="1" t="n">
        <v>45916.43929398148</v>
      </c>
      <c r="C516" s="1" t="n">
        <v>46033</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44311-2025</t>
        </is>
      </c>
      <c r="B517" s="1" t="n">
        <v>45916.38394675926</v>
      </c>
      <c r="C517" s="1" t="n">
        <v>46033</v>
      </c>
      <c r="D517" t="inlineStr">
        <is>
          <t>STOCKHOLMS LÄN</t>
        </is>
      </c>
      <c r="E517" t="inlineStr">
        <is>
          <t>NORRTÄLJE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44333-2025</t>
        </is>
      </c>
      <c r="B518" s="1" t="n">
        <v>45916.42293981482</v>
      </c>
      <c r="C518" s="1" t="n">
        <v>46033</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44075-2023</t>
        </is>
      </c>
      <c r="B519" s="1" t="n">
        <v>45188.41637731482</v>
      </c>
      <c r="C519" s="1" t="n">
        <v>46033</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43212-2022</t>
        </is>
      </c>
      <c r="B520" s="1" t="n">
        <v>44834.38636574074</v>
      </c>
      <c r="C520" s="1" t="n">
        <v>46033</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51653-2022</t>
        </is>
      </c>
      <c r="B521" s="1" t="n">
        <v>44867</v>
      </c>
      <c r="C521" s="1" t="n">
        <v>46033</v>
      </c>
      <c r="D521" t="inlineStr">
        <is>
          <t>STOCKHOLMS LÄN</t>
        </is>
      </c>
      <c r="E521" t="inlineStr">
        <is>
          <t>NORRTÄLJE</t>
        </is>
      </c>
      <c r="G521" t="n">
        <v>6.6</v>
      </c>
      <c r="H521" t="n">
        <v>0</v>
      </c>
      <c r="I521" t="n">
        <v>0</v>
      </c>
      <c r="J521" t="n">
        <v>0</v>
      </c>
      <c r="K521" t="n">
        <v>0</v>
      </c>
      <c r="L521" t="n">
        <v>0</v>
      </c>
      <c r="M521" t="n">
        <v>0</v>
      </c>
      <c r="N521" t="n">
        <v>0</v>
      </c>
      <c r="O521" t="n">
        <v>0</v>
      </c>
      <c r="P521" t="n">
        <v>0</v>
      </c>
      <c r="Q521" t="n">
        <v>0</v>
      </c>
      <c r="R521" s="2" t="inlineStr"/>
    </row>
    <row r="522" ht="15" customHeight="1">
      <c r="A522" t="inlineStr">
        <is>
          <t>A 4322-2023</t>
        </is>
      </c>
      <c r="B522" s="1" t="n">
        <v>44953.69298611111</v>
      </c>
      <c r="C522" s="1" t="n">
        <v>46033</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44937-2025</t>
        </is>
      </c>
      <c r="B523" s="1" t="n">
        <v>45918</v>
      </c>
      <c r="C523" s="1" t="n">
        <v>46033</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38990-2022</t>
        </is>
      </c>
      <c r="B524" s="1" t="n">
        <v>44816</v>
      </c>
      <c r="C524" s="1" t="n">
        <v>46033</v>
      </c>
      <c r="D524" t="inlineStr">
        <is>
          <t>STOCKHOLMS LÄN</t>
        </is>
      </c>
      <c r="E524" t="inlineStr">
        <is>
          <t>NORRTÄLJE</t>
        </is>
      </c>
      <c r="G524" t="n">
        <v>5.7</v>
      </c>
      <c r="H524" t="n">
        <v>0</v>
      </c>
      <c r="I524" t="n">
        <v>0</v>
      </c>
      <c r="J524" t="n">
        <v>0</v>
      </c>
      <c r="K524" t="n">
        <v>0</v>
      </c>
      <c r="L524" t="n">
        <v>0</v>
      </c>
      <c r="M524" t="n">
        <v>0</v>
      </c>
      <c r="N524" t="n">
        <v>0</v>
      </c>
      <c r="O524" t="n">
        <v>0</v>
      </c>
      <c r="P524" t="n">
        <v>0</v>
      </c>
      <c r="Q524" t="n">
        <v>0</v>
      </c>
      <c r="R524" s="2" t="inlineStr"/>
    </row>
    <row r="525" ht="15" customHeight="1">
      <c r="A525" t="inlineStr">
        <is>
          <t>A 17956-2025</t>
        </is>
      </c>
      <c r="B525" s="1" t="n">
        <v>45760.91174768518</v>
      </c>
      <c r="C525" s="1" t="n">
        <v>46033</v>
      </c>
      <c r="D525" t="inlineStr">
        <is>
          <t>STOCKHOLMS LÄN</t>
        </is>
      </c>
      <c r="E525" t="inlineStr">
        <is>
          <t>NORRTÄLJE</t>
        </is>
      </c>
      <c r="G525" t="n">
        <v>4.3</v>
      </c>
      <c r="H525" t="n">
        <v>0</v>
      </c>
      <c r="I525" t="n">
        <v>0</v>
      </c>
      <c r="J525" t="n">
        <v>0</v>
      </c>
      <c r="K525" t="n">
        <v>0</v>
      </c>
      <c r="L525" t="n">
        <v>0</v>
      </c>
      <c r="M525" t="n">
        <v>0</v>
      </c>
      <c r="N525" t="n">
        <v>0</v>
      </c>
      <c r="O525" t="n">
        <v>0</v>
      </c>
      <c r="P525" t="n">
        <v>0</v>
      </c>
      <c r="Q525" t="n">
        <v>0</v>
      </c>
      <c r="R525" s="2" t="inlineStr"/>
    </row>
    <row r="526" ht="15" customHeight="1">
      <c r="A526" t="inlineStr">
        <is>
          <t>A 29250-2025</t>
        </is>
      </c>
      <c r="B526" s="1" t="n">
        <v>45824.37275462963</v>
      </c>
      <c r="C526" s="1" t="n">
        <v>46033</v>
      </c>
      <c r="D526" t="inlineStr">
        <is>
          <t>STOCKHOLMS LÄN</t>
        </is>
      </c>
      <c r="E526" t="inlineStr">
        <is>
          <t>NORRTÄLJE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875-2023</t>
        </is>
      </c>
      <c r="B527" s="1" t="n">
        <v>44931.65626157408</v>
      </c>
      <c r="C527" s="1" t="n">
        <v>46033</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51941-2025</t>
        </is>
      </c>
      <c r="B528" s="1" t="n">
        <v>45952.52261574074</v>
      </c>
      <c r="C528" s="1" t="n">
        <v>46033</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31236-2022</t>
        </is>
      </c>
      <c r="B529" s="1" t="n">
        <v>44771</v>
      </c>
      <c r="C529" s="1" t="n">
        <v>46033</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8315-2025</t>
        </is>
      </c>
      <c r="B530" s="1" t="n">
        <v>45708.61761574074</v>
      </c>
      <c r="C530" s="1" t="n">
        <v>46033</v>
      </c>
      <c r="D530" t="inlineStr">
        <is>
          <t>STOCKHOLMS LÄN</t>
        </is>
      </c>
      <c r="E530" t="inlineStr">
        <is>
          <t>NORRTÄLJE</t>
        </is>
      </c>
      <c r="G530" t="n">
        <v>3.9</v>
      </c>
      <c r="H530" t="n">
        <v>0</v>
      </c>
      <c r="I530" t="n">
        <v>0</v>
      </c>
      <c r="J530" t="n">
        <v>0</v>
      </c>
      <c r="K530" t="n">
        <v>0</v>
      </c>
      <c r="L530" t="n">
        <v>0</v>
      </c>
      <c r="M530" t="n">
        <v>0</v>
      </c>
      <c r="N530" t="n">
        <v>0</v>
      </c>
      <c r="O530" t="n">
        <v>0</v>
      </c>
      <c r="P530" t="n">
        <v>0</v>
      </c>
      <c r="Q530" t="n">
        <v>0</v>
      </c>
      <c r="R530" s="2" t="inlineStr"/>
    </row>
    <row r="531" ht="15" customHeight="1">
      <c r="A531" t="inlineStr">
        <is>
          <t>A 31281-2022</t>
        </is>
      </c>
      <c r="B531" s="1" t="n">
        <v>44771</v>
      </c>
      <c r="C531" s="1" t="n">
        <v>46033</v>
      </c>
      <c r="D531" t="inlineStr">
        <is>
          <t>STOCKHOLMS LÄN</t>
        </is>
      </c>
      <c r="E531" t="inlineStr">
        <is>
          <t>NORRTÄLJE</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22359-2025</t>
        </is>
      </c>
      <c r="B532" s="1" t="n">
        <v>45786</v>
      </c>
      <c r="C532" s="1" t="n">
        <v>46033</v>
      </c>
      <c r="D532" t="inlineStr">
        <is>
          <t>STOCKHOLMS LÄN</t>
        </is>
      </c>
      <c r="E532" t="inlineStr">
        <is>
          <t>NORRTÄLJE</t>
        </is>
      </c>
      <c r="G532" t="n">
        <v>5</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46033</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45697-2025</t>
        </is>
      </c>
      <c r="B534" s="1" t="n">
        <v>45923.39877314815</v>
      </c>
      <c r="C534" s="1" t="n">
        <v>46033</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60214-2025</t>
        </is>
      </c>
      <c r="B535" s="1" t="n">
        <v>45994.53761574074</v>
      </c>
      <c r="C535" s="1" t="n">
        <v>46033</v>
      </c>
      <c r="D535" t="inlineStr">
        <is>
          <t>STOCKHOLMS LÄN</t>
        </is>
      </c>
      <c r="E535" t="inlineStr">
        <is>
          <t>NORRTÄLJE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52061-2025</t>
        </is>
      </c>
      <c r="B536" s="1" t="n">
        <v>45952.63679398148</v>
      </c>
      <c r="C536" s="1" t="n">
        <v>46033</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51945-2025</t>
        </is>
      </c>
      <c r="B537" s="1" t="n">
        <v>45952.52679398148</v>
      </c>
      <c r="C537" s="1" t="n">
        <v>46033</v>
      </c>
      <c r="D537" t="inlineStr">
        <is>
          <t>STOCKHOLMS LÄN</t>
        </is>
      </c>
      <c r="E537" t="inlineStr">
        <is>
          <t>NORRTÄLJE</t>
        </is>
      </c>
      <c r="G537" t="n">
        <v>7</v>
      </c>
      <c r="H537" t="n">
        <v>0</v>
      </c>
      <c r="I537" t="n">
        <v>0</v>
      </c>
      <c r="J537" t="n">
        <v>0</v>
      </c>
      <c r="K537" t="n">
        <v>0</v>
      </c>
      <c r="L537" t="n">
        <v>0</v>
      </c>
      <c r="M537" t="n">
        <v>0</v>
      </c>
      <c r="N537" t="n">
        <v>0</v>
      </c>
      <c r="O537" t="n">
        <v>0</v>
      </c>
      <c r="P537" t="n">
        <v>0</v>
      </c>
      <c r="Q537" t="n">
        <v>0</v>
      </c>
      <c r="R537" s="2" t="inlineStr"/>
    </row>
    <row r="538" ht="15" customHeight="1">
      <c r="A538" t="inlineStr">
        <is>
          <t>A 46415-2025</t>
        </is>
      </c>
      <c r="B538" s="1" t="n">
        <v>45925.58636574074</v>
      </c>
      <c r="C538" s="1" t="n">
        <v>46033</v>
      </c>
      <c r="D538" t="inlineStr">
        <is>
          <t>STOCKHOLMS LÄN</t>
        </is>
      </c>
      <c r="E538" t="inlineStr">
        <is>
          <t>NORRTÄLJE</t>
        </is>
      </c>
      <c r="G538" t="n">
        <v>3.8</v>
      </c>
      <c r="H538" t="n">
        <v>0</v>
      </c>
      <c r="I538" t="n">
        <v>0</v>
      </c>
      <c r="J538" t="n">
        <v>0</v>
      </c>
      <c r="K538" t="n">
        <v>0</v>
      </c>
      <c r="L538" t="n">
        <v>0</v>
      </c>
      <c r="M538" t="n">
        <v>0</v>
      </c>
      <c r="N538" t="n">
        <v>0</v>
      </c>
      <c r="O538" t="n">
        <v>0</v>
      </c>
      <c r="P538" t="n">
        <v>0</v>
      </c>
      <c r="Q538" t="n">
        <v>0</v>
      </c>
      <c r="R538" s="2" t="inlineStr"/>
    </row>
    <row r="539" ht="15" customHeight="1">
      <c r="A539" t="inlineStr">
        <is>
          <t>A 58302-2022</t>
        </is>
      </c>
      <c r="B539" s="1" t="n">
        <v>44901</v>
      </c>
      <c r="C539" s="1" t="n">
        <v>46033</v>
      </c>
      <c r="D539" t="inlineStr">
        <is>
          <t>STOCKHOLMS LÄN</t>
        </is>
      </c>
      <c r="E539" t="inlineStr">
        <is>
          <t>NORRTÄLJE</t>
        </is>
      </c>
      <c r="G539" t="n">
        <v>3.9</v>
      </c>
      <c r="H539" t="n">
        <v>0</v>
      </c>
      <c r="I539" t="n">
        <v>0</v>
      </c>
      <c r="J539" t="n">
        <v>0</v>
      </c>
      <c r="K539" t="n">
        <v>0</v>
      </c>
      <c r="L539" t="n">
        <v>0</v>
      </c>
      <c r="M539" t="n">
        <v>0</v>
      </c>
      <c r="N539" t="n">
        <v>0</v>
      </c>
      <c r="O539" t="n">
        <v>0</v>
      </c>
      <c r="P539" t="n">
        <v>0</v>
      </c>
      <c r="Q539" t="n">
        <v>0</v>
      </c>
      <c r="R539" s="2" t="inlineStr"/>
    </row>
    <row r="540" ht="15" customHeight="1">
      <c r="A540" t="inlineStr">
        <is>
          <t>A 38591-2023</t>
        </is>
      </c>
      <c r="B540" s="1" t="n">
        <v>45162</v>
      </c>
      <c r="C540" s="1" t="n">
        <v>46033</v>
      </c>
      <c r="D540" t="inlineStr">
        <is>
          <t>STOCKHOLMS LÄN</t>
        </is>
      </c>
      <c r="E540" t="inlineStr">
        <is>
          <t>NORRTÄLJE</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30338-2022</t>
        </is>
      </c>
      <c r="B541" s="1" t="n">
        <v>44760</v>
      </c>
      <c r="C541" s="1" t="n">
        <v>46033</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2888-2022</t>
        </is>
      </c>
      <c r="B542" s="1" t="n">
        <v>44581</v>
      </c>
      <c r="C542" s="1" t="n">
        <v>46033</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52686-2024</t>
        </is>
      </c>
      <c r="B543" s="1" t="n">
        <v>45610.39271990741</v>
      </c>
      <c r="C543" s="1" t="n">
        <v>46033</v>
      </c>
      <c r="D543" t="inlineStr">
        <is>
          <t>STOCKHOLMS LÄN</t>
        </is>
      </c>
      <c r="E543" t="inlineStr">
        <is>
          <t>NORRTÄLJE</t>
        </is>
      </c>
      <c r="G543" t="n">
        <v>5.7</v>
      </c>
      <c r="H543" t="n">
        <v>0</v>
      </c>
      <c r="I543" t="n">
        <v>0</v>
      </c>
      <c r="J543" t="n">
        <v>0</v>
      </c>
      <c r="K543" t="n">
        <v>0</v>
      </c>
      <c r="L543" t="n">
        <v>0</v>
      </c>
      <c r="M543" t="n">
        <v>0</v>
      </c>
      <c r="N543" t="n">
        <v>0</v>
      </c>
      <c r="O543" t="n">
        <v>0</v>
      </c>
      <c r="P543" t="n">
        <v>0</v>
      </c>
      <c r="Q543" t="n">
        <v>0</v>
      </c>
      <c r="R543" s="2" t="inlineStr"/>
    </row>
    <row r="544" ht="15" customHeight="1">
      <c r="A544" t="inlineStr">
        <is>
          <t>A 20343-2024</t>
        </is>
      </c>
      <c r="B544" s="1" t="n">
        <v>45435.43466435185</v>
      </c>
      <c r="C544" s="1" t="n">
        <v>46033</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20345-2024</t>
        </is>
      </c>
      <c r="B545" s="1" t="n">
        <v>45435.43820601852</v>
      </c>
      <c r="C545" s="1" t="n">
        <v>46033</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9765-2024</t>
        </is>
      </c>
      <c r="B546" s="1" t="n">
        <v>45362.62811342593</v>
      </c>
      <c r="C546" s="1" t="n">
        <v>46033</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59875-2024</t>
        </is>
      </c>
      <c r="B547" s="1" t="n">
        <v>45640.58716435185</v>
      </c>
      <c r="C547" s="1" t="n">
        <v>46033</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46900-2025</t>
        </is>
      </c>
      <c r="B548" s="1" t="n">
        <v>45929.38712962963</v>
      </c>
      <c r="C548" s="1" t="n">
        <v>46033</v>
      </c>
      <c r="D548" t="inlineStr">
        <is>
          <t>STOCKHOLMS LÄN</t>
        </is>
      </c>
      <c r="E548" t="inlineStr">
        <is>
          <t>NORRTÄLJE</t>
        </is>
      </c>
      <c r="F548" t="inlineStr">
        <is>
          <t>Holmen skog AB</t>
        </is>
      </c>
      <c r="G548" t="n">
        <v>6.2</v>
      </c>
      <c r="H548" t="n">
        <v>0</v>
      </c>
      <c r="I548" t="n">
        <v>0</v>
      </c>
      <c r="J548" t="n">
        <v>0</v>
      </c>
      <c r="K548" t="n">
        <v>0</v>
      </c>
      <c r="L548" t="n">
        <v>0</v>
      </c>
      <c r="M548" t="n">
        <v>0</v>
      </c>
      <c r="N548" t="n">
        <v>0</v>
      </c>
      <c r="O548" t="n">
        <v>0</v>
      </c>
      <c r="P548" t="n">
        <v>0</v>
      </c>
      <c r="Q548" t="n">
        <v>0</v>
      </c>
      <c r="R548" s="2" t="inlineStr"/>
    </row>
    <row r="549" ht="15" customHeight="1">
      <c r="A549" t="inlineStr">
        <is>
          <t>A 11-2024</t>
        </is>
      </c>
      <c r="B549" s="1" t="n">
        <v>45293</v>
      </c>
      <c r="C549" s="1" t="n">
        <v>46033</v>
      </c>
      <c r="D549" t="inlineStr">
        <is>
          <t>STOCKHOLMS LÄN</t>
        </is>
      </c>
      <c r="E549" t="inlineStr">
        <is>
          <t>NORRTÄLJE</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14559-2024</t>
        </is>
      </c>
      <c r="B550" s="1" t="n">
        <v>45394.72869212963</v>
      </c>
      <c r="C550" s="1" t="n">
        <v>46033</v>
      </c>
      <c r="D550" t="inlineStr">
        <is>
          <t>STOCKHOLMS LÄN</t>
        </is>
      </c>
      <c r="E550" t="inlineStr">
        <is>
          <t>NORRTÄLJE</t>
        </is>
      </c>
      <c r="G550" t="n">
        <v>4.2</v>
      </c>
      <c r="H550" t="n">
        <v>0</v>
      </c>
      <c r="I550" t="n">
        <v>0</v>
      </c>
      <c r="J550" t="n">
        <v>0</v>
      </c>
      <c r="K550" t="n">
        <v>0</v>
      </c>
      <c r="L550" t="n">
        <v>0</v>
      </c>
      <c r="M550" t="n">
        <v>0</v>
      </c>
      <c r="N550" t="n">
        <v>0</v>
      </c>
      <c r="O550" t="n">
        <v>0</v>
      </c>
      <c r="P550" t="n">
        <v>0</v>
      </c>
      <c r="Q550" t="n">
        <v>0</v>
      </c>
      <c r="R550" s="2" t="inlineStr"/>
    </row>
    <row r="551" ht="15" customHeight="1">
      <c r="A551" t="inlineStr">
        <is>
          <t>A 30639-2025</t>
        </is>
      </c>
      <c r="B551" s="1" t="n">
        <v>45831.4844212963</v>
      </c>
      <c r="C551" s="1" t="n">
        <v>46033</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30668-2025</t>
        </is>
      </c>
      <c r="B552" s="1" t="n">
        <v>45831.51659722222</v>
      </c>
      <c r="C552" s="1" t="n">
        <v>46033</v>
      </c>
      <c r="D552" t="inlineStr">
        <is>
          <t>STOCKHOLMS LÄN</t>
        </is>
      </c>
      <c r="E552" t="inlineStr">
        <is>
          <t>NORRTÄLJE</t>
        </is>
      </c>
      <c r="G552" t="n">
        <v>4.9</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46033</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25525-2022</t>
        </is>
      </c>
      <c r="B554" s="1" t="n">
        <v>44732</v>
      </c>
      <c r="C554" s="1" t="n">
        <v>46033</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12302-2025</t>
        </is>
      </c>
      <c r="B555" s="1" t="n">
        <v>45729.72851851852</v>
      </c>
      <c r="C555" s="1" t="n">
        <v>46033</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35256-2025</t>
        </is>
      </c>
      <c r="B556" s="1" t="n">
        <v>45853</v>
      </c>
      <c r="C556" s="1" t="n">
        <v>46033</v>
      </c>
      <c r="D556" t="inlineStr">
        <is>
          <t>STOCKHOLMS LÄN</t>
        </is>
      </c>
      <c r="E556" t="inlineStr">
        <is>
          <t>NORRTÄLJE</t>
        </is>
      </c>
      <c r="G556" t="n">
        <v>6.4</v>
      </c>
      <c r="H556" t="n">
        <v>0</v>
      </c>
      <c r="I556" t="n">
        <v>0</v>
      </c>
      <c r="J556" t="n">
        <v>0</v>
      </c>
      <c r="K556" t="n">
        <v>0</v>
      </c>
      <c r="L556" t="n">
        <v>0</v>
      </c>
      <c r="M556" t="n">
        <v>0</v>
      </c>
      <c r="N556" t="n">
        <v>0</v>
      </c>
      <c r="O556" t="n">
        <v>0</v>
      </c>
      <c r="P556" t="n">
        <v>0</v>
      </c>
      <c r="Q556" t="n">
        <v>0</v>
      </c>
      <c r="R556" s="2" t="inlineStr"/>
    </row>
    <row r="557" ht="15" customHeight="1">
      <c r="A557" t="inlineStr">
        <is>
          <t>A 38889-2024</t>
        </is>
      </c>
      <c r="B557" s="1" t="n">
        <v>45547</v>
      </c>
      <c r="C557" s="1" t="n">
        <v>46033</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45451-2024</t>
        </is>
      </c>
      <c r="B558" s="1" t="n">
        <v>45576</v>
      </c>
      <c r="C558" s="1" t="n">
        <v>46033</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52251-2025</t>
        </is>
      </c>
      <c r="B559" s="1" t="n">
        <v>45953.49185185185</v>
      </c>
      <c r="C559" s="1" t="n">
        <v>46033</v>
      </c>
      <c r="D559" t="inlineStr">
        <is>
          <t>STOCKHOLMS LÄN</t>
        </is>
      </c>
      <c r="E559" t="inlineStr">
        <is>
          <t>NORRTÄLJE</t>
        </is>
      </c>
      <c r="G559" t="n">
        <v>6.2</v>
      </c>
      <c r="H559" t="n">
        <v>0</v>
      </c>
      <c r="I559" t="n">
        <v>0</v>
      </c>
      <c r="J559" t="n">
        <v>0</v>
      </c>
      <c r="K559" t="n">
        <v>0</v>
      </c>
      <c r="L559" t="n">
        <v>0</v>
      </c>
      <c r="M559" t="n">
        <v>0</v>
      </c>
      <c r="N559" t="n">
        <v>0</v>
      </c>
      <c r="O559" t="n">
        <v>0</v>
      </c>
      <c r="P559" t="n">
        <v>0</v>
      </c>
      <c r="Q559" t="n">
        <v>0</v>
      </c>
      <c r="R559" s="2" t="inlineStr"/>
    </row>
    <row r="560" ht="15" customHeight="1">
      <c r="A560" t="inlineStr">
        <is>
          <t>A 52254-2025</t>
        </is>
      </c>
      <c r="B560" s="1" t="n">
        <v>45953.49519675926</v>
      </c>
      <c r="C560" s="1" t="n">
        <v>46033</v>
      </c>
      <c r="D560" t="inlineStr">
        <is>
          <t>STOCKHOLMS LÄN</t>
        </is>
      </c>
      <c r="E560" t="inlineStr">
        <is>
          <t>NORRTÄLJE</t>
        </is>
      </c>
      <c r="G560" t="n">
        <v>2.2</v>
      </c>
      <c r="H560" t="n">
        <v>0</v>
      </c>
      <c r="I560" t="n">
        <v>0</v>
      </c>
      <c r="J560" t="n">
        <v>0</v>
      </c>
      <c r="K560" t="n">
        <v>0</v>
      </c>
      <c r="L560" t="n">
        <v>0</v>
      </c>
      <c r="M560" t="n">
        <v>0</v>
      </c>
      <c r="N560" t="n">
        <v>0</v>
      </c>
      <c r="O560" t="n">
        <v>0</v>
      </c>
      <c r="P560" t="n">
        <v>0</v>
      </c>
      <c r="Q560" t="n">
        <v>0</v>
      </c>
      <c r="R560" s="2" t="inlineStr"/>
    </row>
    <row r="561" ht="15" customHeight="1">
      <c r="A561" t="inlineStr">
        <is>
          <t>A 31170-2025</t>
        </is>
      </c>
      <c r="B561" s="1" t="n">
        <v>45832.66385416667</v>
      </c>
      <c r="C561" s="1" t="n">
        <v>46033</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60223-2025</t>
        </is>
      </c>
      <c r="B562" s="1" t="n">
        <v>45994.54497685185</v>
      </c>
      <c r="C562" s="1" t="n">
        <v>46033</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31880-2025</t>
        </is>
      </c>
      <c r="B563" s="1" t="n">
        <v>45834.65538194445</v>
      </c>
      <c r="C563" s="1" t="n">
        <v>46033</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52773-2025</t>
        </is>
      </c>
      <c r="B564" s="1" t="n">
        <v>45957.41457175926</v>
      </c>
      <c r="C564" s="1" t="n">
        <v>46033</v>
      </c>
      <c r="D564" t="inlineStr">
        <is>
          <t>STOCKHOLMS LÄN</t>
        </is>
      </c>
      <c r="E564" t="inlineStr">
        <is>
          <t>NORRTÄLJE</t>
        </is>
      </c>
      <c r="F564" t="inlineStr">
        <is>
          <t>Sveaskog</t>
        </is>
      </c>
      <c r="G564" t="n">
        <v>10.5</v>
      </c>
      <c r="H564" t="n">
        <v>0</v>
      </c>
      <c r="I564" t="n">
        <v>0</v>
      </c>
      <c r="J564" t="n">
        <v>0</v>
      </c>
      <c r="K564" t="n">
        <v>0</v>
      </c>
      <c r="L564" t="n">
        <v>0</v>
      </c>
      <c r="M564" t="n">
        <v>0</v>
      </c>
      <c r="N564" t="n">
        <v>0</v>
      </c>
      <c r="O564" t="n">
        <v>0</v>
      </c>
      <c r="P564" t="n">
        <v>0</v>
      </c>
      <c r="Q564" t="n">
        <v>0</v>
      </c>
      <c r="R564" s="2" t="inlineStr"/>
    </row>
    <row r="565" ht="15" customHeight="1">
      <c r="A565" t="inlineStr">
        <is>
          <t>A 26644-2024</t>
        </is>
      </c>
      <c r="B565" s="1" t="n">
        <v>45469</v>
      </c>
      <c r="C565" s="1" t="n">
        <v>46033</v>
      </c>
      <c r="D565" t="inlineStr">
        <is>
          <t>STOCKHOLMS LÄN</t>
        </is>
      </c>
      <c r="E565" t="inlineStr">
        <is>
          <t>NORRTÄLJE</t>
        </is>
      </c>
      <c r="G565" t="n">
        <v>4.3</v>
      </c>
      <c r="H565" t="n">
        <v>0</v>
      </c>
      <c r="I565" t="n">
        <v>0</v>
      </c>
      <c r="J565" t="n">
        <v>0</v>
      </c>
      <c r="K565" t="n">
        <v>0</v>
      </c>
      <c r="L565" t="n">
        <v>0</v>
      </c>
      <c r="M565" t="n">
        <v>0</v>
      </c>
      <c r="N565" t="n">
        <v>0</v>
      </c>
      <c r="O565" t="n">
        <v>0</v>
      </c>
      <c r="P565" t="n">
        <v>0</v>
      </c>
      <c r="Q565" t="n">
        <v>0</v>
      </c>
      <c r="R565" s="2" t="inlineStr"/>
    </row>
    <row r="566" ht="15" customHeight="1">
      <c r="A566" t="inlineStr">
        <is>
          <t>A 32122-2025</t>
        </is>
      </c>
      <c r="B566" s="1" t="n">
        <v>45835.4928125</v>
      </c>
      <c r="C566" s="1" t="n">
        <v>46033</v>
      </c>
      <c r="D566" t="inlineStr">
        <is>
          <t>STOCKHOLMS LÄN</t>
        </is>
      </c>
      <c r="E566" t="inlineStr">
        <is>
          <t>NORRTÄLJE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31868-2025</t>
        </is>
      </c>
      <c r="B567" s="1" t="n">
        <v>45834.6447337963</v>
      </c>
      <c r="C567" s="1" t="n">
        <v>46033</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6413-2025</t>
        </is>
      </c>
      <c r="B568" s="1" t="n">
        <v>45699.46283564815</v>
      </c>
      <c r="C568" s="1" t="n">
        <v>46033</v>
      </c>
      <c r="D568" t="inlineStr">
        <is>
          <t>STOCKHOLMS LÄN</t>
        </is>
      </c>
      <c r="E568" t="inlineStr">
        <is>
          <t>NORRTÄLJE</t>
        </is>
      </c>
      <c r="G568" t="n">
        <v>3.6</v>
      </c>
      <c r="H568" t="n">
        <v>0</v>
      </c>
      <c r="I568" t="n">
        <v>0</v>
      </c>
      <c r="J568" t="n">
        <v>0</v>
      </c>
      <c r="K568" t="n">
        <v>0</v>
      </c>
      <c r="L568" t="n">
        <v>0</v>
      </c>
      <c r="M568" t="n">
        <v>0</v>
      </c>
      <c r="N568" t="n">
        <v>0</v>
      </c>
      <c r="O568" t="n">
        <v>0</v>
      </c>
      <c r="P568" t="n">
        <v>0</v>
      </c>
      <c r="Q568" t="n">
        <v>0</v>
      </c>
      <c r="R568" s="2" t="inlineStr"/>
    </row>
    <row r="569" ht="15" customHeight="1">
      <c r="A569" t="inlineStr">
        <is>
          <t>A 47498-2025</t>
        </is>
      </c>
      <c r="B569" s="1" t="n">
        <v>45930.8134375</v>
      </c>
      <c r="C569" s="1" t="n">
        <v>46033</v>
      </c>
      <c r="D569" t="inlineStr">
        <is>
          <t>STOCKHOLMS LÄN</t>
        </is>
      </c>
      <c r="E569" t="inlineStr">
        <is>
          <t>NORRTÄLJE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47460-2025</t>
        </is>
      </c>
      <c r="B570" s="1" t="n">
        <v>45930.66012731481</v>
      </c>
      <c r="C570" s="1" t="n">
        <v>46033</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47496-2025</t>
        </is>
      </c>
      <c r="B571" s="1" t="n">
        <v>45930.79252314815</v>
      </c>
      <c r="C571" s="1" t="n">
        <v>46033</v>
      </c>
      <c r="D571" t="inlineStr">
        <is>
          <t>STOCKHOLMS LÄN</t>
        </is>
      </c>
      <c r="E571" t="inlineStr">
        <is>
          <t>NORRTÄLJE</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47497-2025</t>
        </is>
      </c>
      <c r="B572" s="1" t="n">
        <v>45930.80217592593</v>
      </c>
      <c r="C572" s="1" t="n">
        <v>46033</v>
      </c>
      <c r="D572" t="inlineStr">
        <is>
          <t>STOCKHOLMS LÄN</t>
        </is>
      </c>
      <c r="E572" t="inlineStr">
        <is>
          <t>NORRTÄLJE</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52777-2025</t>
        </is>
      </c>
      <c r="B573" s="1" t="n">
        <v>45957.41832175926</v>
      </c>
      <c r="C573" s="1" t="n">
        <v>46033</v>
      </c>
      <c r="D573" t="inlineStr">
        <is>
          <t>STOCKHOLMS LÄN</t>
        </is>
      </c>
      <c r="E573" t="inlineStr">
        <is>
          <t>NORRTÄLJE</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2982-2023</t>
        </is>
      </c>
      <c r="B574" s="1" t="n">
        <v>44945.67409722223</v>
      </c>
      <c r="C574" s="1" t="n">
        <v>46033</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12535-2025</t>
        </is>
      </c>
      <c r="B575" s="1" t="n">
        <v>45730.69502314815</v>
      </c>
      <c r="C575" s="1" t="n">
        <v>46033</v>
      </c>
      <c r="D575" t="inlineStr">
        <is>
          <t>STOCKHOLMS LÄN</t>
        </is>
      </c>
      <c r="E575" t="inlineStr">
        <is>
          <t>NORRTÄLJE</t>
        </is>
      </c>
      <c r="G575" t="n">
        <v>7.1</v>
      </c>
      <c r="H575" t="n">
        <v>0</v>
      </c>
      <c r="I575" t="n">
        <v>0</v>
      </c>
      <c r="J575" t="n">
        <v>0</v>
      </c>
      <c r="K575" t="n">
        <v>0</v>
      </c>
      <c r="L575" t="n">
        <v>0</v>
      </c>
      <c r="M575" t="n">
        <v>0</v>
      </c>
      <c r="N575" t="n">
        <v>0</v>
      </c>
      <c r="O575" t="n">
        <v>0</v>
      </c>
      <c r="P575" t="n">
        <v>0</v>
      </c>
      <c r="Q575" t="n">
        <v>0</v>
      </c>
      <c r="R575" s="2" t="inlineStr"/>
    </row>
    <row r="576" ht="15" customHeight="1">
      <c r="A576" t="inlineStr">
        <is>
          <t>A 32016-2025</t>
        </is>
      </c>
      <c r="B576" s="1" t="n">
        <v>45835</v>
      </c>
      <c r="C576" s="1" t="n">
        <v>46033</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37136-2023</t>
        </is>
      </c>
      <c r="B577" s="1" t="n">
        <v>45155</v>
      </c>
      <c r="C577" s="1" t="n">
        <v>46033</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48360-2025</t>
        </is>
      </c>
      <c r="B578" s="1" t="n">
        <v>45933.66253472222</v>
      </c>
      <c r="C578" s="1" t="n">
        <v>46033</v>
      </c>
      <c r="D578" t="inlineStr">
        <is>
          <t>STOCKHOLMS LÄN</t>
        </is>
      </c>
      <c r="E578" t="inlineStr">
        <is>
          <t>NORRTÄLJE</t>
        </is>
      </c>
      <c r="G578" t="n">
        <v>4.1</v>
      </c>
      <c r="H578" t="n">
        <v>0</v>
      </c>
      <c r="I578" t="n">
        <v>0</v>
      </c>
      <c r="J578" t="n">
        <v>0</v>
      </c>
      <c r="K578" t="n">
        <v>0</v>
      </c>
      <c r="L578" t="n">
        <v>0</v>
      </c>
      <c r="M578" t="n">
        <v>0</v>
      </c>
      <c r="N578" t="n">
        <v>0</v>
      </c>
      <c r="O578" t="n">
        <v>0</v>
      </c>
      <c r="P578" t="n">
        <v>0</v>
      </c>
      <c r="Q578" t="n">
        <v>0</v>
      </c>
      <c r="R578" s="2" t="inlineStr"/>
    </row>
    <row r="579" ht="15" customHeight="1">
      <c r="A579" t="inlineStr">
        <is>
          <t>A 48370-2025</t>
        </is>
      </c>
      <c r="B579" s="1" t="n">
        <v>45933.67854166667</v>
      </c>
      <c r="C579" s="1" t="n">
        <v>46033</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32283-2025</t>
        </is>
      </c>
      <c r="B580" s="1" t="n">
        <v>45835.68076388889</v>
      </c>
      <c r="C580" s="1" t="n">
        <v>46033</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48364-2025</t>
        </is>
      </c>
      <c r="B581" s="1" t="n">
        <v>45933.66796296297</v>
      </c>
      <c r="C581" s="1" t="n">
        <v>46033</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31874-2025</t>
        </is>
      </c>
      <c r="B582" s="1" t="n">
        <v>45834</v>
      </c>
      <c r="C582" s="1" t="n">
        <v>46033</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18787-2022</t>
        </is>
      </c>
      <c r="B583" s="1" t="n">
        <v>44687</v>
      </c>
      <c r="C583" s="1" t="n">
        <v>46033</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13718-2022</t>
        </is>
      </c>
      <c r="B584" s="1" t="n">
        <v>44649</v>
      </c>
      <c r="C584" s="1" t="n">
        <v>46033</v>
      </c>
      <c r="D584" t="inlineStr">
        <is>
          <t>STOCKHOLMS LÄN</t>
        </is>
      </c>
      <c r="E584" t="inlineStr">
        <is>
          <t>NORRTÄLJE</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32094-2025</t>
        </is>
      </c>
      <c r="B585" s="1" t="n">
        <v>45835.46034722222</v>
      </c>
      <c r="C585" s="1" t="n">
        <v>46033</v>
      </c>
      <c r="D585" t="inlineStr">
        <is>
          <t>STOCKHOLMS LÄN</t>
        </is>
      </c>
      <c r="E585" t="inlineStr">
        <is>
          <t>NORRTÄLJE</t>
        </is>
      </c>
      <c r="F585" t="inlineStr">
        <is>
          <t>Holmen skog AB</t>
        </is>
      </c>
      <c r="G585" t="n">
        <v>2.9</v>
      </c>
      <c r="H585" t="n">
        <v>0</v>
      </c>
      <c r="I585" t="n">
        <v>0</v>
      </c>
      <c r="J585" t="n">
        <v>0</v>
      </c>
      <c r="K585" t="n">
        <v>0</v>
      </c>
      <c r="L585" t="n">
        <v>0</v>
      </c>
      <c r="M585" t="n">
        <v>0</v>
      </c>
      <c r="N585" t="n">
        <v>0</v>
      </c>
      <c r="O585" t="n">
        <v>0</v>
      </c>
      <c r="P585" t="n">
        <v>0</v>
      </c>
      <c r="Q585" t="n">
        <v>0</v>
      </c>
      <c r="R585" s="2" t="inlineStr"/>
    </row>
    <row r="586" ht="15" customHeight="1">
      <c r="A586" t="inlineStr">
        <is>
          <t>A 25621-2022</t>
        </is>
      </c>
      <c r="B586" s="1" t="n">
        <v>44732</v>
      </c>
      <c r="C586" s="1" t="n">
        <v>46033</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36269-2022</t>
        </is>
      </c>
      <c r="B587" s="1" t="n">
        <v>44803</v>
      </c>
      <c r="C587" s="1" t="n">
        <v>46033</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36308-2022</t>
        </is>
      </c>
      <c r="B588" s="1" t="n">
        <v>44803</v>
      </c>
      <c r="C588" s="1" t="n">
        <v>46033</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52526-2025</t>
        </is>
      </c>
      <c r="B589" s="1" t="n">
        <v>45954.53061342592</v>
      </c>
      <c r="C589" s="1" t="n">
        <v>46033</v>
      </c>
      <c r="D589" t="inlineStr">
        <is>
          <t>STOCKHOLMS LÄN</t>
        </is>
      </c>
      <c r="E589" t="inlineStr">
        <is>
          <t>NORRTÄLJE</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53000-2025</t>
        </is>
      </c>
      <c r="B590" s="1" t="n">
        <v>45957.74357638889</v>
      </c>
      <c r="C590" s="1" t="n">
        <v>46033</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60649-2025</t>
        </is>
      </c>
      <c r="B591" s="1" t="n">
        <v>45996.4560300926</v>
      </c>
      <c r="C591" s="1" t="n">
        <v>46033</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46033</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6919-2025</t>
        </is>
      </c>
      <c r="B593" s="1" t="n">
        <v>45701.44372685185</v>
      </c>
      <c r="C593" s="1" t="n">
        <v>46033</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32100-2022</t>
        </is>
      </c>
      <c r="B594" s="1" t="n">
        <v>44778</v>
      </c>
      <c r="C594" s="1" t="n">
        <v>46033</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32480-2025</t>
        </is>
      </c>
      <c r="B595" s="1" t="n">
        <v>45838.43261574074</v>
      </c>
      <c r="C595" s="1" t="n">
        <v>46033</v>
      </c>
      <c r="D595" t="inlineStr">
        <is>
          <t>STOCKHOLMS LÄN</t>
        </is>
      </c>
      <c r="E595" t="inlineStr">
        <is>
          <t>NORRTÄLJE</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48127-2025</t>
        </is>
      </c>
      <c r="B596" s="1" t="n">
        <v>45933.36621527778</v>
      </c>
      <c r="C596" s="1" t="n">
        <v>46033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11332-2025</t>
        </is>
      </c>
      <c r="B597" s="1" t="n">
        <v>45726.48152777777</v>
      </c>
      <c r="C597" s="1" t="n">
        <v>46033</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37444-2021</t>
        </is>
      </c>
      <c r="B598" s="1" t="n">
        <v>44398</v>
      </c>
      <c r="C598" s="1" t="n">
        <v>46033</v>
      </c>
      <c r="D598" t="inlineStr">
        <is>
          <t>STOCKHOLMS LÄN</t>
        </is>
      </c>
      <c r="E598" t="inlineStr">
        <is>
          <t>NORRTÄLJE</t>
        </is>
      </c>
      <c r="F598" t="inlineStr">
        <is>
          <t>Holmen skog AB</t>
        </is>
      </c>
      <c r="G598" t="n">
        <v>3.2</v>
      </c>
      <c r="H598" t="n">
        <v>0</v>
      </c>
      <c r="I598" t="n">
        <v>0</v>
      </c>
      <c r="J598" t="n">
        <v>0</v>
      </c>
      <c r="K598" t="n">
        <v>0</v>
      </c>
      <c r="L598" t="n">
        <v>0</v>
      </c>
      <c r="M598" t="n">
        <v>0</v>
      </c>
      <c r="N598" t="n">
        <v>0</v>
      </c>
      <c r="O598" t="n">
        <v>0</v>
      </c>
      <c r="P598" t="n">
        <v>0</v>
      </c>
      <c r="Q598" t="n">
        <v>0</v>
      </c>
      <c r="R598" s="2" t="inlineStr"/>
    </row>
    <row r="599" ht="15" customHeight="1">
      <c r="A599" t="inlineStr">
        <is>
          <t>A 30886-2022</t>
        </is>
      </c>
      <c r="B599" s="1" t="n">
        <v>44767.60601851852</v>
      </c>
      <c r="C599" s="1" t="n">
        <v>46033</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48179-2025</t>
        </is>
      </c>
      <c r="B600" s="1" t="n">
        <v>45933.44907407407</v>
      </c>
      <c r="C600" s="1" t="n">
        <v>46033</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32872-2025</t>
        </is>
      </c>
      <c r="B601" s="1" t="n">
        <v>45839</v>
      </c>
      <c r="C601" s="1" t="n">
        <v>46033</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32903-2025</t>
        </is>
      </c>
      <c r="B602" s="1" t="n">
        <v>45839.62398148148</v>
      </c>
      <c r="C602" s="1" t="n">
        <v>46033</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9654-2022</t>
        </is>
      </c>
      <c r="B603" s="1" t="n">
        <v>44617</v>
      </c>
      <c r="C603" s="1" t="n">
        <v>46033</v>
      </c>
      <c r="D603" t="inlineStr">
        <is>
          <t>STOCKHOLMS LÄN</t>
        </is>
      </c>
      <c r="E603" t="inlineStr">
        <is>
          <t>NORRTÄLJE</t>
        </is>
      </c>
      <c r="G603" t="n">
        <v>6.4</v>
      </c>
      <c r="H603" t="n">
        <v>0</v>
      </c>
      <c r="I603" t="n">
        <v>0</v>
      </c>
      <c r="J603" t="n">
        <v>0</v>
      </c>
      <c r="K603" t="n">
        <v>0</v>
      </c>
      <c r="L603" t="n">
        <v>0</v>
      </c>
      <c r="M603" t="n">
        <v>0</v>
      </c>
      <c r="N603" t="n">
        <v>0</v>
      </c>
      <c r="O603" t="n">
        <v>0</v>
      </c>
      <c r="P603" t="n">
        <v>0</v>
      </c>
      <c r="Q603" t="n">
        <v>0</v>
      </c>
      <c r="R603" s="2" t="inlineStr"/>
    </row>
    <row r="604" ht="15" customHeight="1">
      <c r="A604" t="inlineStr">
        <is>
          <t>A 32395-2025</t>
        </is>
      </c>
      <c r="B604" s="1" t="n">
        <v>45837.93730324074</v>
      </c>
      <c r="C604" s="1" t="n">
        <v>46033</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32396-2025</t>
        </is>
      </c>
      <c r="B605" s="1" t="n">
        <v>45837</v>
      </c>
      <c r="C605" s="1" t="n">
        <v>46033</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32397-2025</t>
        </is>
      </c>
      <c r="B606" s="1" t="n">
        <v>45837.94081018519</v>
      </c>
      <c r="C606" s="1" t="n">
        <v>46033</v>
      </c>
      <c r="D606" t="inlineStr">
        <is>
          <t>STOCKHOLMS LÄN</t>
        </is>
      </c>
      <c r="E606" t="inlineStr">
        <is>
          <t>NORRTÄLJE</t>
        </is>
      </c>
      <c r="G606" t="n">
        <v>5.9</v>
      </c>
      <c r="H606" t="n">
        <v>0</v>
      </c>
      <c r="I606" t="n">
        <v>0</v>
      </c>
      <c r="J606" t="n">
        <v>0</v>
      </c>
      <c r="K606" t="n">
        <v>0</v>
      </c>
      <c r="L606" t="n">
        <v>0</v>
      </c>
      <c r="M606" t="n">
        <v>0</v>
      </c>
      <c r="N606" t="n">
        <v>0</v>
      </c>
      <c r="O606" t="n">
        <v>0</v>
      </c>
      <c r="P606" t="n">
        <v>0</v>
      </c>
      <c r="Q606" t="n">
        <v>0</v>
      </c>
      <c r="R606" s="2" t="inlineStr"/>
    </row>
    <row r="607" ht="15" customHeight="1">
      <c r="A607" t="inlineStr">
        <is>
          <t>A 48718-2025</t>
        </is>
      </c>
      <c r="B607" s="1" t="n">
        <v>45936</v>
      </c>
      <c r="C607" s="1" t="n">
        <v>46033</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59041-2025</t>
        </is>
      </c>
      <c r="B608" s="1" t="n">
        <v>45988</v>
      </c>
      <c r="C608" s="1" t="n">
        <v>46033</v>
      </c>
      <c r="D608" t="inlineStr">
        <is>
          <t>STOCKHOLMS LÄN</t>
        </is>
      </c>
      <c r="E608" t="inlineStr">
        <is>
          <t>NORRTÄLJE</t>
        </is>
      </c>
      <c r="G608" t="n">
        <v>6.6</v>
      </c>
      <c r="H608" t="n">
        <v>0</v>
      </c>
      <c r="I608" t="n">
        <v>0</v>
      </c>
      <c r="J608" t="n">
        <v>0</v>
      </c>
      <c r="K608" t="n">
        <v>0</v>
      </c>
      <c r="L608" t="n">
        <v>0</v>
      </c>
      <c r="M608" t="n">
        <v>0</v>
      </c>
      <c r="N608" t="n">
        <v>0</v>
      </c>
      <c r="O608" t="n">
        <v>0</v>
      </c>
      <c r="P608" t="n">
        <v>0</v>
      </c>
      <c r="Q608" t="n">
        <v>0</v>
      </c>
      <c r="R608" s="2" t="inlineStr"/>
    </row>
    <row r="609" ht="15" customHeight="1">
      <c r="A609" t="inlineStr">
        <is>
          <t>A 1453-2025</t>
        </is>
      </c>
      <c r="B609" s="1" t="n">
        <v>45670.3079050926</v>
      </c>
      <c r="C609" s="1" t="n">
        <v>46033</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48593-2025</t>
        </is>
      </c>
      <c r="B610" s="1" t="n">
        <v>45936.4627662037</v>
      </c>
      <c r="C610" s="1" t="n">
        <v>46033</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5804-2025</t>
        </is>
      </c>
      <c r="B611" s="1" t="n">
        <v>45694.68207175926</v>
      </c>
      <c r="C611" s="1" t="n">
        <v>46033</v>
      </c>
      <c r="D611" t="inlineStr">
        <is>
          <t>STOCKHOLMS LÄN</t>
        </is>
      </c>
      <c r="E611" t="inlineStr">
        <is>
          <t>NORRTÄLJE</t>
        </is>
      </c>
      <c r="F611" t="inlineStr">
        <is>
          <t>Holmen skog AB</t>
        </is>
      </c>
      <c r="G611" t="n">
        <v>2.6</v>
      </c>
      <c r="H611" t="n">
        <v>0</v>
      </c>
      <c r="I611" t="n">
        <v>0</v>
      </c>
      <c r="J611" t="n">
        <v>0</v>
      </c>
      <c r="K611" t="n">
        <v>0</v>
      </c>
      <c r="L611" t="n">
        <v>0</v>
      </c>
      <c r="M611" t="n">
        <v>0</v>
      </c>
      <c r="N611" t="n">
        <v>0</v>
      </c>
      <c r="O611" t="n">
        <v>0</v>
      </c>
      <c r="P611" t="n">
        <v>0</v>
      </c>
      <c r="Q611" t="n">
        <v>0</v>
      </c>
      <c r="R611" s="2" t="inlineStr"/>
    </row>
    <row r="612" ht="15" customHeight="1">
      <c r="A612" t="inlineStr">
        <is>
          <t>A 33279-2025</t>
        </is>
      </c>
      <c r="B612" s="1" t="n">
        <v>45840</v>
      </c>
      <c r="C612" s="1" t="n">
        <v>46033</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52703-2025</t>
        </is>
      </c>
      <c r="B613" s="1" t="n">
        <v>45956.88643518519</v>
      </c>
      <c r="C613" s="1" t="n">
        <v>46033</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50907-2022</t>
        </is>
      </c>
      <c r="B614" s="1" t="n">
        <v>44867.62090277778</v>
      </c>
      <c r="C614" s="1" t="n">
        <v>46033</v>
      </c>
      <c r="D614" t="inlineStr">
        <is>
          <t>STOCKHOLMS LÄN</t>
        </is>
      </c>
      <c r="E614" t="inlineStr">
        <is>
          <t>NORRTÄLJE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52729-2025</t>
        </is>
      </c>
      <c r="B615" s="1" t="n">
        <v>45957.3636574074</v>
      </c>
      <c r="C615" s="1" t="n">
        <v>46033</v>
      </c>
      <c r="D615" t="inlineStr">
        <is>
          <t>STOCKHOLMS LÄN</t>
        </is>
      </c>
      <c r="E615" t="inlineStr">
        <is>
          <t>NORRTÄLJE</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29003-2023</t>
        </is>
      </c>
      <c r="B616" s="1" t="n">
        <v>45104</v>
      </c>
      <c r="C616" s="1" t="n">
        <v>46033</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48443-2025</t>
        </is>
      </c>
      <c r="B617" s="1" t="n">
        <v>45935.55326388889</v>
      </c>
      <c r="C617" s="1" t="n">
        <v>46033</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33295-2023</t>
        </is>
      </c>
      <c r="B618" s="1" t="n">
        <v>45127.69371527778</v>
      </c>
      <c r="C618" s="1" t="n">
        <v>46033</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46033</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16980-2023</t>
        </is>
      </c>
      <c r="B620" s="1" t="n">
        <v>45033</v>
      </c>
      <c r="C620" s="1" t="n">
        <v>46033</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60745-2025</t>
        </is>
      </c>
      <c r="B621" s="1" t="n">
        <v>45999.37753472223</v>
      </c>
      <c r="C621" s="1" t="n">
        <v>46033</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52734-2025</t>
        </is>
      </c>
      <c r="B622" s="1" t="n">
        <v>45957.3710300926</v>
      </c>
      <c r="C622" s="1" t="n">
        <v>46033</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32595-2023</t>
        </is>
      </c>
      <c r="B623" s="1" t="n">
        <v>45121</v>
      </c>
      <c r="C623" s="1" t="n">
        <v>46033</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48780-2025</t>
        </is>
      </c>
      <c r="B624" s="1" t="n">
        <v>45937.30377314815</v>
      </c>
      <c r="C624" s="1" t="n">
        <v>46033</v>
      </c>
      <c r="D624" t="inlineStr">
        <is>
          <t>STOCKHOLMS LÄN</t>
        </is>
      </c>
      <c r="E624" t="inlineStr">
        <is>
          <t>NORRTÄLJE</t>
        </is>
      </c>
      <c r="G624" t="n">
        <v>7.7</v>
      </c>
      <c r="H624" t="n">
        <v>0</v>
      </c>
      <c r="I624" t="n">
        <v>0</v>
      </c>
      <c r="J624" t="n">
        <v>0</v>
      </c>
      <c r="K624" t="n">
        <v>0</v>
      </c>
      <c r="L624" t="n">
        <v>0</v>
      </c>
      <c r="M624" t="n">
        <v>0</v>
      </c>
      <c r="N624" t="n">
        <v>0</v>
      </c>
      <c r="O624" t="n">
        <v>0</v>
      </c>
      <c r="P624" t="n">
        <v>0</v>
      </c>
      <c r="Q624" t="n">
        <v>0</v>
      </c>
      <c r="R624" s="2" t="inlineStr"/>
    </row>
    <row r="625" ht="15" customHeight="1">
      <c r="A625" t="inlineStr">
        <is>
          <t>A 33702-2025</t>
        </is>
      </c>
      <c r="B625" s="1" t="n">
        <v>45841.74596064815</v>
      </c>
      <c r="C625" s="1" t="n">
        <v>46033</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37550-2022</t>
        </is>
      </c>
      <c r="B626" s="1" t="n">
        <v>44809</v>
      </c>
      <c r="C626" s="1" t="n">
        <v>46033</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33211-2025</t>
        </is>
      </c>
      <c r="B627" s="1" t="n">
        <v>45840.62755787037</v>
      </c>
      <c r="C627" s="1" t="n">
        <v>46033</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48161-2022</t>
        </is>
      </c>
      <c r="B628" s="1" t="n">
        <v>44858</v>
      </c>
      <c r="C628" s="1" t="n">
        <v>46033</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33265-2025</t>
        </is>
      </c>
      <c r="B629" s="1" t="n">
        <v>45840.67829861111</v>
      </c>
      <c r="C629" s="1" t="n">
        <v>46033</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48798-2021</t>
        </is>
      </c>
      <c r="B630" s="1" t="n">
        <v>44452</v>
      </c>
      <c r="C630" s="1" t="n">
        <v>46033</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45937.89517361111</v>
      </c>
      <c r="C631" s="1" t="n">
        <v>46033</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12111-2021</t>
        </is>
      </c>
      <c r="B632" s="1" t="n">
        <v>44266</v>
      </c>
      <c r="C632" s="1" t="n">
        <v>46033</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52776-2025</t>
        </is>
      </c>
      <c r="B633" s="1" t="n">
        <v>45957.41724537037</v>
      </c>
      <c r="C633" s="1" t="n">
        <v>46033</v>
      </c>
      <c r="D633" t="inlineStr">
        <is>
          <t>STOCKHOLMS LÄN</t>
        </is>
      </c>
      <c r="E633" t="inlineStr">
        <is>
          <t>NORRTÄLJE</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33552-2025</t>
        </is>
      </c>
      <c r="B634" s="1" t="n">
        <v>45841.5737962963</v>
      </c>
      <c r="C634" s="1" t="n">
        <v>46033</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33336-2025</t>
        </is>
      </c>
      <c r="B635" s="1" t="n">
        <v>45841.35611111111</v>
      </c>
      <c r="C635" s="1" t="n">
        <v>46033</v>
      </c>
      <c r="D635" t="inlineStr">
        <is>
          <t>STOCKHOLMS LÄN</t>
        </is>
      </c>
      <c r="E635" t="inlineStr">
        <is>
          <t>NORRTÄLJE</t>
        </is>
      </c>
      <c r="G635" t="n">
        <v>2.4</v>
      </c>
      <c r="H635" t="n">
        <v>0</v>
      </c>
      <c r="I635" t="n">
        <v>0</v>
      </c>
      <c r="J635" t="n">
        <v>0</v>
      </c>
      <c r="K635" t="n">
        <v>0</v>
      </c>
      <c r="L635" t="n">
        <v>0</v>
      </c>
      <c r="M635" t="n">
        <v>0</v>
      </c>
      <c r="N635" t="n">
        <v>0</v>
      </c>
      <c r="O635" t="n">
        <v>0</v>
      </c>
      <c r="P635" t="n">
        <v>0</v>
      </c>
      <c r="Q635" t="n">
        <v>0</v>
      </c>
      <c r="R635" s="2" t="inlineStr"/>
    </row>
    <row r="636" ht="15" customHeight="1">
      <c r="A636" t="inlineStr">
        <is>
          <t>A 54776-2023</t>
        </is>
      </c>
      <c r="B636" s="1" t="n">
        <v>45236.46369212963</v>
      </c>
      <c r="C636" s="1" t="n">
        <v>46033</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33824-2025</t>
        </is>
      </c>
      <c r="B637" s="1" t="n">
        <v>45842.46885416667</v>
      </c>
      <c r="C637" s="1" t="n">
        <v>46033</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46033</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34006-2025</t>
        </is>
      </c>
      <c r="B639" s="1" t="n">
        <v>45844.62609953704</v>
      </c>
      <c r="C639" s="1" t="n">
        <v>46033</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34139-2025</t>
        </is>
      </c>
      <c r="B640" s="1" t="n">
        <v>45845</v>
      </c>
      <c r="C640" s="1" t="n">
        <v>46033</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55952-2024</t>
        </is>
      </c>
      <c r="B641" s="1" t="n">
        <v>45623.62563657408</v>
      </c>
      <c r="C641" s="1" t="n">
        <v>46033</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8135-2025</t>
        </is>
      </c>
      <c r="B642" s="1" t="n">
        <v>45707.84997685185</v>
      </c>
      <c r="C642" s="1" t="n">
        <v>46033</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3383-2023</t>
        </is>
      </c>
      <c r="B643" s="1" t="n">
        <v>44949</v>
      </c>
      <c r="C643" s="1" t="n">
        <v>46033</v>
      </c>
      <c r="D643" t="inlineStr">
        <is>
          <t>STOCKHOLMS LÄN</t>
        </is>
      </c>
      <c r="E643" t="inlineStr">
        <is>
          <t>NORRTÄLJE</t>
        </is>
      </c>
      <c r="G643" t="n">
        <v>14.6</v>
      </c>
      <c r="H643" t="n">
        <v>0</v>
      </c>
      <c r="I643" t="n">
        <v>0</v>
      </c>
      <c r="J643" t="n">
        <v>0</v>
      </c>
      <c r="K643" t="n">
        <v>0</v>
      </c>
      <c r="L643" t="n">
        <v>0</v>
      </c>
      <c r="M643" t="n">
        <v>0</v>
      </c>
      <c r="N643" t="n">
        <v>0</v>
      </c>
      <c r="O643" t="n">
        <v>0</v>
      </c>
      <c r="P643" t="n">
        <v>0</v>
      </c>
      <c r="Q643" t="n">
        <v>0</v>
      </c>
      <c r="R643" s="2" t="inlineStr"/>
    </row>
    <row r="644" ht="15" customHeight="1">
      <c r="A644" t="inlineStr">
        <is>
          <t>A 34010-2025</t>
        </is>
      </c>
      <c r="B644" s="1" t="n">
        <v>45844.91234953704</v>
      </c>
      <c r="C644" s="1" t="n">
        <v>46033</v>
      </c>
      <c r="D644" t="inlineStr">
        <is>
          <t>STOCKHOLMS LÄN</t>
        </is>
      </c>
      <c r="E644" t="inlineStr">
        <is>
          <t>NORRTÄLJE</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13148-2021</t>
        </is>
      </c>
      <c r="B645" s="1" t="n">
        <v>44272</v>
      </c>
      <c r="C645" s="1" t="n">
        <v>46033</v>
      </c>
      <c r="D645" t="inlineStr">
        <is>
          <t>STOCKHOLMS LÄN</t>
        </is>
      </c>
      <c r="E645" t="inlineStr">
        <is>
          <t>NORRTÄLJE</t>
        </is>
      </c>
      <c r="G645" t="n">
        <v>12.4</v>
      </c>
      <c r="H645" t="n">
        <v>0</v>
      </c>
      <c r="I645" t="n">
        <v>0</v>
      </c>
      <c r="J645" t="n">
        <v>0</v>
      </c>
      <c r="K645" t="n">
        <v>0</v>
      </c>
      <c r="L645" t="n">
        <v>0</v>
      </c>
      <c r="M645" t="n">
        <v>0</v>
      </c>
      <c r="N645" t="n">
        <v>0</v>
      </c>
      <c r="O645" t="n">
        <v>0</v>
      </c>
      <c r="P645" t="n">
        <v>0</v>
      </c>
      <c r="Q645" t="n">
        <v>0</v>
      </c>
      <c r="R645" s="2" t="inlineStr"/>
    </row>
    <row r="646" ht="15" customHeight="1">
      <c r="A646" t="inlineStr">
        <is>
          <t>A 50097-2025</t>
        </is>
      </c>
      <c r="B646" s="1" t="n">
        <v>45943.50207175926</v>
      </c>
      <c r="C646" s="1" t="n">
        <v>46033</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21732-2023</t>
        </is>
      </c>
      <c r="B647" s="1" t="n">
        <v>45063</v>
      </c>
      <c r="C647" s="1" t="n">
        <v>46033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36689-2023</t>
        </is>
      </c>
      <c r="B648" s="1" t="n">
        <v>45152</v>
      </c>
      <c r="C648" s="1" t="n">
        <v>46033</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23307-2024</t>
        </is>
      </c>
      <c r="B649" s="1" t="n">
        <v>45453</v>
      </c>
      <c r="C649" s="1" t="n">
        <v>46033</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49836-2025</t>
        </is>
      </c>
      <c r="B650" s="1" t="n">
        <v>45940.46862268518</v>
      </c>
      <c r="C650" s="1" t="n">
        <v>46033</v>
      </c>
      <c r="D650" t="inlineStr">
        <is>
          <t>STOCKHOLMS LÄN</t>
        </is>
      </c>
      <c r="E650" t="inlineStr">
        <is>
          <t>NORRTÄLJE</t>
        </is>
      </c>
      <c r="G650" t="n">
        <v>3.5</v>
      </c>
      <c r="H650" t="n">
        <v>0</v>
      </c>
      <c r="I650" t="n">
        <v>0</v>
      </c>
      <c r="J650" t="n">
        <v>0</v>
      </c>
      <c r="K650" t="n">
        <v>0</v>
      </c>
      <c r="L650" t="n">
        <v>0</v>
      </c>
      <c r="M650" t="n">
        <v>0</v>
      </c>
      <c r="N650" t="n">
        <v>0</v>
      </c>
      <c r="O650" t="n">
        <v>0</v>
      </c>
      <c r="P650" t="n">
        <v>0</v>
      </c>
      <c r="Q650" t="n">
        <v>0</v>
      </c>
      <c r="R650" s="2" t="inlineStr"/>
    </row>
    <row r="651" ht="15" customHeight="1">
      <c r="A651" t="inlineStr">
        <is>
          <t>A 46073-2024</t>
        </is>
      </c>
      <c r="B651" s="1" t="n">
        <v>45581</v>
      </c>
      <c r="C651" s="1" t="n">
        <v>46033</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50327-2025</t>
        </is>
      </c>
      <c r="B652" s="1" t="n">
        <v>45944.46387731482</v>
      </c>
      <c r="C652" s="1" t="n">
        <v>46033</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3386-2021</t>
        </is>
      </c>
      <c r="B653" s="1" t="n">
        <v>44218</v>
      </c>
      <c r="C653" s="1" t="n">
        <v>46033</v>
      </c>
      <c r="D653" t="inlineStr">
        <is>
          <t>STOCKHOLMS LÄN</t>
        </is>
      </c>
      <c r="E653" t="inlineStr">
        <is>
          <t>NORRTÄLJE</t>
        </is>
      </c>
      <c r="G653" t="n">
        <v>8</v>
      </c>
      <c r="H653" t="n">
        <v>0</v>
      </c>
      <c r="I653" t="n">
        <v>0</v>
      </c>
      <c r="J653" t="n">
        <v>0</v>
      </c>
      <c r="K653" t="n">
        <v>0</v>
      </c>
      <c r="L653" t="n">
        <v>0</v>
      </c>
      <c r="M653" t="n">
        <v>0</v>
      </c>
      <c r="N653" t="n">
        <v>0</v>
      </c>
      <c r="O653" t="n">
        <v>0</v>
      </c>
      <c r="P653" t="n">
        <v>0</v>
      </c>
      <c r="Q653" t="n">
        <v>0</v>
      </c>
      <c r="R653" s="2" t="inlineStr"/>
    </row>
    <row r="654" ht="15" customHeight="1">
      <c r="A654" t="inlineStr">
        <is>
          <t>A 52529-2025</t>
        </is>
      </c>
      <c r="B654" s="1" t="n">
        <v>45954.53229166667</v>
      </c>
      <c r="C654" s="1" t="n">
        <v>46033</v>
      </c>
      <c r="D654" t="inlineStr">
        <is>
          <t>STOCKHOLMS LÄN</t>
        </is>
      </c>
      <c r="E654" t="inlineStr">
        <is>
          <t>NORRTÄLJE</t>
        </is>
      </c>
      <c r="F654" t="inlineStr">
        <is>
          <t>Sveaskog</t>
        </is>
      </c>
      <c r="G654" t="n">
        <v>7.8</v>
      </c>
      <c r="H654" t="n">
        <v>0</v>
      </c>
      <c r="I654" t="n">
        <v>0</v>
      </c>
      <c r="J654" t="n">
        <v>0</v>
      </c>
      <c r="K654" t="n">
        <v>0</v>
      </c>
      <c r="L654" t="n">
        <v>0</v>
      </c>
      <c r="M654" t="n">
        <v>0</v>
      </c>
      <c r="N654" t="n">
        <v>0</v>
      </c>
      <c r="O654" t="n">
        <v>0</v>
      </c>
      <c r="P654" t="n">
        <v>0</v>
      </c>
      <c r="Q654" t="n">
        <v>0</v>
      </c>
      <c r="R654" s="2" t="inlineStr"/>
    </row>
    <row r="655" ht="15" customHeight="1">
      <c r="A655" t="inlineStr">
        <is>
          <t>A 52704-2025</t>
        </is>
      </c>
      <c r="B655" s="1" t="n">
        <v>45956.89097222222</v>
      </c>
      <c r="C655" s="1" t="n">
        <v>46033</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50563-2025</t>
        </is>
      </c>
      <c r="B656" s="1" t="n">
        <v>45944</v>
      </c>
      <c r="C656" s="1" t="n">
        <v>46033</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37085-2021</t>
        </is>
      </c>
      <c r="B657" s="1" t="n">
        <v>44395</v>
      </c>
      <c r="C657" s="1" t="n">
        <v>46033</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46033</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56428-2023</t>
        </is>
      </c>
      <c r="B659" s="1" t="n">
        <v>45243.45289351852</v>
      </c>
      <c r="C659" s="1" t="n">
        <v>46033</v>
      </c>
      <c r="D659" t="inlineStr">
        <is>
          <t>STOCKHOLMS LÄN</t>
        </is>
      </c>
      <c r="E659" t="inlineStr">
        <is>
          <t>NORRTÄLJE</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60928-2025</t>
        </is>
      </c>
      <c r="B660" s="1" t="n">
        <v>45999.633125</v>
      </c>
      <c r="C660" s="1" t="n">
        <v>46033</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52553-2025</t>
        </is>
      </c>
      <c r="B661" s="1" t="n">
        <v>45954.5624537037</v>
      </c>
      <c r="C661" s="1" t="n">
        <v>46033</v>
      </c>
      <c r="D661" t="inlineStr">
        <is>
          <t>STOCKHOLMS LÄN</t>
        </is>
      </c>
      <c r="E661" t="inlineStr">
        <is>
          <t>NORRTÄLJE</t>
        </is>
      </c>
      <c r="G661" t="n">
        <v>4.4</v>
      </c>
      <c r="H661" t="n">
        <v>0</v>
      </c>
      <c r="I661" t="n">
        <v>0</v>
      </c>
      <c r="J661" t="n">
        <v>0</v>
      </c>
      <c r="K661" t="n">
        <v>0</v>
      </c>
      <c r="L661" t="n">
        <v>0</v>
      </c>
      <c r="M661" t="n">
        <v>0</v>
      </c>
      <c r="N661" t="n">
        <v>0</v>
      </c>
      <c r="O661" t="n">
        <v>0</v>
      </c>
      <c r="P661" t="n">
        <v>0</v>
      </c>
      <c r="Q661" t="n">
        <v>0</v>
      </c>
      <c r="R661" s="2" t="inlineStr"/>
    </row>
    <row r="662" ht="15" customHeight="1">
      <c r="A662" t="inlineStr">
        <is>
          <t>A 60948-2025</t>
        </is>
      </c>
      <c r="B662" s="1" t="n">
        <v>45999.650625</v>
      </c>
      <c r="C662" s="1" t="n">
        <v>46033</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17556-2025</t>
        </is>
      </c>
      <c r="B663" s="1" t="n">
        <v>45757.62482638889</v>
      </c>
      <c r="C663" s="1" t="n">
        <v>46033</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39610-2025</t>
        </is>
      </c>
      <c r="B664" s="1" t="n">
        <v>45890.56001157407</v>
      </c>
      <c r="C664" s="1" t="n">
        <v>46033</v>
      </c>
      <c r="D664" t="inlineStr">
        <is>
          <t>STOCKHOLMS LÄN</t>
        </is>
      </c>
      <c r="E664" t="inlineStr">
        <is>
          <t>NORRTÄLJE</t>
        </is>
      </c>
      <c r="G664" t="n">
        <v>28.6</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46033</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61430-2025</t>
        </is>
      </c>
      <c r="B666" s="1" t="n">
        <v>46001.55583333333</v>
      </c>
      <c r="C666" s="1" t="n">
        <v>46033</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8370-2025</t>
        </is>
      </c>
      <c r="B667" s="1" t="n">
        <v>45708</v>
      </c>
      <c r="C667" s="1" t="n">
        <v>46033</v>
      </c>
      <c r="D667" t="inlineStr">
        <is>
          <t>STOCKHOLMS LÄN</t>
        </is>
      </c>
      <c r="E667" t="inlineStr">
        <is>
          <t>NORRTÄLJE</t>
        </is>
      </c>
      <c r="F667" t="inlineStr">
        <is>
          <t>Övriga Aktiebolag</t>
        </is>
      </c>
      <c r="G667" t="n">
        <v>5.6</v>
      </c>
      <c r="H667" t="n">
        <v>0</v>
      </c>
      <c r="I667" t="n">
        <v>0</v>
      </c>
      <c r="J667" t="n">
        <v>0</v>
      </c>
      <c r="K667" t="n">
        <v>0</v>
      </c>
      <c r="L667" t="n">
        <v>0</v>
      </c>
      <c r="M667" t="n">
        <v>0</v>
      </c>
      <c r="N667" t="n">
        <v>0</v>
      </c>
      <c r="O667" t="n">
        <v>0</v>
      </c>
      <c r="P667" t="n">
        <v>0</v>
      </c>
      <c r="Q667" t="n">
        <v>0</v>
      </c>
      <c r="R667" s="2" t="inlineStr"/>
    </row>
    <row r="668" ht="15" customHeight="1">
      <c r="A668" t="inlineStr">
        <is>
          <t>A 35110-2025</t>
        </is>
      </c>
      <c r="B668" s="1" t="n">
        <v>45852.58030092593</v>
      </c>
      <c r="C668" s="1" t="n">
        <v>46033</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61289-2025</t>
        </is>
      </c>
      <c r="B669" s="1" t="n">
        <v>46000.73659722223</v>
      </c>
      <c r="C669" s="1" t="n">
        <v>46033</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3299-2022</t>
        </is>
      </c>
      <c r="B670" s="1" t="n">
        <v>44584.91001157407</v>
      </c>
      <c r="C670" s="1" t="n">
        <v>46033</v>
      </c>
      <c r="D670" t="inlineStr">
        <is>
          <t>STOCKHOLMS LÄN</t>
        </is>
      </c>
      <c r="E670" t="inlineStr">
        <is>
          <t>NORRTÄLJE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35254-2025</t>
        </is>
      </c>
      <c r="B671" s="1" t="n">
        <v>45853</v>
      </c>
      <c r="C671" s="1" t="n">
        <v>46033</v>
      </c>
      <c r="D671" t="inlineStr">
        <is>
          <t>STOCKHOLMS LÄN</t>
        </is>
      </c>
      <c r="E671" t="inlineStr">
        <is>
          <t>NORRTÄLJE</t>
        </is>
      </c>
      <c r="G671" t="n">
        <v>6.5</v>
      </c>
      <c r="H671" t="n">
        <v>0</v>
      </c>
      <c r="I671" t="n">
        <v>0</v>
      </c>
      <c r="J671" t="n">
        <v>0</v>
      </c>
      <c r="K671" t="n">
        <v>0</v>
      </c>
      <c r="L671" t="n">
        <v>0</v>
      </c>
      <c r="M671" t="n">
        <v>0</v>
      </c>
      <c r="N671" t="n">
        <v>0</v>
      </c>
      <c r="O671" t="n">
        <v>0</v>
      </c>
      <c r="P671" t="n">
        <v>0</v>
      </c>
      <c r="Q671" t="n">
        <v>0</v>
      </c>
      <c r="R671" s="2" t="inlineStr"/>
    </row>
    <row r="672" ht="15" customHeight="1">
      <c r="A672" t="inlineStr">
        <is>
          <t>A 61452-2025</t>
        </is>
      </c>
      <c r="B672" s="1" t="n">
        <v>46001.58043981482</v>
      </c>
      <c r="C672" s="1" t="n">
        <v>46033</v>
      </c>
      <c r="D672" t="inlineStr">
        <is>
          <t>STOCKHOLMS LÄN</t>
        </is>
      </c>
      <c r="E672" t="inlineStr">
        <is>
          <t>NORRTÄLJE</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12348-2025</t>
        </is>
      </c>
      <c r="B673" s="1" t="n">
        <v>45730.35026620371</v>
      </c>
      <c r="C673" s="1" t="n">
        <v>46033</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17545-2025</t>
        </is>
      </c>
      <c r="B674" s="1" t="n">
        <v>45757.60658564815</v>
      </c>
      <c r="C674" s="1" t="n">
        <v>46033</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35479-2025</t>
        </is>
      </c>
      <c r="B675" s="1" t="n">
        <v>45855.69387731481</v>
      </c>
      <c r="C675" s="1" t="n">
        <v>46033</v>
      </c>
      <c r="D675" t="inlineStr">
        <is>
          <t>STOCKHOLMS LÄN</t>
        </is>
      </c>
      <c r="E675" t="inlineStr">
        <is>
          <t>NORRTÄLJE</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35451-2025</t>
        </is>
      </c>
      <c r="B676" s="1" t="n">
        <v>45855.57033564815</v>
      </c>
      <c r="C676" s="1" t="n">
        <v>46033</v>
      </c>
      <c r="D676" t="inlineStr">
        <is>
          <t>STOCKHOLMS LÄN</t>
        </is>
      </c>
      <c r="E676" t="inlineStr">
        <is>
          <t>NORRTÄLJE</t>
        </is>
      </c>
      <c r="F676" t="inlineStr">
        <is>
          <t>Holmen skog AB</t>
        </is>
      </c>
      <c r="G676" t="n">
        <v>7.4</v>
      </c>
      <c r="H676" t="n">
        <v>0</v>
      </c>
      <c r="I676" t="n">
        <v>0</v>
      </c>
      <c r="J676" t="n">
        <v>0</v>
      </c>
      <c r="K676" t="n">
        <v>0</v>
      </c>
      <c r="L676" t="n">
        <v>0</v>
      </c>
      <c r="M676" t="n">
        <v>0</v>
      </c>
      <c r="N676" t="n">
        <v>0</v>
      </c>
      <c r="O676" t="n">
        <v>0</v>
      </c>
      <c r="P676" t="n">
        <v>0</v>
      </c>
      <c r="Q676" t="n">
        <v>0</v>
      </c>
      <c r="R676" s="2" t="inlineStr"/>
    </row>
    <row r="677" ht="15" customHeight="1">
      <c r="A677" t="inlineStr">
        <is>
          <t>A 35478-2025</t>
        </is>
      </c>
      <c r="B677" s="1" t="n">
        <v>45855.68413194444</v>
      </c>
      <c r="C677" s="1" t="n">
        <v>46033</v>
      </c>
      <c r="D677" t="inlineStr">
        <is>
          <t>STOCKHOLMS LÄN</t>
        </is>
      </c>
      <c r="E677" t="inlineStr">
        <is>
          <t>NORRTÄLJE</t>
        </is>
      </c>
      <c r="F677" t="inlineStr">
        <is>
          <t>Holmen skog AB</t>
        </is>
      </c>
      <c r="G677" t="n">
        <v>2.7</v>
      </c>
      <c r="H677" t="n">
        <v>0</v>
      </c>
      <c r="I677" t="n">
        <v>0</v>
      </c>
      <c r="J677" t="n">
        <v>0</v>
      </c>
      <c r="K677" t="n">
        <v>0</v>
      </c>
      <c r="L677" t="n">
        <v>0</v>
      </c>
      <c r="M677" t="n">
        <v>0</v>
      </c>
      <c r="N677" t="n">
        <v>0</v>
      </c>
      <c r="O677" t="n">
        <v>0</v>
      </c>
      <c r="P677" t="n">
        <v>0</v>
      </c>
      <c r="Q677" t="n">
        <v>0</v>
      </c>
      <c r="R677" s="2" t="inlineStr"/>
    </row>
    <row r="678" ht="15" customHeight="1">
      <c r="A678" t="inlineStr">
        <is>
          <t>A 25094-2023</t>
        </is>
      </c>
      <c r="B678" s="1" t="n">
        <v>45086.3629050926</v>
      </c>
      <c r="C678" s="1" t="n">
        <v>46033</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36157-2024</t>
        </is>
      </c>
      <c r="B679" s="1" t="n">
        <v>45534.38240740741</v>
      </c>
      <c r="C679" s="1" t="n">
        <v>46033</v>
      </c>
      <c r="D679" t="inlineStr">
        <is>
          <t>STOCKHOLMS LÄN</t>
        </is>
      </c>
      <c r="E679" t="inlineStr">
        <is>
          <t>NORRTÄLJE</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61419-2025</t>
        </is>
      </c>
      <c r="B680" s="1" t="n">
        <v>46001.54137731482</v>
      </c>
      <c r="C680" s="1" t="n">
        <v>46033</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47694-2023</t>
        </is>
      </c>
      <c r="B681" s="1" t="n">
        <v>45203.63303240741</v>
      </c>
      <c r="C681" s="1" t="n">
        <v>46033</v>
      </c>
      <c r="D681" t="inlineStr">
        <is>
          <t>STOCKHOLMS LÄN</t>
        </is>
      </c>
      <c r="E681" t="inlineStr">
        <is>
          <t>NORRTÄLJE</t>
        </is>
      </c>
      <c r="G681" t="n">
        <v>5.2</v>
      </c>
      <c r="H681" t="n">
        <v>0</v>
      </c>
      <c r="I681" t="n">
        <v>0</v>
      </c>
      <c r="J681" t="n">
        <v>0</v>
      </c>
      <c r="K681" t="n">
        <v>0</v>
      </c>
      <c r="L681" t="n">
        <v>0</v>
      </c>
      <c r="M681" t="n">
        <v>0</v>
      </c>
      <c r="N681" t="n">
        <v>0</v>
      </c>
      <c r="O681" t="n">
        <v>0</v>
      </c>
      <c r="P681" t="n">
        <v>0</v>
      </c>
      <c r="Q681" t="n">
        <v>0</v>
      </c>
      <c r="R681" s="2" t="inlineStr"/>
    </row>
    <row r="682" ht="15" customHeight="1">
      <c r="A682" t="inlineStr">
        <is>
          <t>A 35532-2024</t>
        </is>
      </c>
      <c r="B682" s="1" t="n">
        <v>45531</v>
      </c>
      <c r="C682" s="1" t="n">
        <v>46033</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1654-2025</t>
        </is>
      </c>
      <c r="B683" s="1" t="n">
        <v>45670.65921296296</v>
      </c>
      <c r="C683" s="1" t="n">
        <v>46033</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62644-2023</t>
        </is>
      </c>
      <c r="B684" s="1" t="n">
        <v>45271</v>
      </c>
      <c r="C684" s="1" t="n">
        <v>46033</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11229-2022</t>
        </is>
      </c>
      <c r="B685" s="1" t="n">
        <v>44629</v>
      </c>
      <c r="C685" s="1" t="n">
        <v>46033</v>
      </c>
      <c r="D685" t="inlineStr">
        <is>
          <t>STOCKHOLMS LÄN</t>
        </is>
      </c>
      <c r="E685" t="inlineStr">
        <is>
          <t>NORRTÄLJE</t>
        </is>
      </c>
      <c r="F685" t="inlineStr">
        <is>
          <t>Övriga Aktiebolag</t>
        </is>
      </c>
      <c r="G685" t="n">
        <v>4.1</v>
      </c>
      <c r="H685" t="n">
        <v>0</v>
      </c>
      <c r="I685" t="n">
        <v>0</v>
      </c>
      <c r="J685" t="n">
        <v>0</v>
      </c>
      <c r="K685" t="n">
        <v>0</v>
      </c>
      <c r="L685" t="n">
        <v>0</v>
      </c>
      <c r="M685" t="n">
        <v>0</v>
      </c>
      <c r="N685" t="n">
        <v>0</v>
      </c>
      <c r="O685" t="n">
        <v>0</v>
      </c>
      <c r="P685" t="n">
        <v>0</v>
      </c>
      <c r="Q685" t="n">
        <v>0</v>
      </c>
      <c r="R685" s="2" t="inlineStr"/>
    </row>
    <row r="686" ht="15" customHeight="1">
      <c r="A686" t="inlineStr">
        <is>
          <t>A 57353-2024</t>
        </is>
      </c>
      <c r="B686" s="1" t="n">
        <v>45629.65143518519</v>
      </c>
      <c r="C686" s="1" t="n">
        <v>46033</v>
      </c>
      <c r="D686" t="inlineStr">
        <is>
          <t>STOCKHOLMS LÄN</t>
        </is>
      </c>
      <c r="E686" t="inlineStr">
        <is>
          <t>NORRTÄLJE</t>
        </is>
      </c>
      <c r="F686" t="inlineStr">
        <is>
          <t>Holmen skog AB</t>
        </is>
      </c>
      <c r="G686" t="n">
        <v>0.9</v>
      </c>
      <c r="H686" t="n">
        <v>0</v>
      </c>
      <c r="I686" t="n">
        <v>0</v>
      </c>
      <c r="J686" t="n">
        <v>0</v>
      </c>
      <c r="K686" t="n">
        <v>0</v>
      </c>
      <c r="L686" t="n">
        <v>0</v>
      </c>
      <c r="M686" t="n">
        <v>0</v>
      </c>
      <c r="N686" t="n">
        <v>0</v>
      </c>
      <c r="O686" t="n">
        <v>0</v>
      </c>
      <c r="P686" t="n">
        <v>0</v>
      </c>
      <c r="Q686" t="n">
        <v>0</v>
      </c>
      <c r="R686" s="2" t="inlineStr"/>
    </row>
    <row r="687" ht="15" customHeight="1">
      <c r="A687" t="inlineStr">
        <is>
          <t>A 48587-2023</t>
        </is>
      </c>
      <c r="B687" s="1" t="n">
        <v>45208</v>
      </c>
      <c r="C687" s="1" t="n">
        <v>46033</v>
      </c>
      <c r="D687" t="inlineStr">
        <is>
          <t>STOCKHOLMS LÄN</t>
        </is>
      </c>
      <c r="E687" t="inlineStr">
        <is>
          <t>NORRTÄLJE</t>
        </is>
      </c>
      <c r="G687" t="n">
        <v>7</v>
      </c>
      <c r="H687" t="n">
        <v>0</v>
      </c>
      <c r="I687" t="n">
        <v>0</v>
      </c>
      <c r="J687" t="n">
        <v>0</v>
      </c>
      <c r="K687" t="n">
        <v>0</v>
      </c>
      <c r="L687" t="n">
        <v>0</v>
      </c>
      <c r="M687" t="n">
        <v>0</v>
      </c>
      <c r="N687" t="n">
        <v>0</v>
      </c>
      <c r="O687" t="n">
        <v>0</v>
      </c>
      <c r="P687" t="n">
        <v>0</v>
      </c>
      <c r="Q687" t="n">
        <v>0</v>
      </c>
      <c r="R687" s="2" t="inlineStr"/>
    </row>
    <row r="688" ht="15" customHeight="1">
      <c r="A688" t="inlineStr">
        <is>
          <t>A 61160-2025</t>
        </is>
      </c>
      <c r="B688" s="1" t="n">
        <v>46000.55262731481</v>
      </c>
      <c r="C688" s="1" t="n">
        <v>46033</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46033</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4438-2023</t>
        </is>
      </c>
      <c r="B690" s="1" t="n">
        <v>44956</v>
      </c>
      <c r="C690" s="1" t="n">
        <v>46033</v>
      </c>
      <c r="D690" t="inlineStr">
        <is>
          <t>STOCKHOLMS LÄN</t>
        </is>
      </c>
      <c r="E690" t="inlineStr">
        <is>
          <t>NORRTÄLJE</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34444-2024</t>
        </is>
      </c>
      <c r="B691" s="1" t="n">
        <v>45525</v>
      </c>
      <c r="C691" s="1" t="n">
        <v>46033</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47758-2023</t>
        </is>
      </c>
      <c r="B692" s="1" t="n">
        <v>45203.83891203703</v>
      </c>
      <c r="C692" s="1" t="n">
        <v>46033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20698-2025</t>
        </is>
      </c>
      <c r="B693" s="1" t="n">
        <v>45776.47122685185</v>
      </c>
      <c r="C693" s="1" t="n">
        <v>46033</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51061-2023</t>
        </is>
      </c>
      <c r="B694" s="1" t="n">
        <v>45218.65849537037</v>
      </c>
      <c r="C694" s="1" t="n">
        <v>46033</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22697-2022</t>
        </is>
      </c>
      <c r="B695" s="1" t="n">
        <v>44714.56040509259</v>
      </c>
      <c r="C695" s="1" t="n">
        <v>46033</v>
      </c>
      <c r="D695" t="inlineStr">
        <is>
          <t>STOCKHOLMS LÄN</t>
        </is>
      </c>
      <c r="E695" t="inlineStr">
        <is>
          <t>NORRTÄLJE</t>
        </is>
      </c>
      <c r="G695" t="n">
        <v>5.6</v>
      </c>
      <c r="H695" t="n">
        <v>0</v>
      </c>
      <c r="I695" t="n">
        <v>0</v>
      </c>
      <c r="J695" t="n">
        <v>0</v>
      </c>
      <c r="K695" t="n">
        <v>0</v>
      </c>
      <c r="L695" t="n">
        <v>0</v>
      </c>
      <c r="M695" t="n">
        <v>0</v>
      </c>
      <c r="N695" t="n">
        <v>0</v>
      </c>
      <c r="O695" t="n">
        <v>0</v>
      </c>
      <c r="P695" t="n">
        <v>0</v>
      </c>
      <c r="Q695" t="n">
        <v>0</v>
      </c>
      <c r="R695" s="2" t="inlineStr"/>
    </row>
    <row r="696" ht="15" customHeight="1">
      <c r="A696" t="inlineStr">
        <is>
          <t>A 53299-2025</t>
        </is>
      </c>
      <c r="B696" s="1" t="n">
        <v>45959.31901620371</v>
      </c>
      <c r="C696" s="1" t="n">
        <v>46033</v>
      </c>
      <c r="D696" t="inlineStr">
        <is>
          <t>STOCKHOLMS LÄN</t>
        </is>
      </c>
      <c r="E696" t="inlineStr">
        <is>
          <t>NORRTÄLJE</t>
        </is>
      </c>
      <c r="G696" t="n">
        <v>4.8</v>
      </c>
      <c r="H696" t="n">
        <v>0</v>
      </c>
      <c r="I696" t="n">
        <v>0</v>
      </c>
      <c r="J696" t="n">
        <v>0</v>
      </c>
      <c r="K696" t="n">
        <v>0</v>
      </c>
      <c r="L696" t="n">
        <v>0</v>
      </c>
      <c r="M696" t="n">
        <v>0</v>
      </c>
      <c r="N696" t="n">
        <v>0</v>
      </c>
      <c r="O696" t="n">
        <v>0</v>
      </c>
      <c r="P696" t="n">
        <v>0</v>
      </c>
      <c r="Q696" t="n">
        <v>0</v>
      </c>
      <c r="R696" s="2" t="inlineStr"/>
    </row>
    <row r="697" ht="15" customHeight="1">
      <c r="A697" t="inlineStr">
        <is>
          <t>A 53087-2025</t>
        </is>
      </c>
      <c r="B697" s="1" t="n">
        <v>45958.41065972222</v>
      </c>
      <c r="C697" s="1" t="n">
        <v>46033</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45549-2022</t>
        </is>
      </c>
      <c r="B698" s="1" t="n">
        <v>44845.48064814815</v>
      </c>
      <c r="C698" s="1" t="n">
        <v>46033</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54396-2021</t>
        </is>
      </c>
      <c r="B699" s="1" t="n">
        <v>44472</v>
      </c>
      <c r="C699" s="1" t="n">
        <v>46033</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24727-2023</t>
        </is>
      </c>
      <c r="B700" s="1" t="n">
        <v>45084.57695601852</v>
      </c>
      <c r="C700" s="1" t="n">
        <v>46033</v>
      </c>
      <c r="D700" t="inlineStr">
        <is>
          <t>STOCKHOLMS LÄN</t>
        </is>
      </c>
      <c r="E700" t="inlineStr">
        <is>
          <t>NORRTÄLJE</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48722-2023</t>
        </is>
      </c>
      <c r="B701" s="1" t="n">
        <v>45208.70996527778</v>
      </c>
      <c r="C701" s="1" t="n">
        <v>46033</v>
      </c>
      <c r="D701" t="inlineStr">
        <is>
          <t>STOCKHOLMS LÄN</t>
        </is>
      </c>
      <c r="E701" t="inlineStr">
        <is>
          <t>NORRTÄLJE</t>
        </is>
      </c>
      <c r="G701" t="n">
        <v>0.3</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46033</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35235-2024</t>
        </is>
      </c>
      <c r="B703" s="1" t="n">
        <v>45530</v>
      </c>
      <c r="C703" s="1" t="n">
        <v>46033</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22232-2024</t>
        </is>
      </c>
      <c r="B704" s="1" t="n">
        <v>45446.4287962963</v>
      </c>
      <c r="C704" s="1" t="n">
        <v>46033</v>
      </c>
      <c r="D704" t="inlineStr">
        <is>
          <t>STOCKHOLMS LÄN</t>
        </is>
      </c>
      <c r="E704" t="inlineStr">
        <is>
          <t>NORRTÄLJE</t>
        </is>
      </c>
      <c r="G704" t="n">
        <v>12.8</v>
      </c>
      <c r="H704" t="n">
        <v>0</v>
      </c>
      <c r="I704" t="n">
        <v>0</v>
      </c>
      <c r="J704" t="n">
        <v>0</v>
      </c>
      <c r="K704" t="n">
        <v>0</v>
      </c>
      <c r="L704" t="n">
        <v>0</v>
      </c>
      <c r="M704" t="n">
        <v>0</v>
      </c>
      <c r="N704" t="n">
        <v>0</v>
      </c>
      <c r="O704" t="n">
        <v>0</v>
      </c>
      <c r="P704" t="n">
        <v>0</v>
      </c>
      <c r="Q704" t="n">
        <v>0</v>
      </c>
      <c r="R704" s="2" t="inlineStr"/>
    </row>
    <row r="705" ht="15" customHeight="1">
      <c r="A705" t="inlineStr">
        <is>
          <t>A 1448-2023</t>
        </is>
      </c>
      <c r="B705" s="1" t="n">
        <v>44937</v>
      </c>
      <c r="C705" s="1" t="n">
        <v>46033</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36396-2025</t>
        </is>
      </c>
      <c r="B706" s="1" t="n">
        <v>45868.62267361111</v>
      </c>
      <c r="C706" s="1" t="n">
        <v>46033</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8736-2024</t>
        </is>
      </c>
      <c r="B707" s="1" t="n">
        <v>45356.4722800926</v>
      </c>
      <c r="C707" s="1" t="n">
        <v>46033</v>
      </c>
      <c r="D707" t="inlineStr">
        <is>
          <t>STOCKHOLMS LÄN</t>
        </is>
      </c>
      <c r="E707" t="inlineStr">
        <is>
          <t>NORRTÄLJE</t>
        </is>
      </c>
      <c r="G707" t="n">
        <v>8.9</v>
      </c>
      <c r="H707" t="n">
        <v>0</v>
      </c>
      <c r="I707" t="n">
        <v>0</v>
      </c>
      <c r="J707" t="n">
        <v>0</v>
      </c>
      <c r="K707" t="n">
        <v>0</v>
      </c>
      <c r="L707" t="n">
        <v>0</v>
      </c>
      <c r="M707" t="n">
        <v>0</v>
      </c>
      <c r="N707" t="n">
        <v>0</v>
      </c>
      <c r="O707" t="n">
        <v>0</v>
      </c>
      <c r="P707" t="n">
        <v>0</v>
      </c>
      <c r="Q707" t="n">
        <v>0</v>
      </c>
      <c r="R707" s="2" t="inlineStr"/>
    </row>
    <row r="708" ht="15" customHeight="1">
      <c r="A708" t="inlineStr">
        <is>
          <t>A 33149-2022</t>
        </is>
      </c>
      <c r="B708" s="1" t="n">
        <v>44785</v>
      </c>
      <c r="C708" s="1" t="n">
        <v>46033</v>
      </c>
      <c r="D708" t="inlineStr">
        <is>
          <t>STOCKHOLMS LÄN</t>
        </is>
      </c>
      <c r="E708" t="inlineStr">
        <is>
          <t>NORRTÄLJE</t>
        </is>
      </c>
      <c r="F708" t="inlineStr">
        <is>
          <t>Holmen skog AB</t>
        </is>
      </c>
      <c r="G708" t="n">
        <v>4.4</v>
      </c>
      <c r="H708" t="n">
        <v>0</v>
      </c>
      <c r="I708" t="n">
        <v>0</v>
      </c>
      <c r="J708" t="n">
        <v>0</v>
      </c>
      <c r="K708" t="n">
        <v>0</v>
      </c>
      <c r="L708" t="n">
        <v>0</v>
      </c>
      <c r="M708" t="n">
        <v>0</v>
      </c>
      <c r="N708" t="n">
        <v>0</v>
      </c>
      <c r="O708" t="n">
        <v>0</v>
      </c>
      <c r="P708" t="n">
        <v>0</v>
      </c>
      <c r="Q708" t="n">
        <v>0</v>
      </c>
      <c r="R708" s="2" t="inlineStr"/>
    </row>
    <row r="709" ht="15" customHeight="1">
      <c r="A709" t="inlineStr">
        <is>
          <t>A 53629-2025</t>
        </is>
      </c>
      <c r="B709" s="1" t="n">
        <v>45960.49570601852</v>
      </c>
      <c r="C709" s="1" t="n">
        <v>46033</v>
      </c>
      <c r="D709" t="inlineStr">
        <is>
          <t>STOCKHOLMS LÄN</t>
        </is>
      </c>
      <c r="E709" t="inlineStr">
        <is>
          <t>NORRTÄLJE</t>
        </is>
      </c>
      <c r="F709" t="inlineStr">
        <is>
          <t>Naturvårdsverket</t>
        </is>
      </c>
      <c r="G709" t="n">
        <v>7.9</v>
      </c>
      <c r="H709" t="n">
        <v>0</v>
      </c>
      <c r="I709" t="n">
        <v>0</v>
      </c>
      <c r="J709" t="n">
        <v>0</v>
      </c>
      <c r="K709" t="n">
        <v>0</v>
      </c>
      <c r="L709" t="n">
        <v>0</v>
      </c>
      <c r="M709" t="n">
        <v>0</v>
      </c>
      <c r="N709" t="n">
        <v>0</v>
      </c>
      <c r="O709" t="n">
        <v>0</v>
      </c>
      <c r="P709" t="n">
        <v>0</v>
      </c>
      <c r="Q709" t="n">
        <v>0</v>
      </c>
      <c r="R709" s="2" t="inlineStr"/>
    </row>
    <row r="710" ht="15" customHeight="1">
      <c r="A710" t="inlineStr">
        <is>
          <t>A 61769-2025</t>
        </is>
      </c>
      <c r="B710" s="1" t="n">
        <v>46002.64556712963</v>
      </c>
      <c r="C710" s="1" t="n">
        <v>46033</v>
      </c>
      <c r="D710" t="inlineStr">
        <is>
          <t>STOCKHOLMS LÄN</t>
        </is>
      </c>
      <c r="E710" t="inlineStr">
        <is>
          <t>NORRTÄLJE</t>
        </is>
      </c>
      <c r="G710" t="n">
        <v>2.9</v>
      </c>
      <c r="H710" t="n">
        <v>0</v>
      </c>
      <c r="I710" t="n">
        <v>0</v>
      </c>
      <c r="J710" t="n">
        <v>0</v>
      </c>
      <c r="K710" t="n">
        <v>0</v>
      </c>
      <c r="L710" t="n">
        <v>0</v>
      </c>
      <c r="M710" t="n">
        <v>0</v>
      </c>
      <c r="N710" t="n">
        <v>0</v>
      </c>
      <c r="O710" t="n">
        <v>0</v>
      </c>
      <c r="P710" t="n">
        <v>0</v>
      </c>
      <c r="Q710" t="n">
        <v>0</v>
      </c>
      <c r="R710" s="2" t="inlineStr"/>
    </row>
    <row r="711" ht="15" customHeight="1">
      <c r="A711" t="inlineStr">
        <is>
          <t>A 6537-2024</t>
        </is>
      </c>
      <c r="B711" s="1" t="n">
        <v>45341.39853009259</v>
      </c>
      <c r="C711" s="1" t="n">
        <v>46033</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40175-2024</t>
        </is>
      </c>
      <c r="B712" s="1" t="n">
        <v>45554.55707175926</v>
      </c>
      <c r="C712" s="1" t="n">
        <v>46033</v>
      </c>
      <c r="D712" t="inlineStr">
        <is>
          <t>STOCKHOLMS LÄN</t>
        </is>
      </c>
      <c r="E712" t="inlineStr">
        <is>
          <t>NORRTÄLJE</t>
        </is>
      </c>
      <c r="G712" t="n">
        <v>7.7</v>
      </c>
      <c r="H712" t="n">
        <v>0</v>
      </c>
      <c r="I712" t="n">
        <v>0</v>
      </c>
      <c r="J712" t="n">
        <v>0</v>
      </c>
      <c r="K712" t="n">
        <v>0</v>
      </c>
      <c r="L712" t="n">
        <v>0</v>
      </c>
      <c r="M712" t="n">
        <v>0</v>
      </c>
      <c r="N712" t="n">
        <v>0</v>
      </c>
      <c r="O712" t="n">
        <v>0</v>
      </c>
      <c r="P712" t="n">
        <v>0</v>
      </c>
      <c r="Q712" t="n">
        <v>0</v>
      </c>
      <c r="R712" s="2" t="inlineStr"/>
    </row>
    <row r="713" ht="15" customHeight="1">
      <c r="A713" t="inlineStr">
        <is>
          <t>A 54558-2024</t>
        </is>
      </c>
      <c r="B713" s="1" t="n">
        <v>45617.62358796296</v>
      </c>
      <c r="C713" s="1" t="n">
        <v>46033</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23056-2023</t>
        </is>
      </c>
      <c r="B714" s="1" t="n">
        <v>45075</v>
      </c>
      <c r="C714" s="1" t="n">
        <v>46033</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47431-2023</t>
        </is>
      </c>
      <c r="B715" s="1" t="n">
        <v>45202</v>
      </c>
      <c r="C715" s="1" t="n">
        <v>46033</v>
      </c>
      <c r="D715" t="inlineStr">
        <is>
          <t>STOCKHOLMS LÄN</t>
        </is>
      </c>
      <c r="E715" t="inlineStr">
        <is>
          <t>NORRTÄLJE</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59499-2023</t>
        </is>
      </c>
      <c r="B716" s="1" t="n">
        <v>45254</v>
      </c>
      <c r="C716" s="1" t="n">
        <v>46033</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53747-2025</t>
        </is>
      </c>
      <c r="B717" s="1" t="n">
        <v>45960.65415509259</v>
      </c>
      <c r="C717" s="1" t="n">
        <v>46033</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59468-2023</t>
        </is>
      </c>
      <c r="B718" s="1" t="n">
        <v>45254.41509259259</v>
      </c>
      <c r="C718" s="1" t="n">
        <v>46033</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37261-2025</t>
        </is>
      </c>
      <c r="B719" s="1" t="n">
        <v>45876.45253472222</v>
      </c>
      <c r="C719" s="1" t="n">
        <v>46033</v>
      </c>
      <c r="D719" t="inlineStr">
        <is>
          <t>STOCKHOLMS LÄN</t>
        </is>
      </c>
      <c r="E719" t="inlineStr">
        <is>
          <t>NORRTÄLJE</t>
        </is>
      </c>
      <c r="F719" t="inlineStr">
        <is>
          <t>Kommuner</t>
        </is>
      </c>
      <c r="G719" t="n">
        <v>2.2</v>
      </c>
      <c r="H719" t="n">
        <v>0</v>
      </c>
      <c r="I719" t="n">
        <v>0</v>
      </c>
      <c r="J719" t="n">
        <v>0</v>
      </c>
      <c r="K719" t="n">
        <v>0</v>
      </c>
      <c r="L719" t="n">
        <v>0</v>
      </c>
      <c r="M719" t="n">
        <v>0</v>
      </c>
      <c r="N719" t="n">
        <v>0</v>
      </c>
      <c r="O719" t="n">
        <v>0</v>
      </c>
      <c r="P719" t="n">
        <v>0</v>
      </c>
      <c r="Q719" t="n">
        <v>0</v>
      </c>
      <c r="R719" s="2" t="inlineStr"/>
    </row>
    <row r="720" ht="15" customHeight="1">
      <c r="A720" t="inlineStr">
        <is>
          <t>A 12532-2025</t>
        </is>
      </c>
      <c r="B720" s="1" t="n">
        <v>45730.69143518519</v>
      </c>
      <c r="C720" s="1" t="n">
        <v>46033</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5732-2023</t>
        </is>
      </c>
      <c r="B721" s="1" t="n">
        <v>44962</v>
      </c>
      <c r="C721" s="1" t="n">
        <v>46033</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10653-2022</t>
        </is>
      </c>
      <c r="B722" s="1" t="n">
        <v>44624.59434027778</v>
      </c>
      <c r="C722" s="1" t="n">
        <v>46033</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21729-2024</t>
        </is>
      </c>
      <c r="B723" s="1" t="n">
        <v>45442</v>
      </c>
      <c r="C723" s="1" t="n">
        <v>46033</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11854-2025</t>
        </is>
      </c>
      <c r="B724" s="1" t="n">
        <v>45728.38924768518</v>
      </c>
      <c r="C724" s="1" t="n">
        <v>46033</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37628-2025</t>
        </is>
      </c>
      <c r="B725" s="1" t="n">
        <v>45880.46189814815</v>
      </c>
      <c r="C725" s="1" t="n">
        <v>46033</v>
      </c>
      <c r="D725" t="inlineStr">
        <is>
          <t>STOCKHOLMS LÄN</t>
        </is>
      </c>
      <c r="E725" t="inlineStr">
        <is>
          <t>NORRTÄLJE</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29369-2024</t>
        </is>
      </c>
      <c r="B726" s="1" t="n">
        <v>45483.57244212963</v>
      </c>
      <c r="C726" s="1" t="n">
        <v>46033</v>
      </c>
      <c r="D726" t="inlineStr">
        <is>
          <t>STOCKHOLMS LÄN</t>
        </is>
      </c>
      <c r="E726" t="inlineStr">
        <is>
          <t>NORRTÄLJE</t>
        </is>
      </c>
      <c r="G726" t="n">
        <v>15.9</v>
      </c>
      <c r="H726" t="n">
        <v>0</v>
      </c>
      <c r="I726" t="n">
        <v>0</v>
      </c>
      <c r="J726" t="n">
        <v>0</v>
      </c>
      <c r="K726" t="n">
        <v>0</v>
      </c>
      <c r="L726" t="n">
        <v>0</v>
      </c>
      <c r="M726" t="n">
        <v>0</v>
      </c>
      <c r="N726" t="n">
        <v>0</v>
      </c>
      <c r="O726" t="n">
        <v>0</v>
      </c>
      <c r="P726" t="n">
        <v>0</v>
      </c>
      <c r="Q726" t="n">
        <v>0</v>
      </c>
      <c r="R726" s="2" t="inlineStr"/>
    </row>
    <row r="727" ht="15" customHeight="1">
      <c r="A727" t="inlineStr">
        <is>
          <t>A 14762-2024</t>
        </is>
      </c>
      <c r="B727" s="1" t="n">
        <v>45397</v>
      </c>
      <c r="C727" s="1" t="n">
        <v>46033</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37632-2025</t>
        </is>
      </c>
      <c r="B728" s="1" t="n">
        <v>45880.46524305556</v>
      </c>
      <c r="C728" s="1" t="n">
        <v>46033</v>
      </c>
      <c r="D728" t="inlineStr">
        <is>
          <t>STOCKHOLMS LÄN</t>
        </is>
      </c>
      <c r="E728" t="inlineStr">
        <is>
          <t>NORRTÄLJE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29841-2024</t>
        </is>
      </c>
      <c r="B729" s="1" t="n">
        <v>45485.60261574074</v>
      </c>
      <c r="C729" s="1" t="n">
        <v>46033</v>
      </c>
      <c r="D729" t="inlineStr">
        <is>
          <t>STOCKHOLMS LÄN</t>
        </is>
      </c>
      <c r="E729" t="inlineStr">
        <is>
          <t>NORRTÄLJE</t>
        </is>
      </c>
      <c r="G729" t="n">
        <v>15.9</v>
      </c>
      <c r="H729" t="n">
        <v>0</v>
      </c>
      <c r="I729" t="n">
        <v>0</v>
      </c>
      <c r="J729" t="n">
        <v>0</v>
      </c>
      <c r="K729" t="n">
        <v>0</v>
      </c>
      <c r="L729" t="n">
        <v>0</v>
      </c>
      <c r="M729" t="n">
        <v>0</v>
      </c>
      <c r="N729" t="n">
        <v>0</v>
      </c>
      <c r="O729" t="n">
        <v>0</v>
      </c>
      <c r="P729" t="n">
        <v>0</v>
      </c>
      <c r="Q729" t="n">
        <v>0</v>
      </c>
      <c r="R729" s="2" t="inlineStr"/>
    </row>
    <row r="730" ht="15" customHeight="1">
      <c r="A730" t="inlineStr">
        <is>
          <t>A 20692-2025</t>
        </is>
      </c>
      <c r="B730" s="1" t="n">
        <v>45776.46369212963</v>
      </c>
      <c r="C730" s="1" t="n">
        <v>46033</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37630-2025</t>
        </is>
      </c>
      <c r="B731" s="1" t="n">
        <v>45880.46372685185</v>
      </c>
      <c r="C731" s="1" t="n">
        <v>46033</v>
      </c>
      <c r="D731" t="inlineStr">
        <is>
          <t>STOCKHOLMS LÄN</t>
        </is>
      </c>
      <c r="E731" t="inlineStr">
        <is>
          <t>NORRTÄLJE</t>
        </is>
      </c>
      <c r="F731" t="inlineStr">
        <is>
          <t>Sveaskog</t>
        </is>
      </c>
      <c r="G731" t="n">
        <v>12.9</v>
      </c>
      <c r="H731" t="n">
        <v>0</v>
      </c>
      <c r="I731" t="n">
        <v>0</v>
      </c>
      <c r="J731" t="n">
        <v>0</v>
      </c>
      <c r="K731" t="n">
        <v>0</v>
      </c>
      <c r="L731" t="n">
        <v>0</v>
      </c>
      <c r="M731" t="n">
        <v>0</v>
      </c>
      <c r="N731" t="n">
        <v>0</v>
      </c>
      <c r="O731" t="n">
        <v>0</v>
      </c>
      <c r="P731" t="n">
        <v>0</v>
      </c>
      <c r="Q731" t="n">
        <v>0</v>
      </c>
      <c r="R731" s="2" t="inlineStr"/>
    </row>
    <row r="732" ht="15" customHeight="1">
      <c r="A732" t="inlineStr">
        <is>
          <t>A 61764-2025</t>
        </is>
      </c>
      <c r="B732" s="1" t="n">
        <v>46002.62763888889</v>
      </c>
      <c r="C732" s="1" t="n">
        <v>46033</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59712-2024</t>
        </is>
      </c>
      <c r="B733" s="1" t="n">
        <v>45639.45166666667</v>
      </c>
      <c r="C733" s="1" t="n">
        <v>46033</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46071-2024</t>
        </is>
      </c>
      <c r="B734" s="1" t="n">
        <v>45581</v>
      </c>
      <c r="C734" s="1" t="n">
        <v>46033</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35127-2023</t>
        </is>
      </c>
      <c r="B735" s="1" t="n">
        <v>45145.51</v>
      </c>
      <c r="C735" s="1" t="n">
        <v>46033</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13137-2024</t>
        </is>
      </c>
      <c r="B736" s="1" t="n">
        <v>45386.34175925926</v>
      </c>
      <c r="C736" s="1" t="n">
        <v>46033</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24350-2025</t>
        </is>
      </c>
      <c r="B737" s="1" t="n">
        <v>45797.58350694444</v>
      </c>
      <c r="C737" s="1" t="n">
        <v>46033</v>
      </c>
      <c r="D737" t="inlineStr">
        <is>
          <t>STOCKHOLMS LÄN</t>
        </is>
      </c>
      <c r="E737" t="inlineStr">
        <is>
          <t>NORRTÄLJE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26703-2025</t>
        </is>
      </c>
      <c r="B738" s="1" t="n">
        <v>45810.45263888889</v>
      </c>
      <c r="C738" s="1" t="n">
        <v>46033</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45255-2022</t>
        </is>
      </c>
      <c r="B739" s="1" t="n">
        <v>44840</v>
      </c>
      <c r="C739" s="1" t="n">
        <v>46033</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38153-2025</t>
        </is>
      </c>
      <c r="B740" s="1" t="n">
        <v>45882.59722222222</v>
      </c>
      <c r="C740" s="1" t="n">
        <v>46033</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59893-2022</t>
        </is>
      </c>
      <c r="B741" s="1" t="n">
        <v>44908.77368055555</v>
      </c>
      <c r="C741" s="1" t="n">
        <v>46033</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39905-2023</t>
        </is>
      </c>
      <c r="B742" s="1" t="n">
        <v>45168.44489583333</v>
      </c>
      <c r="C742" s="1" t="n">
        <v>46033</v>
      </c>
      <c r="D742" t="inlineStr">
        <is>
          <t>STOCKHOLMS LÄN</t>
        </is>
      </c>
      <c r="E742" t="inlineStr">
        <is>
          <t>NORRTÄLJE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5645-2023</t>
        </is>
      </c>
      <c r="B743" s="1" t="n">
        <v>44960.60469907407</v>
      </c>
      <c r="C743" s="1" t="n">
        <v>46033</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68361-2021</t>
        </is>
      </c>
      <c r="B744" s="1" t="n">
        <v>44528.91494212963</v>
      </c>
      <c r="C744" s="1" t="n">
        <v>46033</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60529-2023</t>
        </is>
      </c>
      <c r="B745" s="1" t="n">
        <v>45259</v>
      </c>
      <c r="C745" s="1" t="n">
        <v>46033</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22816-2021</t>
        </is>
      </c>
      <c r="B746" s="1" t="n">
        <v>44325</v>
      </c>
      <c r="C746" s="1" t="n">
        <v>46033</v>
      </c>
      <c r="D746" t="inlineStr">
        <is>
          <t>STOCKHOLMS LÄN</t>
        </is>
      </c>
      <c r="E746" t="inlineStr">
        <is>
          <t>NORRTÄLJE</t>
        </is>
      </c>
      <c r="G746" t="n">
        <v>4.5</v>
      </c>
      <c r="H746" t="n">
        <v>0</v>
      </c>
      <c r="I746" t="n">
        <v>0</v>
      </c>
      <c r="J746" t="n">
        <v>0</v>
      </c>
      <c r="K746" t="n">
        <v>0</v>
      </c>
      <c r="L746" t="n">
        <v>0</v>
      </c>
      <c r="M746" t="n">
        <v>0</v>
      </c>
      <c r="N746" t="n">
        <v>0</v>
      </c>
      <c r="O746" t="n">
        <v>0</v>
      </c>
      <c r="P746" t="n">
        <v>0</v>
      </c>
      <c r="Q746" t="n">
        <v>0</v>
      </c>
      <c r="R746" s="2" t="inlineStr"/>
    </row>
    <row r="747" ht="15" customHeight="1">
      <c r="A747" t="inlineStr">
        <is>
          <t>A 19706-2023</t>
        </is>
      </c>
      <c r="B747" s="1" t="n">
        <v>45051.455</v>
      </c>
      <c r="C747" s="1" t="n">
        <v>46033</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18539-2021</t>
        </is>
      </c>
      <c r="B748" s="1" t="n">
        <v>44306</v>
      </c>
      <c r="C748" s="1" t="n">
        <v>46033</v>
      </c>
      <c r="D748" t="inlineStr">
        <is>
          <t>STOCKHOLMS LÄN</t>
        </is>
      </c>
      <c r="E748" t="inlineStr">
        <is>
          <t>NORRTÄLJE</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17612-2022</t>
        </is>
      </c>
      <c r="B749" s="1" t="n">
        <v>44680</v>
      </c>
      <c r="C749" s="1" t="n">
        <v>46033</v>
      </c>
      <c r="D749" t="inlineStr">
        <is>
          <t>STOCKHOLMS LÄN</t>
        </is>
      </c>
      <c r="E749" t="inlineStr">
        <is>
          <t>NORRTÄLJE</t>
        </is>
      </c>
      <c r="G749" t="n">
        <v>2.6</v>
      </c>
      <c r="H749" t="n">
        <v>0</v>
      </c>
      <c r="I749" t="n">
        <v>0</v>
      </c>
      <c r="J749" t="n">
        <v>0</v>
      </c>
      <c r="K749" t="n">
        <v>0</v>
      </c>
      <c r="L749" t="n">
        <v>0</v>
      </c>
      <c r="M749" t="n">
        <v>0</v>
      </c>
      <c r="N749" t="n">
        <v>0</v>
      </c>
      <c r="O749" t="n">
        <v>0</v>
      </c>
      <c r="P749" t="n">
        <v>0</v>
      </c>
      <c r="Q749" t="n">
        <v>0</v>
      </c>
      <c r="R749" s="2" t="inlineStr"/>
    </row>
    <row r="750" ht="15" customHeight="1">
      <c r="A750" t="inlineStr">
        <is>
          <t>A 16835-2022</t>
        </is>
      </c>
      <c r="B750" s="1" t="n">
        <v>44673</v>
      </c>
      <c r="C750" s="1" t="n">
        <v>46033</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62765-2022</t>
        </is>
      </c>
      <c r="B751" s="1" t="n">
        <v>44637</v>
      </c>
      <c r="C751" s="1" t="n">
        <v>46033</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58404-2023</t>
        </is>
      </c>
      <c r="B752" s="1" t="n">
        <v>45245</v>
      </c>
      <c r="C752" s="1" t="n">
        <v>46033</v>
      </c>
      <c r="D752" t="inlineStr">
        <is>
          <t>STOCKHOLMS LÄN</t>
        </is>
      </c>
      <c r="E752" t="inlineStr">
        <is>
          <t>NORRTÄLJE</t>
        </is>
      </c>
      <c r="G752" t="n">
        <v>53.5</v>
      </c>
      <c r="H752" t="n">
        <v>0</v>
      </c>
      <c r="I752" t="n">
        <v>0</v>
      </c>
      <c r="J752" t="n">
        <v>0</v>
      </c>
      <c r="K752" t="n">
        <v>0</v>
      </c>
      <c r="L752" t="n">
        <v>0</v>
      </c>
      <c r="M752" t="n">
        <v>0</v>
      </c>
      <c r="N752" t="n">
        <v>0</v>
      </c>
      <c r="O752" t="n">
        <v>0</v>
      </c>
      <c r="P752" t="n">
        <v>0</v>
      </c>
      <c r="Q752" t="n">
        <v>0</v>
      </c>
      <c r="R752" s="2" t="inlineStr"/>
    </row>
    <row r="753" ht="15" customHeight="1">
      <c r="A753" t="inlineStr">
        <is>
          <t>A 8586-2023</t>
        </is>
      </c>
      <c r="B753" s="1" t="n">
        <v>44977</v>
      </c>
      <c r="C753" s="1" t="n">
        <v>46033</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62708-2025</t>
        </is>
      </c>
      <c r="B754" s="1" t="n">
        <v>46008.50986111111</v>
      </c>
      <c r="C754" s="1" t="n">
        <v>46033</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46033</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46033</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55018-2024</t>
        </is>
      </c>
      <c r="B757" s="1" t="n">
        <v>45621.35712962963</v>
      </c>
      <c r="C757" s="1" t="n">
        <v>46033</v>
      </c>
      <c r="D757" t="inlineStr">
        <is>
          <t>STOCKHOLMS LÄN</t>
        </is>
      </c>
      <c r="E757" t="inlineStr">
        <is>
          <t>NORRTÄLJE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50136-2023</t>
        </is>
      </c>
      <c r="B758" s="1" t="n">
        <v>45215</v>
      </c>
      <c r="C758" s="1" t="n">
        <v>46033</v>
      </c>
      <c r="D758" t="inlineStr">
        <is>
          <t>STOCKHOLMS LÄN</t>
        </is>
      </c>
      <c r="E758" t="inlineStr">
        <is>
          <t>NORRTÄLJE</t>
        </is>
      </c>
      <c r="G758" t="n">
        <v>5.2</v>
      </c>
      <c r="H758" t="n">
        <v>0</v>
      </c>
      <c r="I758" t="n">
        <v>0</v>
      </c>
      <c r="J758" t="n">
        <v>0</v>
      </c>
      <c r="K758" t="n">
        <v>0</v>
      </c>
      <c r="L758" t="n">
        <v>0</v>
      </c>
      <c r="M758" t="n">
        <v>0</v>
      </c>
      <c r="N758" t="n">
        <v>0</v>
      </c>
      <c r="O758" t="n">
        <v>0</v>
      </c>
      <c r="P758" t="n">
        <v>0</v>
      </c>
      <c r="Q758" t="n">
        <v>0</v>
      </c>
      <c r="R758" s="2" t="inlineStr"/>
    </row>
    <row r="759" ht="15" customHeight="1">
      <c r="A759" t="inlineStr">
        <is>
          <t>A 25656-2023</t>
        </is>
      </c>
      <c r="B759" s="1" t="n">
        <v>45089</v>
      </c>
      <c r="C759" s="1" t="n">
        <v>46033</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6003-2025</t>
        </is>
      </c>
      <c r="B760" s="1" t="n">
        <v>45695.57881944445</v>
      </c>
      <c r="C760" s="1" t="n">
        <v>46033</v>
      </c>
      <c r="D760" t="inlineStr">
        <is>
          <t>STOCKHOLMS LÄN</t>
        </is>
      </c>
      <c r="E760" t="inlineStr">
        <is>
          <t>NORRTÄLJE</t>
        </is>
      </c>
      <c r="F760" t="inlineStr">
        <is>
          <t>Holmen skog AB</t>
        </is>
      </c>
      <c r="G760" t="n">
        <v>2.3</v>
      </c>
      <c r="H760" t="n">
        <v>0</v>
      </c>
      <c r="I760" t="n">
        <v>0</v>
      </c>
      <c r="J760" t="n">
        <v>0</v>
      </c>
      <c r="K760" t="n">
        <v>0</v>
      </c>
      <c r="L760" t="n">
        <v>0</v>
      </c>
      <c r="M760" t="n">
        <v>0</v>
      </c>
      <c r="N760" t="n">
        <v>0</v>
      </c>
      <c r="O760" t="n">
        <v>0</v>
      </c>
      <c r="P760" t="n">
        <v>0</v>
      </c>
      <c r="Q760" t="n">
        <v>0</v>
      </c>
      <c r="R760" s="2" t="inlineStr"/>
    </row>
    <row r="761" ht="15" customHeight="1">
      <c r="A761" t="inlineStr">
        <is>
          <t>A 11902-2024</t>
        </is>
      </c>
      <c r="B761" s="1" t="n">
        <v>45376.55704861111</v>
      </c>
      <c r="C761" s="1" t="n">
        <v>46033</v>
      </c>
      <c r="D761" t="inlineStr">
        <is>
          <t>STOCKHOLMS LÄN</t>
        </is>
      </c>
      <c r="E761" t="inlineStr">
        <is>
          <t>NORRTÄLJE</t>
        </is>
      </c>
      <c r="G761" t="n">
        <v>2.5</v>
      </c>
      <c r="H761" t="n">
        <v>0</v>
      </c>
      <c r="I761" t="n">
        <v>0</v>
      </c>
      <c r="J761" t="n">
        <v>0</v>
      </c>
      <c r="K761" t="n">
        <v>0</v>
      </c>
      <c r="L761" t="n">
        <v>0</v>
      </c>
      <c r="M761" t="n">
        <v>0</v>
      </c>
      <c r="N761" t="n">
        <v>0</v>
      </c>
      <c r="O761" t="n">
        <v>0</v>
      </c>
      <c r="P761" t="n">
        <v>0</v>
      </c>
      <c r="Q761" t="n">
        <v>0</v>
      </c>
      <c r="R761" s="2" t="inlineStr"/>
    </row>
    <row r="762" ht="15" customHeight="1">
      <c r="A762" t="inlineStr">
        <is>
          <t>A 62689-2025</t>
        </is>
      </c>
      <c r="B762" s="1" t="n">
        <v>46008.47171296296</v>
      </c>
      <c r="C762" s="1" t="n">
        <v>46033</v>
      </c>
      <c r="D762" t="inlineStr">
        <is>
          <t>STOCKHOLMS LÄN</t>
        </is>
      </c>
      <c r="E762" t="inlineStr">
        <is>
          <t>NORRTÄLJE</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38049-2023</t>
        </is>
      </c>
      <c r="B763" s="1" t="n">
        <v>45159</v>
      </c>
      <c r="C763" s="1" t="n">
        <v>46033</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62681-2025</t>
        </is>
      </c>
      <c r="B764" s="1" t="n">
        <v>46008.45534722223</v>
      </c>
      <c r="C764" s="1" t="n">
        <v>46033</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59535-2024</t>
        </is>
      </c>
      <c r="B765" s="1" t="n">
        <v>45638.59979166667</v>
      </c>
      <c r="C765" s="1" t="n">
        <v>46033</v>
      </c>
      <c r="D765" t="inlineStr">
        <is>
          <t>STOCKHOLMS LÄN</t>
        </is>
      </c>
      <c r="E765" t="inlineStr">
        <is>
          <t>NORRTÄLJE</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65499-2021</t>
        </is>
      </c>
      <c r="B766" s="1" t="n">
        <v>44516</v>
      </c>
      <c r="C766" s="1" t="n">
        <v>46033</v>
      </c>
      <c r="D766" t="inlineStr">
        <is>
          <t>STOCKHOLMS LÄN</t>
        </is>
      </c>
      <c r="E766" t="inlineStr">
        <is>
          <t>NORRTÄLJE</t>
        </is>
      </c>
      <c r="F766" t="inlineStr">
        <is>
          <t>Kommuner</t>
        </is>
      </c>
      <c r="G766" t="n">
        <v>5.2</v>
      </c>
      <c r="H766" t="n">
        <v>0</v>
      </c>
      <c r="I766" t="n">
        <v>0</v>
      </c>
      <c r="J766" t="n">
        <v>0</v>
      </c>
      <c r="K766" t="n">
        <v>0</v>
      </c>
      <c r="L766" t="n">
        <v>0</v>
      </c>
      <c r="M766" t="n">
        <v>0</v>
      </c>
      <c r="N766" t="n">
        <v>0</v>
      </c>
      <c r="O766" t="n">
        <v>0</v>
      </c>
      <c r="P766" t="n">
        <v>0</v>
      </c>
      <c r="Q766" t="n">
        <v>0</v>
      </c>
      <c r="R766" s="2" t="inlineStr"/>
    </row>
    <row r="767" ht="15" customHeight="1">
      <c r="A767" t="inlineStr">
        <is>
          <t>A 4183-2025</t>
        </is>
      </c>
      <c r="B767" s="1" t="n">
        <v>45685.44592592592</v>
      </c>
      <c r="C767" s="1" t="n">
        <v>46033</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62922-2025</t>
        </is>
      </c>
      <c r="B768" s="1" t="n">
        <v>46009.38064814815</v>
      </c>
      <c r="C768" s="1" t="n">
        <v>46033</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9480-2025</t>
        </is>
      </c>
      <c r="B769" s="1" t="n">
        <v>45715</v>
      </c>
      <c r="C769" s="1" t="n">
        <v>46033</v>
      </c>
      <c r="D769" t="inlineStr">
        <is>
          <t>STOCKHOLMS LÄN</t>
        </is>
      </c>
      <c r="E769" t="inlineStr">
        <is>
          <t>NORRTÄLJE</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54907-2025</t>
        </is>
      </c>
      <c r="B770" s="1" t="n">
        <v>45967.37137731481</v>
      </c>
      <c r="C770" s="1" t="n">
        <v>46033</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24522-2023</t>
        </is>
      </c>
      <c r="B771" s="1" t="n">
        <v>45082.69179398148</v>
      </c>
      <c r="C771" s="1" t="n">
        <v>46033</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25625-2023</t>
        </is>
      </c>
      <c r="B772" s="1" t="n">
        <v>45089</v>
      </c>
      <c r="C772" s="1" t="n">
        <v>46033</v>
      </c>
      <c r="D772" t="inlineStr">
        <is>
          <t>STOCKHOLMS LÄN</t>
        </is>
      </c>
      <c r="E772" t="inlineStr">
        <is>
          <t>NORRTÄLJE</t>
        </is>
      </c>
      <c r="G772" t="n">
        <v>5.5</v>
      </c>
      <c r="H772" t="n">
        <v>0</v>
      </c>
      <c r="I772" t="n">
        <v>0</v>
      </c>
      <c r="J772" t="n">
        <v>0</v>
      </c>
      <c r="K772" t="n">
        <v>0</v>
      </c>
      <c r="L772" t="n">
        <v>0</v>
      </c>
      <c r="M772" t="n">
        <v>0</v>
      </c>
      <c r="N772" t="n">
        <v>0</v>
      </c>
      <c r="O772" t="n">
        <v>0</v>
      </c>
      <c r="P772" t="n">
        <v>0</v>
      </c>
      <c r="Q772" t="n">
        <v>0</v>
      </c>
      <c r="R772" s="2" t="inlineStr"/>
    </row>
    <row r="773" ht="15" customHeight="1">
      <c r="A773" t="inlineStr">
        <is>
          <t>A 55503-2025</t>
        </is>
      </c>
      <c r="B773" s="1" t="n">
        <v>45971</v>
      </c>
      <c r="C773" s="1" t="n">
        <v>46033</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37147-2023</t>
        </is>
      </c>
      <c r="B774" s="1" t="n">
        <v>45155</v>
      </c>
      <c r="C774" s="1" t="n">
        <v>46033</v>
      </c>
      <c r="D774" t="inlineStr">
        <is>
          <t>STOCKHOLMS LÄN</t>
        </is>
      </c>
      <c r="E774" t="inlineStr">
        <is>
          <t>NORRTÄLJE</t>
        </is>
      </c>
      <c r="G774" t="n">
        <v>8</v>
      </c>
      <c r="H774" t="n">
        <v>0</v>
      </c>
      <c r="I774" t="n">
        <v>0</v>
      </c>
      <c r="J774" t="n">
        <v>0</v>
      </c>
      <c r="K774" t="n">
        <v>0</v>
      </c>
      <c r="L774" t="n">
        <v>0</v>
      </c>
      <c r="M774" t="n">
        <v>0</v>
      </c>
      <c r="N774" t="n">
        <v>0</v>
      </c>
      <c r="O774" t="n">
        <v>0</v>
      </c>
      <c r="P774" t="n">
        <v>0</v>
      </c>
      <c r="Q774" t="n">
        <v>0</v>
      </c>
      <c r="R774" s="2" t="inlineStr"/>
    </row>
    <row r="775" ht="15" customHeight="1">
      <c r="A775" t="inlineStr">
        <is>
          <t>A 7186-2024</t>
        </is>
      </c>
      <c r="B775" s="1" t="n">
        <v>45344</v>
      </c>
      <c r="C775" s="1" t="n">
        <v>46033</v>
      </c>
      <c r="D775" t="inlineStr">
        <is>
          <t>STOCKHOLMS LÄN</t>
        </is>
      </c>
      <c r="E775" t="inlineStr">
        <is>
          <t>NORRTÄLJE</t>
        </is>
      </c>
      <c r="G775" t="n">
        <v>4.9</v>
      </c>
      <c r="H775" t="n">
        <v>0</v>
      </c>
      <c r="I775" t="n">
        <v>0</v>
      </c>
      <c r="J775" t="n">
        <v>0</v>
      </c>
      <c r="K775" t="n">
        <v>0</v>
      </c>
      <c r="L775" t="n">
        <v>0</v>
      </c>
      <c r="M775" t="n">
        <v>0</v>
      </c>
      <c r="N775" t="n">
        <v>0</v>
      </c>
      <c r="O775" t="n">
        <v>0</v>
      </c>
      <c r="P775" t="n">
        <v>0</v>
      </c>
      <c r="Q775" t="n">
        <v>0</v>
      </c>
      <c r="R775" s="2" t="inlineStr"/>
    </row>
    <row r="776" ht="15" customHeight="1">
      <c r="A776" t="inlineStr">
        <is>
          <t>A 57602-2024</t>
        </is>
      </c>
      <c r="B776" s="1" t="n">
        <v>45630.52866898148</v>
      </c>
      <c r="C776" s="1" t="n">
        <v>46033</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64600-2021</t>
        </is>
      </c>
      <c r="B777" s="1" t="n">
        <v>44511.70518518519</v>
      </c>
      <c r="C777" s="1" t="n">
        <v>46033</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50602-2021</t>
        </is>
      </c>
      <c r="B778" s="1" t="n">
        <v>44459</v>
      </c>
      <c r="C778" s="1" t="n">
        <v>46033</v>
      </c>
      <c r="D778" t="inlineStr">
        <is>
          <t>STOCKHOLMS LÄN</t>
        </is>
      </c>
      <c r="E778" t="inlineStr">
        <is>
          <t>NORRTÄLJE</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26365-2024</t>
        </is>
      </c>
      <c r="B779" s="1" t="n">
        <v>45469</v>
      </c>
      <c r="C779" s="1" t="n">
        <v>46033</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26640-2023</t>
        </is>
      </c>
      <c r="B780" s="1" t="n">
        <v>45092</v>
      </c>
      <c r="C780" s="1" t="n">
        <v>46033</v>
      </c>
      <c r="D780" t="inlineStr">
        <is>
          <t>STOCKHOLMS LÄN</t>
        </is>
      </c>
      <c r="E780" t="inlineStr">
        <is>
          <t>NORRTÄLJE</t>
        </is>
      </c>
      <c r="G780" t="n">
        <v>5.7</v>
      </c>
      <c r="H780" t="n">
        <v>0</v>
      </c>
      <c r="I780" t="n">
        <v>0</v>
      </c>
      <c r="J780" t="n">
        <v>0</v>
      </c>
      <c r="K780" t="n">
        <v>0</v>
      </c>
      <c r="L780" t="n">
        <v>0</v>
      </c>
      <c r="M780" t="n">
        <v>0</v>
      </c>
      <c r="N780" t="n">
        <v>0</v>
      </c>
      <c r="O780" t="n">
        <v>0</v>
      </c>
      <c r="P780" t="n">
        <v>0</v>
      </c>
      <c r="Q780" t="n">
        <v>0</v>
      </c>
      <c r="R780" s="2" t="inlineStr"/>
    </row>
    <row r="781" ht="15" customHeight="1">
      <c r="A781" t="inlineStr">
        <is>
          <t>A 31827-2023</t>
        </is>
      </c>
      <c r="B781" s="1" t="n">
        <v>45118</v>
      </c>
      <c r="C781" s="1" t="n">
        <v>46033</v>
      </c>
      <c r="D781" t="inlineStr">
        <is>
          <t>STOCKHOLMS LÄN</t>
        </is>
      </c>
      <c r="E781" t="inlineStr">
        <is>
          <t>NORRTÄLJE</t>
        </is>
      </c>
      <c r="F781" t="inlineStr">
        <is>
          <t>Kyrkan</t>
        </is>
      </c>
      <c r="G781" t="n">
        <v>4.9</v>
      </c>
      <c r="H781" t="n">
        <v>0</v>
      </c>
      <c r="I781" t="n">
        <v>0</v>
      </c>
      <c r="J781" t="n">
        <v>0</v>
      </c>
      <c r="K781" t="n">
        <v>0</v>
      </c>
      <c r="L781" t="n">
        <v>0</v>
      </c>
      <c r="M781" t="n">
        <v>0</v>
      </c>
      <c r="N781" t="n">
        <v>0</v>
      </c>
      <c r="O781" t="n">
        <v>0</v>
      </c>
      <c r="P781" t="n">
        <v>0</v>
      </c>
      <c r="Q781" t="n">
        <v>0</v>
      </c>
      <c r="R781" s="2" t="inlineStr"/>
    </row>
    <row r="782" ht="15" customHeight="1">
      <c r="A782" t="inlineStr">
        <is>
          <t>A 58993-2022</t>
        </is>
      </c>
      <c r="B782" s="1" t="n">
        <v>44903</v>
      </c>
      <c r="C782" s="1" t="n">
        <v>46033</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28900-2022</t>
        </is>
      </c>
      <c r="B783" s="1" t="n">
        <v>44749.55258101852</v>
      </c>
      <c r="C783" s="1" t="n">
        <v>46033</v>
      </c>
      <c r="D783" t="inlineStr">
        <is>
          <t>STOCKHOLMS LÄN</t>
        </is>
      </c>
      <c r="E783" t="inlineStr">
        <is>
          <t>NORRTÄLJE</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17574-2025</t>
        </is>
      </c>
      <c r="B784" s="1" t="n">
        <v>45757.65178240741</v>
      </c>
      <c r="C784" s="1" t="n">
        <v>46033</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55599-2025</t>
        </is>
      </c>
      <c r="B785" s="1" t="n">
        <v>45971.76810185185</v>
      </c>
      <c r="C785" s="1" t="n">
        <v>46033</v>
      </c>
      <c r="D785" t="inlineStr">
        <is>
          <t>STOCKHOLMS LÄN</t>
        </is>
      </c>
      <c r="E785" t="inlineStr">
        <is>
          <t>NORRTÄLJE</t>
        </is>
      </c>
      <c r="F785" t="inlineStr">
        <is>
          <t>Holmen skog AB</t>
        </is>
      </c>
      <c r="G785" t="n">
        <v>6.4</v>
      </c>
      <c r="H785" t="n">
        <v>0</v>
      </c>
      <c r="I785" t="n">
        <v>0</v>
      </c>
      <c r="J785" t="n">
        <v>0</v>
      </c>
      <c r="K785" t="n">
        <v>0</v>
      </c>
      <c r="L785" t="n">
        <v>0</v>
      </c>
      <c r="M785" t="n">
        <v>0</v>
      </c>
      <c r="N785" t="n">
        <v>0</v>
      </c>
      <c r="O785" t="n">
        <v>0</v>
      </c>
      <c r="P785" t="n">
        <v>0</v>
      </c>
      <c r="Q785" t="n">
        <v>0</v>
      </c>
      <c r="R785" s="2" t="inlineStr"/>
    </row>
    <row r="786" ht="15" customHeight="1">
      <c r="A786" t="inlineStr">
        <is>
          <t>A 56114-2025</t>
        </is>
      </c>
      <c r="B786" s="1" t="n">
        <v>45973.74474537037</v>
      </c>
      <c r="C786" s="1" t="n">
        <v>46033</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58297-2023</t>
        </is>
      </c>
      <c r="B787" s="1" t="n">
        <v>45245</v>
      </c>
      <c r="C787" s="1" t="n">
        <v>46033</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20304-2023</t>
        </is>
      </c>
      <c r="B788" s="1" t="n">
        <v>45056</v>
      </c>
      <c r="C788" s="1" t="n">
        <v>46033</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12299-2025</t>
        </is>
      </c>
      <c r="B789" s="1" t="n">
        <v>45729.71065972222</v>
      </c>
      <c r="C789" s="1" t="n">
        <v>46033</v>
      </c>
      <c r="D789" t="inlineStr">
        <is>
          <t>STOCKHOLMS LÄN</t>
        </is>
      </c>
      <c r="E789" t="inlineStr">
        <is>
          <t>NORRTÄLJE</t>
        </is>
      </c>
      <c r="F789" t="inlineStr">
        <is>
          <t>Holmen skog AB</t>
        </is>
      </c>
      <c r="G789" t="n">
        <v>6.9</v>
      </c>
      <c r="H789" t="n">
        <v>0</v>
      </c>
      <c r="I789" t="n">
        <v>0</v>
      </c>
      <c r="J789" t="n">
        <v>0</v>
      </c>
      <c r="K789" t="n">
        <v>0</v>
      </c>
      <c r="L789" t="n">
        <v>0</v>
      </c>
      <c r="M789" t="n">
        <v>0</v>
      </c>
      <c r="N789" t="n">
        <v>0</v>
      </c>
      <c r="O789" t="n">
        <v>0</v>
      </c>
      <c r="P789" t="n">
        <v>0</v>
      </c>
      <c r="Q789" t="n">
        <v>0</v>
      </c>
      <c r="R789" s="2" t="inlineStr"/>
    </row>
    <row r="790" ht="15" customHeight="1">
      <c r="A790" t="inlineStr">
        <is>
          <t>A 22157-2023</t>
        </is>
      </c>
      <c r="B790" s="1" t="n">
        <v>45069</v>
      </c>
      <c r="C790" s="1" t="n">
        <v>46033</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c r="U790">
        <f>HYPERLINK("https://klasma.github.io/Logging_0188/knärot/A 22157-2023 karta knärot.png", "A 22157-2023")</f>
        <v/>
      </c>
      <c r="V790">
        <f>HYPERLINK("https://klasma.github.io/Logging_0188/klagomål/A 22157-2023 FSC-klagomål.docx", "A 22157-2023")</f>
        <v/>
      </c>
      <c r="W790">
        <f>HYPERLINK("https://klasma.github.io/Logging_0188/klagomålsmail/A 22157-2023 FSC-klagomål mail.docx", "A 22157-2023")</f>
        <v/>
      </c>
      <c r="X790">
        <f>HYPERLINK("https://klasma.github.io/Logging_0188/tillsyn/A 22157-2023 tillsynsbegäran.docx", "A 22157-2023")</f>
        <v/>
      </c>
      <c r="Y790">
        <f>HYPERLINK("https://klasma.github.io/Logging_0188/tillsynsmail/A 22157-2023 tillsynsbegäran mail.docx", "A 22157-2023")</f>
        <v/>
      </c>
    </row>
    <row r="791" ht="15" customHeight="1">
      <c r="A791" t="inlineStr">
        <is>
          <t>A 11929-2024</t>
        </is>
      </c>
      <c r="B791" s="1" t="n">
        <v>45376.64532407407</v>
      </c>
      <c r="C791" s="1" t="n">
        <v>46033</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8296-2023</t>
        </is>
      </c>
      <c r="B792" s="1" t="n">
        <v>44974</v>
      </c>
      <c r="C792" s="1" t="n">
        <v>46033</v>
      </c>
      <c r="D792" t="inlineStr">
        <is>
          <t>STOCKHOLMS LÄN</t>
        </is>
      </c>
      <c r="E792" t="inlineStr">
        <is>
          <t>NORRTÄLJE</t>
        </is>
      </c>
      <c r="G792" t="n">
        <v>3.8</v>
      </c>
      <c r="H792" t="n">
        <v>0</v>
      </c>
      <c r="I792" t="n">
        <v>0</v>
      </c>
      <c r="J792" t="n">
        <v>0</v>
      </c>
      <c r="K792" t="n">
        <v>0</v>
      </c>
      <c r="L792" t="n">
        <v>0</v>
      </c>
      <c r="M792" t="n">
        <v>0</v>
      </c>
      <c r="N792" t="n">
        <v>0</v>
      </c>
      <c r="O792" t="n">
        <v>0</v>
      </c>
      <c r="P792" t="n">
        <v>0</v>
      </c>
      <c r="Q792" t="n">
        <v>0</v>
      </c>
      <c r="R792" s="2" t="inlineStr"/>
    </row>
    <row r="793" ht="15" customHeight="1">
      <c r="A793" t="inlineStr">
        <is>
          <t>A 24575-2024</t>
        </is>
      </c>
      <c r="B793" s="1" t="n">
        <v>45460.45523148148</v>
      </c>
      <c r="C793" s="1" t="n">
        <v>46033</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64899-2023</t>
        </is>
      </c>
      <c r="B794" s="1" t="n">
        <v>45282</v>
      </c>
      <c r="C794" s="1" t="n">
        <v>46033</v>
      </c>
      <c r="D794" t="inlineStr">
        <is>
          <t>STOCKHOLMS LÄN</t>
        </is>
      </c>
      <c r="E794" t="inlineStr">
        <is>
          <t>NORRTÄLJE</t>
        </is>
      </c>
      <c r="G794" t="n">
        <v>6.3</v>
      </c>
      <c r="H794" t="n">
        <v>0</v>
      </c>
      <c r="I794" t="n">
        <v>0</v>
      </c>
      <c r="J794" t="n">
        <v>0</v>
      </c>
      <c r="K794" t="n">
        <v>0</v>
      </c>
      <c r="L794" t="n">
        <v>0</v>
      </c>
      <c r="M794" t="n">
        <v>0</v>
      </c>
      <c r="N794" t="n">
        <v>0</v>
      </c>
      <c r="O794" t="n">
        <v>0</v>
      </c>
      <c r="P794" t="n">
        <v>0</v>
      </c>
      <c r="Q794" t="n">
        <v>0</v>
      </c>
      <c r="R794" s="2" t="inlineStr"/>
    </row>
    <row r="795" ht="15" customHeight="1">
      <c r="A795" t="inlineStr">
        <is>
          <t>A 52593-2024</t>
        </is>
      </c>
      <c r="B795" s="1" t="n">
        <v>45609.70778935185</v>
      </c>
      <c r="C795" s="1" t="n">
        <v>46033</v>
      </c>
      <c r="D795" t="inlineStr">
        <is>
          <t>STOCKHOLMS LÄN</t>
        </is>
      </c>
      <c r="E795" t="inlineStr">
        <is>
          <t>NORRTÄLJE</t>
        </is>
      </c>
      <c r="F795" t="inlineStr">
        <is>
          <t>Holmen skog AB</t>
        </is>
      </c>
      <c r="G795" t="n">
        <v>2.4</v>
      </c>
      <c r="H795" t="n">
        <v>0</v>
      </c>
      <c r="I795" t="n">
        <v>0</v>
      </c>
      <c r="J795" t="n">
        <v>0</v>
      </c>
      <c r="K795" t="n">
        <v>0</v>
      </c>
      <c r="L795" t="n">
        <v>0</v>
      </c>
      <c r="M795" t="n">
        <v>0</v>
      </c>
      <c r="N795" t="n">
        <v>0</v>
      </c>
      <c r="O795" t="n">
        <v>0</v>
      </c>
      <c r="P795" t="n">
        <v>0</v>
      </c>
      <c r="Q795" t="n">
        <v>0</v>
      </c>
      <c r="R795" s="2" t="inlineStr"/>
    </row>
    <row r="796" ht="15" customHeight="1">
      <c r="A796" t="inlineStr">
        <is>
          <t>A 52617-2024</t>
        </is>
      </c>
      <c r="B796" s="1" t="n">
        <v>45609.85146990741</v>
      </c>
      <c r="C796" s="1" t="n">
        <v>46033</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56207-2025</t>
        </is>
      </c>
      <c r="B797" s="1" t="n">
        <v>45974.47329861111</v>
      </c>
      <c r="C797" s="1" t="n">
        <v>46033</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22816-2021</t>
        </is>
      </c>
      <c r="B798" s="1" t="n">
        <v>44325</v>
      </c>
      <c r="C798" s="1" t="n">
        <v>46033</v>
      </c>
      <c r="D798" t="inlineStr">
        <is>
          <t>STOCKHOLMS LÄN</t>
        </is>
      </c>
      <c r="E798" t="inlineStr">
        <is>
          <t>NORRTÄLJE</t>
        </is>
      </c>
      <c r="G798" t="n">
        <v>4.5</v>
      </c>
      <c r="H798" t="n">
        <v>0</v>
      </c>
      <c r="I798" t="n">
        <v>0</v>
      </c>
      <c r="J798" t="n">
        <v>0</v>
      </c>
      <c r="K798" t="n">
        <v>0</v>
      </c>
      <c r="L798" t="n">
        <v>0</v>
      </c>
      <c r="M798" t="n">
        <v>0</v>
      </c>
      <c r="N798" t="n">
        <v>0</v>
      </c>
      <c r="O798" t="n">
        <v>0</v>
      </c>
      <c r="P798" t="n">
        <v>0</v>
      </c>
      <c r="Q798" t="n">
        <v>0</v>
      </c>
      <c r="R798" s="2" t="inlineStr"/>
    </row>
    <row r="799" ht="15" customHeight="1">
      <c r="A799" t="inlineStr">
        <is>
          <t>A 59904-2023</t>
        </is>
      </c>
      <c r="B799" s="1" t="n">
        <v>45257</v>
      </c>
      <c r="C799" s="1" t="n">
        <v>46033</v>
      </c>
      <c r="D799" t="inlineStr">
        <is>
          <t>STOCKHOLMS LÄN</t>
        </is>
      </c>
      <c r="E799" t="inlineStr">
        <is>
          <t>NORRTÄLJE</t>
        </is>
      </c>
      <c r="G799" t="n">
        <v>17.4</v>
      </c>
      <c r="H799" t="n">
        <v>0</v>
      </c>
      <c r="I799" t="n">
        <v>0</v>
      </c>
      <c r="J799" t="n">
        <v>0</v>
      </c>
      <c r="K799" t="n">
        <v>0</v>
      </c>
      <c r="L799" t="n">
        <v>0</v>
      </c>
      <c r="M799" t="n">
        <v>0</v>
      </c>
      <c r="N799" t="n">
        <v>0</v>
      </c>
      <c r="O799" t="n">
        <v>0</v>
      </c>
      <c r="P799" t="n">
        <v>0</v>
      </c>
      <c r="Q799" t="n">
        <v>0</v>
      </c>
      <c r="R799" s="2" t="inlineStr"/>
    </row>
    <row r="800" ht="15" customHeight="1">
      <c r="A800" t="inlineStr">
        <is>
          <t>A 9914-2023</t>
        </is>
      </c>
      <c r="B800" s="1" t="n">
        <v>44985</v>
      </c>
      <c r="C800" s="1" t="n">
        <v>46033</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11062-2024</t>
        </is>
      </c>
      <c r="B801" s="1" t="n">
        <v>45370</v>
      </c>
      <c r="C801" s="1" t="n">
        <v>46033</v>
      </c>
      <c r="D801" t="inlineStr">
        <is>
          <t>STOCKHOLMS LÄN</t>
        </is>
      </c>
      <c r="E801" t="inlineStr">
        <is>
          <t>NORRTÄLJE</t>
        </is>
      </c>
      <c r="G801" t="n">
        <v>3.2</v>
      </c>
      <c r="H801" t="n">
        <v>0</v>
      </c>
      <c r="I801" t="n">
        <v>0</v>
      </c>
      <c r="J801" t="n">
        <v>0</v>
      </c>
      <c r="K801" t="n">
        <v>0</v>
      </c>
      <c r="L801" t="n">
        <v>0</v>
      </c>
      <c r="M801" t="n">
        <v>0</v>
      </c>
      <c r="N801" t="n">
        <v>0</v>
      </c>
      <c r="O801" t="n">
        <v>0</v>
      </c>
      <c r="P801" t="n">
        <v>0</v>
      </c>
      <c r="Q801" t="n">
        <v>0</v>
      </c>
      <c r="R801" s="2" t="inlineStr"/>
    </row>
    <row r="802" ht="15" customHeight="1">
      <c r="A802" t="inlineStr">
        <is>
          <t>A 33569-2023</t>
        </is>
      </c>
      <c r="B802" s="1" t="n">
        <v>45131.666875</v>
      </c>
      <c r="C802" s="1" t="n">
        <v>46033</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15905-2023</t>
        </is>
      </c>
      <c r="B803" s="1" t="n">
        <v>45022</v>
      </c>
      <c r="C803" s="1" t="n">
        <v>46033</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15956-2023</t>
        </is>
      </c>
      <c r="B804" s="1" t="n">
        <v>45022.61003472222</v>
      </c>
      <c r="C804" s="1" t="n">
        <v>46033</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47626-2022</t>
        </is>
      </c>
      <c r="B805" s="1" t="n">
        <v>44854</v>
      </c>
      <c r="C805" s="1" t="n">
        <v>46033</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62206-2022</t>
        </is>
      </c>
      <c r="B806" s="1" t="n">
        <v>44922</v>
      </c>
      <c r="C806" s="1" t="n">
        <v>46033</v>
      </c>
      <c r="D806" t="inlineStr">
        <is>
          <t>STOCKHOLMS LÄN</t>
        </is>
      </c>
      <c r="E806" t="inlineStr">
        <is>
          <t>NORRTÄLJE</t>
        </is>
      </c>
      <c r="G806" t="n">
        <v>2.9</v>
      </c>
      <c r="H806" t="n">
        <v>0</v>
      </c>
      <c r="I806" t="n">
        <v>0</v>
      </c>
      <c r="J806" t="n">
        <v>0</v>
      </c>
      <c r="K806" t="n">
        <v>0</v>
      </c>
      <c r="L806" t="n">
        <v>0</v>
      </c>
      <c r="M806" t="n">
        <v>0</v>
      </c>
      <c r="N806" t="n">
        <v>0</v>
      </c>
      <c r="O806" t="n">
        <v>0</v>
      </c>
      <c r="P806" t="n">
        <v>0</v>
      </c>
      <c r="Q806" t="n">
        <v>0</v>
      </c>
      <c r="R806" s="2" t="inlineStr"/>
    </row>
    <row r="807" ht="15" customHeight="1">
      <c r="A807" t="inlineStr">
        <is>
          <t>A 20618-2022</t>
        </is>
      </c>
      <c r="B807" s="1" t="n">
        <v>44700.50659722222</v>
      </c>
      <c r="C807" s="1" t="n">
        <v>46033</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40192-2023</t>
        </is>
      </c>
      <c r="B808" s="1" t="n">
        <v>45169</v>
      </c>
      <c r="C808" s="1" t="n">
        <v>46033</v>
      </c>
      <c r="D808" t="inlineStr">
        <is>
          <t>STOCKHOLMS LÄN</t>
        </is>
      </c>
      <c r="E808" t="inlineStr">
        <is>
          <t>NORRTÄLJE</t>
        </is>
      </c>
      <c r="F808" t="inlineStr">
        <is>
          <t>Kyrkan</t>
        </is>
      </c>
      <c r="G808" t="n">
        <v>0.7</v>
      </c>
      <c r="H808" t="n">
        <v>0</v>
      </c>
      <c r="I808" t="n">
        <v>0</v>
      </c>
      <c r="J808" t="n">
        <v>0</v>
      </c>
      <c r="K808" t="n">
        <v>0</v>
      </c>
      <c r="L808" t="n">
        <v>0</v>
      </c>
      <c r="M808" t="n">
        <v>0</v>
      </c>
      <c r="N808" t="n">
        <v>0</v>
      </c>
      <c r="O808" t="n">
        <v>0</v>
      </c>
      <c r="P808" t="n">
        <v>0</v>
      </c>
      <c r="Q808" t="n">
        <v>0</v>
      </c>
      <c r="R808" s="2" t="inlineStr"/>
    </row>
    <row r="809" ht="15" customHeight="1">
      <c r="A809" t="inlineStr">
        <is>
          <t>A 11900-2022</t>
        </is>
      </c>
      <c r="B809" s="1" t="n">
        <v>44635</v>
      </c>
      <c r="C809" s="1" t="n">
        <v>46033</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10973-2025</t>
        </is>
      </c>
      <c r="B810" s="1" t="n">
        <v>45723</v>
      </c>
      <c r="C810" s="1" t="n">
        <v>46033</v>
      </c>
      <c r="D810" t="inlineStr">
        <is>
          <t>STOCKHOLMS LÄN</t>
        </is>
      </c>
      <c r="E810" t="inlineStr">
        <is>
          <t>NORRTÄLJE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27885-2022</t>
        </is>
      </c>
      <c r="B811" s="1" t="n">
        <v>44743.67418981482</v>
      </c>
      <c r="C811" s="1" t="n">
        <v>46033</v>
      </c>
      <c r="D811" t="inlineStr">
        <is>
          <t>STOCKHOLMS LÄN</t>
        </is>
      </c>
      <c r="E811" t="inlineStr">
        <is>
          <t>NORRTÄLJE</t>
        </is>
      </c>
      <c r="F811" t="inlineStr">
        <is>
          <t>Holmen skog AB</t>
        </is>
      </c>
      <c r="G811" t="n">
        <v>0.8</v>
      </c>
      <c r="H811" t="n">
        <v>0</v>
      </c>
      <c r="I811" t="n">
        <v>0</v>
      </c>
      <c r="J811" t="n">
        <v>0</v>
      </c>
      <c r="K811" t="n">
        <v>0</v>
      </c>
      <c r="L811" t="n">
        <v>0</v>
      </c>
      <c r="M811" t="n">
        <v>0</v>
      </c>
      <c r="N811" t="n">
        <v>0</v>
      </c>
      <c r="O811" t="n">
        <v>0</v>
      </c>
      <c r="P811" t="n">
        <v>0</v>
      </c>
      <c r="Q811" t="n">
        <v>0</v>
      </c>
      <c r="R811" s="2" t="inlineStr"/>
    </row>
    <row r="812" ht="15" customHeight="1">
      <c r="A812" t="inlineStr">
        <is>
          <t>A 57788-2025</t>
        </is>
      </c>
      <c r="B812" s="1" t="n">
        <v>45981.5778125</v>
      </c>
      <c r="C812" s="1" t="n">
        <v>46033</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58403-2025</t>
        </is>
      </c>
      <c r="B813" s="1" t="n">
        <v>45985.56777777777</v>
      </c>
      <c r="C813" s="1" t="n">
        <v>46033</v>
      </c>
      <c r="D813" t="inlineStr">
        <is>
          <t>STOCKHOLMS LÄN</t>
        </is>
      </c>
      <c r="E813" t="inlineStr">
        <is>
          <t>NORRTÄLJE</t>
        </is>
      </c>
      <c r="F813" t="inlineStr">
        <is>
          <t>Naturvårdsverket</t>
        </is>
      </c>
      <c r="G813" t="n">
        <v>13.5</v>
      </c>
      <c r="H813" t="n">
        <v>0</v>
      </c>
      <c r="I813" t="n">
        <v>0</v>
      </c>
      <c r="J813" t="n">
        <v>0</v>
      </c>
      <c r="K813" t="n">
        <v>0</v>
      </c>
      <c r="L813" t="n">
        <v>0</v>
      </c>
      <c r="M813" t="n">
        <v>0</v>
      </c>
      <c r="N813" t="n">
        <v>0</v>
      </c>
      <c r="O813" t="n">
        <v>0</v>
      </c>
      <c r="P813" t="n">
        <v>0</v>
      </c>
      <c r="Q813" t="n">
        <v>0</v>
      </c>
      <c r="R813" s="2" t="inlineStr"/>
    </row>
    <row r="814" ht="15" customHeight="1">
      <c r="A814" t="inlineStr">
        <is>
          <t>A 60224-2023</t>
        </is>
      </c>
      <c r="B814" s="1" t="n">
        <v>45257</v>
      </c>
      <c r="C814" s="1" t="n">
        <v>46033</v>
      </c>
      <c r="D814" t="inlineStr">
        <is>
          <t>STOCKHOLMS LÄN</t>
        </is>
      </c>
      <c r="E814" t="inlineStr">
        <is>
          <t>NORRTÄLJE</t>
        </is>
      </c>
      <c r="G814" t="n">
        <v>8.1</v>
      </c>
      <c r="H814" t="n">
        <v>0</v>
      </c>
      <c r="I814" t="n">
        <v>0</v>
      </c>
      <c r="J814" t="n">
        <v>0</v>
      </c>
      <c r="K814" t="n">
        <v>0</v>
      </c>
      <c r="L814" t="n">
        <v>0</v>
      </c>
      <c r="M814" t="n">
        <v>0</v>
      </c>
      <c r="N814" t="n">
        <v>0</v>
      </c>
      <c r="O814" t="n">
        <v>0</v>
      </c>
      <c r="P814" t="n">
        <v>0</v>
      </c>
      <c r="Q814" t="n">
        <v>0</v>
      </c>
      <c r="R814" s="2" t="inlineStr"/>
    </row>
    <row r="815" ht="15" customHeight="1">
      <c r="A815" t="inlineStr">
        <is>
          <t>A 5158-2024</t>
        </is>
      </c>
      <c r="B815" s="1" t="n">
        <v>45330.50098379629</v>
      </c>
      <c r="C815" s="1" t="n">
        <v>46033</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58142-2025</t>
        </is>
      </c>
      <c r="B816" s="1" t="n">
        <v>45982.63791666667</v>
      </c>
      <c r="C816" s="1" t="n">
        <v>46033</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57953-2025</t>
        </is>
      </c>
      <c r="B817" s="1" t="n">
        <v>45982.35016203704</v>
      </c>
      <c r="C817" s="1" t="n">
        <v>46033</v>
      </c>
      <c r="D817" t="inlineStr">
        <is>
          <t>STOCKHOLMS LÄN</t>
        </is>
      </c>
      <c r="E817" t="inlineStr">
        <is>
          <t>NORRTÄLJE</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46033</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9130-2025</t>
        </is>
      </c>
      <c r="B819" s="1" t="n">
        <v>45713.92623842593</v>
      </c>
      <c r="C819" s="1" t="n">
        <v>46033</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17551-2025</t>
        </is>
      </c>
      <c r="B820" s="1" t="n">
        <v>45757.61421296297</v>
      </c>
      <c r="C820" s="1" t="n">
        <v>46033</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55010-2024</t>
        </is>
      </c>
      <c r="B821" s="1" t="n">
        <v>45621.34425925926</v>
      </c>
      <c r="C821" s="1" t="n">
        <v>46033</v>
      </c>
      <c r="D821" t="inlineStr">
        <is>
          <t>STOCKHOLMS LÄN</t>
        </is>
      </c>
      <c r="E821" t="inlineStr">
        <is>
          <t>NORRTÄLJE</t>
        </is>
      </c>
      <c r="F821" t="inlineStr">
        <is>
          <t>Sveaskog</t>
        </is>
      </c>
      <c r="G821" t="n">
        <v>5.7</v>
      </c>
      <c r="H821" t="n">
        <v>0</v>
      </c>
      <c r="I821" t="n">
        <v>0</v>
      </c>
      <c r="J821" t="n">
        <v>0</v>
      </c>
      <c r="K821" t="n">
        <v>0</v>
      </c>
      <c r="L821" t="n">
        <v>0</v>
      </c>
      <c r="M821" t="n">
        <v>0</v>
      </c>
      <c r="N821" t="n">
        <v>0</v>
      </c>
      <c r="O821" t="n">
        <v>0</v>
      </c>
      <c r="P821" t="n">
        <v>0</v>
      </c>
      <c r="Q821" t="n">
        <v>0</v>
      </c>
      <c r="R821" s="2" t="inlineStr"/>
    </row>
    <row r="822" ht="15" customHeight="1">
      <c r="A822" t="inlineStr">
        <is>
          <t>A 31105-2022</t>
        </is>
      </c>
      <c r="B822" s="1" t="n">
        <v>44769.66039351852</v>
      </c>
      <c r="C822" s="1" t="n">
        <v>46033</v>
      </c>
      <c r="D822" t="inlineStr">
        <is>
          <t>STOCKHOLMS LÄN</t>
        </is>
      </c>
      <c r="E822" t="inlineStr">
        <is>
          <t>NORRTÄLJE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124-2026</t>
        </is>
      </c>
      <c r="B823" s="1" t="n">
        <v>46024.58378472222</v>
      </c>
      <c r="C823" s="1" t="n">
        <v>46033</v>
      </c>
      <c r="D823" t="inlineStr">
        <is>
          <t>STOCKHOLMS LÄN</t>
        </is>
      </c>
      <c r="E823" t="inlineStr">
        <is>
          <t>NORRTÄLJE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58939-2025</t>
        </is>
      </c>
      <c r="B824" s="1" t="n">
        <v>45987.5681712963</v>
      </c>
      <c r="C824" s="1" t="n">
        <v>46033</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30620-2022</t>
        </is>
      </c>
      <c r="B825" s="1" t="n">
        <v>44763.40914351852</v>
      </c>
      <c r="C825" s="1" t="n">
        <v>46033</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50113-2024</t>
        </is>
      </c>
      <c r="B826" s="1" t="n">
        <v>45600.411875</v>
      </c>
      <c r="C826" s="1" t="n">
        <v>46033</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46033</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46033</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46033</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9703-2021</t>
        </is>
      </c>
      <c r="B830" s="1" t="n">
        <v>44252</v>
      </c>
      <c r="C830" s="1" t="n">
        <v>46033</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693-2026</t>
        </is>
      </c>
      <c r="B831" s="1" t="n">
        <v>46029.6133449074</v>
      </c>
      <c r="C831" s="1" t="n">
        <v>46033</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718-2026</t>
        </is>
      </c>
      <c r="B832" s="1" t="n">
        <v>46029.63174768518</v>
      </c>
      <c r="C832" s="1" t="n">
        <v>46033</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13767-2025</t>
        </is>
      </c>
      <c r="B833" s="1" t="n">
        <v>45737.43347222222</v>
      </c>
      <c r="C833" s="1" t="n">
        <v>46033</v>
      </c>
      <c r="D833" t="inlineStr">
        <is>
          <t>STOCKHOLMS LÄN</t>
        </is>
      </c>
      <c r="E833" t="inlineStr">
        <is>
          <t>NORRTÄLJE</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20013-2025</t>
        </is>
      </c>
      <c r="B834" s="1" t="n">
        <v>45772.30436342592</v>
      </c>
      <c r="C834" s="1" t="n">
        <v>46033</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53362-2023</t>
        </is>
      </c>
      <c r="B835" s="1" t="n">
        <v>45223</v>
      </c>
      <c r="C835" s="1" t="n">
        <v>46033</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15422-2024</t>
        </is>
      </c>
      <c r="B836" s="1" t="n">
        <v>45401.3653125</v>
      </c>
      <c r="C836" s="1" t="n">
        <v>46033</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30508-2023</t>
        </is>
      </c>
      <c r="B837" s="1" t="n">
        <v>45111</v>
      </c>
      <c r="C837" s="1" t="n">
        <v>46033</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694-2026</t>
        </is>
      </c>
      <c r="B838" s="1" t="n">
        <v>46029.61375</v>
      </c>
      <c r="C838" s="1" t="n">
        <v>46033</v>
      </c>
      <c r="D838" t="inlineStr">
        <is>
          <t>STOCKHOLMS LÄN</t>
        </is>
      </c>
      <c r="E838" t="inlineStr">
        <is>
          <t>NORRTÄLJE</t>
        </is>
      </c>
      <c r="G838" t="n">
        <v>9.6</v>
      </c>
      <c r="H838" t="n">
        <v>0</v>
      </c>
      <c r="I838" t="n">
        <v>0</v>
      </c>
      <c r="J838" t="n">
        <v>0</v>
      </c>
      <c r="K838" t="n">
        <v>0</v>
      </c>
      <c r="L838" t="n">
        <v>0</v>
      </c>
      <c r="M838" t="n">
        <v>0</v>
      </c>
      <c r="N838" t="n">
        <v>0</v>
      </c>
      <c r="O838" t="n">
        <v>0</v>
      </c>
      <c r="P838" t="n">
        <v>0</v>
      </c>
      <c r="Q838" t="n">
        <v>0</v>
      </c>
      <c r="R838" s="2" t="inlineStr"/>
    </row>
    <row r="839" ht="15" customHeight="1">
      <c r="A839" t="inlineStr">
        <is>
          <t>A 475-2026</t>
        </is>
      </c>
      <c r="B839" s="1" t="n">
        <v>46029.39351851852</v>
      </c>
      <c r="C839" s="1" t="n">
        <v>46033</v>
      </c>
      <c r="D839" t="inlineStr">
        <is>
          <t>STOCKHOLMS LÄN</t>
        </is>
      </c>
      <c r="E839" t="inlineStr">
        <is>
          <t>NORRTÄLJE</t>
        </is>
      </c>
      <c r="G839" t="n">
        <v>4.6</v>
      </c>
      <c r="H839" t="n">
        <v>0</v>
      </c>
      <c r="I839" t="n">
        <v>0</v>
      </c>
      <c r="J839" t="n">
        <v>0</v>
      </c>
      <c r="K839" t="n">
        <v>0</v>
      </c>
      <c r="L839" t="n">
        <v>0</v>
      </c>
      <c r="M839" t="n">
        <v>0</v>
      </c>
      <c r="N839" t="n">
        <v>0</v>
      </c>
      <c r="O839" t="n">
        <v>0</v>
      </c>
      <c r="P839" t="n">
        <v>0</v>
      </c>
      <c r="Q839" t="n">
        <v>0</v>
      </c>
      <c r="R839" s="2" t="inlineStr"/>
    </row>
    <row r="840" ht="15" customHeight="1">
      <c r="A840" t="inlineStr">
        <is>
          <t>A 16008-2025</t>
        </is>
      </c>
      <c r="B840" s="1" t="n">
        <v>45749</v>
      </c>
      <c r="C840" s="1" t="n">
        <v>46033</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717-2026</t>
        </is>
      </c>
      <c r="B841" s="1" t="n">
        <v>46029.63028935185</v>
      </c>
      <c r="C841" s="1" t="n">
        <v>46033</v>
      </c>
      <c r="D841" t="inlineStr">
        <is>
          <t>STOCKHOLMS LÄN</t>
        </is>
      </c>
      <c r="E841" t="inlineStr">
        <is>
          <t>NORRTÄLJE</t>
        </is>
      </c>
      <c r="G841" t="n">
        <v>2.4</v>
      </c>
      <c r="H841" t="n">
        <v>0</v>
      </c>
      <c r="I841" t="n">
        <v>0</v>
      </c>
      <c r="J841" t="n">
        <v>0</v>
      </c>
      <c r="K841" t="n">
        <v>0</v>
      </c>
      <c r="L841" t="n">
        <v>0</v>
      </c>
      <c r="M841" t="n">
        <v>0</v>
      </c>
      <c r="N841" t="n">
        <v>0</v>
      </c>
      <c r="O841" t="n">
        <v>0</v>
      </c>
      <c r="P841" t="n">
        <v>0</v>
      </c>
      <c r="Q841" t="n">
        <v>0</v>
      </c>
      <c r="R841" s="2" t="inlineStr"/>
    </row>
    <row r="842" ht="15" customHeight="1">
      <c r="A842" t="inlineStr">
        <is>
          <t>A 21158-2022</t>
        </is>
      </c>
      <c r="B842" s="1" t="n">
        <v>44704</v>
      </c>
      <c r="C842" s="1" t="n">
        <v>46033</v>
      </c>
      <c r="D842" t="inlineStr">
        <is>
          <t>STOCKHOLMS LÄN</t>
        </is>
      </c>
      <c r="E842" t="inlineStr">
        <is>
          <t>NORRTÄLJE</t>
        </is>
      </c>
      <c r="G842" t="n">
        <v>17.8</v>
      </c>
      <c r="H842" t="n">
        <v>0</v>
      </c>
      <c r="I842" t="n">
        <v>0</v>
      </c>
      <c r="J842" t="n">
        <v>0</v>
      </c>
      <c r="K842" t="n">
        <v>0</v>
      </c>
      <c r="L842" t="n">
        <v>0</v>
      </c>
      <c r="M842" t="n">
        <v>0</v>
      </c>
      <c r="N842" t="n">
        <v>0</v>
      </c>
      <c r="O842" t="n">
        <v>0</v>
      </c>
      <c r="P842" t="n">
        <v>0</v>
      </c>
      <c r="Q842" t="n">
        <v>0</v>
      </c>
      <c r="R842" s="2" t="inlineStr"/>
    </row>
    <row r="843" ht="15" customHeight="1">
      <c r="A843" t="inlineStr">
        <is>
          <t>A 32101-2022</t>
        </is>
      </c>
      <c r="B843" s="1" t="n">
        <v>44778.69210648148</v>
      </c>
      <c r="C843" s="1" t="n">
        <v>46033</v>
      </c>
      <c r="D843" t="inlineStr">
        <is>
          <t>STOCKHOLMS LÄN</t>
        </is>
      </c>
      <c r="E843" t="inlineStr">
        <is>
          <t>NORRTÄLJE</t>
        </is>
      </c>
      <c r="G843" t="n">
        <v>4.4</v>
      </c>
      <c r="H843" t="n">
        <v>0</v>
      </c>
      <c r="I843" t="n">
        <v>0</v>
      </c>
      <c r="J843" t="n">
        <v>0</v>
      </c>
      <c r="K843" t="n">
        <v>0</v>
      </c>
      <c r="L843" t="n">
        <v>0</v>
      </c>
      <c r="M843" t="n">
        <v>0</v>
      </c>
      <c r="N843" t="n">
        <v>0</v>
      </c>
      <c r="O843" t="n">
        <v>0</v>
      </c>
      <c r="P843" t="n">
        <v>0</v>
      </c>
      <c r="Q843" t="n">
        <v>0</v>
      </c>
      <c r="R843" s="2" t="inlineStr"/>
    </row>
    <row r="844" ht="15" customHeight="1">
      <c r="A844" t="inlineStr">
        <is>
          <t>A 23150-2024</t>
        </is>
      </c>
      <c r="B844" s="1" t="n">
        <v>45450.64643518518</v>
      </c>
      <c r="C844" s="1" t="n">
        <v>46033</v>
      </c>
      <c r="D844" t="inlineStr">
        <is>
          <t>STOCKHOLMS LÄN</t>
        </is>
      </c>
      <c r="E844" t="inlineStr">
        <is>
          <t>NORRTÄLJE</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24933-2023</t>
        </is>
      </c>
      <c r="B845" s="1" t="n">
        <v>45085.5309375</v>
      </c>
      <c r="C845" s="1" t="n">
        <v>46033</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56631-2024</t>
        </is>
      </c>
      <c r="B846" s="1" t="n">
        <v>45625</v>
      </c>
      <c r="C846" s="1" t="n">
        <v>46033</v>
      </c>
      <c r="D846" t="inlineStr">
        <is>
          <t>STOCKHOLMS LÄN</t>
        </is>
      </c>
      <c r="E846" t="inlineStr">
        <is>
          <t>NORRTÄLJE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652-2025</t>
        </is>
      </c>
      <c r="B847" s="1" t="n">
        <v>45664</v>
      </c>
      <c r="C847" s="1" t="n">
        <v>46033</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53499-2025</t>
        </is>
      </c>
      <c r="B848" s="1" t="n">
        <v>45960</v>
      </c>
      <c r="C848" s="1" t="n">
        <v>46033</v>
      </c>
      <c r="D848" t="inlineStr">
        <is>
          <t>STOCKHOLMS LÄN</t>
        </is>
      </c>
      <c r="E848" t="inlineStr">
        <is>
          <t>NORRTÄLJE</t>
        </is>
      </c>
      <c r="G848" t="n">
        <v>23.8</v>
      </c>
      <c r="H848" t="n">
        <v>0</v>
      </c>
      <c r="I848" t="n">
        <v>0</v>
      </c>
      <c r="J848" t="n">
        <v>0</v>
      </c>
      <c r="K848" t="n">
        <v>0</v>
      </c>
      <c r="L848" t="n">
        <v>0</v>
      </c>
      <c r="M848" t="n">
        <v>0</v>
      </c>
      <c r="N848" t="n">
        <v>0</v>
      </c>
      <c r="O848" t="n">
        <v>0</v>
      </c>
      <c r="P848" t="n">
        <v>0</v>
      </c>
      <c r="Q848" t="n">
        <v>0</v>
      </c>
      <c r="R848" s="2" t="inlineStr"/>
    </row>
    <row r="849" ht="15" customHeight="1">
      <c r="A849" t="inlineStr">
        <is>
          <t>A 5389-2025</t>
        </is>
      </c>
      <c r="B849" s="1" t="n">
        <v>45692</v>
      </c>
      <c r="C849" s="1" t="n">
        <v>46033</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13051-2021</t>
        </is>
      </c>
      <c r="B850" s="1" t="n">
        <v>44272</v>
      </c>
      <c r="C850" s="1" t="n">
        <v>46033</v>
      </c>
      <c r="D850" t="inlineStr">
        <is>
          <t>STOCKHOLMS LÄN</t>
        </is>
      </c>
      <c r="E850" t="inlineStr">
        <is>
          <t>NORRTÄLJE</t>
        </is>
      </c>
      <c r="G850" t="n">
        <v>9.1</v>
      </c>
      <c r="H850" t="n">
        <v>0</v>
      </c>
      <c r="I850" t="n">
        <v>0</v>
      </c>
      <c r="J850" t="n">
        <v>0</v>
      </c>
      <c r="K850" t="n">
        <v>0</v>
      </c>
      <c r="L850" t="n">
        <v>0</v>
      </c>
      <c r="M850" t="n">
        <v>0</v>
      </c>
      <c r="N850" t="n">
        <v>0</v>
      </c>
      <c r="O850" t="n">
        <v>0</v>
      </c>
      <c r="P850" t="n">
        <v>0</v>
      </c>
      <c r="Q850" t="n">
        <v>0</v>
      </c>
      <c r="R850" s="2" t="inlineStr"/>
    </row>
    <row r="851" ht="15" customHeight="1">
      <c r="A851" t="inlineStr">
        <is>
          <t>A 812-2026</t>
        </is>
      </c>
      <c r="B851" s="1" t="n">
        <v>46030.33358796296</v>
      </c>
      <c r="C851" s="1" t="n">
        <v>46033</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11499-2023</t>
        </is>
      </c>
      <c r="B852" s="1" t="n">
        <v>44993.66707175926</v>
      </c>
      <c r="C852" s="1" t="n">
        <v>46033</v>
      </c>
      <c r="D852" t="inlineStr">
        <is>
          <t>STOCKHOLMS LÄN</t>
        </is>
      </c>
      <c r="E852" t="inlineStr">
        <is>
          <t>NORRTÄLJE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576-2023</t>
        </is>
      </c>
      <c r="B853" s="1" t="n">
        <v>44925</v>
      </c>
      <c r="C853" s="1" t="n">
        <v>46033</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10678-2025</t>
        </is>
      </c>
      <c r="B854" s="1" t="n">
        <v>45721.89123842592</v>
      </c>
      <c r="C854" s="1" t="n">
        <v>46033</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31936-2022</t>
        </is>
      </c>
      <c r="B855" s="1" t="n">
        <v>44777</v>
      </c>
      <c r="C855" s="1" t="n">
        <v>46033</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59873-2024</t>
        </is>
      </c>
      <c r="B856" s="1" t="n">
        <v>45640.57305555556</v>
      </c>
      <c r="C856" s="1" t="n">
        <v>46033</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35916-2024</t>
        </is>
      </c>
      <c r="B857" s="1" t="n">
        <v>45533</v>
      </c>
      <c r="C857" s="1" t="n">
        <v>46033</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10098-2022</t>
        </is>
      </c>
      <c r="B858" s="1" t="n">
        <v>44621</v>
      </c>
      <c r="C858" s="1" t="n">
        <v>46033</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63161-2023</t>
        </is>
      </c>
      <c r="B859" s="1" t="n">
        <v>45273</v>
      </c>
      <c r="C859" s="1" t="n">
        <v>46033</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7796-2025</t>
        </is>
      </c>
      <c r="B860" s="1" t="n">
        <v>45706.60130787037</v>
      </c>
      <c r="C860" s="1" t="n">
        <v>46033</v>
      </c>
      <c r="D860" t="inlineStr">
        <is>
          <t>STOCKHOLMS LÄN</t>
        </is>
      </c>
      <c r="E860" t="inlineStr">
        <is>
          <t>NORRTÄLJE</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46033</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58040-2024</t>
        </is>
      </c>
      <c r="B862" s="1" t="n">
        <v>45631.73952546297</v>
      </c>
      <c r="C862" s="1" t="n">
        <v>46033</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58041-2024</t>
        </is>
      </c>
      <c r="B863" s="1" t="n">
        <v>45631.74673611111</v>
      </c>
      <c r="C863" s="1" t="n">
        <v>46033</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30268-2024</t>
        </is>
      </c>
      <c r="B864" s="1" t="n">
        <v>45490.60572916667</v>
      </c>
      <c r="C864" s="1" t="n">
        <v>46033</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12407-2025</t>
        </is>
      </c>
      <c r="B865" s="1" t="n">
        <v>45730.42851851852</v>
      </c>
      <c r="C865" s="1" t="n">
        <v>46033</v>
      </c>
      <c r="D865" t="inlineStr">
        <is>
          <t>STOCKHOLMS LÄN</t>
        </is>
      </c>
      <c r="E865" t="inlineStr">
        <is>
          <t>NORRTÄLJE</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19025-2025</t>
        </is>
      </c>
      <c r="B866" s="1" t="n">
        <v>45764.6359837963</v>
      </c>
      <c r="C866" s="1" t="n">
        <v>46033</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54276-2021</t>
        </is>
      </c>
      <c r="B867" s="1" t="n">
        <v>44470</v>
      </c>
      <c r="C867" s="1" t="n">
        <v>46033</v>
      </c>
      <c r="D867" t="inlineStr">
        <is>
          <t>STOCKHOLMS LÄN</t>
        </is>
      </c>
      <c r="E867" t="inlineStr">
        <is>
          <t>NORRTÄLJE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4316-2023</t>
        </is>
      </c>
      <c r="B868" s="1" t="n">
        <v>44953.67443287037</v>
      </c>
      <c r="C868" s="1" t="n">
        <v>46033</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41587-2023</t>
        </is>
      </c>
      <c r="B869" s="1" t="n">
        <v>45175</v>
      </c>
      <c r="C869" s="1" t="n">
        <v>46033</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17304-2024</t>
        </is>
      </c>
      <c r="B870" s="1" t="n">
        <v>45414</v>
      </c>
      <c r="C870" s="1" t="n">
        <v>46033</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11280-2023</t>
        </is>
      </c>
      <c r="B871" s="1" t="n">
        <v>44992</v>
      </c>
      <c r="C871" s="1" t="n">
        <v>46033</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26668-2024</t>
        </is>
      </c>
      <c r="B872" s="1" t="n">
        <v>45469</v>
      </c>
      <c r="C872" s="1" t="n">
        <v>46033</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31926-2022</t>
        </is>
      </c>
      <c r="B873" s="1" t="n">
        <v>44777</v>
      </c>
      <c r="C873" s="1" t="n">
        <v>46033</v>
      </c>
      <c r="D873" t="inlineStr">
        <is>
          <t>STOCKHOLMS LÄN</t>
        </is>
      </c>
      <c r="E873" t="inlineStr">
        <is>
          <t>NORRTÄLJE</t>
        </is>
      </c>
      <c r="G873" t="n">
        <v>5.2</v>
      </c>
      <c r="H873" t="n">
        <v>0</v>
      </c>
      <c r="I873" t="n">
        <v>0</v>
      </c>
      <c r="J873" t="n">
        <v>0</v>
      </c>
      <c r="K873" t="n">
        <v>0</v>
      </c>
      <c r="L873" t="n">
        <v>0</v>
      </c>
      <c r="M873" t="n">
        <v>0</v>
      </c>
      <c r="N873" t="n">
        <v>0</v>
      </c>
      <c r="O873" t="n">
        <v>0</v>
      </c>
      <c r="P873" t="n">
        <v>0</v>
      </c>
      <c r="Q873" t="n">
        <v>0</v>
      </c>
      <c r="R873" s="2" t="inlineStr"/>
    </row>
    <row r="874" ht="15" customHeight="1">
      <c r="A874" t="inlineStr">
        <is>
          <t>A 21480-2022</t>
        </is>
      </c>
      <c r="B874" s="1" t="n">
        <v>44704</v>
      </c>
      <c r="C874" s="1" t="n">
        <v>46033</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11041-2025</t>
        </is>
      </c>
      <c r="B875" s="1" t="n">
        <v>45723</v>
      </c>
      <c r="C875" s="1" t="n">
        <v>46033</v>
      </c>
      <c r="D875" t="inlineStr">
        <is>
          <t>STOCKHOLMS LÄN</t>
        </is>
      </c>
      <c r="E875" t="inlineStr">
        <is>
          <t>NORRTÄLJE</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9469-2021</t>
        </is>
      </c>
      <c r="B876" s="1" t="n">
        <v>44251</v>
      </c>
      <c r="C876" s="1" t="n">
        <v>46033</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24024-2024</t>
        </is>
      </c>
      <c r="B877" s="1" t="n">
        <v>45456</v>
      </c>
      <c r="C877" s="1" t="n">
        <v>46033</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28809-2023</t>
        </is>
      </c>
      <c r="B878" s="1" t="n">
        <v>45104</v>
      </c>
      <c r="C878" s="1" t="n">
        <v>46033</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28813-2023</t>
        </is>
      </c>
      <c r="B879" s="1" t="n">
        <v>45104</v>
      </c>
      <c r="C879" s="1" t="n">
        <v>46033</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40656-2022</t>
        </is>
      </c>
      <c r="B880" s="1" t="n">
        <v>44824.36069444445</v>
      </c>
      <c r="C880" s="1" t="n">
        <v>46033</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60694-2024</t>
        </is>
      </c>
      <c r="B881" s="1" t="n">
        <v>45644.47878472223</v>
      </c>
      <c r="C881" s="1" t="n">
        <v>46033</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19450-2025</t>
        </is>
      </c>
      <c r="B882" s="1" t="n">
        <v>45770</v>
      </c>
      <c r="C882" s="1" t="n">
        <v>46033</v>
      </c>
      <c r="D882" t="inlineStr">
        <is>
          <t>STOCKHOLMS LÄN</t>
        </is>
      </c>
      <c r="E882" t="inlineStr">
        <is>
          <t>NORRTÄLJE</t>
        </is>
      </c>
      <c r="G882" t="n">
        <v>5.3</v>
      </c>
      <c r="H882" t="n">
        <v>0</v>
      </c>
      <c r="I882" t="n">
        <v>0</v>
      </c>
      <c r="J882" t="n">
        <v>0</v>
      </c>
      <c r="K882" t="n">
        <v>0</v>
      </c>
      <c r="L882" t="n">
        <v>0</v>
      </c>
      <c r="M882" t="n">
        <v>0</v>
      </c>
      <c r="N882" t="n">
        <v>0</v>
      </c>
      <c r="O882" t="n">
        <v>0</v>
      </c>
      <c r="P882" t="n">
        <v>0</v>
      </c>
      <c r="Q882" t="n">
        <v>0</v>
      </c>
      <c r="R882" s="2" t="inlineStr"/>
    </row>
    <row r="883" ht="15" customHeight="1">
      <c r="A883" t="inlineStr">
        <is>
          <t>A 33353-2023</t>
        </is>
      </c>
      <c r="B883" s="1" t="n">
        <v>45128</v>
      </c>
      <c r="C883" s="1" t="n">
        <v>46033</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3966-2024</t>
        </is>
      </c>
      <c r="B884" s="1" t="n">
        <v>45322</v>
      </c>
      <c r="C884" s="1" t="n">
        <v>46033</v>
      </c>
      <c r="D884" t="inlineStr">
        <is>
          <t>STOCKHOLMS LÄN</t>
        </is>
      </c>
      <c r="E884" t="inlineStr">
        <is>
          <t>NORRTÄLJE</t>
        </is>
      </c>
      <c r="G884" t="n">
        <v>5.3</v>
      </c>
      <c r="H884" t="n">
        <v>0</v>
      </c>
      <c r="I884" t="n">
        <v>0</v>
      </c>
      <c r="J884" t="n">
        <v>0</v>
      </c>
      <c r="K884" t="n">
        <v>0</v>
      </c>
      <c r="L884" t="n">
        <v>0</v>
      </c>
      <c r="M884" t="n">
        <v>0</v>
      </c>
      <c r="N884" t="n">
        <v>0</v>
      </c>
      <c r="O884" t="n">
        <v>0</v>
      </c>
      <c r="P884" t="n">
        <v>0</v>
      </c>
      <c r="Q884" t="n">
        <v>0</v>
      </c>
      <c r="R884" s="2" t="inlineStr"/>
    </row>
    <row r="885" ht="15" customHeight="1">
      <c r="A885" t="inlineStr">
        <is>
          <t>A 23262-2023</t>
        </is>
      </c>
      <c r="B885" s="1" t="n">
        <v>45075.90270833333</v>
      </c>
      <c r="C885" s="1" t="n">
        <v>46033</v>
      </c>
      <c r="D885" t="inlineStr">
        <is>
          <t>STOCKHOLMS LÄN</t>
        </is>
      </c>
      <c r="E885" t="inlineStr">
        <is>
          <t>NORRTÄLJE</t>
        </is>
      </c>
      <c r="F885" t="inlineStr">
        <is>
          <t>Kommuner</t>
        </is>
      </c>
      <c r="G885" t="n">
        <v>1.9</v>
      </c>
      <c r="H885" t="n">
        <v>0</v>
      </c>
      <c r="I885" t="n">
        <v>0</v>
      </c>
      <c r="J885" t="n">
        <v>0</v>
      </c>
      <c r="K885" t="n">
        <v>0</v>
      </c>
      <c r="L885" t="n">
        <v>0</v>
      </c>
      <c r="M885" t="n">
        <v>0</v>
      </c>
      <c r="N885" t="n">
        <v>0</v>
      </c>
      <c r="O885" t="n">
        <v>0</v>
      </c>
      <c r="P885" t="n">
        <v>0</v>
      </c>
      <c r="Q885" t="n">
        <v>0</v>
      </c>
      <c r="R885" s="2" t="inlineStr"/>
    </row>
    <row r="886" ht="15" customHeight="1">
      <c r="A886" t="inlineStr">
        <is>
          <t>A 23268-2023</t>
        </is>
      </c>
      <c r="B886" s="1" t="n">
        <v>45075.91042824074</v>
      </c>
      <c r="C886" s="1" t="n">
        <v>46033</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23270-2023</t>
        </is>
      </c>
      <c r="B887" s="1" t="n">
        <v>45075.91265046296</v>
      </c>
      <c r="C887" s="1" t="n">
        <v>46033</v>
      </c>
      <c r="D887" t="inlineStr">
        <is>
          <t>STOCKHOLMS LÄN</t>
        </is>
      </c>
      <c r="E887" t="inlineStr">
        <is>
          <t>NORRTÄLJE</t>
        </is>
      </c>
      <c r="G887" t="n">
        <v>12.3</v>
      </c>
      <c r="H887" t="n">
        <v>0</v>
      </c>
      <c r="I887" t="n">
        <v>0</v>
      </c>
      <c r="J887" t="n">
        <v>0</v>
      </c>
      <c r="K887" t="n">
        <v>0</v>
      </c>
      <c r="L887" t="n">
        <v>0</v>
      </c>
      <c r="M887" t="n">
        <v>0</v>
      </c>
      <c r="N887" t="n">
        <v>0</v>
      </c>
      <c r="O887" t="n">
        <v>0</v>
      </c>
      <c r="P887" t="n">
        <v>0</v>
      </c>
      <c r="Q887" t="n">
        <v>0</v>
      </c>
      <c r="R887" s="2" t="inlineStr"/>
    </row>
    <row r="888" ht="15" customHeight="1">
      <c r="A888" t="inlineStr">
        <is>
          <t>A 23274-2023</t>
        </is>
      </c>
      <c r="B888" s="1" t="n">
        <v>45075.92153935185</v>
      </c>
      <c r="C888" s="1" t="n">
        <v>46033</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17843-2024</t>
        </is>
      </c>
      <c r="B889" s="1" t="n">
        <v>45418</v>
      </c>
      <c r="C889" s="1" t="n">
        <v>46033</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26636-2023</t>
        </is>
      </c>
      <c r="B890" s="1" t="n">
        <v>45092</v>
      </c>
      <c r="C890" s="1" t="n">
        <v>46033</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26637-2023</t>
        </is>
      </c>
      <c r="B891" s="1" t="n">
        <v>45092</v>
      </c>
      <c r="C891" s="1" t="n">
        <v>46033</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72704-2021</t>
        </is>
      </c>
      <c r="B892" s="1" t="n">
        <v>44546</v>
      </c>
      <c r="C892" s="1" t="n">
        <v>46033</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52743-2024</t>
        </is>
      </c>
      <c r="B893" s="1" t="n">
        <v>45610.47414351852</v>
      </c>
      <c r="C893" s="1" t="n">
        <v>46033</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16852-2024</t>
        </is>
      </c>
      <c r="B894" s="1" t="n">
        <v>45411.54768518519</v>
      </c>
      <c r="C894" s="1" t="n">
        <v>46033</v>
      </c>
      <c r="D894" t="inlineStr">
        <is>
          <t>STOCKHOLMS LÄN</t>
        </is>
      </c>
      <c r="E894" t="inlineStr">
        <is>
          <t>NORRTÄLJE</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55755-2023</t>
        </is>
      </c>
      <c r="B895" s="1" t="n">
        <v>45239</v>
      </c>
      <c r="C895" s="1" t="n">
        <v>46033</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17348-2024</t>
        </is>
      </c>
      <c r="B896" s="1" t="n">
        <v>45414.58650462963</v>
      </c>
      <c r="C896" s="1" t="n">
        <v>46033</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13089-2022</t>
        </is>
      </c>
      <c r="B897" s="1" t="n">
        <v>44643</v>
      </c>
      <c r="C897" s="1" t="n">
        <v>46033</v>
      </c>
      <c r="D897" t="inlineStr">
        <is>
          <t>STOCKHOLMS LÄN</t>
        </is>
      </c>
      <c r="E897" t="inlineStr">
        <is>
          <t>NORRTÄLJE</t>
        </is>
      </c>
      <c r="G897" t="n">
        <v>4.5</v>
      </c>
      <c r="H897" t="n">
        <v>0</v>
      </c>
      <c r="I897" t="n">
        <v>0</v>
      </c>
      <c r="J897" t="n">
        <v>0</v>
      </c>
      <c r="K897" t="n">
        <v>0</v>
      </c>
      <c r="L897" t="n">
        <v>0</v>
      </c>
      <c r="M897" t="n">
        <v>0</v>
      </c>
      <c r="N897" t="n">
        <v>0</v>
      </c>
      <c r="O897" t="n">
        <v>0</v>
      </c>
      <c r="P897" t="n">
        <v>0</v>
      </c>
      <c r="Q897" t="n">
        <v>0</v>
      </c>
      <c r="R897" s="2" t="inlineStr"/>
    </row>
    <row r="898" ht="15" customHeight="1">
      <c r="A898" t="inlineStr">
        <is>
          <t>A 48145-2024</t>
        </is>
      </c>
      <c r="B898" s="1" t="n">
        <v>45589.6756712963</v>
      </c>
      <c r="C898" s="1" t="n">
        <v>46033</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23998-2024</t>
        </is>
      </c>
      <c r="B899" s="1" t="n">
        <v>45456</v>
      </c>
      <c r="C899" s="1" t="n">
        <v>46033</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15447-2023</t>
        </is>
      </c>
      <c r="B900" s="1" t="n">
        <v>45020</v>
      </c>
      <c r="C900" s="1" t="n">
        <v>46033</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54358-2022</t>
        </is>
      </c>
      <c r="B901" s="1" t="n">
        <v>44882</v>
      </c>
      <c r="C901" s="1" t="n">
        <v>46033</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23263-2023</t>
        </is>
      </c>
      <c r="B902" s="1" t="n">
        <v>45075</v>
      </c>
      <c r="C902" s="1" t="n">
        <v>46033</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23264-2023</t>
        </is>
      </c>
      <c r="B903" s="1" t="n">
        <v>45075</v>
      </c>
      <c r="C903" s="1" t="n">
        <v>46033</v>
      </c>
      <c r="D903" t="inlineStr">
        <is>
          <t>STOCKHOLMS LÄN</t>
        </is>
      </c>
      <c r="E903" t="inlineStr">
        <is>
          <t>NORRTÄLJE</t>
        </is>
      </c>
      <c r="G903" t="n">
        <v>2.9</v>
      </c>
      <c r="H903" t="n">
        <v>0</v>
      </c>
      <c r="I903" t="n">
        <v>0</v>
      </c>
      <c r="J903" t="n">
        <v>0</v>
      </c>
      <c r="K903" t="n">
        <v>0</v>
      </c>
      <c r="L903" t="n">
        <v>0</v>
      </c>
      <c r="M903" t="n">
        <v>0</v>
      </c>
      <c r="N903" t="n">
        <v>0</v>
      </c>
      <c r="O903" t="n">
        <v>0</v>
      </c>
      <c r="P903" t="n">
        <v>0</v>
      </c>
      <c r="Q903" t="n">
        <v>0</v>
      </c>
      <c r="R903" s="2" t="inlineStr"/>
    </row>
    <row r="904" ht="15" customHeight="1">
      <c r="A904" t="inlineStr">
        <is>
          <t>A 23267-2023</t>
        </is>
      </c>
      <c r="B904" s="1" t="n">
        <v>45075.90934027778</v>
      </c>
      <c r="C904" s="1" t="n">
        <v>46033</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23269-2023</t>
        </is>
      </c>
      <c r="B905" s="1" t="n">
        <v>45075.91148148148</v>
      </c>
      <c r="C905" s="1" t="n">
        <v>46033</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19911-2025</t>
        </is>
      </c>
      <c r="B906" s="1" t="n">
        <v>45771</v>
      </c>
      <c r="C906" s="1" t="n">
        <v>46033</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5831-2022</t>
        </is>
      </c>
      <c r="B907" s="1" t="n">
        <v>44596</v>
      </c>
      <c r="C907" s="1" t="n">
        <v>46033</v>
      </c>
      <c r="D907" t="inlineStr">
        <is>
          <t>STOCKHOLMS LÄN</t>
        </is>
      </c>
      <c r="E907" t="inlineStr">
        <is>
          <t>NORRTÄLJE</t>
        </is>
      </c>
      <c r="G907" t="n">
        <v>4.8</v>
      </c>
      <c r="H907" t="n">
        <v>0</v>
      </c>
      <c r="I907" t="n">
        <v>0</v>
      </c>
      <c r="J907" t="n">
        <v>0</v>
      </c>
      <c r="K907" t="n">
        <v>0</v>
      </c>
      <c r="L907" t="n">
        <v>0</v>
      </c>
      <c r="M907" t="n">
        <v>0</v>
      </c>
      <c r="N907" t="n">
        <v>0</v>
      </c>
      <c r="O907" t="n">
        <v>0</v>
      </c>
      <c r="P907" t="n">
        <v>0</v>
      </c>
      <c r="Q907" t="n">
        <v>0</v>
      </c>
      <c r="R907" s="2" t="inlineStr"/>
    </row>
    <row r="908" ht="15" customHeight="1">
      <c r="A908" t="inlineStr">
        <is>
          <t>A 5867-2022</t>
        </is>
      </c>
      <c r="B908" s="1" t="n">
        <v>44596.66335648148</v>
      </c>
      <c r="C908" s="1" t="n">
        <v>46033</v>
      </c>
      <c r="D908" t="inlineStr">
        <is>
          <t>STOCKHOLMS LÄN</t>
        </is>
      </c>
      <c r="E908" t="inlineStr">
        <is>
          <t>NORRTÄLJE</t>
        </is>
      </c>
      <c r="F908" t="inlineStr">
        <is>
          <t>Naturvårdsverket</t>
        </is>
      </c>
      <c r="G908" t="n">
        <v>1.6</v>
      </c>
      <c r="H908" t="n">
        <v>0</v>
      </c>
      <c r="I908" t="n">
        <v>0</v>
      </c>
      <c r="J908" t="n">
        <v>0</v>
      </c>
      <c r="K908" t="n">
        <v>0</v>
      </c>
      <c r="L908" t="n">
        <v>0</v>
      </c>
      <c r="M908" t="n">
        <v>0</v>
      </c>
      <c r="N908" t="n">
        <v>0</v>
      </c>
      <c r="O908" t="n">
        <v>0</v>
      </c>
      <c r="P908" t="n">
        <v>0</v>
      </c>
      <c r="Q908" t="n">
        <v>0</v>
      </c>
      <c r="R908" s="2" t="inlineStr"/>
    </row>
    <row r="909" ht="15" customHeight="1">
      <c r="A909" t="inlineStr">
        <is>
          <t>A 20244-2025</t>
        </is>
      </c>
      <c r="B909" s="1" t="n">
        <v>45772.71221064815</v>
      </c>
      <c r="C909" s="1" t="n">
        <v>46033</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48633-2023</t>
        </is>
      </c>
      <c r="B910" s="1" t="n">
        <v>45208.58004629629</v>
      </c>
      <c r="C910" s="1" t="n">
        <v>46033</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39669-2024</t>
        </is>
      </c>
      <c r="B911" s="1" t="n">
        <v>45552.52827546297</v>
      </c>
      <c r="C911" s="1" t="n">
        <v>46033</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43170-2023</t>
        </is>
      </c>
      <c r="B912" s="1" t="n">
        <v>45183</v>
      </c>
      <c r="C912" s="1" t="n">
        <v>46033</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9-2024</t>
        </is>
      </c>
      <c r="B913" s="1" t="n">
        <v>45293</v>
      </c>
      <c r="C913" s="1" t="n">
        <v>46033</v>
      </c>
      <c r="D913" t="inlineStr">
        <is>
          <t>STOCKHOLMS LÄN</t>
        </is>
      </c>
      <c r="E913" t="inlineStr">
        <is>
          <t>NORRTÄLJE</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22832-2021</t>
        </is>
      </c>
      <c r="B914" s="1" t="n">
        <v>44325</v>
      </c>
      <c r="C914" s="1" t="n">
        <v>46033</v>
      </c>
      <c r="D914" t="inlineStr">
        <is>
          <t>STOCKHOLMS LÄN</t>
        </is>
      </c>
      <c r="E914" t="inlineStr">
        <is>
          <t>NORRTÄLJE</t>
        </is>
      </c>
      <c r="G914" t="n">
        <v>6.8</v>
      </c>
      <c r="H914" t="n">
        <v>0</v>
      </c>
      <c r="I914" t="n">
        <v>0</v>
      </c>
      <c r="J914" t="n">
        <v>0</v>
      </c>
      <c r="K914" t="n">
        <v>0</v>
      </c>
      <c r="L914" t="n">
        <v>0</v>
      </c>
      <c r="M914" t="n">
        <v>0</v>
      </c>
      <c r="N914" t="n">
        <v>0</v>
      </c>
      <c r="O914" t="n">
        <v>0</v>
      </c>
      <c r="P914" t="n">
        <v>0</v>
      </c>
      <c r="Q914" t="n">
        <v>0</v>
      </c>
      <c r="R914" s="2" t="inlineStr"/>
    </row>
    <row r="915" ht="15" customHeight="1">
      <c r="A915" t="inlineStr">
        <is>
          <t>A 16913-2025</t>
        </is>
      </c>
      <c r="B915" s="1" t="n">
        <v>45755.36583333334</v>
      </c>
      <c r="C915" s="1" t="n">
        <v>46033</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4035-2023</t>
        </is>
      </c>
      <c r="B916" s="1" t="n">
        <v>44952.57989583333</v>
      </c>
      <c r="C916" s="1" t="n">
        <v>46033</v>
      </c>
      <c r="D916" t="inlineStr">
        <is>
          <t>STOCKHOLMS LÄN</t>
        </is>
      </c>
      <c r="E916" t="inlineStr">
        <is>
          <t>NORRTÄLJE</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46033</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53600-2022</t>
        </is>
      </c>
      <c r="B918" s="1" t="n">
        <v>44879.70518518519</v>
      </c>
      <c r="C918" s="1" t="n">
        <v>46033</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7697-2025</t>
        </is>
      </c>
      <c r="B919" s="1" t="n">
        <v>45706.40086805556</v>
      </c>
      <c r="C919" s="1" t="n">
        <v>46033</v>
      </c>
      <c r="D919" t="inlineStr">
        <is>
          <t>STOCKHOLMS LÄN</t>
        </is>
      </c>
      <c r="E919" t="inlineStr">
        <is>
          <t>NORRTÄLJE</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30221-2024</t>
        </is>
      </c>
      <c r="B920" s="1" t="n">
        <v>45490.45342592592</v>
      </c>
      <c r="C920" s="1" t="n">
        <v>46033</v>
      </c>
      <c r="D920" t="inlineStr">
        <is>
          <t>STOCKHOLMS LÄN</t>
        </is>
      </c>
      <c r="E920" t="inlineStr">
        <is>
          <t>NORRTÄLJE</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13-2024</t>
        </is>
      </c>
      <c r="B921" s="1" t="n">
        <v>45293.37263888889</v>
      </c>
      <c r="C921" s="1" t="n">
        <v>46033</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19-2024</t>
        </is>
      </c>
      <c r="B922" s="1" t="n">
        <v>45293</v>
      </c>
      <c r="C922" s="1" t="n">
        <v>46033</v>
      </c>
      <c r="D922" t="inlineStr">
        <is>
          <t>STOCKHOLMS LÄN</t>
        </is>
      </c>
      <c r="E922" t="inlineStr">
        <is>
          <t>NORRTÄLJE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31559-2022</t>
        </is>
      </c>
      <c r="B923" s="1" t="n">
        <v>44775</v>
      </c>
      <c r="C923" s="1" t="n">
        <v>46033</v>
      </c>
      <c r="D923" t="inlineStr">
        <is>
          <t>STOCKHOLMS LÄN</t>
        </is>
      </c>
      <c r="E923" t="inlineStr">
        <is>
          <t>NORRTÄLJE</t>
        </is>
      </c>
      <c r="G923" t="n">
        <v>5.6</v>
      </c>
      <c r="H923" t="n">
        <v>0</v>
      </c>
      <c r="I923" t="n">
        <v>0</v>
      </c>
      <c r="J923" t="n">
        <v>0</v>
      </c>
      <c r="K923" t="n">
        <v>0</v>
      </c>
      <c r="L923" t="n">
        <v>0</v>
      </c>
      <c r="M923" t="n">
        <v>0</v>
      </c>
      <c r="N923" t="n">
        <v>0</v>
      </c>
      <c r="O923" t="n">
        <v>0</v>
      </c>
      <c r="P923" t="n">
        <v>0</v>
      </c>
      <c r="Q923" t="n">
        <v>0</v>
      </c>
      <c r="R923" s="2" t="inlineStr"/>
    </row>
    <row r="924" ht="15" customHeight="1">
      <c r="A924" t="inlineStr">
        <is>
          <t>A 8419-2025</t>
        </is>
      </c>
      <c r="B924" s="1" t="n">
        <v>45709.40231481481</v>
      </c>
      <c r="C924" s="1" t="n">
        <v>46033</v>
      </c>
      <c r="D924" t="inlineStr">
        <is>
          <t>STOCKHOLMS LÄN</t>
        </is>
      </c>
      <c r="E924" t="inlineStr">
        <is>
          <t>NORRTÄLJE</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35161-2022</t>
        </is>
      </c>
      <c r="B925" s="1" t="n">
        <v>44797</v>
      </c>
      <c r="C925" s="1" t="n">
        <v>46033</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58989-2021</t>
        </is>
      </c>
      <c r="B926" s="1" t="n">
        <v>44490.02482638889</v>
      </c>
      <c r="C926" s="1" t="n">
        <v>46033</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46988-2024</t>
        </is>
      </c>
      <c r="B927" s="1" t="n">
        <v>45586</v>
      </c>
      <c r="C927" s="1" t="n">
        <v>46033</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21529-2021</t>
        </is>
      </c>
      <c r="B928" s="1" t="n">
        <v>44321</v>
      </c>
      <c r="C928" s="1" t="n">
        <v>46033</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13701-2022</t>
        </is>
      </c>
      <c r="B929" s="1" t="n">
        <v>44648</v>
      </c>
      <c r="C929" s="1" t="n">
        <v>46033</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14132-2025</t>
        </is>
      </c>
      <c r="B930" s="1" t="n">
        <v>45740.47550925926</v>
      </c>
      <c r="C930" s="1" t="n">
        <v>46033</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14133-2025</t>
        </is>
      </c>
      <c r="B931" s="1" t="n">
        <v>45740.47724537037</v>
      </c>
      <c r="C931" s="1" t="n">
        <v>46033</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8792-2025</t>
        </is>
      </c>
      <c r="B932" s="1" t="n">
        <v>45712</v>
      </c>
      <c r="C932" s="1" t="n">
        <v>46033</v>
      </c>
      <c r="D932" t="inlineStr">
        <is>
          <t>STOCKHOLMS LÄN</t>
        </is>
      </c>
      <c r="E932" t="inlineStr">
        <is>
          <t>NORRTÄLJE</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24887-2023</t>
        </is>
      </c>
      <c r="B933" s="1" t="n">
        <v>45085</v>
      </c>
      <c r="C933" s="1" t="n">
        <v>46033</v>
      </c>
      <c r="D933" t="inlineStr">
        <is>
          <t>STOCKHOLMS LÄN</t>
        </is>
      </c>
      <c r="E933" t="inlineStr">
        <is>
          <t>NORRTÄLJE</t>
        </is>
      </c>
      <c r="G933" t="n">
        <v>13.9</v>
      </c>
      <c r="H933" t="n">
        <v>0</v>
      </c>
      <c r="I933" t="n">
        <v>0</v>
      </c>
      <c r="J933" t="n">
        <v>0</v>
      </c>
      <c r="K933" t="n">
        <v>0</v>
      </c>
      <c r="L933" t="n">
        <v>0</v>
      </c>
      <c r="M933" t="n">
        <v>0</v>
      </c>
      <c r="N933" t="n">
        <v>0</v>
      </c>
      <c r="O933" t="n">
        <v>0</v>
      </c>
      <c r="P933" t="n">
        <v>0</v>
      </c>
      <c r="Q933" t="n">
        <v>0</v>
      </c>
      <c r="R933" s="2" t="inlineStr"/>
    </row>
    <row r="934" ht="15" customHeight="1">
      <c r="A934" t="inlineStr">
        <is>
          <t>A 38612-2022</t>
        </is>
      </c>
      <c r="B934" s="1" t="n">
        <v>44813</v>
      </c>
      <c r="C934" s="1" t="n">
        <v>46033</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4326-2023</t>
        </is>
      </c>
      <c r="B935" s="1" t="n">
        <v>44953.70481481482</v>
      </c>
      <c r="C935" s="1" t="n">
        <v>46033</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54504-2024</t>
        </is>
      </c>
      <c r="B936" s="1" t="n">
        <v>45617.58453703704</v>
      </c>
      <c r="C936" s="1" t="n">
        <v>46033</v>
      </c>
      <c r="D936" t="inlineStr">
        <is>
          <t>STOCKHOLMS LÄN</t>
        </is>
      </c>
      <c r="E936" t="inlineStr">
        <is>
          <t>NORRTÄLJE</t>
        </is>
      </c>
      <c r="G936" t="n">
        <v>3.4</v>
      </c>
      <c r="H936" t="n">
        <v>0</v>
      </c>
      <c r="I936" t="n">
        <v>0</v>
      </c>
      <c r="J936" t="n">
        <v>0</v>
      </c>
      <c r="K936" t="n">
        <v>0</v>
      </c>
      <c r="L936" t="n">
        <v>0</v>
      </c>
      <c r="M936" t="n">
        <v>0</v>
      </c>
      <c r="N936" t="n">
        <v>0</v>
      </c>
      <c r="O936" t="n">
        <v>0</v>
      </c>
      <c r="P936" t="n">
        <v>0</v>
      </c>
      <c r="Q936" t="n">
        <v>0</v>
      </c>
      <c r="R936" s="2" t="inlineStr"/>
    </row>
    <row r="937" ht="15" customHeight="1">
      <c r="A937" t="inlineStr">
        <is>
          <t>A 21745-2023</t>
        </is>
      </c>
      <c r="B937" s="1" t="n">
        <v>45065.55917824074</v>
      </c>
      <c r="C937" s="1" t="n">
        <v>46033</v>
      </c>
      <c r="D937" t="inlineStr">
        <is>
          <t>STOCKHOLMS LÄN</t>
        </is>
      </c>
      <c r="E937" t="inlineStr">
        <is>
          <t>NORRTÄLJE</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21894-2023</t>
        </is>
      </c>
      <c r="B938" s="1" t="n">
        <v>45068.51783564815</v>
      </c>
      <c r="C938" s="1" t="n">
        <v>46033</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13276-2022</t>
        </is>
      </c>
      <c r="B939" s="1" t="n">
        <v>44644</v>
      </c>
      <c r="C939" s="1" t="n">
        <v>46033</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28182-2022</t>
        </is>
      </c>
      <c r="B940" s="1" t="n">
        <v>44746.58530092592</v>
      </c>
      <c r="C940" s="1" t="n">
        <v>46033</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34461-2023</t>
        </is>
      </c>
      <c r="B941" s="1" t="n">
        <v>45139</v>
      </c>
      <c r="C941" s="1" t="n">
        <v>46033</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51046-2023</t>
        </is>
      </c>
      <c r="B942" s="1" t="n">
        <v>45218</v>
      </c>
      <c r="C942" s="1" t="n">
        <v>46033</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17382-2024</t>
        </is>
      </c>
      <c r="B943" s="1" t="n">
        <v>45414.65855324074</v>
      </c>
      <c r="C943" s="1" t="n">
        <v>46033</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6070-2022</t>
        </is>
      </c>
      <c r="B944" s="1" t="n">
        <v>44599.58428240741</v>
      </c>
      <c r="C944" s="1" t="n">
        <v>46033</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17039-2024</t>
        </is>
      </c>
      <c r="B945" s="1" t="n">
        <v>45412.4104050926</v>
      </c>
      <c r="C945" s="1" t="n">
        <v>46033</v>
      </c>
      <c r="D945" t="inlineStr">
        <is>
          <t>STOCKHOLMS LÄN</t>
        </is>
      </c>
      <c r="E945" t="inlineStr">
        <is>
          <t>NORRTÄLJE</t>
        </is>
      </c>
      <c r="G945" t="n">
        <v>5.9</v>
      </c>
      <c r="H945" t="n">
        <v>0</v>
      </c>
      <c r="I945" t="n">
        <v>0</v>
      </c>
      <c r="J945" t="n">
        <v>0</v>
      </c>
      <c r="K945" t="n">
        <v>0</v>
      </c>
      <c r="L945" t="n">
        <v>0</v>
      </c>
      <c r="M945" t="n">
        <v>0</v>
      </c>
      <c r="N945" t="n">
        <v>0</v>
      </c>
      <c r="O945" t="n">
        <v>0</v>
      </c>
      <c r="P945" t="n">
        <v>0</v>
      </c>
      <c r="Q945" t="n">
        <v>0</v>
      </c>
      <c r="R945" s="2" t="inlineStr"/>
    </row>
    <row r="946" ht="15" customHeight="1">
      <c r="A946" t="inlineStr">
        <is>
          <t>A 48180-2023</t>
        </is>
      </c>
      <c r="B946" s="1" t="n">
        <v>45205</v>
      </c>
      <c r="C946" s="1" t="n">
        <v>46033</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35695-2023</t>
        </is>
      </c>
      <c r="B947" s="1" t="n">
        <v>45147.65407407407</v>
      </c>
      <c r="C947" s="1" t="n">
        <v>46033</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45173-2023</t>
        </is>
      </c>
      <c r="B948" s="1" t="n">
        <v>45191</v>
      </c>
      <c r="C948" s="1" t="n">
        <v>46033</v>
      </c>
      <c r="D948" t="inlineStr">
        <is>
          <t>STOCKHOLMS LÄN</t>
        </is>
      </c>
      <c r="E948" t="inlineStr">
        <is>
          <t>NORRTÄLJE</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24705-2023</t>
        </is>
      </c>
      <c r="B949" s="1" t="n">
        <v>45084.54459490741</v>
      </c>
      <c r="C949" s="1" t="n">
        <v>46033</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21696-2024</t>
        </is>
      </c>
      <c r="B950" s="1" t="n">
        <v>45442.45686342593</v>
      </c>
      <c r="C950" s="1" t="n">
        <v>46033</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67990-2021</t>
        </is>
      </c>
      <c r="B951" s="1" t="n">
        <v>44525</v>
      </c>
      <c r="C951" s="1" t="n">
        <v>46033</v>
      </c>
      <c r="D951" t="inlineStr">
        <is>
          <t>STOCKHOLMS LÄN</t>
        </is>
      </c>
      <c r="E951" t="inlineStr">
        <is>
          <t>NORRTÄLJE</t>
        </is>
      </c>
      <c r="F951" t="inlineStr">
        <is>
          <t>Sveaskog</t>
        </is>
      </c>
      <c r="G951" t="n">
        <v>7.8</v>
      </c>
      <c r="H951" t="n">
        <v>0</v>
      </c>
      <c r="I951" t="n">
        <v>0</v>
      </c>
      <c r="J951" t="n">
        <v>0</v>
      </c>
      <c r="K951" t="n">
        <v>0</v>
      </c>
      <c r="L951" t="n">
        <v>0</v>
      </c>
      <c r="M951" t="n">
        <v>0</v>
      </c>
      <c r="N951" t="n">
        <v>0</v>
      </c>
      <c r="O951" t="n">
        <v>0</v>
      </c>
      <c r="P951" t="n">
        <v>0</v>
      </c>
      <c r="Q951" t="n">
        <v>0</v>
      </c>
      <c r="R951" s="2" t="inlineStr"/>
    </row>
    <row r="952" ht="15" customHeight="1">
      <c r="A952" t="inlineStr">
        <is>
          <t>A 71552-2021</t>
        </is>
      </c>
      <c r="B952" s="1" t="n">
        <v>44540</v>
      </c>
      <c r="C952" s="1" t="n">
        <v>46033</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73992-2021</t>
        </is>
      </c>
      <c r="B953" s="1" t="n">
        <v>44556</v>
      </c>
      <c r="C953" s="1" t="n">
        <v>46033</v>
      </c>
      <c r="D953" t="inlineStr">
        <is>
          <t>STOCKHOLMS LÄN</t>
        </is>
      </c>
      <c r="E953" t="inlineStr">
        <is>
          <t>NORRTÄLJE</t>
        </is>
      </c>
      <c r="G953" t="n">
        <v>12.5</v>
      </c>
      <c r="H953" t="n">
        <v>0</v>
      </c>
      <c r="I953" t="n">
        <v>0</v>
      </c>
      <c r="J953" t="n">
        <v>0</v>
      </c>
      <c r="K953" t="n">
        <v>0</v>
      </c>
      <c r="L953" t="n">
        <v>0</v>
      </c>
      <c r="M953" t="n">
        <v>0</v>
      </c>
      <c r="N953" t="n">
        <v>0</v>
      </c>
      <c r="O953" t="n">
        <v>0</v>
      </c>
      <c r="P953" t="n">
        <v>0</v>
      </c>
      <c r="Q953" t="n">
        <v>0</v>
      </c>
      <c r="R953" s="2" t="inlineStr"/>
    </row>
    <row r="954" ht="15" customHeight="1">
      <c r="A954" t="inlineStr">
        <is>
          <t>A 26113-2024</t>
        </is>
      </c>
      <c r="B954" s="1" t="n">
        <v>45468.45541666666</v>
      </c>
      <c r="C954" s="1" t="n">
        <v>46033</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26116-2024</t>
        </is>
      </c>
      <c r="B955" s="1" t="n">
        <v>45468.45747685185</v>
      </c>
      <c r="C955" s="1" t="n">
        <v>46033</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15978-2024</t>
        </is>
      </c>
      <c r="B956" s="1" t="n">
        <v>45405.57927083333</v>
      </c>
      <c r="C956" s="1" t="n">
        <v>46033</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11333-2025</t>
        </is>
      </c>
      <c r="B957" s="1" t="n">
        <v>45726.48377314815</v>
      </c>
      <c r="C957" s="1" t="n">
        <v>46033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34391-2023</t>
        </is>
      </c>
      <c r="B958" s="1" t="n">
        <v>45139.51457175926</v>
      </c>
      <c r="C958" s="1" t="n">
        <v>46033</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67921-2021</t>
        </is>
      </c>
      <c r="B959" s="1" t="n">
        <v>44525</v>
      </c>
      <c r="C959" s="1" t="n">
        <v>46033</v>
      </c>
      <c r="D959" t="inlineStr">
        <is>
          <t>STOCKHOLMS LÄN</t>
        </is>
      </c>
      <c r="E959" t="inlineStr">
        <is>
          <t>NORRTÄLJE</t>
        </is>
      </c>
      <c r="G959" t="n">
        <v>6.3</v>
      </c>
      <c r="H959" t="n">
        <v>0</v>
      </c>
      <c r="I959" t="n">
        <v>0</v>
      </c>
      <c r="J959" t="n">
        <v>0</v>
      </c>
      <c r="K959" t="n">
        <v>0</v>
      </c>
      <c r="L959" t="n">
        <v>0</v>
      </c>
      <c r="M959" t="n">
        <v>0</v>
      </c>
      <c r="N959" t="n">
        <v>0</v>
      </c>
      <c r="O959" t="n">
        <v>0</v>
      </c>
      <c r="P959" t="n">
        <v>0</v>
      </c>
      <c r="Q959" t="n">
        <v>0</v>
      </c>
      <c r="R959" s="2" t="inlineStr"/>
    </row>
    <row r="960" ht="15" customHeight="1">
      <c r="A960" t="inlineStr">
        <is>
          <t>A 25681-2024</t>
        </is>
      </c>
      <c r="B960" s="1" t="n">
        <v>45463.80486111111</v>
      </c>
      <c r="C960" s="1" t="n">
        <v>46033</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58853-2024</t>
        </is>
      </c>
      <c r="B961" s="1" t="n">
        <v>45636.38974537037</v>
      </c>
      <c r="C961" s="1" t="n">
        <v>46033</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35438-2023</t>
        </is>
      </c>
      <c r="B962" s="1" t="n">
        <v>45146</v>
      </c>
      <c r="C962" s="1" t="n">
        <v>46033</v>
      </c>
      <c r="D962" t="inlineStr">
        <is>
          <t>STOCKHOLMS LÄN</t>
        </is>
      </c>
      <c r="E962" t="inlineStr">
        <is>
          <t>NORRTÄLJE</t>
        </is>
      </c>
      <c r="F962" t="inlineStr">
        <is>
          <t>Kommuner</t>
        </is>
      </c>
      <c r="G962" t="n">
        <v>1.9</v>
      </c>
      <c r="H962" t="n">
        <v>0</v>
      </c>
      <c r="I962" t="n">
        <v>0</v>
      </c>
      <c r="J962" t="n">
        <v>0</v>
      </c>
      <c r="K962" t="n">
        <v>0</v>
      </c>
      <c r="L962" t="n">
        <v>0</v>
      </c>
      <c r="M962" t="n">
        <v>0</v>
      </c>
      <c r="N962" t="n">
        <v>0</v>
      </c>
      <c r="O962" t="n">
        <v>0</v>
      </c>
      <c r="P962" t="n">
        <v>0</v>
      </c>
      <c r="Q962" t="n">
        <v>0</v>
      </c>
      <c r="R962" s="2" t="inlineStr"/>
    </row>
    <row r="963" ht="15" customHeight="1">
      <c r="A963" t="inlineStr">
        <is>
          <t>A 20291-2022</t>
        </is>
      </c>
      <c r="B963" s="1" t="n">
        <v>44698</v>
      </c>
      <c r="C963" s="1" t="n">
        <v>46033</v>
      </c>
      <c r="D963" t="inlineStr">
        <is>
          <t>STOCKHOLMS LÄN</t>
        </is>
      </c>
      <c r="E963" t="inlineStr">
        <is>
          <t>NORRTÄLJE</t>
        </is>
      </c>
      <c r="F963" t="inlineStr">
        <is>
          <t>Naturvårdsverket</t>
        </is>
      </c>
      <c r="G963" t="n">
        <v>2</v>
      </c>
      <c r="H963" t="n">
        <v>0</v>
      </c>
      <c r="I963" t="n">
        <v>0</v>
      </c>
      <c r="J963" t="n">
        <v>0</v>
      </c>
      <c r="K963" t="n">
        <v>0</v>
      </c>
      <c r="L963" t="n">
        <v>0</v>
      </c>
      <c r="M963" t="n">
        <v>0</v>
      </c>
      <c r="N963" t="n">
        <v>0</v>
      </c>
      <c r="O963" t="n">
        <v>0</v>
      </c>
      <c r="P963" t="n">
        <v>0</v>
      </c>
      <c r="Q963" t="n">
        <v>0</v>
      </c>
      <c r="R963" s="2" t="inlineStr"/>
    </row>
    <row r="964" ht="15" customHeight="1">
      <c r="A964" t="inlineStr">
        <is>
          <t>A 26115-2024</t>
        </is>
      </c>
      <c r="B964" s="1" t="n">
        <v>45468.45628472222</v>
      </c>
      <c r="C964" s="1" t="n">
        <v>46033</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28816-2023</t>
        </is>
      </c>
      <c r="B965" s="1" t="n">
        <v>45104</v>
      </c>
      <c r="C965" s="1" t="n">
        <v>46033</v>
      </c>
      <c r="D965" t="inlineStr">
        <is>
          <t>STOCKHOLMS LÄN</t>
        </is>
      </c>
      <c r="E965" t="inlineStr">
        <is>
          <t>NORRTÄLJE</t>
        </is>
      </c>
      <c r="F965" t="inlineStr">
        <is>
          <t>Kommuner</t>
        </is>
      </c>
      <c r="G965" t="n">
        <v>0.5</v>
      </c>
      <c r="H965" t="n">
        <v>0</v>
      </c>
      <c r="I965" t="n">
        <v>0</v>
      </c>
      <c r="J965" t="n">
        <v>0</v>
      </c>
      <c r="K965" t="n">
        <v>0</v>
      </c>
      <c r="L965" t="n">
        <v>0</v>
      </c>
      <c r="M965" t="n">
        <v>0</v>
      </c>
      <c r="N965" t="n">
        <v>0</v>
      </c>
      <c r="O965" t="n">
        <v>0</v>
      </c>
      <c r="P965" t="n">
        <v>0</v>
      </c>
      <c r="Q965" t="n">
        <v>0</v>
      </c>
      <c r="R965" s="2" t="inlineStr"/>
    </row>
    <row r="966" ht="15" customHeight="1">
      <c r="A966" t="inlineStr">
        <is>
          <t>A 19118-2022</t>
        </is>
      </c>
      <c r="B966" s="1" t="n">
        <v>44691.5652662037</v>
      </c>
      <c r="C966" s="1" t="n">
        <v>46033</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8739-2024</t>
        </is>
      </c>
      <c r="B967" s="1" t="n">
        <v>45356.47784722222</v>
      </c>
      <c r="C967" s="1" t="n">
        <v>46033</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38759-2022</t>
        </is>
      </c>
      <c r="B968" s="1" t="n">
        <v>44816</v>
      </c>
      <c r="C968" s="1" t="n">
        <v>46033</v>
      </c>
      <c r="D968" t="inlineStr">
        <is>
          <t>STOCKHOLMS LÄN</t>
        </is>
      </c>
      <c r="E968" t="inlineStr">
        <is>
          <t>NORRTÄLJE</t>
        </is>
      </c>
      <c r="G968" t="n">
        <v>2.8</v>
      </c>
      <c r="H968" t="n">
        <v>0</v>
      </c>
      <c r="I968" t="n">
        <v>0</v>
      </c>
      <c r="J968" t="n">
        <v>0</v>
      </c>
      <c r="K968" t="n">
        <v>0</v>
      </c>
      <c r="L968" t="n">
        <v>0</v>
      </c>
      <c r="M968" t="n">
        <v>0</v>
      </c>
      <c r="N968" t="n">
        <v>0</v>
      </c>
      <c r="O968" t="n">
        <v>0</v>
      </c>
      <c r="P968" t="n">
        <v>0</v>
      </c>
      <c r="Q968" t="n">
        <v>0</v>
      </c>
      <c r="R968" s="2" t="inlineStr"/>
    </row>
    <row r="969" ht="15" customHeight="1">
      <c r="A969" t="inlineStr">
        <is>
          <t>A 32857-2021</t>
        </is>
      </c>
      <c r="B969" s="1" t="n">
        <v>44375</v>
      </c>
      <c r="C969" s="1" t="n">
        <v>46033</v>
      </c>
      <c r="D969" t="inlineStr">
        <is>
          <t>STOCKHOLMS LÄN</t>
        </is>
      </c>
      <c r="E969" t="inlineStr">
        <is>
          <t>NORRTÄLJE</t>
        </is>
      </c>
      <c r="G969" t="n">
        <v>2.9</v>
      </c>
      <c r="H969" t="n">
        <v>0</v>
      </c>
      <c r="I969" t="n">
        <v>0</v>
      </c>
      <c r="J969" t="n">
        <v>0</v>
      </c>
      <c r="K969" t="n">
        <v>0</v>
      </c>
      <c r="L969" t="n">
        <v>0</v>
      </c>
      <c r="M969" t="n">
        <v>0</v>
      </c>
      <c r="N969" t="n">
        <v>0</v>
      </c>
      <c r="O969" t="n">
        <v>0</v>
      </c>
      <c r="P969" t="n">
        <v>0</v>
      </c>
      <c r="Q969" t="n">
        <v>0</v>
      </c>
      <c r="R969" s="2" t="inlineStr"/>
    </row>
    <row r="970" ht="15" customHeight="1">
      <c r="A970" t="inlineStr">
        <is>
          <t>A 29714-2023</t>
        </is>
      </c>
      <c r="B970" s="1" t="n">
        <v>45107.42538194444</v>
      </c>
      <c r="C970" s="1" t="n">
        <v>46033</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23271-2023</t>
        </is>
      </c>
      <c r="B971" s="1" t="n">
        <v>45075.91362268518</v>
      </c>
      <c r="C971" s="1" t="n">
        <v>46033</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23273-2023</t>
        </is>
      </c>
      <c r="B972" s="1" t="n">
        <v>45075.91971064815</v>
      </c>
      <c r="C972" s="1" t="n">
        <v>46033</v>
      </c>
      <c r="D972" t="inlineStr">
        <is>
          <t>STOCKHOLMS LÄN</t>
        </is>
      </c>
      <c r="E972" t="inlineStr">
        <is>
          <t>NORRTÄLJE</t>
        </is>
      </c>
      <c r="G972" t="n">
        <v>7.5</v>
      </c>
      <c r="H972" t="n">
        <v>0</v>
      </c>
      <c r="I972" t="n">
        <v>0</v>
      </c>
      <c r="J972" t="n">
        <v>0</v>
      </c>
      <c r="K972" t="n">
        <v>0</v>
      </c>
      <c r="L972" t="n">
        <v>0</v>
      </c>
      <c r="M972" t="n">
        <v>0</v>
      </c>
      <c r="N972" t="n">
        <v>0</v>
      </c>
      <c r="O972" t="n">
        <v>0</v>
      </c>
      <c r="P972" t="n">
        <v>0</v>
      </c>
      <c r="Q972" t="n">
        <v>0</v>
      </c>
      <c r="R972" s="2" t="inlineStr"/>
    </row>
    <row r="973" ht="15" customHeight="1">
      <c r="A973" t="inlineStr">
        <is>
          <t>A 7603-2025</t>
        </is>
      </c>
      <c r="B973" s="1" t="n">
        <v>45705.66126157407</v>
      </c>
      <c r="C973" s="1" t="n">
        <v>46033</v>
      </c>
      <c r="D973" t="inlineStr">
        <is>
          <t>STOCKHOLMS LÄN</t>
        </is>
      </c>
      <c r="E973" t="inlineStr">
        <is>
          <t>NORRTÄLJE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30802-2022</t>
        </is>
      </c>
      <c r="B974" s="1" t="n">
        <v>44764</v>
      </c>
      <c r="C974" s="1" t="n">
        <v>46033</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55369-2023</t>
        </is>
      </c>
      <c r="B975" s="1" t="n">
        <v>45238</v>
      </c>
      <c r="C975" s="1" t="n">
        <v>46033</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61113-2023</t>
        </is>
      </c>
      <c r="B976" s="1" t="n">
        <v>45261</v>
      </c>
      <c r="C976" s="1" t="n">
        <v>46033</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3283-2025</t>
        </is>
      </c>
      <c r="B977" s="1" t="n">
        <v>45679</v>
      </c>
      <c r="C977" s="1" t="n">
        <v>46033</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34295-2024</t>
        </is>
      </c>
      <c r="B978" s="1" t="n">
        <v>45524</v>
      </c>
      <c r="C978" s="1" t="n">
        <v>46033</v>
      </c>
      <c r="D978" t="inlineStr">
        <is>
          <t>STOCKHOLMS LÄN</t>
        </is>
      </c>
      <c r="E978" t="inlineStr">
        <is>
          <t>NORRTÄLJE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58311-2023</t>
        </is>
      </c>
      <c r="B979" s="1" t="n">
        <v>45245</v>
      </c>
      <c r="C979" s="1" t="n">
        <v>46033</v>
      </c>
      <c r="D979" t="inlineStr">
        <is>
          <t>STOCKHOLMS LÄN</t>
        </is>
      </c>
      <c r="E979" t="inlineStr">
        <is>
          <t>NORRTÄLJE</t>
        </is>
      </c>
      <c r="G979" t="n">
        <v>2.3</v>
      </c>
      <c r="H979" t="n">
        <v>0</v>
      </c>
      <c r="I979" t="n">
        <v>0</v>
      </c>
      <c r="J979" t="n">
        <v>0</v>
      </c>
      <c r="K979" t="n">
        <v>0</v>
      </c>
      <c r="L979" t="n">
        <v>0</v>
      </c>
      <c r="M979" t="n">
        <v>0</v>
      </c>
      <c r="N979" t="n">
        <v>0</v>
      </c>
      <c r="O979" t="n">
        <v>0</v>
      </c>
      <c r="P979" t="n">
        <v>0</v>
      </c>
      <c r="Q979" t="n">
        <v>0</v>
      </c>
      <c r="R979" s="2" t="inlineStr"/>
    </row>
    <row r="980" ht="15" customHeight="1">
      <c r="A980" t="inlineStr">
        <is>
          <t>A 23692-2024</t>
        </is>
      </c>
      <c r="B980" s="1" t="n">
        <v>45454.65774305556</v>
      </c>
      <c r="C980" s="1" t="n">
        <v>46033</v>
      </c>
      <c r="D980" t="inlineStr">
        <is>
          <t>STOCKHOLMS LÄN</t>
        </is>
      </c>
      <c r="E980" t="inlineStr">
        <is>
          <t>NORRTÄLJE</t>
        </is>
      </c>
      <c r="G980" t="n">
        <v>3.7</v>
      </c>
      <c r="H980" t="n">
        <v>0</v>
      </c>
      <c r="I980" t="n">
        <v>0</v>
      </c>
      <c r="J980" t="n">
        <v>0</v>
      </c>
      <c r="K980" t="n">
        <v>0</v>
      </c>
      <c r="L980" t="n">
        <v>0</v>
      </c>
      <c r="M980" t="n">
        <v>0</v>
      </c>
      <c r="N980" t="n">
        <v>0</v>
      </c>
      <c r="O980" t="n">
        <v>0</v>
      </c>
      <c r="P980" t="n">
        <v>0</v>
      </c>
      <c r="Q980" t="n">
        <v>0</v>
      </c>
      <c r="R980" s="2" t="inlineStr"/>
    </row>
    <row r="981" ht="15" customHeight="1">
      <c r="A981" t="inlineStr">
        <is>
          <t>A 20473-2021</t>
        </is>
      </c>
      <c r="B981" s="1" t="n">
        <v>44315</v>
      </c>
      <c r="C981" s="1" t="n">
        <v>46033</v>
      </c>
      <c r="D981" t="inlineStr">
        <is>
          <t>STOCKHOLMS LÄN</t>
        </is>
      </c>
      <c r="E981" t="inlineStr">
        <is>
          <t>NORRTÄLJE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54273-2021</t>
        </is>
      </c>
      <c r="B982" s="1" t="n">
        <v>44470.72987268519</v>
      </c>
      <c r="C982" s="1" t="n">
        <v>46033</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7806-2025</t>
        </is>
      </c>
      <c r="B983" s="1" t="n">
        <v>45706.61178240741</v>
      </c>
      <c r="C983" s="1" t="n">
        <v>46033</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53792-2023</t>
        </is>
      </c>
      <c r="B984" s="1" t="n">
        <v>45231.34144675926</v>
      </c>
      <c r="C984" s="1" t="n">
        <v>46033</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21329-2022</t>
        </is>
      </c>
      <c r="B985" s="1" t="n">
        <v>44705.60626157407</v>
      </c>
      <c r="C985" s="1" t="n">
        <v>46033</v>
      </c>
      <c r="D985" t="inlineStr">
        <is>
          <t>STOCKHOLMS LÄN</t>
        </is>
      </c>
      <c r="E985" t="inlineStr">
        <is>
          <t>NORRTÄLJE</t>
        </is>
      </c>
      <c r="G985" t="n">
        <v>4.1</v>
      </c>
      <c r="H985" t="n">
        <v>0</v>
      </c>
      <c r="I985" t="n">
        <v>0</v>
      </c>
      <c r="J985" t="n">
        <v>0</v>
      </c>
      <c r="K985" t="n">
        <v>0</v>
      </c>
      <c r="L985" t="n">
        <v>0</v>
      </c>
      <c r="M985" t="n">
        <v>0</v>
      </c>
      <c r="N985" t="n">
        <v>0</v>
      </c>
      <c r="O985" t="n">
        <v>0</v>
      </c>
      <c r="P985" t="n">
        <v>0</v>
      </c>
      <c r="Q985" t="n">
        <v>0</v>
      </c>
      <c r="R985" s="2" t="inlineStr"/>
    </row>
    <row r="986" ht="15" customHeight="1">
      <c r="A986" t="inlineStr">
        <is>
          <t>A 50569-2022</t>
        </is>
      </c>
      <c r="B986" s="1" t="n">
        <v>44866.63775462963</v>
      </c>
      <c r="C986" s="1" t="n">
        <v>46033</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24501-2023</t>
        </is>
      </c>
      <c r="B987" s="1" t="n">
        <v>45082</v>
      </c>
      <c r="C987" s="1" t="n">
        <v>46033</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24520-2023</t>
        </is>
      </c>
      <c r="B988" s="1" t="n">
        <v>45082.68922453704</v>
      </c>
      <c r="C988" s="1" t="n">
        <v>46033</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60654-2023</t>
        </is>
      </c>
      <c r="B989" s="1" t="n">
        <v>45260.43225694444</v>
      </c>
      <c r="C989" s="1" t="n">
        <v>46033</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60656-2023</t>
        </is>
      </c>
      <c r="B990" s="1" t="n">
        <v>45260.4333449074</v>
      </c>
      <c r="C990" s="1" t="n">
        <v>46033</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54496-2024</t>
        </is>
      </c>
      <c r="B991" s="1" t="n">
        <v>45617.57439814815</v>
      </c>
      <c r="C991" s="1" t="n">
        <v>46033</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46033</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10642-2025</t>
        </is>
      </c>
      <c r="B993" s="1" t="n">
        <v>45721.65858796296</v>
      </c>
      <c r="C993" s="1" t="n">
        <v>46033</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20144-2023</t>
        </is>
      </c>
      <c r="B994" s="1" t="n">
        <v>45055.43509259259</v>
      </c>
      <c r="C994" s="1" t="n">
        <v>46033</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53312-2024</t>
        </is>
      </c>
      <c r="B995" s="1" t="n">
        <v>45614.39627314815</v>
      </c>
      <c r="C995" s="1" t="n">
        <v>46033</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39202-2024</t>
        </is>
      </c>
      <c r="B996" s="1" t="n">
        <v>45548.72306712963</v>
      </c>
      <c r="C996" s="1" t="n">
        <v>46033</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22756-2022</t>
        </is>
      </c>
      <c r="B997" s="1" t="n">
        <v>44714.92253472222</v>
      </c>
      <c r="C997" s="1" t="n">
        <v>46033</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4581-2025</t>
        </is>
      </c>
      <c r="B998" s="1" t="n">
        <v>45687</v>
      </c>
      <c r="C998" s="1" t="n">
        <v>46033</v>
      </c>
      <c r="D998" t="inlineStr">
        <is>
          <t>STOCKHOLMS LÄN</t>
        </is>
      </c>
      <c r="E998" t="inlineStr">
        <is>
          <t>NORRTÄLJE</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60765-2023</t>
        </is>
      </c>
      <c r="B999" s="1" t="n">
        <v>45260</v>
      </c>
      <c r="C999" s="1" t="n">
        <v>46033</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23801-2022</t>
        </is>
      </c>
      <c r="B1000" s="1" t="n">
        <v>44722</v>
      </c>
      <c r="C1000" s="1" t="n">
        <v>46033</v>
      </c>
      <c r="D1000" t="inlineStr">
        <is>
          <t>STOCKHOLMS LÄN</t>
        </is>
      </c>
      <c r="E1000" t="inlineStr">
        <is>
          <t>NORRTÄLJE</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59276-2023</t>
        </is>
      </c>
      <c r="B1001" s="1" t="n">
        <v>45253.55641203704</v>
      </c>
      <c r="C1001" s="1" t="n">
        <v>46033</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46033</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18541-2023</t>
        </is>
      </c>
      <c r="B1003" s="1" t="n">
        <v>45042.74291666667</v>
      </c>
      <c r="C1003" s="1" t="n">
        <v>46033</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3509-2022</t>
        </is>
      </c>
      <c r="B1004" s="1" t="n">
        <v>44585</v>
      </c>
      <c r="C1004" s="1" t="n">
        <v>46033</v>
      </c>
      <c r="D1004" t="inlineStr">
        <is>
          <t>STOCKHOLMS LÄN</t>
        </is>
      </c>
      <c r="E1004" t="inlineStr">
        <is>
          <t>NORRTÄLJE</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26407-2024</t>
        </is>
      </c>
      <c r="B1005" s="1" t="n">
        <v>45469</v>
      </c>
      <c r="C1005" s="1" t="n">
        <v>46033</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12890-2024</t>
        </is>
      </c>
      <c r="B1006" s="1" t="n">
        <v>45385.36243055556</v>
      </c>
      <c r="C1006" s="1" t="n">
        <v>46033</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47419-2023</t>
        </is>
      </c>
      <c r="B1007" s="1" t="n">
        <v>45202.65660879629</v>
      </c>
      <c r="C1007" s="1" t="n">
        <v>46033</v>
      </c>
      <c r="D1007" t="inlineStr">
        <is>
          <t>STOCKHOLMS LÄN</t>
        </is>
      </c>
      <c r="E1007" t="inlineStr">
        <is>
          <t>NORRTÄLJE</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23070-2023</t>
        </is>
      </c>
      <c r="B1008" s="1" t="n">
        <v>45075</v>
      </c>
      <c r="C1008" s="1" t="n">
        <v>46033</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27824-2022</t>
        </is>
      </c>
      <c r="B1009" s="1" t="n">
        <v>44743.59331018518</v>
      </c>
      <c r="C1009" s="1" t="n">
        <v>46033</v>
      </c>
      <c r="D1009" t="inlineStr">
        <is>
          <t>STOCKHOLMS LÄN</t>
        </is>
      </c>
      <c r="E1009" t="inlineStr">
        <is>
          <t>NORRTÄLJE</t>
        </is>
      </c>
      <c r="F1009" t="inlineStr">
        <is>
          <t>Kommuner</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25619-2022</t>
        </is>
      </c>
      <c r="B1010" s="1" t="n">
        <v>44732</v>
      </c>
      <c r="C1010" s="1" t="n">
        <v>46033</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36246-2021</t>
        </is>
      </c>
      <c r="B1011" s="1" t="n">
        <v>44390</v>
      </c>
      <c r="C1011" s="1" t="n">
        <v>46033</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19952-2023</t>
        </is>
      </c>
      <c r="B1012" s="1" t="n">
        <v>45054.54091435186</v>
      </c>
      <c r="C1012" s="1" t="n">
        <v>46033</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19994-2023</t>
        </is>
      </c>
      <c r="B1013" s="1" t="n">
        <v>45054</v>
      </c>
      <c r="C1013" s="1" t="n">
        <v>46033</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14130-2025</t>
        </is>
      </c>
      <c r="B1014" s="1" t="n">
        <v>45740.47288194444</v>
      </c>
      <c r="C1014" s="1" t="n">
        <v>46033</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574-2023</t>
        </is>
      </c>
      <c r="B1015" s="1" t="n">
        <v>44925</v>
      </c>
      <c r="C1015" s="1" t="n">
        <v>46033</v>
      </c>
      <c r="D1015" t="inlineStr">
        <is>
          <t>STOCKHOLMS LÄN</t>
        </is>
      </c>
      <c r="E1015" t="inlineStr">
        <is>
          <t>NORRTÄLJE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30283-2022</t>
        </is>
      </c>
      <c r="B1016" s="1" t="n">
        <v>44760</v>
      </c>
      <c r="C1016" s="1" t="n">
        <v>46033</v>
      </c>
      <c r="D1016" t="inlineStr">
        <is>
          <t>STOCKHOLMS LÄN</t>
        </is>
      </c>
      <c r="E1016" t="inlineStr">
        <is>
          <t>NORRTÄLJE</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30290-2022</t>
        </is>
      </c>
      <c r="B1017" s="1" t="n">
        <v>44760</v>
      </c>
      <c r="C1017" s="1" t="n">
        <v>46033</v>
      </c>
      <c r="D1017" t="inlineStr">
        <is>
          <t>STOCKHOLMS LÄN</t>
        </is>
      </c>
      <c r="E1017" t="inlineStr">
        <is>
          <t>NORRTÄLJE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3143-2021</t>
        </is>
      </c>
      <c r="B1018" s="1" t="n">
        <v>44217.40149305556</v>
      </c>
      <c r="C1018" s="1" t="n">
        <v>46033</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29684-2021</t>
        </is>
      </c>
      <c r="B1019" s="1" t="n">
        <v>44362.37172453704</v>
      </c>
      <c r="C1019" s="1" t="n">
        <v>46033</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60884-2024</t>
        </is>
      </c>
      <c r="B1020" s="1" t="n">
        <v>45644.90815972222</v>
      </c>
      <c r="C1020" s="1" t="n">
        <v>46033</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38610-2022</t>
        </is>
      </c>
      <c r="B1021" s="1" t="n">
        <v>44813.59915509259</v>
      </c>
      <c r="C1021" s="1" t="n">
        <v>46033</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10090-2022</t>
        </is>
      </c>
      <c r="B1022" s="1" t="n">
        <v>44621</v>
      </c>
      <c r="C1022" s="1" t="n">
        <v>46033</v>
      </c>
      <c r="D1022" t="inlineStr">
        <is>
          <t>STOCKHOLMS LÄN</t>
        </is>
      </c>
      <c r="E1022" t="inlineStr">
        <is>
          <t>NORRTÄLJE</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14724-2022</t>
        </is>
      </c>
      <c r="B1023" s="1" t="n">
        <v>44656</v>
      </c>
      <c r="C1023" s="1" t="n">
        <v>46033</v>
      </c>
      <c r="D1023" t="inlineStr">
        <is>
          <t>STOCKHOLMS LÄN</t>
        </is>
      </c>
      <c r="E1023" t="inlineStr">
        <is>
          <t>NORRTÄLJE</t>
        </is>
      </c>
      <c r="F1023" t="inlineStr">
        <is>
          <t>Sveaskog</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18846-2022</t>
        </is>
      </c>
      <c r="B1024" s="1" t="n">
        <v>44690</v>
      </c>
      <c r="C1024" s="1" t="n">
        <v>46033</v>
      </c>
      <c r="D1024" t="inlineStr">
        <is>
          <t>STOCKHOLMS LÄN</t>
        </is>
      </c>
      <c r="E1024" t="inlineStr">
        <is>
          <t>NORRTÄLJE</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43300-2023</t>
        </is>
      </c>
      <c r="B1025" s="1" t="n">
        <v>45183</v>
      </c>
      <c r="C1025" s="1" t="n">
        <v>46033</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25654-2023</t>
        </is>
      </c>
      <c r="B1026" s="1" t="n">
        <v>45089</v>
      </c>
      <c r="C1026" s="1" t="n">
        <v>46033</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23125-2022</t>
        </is>
      </c>
      <c r="B1027" s="1" t="n">
        <v>44719</v>
      </c>
      <c r="C1027" s="1" t="n">
        <v>46033</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20121-2022</t>
        </is>
      </c>
      <c r="B1028" s="1" t="n">
        <v>44698</v>
      </c>
      <c r="C1028" s="1" t="n">
        <v>46033</v>
      </c>
      <c r="D1028" t="inlineStr">
        <is>
          <t>STOCKHOLMS LÄN</t>
        </is>
      </c>
      <c r="E1028" t="inlineStr">
        <is>
          <t>NORRTÄLJE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33385-2024</t>
        </is>
      </c>
      <c r="B1029" s="1" t="n">
        <v>45519</v>
      </c>
      <c r="C1029" s="1" t="n">
        <v>46033</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41172-2023</t>
        </is>
      </c>
      <c r="B1030" s="1" t="n">
        <v>45170</v>
      </c>
      <c r="C1030" s="1" t="n">
        <v>46033</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73307-2021</t>
        </is>
      </c>
      <c r="B1031" s="1" t="n">
        <v>44549</v>
      </c>
      <c r="C1031" s="1" t="n">
        <v>46033</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50534-2024</t>
        </is>
      </c>
      <c r="B1032" s="1" t="n">
        <v>45601.56726851852</v>
      </c>
      <c r="C1032" s="1" t="n">
        <v>46033</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11988-2021</t>
        </is>
      </c>
      <c r="B1033" s="1" t="n">
        <v>44266</v>
      </c>
      <c r="C1033" s="1" t="n">
        <v>46033</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12132-2021</t>
        </is>
      </c>
      <c r="B1034" s="1" t="n">
        <v>44266</v>
      </c>
      <c r="C1034" s="1" t="n">
        <v>46033</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65499-2021</t>
        </is>
      </c>
      <c r="B1035" s="1" t="n">
        <v>44516</v>
      </c>
      <c r="C1035" s="1" t="n">
        <v>46033</v>
      </c>
      <c r="D1035" t="inlineStr">
        <is>
          <t>STOCKHOLMS LÄN</t>
        </is>
      </c>
      <c r="E1035" t="inlineStr">
        <is>
          <t>NORRTÄLJE</t>
        </is>
      </c>
      <c r="F1035" t="inlineStr">
        <is>
          <t>Kommuner</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65511-2021</t>
        </is>
      </c>
      <c r="B1036" s="1" t="n">
        <v>44516.40674768519</v>
      </c>
      <c r="C1036" s="1" t="n">
        <v>46033</v>
      </c>
      <c r="D1036" t="inlineStr">
        <is>
          <t>STOCKHOLMS LÄN</t>
        </is>
      </c>
      <c r="E1036" t="inlineStr">
        <is>
          <t>NORRTÄLJE</t>
        </is>
      </c>
      <c r="F1036" t="inlineStr">
        <is>
          <t>Kommuner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22833-2024</t>
        </is>
      </c>
      <c r="B1037" s="1" t="n">
        <v>45448.56746527777</v>
      </c>
      <c r="C1037" s="1" t="n">
        <v>46033</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32514-2022</t>
        </is>
      </c>
      <c r="B1038" s="1" t="n">
        <v>44782</v>
      </c>
      <c r="C1038" s="1" t="n">
        <v>46033</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29362-2022</t>
        </is>
      </c>
      <c r="B1039" s="1" t="n">
        <v>44753</v>
      </c>
      <c r="C1039" s="1" t="n">
        <v>46033</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46033</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51315-2021</t>
        </is>
      </c>
      <c r="B1041" s="1" t="n">
        <v>44461</v>
      </c>
      <c r="C1041" s="1" t="n">
        <v>46033</v>
      </c>
      <c r="D1041" t="inlineStr">
        <is>
          <t>STOCKHOLMS LÄN</t>
        </is>
      </c>
      <c r="E1041" t="inlineStr">
        <is>
          <t>NORRTÄLJE</t>
        </is>
      </c>
      <c r="F1041" t="inlineStr">
        <is>
          <t>Holmen skog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14873-2025</t>
        </is>
      </c>
      <c r="B1042" s="1" t="n">
        <v>45743.44953703704</v>
      </c>
      <c r="C1042" s="1" t="n">
        <v>46033</v>
      </c>
      <c r="D1042" t="inlineStr">
        <is>
          <t>STOCKHOLMS LÄN</t>
        </is>
      </c>
      <c r="E1042" t="inlineStr">
        <is>
          <t>NORRTÄLJE</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34773-2022</t>
        </is>
      </c>
      <c r="B1043" s="1" t="n">
        <v>44795</v>
      </c>
      <c r="C1043" s="1" t="n">
        <v>46033</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33173-2024</t>
        </is>
      </c>
      <c r="B1044" s="1" t="n">
        <v>45518</v>
      </c>
      <c r="C1044" s="1" t="n">
        <v>46033</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4484-2025</t>
        </is>
      </c>
      <c r="B1045" s="1" t="n">
        <v>45686.65545138889</v>
      </c>
      <c r="C1045" s="1" t="n">
        <v>46033</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33878-2024</t>
        </is>
      </c>
      <c r="B1046" s="1" t="n">
        <v>45522.44414351852</v>
      </c>
      <c r="C1046" s="1" t="n">
        <v>46033</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9246-2024</t>
        </is>
      </c>
      <c r="B1047" s="1" t="n">
        <v>45357</v>
      </c>
      <c r="C1047" s="1" t="n">
        <v>46033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35698-2023</t>
        </is>
      </c>
      <c r="B1048" s="1" t="n">
        <v>45147</v>
      </c>
      <c r="C1048" s="1" t="n">
        <v>46033</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44923.90159722222</v>
      </c>
      <c r="C1049" s="1" t="n">
        <v>46033</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49700-2023</t>
        </is>
      </c>
      <c r="B1050" s="1" t="n">
        <v>45212</v>
      </c>
      <c r="C1050" s="1" t="n">
        <v>46033</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32071-2023</t>
        </is>
      </c>
      <c r="B1051" s="1" t="n">
        <v>45119.57728009259</v>
      </c>
      <c r="C1051" s="1" t="n">
        <v>46033</v>
      </c>
      <c r="D1051" t="inlineStr">
        <is>
          <t>STOCKHOLMS LÄN</t>
        </is>
      </c>
      <c r="E1051" t="inlineStr">
        <is>
          <t>NORRTÄLJE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1425-2025</t>
        </is>
      </c>
      <c r="B1052" s="1" t="n">
        <v>45668.67446759259</v>
      </c>
      <c r="C1052" s="1" t="n">
        <v>46033</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17775-2022</t>
        </is>
      </c>
      <c r="B1053" s="1" t="n">
        <v>44682.78430555556</v>
      </c>
      <c r="C1053" s="1" t="n">
        <v>46033</v>
      </c>
      <c r="D1053" t="inlineStr">
        <is>
          <t>STOCKHOLMS LÄN</t>
        </is>
      </c>
      <c r="E1053" t="inlineStr">
        <is>
          <t>NORRTÄLJE</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38720-2022</t>
        </is>
      </c>
      <c r="B1054" s="1" t="n">
        <v>44815.74539351852</v>
      </c>
      <c r="C1054" s="1" t="n">
        <v>46033</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10215-2023</t>
        </is>
      </c>
      <c r="B1055" s="1" t="n">
        <v>44986.5887962963</v>
      </c>
      <c r="C1055" s="1" t="n">
        <v>46033</v>
      </c>
      <c r="D1055" t="inlineStr">
        <is>
          <t>STOCKHOLMS LÄN</t>
        </is>
      </c>
      <c r="E1055" t="inlineStr">
        <is>
          <t>NORRTÄLJE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25609-2023</t>
        </is>
      </c>
      <c r="B1056" s="1" t="n">
        <v>45089</v>
      </c>
      <c r="C1056" s="1" t="n">
        <v>46033</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20014-2025</t>
        </is>
      </c>
      <c r="B1057" s="1" t="n">
        <v>45772.3078125</v>
      </c>
      <c r="C1057" s="1" t="n">
        <v>46033</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20136-2025</t>
        </is>
      </c>
      <c r="B1058" s="1" t="n">
        <v>45772.51127314815</v>
      </c>
      <c r="C1058" s="1" t="n">
        <v>46033</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2287-2024</t>
        </is>
      </c>
      <c r="B1059" s="1" t="n">
        <v>45310</v>
      </c>
      <c r="C1059" s="1" t="n">
        <v>46033</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13785-2024</t>
        </is>
      </c>
      <c r="B1060" s="1" t="n">
        <v>45391.3395949074</v>
      </c>
      <c r="C1060" s="1" t="n">
        <v>46033</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50469-2022</t>
        </is>
      </c>
      <c r="B1061" s="1" t="n">
        <v>44866.49827546296</v>
      </c>
      <c r="C1061" s="1" t="n">
        <v>46033</v>
      </c>
      <c r="D1061" t="inlineStr">
        <is>
          <t>STOCKHOLMS LÄN</t>
        </is>
      </c>
      <c r="E1061" t="inlineStr">
        <is>
          <t>NORRTÄLJE</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51116-2022</t>
        </is>
      </c>
      <c r="B1062" s="1" t="n">
        <v>44868.45741898148</v>
      </c>
      <c r="C1062" s="1" t="n">
        <v>46033</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60217-2021</t>
        </is>
      </c>
      <c r="B1063" s="1" t="n">
        <v>44495.5893287037</v>
      </c>
      <c r="C1063" s="1" t="n">
        <v>46033</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46033</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38985-2022</t>
        </is>
      </c>
      <c r="B1065" s="1" t="n">
        <v>44816</v>
      </c>
      <c r="C1065" s="1" t="n">
        <v>46033</v>
      </c>
      <c r="D1065" t="inlineStr">
        <is>
          <t>STOCKHOLMS LÄN</t>
        </is>
      </c>
      <c r="E1065" t="inlineStr">
        <is>
          <t>NORRTÄLJE</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5665-2025</t>
        </is>
      </c>
      <c r="B1066" s="1" t="n">
        <v>45693</v>
      </c>
      <c r="C1066" s="1" t="n">
        <v>46033</v>
      </c>
      <c r="D1066" t="inlineStr">
        <is>
          <t>STOCKHOLMS LÄN</t>
        </is>
      </c>
      <c r="E1066" t="inlineStr">
        <is>
          <t>NORRTÄLJE</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3426-2025</t>
        </is>
      </c>
      <c r="B1067" s="1" t="n">
        <v>45680.42665509259</v>
      </c>
      <c r="C1067" s="1" t="n">
        <v>46033</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58530-2024</t>
        </is>
      </c>
      <c r="B1068" s="1" t="n">
        <v>45635.44788194444</v>
      </c>
      <c r="C1068" s="1" t="n">
        <v>46033</v>
      </c>
      <c r="D1068" t="inlineStr">
        <is>
          <t>STOCKHOLMS LÄN</t>
        </is>
      </c>
      <c r="E1068" t="inlineStr">
        <is>
          <t>NORRTÄLJE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22421-2021</t>
        </is>
      </c>
      <c r="B1069" s="1" t="n">
        <v>44326</v>
      </c>
      <c r="C1069" s="1" t="n">
        <v>46033</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40761-2024</t>
        </is>
      </c>
      <c r="B1070" s="1" t="n">
        <v>45558.46283564815</v>
      </c>
      <c r="C1070" s="1" t="n">
        <v>46033</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4553-2023</t>
        </is>
      </c>
      <c r="B1071" s="1" t="n">
        <v>44956.65920138889</v>
      </c>
      <c r="C1071" s="1" t="n">
        <v>46033</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4593-2023</t>
        </is>
      </c>
      <c r="B1072" s="1" t="n">
        <v>44956</v>
      </c>
      <c r="C1072" s="1" t="n">
        <v>46033</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13171-2025</t>
        </is>
      </c>
      <c r="B1073" s="1" t="n">
        <v>45735.36594907408</v>
      </c>
      <c r="C1073" s="1" t="n">
        <v>46033</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51978-2023</t>
        </is>
      </c>
      <c r="B1074" s="1" t="n">
        <v>45223</v>
      </c>
      <c r="C1074" s="1" t="n">
        <v>46033</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18092-2022</t>
        </is>
      </c>
      <c r="B1075" s="1" t="n">
        <v>44684</v>
      </c>
      <c r="C1075" s="1" t="n">
        <v>46033</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59310-2023</t>
        </is>
      </c>
      <c r="B1076" s="1" t="n">
        <v>45253.61146990741</v>
      </c>
      <c r="C1076" s="1" t="n">
        <v>46033</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46033</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59878-2024</t>
        </is>
      </c>
      <c r="B1078" s="1" t="n">
        <v>45640.60240740741</v>
      </c>
      <c r="C1078" s="1" t="n">
        <v>46033</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41335-2023</t>
        </is>
      </c>
      <c r="B1079" s="1" t="n">
        <v>45174.68702546296</v>
      </c>
      <c r="C1079" s="1" t="n">
        <v>46033</v>
      </c>
      <c r="D1079" t="inlineStr">
        <is>
          <t>STOCKHOLMS LÄN</t>
        </is>
      </c>
      <c r="E1079" t="inlineStr">
        <is>
          <t>NORRTÄLJE</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33040-2021</t>
        </is>
      </c>
      <c r="B1080" s="1" t="n">
        <v>44376.50728009259</v>
      </c>
      <c r="C1080" s="1" t="n">
        <v>46033</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33053-2021</t>
        </is>
      </c>
      <c r="B1081" s="1" t="n">
        <v>44376</v>
      </c>
      <c r="C1081" s="1" t="n">
        <v>46033</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43150-2023</t>
        </is>
      </c>
      <c r="B1082" s="1" t="n">
        <v>45183</v>
      </c>
      <c r="C1082" s="1" t="n">
        <v>46033</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5950-2021</t>
        </is>
      </c>
      <c r="B1083" s="1" t="n">
        <v>44231</v>
      </c>
      <c r="C1083" s="1" t="n">
        <v>46033</v>
      </c>
      <c r="D1083" t="inlineStr">
        <is>
          <t>STOCKHOLMS LÄN</t>
        </is>
      </c>
      <c r="E1083" t="inlineStr">
        <is>
          <t>NORRTÄLJE</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54259-2023</t>
        </is>
      </c>
      <c r="B1084" s="1" t="n">
        <v>45232</v>
      </c>
      <c r="C1084" s="1" t="n">
        <v>46033</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60822-2023</t>
        </is>
      </c>
      <c r="B1085" s="1" t="n">
        <v>45259</v>
      </c>
      <c r="C1085" s="1" t="n">
        <v>46033</v>
      </c>
      <c r="D1085" t="inlineStr">
        <is>
          <t>STOCKHOLMS LÄN</t>
        </is>
      </c>
      <c r="E1085" t="inlineStr">
        <is>
          <t>NORRTÄLJE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12031-2021</t>
        </is>
      </c>
      <c r="B1086" s="1" t="n">
        <v>44266</v>
      </c>
      <c r="C1086" s="1" t="n">
        <v>46033</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27381-2024</t>
        </is>
      </c>
      <c r="B1087" s="1" t="n">
        <v>45473.94501157408</v>
      </c>
      <c r="C1087" s="1" t="n">
        <v>46033</v>
      </c>
      <c r="D1087" t="inlineStr">
        <is>
          <t>STOCKHOLMS LÄN</t>
        </is>
      </c>
      <c r="E1087" t="inlineStr">
        <is>
          <t>NORRTÄLJE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23265-2023</t>
        </is>
      </c>
      <c r="B1088" s="1" t="n">
        <v>45075.90703703704</v>
      </c>
      <c r="C1088" s="1" t="n">
        <v>46033</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26117-2024</t>
        </is>
      </c>
      <c r="B1089" s="1" t="n">
        <v>45468.45877314815</v>
      </c>
      <c r="C1089" s="1" t="n">
        <v>46033</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20336-2024</t>
        </is>
      </c>
      <c r="B1090" s="1" t="n">
        <v>45435.43123842592</v>
      </c>
      <c r="C1090" s="1" t="n">
        <v>46033</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1847-2023</t>
        </is>
      </c>
      <c r="B1091" s="1" t="n">
        <v>44938</v>
      </c>
      <c r="C1091" s="1" t="n">
        <v>46033</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59721-2024</t>
        </is>
      </c>
      <c r="B1092" s="1" t="n">
        <v>45639.47385416667</v>
      </c>
      <c r="C1092" s="1" t="n">
        <v>46033</v>
      </c>
      <c r="D1092" t="inlineStr">
        <is>
          <t>STOCKHOLMS LÄN</t>
        </is>
      </c>
      <c r="E1092" t="inlineStr">
        <is>
          <t>NORRTÄLJE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37010-2022</t>
        </is>
      </c>
      <c r="B1093" s="1" t="n">
        <v>44806.41576388889</v>
      </c>
      <c r="C1093" s="1" t="n">
        <v>46033</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951-2023</t>
        </is>
      </c>
      <c r="B1094" s="1" t="n">
        <v>44934</v>
      </c>
      <c r="C1094" s="1" t="n">
        <v>46033</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44959.74533564815</v>
      </c>
      <c r="C1095" s="1" t="n">
        <v>46033</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50182-2024</t>
        </is>
      </c>
      <c r="B1096" s="1" t="n">
        <v>45600.47275462963</v>
      </c>
      <c r="C1096" s="1" t="n">
        <v>46033</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12629-2024</t>
        </is>
      </c>
      <c r="B1097" s="1" t="n">
        <v>45383</v>
      </c>
      <c r="C1097" s="1" t="n">
        <v>46033</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35708-2022</t>
        </is>
      </c>
      <c r="B1098" s="1" t="n">
        <v>44799.65013888889</v>
      </c>
      <c r="C1098" s="1" t="n">
        <v>46033</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45220-2024</t>
        </is>
      </c>
      <c r="B1099" s="1" t="n">
        <v>45575</v>
      </c>
      <c r="C1099" s="1" t="n">
        <v>46033</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21731-2023</t>
        </is>
      </c>
      <c r="B1100" s="1" t="n">
        <v>45063</v>
      </c>
      <c r="C1100" s="1" t="n">
        <v>46033</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23266-2023</t>
        </is>
      </c>
      <c r="B1101" s="1" t="n">
        <v>45075.90817129629</v>
      </c>
      <c r="C1101" s="1" t="n">
        <v>46033</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47521-2024</t>
        </is>
      </c>
      <c r="B1102" s="1" t="n">
        <v>45587.62565972222</v>
      </c>
      <c r="C1102" s="1" t="n">
        <v>46033</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58260-2023</t>
        </is>
      </c>
      <c r="B1103" s="1" t="n">
        <v>45245</v>
      </c>
      <c r="C1103" s="1" t="n">
        <v>46033</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58261-2023</t>
        </is>
      </c>
      <c r="B1104" s="1" t="n">
        <v>45245</v>
      </c>
      <c r="C1104" s="1" t="n">
        <v>46033</v>
      </c>
      <c r="D1104" t="inlineStr">
        <is>
          <t>STOCKHOLMS LÄN</t>
        </is>
      </c>
      <c r="E1104" t="inlineStr">
        <is>
          <t>NORRTÄLJE</t>
        </is>
      </c>
      <c r="G1104" t="n">
        <v>53.5</v>
      </c>
      <c r="H1104" t="n">
        <v>0</v>
      </c>
      <c r="I1104" t="n">
        <v>0</v>
      </c>
      <c r="J1104" t="n">
        <v>0</v>
      </c>
      <c r="K1104" t="n">
        <v>0</v>
      </c>
      <c r="L1104" t="n">
        <v>0</v>
      </c>
      <c r="M1104" t="n">
        <v>0</v>
      </c>
      <c r="N1104" t="n">
        <v>0</v>
      </c>
      <c r="O1104" t="n">
        <v>0</v>
      </c>
      <c r="P1104" t="n">
        <v>0</v>
      </c>
      <c r="Q1104" t="n">
        <v>0</v>
      </c>
      <c r="R1104" s="2" t="inlineStr"/>
    </row>
    <row r="1105" ht="15" customHeight="1">
      <c r="A1105" t="inlineStr">
        <is>
          <t>A 29266-2022</t>
        </is>
      </c>
      <c r="B1105" s="1" t="n">
        <v>44750.66068287037</v>
      </c>
      <c r="C1105" s="1" t="n">
        <v>46033</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29278-2022</t>
        </is>
      </c>
      <c r="B1106" s="1" t="n">
        <v>44750</v>
      </c>
      <c r="C1106" s="1" t="n">
        <v>46033</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37273-2024</t>
        </is>
      </c>
      <c r="B1107" s="1" t="n">
        <v>45540</v>
      </c>
      <c r="C1107" s="1" t="n">
        <v>46033</v>
      </c>
      <c r="D1107" t="inlineStr">
        <is>
          <t>STOCKHOLMS LÄN</t>
        </is>
      </c>
      <c r="E1107" t="inlineStr">
        <is>
          <t>NORRTÄLJE</t>
        </is>
      </c>
      <c r="F1107" t="inlineStr">
        <is>
          <t>Sveaskog</t>
        </is>
      </c>
      <c r="G1107" t="n">
        <v>12.5</v>
      </c>
      <c r="H1107" t="n">
        <v>0</v>
      </c>
      <c r="I1107" t="n">
        <v>0</v>
      </c>
      <c r="J1107" t="n">
        <v>0</v>
      </c>
      <c r="K1107" t="n">
        <v>0</v>
      </c>
      <c r="L1107" t="n">
        <v>0</v>
      </c>
      <c r="M1107" t="n">
        <v>0</v>
      </c>
      <c r="N1107" t="n">
        <v>0</v>
      </c>
      <c r="O1107" t="n">
        <v>0</v>
      </c>
      <c r="P1107" t="n">
        <v>0</v>
      </c>
      <c r="Q1107" t="n">
        <v>0</v>
      </c>
      <c r="R1107" s="2" t="inlineStr"/>
    </row>
    <row r="1108" ht="15" customHeight="1">
      <c r="A1108" t="inlineStr">
        <is>
          <t>A 12908-2025</t>
        </is>
      </c>
      <c r="B1108" s="1" t="n">
        <v>45733.82105324074</v>
      </c>
      <c r="C1108" s="1" t="n">
        <v>46033</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23060-2023</t>
        </is>
      </c>
      <c r="B1109" s="1" t="n">
        <v>45075</v>
      </c>
      <c r="C1109" s="1" t="n">
        <v>46033</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32103-2022</t>
        </is>
      </c>
      <c r="B1110" s="1" t="n">
        <v>44778</v>
      </c>
      <c r="C1110" s="1" t="n">
        <v>46033</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6401-2024</t>
        </is>
      </c>
      <c r="B1111" s="1" t="n">
        <v>45338</v>
      </c>
      <c r="C1111" s="1" t="n">
        <v>46033</v>
      </c>
      <c r="D1111" t="inlineStr">
        <is>
          <t>STOCKHOLMS LÄN</t>
        </is>
      </c>
      <c r="E1111" t="inlineStr">
        <is>
          <t>NORRTÄLJE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59504-2023</t>
        </is>
      </c>
      <c r="B1112" s="1" t="n">
        <v>45254</v>
      </c>
      <c r="C1112" s="1" t="n">
        <v>46033</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52321-2024</t>
        </is>
      </c>
      <c r="B1113" s="1" t="n">
        <v>45608</v>
      </c>
      <c r="C1113" s="1" t="n">
        <v>46033</v>
      </c>
      <c r="D1113" t="inlineStr">
        <is>
          <t>STOCKHOLMS LÄN</t>
        </is>
      </c>
      <c r="E1113" t="inlineStr">
        <is>
          <t>NORRTÄLJE</t>
        </is>
      </c>
      <c r="G1113" t="n">
        <v>18.1</v>
      </c>
      <c r="H1113" t="n">
        <v>0</v>
      </c>
      <c r="I1113" t="n">
        <v>0</v>
      </c>
      <c r="J1113" t="n">
        <v>0</v>
      </c>
      <c r="K1113" t="n">
        <v>0</v>
      </c>
      <c r="L1113" t="n">
        <v>0</v>
      </c>
      <c r="M1113" t="n">
        <v>0</v>
      </c>
      <c r="N1113" t="n">
        <v>0</v>
      </c>
      <c r="O1113" t="n">
        <v>0</v>
      </c>
      <c r="P1113" t="n">
        <v>0</v>
      </c>
      <c r="Q1113" t="n">
        <v>0</v>
      </c>
      <c r="R1113" s="2" t="inlineStr"/>
    </row>
    <row r="1114" ht="15" customHeight="1">
      <c r="A1114" t="inlineStr">
        <is>
          <t>A 48151-2024</t>
        </is>
      </c>
      <c r="B1114" s="1" t="n">
        <v>45589.68289351852</v>
      </c>
      <c r="C1114" s="1" t="n">
        <v>46033</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20370-2025</t>
        </is>
      </c>
      <c r="B1115" s="1" t="n">
        <v>45775.41451388889</v>
      </c>
      <c r="C1115" s="1" t="n">
        <v>46033</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19580-2022</t>
        </is>
      </c>
      <c r="B1116" s="1" t="n">
        <v>44693</v>
      </c>
      <c r="C1116" s="1" t="n">
        <v>46033</v>
      </c>
      <c r="D1116" t="inlineStr">
        <is>
          <t>STOCKHOLMS LÄN</t>
        </is>
      </c>
      <c r="E1116" t="inlineStr">
        <is>
          <t>NORRTÄLJE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30731-2023</t>
        </is>
      </c>
      <c r="B1117" s="1" t="n">
        <v>45112</v>
      </c>
      <c r="C1117" s="1" t="n">
        <v>46033</v>
      </c>
      <c r="D1117" t="inlineStr">
        <is>
          <t>STOCKHOLMS LÄN</t>
        </is>
      </c>
      <c r="E1117" t="inlineStr">
        <is>
          <t>NORRTÄLJE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4580-2025</t>
        </is>
      </c>
      <c r="B1118" s="1" t="n">
        <v>45687.5038425926</v>
      </c>
      <c r="C1118" s="1" t="n">
        <v>46033</v>
      </c>
      <c r="D1118" t="inlineStr">
        <is>
          <t>STOCKHOLMS LÄN</t>
        </is>
      </c>
      <c r="E1118" t="inlineStr">
        <is>
          <t>NORRTÄLJE</t>
        </is>
      </c>
      <c r="F1118" t="inlineStr">
        <is>
          <t>Holmen skog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31057-2022</t>
        </is>
      </c>
      <c r="B1119" s="1" t="n">
        <v>44769</v>
      </c>
      <c r="C1119" s="1" t="n">
        <v>46033</v>
      </c>
      <c r="D1119" t="inlineStr">
        <is>
          <t>STOCKHOLMS LÄN</t>
        </is>
      </c>
      <c r="E1119" t="inlineStr">
        <is>
          <t>NORRTÄLJE</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31140-2023</t>
        </is>
      </c>
      <c r="B1120" s="1" t="n">
        <v>45113</v>
      </c>
      <c r="C1120" s="1" t="n">
        <v>46033</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31149-2023</t>
        </is>
      </c>
      <c r="B1121" s="1" t="n">
        <v>45113</v>
      </c>
      <c r="C1121" s="1" t="n">
        <v>46033</v>
      </c>
      <c r="D1121" t="inlineStr">
        <is>
          <t>STOCKHOLMS LÄN</t>
        </is>
      </c>
      <c r="E1121" t="inlineStr">
        <is>
          <t>NORRTÄLJE</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4658-2024</t>
        </is>
      </c>
      <c r="B1122" s="1" t="n">
        <v>45328.46336805556</v>
      </c>
      <c r="C1122" s="1" t="n">
        <v>46033</v>
      </c>
      <c r="D1122" t="inlineStr">
        <is>
          <t>STOCKHOLMS LÄN</t>
        </is>
      </c>
      <c r="E1122" t="inlineStr">
        <is>
          <t>NORRTÄLJE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19131-2025</t>
        </is>
      </c>
      <c r="B1123" s="1" t="n">
        <v>45769</v>
      </c>
      <c r="C1123" s="1" t="n">
        <v>46033</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7571-2024</t>
        </is>
      </c>
      <c r="B1124" s="1" t="n">
        <v>45348.46300925926</v>
      </c>
      <c r="C1124" s="1" t="n">
        <v>46033</v>
      </c>
      <c r="D1124" t="inlineStr">
        <is>
          <t>STOCKHOLMS LÄN</t>
        </is>
      </c>
      <c r="E1124" t="inlineStr">
        <is>
          <t>NORRTÄLJE</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11849-2025</t>
        </is>
      </c>
      <c r="B1125" s="1" t="n">
        <v>45728.38409722222</v>
      </c>
      <c r="C1125" s="1" t="n">
        <v>46033</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40425-2021</t>
        </is>
      </c>
      <c r="B1126" s="1" t="n">
        <v>44419</v>
      </c>
      <c r="C1126" s="1" t="n">
        <v>46033</v>
      </c>
      <c r="D1126" t="inlineStr">
        <is>
          <t>STOCKHOLMS LÄN</t>
        </is>
      </c>
      <c r="E1126" t="inlineStr">
        <is>
          <t>NORRTÄLJE</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58990-2021</t>
        </is>
      </c>
      <c r="B1127" s="1" t="n">
        <v>44490.03621527777</v>
      </c>
      <c r="C1127" s="1" t="n">
        <v>46033</v>
      </c>
      <c r="D1127" t="inlineStr">
        <is>
          <t>STOCKHOLMS LÄN</t>
        </is>
      </c>
      <c r="E1127" t="inlineStr">
        <is>
          <t>NORRTÄLJE</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20790-2025</t>
        </is>
      </c>
      <c r="B1128" s="1" t="n">
        <v>45776.62563657408</v>
      </c>
      <c r="C1128" s="1" t="n">
        <v>46033</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20699-2025</t>
        </is>
      </c>
      <c r="B1129" s="1" t="n">
        <v>45776.47346064815</v>
      </c>
      <c r="C1129" s="1" t="n">
        <v>46033</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3152-2024</t>
        </is>
      </c>
      <c r="B1130" s="1" t="n">
        <v>45316.60306712963</v>
      </c>
      <c r="C1130" s="1" t="n">
        <v>46033</v>
      </c>
      <c r="D1130" t="inlineStr">
        <is>
          <t>STOCKHOLMS LÄN</t>
        </is>
      </c>
      <c r="E1130" t="inlineStr">
        <is>
          <t>NORRTÄLJE</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59326-2023</t>
        </is>
      </c>
      <c r="B1131" s="1" t="n">
        <v>45253.63089120371</v>
      </c>
      <c r="C1131" s="1" t="n">
        <v>46033</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44836-2023</t>
        </is>
      </c>
      <c r="B1132" s="1" t="n">
        <v>45190.55609953704</v>
      </c>
      <c r="C1132" s="1" t="n">
        <v>46033</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20779-2025</t>
        </is>
      </c>
      <c r="B1133" s="1" t="n">
        <v>45776.59871527777</v>
      </c>
      <c r="C1133" s="1" t="n">
        <v>46033</v>
      </c>
      <c r="D1133" t="inlineStr">
        <is>
          <t>STOCKHOLMS LÄN</t>
        </is>
      </c>
      <c r="E1133" t="inlineStr">
        <is>
          <t>NORRTÄLJE</t>
        </is>
      </c>
      <c r="G1133" t="n">
        <v>6.9</v>
      </c>
      <c r="H1133" t="n">
        <v>0</v>
      </c>
      <c r="I1133" t="n">
        <v>0</v>
      </c>
      <c r="J1133" t="n">
        <v>0</v>
      </c>
      <c r="K1133" t="n">
        <v>0</v>
      </c>
      <c r="L1133" t="n">
        <v>0</v>
      </c>
      <c r="M1133" t="n">
        <v>0</v>
      </c>
      <c r="N1133" t="n">
        <v>0</v>
      </c>
      <c r="O1133" t="n">
        <v>0</v>
      </c>
      <c r="P1133" t="n">
        <v>0</v>
      </c>
      <c r="Q1133" t="n">
        <v>0</v>
      </c>
      <c r="R1133" s="2" t="inlineStr"/>
    </row>
    <row r="1134">
      <c r="A1134" t="inlineStr">
        <is>
          <t>A 21771-2025</t>
        </is>
      </c>
      <c r="B1134" s="1" t="n">
        <v>45783</v>
      </c>
      <c r="C1134" s="1" t="n">
        <v>46033</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2026-01-11T10:49:14Z</dcterms:created>
  <dcterms:modified xmlns:dcterms="http://purl.org/dc/terms/" xmlns:xsi="http://www.w3.org/2001/XMLSchema-instance" xsi:type="dcterms:W3CDTF">2026-01-11T10:49:15Z</dcterms:modified>
</cp:coreProperties>
</file>